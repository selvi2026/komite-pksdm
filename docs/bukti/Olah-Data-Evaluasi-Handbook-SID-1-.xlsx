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OIUHYG\Downloads\"/>
    </mc:Choice>
  </mc:AlternateContent>
  <bookViews>
    <workbookView xWindow="0" yWindow="0" windowWidth="20490" windowHeight="7215" tabRatio="500"/>
  </bookViews>
  <sheets>
    <sheet name="WILAYAH" sheetId="1" r:id="rId1"/>
    <sheet name="CABANG" sheetId="2" r:id="rId2"/>
    <sheet name="DATA" sheetId="3" r:id="rId3"/>
    <sheet name="FORM" sheetId="4" r:id="rId4"/>
    <sheet name="PROGRES" sheetId="5" r:id="rId5"/>
  </sheets>
  <definedNames>
    <definedName name="_xlnm._FilterDatabase" localSheetId="2" hidden="1">DATA!$A$1:$AB$1001</definedName>
    <definedName name="_xlnm._FilterDatabase" localSheetId="4" hidden="1">PROGRES!$A$1:$I$93</definedName>
  </definedNames>
  <calcPr calcId="152511"/>
  <extLst>
    <ext xmlns:loext="http://schemas.libreoffice.org/" uri="{7626C862-2A13-11E5-B345-FEFF819CDC9F}">
      <loext:extCalcPr stringRefSyntax="ExcelA1"/>
    </ext>
  </extLst>
</workbook>
</file>

<file path=xl/calcChain.xml><?xml version="1.0" encoding="utf-8"?>
<calcChain xmlns="http://schemas.openxmlformats.org/spreadsheetml/2006/main">
  <c r="E15" i="1" l="1"/>
  <c r="C93" i="5"/>
  <c r="G92" i="5"/>
  <c r="F92" i="5"/>
  <c r="E92" i="5"/>
  <c r="I92" i="5" s="1"/>
  <c r="D92" i="5"/>
  <c r="H92" i="5" s="1"/>
  <c r="G91" i="5"/>
  <c r="F91" i="5"/>
  <c r="E91" i="5"/>
  <c r="I91" i="5" s="1"/>
  <c r="D91" i="5"/>
  <c r="H91" i="5" s="1"/>
  <c r="G90" i="5"/>
  <c r="F90" i="5"/>
  <c r="E90" i="5"/>
  <c r="I90" i="5" s="1"/>
  <c r="D90" i="5"/>
  <c r="H90" i="5" s="1"/>
  <c r="G89" i="5"/>
  <c r="F89" i="5"/>
  <c r="E89" i="5"/>
  <c r="I89" i="5" s="1"/>
  <c r="D89" i="5"/>
  <c r="H89" i="5" s="1"/>
  <c r="G88" i="5"/>
  <c r="F88" i="5"/>
  <c r="E88" i="5"/>
  <c r="I88" i="5" s="1"/>
  <c r="D88" i="5"/>
  <c r="H88" i="5" s="1"/>
  <c r="G87" i="5"/>
  <c r="F87" i="5"/>
  <c r="E87" i="5"/>
  <c r="I87" i="5" s="1"/>
  <c r="D87" i="5"/>
  <c r="H87" i="5" s="1"/>
  <c r="G86" i="5"/>
  <c r="F86" i="5"/>
  <c r="E86" i="5"/>
  <c r="I86" i="5" s="1"/>
  <c r="D86" i="5"/>
  <c r="H86" i="5" s="1"/>
  <c r="G85" i="5"/>
  <c r="F85" i="5"/>
  <c r="E85" i="5"/>
  <c r="I85" i="5" s="1"/>
  <c r="D85" i="5"/>
  <c r="H85" i="5" s="1"/>
  <c r="G84" i="5"/>
  <c r="F84" i="5"/>
  <c r="E84" i="5"/>
  <c r="I84" i="5" s="1"/>
  <c r="D84" i="5"/>
  <c r="H84" i="5" s="1"/>
  <c r="G83" i="5"/>
  <c r="F83" i="5"/>
  <c r="E83" i="5"/>
  <c r="I83" i="5" s="1"/>
  <c r="D83" i="5"/>
  <c r="H83" i="5" s="1"/>
  <c r="G82" i="5"/>
  <c r="F82" i="5"/>
  <c r="E82" i="5"/>
  <c r="I82" i="5" s="1"/>
  <c r="D82" i="5"/>
  <c r="H82" i="5" s="1"/>
  <c r="G81" i="5"/>
  <c r="F81" i="5"/>
  <c r="E81" i="5"/>
  <c r="I81" i="5" s="1"/>
  <c r="D81" i="5"/>
  <c r="H81" i="5" s="1"/>
  <c r="G80" i="5"/>
  <c r="F80" i="5"/>
  <c r="E80" i="5"/>
  <c r="I80" i="5" s="1"/>
  <c r="D80" i="5"/>
  <c r="H80" i="5" s="1"/>
  <c r="G79" i="5"/>
  <c r="F79" i="5"/>
  <c r="E79" i="5"/>
  <c r="I79" i="5" s="1"/>
  <c r="D79" i="5"/>
  <c r="H79" i="5" s="1"/>
  <c r="G78" i="5"/>
  <c r="F78" i="5"/>
  <c r="E78" i="5"/>
  <c r="I78" i="5" s="1"/>
  <c r="D78" i="5"/>
  <c r="H78" i="5" s="1"/>
  <c r="G77" i="5"/>
  <c r="F77" i="5"/>
  <c r="E77" i="5"/>
  <c r="I77" i="5" s="1"/>
  <c r="D77" i="5"/>
  <c r="H77" i="5" s="1"/>
  <c r="G76" i="5"/>
  <c r="F76" i="5"/>
  <c r="E76" i="5"/>
  <c r="I76" i="5" s="1"/>
  <c r="D76" i="5"/>
  <c r="H76" i="5" s="1"/>
  <c r="G75" i="5"/>
  <c r="F75" i="5"/>
  <c r="E75" i="5"/>
  <c r="I75" i="5" s="1"/>
  <c r="D75" i="5"/>
  <c r="H75" i="5" s="1"/>
  <c r="G74" i="5"/>
  <c r="F74" i="5"/>
  <c r="E74" i="5"/>
  <c r="I74" i="5" s="1"/>
  <c r="D74" i="5"/>
  <c r="H74" i="5" s="1"/>
  <c r="G73" i="5"/>
  <c r="F73" i="5"/>
  <c r="E73" i="5"/>
  <c r="I73" i="5" s="1"/>
  <c r="D73" i="5"/>
  <c r="H73" i="5" s="1"/>
  <c r="G72" i="5"/>
  <c r="F72" i="5"/>
  <c r="E72" i="5"/>
  <c r="I72" i="5" s="1"/>
  <c r="D72" i="5"/>
  <c r="H72" i="5" s="1"/>
  <c r="G71" i="5"/>
  <c r="F71" i="5"/>
  <c r="E71" i="5"/>
  <c r="I71" i="5" s="1"/>
  <c r="D71" i="5"/>
  <c r="H71" i="5" s="1"/>
  <c r="G70" i="5"/>
  <c r="F70" i="5"/>
  <c r="E70" i="5"/>
  <c r="I70" i="5" s="1"/>
  <c r="D70" i="5"/>
  <c r="H70" i="5" s="1"/>
  <c r="G69" i="5"/>
  <c r="F69" i="5"/>
  <c r="E69" i="5"/>
  <c r="I69" i="5" s="1"/>
  <c r="D69" i="5"/>
  <c r="H69" i="5" s="1"/>
  <c r="G68" i="5"/>
  <c r="F68" i="5"/>
  <c r="E68" i="5"/>
  <c r="I68" i="5" s="1"/>
  <c r="D68" i="5"/>
  <c r="H68" i="5" s="1"/>
  <c r="G67" i="5"/>
  <c r="F67" i="5"/>
  <c r="E67" i="5"/>
  <c r="I67" i="5" s="1"/>
  <c r="D67" i="5"/>
  <c r="H67" i="5" s="1"/>
  <c r="G66" i="5"/>
  <c r="F66" i="5"/>
  <c r="E66" i="5"/>
  <c r="I66" i="5" s="1"/>
  <c r="D66" i="5"/>
  <c r="H66" i="5" s="1"/>
  <c r="G65" i="5"/>
  <c r="F65" i="5"/>
  <c r="E65" i="5"/>
  <c r="I65" i="5" s="1"/>
  <c r="D65" i="5"/>
  <c r="H65" i="5" s="1"/>
  <c r="G64" i="5"/>
  <c r="F64" i="5"/>
  <c r="E64" i="5"/>
  <c r="I64" i="5" s="1"/>
  <c r="D64" i="5"/>
  <c r="H64" i="5" s="1"/>
  <c r="G63" i="5"/>
  <c r="F63" i="5"/>
  <c r="E63" i="5"/>
  <c r="I63" i="5" s="1"/>
  <c r="D63" i="5"/>
  <c r="H63" i="5" s="1"/>
  <c r="G62" i="5"/>
  <c r="F62" i="5"/>
  <c r="E62" i="5"/>
  <c r="I62" i="5" s="1"/>
  <c r="D62" i="5"/>
  <c r="H62" i="5" s="1"/>
  <c r="G61" i="5"/>
  <c r="F61" i="5"/>
  <c r="E61" i="5"/>
  <c r="I61" i="5" s="1"/>
  <c r="D61" i="5"/>
  <c r="H61" i="5" s="1"/>
  <c r="G60" i="5"/>
  <c r="F60" i="5"/>
  <c r="E60" i="5"/>
  <c r="I60" i="5" s="1"/>
  <c r="D60" i="5"/>
  <c r="H60" i="5" s="1"/>
  <c r="G59" i="5"/>
  <c r="F59" i="5"/>
  <c r="E59" i="5"/>
  <c r="I59" i="5" s="1"/>
  <c r="D59" i="5"/>
  <c r="H59" i="5" s="1"/>
  <c r="G58" i="5"/>
  <c r="F58" i="5"/>
  <c r="E58" i="5"/>
  <c r="I58" i="5" s="1"/>
  <c r="D58" i="5"/>
  <c r="H58" i="5" s="1"/>
  <c r="G57" i="5"/>
  <c r="F57" i="5"/>
  <c r="E57" i="5"/>
  <c r="I57" i="5" s="1"/>
  <c r="D57" i="5"/>
  <c r="H57" i="5" s="1"/>
  <c r="G56" i="5"/>
  <c r="F56" i="5"/>
  <c r="E56" i="5"/>
  <c r="I56" i="5" s="1"/>
  <c r="D56" i="5"/>
  <c r="H56" i="5" s="1"/>
  <c r="G55" i="5"/>
  <c r="F55" i="5"/>
  <c r="E55" i="5"/>
  <c r="I55" i="5" s="1"/>
  <c r="D55" i="5"/>
  <c r="H55" i="5" s="1"/>
  <c r="G54" i="5"/>
  <c r="F54" i="5"/>
  <c r="E54" i="5"/>
  <c r="I54" i="5" s="1"/>
  <c r="D54" i="5"/>
  <c r="H54" i="5" s="1"/>
  <c r="G53" i="5"/>
  <c r="F53" i="5"/>
  <c r="E53" i="5"/>
  <c r="I53" i="5" s="1"/>
  <c r="D53" i="5"/>
  <c r="H53" i="5" s="1"/>
  <c r="G52" i="5"/>
  <c r="F52" i="5"/>
  <c r="E52" i="5"/>
  <c r="I52" i="5" s="1"/>
  <c r="D52" i="5"/>
  <c r="H52" i="5" s="1"/>
  <c r="G51" i="5"/>
  <c r="F51" i="5"/>
  <c r="E51" i="5"/>
  <c r="I51" i="5" s="1"/>
  <c r="D51" i="5"/>
  <c r="H51" i="5" s="1"/>
  <c r="G50" i="5"/>
  <c r="F50" i="5"/>
  <c r="E50" i="5"/>
  <c r="I50" i="5" s="1"/>
  <c r="D50" i="5"/>
  <c r="H50" i="5" s="1"/>
  <c r="G49" i="5"/>
  <c r="F49" i="5"/>
  <c r="E49" i="5"/>
  <c r="I49" i="5" s="1"/>
  <c r="D49" i="5"/>
  <c r="H49" i="5" s="1"/>
  <c r="G48" i="5"/>
  <c r="F48" i="5"/>
  <c r="E48" i="5"/>
  <c r="I48" i="5" s="1"/>
  <c r="D48" i="5"/>
  <c r="H48" i="5" s="1"/>
  <c r="G47" i="5"/>
  <c r="F47" i="5"/>
  <c r="E47" i="5"/>
  <c r="I47" i="5" s="1"/>
  <c r="D47" i="5"/>
  <c r="H47" i="5" s="1"/>
  <c r="G46" i="5"/>
  <c r="F46" i="5"/>
  <c r="E46" i="5"/>
  <c r="I46" i="5" s="1"/>
  <c r="D46" i="5"/>
  <c r="H46" i="5" s="1"/>
  <c r="G45" i="5"/>
  <c r="F45" i="5"/>
  <c r="E45" i="5"/>
  <c r="I45" i="5" s="1"/>
  <c r="D45" i="5"/>
  <c r="H45" i="5" s="1"/>
  <c r="G44" i="5"/>
  <c r="F44" i="5"/>
  <c r="E44" i="5"/>
  <c r="I44" i="5" s="1"/>
  <c r="D44" i="5"/>
  <c r="H44" i="5" s="1"/>
  <c r="G43" i="5"/>
  <c r="F43" i="5"/>
  <c r="E43" i="5"/>
  <c r="I43" i="5" s="1"/>
  <c r="D43" i="5"/>
  <c r="H43" i="5" s="1"/>
  <c r="G42" i="5"/>
  <c r="F42" i="5"/>
  <c r="E42" i="5"/>
  <c r="I42" i="5" s="1"/>
  <c r="D42" i="5"/>
  <c r="H42" i="5" s="1"/>
  <c r="G41" i="5"/>
  <c r="F41" i="5"/>
  <c r="E41" i="5"/>
  <c r="I41" i="5" s="1"/>
  <c r="D41" i="5"/>
  <c r="H41" i="5" s="1"/>
  <c r="G40" i="5"/>
  <c r="F40" i="5"/>
  <c r="E40" i="5"/>
  <c r="I40" i="5" s="1"/>
  <c r="D40" i="5"/>
  <c r="H40" i="5" s="1"/>
  <c r="G39" i="5"/>
  <c r="F39" i="5"/>
  <c r="E39" i="5"/>
  <c r="I39" i="5" s="1"/>
  <c r="D39" i="5"/>
  <c r="H39" i="5" s="1"/>
  <c r="G38" i="5"/>
  <c r="F38" i="5"/>
  <c r="E38" i="5"/>
  <c r="I38" i="5" s="1"/>
  <c r="D38" i="5"/>
  <c r="H38" i="5" s="1"/>
  <c r="G37" i="5"/>
  <c r="F37" i="5"/>
  <c r="E37" i="5"/>
  <c r="I37" i="5" s="1"/>
  <c r="D37" i="5"/>
  <c r="H37" i="5" s="1"/>
  <c r="G36" i="5"/>
  <c r="F36" i="5"/>
  <c r="E36" i="5"/>
  <c r="I36" i="5" s="1"/>
  <c r="D36" i="5"/>
  <c r="H36" i="5" s="1"/>
  <c r="G35" i="5"/>
  <c r="F35" i="5"/>
  <c r="E35" i="5"/>
  <c r="I35" i="5" s="1"/>
  <c r="D35" i="5"/>
  <c r="H35" i="5" s="1"/>
  <c r="G34" i="5"/>
  <c r="F34" i="5"/>
  <c r="E34" i="5"/>
  <c r="I34" i="5" s="1"/>
  <c r="D34" i="5"/>
  <c r="H34" i="5" s="1"/>
  <c r="G33" i="5"/>
  <c r="F33" i="5"/>
  <c r="E33" i="5"/>
  <c r="I33" i="5" s="1"/>
  <c r="D33" i="5"/>
  <c r="H33" i="5" s="1"/>
  <c r="G32" i="5"/>
  <c r="F32" i="5"/>
  <c r="E32" i="5"/>
  <c r="I32" i="5" s="1"/>
  <c r="D32" i="5"/>
  <c r="H32" i="5" s="1"/>
  <c r="G31" i="5"/>
  <c r="F31" i="5"/>
  <c r="E31" i="5"/>
  <c r="I31" i="5" s="1"/>
  <c r="D31" i="5"/>
  <c r="H31" i="5" s="1"/>
  <c r="G30" i="5"/>
  <c r="F30" i="5"/>
  <c r="E30" i="5"/>
  <c r="I30" i="5" s="1"/>
  <c r="D30" i="5"/>
  <c r="H30" i="5" s="1"/>
  <c r="G29" i="5"/>
  <c r="F29" i="5"/>
  <c r="E29" i="5"/>
  <c r="I29" i="5" s="1"/>
  <c r="D29" i="5"/>
  <c r="H29" i="5" s="1"/>
  <c r="G28" i="5"/>
  <c r="F28" i="5"/>
  <c r="E28" i="5"/>
  <c r="I28" i="5" s="1"/>
  <c r="D28" i="5"/>
  <c r="H28" i="5" s="1"/>
  <c r="G27" i="5"/>
  <c r="F27" i="5"/>
  <c r="E27" i="5"/>
  <c r="I27" i="5" s="1"/>
  <c r="D27" i="5"/>
  <c r="H27" i="5" s="1"/>
  <c r="G26" i="5"/>
  <c r="F26" i="5"/>
  <c r="E26" i="5"/>
  <c r="I26" i="5" s="1"/>
  <c r="D26" i="5"/>
  <c r="H26" i="5" s="1"/>
  <c r="G25" i="5"/>
  <c r="F25" i="5"/>
  <c r="E25" i="5"/>
  <c r="I25" i="5" s="1"/>
  <c r="D25" i="5"/>
  <c r="H25" i="5" s="1"/>
  <c r="G24" i="5"/>
  <c r="F24" i="5"/>
  <c r="E24" i="5"/>
  <c r="I24" i="5" s="1"/>
  <c r="D24" i="5"/>
  <c r="H24" i="5" s="1"/>
  <c r="G23" i="5"/>
  <c r="F23" i="5"/>
  <c r="E23" i="5"/>
  <c r="I23" i="5" s="1"/>
  <c r="D23" i="5"/>
  <c r="H23" i="5" s="1"/>
  <c r="G22" i="5"/>
  <c r="F22" i="5"/>
  <c r="E22" i="5"/>
  <c r="I22" i="5" s="1"/>
  <c r="D22" i="5"/>
  <c r="H22" i="5" s="1"/>
  <c r="G21" i="5"/>
  <c r="F21" i="5"/>
  <c r="E21" i="5"/>
  <c r="I21" i="5" s="1"/>
  <c r="D21" i="5"/>
  <c r="H21" i="5" s="1"/>
  <c r="G20" i="5"/>
  <c r="F20" i="5"/>
  <c r="E20" i="5"/>
  <c r="I20" i="5" s="1"/>
  <c r="D20" i="5"/>
  <c r="H20" i="5" s="1"/>
  <c r="G19" i="5"/>
  <c r="F19" i="5"/>
  <c r="E19" i="5"/>
  <c r="I19" i="5" s="1"/>
  <c r="D19" i="5"/>
  <c r="H19" i="5" s="1"/>
  <c r="G18" i="5"/>
  <c r="F18" i="5"/>
  <c r="E18" i="5"/>
  <c r="I18" i="5" s="1"/>
  <c r="D18" i="5"/>
  <c r="H18" i="5" s="1"/>
  <c r="G17" i="5"/>
  <c r="F17" i="5"/>
  <c r="E17" i="5"/>
  <c r="I17" i="5" s="1"/>
  <c r="D17" i="5"/>
  <c r="H17" i="5" s="1"/>
  <c r="G16" i="5"/>
  <c r="F16" i="5"/>
  <c r="E16" i="5"/>
  <c r="I16" i="5" s="1"/>
  <c r="D16" i="5"/>
  <c r="H16" i="5" s="1"/>
  <c r="G15" i="5"/>
  <c r="F15" i="5"/>
  <c r="E15" i="5"/>
  <c r="I15" i="5" s="1"/>
  <c r="D15" i="5"/>
  <c r="H15" i="5" s="1"/>
  <c r="G14" i="5"/>
  <c r="F14" i="5"/>
  <c r="E14" i="5"/>
  <c r="I14" i="5" s="1"/>
  <c r="D14" i="5"/>
  <c r="H14" i="5" s="1"/>
  <c r="G13" i="5"/>
  <c r="F13" i="5"/>
  <c r="E13" i="5"/>
  <c r="I13" i="5" s="1"/>
  <c r="D13" i="5"/>
  <c r="H13" i="5" s="1"/>
  <c r="G12" i="5"/>
  <c r="F12" i="5"/>
  <c r="E12" i="5"/>
  <c r="I12" i="5" s="1"/>
  <c r="D12" i="5"/>
  <c r="H12" i="5" s="1"/>
  <c r="G11" i="5"/>
  <c r="F11" i="5"/>
  <c r="E11" i="5"/>
  <c r="I11" i="5" s="1"/>
  <c r="D11" i="5"/>
  <c r="H11" i="5" s="1"/>
  <c r="G10" i="5"/>
  <c r="F10" i="5"/>
  <c r="E10" i="5"/>
  <c r="I10" i="5" s="1"/>
  <c r="D10" i="5"/>
  <c r="H10" i="5" s="1"/>
  <c r="J9" i="5"/>
  <c r="G9" i="5"/>
  <c r="F9" i="5"/>
  <c r="E9" i="5"/>
  <c r="I9" i="5" s="1"/>
  <c r="D9" i="5"/>
  <c r="H9" i="5" s="1"/>
  <c r="G8" i="5"/>
  <c r="F8" i="5"/>
  <c r="E8" i="5"/>
  <c r="I8" i="5" s="1"/>
  <c r="D8" i="5"/>
  <c r="H8" i="5" s="1"/>
  <c r="J7" i="5"/>
  <c r="G7" i="5"/>
  <c r="F7" i="5"/>
  <c r="E7" i="5"/>
  <c r="I7" i="5" s="1"/>
  <c r="D7" i="5"/>
  <c r="H7" i="5" s="1"/>
  <c r="P6" i="5"/>
  <c r="G6" i="5"/>
  <c r="F6" i="5"/>
  <c r="E6" i="5"/>
  <c r="I6" i="5" s="1"/>
  <c r="D6" i="5"/>
  <c r="H6" i="5" s="1"/>
  <c r="O5" i="5"/>
  <c r="N5" i="5"/>
  <c r="M5" i="5"/>
  <c r="L5" i="5"/>
  <c r="K5" i="5"/>
  <c r="G5" i="5"/>
  <c r="F5" i="5"/>
  <c r="E5" i="5"/>
  <c r="I5" i="5" s="1"/>
  <c r="D5" i="5"/>
  <c r="H5" i="5" s="1"/>
  <c r="K4" i="5"/>
  <c r="G4" i="5"/>
  <c r="F4" i="5"/>
  <c r="E4" i="5"/>
  <c r="I4" i="5" s="1"/>
  <c r="D4" i="5"/>
  <c r="H4" i="5" s="1"/>
  <c r="O3" i="5"/>
  <c r="N3" i="5"/>
  <c r="M3" i="5"/>
  <c r="L3" i="5"/>
  <c r="K3" i="5"/>
  <c r="G3" i="5"/>
  <c r="F3" i="5"/>
  <c r="E3" i="5"/>
  <c r="I3" i="5" s="1"/>
  <c r="D3" i="5"/>
  <c r="H3" i="5" s="1"/>
  <c r="O2" i="5"/>
  <c r="N2" i="5"/>
  <c r="M2" i="5"/>
  <c r="L2" i="5"/>
  <c r="K2" i="5"/>
  <c r="K6" i="5" s="1"/>
  <c r="G2" i="5"/>
  <c r="G93" i="5" s="1"/>
  <c r="F2" i="5"/>
  <c r="F93" i="5" s="1"/>
  <c r="E2" i="5"/>
  <c r="E93" i="5" s="1"/>
  <c r="D2" i="5"/>
  <c r="D93" i="5" s="1"/>
  <c r="H93" i="5" s="1"/>
  <c r="O243" i="4"/>
  <c r="O242" i="4"/>
  <c r="O241" i="4"/>
  <c r="O240" i="4"/>
  <c r="O239" i="4"/>
  <c r="O238" i="4"/>
  <c r="O237" i="4"/>
  <c r="O236" i="4"/>
  <c r="O235" i="4"/>
  <c r="O234" i="4"/>
  <c r="O233" i="4"/>
  <c r="O232" i="4"/>
  <c r="O231" i="4"/>
  <c r="O230" i="4"/>
  <c r="O229" i="4"/>
  <c r="O228" i="4"/>
  <c r="O227" i="4"/>
  <c r="O226" i="4"/>
  <c r="O225" i="4"/>
  <c r="O224" i="4"/>
  <c r="O223" i="4"/>
  <c r="O222" i="4"/>
  <c r="O221" i="4"/>
  <c r="O220" i="4"/>
  <c r="O219" i="4"/>
  <c r="O218" i="4"/>
  <c r="O217" i="4"/>
  <c r="O216" i="4"/>
  <c r="O215" i="4"/>
  <c r="O214" i="4"/>
  <c r="O213" i="4"/>
  <c r="O212" i="4"/>
  <c r="O211" i="4"/>
  <c r="O210" i="4"/>
  <c r="O209" i="4"/>
  <c r="O208" i="4"/>
  <c r="O207" i="4"/>
  <c r="O206" i="4"/>
  <c r="O205" i="4"/>
  <c r="O204" i="4"/>
  <c r="O203" i="4"/>
  <c r="O202" i="4"/>
  <c r="O201" i="4"/>
  <c r="O200" i="4"/>
  <c r="O199" i="4"/>
  <c r="O198" i="4"/>
  <c r="O197" i="4"/>
  <c r="O196" i="4"/>
  <c r="O195" i="4"/>
  <c r="O194" i="4"/>
  <c r="O193" i="4"/>
  <c r="O192" i="4"/>
  <c r="O191" i="4"/>
  <c r="O190" i="4"/>
  <c r="O189" i="4"/>
  <c r="O188" i="4"/>
  <c r="O187" i="4"/>
  <c r="O186" i="4"/>
  <c r="O185" i="4"/>
  <c r="O184" i="4"/>
  <c r="O183" i="4"/>
  <c r="O182" i="4"/>
  <c r="O181" i="4"/>
  <c r="O180" i="4"/>
  <c r="O179" i="4"/>
  <c r="O178" i="4"/>
  <c r="O177" i="4"/>
  <c r="O176" i="4"/>
  <c r="O175" i="4"/>
  <c r="O174" i="4"/>
  <c r="O173" i="4"/>
  <c r="O172" i="4"/>
  <c r="O171" i="4"/>
  <c r="O170" i="4"/>
  <c r="O169" i="4"/>
  <c r="O168" i="4"/>
  <c r="O167" i="4"/>
  <c r="O166" i="4"/>
  <c r="O165" i="4"/>
  <c r="O164" i="4"/>
  <c r="O163" i="4"/>
  <c r="O162" i="4"/>
  <c r="O161" i="4"/>
  <c r="O160" i="4"/>
  <c r="O159" i="4"/>
  <c r="O158" i="4"/>
  <c r="O157" i="4"/>
  <c r="O156" i="4"/>
  <c r="O155" i="4"/>
  <c r="O154" i="4"/>
  <c r="O153" i="4"/>
  <c r="O152" i="4"/>
  <c r="O151" i="4"/>
  <c r="O150" i="4"/>
  <c r="O149" i="4"/>
  <c r="O148" i="4"/>
  <c r="O147" i="4"/>
  <c r="O146" i="4"/>
  <c r="O145" i="4"/>
  <c r="O144" i="4"/>
  <c r="O143" i="4"/>
  <c r="O142" i="4"/>
  <c r="O141" i="4"/>
  <c r="O140" i="4"/>
  <c r="O139" i="4"/>
  <c r="O138" i="4"/>
  <c r="O137" i="4"/>
  <c r="O136" i="4"/>
  <c r="O135" i="4"/>
  <c r="O134" i="4"/>
  <c r="O133" i="4"/>
  <c r="O132" i="4"/>
  <c r="O131" i="4"/>
  <c r="O130" i="4"/>
  <c r="O129" i="4"/>
  <c r="O128" i="4"/>
  <c r="O127" i="4"/>
  <c r="O126" i="4"/>
  <c r="O125" i="4"/>
  <c r="O124" i="4"/>
  <c r="O123" i="4"/>
  <c r="O122" i="4"/>
  <c r="O121" i="4"/>
  <c r="O120" i="4"/>
  <c r="O119" i="4"/>
  <c r="O118" i="4"/>
  <c r="O117" i="4"/>
  <c r="O116" i="4"/>
  <c r="O115" i="4"/>
  <c r="O114" i="4"/>
  <c r="O113" i="4"/>
  <c r="O112" i="4"/>
  <c r="O111" i="4"/>
  <c r="O110" i="4"/>
  <c r="O109" i="4"/>
  <c r="O108" i="4"/>
  <c r="O107" i="4"/>
  <c r="O106" i="4"/>
  <c r="O105" i="4"/>
  <c r="O104" i="4"/>
  <c r="O103" i="4"/>
  <c r="O102" i="4"/>
  <c r="O101" i="4"/>
  <c r="O100" i="4"/>
  <c r="O99" i="4"/>
  <c r="O98" i="4"/>
  <c r="O97" i="4"/>
  <c r="O96" i="4"/>
  <c r="O95" i="4"/>
  <c r="O94" i="4"/>
  <c r="O93" i="4"/>
  <c r="O92" i="4"/>
  <c r="O91" i="4"/>
  <c r="O90" i="4"/>
  <c r="O89" i="4"/>
  <c r="O88" i="4"/>
  <c r="O87" i="4"/>
  <c r="O86" i="4"/>
  <c r="O85" i="4"/>
  <c r="O84" i="4"/>
  <c r="O83" i="4"/>
  <c r="O82" i="4"/>
  <c r="O81" i="4"/>
  <c r="O80" i="4"/>
  <c r="O79" i="4"/>
  <c r="O78" i="4"/>
  <c r="O77" i="4"/>
  <c r="O76" i="4"/>
  <c r="O75" i="4"/>
  <c r="O74" i="4"/>
  <c r="O73" i="4"/>
  <c r="O72" i="4"/>
  <c r="O71" i="4"/>
  <c r="O70" i="4"/>
  <c r="O69" i="4"/>
  <c r="O68" i="4"/>
  <c r="O67" i="4"/>
  <c r="O66" i="4"/>
  <c r="O65" i="4"/>
  <c r="O64" i="4"/>
  <c r="O63" i="4"/>
  <c r="O62" i="4"/>
  <c r="O61" i="4"/>
  <c r="O60" i="4"/>
  <c r="O59" i="4"/>
  <c r="O58" i="4"/>
  <c r="O57" i="4"/>
  <c r="O56" i="4"/>
  <c r="O55" i="4"/>
  <c r="O54" i="4"/>
  <c r="O53" i="4"/>
  <c r="O52" i="4"/>
  <c r="O51" i="4"/>
  <c r="O50" i="4"/>
  <c r="O49" i="4"/>
  <c r="O48" i="4"/>
  <c r="O47" i="4"/>
  <c r="O46" i="4"/>
  <c r="O45" i="4"/>
  <c r="O44" i="4"/>
  <c r="O43" i="4"/>
  <c r="O42" i="4"/>
  <c r="O41" i="4"/>
  <c r="O40" i="4"/>
  <c r="O39" i="4"/>
  <c r="O38" i="4"/>
  <c r="O37" i="4"/>
  <c r="O36" i="4"/>
  <c r="O35" i="4"/>
  <c r="O34" i="4"/>
  <c r="O33" i="4"/>
  <c r="O32" i="4"/>
  <c r="O31" i="4"/>
  <c r="O30" i="4"/>
  <c r="O29" i="4"/>
  <c r="O28" i="4"/>
  <c r="O27" i="4"/>
  <c r="O26" i="4"/>
  <c r="O25" i="4"/>
  <c r="O24" i="4"/>
  <c r="O23" i="4"/>
  <c r="O22" i="4"/>
  <c r="O21" i="4"/>
  <c r="O20" i="4"/>
  <c r="O19" i="4"/>
  <c r="O18" i="4"/>
  <c r="O17" i="4"/>
  <c r="O16" i="4"/>
  <c r="O15" i="4"/>
  <c r="O14" i="4"/>
  <c r="O13" i="4"/>
  <c r="O12" i="4"/>
  <c r="O11" i="4"/>
  <c r="O10" i="4"/>
  <c r="O9" i="4"/>
  <c r="O8" i="4"/>
  <c r="O7" i="4"/>
  <c r="O6" i="4"/>
  <c r="O5" i="4"/>
  <c r="O4" i="4"/>
  <c r="O3" i="4"/>
  <c r="O2" i="4"/>
  <c r="BB1001" i="3"/>
  <c r="AZ1001" i="3"/>
  <c r="AX1001" i="3"/>
  <c r="AV1001" i="3"/>
  <c r="AT1001" i="3"/>
  <c r="AR1001" i="3"/>
  <c r="AP1001" i="3"/>
  <c r="AN1001" i="3"/>
  <c r="AL1001" i="3"/>
  <c r="AB1001" i="3"/>
  <c r="Z1001" i="3"/>
  <c r="X1001" i="3"/>
  <c r="V1001" i="3"/>
  <c r="T1001" i="3"/>
  <c r="R1001" i="3"/>
  <c r="P1001" i="3"/>
  <c r="N1001" i="3"/>
  <c r="L1001" i="3"/>
  <c r="J1001" i="3"/>
  <c r="H1001" i="3"/>
  <c r="F1001" i="3"/>
  <c r="D1001" i="3"/>
  <c r="B1001" i="3"/>
  <c r="A1001" i="3"/>
  <c r="BA1001" i="3" s="1"/>
  <c r="BB1000" i="3"/>
  <c r="AZ1000" i="3"/>
  <c r="AX1000" i="3"/>
  <c r="AV1000" i="3"/>
  <c r="AT1000" i="3"/>
  <c r="AR1000" i="3"/>
  <c r="AP1000" i="3"/>
  <c r="AN1000" i="3"/>
  <c r="AL1000" i="3"/>
  <c r="AB1000" i="3"/>
  <c r="Z1000" i="3"/>
  <c r="X1000" i="3"/>
  <c r="V1000" i="3"/>
  <c r="T1000" i="3"/>
  <c r="R1000" i="3"/>
  <c r="P1000" i="3"/>
  <c r="N1000" i="3"/>
  <c r="L1000" i="3"/>
  <c r="J1000" i="3"/>
  <c r="H1000" i="3"/>
  <c r="F1000" i="3"/>
  <c r="D1000" i="3"/>
  <c r="B1000" i="3"/>
  <c r="A1000" i="3"/>
  <c r="BA1000" i="3" s="1"/>
  <c r="BB999" i="3"/>
  <c r="AT999" i="3"/>
  <c r="AM999" i="3"/>
  <c r="AA999" i="3"/>
  <c r="W999" i="3"/>
  <c r="S999" i="3"/>
  <c r="O999" i="3"/>
  <c r="K999" i="3"/>
  <c r="G999" i="3"/>
  <c r="C999" i="3"/>
  <c r="A999" i="3"/>
  <c r="BA998" i="3"/>
  <c r="AS998" i="3"/>
  <c r="AK998" i="3"/>
  <c r="U998" i="3"/>
  <c r="M998" i="3"/>
  <c r="E998" i="3"/>
  <c r="A998" i="3"/>
  <c r="AY997" i="3"/>
  <c r="AU997" i="3"/>
  <c r="AQ997" i="3"/>
  <c r="AM997" i="3"/>
  <c r="AA997" i="3"/>
  <c r="W997" i="3"/>
  <c r="S997" i="3"/>
  <c r="O997" i="3"/>
  <c r="K997" i="3"/>
  <c r="G997" i="3"/>
  <c r="C997" i="3"/>
  <c r="A997" i="3"/>
  <c r="BA996" i="3"/>
  <c r="AS996" i="3"/>
  <c r="AK996" i="3"/>
  <c r="U996" i="3"/>
  <c r="M996" i="3"/>
  <c r="E996" i="3"/>
  <c r="A996" i="3"/>
  <c r="AY995" i="3"/>
  <c r="AU995" i="3"/>
  <c r="AQ995" i="3"/>
  <c r="AM995" i="3"/>
  <c r="AA995" i="3"/>
  <c r="W995" i="3"/>
  <c r="S995" i="3"/>
  <c r="O995" i="3"/>
  <c r="K995" i="3"/>
  <c r="G995" i="3"/>
  <c r="C995" i="3"/>
  <c r="A995" i="3"/>
  <c r="BA994" i="3"/>
  <c r="AS994" i="3"/>
  <c r="AK994" i="3"/>
  <c r="U994" i="3"/>
  <c r="M994" i="3"/>
  <c r="E994" i="3"/>
  <c r="A994" i="3"/>
  <c r="AY993" i="3"/>
  <c r="AU993" i="3"/>
  <c r="AQ993" i="3"/>
  <c r="AM993" i="3"/>
  <c r="AA993" i="3"/>
  <c r="W993" i="3"/>
  <c r="S993" i="3"/>
  <c r="O993" i="3"/>
  <c r="K993" i="3"/>
  <c r="G993" i="3"/>
  <c r="C993" i="3"/>
  <c r="A993" i="3"/>
  <c r="BA992" i="3"/>
  <c r="AS992" i="3"/>
  <c r="AK992" i="3"/>
  <c r="W992" i="3"/>
  <c r="S992" i="3"/>
  <c r="O992" i="3"/>
  <c r="K992" i="3"/>
  <c r="G992" i="3"/>
  <c r="C992" i="3"/>
  <c r="A992" i="3"/>
  <c r="Q991" i="3"/>
  <c r="A991" i="3"/>
  <c r="AY990" i="3"/>
  <c r="AU990" i="3"/>
  <c r="AQ990" i="3"/>
  <c r="AM990" i="3"/>
  <c r="AA990" i="3"/>
  <c r="W990" i="3"/>
  <c r="S990" i="3"/>
  <c r="O990" i="3"/>
  <c r="K990" i="3"/>
  <c r="G990" i="3"/>
  <c r="C990" i="3"/>
  <c r="A990" i="3"/>
  <c r="A989" i="3"/>
  <c r="AY988" i="3"/>
  <c r="AU988" i="3"/>
  <c r="AQ988" i="3"/>
  <c r="AM988" i="3"/>
  <c r="AA988" i="3"/>
  <c r="W988" i="3"/>
  <c r="S988" i="3"/>
  <c r="O988" i="3"/>
  <c r="K988" i="3"/>
  <c r="G988" i="3"/>
  <c r="C988" i="3"/>
  <c r="A988" i="3"/>
  <c r="Q987" i="3"/>
  <c r="A987" i="3"/>
  <c r="AY986" i="3"/>
  <c r="AU986" i="3"/>
  <c r="AQ986" i="3"/>
  <c r="AM986" i="3"/>
  <c r="AA986" i="3"/>
  <c r="W986" i="3"/>
  <c r="S986" i="3"/>
  <c r="O986" i="3"/>
  <c r="K986" i="3"/>
  <c r="G986" i="3"/>
  <c r="C986" i="3"/>
  <c r="A986" i="3"/>
  <c r="A985" i="3"/>
  <c r="AY984" i="3"/>
  <c r="AU984" i="3"/>
  <c r="AQ984" i="3"/>
  <c r="AM984" i="3"/>
  <c r="AA984" i="3"/>
  <c r="W984" i="3"/>
  <c r="S984" i="3"/>
  <c r="O984" i="3"/>
  <c r="K984" i="3"/>
  <c r="G984" i="3"/>
  <c r="C984" i="3"/>
  <c r="A984" i="3"/>
  <c r="Q983" i="3"/>
  <c r="A983" i="3"/>
  <c r="AY982" i="3"/>
  <c r="AU982" i="3"/>
  <c r="AQ982" i="3"/>
  <c r="AM982" i="3"/>
  <c r="AA982" i="3"/>
  <c r="W982" i="3"/>
  <c r="S982" i="3"/>
  <c r="O982" i="3"/>
  <c r="K982" i="3"/>
  <c r="G982" i="3"/>
  <c r="C982" i="3"/>
  <c r="A982" i="3"/>
  <c r="BA981" i="3"/>
  <c r="AW981" i="3"/>
  <c r="AS981" i="3"/>
  <c r="AO981" i="3"/>
  <c r="AK981" i="3"/>
  <c r="Y981" i="3"/>
  <c r="U981" i="3"/>
  <c r="Q981" i="3"/>
  <c r="M981" i="3"/>
  <c r="J981" i="3"/>
  <c r="H981" i="3"/>
  <c r="F981" i="3"/>
  <c r="D981" i="3"/>
  <c r="B981" i="3"/>
  <c r="A981" i="3"/>
  <c r="AT980" i="3"/>
  <c r="V980" i="3"/>
  <c r="F980" i="3"/>
  <c r="A980" i="3"/>
  <c r="AY979" i="3"/>
  <c r="AU979" i="3"/>
  <c r="AQ979" i="3"/>
  <c r="AM979" i="3"/>
  <c r="AA979" i="3"/>
  <c r="W979" i="3"/>
  <c r="S979" i="3"/>
  <c r="O979" i="3"/>
  <c r="K979" i="3"/>
  <c r="G979" i="3"/>
  <c r="C979" i="3"/>
  <c r="A979" i="3"/>
  <c r="BA978" i="3"/>
  <c r="AS978" i="3"/>
  <c r="AK978" i="3"/>
  <c r="U978" i="3"/>
  <c r="M978" i="3"/>
  <c r="E978" i="3"/>
  <c r="A978" i="3"/>
  <c r="AY977" i="3"/>
  <c r="AU977" i="3"/>
  <c r="AQ977" i="3"/>
  <c r="AM977" i="3"/>
  <c r="AA977" i="3"/>
  <c r="W977" i="3"/>
  <c r="S977" i="3"/>
  <c r="O977" i="3"/>
  <c r="K977" i="3"/>
  <c r="G977" i="3"/>
  <c r="C977" i="3"/>
  <c r="A977" i="3"/>
  <c r="BA976" i="3"/>
  <c r="AS976" i="3"/>
  <c r="AK976" i="3"/>
  <c r="U976" i="3"/>
  <c r="M976" i="3"/>
  <c r="E976" i="3"/>
  <c r="A976" i="3"/>
  <c r="AY975" i="3"/>
  <c r="AU975" i="3"/>
  <c r="AQ975" i="3"/>
  <c r="AM975" i="3"/>
  <c r="AA975" i="3"/>
  <c r="W975" i="3"/>
  <c r="S975" i="3"/>
  <c r="O975" i="3"/>
  <c r="K975" i="3"/>
  <c r="G975" i="3"/>
  <c r="C975" i="3"/>
  <c r="A975" i="3"/>
  <c r="BA974" i="3"/>
  <c r="AS974" i="3"/>
  <c r="AK974" i="3"/>
  <c r="U974" i="3"/>
  <c r="M974" i="3"/>
  <c r="E974" i="3"/>
  <c r="A974" i="3"/>
  <c r="AY973" i="3"/>
  <c r="AU973" i="3"/>
  <c r="AQ973" i="3"/>
  <c r="AM973" i="3"/>
  <c r="AA973" i="3"/>
  <c r="W973" i="3"/>
  <c r="S973" i="3"/>
  <c r="O973" i="3"/>
  <c r="K973" i="3"/>
  <c r="G973" i="3"/>
  <c r="C973" i="3"/>
  <c r="A973" i="3"/>
  <c r="BA972" i="3"/>
  <c r="AS972" i="3"/>
  <c r="AK972" i="3"/>
  <c r="U972" i="3"/>
  <c r="M972" i="3"/>
  <c r="E972" i="3"/>
  <c r="A972" i="3"/>
  <c r="AY971" i="3"/>
  <c r="AU971" i="3"/>
  <c r="AQ971" i="3"/>
  <c r="AM971" i="3"/>
  <c r="AA971" i="3"/>
  <c r="W971" i="3"/>
  <c r="S971" i="3"/>
  <c r="O971" i="3"/>
  <c r="K971" i="3"/>
  <c r="G971" i="3"/>
  <c r="C971" i="3"/>
  <c r="A971" i="3"/>
  <c r="BA970" i="3"/>
  <c r="AS970" i="3"/>
  <c r="AK970" i="3"/>
  <c r="U970" i="3"/>
  <c r="M970" i="3"/>
  <c r="E970" i="3"/>
  <c r="A970" i="3"/>
  <c r="AY969" i="3"/>
  <c r="AU969" i="3"/>
  <c r="AQ969" i="3"/>
  <c r="AM969" i="3"/>
  <c r="AA969" i="3"/>
  <c r="W969" i="3"/>
  <c r="S969" i="3"/>
  <c r="O969" i="3"/>
  <c r="K969" i="3"/>
  <c r="G969" i="3"/>
  <c r="C969" i="3"/>
  <c r="A969" i="3"/>
  <c r="BA968" i="3"/>
  <c r="AS968" i="3"/>
  <c r="AK968" i="3"/>
  <c r="U968" i="3"/>
  <c r="M968" i="3"/>
  <c r="E968" i="3"/>
  <c r="A968" i="3"/>
  <c r="AY967" i="3"/>
  <c r="AU967" i="3"/>
  <c r="AQ967" i="3"/>
  <c r="AM967" i="3"/>
  <c r="AA967" i="3"/>
  <c r="W967" i="3"/>
  <c r="S967" i="3"/>
  <c r="O967" i="3"/>
  <c r="K967" i="3"/>
  <c r="G967" i="3"/>
  <c r="C967" i="3"/>
  <c r="A967" i="3"/>
  <c r="BB966" i="3"/>
  <c r="AZ966" i="3"/>
  <c r="AX966" i="3"/>
  <c r="AV966" i="3"/>
  <c r="AT966" i="3"/>
  <c r="AR966" i="3"/>
  <c r="AP966" i="3"/>
  <c r="AN966" i="3"/>
  <c r="AL966" i="3"/>
  <c r="AB966" i="3"/>
  <c r="Z966" i="3"/>
  <c r="X966" i="3"/>
  <c r="V966" i="3"/>
  <c r="T966" i="3"/>
  <c r="R966" i="3"/>
  <c r="P966" i="3"/>
  <c r="N966" i="3"/>
  <c r="L966" i="3"/>
  <c r="J966" i="3"/>
  <c r="H966" i="3"/>
  <c r="F966" i="3"/>
  <c r="D966" i="3"/>
  <c r="B966" i="3"/>
  <c r="A966" i="3"/>
  <c r="BA966" i="3" s="1"/>
  <c r="BB965" i="3"/>
  <c r="AZ965" i="3"/>
  <c r="AX965" i="3"/>
  <c r="AV965" i="3"/>
  <c r="AT965" i="3"/>
  <c r="AR965" i="3"/>
  <c r="AP965" i="3"/>
  <c r="AN965" i="3"/>
  <c r="AL965" i="3"/>
  <c r="AB965" i="3"/>
  <c r="Z965" i="3"/>
  <c r="X965" i="3"/>
  <c r="V965" i="3"/>
  <c r="T965" i="3"/>
  <c r="R965" i="3"/>
  <c r="P965" i="3"/>
  <c r="N965" i="3"/>
  <c r="L965" i="3"/>
  <c r="J965" i="3"/>
  <c r="H965" i="3"/>
  <c r="F965" i="3"/>
  <c r="D965" i="3"/>
  <c r="B965" i="3"/>
  <c r="A965" i="3"/>
  <c r="BA965" i="3" s="1"/>
  <c r="BB964" i="3"/>
  <c r="AZ964" i="3"/>
  <c r="AX964" i="3"/>
  <c r="AV964" i="3"/>
  <c r="AT964" i="3"/>
  <c r="AR964" i="3"/>
  <c r="AP964" i="3"/>
  <c r="AN964" i="3"/>
  <c r="AL964" i="3"/>
  <c r="AB964" i="3"/>
  <c r="Z964" i="3"/>
  <c r="X964" i="3"/>
  <c r="V964" i="3"/>
  <c r="T964" i="3"/>
  <c r="R964" i="3"/>
  <c r="P964" i="3"/>
  <c r="N964" i="3"/>
  <c r="L964" i="3"/>
  <c r="J964" i="3"/>
  <c r="H964" i="3"/>
  <c r="F964" i="3"/>
  <c r="D964" i="3"/>
  <c r="B964" i="3"/>
  <c r="A964" i="3"/>
  <c r="BA964" i="3" s="1"/>
  <c r="BB963" i="3"/>
  <c r="AZ963" i="3"/>
  <c r="AX963" i="3"/>
  <c r="AV963" i="3"/>
  <c r="AT963" i="3"/>
  <c r="AR963" i="3"/>
  <c r="AP963" i="3"/>
  <c r="AN963" i="3"/>
  <c r="AL963" i="3"/>
  <c r="AB963" i="3"/>
  <c r="Z963" i="3"/>
  <c r="X963" i="3"/>
  <c r="V963" i="3"/>
  <c r="T963" i="3"/>
  <c r="R963" i="3"/>
  <c r="P963" i="3"/>
  <c r="N963" i="3"/>
  <c r="L963" i="3"/>
  <c r="J963" i="3"/>
  <c r="H963" i="3"/>
  <c r="F963" i="3"/>
  <c r="D963" i="3"/>
  <c r="B963" i="3"/>
  <c r="A963" i="3"/>
  <c r="BA963" i="3" s="1"/>
  <c r="BB962" i="3"/>
  <c r="AZ962" i="3"/>
  <c r="AX962" i="3"/>
  <c r="AV962" i="3"/>
  <c r="AT962" i="3"/>
  <c r="AR962" i="3"/>
  <c r="AP962" i="3"/>
  <c r="AN962" i="3"/>
  <c r="AL962" i="3"/>
  <c r="AB962" i="3"/>
  <c r="Z962" i="3"/>
  <c r="X962" i="3"/>
  <c r="V962" i="3"/>
  <c r="T962" i="3"/>
  <c r="R962" i="3"/>
  <c r="P962" i="3"/>
  <c r="N962" i="3"/>
  <c r="L962" i="3"/>
  <c r="J962" i="3"/>
  <c r="H962" i="3"/>
  <c r="F962" i="3"/>
  <c r="D962" i="3"/>
  <c r="B962" i="3"/>
  <c r="A962" i="3"/>
  <c r="BA962" i="3" s="1"/>
  <c r="BB961" i="3"/>
  <c r="AZ961" i="3"/>
  <c r="AX961" i="3"/>
  <c r="AV961" i="3"/>
  <c r="AT961" i="3"/>
  <c r="AR961" i="3"/>
  <c r="AP961" i="3"/>
  <c r="AN961" i="3"/>
  <c r="AL961" i="3"/>
  <c r="AB961" i="3"/>
  <c r="Z961" i="3"/>
  <c r="X961" i="3"/>
  <c r="V961" i="3"/>
  <c r="T961" i="3"/>
  <c r="R961" i="3"/>
  <c r="P961" i="3"/>
  <c r="N961" i="3"/>
  <c r="L961" i="3"/>
  <c r="J961" i="3"/>
  <c r="H961" i="3"/>
  <c r="F961" i="3"/>
  <c r="D961" i="3"/>
  <c r="B961" i="3"/>
  <c r="A961" i="3"/>
  <c r="BA961" i="3" s="1"/>
  <c r="BB960" i="3"/>
  <c r="AZ960" i="3"/>
  <c r="AX960" i="3"/>
  <c r="AV960" i="3"/>
  <c r="AT960" i="3"/>
  <c r="AR960" i="3"/>
  <c r="AP960" i="3"/>
  <c r="AN960" i="3"/>
  <c r="AL960" i="3"/>
  <c r="AB960" i="3"/>
  <c r="Z960" i="3"/>
  <c r="X960" i="3"/>
  <c r="V960" i="3"/>
  <c r="T960" i="3"/>
  <c r="R960" i="3"/>
  <c r="P960" i="3"/>
  <c r="N960" i="3"/>
  <c r="L960" i="3"/>
  <c r="J960" i="3"/>
  <c r="H960" i="3"/>
  <c r="F960" i="3"/>
  <c r="D960" i="3"/>
  <c r="B960" i="3"/>
  <c r="A960" i="3"/>
  <c r="BA960" i="3" s="1"/>
  <c r="BB959" i="3"/>
  <c r="AZ959" i="3"/>
  <c r="AX959" i="3"/>
  <c r="AV959" i="3"/>
  <c r="AT959" i="3"/>
  <c r="AR959" i="3"/>
  <c r="AP959" i="3"/>
  <c r="AN959" i="3"/>
  <c r="AL959" i="3"/>
  <c r="AB959" i="3"/>
  <c r="Z959" i="3"/>
  <c r="X959" i="3"/>
  <c r="V959" i="3"/>
  <c r="T959" i="3"/>
  <c r="R959" i="3"/>
  <c r="P959" i="3"/>
  <c r="N959" i="3"/>
  <c r="L959" i="3"/>
  <c r="J959" i="3"/>
  <c r="H959" i="3"/>
  <c r="F959" i="3"/>
  <c r="D959" i="3"/>
  <c r="B959" i="3"/>
  <c r="A959" i="3"/>
  <c r="BA959" i="3" s="1"/>
  <c r="BB958" i="3"/>
  <c r="AZ958" i="3"/>
  <c r="AX958" i="3"/>
  <c r="AV958" i="3"/>
  <c r="AT958" i="3"/>
  <c r="AR958" i="3"/>
  <c r="AP958" i="3"/>
  <c r="AN958" i="3"/>
  <c r="AL958" i="3"/>
  <c r="AB958" i="3"/>
  <c r="Z958" i="3"/>
  <c r="X958" i="3"/>
  <c r="V958" i="3"/>
  <c r="T958" i="3"/>
  <c r="R958" i="3"/>
  <c r="P958" i="3"/>
  <c r="N958" i="3"/>
  <c r="L958" i="3"/>
  <c r="J958" i="3"/>
  <c r="H958" i="3"/>
  <c r="F958" i="3"/>
  <c r="D958" i="3"/>
  <c r="B958" i="3"/>
  <c r="A958" i="3"/>
  <c r="BA958" i="3" s="1"/>
  <c r="BB957" i="3"/>
  <c r="AZ957" i="3"/>
  <c r="AX957" i="3"/>
  <c r="AV957" i="3"/>
  <c r="AT957" i="3"/>
  <c r="AR957" i="3"/>
  <c r="AP957" i="3"/>
  <c r="AN957" i="3"/>
  <c r="AL957" i="3"/>
  <c r="AB957" i="3"/>
  <c r="Z957" i="3"/>
  <c r="X957" i="3"/>
  <c r="V957" i="3"/>
  <c r="T957" i="3"/>
  <c r="R957" i="3"/>
  <c r="P957" i="3"/>
  <c r="N957" i="3"/>
  <c r="L957" i="3"/>
  <c r="J957" i="3"/>
  <c r="H957" i="3"/>
  <c r="F957" i="3"/>
  <c r="D957" i="3"/>
  <c r="B957" i="3"/>
  <c r="A957" i="3"/>
  <c r="BA957" i="3" s="1"/>
  <c r="BB956" i="3"/>
  <c r="AZ956" i="3"/>
  <c r="AX956" i="3"/>
  <c r="AV956" i="3"/>
  <c r="AT956" i="3"/>
  <c r="AR956" i="3"/>
  <c r="AP956" i="3"/>
  <c r="AN956" i="3"/>
  <c r="AL956" i="3"/>
  <c r="AB956" i="3"/>
  <c r="Z956" i="3"/>
  <c r="X956" i="3"/>
  <c r="V956" i="3"/>
  <c r="T956" i="3"/>
  <c r="R956" i="3"/>
  <c r="P956" i="3"/>
  <c r="N956" i="3"/>
  <c r="L956" i="3"/>
  <c r="J956" i="3"/>
  <c r="H956" i="3"/>
  <c r="F956" i="3"/>
  <c r="D956" i="3"/>
  <c r="B956" i="3"/>
  <c r="A956" i="3"/>
  <c r="BA956" i="3" s="1"/>
  <c r="BB955" i="3"/>
  <c r="AZ955" i="3"/>
  <c r="AX955" i="3"/>
  <c r="AV955" i="3"/>
  <c r="AT955" i="3"/>
  <c r="AR955" i="3"/>
  <c r="AP955" i="3"/>
  <c r="AN955" i="3"/>
  <c r="AL955" i="3"/>
  <c r="AB955" i="3"/>
  <c r="Z955" i="3"/>
  <c r="X955" i="3"/>
  <c r="V955" i="3"/>
  <c r="T955" i="3"/>
  <c r="R955" i="3"/>
  <c r="P955" i="3"/>
  <c r="N955" i="3"/>
  <c r="L955" i="3"/>
  <c r="J955" i="3"/>
  <c r="H955" i="3"/>
  <c r="F955" i="3"/>
  <c r="D955" i="3"/>
  <c r="B955" i="3"/>
  <c r="A955" i="3"/>
  <c r="BA955" i="3" s="1"/>
  <c r="BB954" i="3"/>
  <c r="AZ954" i="3"/>
  <c r="AX954" i="3"/>
  <c r="AV954" i="3"/>
  <c r="AT954" i="3"/>
  <c r="AR954" i="3"/>
  <c r="AP954" i="3"/>
  <c r="AN954" i="3"/>
  <c r="AL954" i="3"/>
  <c r="AB954" i="3"/>
  <c r="Z954" i="3"/>
  <c r="X954" i="3"/>
  <c r="V954" i="3"/>
  <c r="T954" i="3"/>
  <c r="R954" i="3"/>
  <c r="P954" i="3"/>
  <c r="N954" i="3"/>
  <c r="L954" i="3"/>
  <c r="J954" i="3"/>
  <c r="H954" i="3"/>
  <c r="F954" i="3"/>
  <c r="D954" i="3"/>
  <c r="B954" i="3"/>
  <c r="A954" i="3"/>
  <c r="BA954" i="3" s="1"/>
  <c r="BB953" i="3"/>
  <c r="AZ953" i="3"/>
  <c r="AX953" i="3"/>
  <c r="AV953" i="3"/>
  <c r="AT953" i="3"/>
  <c r="AR953" i="3"/>
  <c r="AP953" i="3"/>
  <c r="AN953" i="3"/>
  <c r="AL953" i="3"/>
  <c r="AB953" i="3"/>
  <c r="Z953" i="3"/>
  <c r="X953" i="3"/>
  <c r="V953" i="3"/>
  <c r="T953" i="3"/>
  <c r="R953" i="3"/>
  <c r="P953" i="3"/>
  <c r="N953" i="3"/>
  <c r="L953" i="3"/>
  <c r="J953" i="3"/>
  <c r="H953" i="3"/>
  <c r="F953" i="3"/>
  <c r="D953" i="3"/>
  <c r="B953" i="3"/>
  <c r="A953" i="3"/>
  <c r="BA953" i="3" s="1"/>
  <c r="BB952" i="3"/>
  <c r="AZ952" i="3"/>
  <c r="AX952" i="3"/>
  <c r="AV952" i="3"/>
  <c r="AT952" i="3"/>
  <c r="AR952" i="3"/>
  <c r="AP952" i="3"/>
  <c r="AN952" i="3"/>
  <c r="AL952" i="3"/>
  <c r="AB952" i="3"/>
  <c r="Z952" i="3"/>
  <c r="X952" i="3"/>
  <c r="V952" i="3"/>
  <c r="T952" i="3"/>
  <c r="R952" i="3"/>
  <c r="P952" i="3"/>
  <c r="N952" i="3"/>
  <c r="L952" i="3"/>
  <c r="J952" i="3"/>
  <c r="H952" i="3"/>
  <c r="F952" i="3"/>
  <c r="D952" i="3"/>
  <c r="B952" i="3"/>
  <c r="A952" i="3"/>
  <c r="BA952" i="3" s="1"/>
  <c r="BB951" i="3"/>
  <c r="AZ951" i="3"/>
  <c r="AX951" i="3"/>
  <c r="AV951" i="3"/>
  <c r="AT951" i="3"/>
  <c r="AR951" i="3"/>
  <c r="AP951" i="3"/>
  <c r="AN951" i="3"/>
  <c r="AL951" i="3"/>
  <c r="AB951" i="3"/>
  <c r="Z951" i="3"/>
  <c r="X951" i="3"/>
  <c r="V951" i="3"/>
  <c r="T951" i="3"/>
  <c r="R951" i="3"/>
  <c r="P951" i="3"/>
  <c r="N951" i="3"/>
  <c r="L951" i="3"/>
  <c r="J951" i="3"/>
  <c r="H951" i="3"/>
  <c r="F951" i="3"/>
  <c r="D951" i="3"/>
  <c r="B951" i="3"/>
  <c r="A951" i="3"/>
  <c r="BA951" i="3" s="1"/>
  <c r="BB950" i="3"/>
  <c r="AZ950" i="3"/>
  <c r="AX950" i="3"/>
  <c r="AV950" i="3"/>
  <c r="AT950" i="3"/>
  <c r="AR950" i="3"/>
  <c r="AP950" i="3"/>
  <c r="AN950" i="3"/>
  <c r="AL950" i="3"/>
  <c r="AB950" i="3"/>
  <c r="Z950" i="3"/>
  <c r="X950" i="3"/>
  <c r="V950" i="3"/>
  <c r="T950" i="3"/>
  <c r="R950" i="3"/>
  <c r="P950" i="3"/>
  <c r="N950" i="3"/>
  <c r="L950" i="3"/>
  <c r="J950" i="3"/>
  <c r="H950" i="3"/>
  <c r="F950" i="3"/>
  <c r="D950" i="3"/>
  <c r="B950" i="3"/>
  <c r="A950" i="3"/>
  <c r="BA950" i="3" s="1"/>
  <c r="BB949" i="3"/>
  <c r="AZ949" i="3"/>
  <c r="AX949" i="3"/>
  <c r="AV949" i="3"/>
  <c r="AT949" i="3"/>
  <c r="AR949" i="3"/>
  <c r="AP949" i="3"/>
  <c r="AN949" i="3"/>
  <c r="AL949" i="3"/>
  <c r="AB949" i="3"/>
  <c r="Z949" i="3"/>
  <c r="X949" i="3"/>
  <c r="V949" i="3"/>
  <c r="T949" i="3"/>
  <c r="R949" i="3"/>
  <c r="P949" i="3"/>
  <c r="N949" i="3"/>
  <c r="L949" i="3"/>
  <c r="J949" i="3"/>
  <c r="H949" i="3"/>
  <c r="F949" i="3"/>
  <c r="D949" i="3"/>
  <c r="B949" i="3"/>
  <c r="A949" i="3"/>
  <c r="BA949" i="3" s="1"/>
  <c r="BB948" i="3"/>
  <c r="AZ948" i="3"/>
  <c r="AX948" i="3"/>
  <c r="AV948" i="3"/>
  <c r="AT948" i="3"/>
  <c r="AR948" i="3"/>
  <c r="AP948" i="3"/>
  <c r="AN948" i="3"/>
  <c r="AL948" i="3"/>
  <c r="AB948" i="3"/>
  <c r="Z948" i="3"/>
  <c r="X948" i="3"/>
  <c r="V948" i="3"/>
  <c r="T948" i="3"/>
  <c r="R948" i="3"/>
  <c r="P948" i="3"/>
  <c r="N948" i="3"/>
  <c r="L948" i="3"/>
  <c r="J948" i="3"/>
  <c r="H948" i="3"/>
  <c r="F948" i="3"/>
  <c r="D948" i="3"/>
  <c r="B948" i="3"/>
  <c r="A948" i="3"/>
  <c r="BA948" i="3" s="1"/>
  <c r="BB947" i="3"/>
  <c r="AZ947" i="3"/>
  <c r="AX947" i="3"/>
  <c r="AV947" i="3"/>
  <c r="AT947" i="3"/>
  <c r="AR947" i="3"/>
  <c r="AP947" i="3"/>
  <c r="AN947" i="3"/>
  <c r="AL947" i="3"/>
  <c r="AB947" i="3"/>
  <c r="Z947" i="3"/>
  <c r="X947" i="3"/>
  <c r="V947" i="3"/>
  <c r="T947" i="3"/>
  <c r="R947" i="3"/>
  <c r="P947" i="3"/>
  <c r="N947" i="3"/>
  <c r="L947" i="3"/>
  <c r="J947" i="3"/>
  <c r="H947" i="3"/>
  <c r="F947" i="3"/>
  <c r="D947" i="3"/>
  <c r="B947" i="3"/>
  <c r="A947" i="3"/>
  <c r="BA947" i="3" s="1"/>
  <c r="BB946" i="3"/>
  <c r="AZ946" i="3"/>
  <c r="AX946" i="3"/>
  <c r="AV946" i="3"/>
  <c r="AT946" i="3"/>
  <c r="AR946" i="3"/>
  <c r="AP946" i="3"/>
  <c r="AN946" i="3"/>
  <c r="AL946" i="3"/>
  <c r="AB946" i="3"/>
  <c r="Z946" i="3"/>
  <c r="X946" i="3"/>
  <c r="V946" i="3"/>
  <c r="T946" i="3"/>
  <c r="R946" i="3"/>
  <c r="P946" i="3"/>
  <c r="N946" i="3"/>
  <c r="L946" i="3"/>
  <c r="J946" i="3"/>
  <c r="H946" i="3"/>
  <c r="F946" i="3"/>
  <c r="D946" i="3"/>
  <c r="B946" i="3"/>
  <c r="A946" i="3"/>
  <c r="BA946" i="3" s="1"/>
  <c r="BB945" i="3"/>
  <c r="AZ945" i="3"/>
  <c r="AX945" i="3"/>
  <c r="AV945" i="3"/>
  <c r="AT945" i="3"/>
  <c r="AR945" i="3"/>
  <c r="AP945" i="3"/>
  <c r="AN945" i="3"/>
  <c r="AL945" i="3"/>
  <c r="AB945" i="3"/>
  <c r="Z945" i="3"/>
  <c r="X945" i="3"/>
  <c r="V945" i="3"/>
  <c r="T945" i="3"/>
  <c r="R945" i="3"/>
  <c r="P945" i="3"/>
  <c r="N945" i="3"/>
  <c r="L945" i="3"/>
  <c r="J945" i="3"/>
  <c r="H945" i="3"/>
  <c r="F945" i="3"/>
  <c r="D945" i="3"/>
  <c r="B945" i="3"/>
  <c r="A945" i="3"/>
  <c r="BA945" i="3" s="1"/>
  <c r="BB944" i="3"/>
  <c r="AZ944" i="3"/>
  <c r="AX944" i="3"/>
  <c r="AV944" i="3"/>
  <c r="AT944" i="3"/>
  <c r="AR944" i="3"/>
  <c r="AP944" i="3"/>
  <c r="AN944" i="3"/>
  <c r="AL944" i="3"/>
  <c r="AB944" i="3"/>
  <c r="Z944" i="3"/>
  <c r="X944" i="3"/>
  <c r="V944" i="3"/>
  <c r="T944" i="3"/>
  <c r="R944" i="3"/>
  <c r="P944" i="3"/>
  <c r="N944" i="3"/>
  <c r="L944" i="3"/>
  <c r="J944" i="3"/>
  <c r="H944" i="3"/>
  <c r="F944" i="3"/>
  <c r="D944" i="3"/>
  <c r="B944" i="3"/>
  <c r="A944" i="3"/>
  <c r="BA944" i="3" s="1"/>
  <c r="BB943" i="3"/>
  <c r="AX943" i="3"/>
  <c r="AT943" i="3"/>
  <c r="AP943" i="3"/>
  <c r="AL943" i="3"/>
  <c r="Z943" i="3"/>
  <c r="X943" i="3"/>
  <c r="V943" i="3"/>
  <c r="T943" i="3"/>
  <c r="R943" i="3"/>
  <c r="P943" i="3"/>
  <c r="N943" i="3"/>
  <c r="L943" i="3"/>
  <c r="J943" i="3"/>
  <c r="H943" i="3"/>
  <c r="F943" i="3"/>
  <c r="D943" i="3"/>
  <c r="B943" i="3"/>
  <c r="A943" i="3"/>
  <c r="BB942" i="3"/>
  <c r="AZ942" i="3"/>
  <c r="AX942" i="3"/>
  <c r="AV942" i="3"/>
  <c r="AT942" i="3"/>
  <c r="AR942" i="3"/>
  <c r="AP942" i="3"/>
  <c r="AN942" i="3"/>
  <c r="AL942" i="3"/>
  <c r="AB942" i="3"/>
  <c r="Z942" i="3"/>
  <c r="X942" i="3"/>
  <c r="V942" i="3"/>
  <c r="T942" i="3"/>
  <c r="R942" i="3"/>
  <c r="P942" i="3"/>
  <c r="N942" i="3"/>
  <c r="L942" i="3"/>
  <c r="J942" i="3"/>
  <c r="H942" i="3"/>
  <c r="F942" i="3"/>
  <c r="D942" i="3"/>
  <c r="B942" i="3"/>
  <c r="A942" i="3"/>
  <c r="BA942" i="3" s="1"/>
  <c r="BB941" i="3"/>
  <c r="AZ941" i="3"/>
  <c r="AX941" i="3"/>
  <c r="AV941" i="3"/>
  <c r="AT941" i="3"/>
  <c r="AR941" i="3"/>
  <c r="AP941" i="3"/>
  <c r="AN941" i="3"/>
  <c r="AL941" i="3"/>
  <c r="AB941" i="3"/>
  <c r="Z941" i="3"/>
  <c r="X941" i="3"/>
  <c r="V941" i="3"/>
  <c r="T941" i="3"/>
  <c r="R941" i="3"/>
  <c r="P941" i="3"/>
  <c r="N941" i="3"/>
  <c r="L941" i="3"/>
  <c r="J941" i="3"/>
  <c r="H941" i="3"/>
  <c r="F941" i="3"/>
  <c r="D941" i="3"/>
  <c r="B941" i="3"/>
  <c r="A941" i="3"/>
  <c r="BA941" i="3" s="1"/>
  <c r="BB940" i="3"/>
  <c r="AZ940" i="3"/>
  <c r="AX940" i="3"/>
  <c r="AV940" i="3"/>
  <c r="AT940" i="3"/>
  <c r="AR940" i="3"/>
  <c r="AP940" i="3"/>
  <c r="AN940" i="3"/>
  <c r="AL940" i="3"/>
  <c r="AB940" i="3"/>
  <c r="Z940" i="3"/>
  <c r="X940" i="3"/>
  <c r="V940" i="3"/>
  <c r="T940" i="3"/>
  <c r="R940" i="3"/>
  <c r="P940" i="3"/>
  <c r="N940" i="3"/>
  <c r="L940" i="3"/>
  <c r="J940" i="3"/>
  <c r="H940" i="3"/>
  <c r="F940" i="3"/>
  <c r="D940" i="3"/>
  <c r="B940" i="3"/>
  <c r="A940" i="3"/>
  <c r="BA940" i="3" s="1"/>
  <c r="BB939" i="3"/>
  <c r="AZ939" i="3"/>
  <c r="AX939" i="3"/>
  <c r="AV939" i="3"/>
  <c r="AT939" i="3"/>
  <c r="AR939" i="3"/>
  <c r="AP939" i="3"/>
  <c r="AN939" i="3"/>
  <c r="AL939" i="3"/>
  <c r="AB939" i="3"/>
  <c r="Z939" i="3"/>
  <c r="X939" i="3"/>
  <c r="V939" i="3"/>
  <c r="T939" i="3"/>
  <c r="R939" i="3"/>
  <c r="P939" i="3"/>
  <c r="N939" i="3"/>
  <c r="L939" i="3"/>
  <c r="J939" i="3"/>
  <c r="H939" i="3"/>
  <c r="F939" i="3"/>
  <c r="D939" i="3"/>
  <c r="B939" i="3"/>
  <c r="A939" i="3"/>
  <c r="BA939" i="3" s="1"/>
  <c r="BB938" i="3"/>
  <c r="AZ938" i="3"/>
  <c r="AX938" i="3"/>
  <c r="AV938" i="3"/>
  <c r="AT938" i="3"/>
  <c r="AR938" i="3"/>
  <c r="AP938" i="3"/>
  <c r="AN938" i="3"/>
  <c r="AL938" i="3"/>
  <c r="AB938" i="3"/>
  <c r="Z938" i="3"/>
  <c r="X938" i="3"/>
  <c r="V938" i="3"/>
  <c r="T938" i="3"/>
  <c r="R938" i="3"/>
  <c r="P938" i="3"/>
  <c r="N938" i="3"/>
  <c r="L938" i="3"/>
  <c r="J938" i="3"/>
  <c r="H938" i="3"/>
  <c r="F938" i="3"/>
  <c r="D938" i="3"/>
  <c r="B938" i="3"/>
  <c r="A938" i="3"/>
  <c r="BA938" i="3" s="1"/>
  <c r="BB937" i="3"/>
  <c r="AZ937" i="3"/>
  <c r="AX937" i="3"/>
  <c r="AV937" i="3"/>
  <c r="AT937" i="3"/>
  <c r="AR937" i="3"/>
  <c r="AP937" i="3"/>
  <c r="AN937" i="3"/>
  <c r="AL937" i="3"/>
  <c r="AB937" i="3"/>
  <c r="Z937" i="3"/>
  <c r="X937" i="3"/>
  <c r="V937" i="3"/>
  <c r="T937" i="3"/>
  <c r="R937" i="3"/>
  <c r="P937" i="3"/>
  <c r="N937" i="3"/>
  <c r="L937" i="3"/>
  <c r="J937" i="3"/>
  <c r="H937" i="3"/>
  <c r="F937" i="3"/>
  <c r="D937" i="3"/>
  <c r="B937" i="3"/>
  <c r="A937" i="3"/>
  <c r="BA937" i="3" s="1"/>
  <c r="BB936" i="3"/>
  <c r="AZ936" i="3"/>
  <c r="AX936" i="3"/>
  <c r="AV936" i="3"/>
  <c r="AT936" i="3"/>
  <c r="AR936" i="3"/>
  <c r="AP936" i="3"/>
  <c r="AN936" i="3"/>
  <c r="AL936" i="3"/>
  <c r="AB936" i="3"/>
  <c r="Z936" i="3"/>
  <c r="X936" i="3"/>
  <c r="V936" i="3"/>
  <c r="T936" i="3"/>
  <c r="R936" i="3"/>
  <c r="P936" i="3"/>
  <c r="N936" i="3"/>
  <c r="L936" i="3"/>
  <c r="J936" i="3"/>
  <c r="H936" i="3"/>
  <c r="F936" i="3"/>
  <c r="D936" i="3"/>
  <c r="B936" i="3"/>
  <c r="A936" i="3"/>
  <c r="BA936" i="3" s="1"/>
  <c r="BB935" i="3"/>
  <c r="AZ935" i="3"/>
  <c r="AX935" i="3"/>
  <c r="AV935" i="3"/>
  <c r="AT935" i="3"/>
  <c r="AR935" i="3"/>
  <c r="AP935" i="3"/>
  <c r="AN935" i="3"/>
  <c r="AL935" i="3"/>
  <c r="AB935" i="3"/>
  <c r="Z935" i="3"/>
  <c r="X935" i="3"/>
  <c r="V935" i="3"/>
  <c r="T935" i="3"/>
  <c r="R935" i="3"/>
  <c r="P935" i="3"/>
  <c r="N935" i="3"/>
  <c r="L935" i="3"/>
  <c r="J935" i="3"/>
  <c r="H935" i="3"/>
  <c r="F935" i="3"/>
  <c r="D935" i="3"/>
  <c r="B935" i="3"/>
  <c r="A935" i="3"/>
  <c r="BA935" i="3" s="1"/>
  <c r="BB934" i="3"/>
  <c r="AZ934" i="3"/>
  <c r="AX934" i="3"/>
  <c r="AV934" i="3"/>
  <c r="AT934" i="3"/>
  <c r="AR934" i="3"/>
  <c r="AP934" i="3"/>
  <c r="AN934" i="3"/>
  <c r="AL934" i="3"/>
  <c r="AB934" i="3"/>
  <c r="Z934" i="3"/>
  <c r="X934" i="3"/>
  <c r="V934" i="3"/>
  <c r="T934" i="3"/>
  <c r="R934" i="3"/>
  <c r="P934" i="3"/>
  <c r="N934" i="3"/>
  <c r="L934" i="3"/>
  <c r="J934" i="3"/>
  <c r="H934" i="3"/>
  <c r="F934" i="3"/>
  <c r="D934" i="3"/>
  <c r="B934" i="3"/>
  <c r="A934" i="3"/>
  <c r="BA934" i="3" s="1"/>
  <c r="BB933" i="3"/>
  <c r="AZ933" i="3"/>
  <c r="AX933" i="3"/>
  <c r="AV933" i="3"/>
  <c r="AT933" i="3"/>
  <c r="AR933" i="3"/>
  <c r="AP933" i="3"/>
  <c r="AN933" i="3"/>
  <c r="AL933" i="3"/>
  <c r="AB933" i="3"/>
  <c r="Z933" i="3"/>
  <c r="X933" i="3"/>
  <c r="V933" i="3"/>
  <c r="T933" i="3"/>
  <c r="R933" i="3"/>
  <c r="P933" i="3"/>
  <c r="N933" i="3"/>
  <c r="L933" i="3"/>
  <c r="J933" i="3"/>
  <c r="H933" i="3"/>
  <c r="F933" i="3"/>
  <c r="D933" i="3"/>
  <c r="B933" i="3"/>
  <c r="A933" i="3"/>
  <c r="BA933" i="3" s="1"/>
  <c r="BB932" i="3"/>
  <c r="AZ932" i="3"/>
  <c r="AX932" i="3"/>
  <c r="AV932" i="3"/>
  <c r="AT932" i="3"/>
  <c r="AR932" i="3"/>
  <c r="AP932" i="3"/>
  <c r="AN932" i="3"/>
  <c r="AL932" i="3"/>
  <c r="AB932" i="3"/>
  <c r="Z932" i="3"/>
  <c r="X932" i="3"/>
  <c r="V932" i="3"/>
  <c r="T932" i="3"/>
  <c r="R932" i="3"/>
  <c r="P932" i="3"/>
  <c r="N932" i="3"/>
  <c r="L932" i="3"/>
  <c r="J932" i="3"/>
  <c r="H932" i="3"/>
  <c r="F932" i="3"/>
  <c r="D932" i="3"/>
  <c r="B932" i="3"/>
  <c r="A932" i="3"/>
  <c r="BA932" i="3" s="1"/>
  <c r="BB931" i="3"/>
  <c r="AZ931" i="3"/>
  <c r="AX931" i="3"/>
  <c r="AV931" i="3"/>
  <c r="AT931" i="3"/>
  <c r="AR931" i="3"/>
  <c r="AP931" i="3"/>
  <c r="AN931" i="3"/>
  <c r="AL931" i="3"/>
  <c r="AB931" i="3"/>
  <c r="Z931" i="3"/>
  <c r="X931" i="3"/>
  <c r="V931" i="3"/>
  <c r="T931" i="3"/>
  <c r="R931" i="3"/>
  <c r="P931" i="3"/>
  <c r="N931" i="3"/>
  <c r="L931" i="3"/>
  <c r="J931" i="3"/>
  <c r="H931" i="3"/>
  <c r="F931" i="3"/>
  <c r="D931" i="3"/>
  <c r="B931" i="3"/>
  <c r="A931" i="3"/>
  <c r="BA931" i="3" s="1"/>
  <c r="BB930" i="3"/>
  <c r="AZ930" i="3"/>
  <c r="AX930" i="3"/>
  <c r="AV930" i="3"/>
  <c r="AT930" i="3"/>
  <c r="AR930" i="3"/>
  <c r="AP930" i="3"/>
  <c r="AN930" i="3"/>
  <c r="AL930" i="3"/>
  <c r="AB930" i="3"/>
  <c r="Z930" i="3"/>
  <c r="X930" i="3"/>
  <c r="V930" i="3"/>
  <c r="T930" i="3"/>
  <c r="R930" i="3"/>
  <c r="P930" i="3"/>
  <c r="N930" i="3"/>
  <c r="L930" i="3"/>
  <c r="J930" i="3"/>
  <c r="H930" i="3"/>
  <c r="F930" i="3"/>
  <c r="D930" i="3"/>
  <c r="B930" i="3"/>
  <c r="A930" i="3"/>
  <c r="BA930" i="3" s="1"/>
  <c r="BB929" i="3"/>
  <c r="AZ929" i="3"/>
  <c r="AX929" i="3"/>
  <c r="AV929" i="3"/>
  <c r="AT929" i="3"/>
  <c r="AR929" i="3"/>
  <c r="AP929" i="3"/>
  <c r="AN929" i="3"/>
  <c r="AL929" i="3"/>
  <c r="AB929" i="3"/>
  <c r="Z929" i="3"/>
  <c r="X929" i="3"/>
  <c r="V929" i="3"/>
  <c r="T929" i="3"/>
  <c r="R929" i="3"/>
  <c r="P929" i="3"/>
  <c r="N929" i="3"/>
  <c r="L929" i="3"/>
  <c r="J929" i="3"/>
  <c r="H929" i="3"/>
  <c r="F929" i="3"/>
  <c r="D929" i="3"/>
  <c r="B929" i="3"/>
  <c r="A929" i="3"/>
  <c r="BA929" i="3" s="1"/>
  <c r="BB928" i="3"/>
  <c r="AZ928" i="3"/>
  <c r="AX928" i="3"/>
  <c r="AV928" i="3"/>
  <c r="AT928" i="3"/>
  <c r="AR928" i="3"/>
  <c r="AP928" i="3"/>
  <c r="AN928" i="3"/>
  <c r="AL928" i="3"/>
  <c r="AB928" i="3"/>
  <c r="Z928" i="3"/>
  <c r="X928" i="3"/>
  <c r="V928" i="3"/>
  <c r="T928" i="3"/>
  <c r="R928" i="3"/>
  <c r="P928" i="3"/>
  <c r="N928" i="3"/>
  <c r="L928" i="3"/>
  <c r="J928" i="3"/>
  <c r="H928" i="3"/>
  <c r="F928" i="3"/>
  <c r="D928" i="3"/>
  <c r="B928" i="3"/>
  <c r="A928" i="3"/>
  <c r="BA928" i="3" s="1"/>
  <c r="BB927" i="3"/>
  <c r="AZ927" i="3"/>
  <c r="AX927" i="3"/>
  <c r="AV927" i="3"/>
  <c r="AT927" i="3"/>
  <c r="AR927" i="3"/>
  <c r="AP927" i="3"/>
  <c r="AN927" i="3"/>
  <c r="AL927" i="3"/>
  <c r="AB927" i="3"/>
  <c r="Z927" i="3"/>
  <c r="X927" i="3"/>
  <c r="V927" i="3"/>
  <c r="T927" i="3"/>
  <c r="R927" i="3"/>
  <c r="P927" i="3"/>
  <c r="N927" i="3"/>
  <c r="L927" i="3"/>
  <c r="J927" i="3"/>
  <c r="H927" i="3"/>
  <c r="F927" i="3"/>
  <c r="D927" i="3"/>
  <c r="B927" i="3"/>
  <c r="A927" i="3"/>
  <c r="BA927" i="3" s="1"/>
  <c r="BB926" i="3"/>
  <c r="AZ926" i="3"/>
  <c r="AX926" i="3"/>
  <c r="AV926" i="3"/>
  <c r="AT926" i="3"/>
  <c r="AR926" i="3"/>
  <c r="AP926" i="3"/>
  <c r="AN926" i="3"/>
  <c r="AL926" i="3"/>
  <c r="AB926" i="3"/>
  <c r="Z926" i="3"/>
  <c r="X926" i="3"/>
  <c r="V926" i="3"/>
  <c r="T926" i="3"/>
  <c r="R926" i="3"/>
  <c r="P926" i="3"/>
  <c r="N926" i="3"/>
  <c r="L926" i="3"/>
  <c r="J926" i="3"/>
  <c r="H926" i="3"/>
  <c r="F926" i="3"/>
  <c r="D926" i="3"/>
  <c r="B926" i="3"/>
  <c r="A926" i="3"/>
  <c r="BA926" i="3" s="1"/>
  <c r="BB925" i="3"/>
  <c r="AZ925" i="3"/>
  <c r="AX925" i="3"/>
  <c r="AV925" i="3"/>
  <c r="AT925" i="3"/>
  <c r="AR925" i="3"/>
  <c r="AP925" i="3"/>
  <c r="AN925" i="3"/>
  <c r="AL925" i="3"/>
  <c r="AB925" i="3"/>
  <c r="Z925" i="3"/>
  <c r="X925" i="3"/>
  <c r="V925" i="3"/>
  <c r="T925" i="3"/>
  <c r="R925" i="3"/>
  <c r="P925" i="3"/>
  <c r="N925" i="3"/>
  <c r="L925" i="3"/>
  <c r="J925" i="3"/>
  <c r="H925" i="3"/>
  <c r="F925" i="3"/>
  <c r="D925" i="3"/>
  <c r="B925" i="3"/>
  <c r="A925" i="3"/>
  <c r="BA925" i="3" s="1"/>
  <c r="BB924" i="3"/>
  <c r="AZ924" i="3"/>
  <c r="AX924" i="3"/>
  <c r="AV924" i="3"/>
  <c r="AT924" i="3"/>
  <c r="AR924" i="3"/>
  <c r="AP924" i="3"/>
  <c r="AN924" i="3"/>
  <c r="AL924" i="3"/>
  <c r="AB924" i="3"/>
  <c r="Z924" i="3"/>
  <c r="X924" i="3"/>
  <c r="V924" i="3"/>
  <c r="T924" i="3"/>
  <c r="R924" i="3"/>
  <c r="P924" i="3"/>
  <c r="N924" i="3"/>
  <c r="L924" i="3"/>
  <c r="J924" i="3"/>
  <c r="H924" i="3"/>
  <c r="F924" i="3"/>
  <c r="D924" i="3"/>
  <c r="B924" i="3"/>
  <c r="A924" i="3"/>
  <c r="BA924" i="3" s="1"/>
  <c r="BB923" i="3"/>
  <c r="AZ923" i="3"/>
  <c r="AX923" i="3"/>
  <c r="AV923" i="3"/>
  <c r="AT923" i="3"/>
  <c r="AR923" i="3"/>
  <c r="AP923" i="3"/>
  <c r="AN923" i="3"/>
  <c r="AL923" i="3"/>
  <c r="AB923" i="3"/>
  <c r="Z923" i="3"/>
  <c r="X923" i="3"/>
  <c r="V923" i="3"/>
  <c r="T923" i="3"/>
  <c r="R923" i="3"/>
  <c r="P923" i="3"/>
  <c r="N923" i="3"/>
  <c r="L923" i="3"/>
  <c r="J923" i="3"/>
  <c r="H923" i="3"/>
  <c r="F923" i="3"/>
  <c r="D923" i="3"/>
  <c r="B923" i="3"/>
  <c r="A923" i="3"/>
  <c r="BA923" i="3" s="1"/>
  <c r="BB922" i="3"/>
  <c r="AZ922" i="3"/>
  <c r="AX922" i="3"/>
  <c r="AV922" i="3"/>
  <c r="AT922" i="3"/>
  <c r="AR922" i="3"/>
  <c r="AP922" i="3"/>
  <c r="AN922" i="3"/>
  <c r="AL922" i="3"/>
  <c r="AB922" i="3"/>
  <c r="Z922" i="3"/>
  <c r="X922" i="3"/>
  <c r="V922" i="3"/>
  <c r="T922" i="3"/>
  <c r="R922" i="3"/>
  <c r="P922" i="3"/>
  <c r="N922" i="3"/>
  <c r="L922" i="3"/>
  <c r="J922" i="3"/>
  <c r="H922" i="3"/>
  <c r="F922" i="3"/>
  <c r="D922" i="3"/>
  <c r="B922" i="3"/>
  <c r="A922" i="3"/>
  <c r="BA922" i="3" s="1"/>
  <c r="BB921" i="3"/>
  <c r="AZ921" i="3"/>
  <c r="AX921" i="3"/>
  <c r="AV921" i="3"/>
  <c r="AT921" i="3"/>
  <c r="AR921" i="3"/>
  <c r="AP921" i="3"/>
  <c r="AN921" i="3"/>
  <c r="AL921" i="3"/>
  <c r="AB921" i="3"/>
  <c r="Z921" i="3"/>
  <c r="X921" i="3"/>
  <c r="V921" i="3"/>
  <c r="T921" i="3"/>
  <c r="R921" i="3"/>
  <c r="P921" i="3"/>
  <c r="N921" i="3"/>
  <c r="L921" i="3"/>
  <c r="J921" i="3"/>
  <c r="H921" i="3"/>
  <c r="F921" i="3"/>
  <c r="D921" i="3"/>
  <c r="B921" i="3"/>
  <c r="A921" i="3"/>
  <c r="BA921" i="3" s="1"/>
  <c r="BB920" i="3"/>
  <c r="AZ920" i="3"/>
  <c r="AX920" i="3"/>
  <c r="AV920" i="3"/>
  <c r="AT920" i="3"/>
  <c r="AR920" i="3"/>
  <c r="AP920" i="3"/>
  <c r="AN920" i="3"/>
  <c r="AL920" i="3"/>
  <c r="AB920" i="3"/>
  <c r="Z920" i="3"/>
  <c r="X920" i="3"/>
  <c r="V920" i="3"/>
  <c r="T920" i="3"/>
  <c r="R920" i="3"/>
  <c r="P920" i="3"/>
  <c r="N920" i="3"/>
  <c r="L920" i="3"/>
  <c r="J920" i="3"/>
  <c r="H920" i="3"/>
  <c r="F920" i="3"/>
  <c r="D920" i="3"/>
  <c r="B920" i="3"/>
  <c r="A920" i="3"/>
  <c r="BA920" i="3" s="1"/>
  <c r="BB919" i="3"/>
  <c r="AZ919" i="3"/>
  <c r="AX919" i="3"/>
  <c r="AV919" i="3"/>
  <c r="AT919" i="3"/>
  <c r="AR919" i="3"/>
  <c r="AP919" i="3"/>
  <c r="AN919" i="3"/>
  <c r="AL919" i="3"/>
  <c r="AB919" i="3"/>
  <c r="Z919" i="3"/>
  <c r="X919" i="3"/>
  <c r="V919" i="3"/>
  <c r="T919" i="3"/>
  <c r="R919" i="3"/>
  <c r="P919" i="3"/>
  <c r="N919" i="3"/>
  <c r="L919" i="3"/>
  <c r="J919" i="3"/>
  <c r="H919" i="3"/>
  <c r="F919" i="3"/>
  <c r="D919" i="3"/>
  <c r="B919" i="3"/>
  <c r="A919" i="3"/>
  <c r="BA919" i="3" s="1"/>
  <c r="BB918" i="3"/>
  <c r="AZ918" i="3"/>
  <c r="AX918" i="3"/>
  <c r="AV918" i="3"/>
  <c r="AT918" i="3"/>
  <c r="AR918" i="3"/>
  <c r="AP918" i="3"/>
  <c r="AN918" i="3"/>
  <c r="AL918" i="3"/>
  <c r="AB918" i="3"/>
  <c r="Z918" i="3"/>
  <c r="X918" i="3"/>
  <c r="V918" i="3"/>
  <c r="T918" i="3"/>
  <c r="R918" i="3"/>
  <c r="P918" i="3"/>
  <c r="N918" i="3"/>
  <c r="L918" i="3"/>
  <c r="J918" i="3"/>
  <c r="H918" i="3"/>
  <c r="F918" i="3"/>
  <c r="D918" i="3"/>
  <c r="B918" i="3"/>
  <c r="A918" i="3"/>
  <c r="BA918" i="3" s="1"/>
  <c r="BB917" i="3"/>
  <c r="AZ917" i="3"/>
  <c r="AX917" i="3"/>
  <c r="AV917" i="3"/>
  <c r="AT917" i="3"/>
  <c r="AR917" i="3"/>
  <c r="AP917" i="3"/>
  <c r="AN917" i="3"/>
  <c r="AL917" i="3"/>
  <c r="AB917" i="3"/>
  <c r="Z917" i="3"/>
  <c r="X917" i="3"/>
  <c r="V917" i="3"/>
  <c r="T917" i="3"/>
  <c r="R917" i="3"/>
  <c r="P917" i="3"/>
  <c r="N917" i="3"/>
  <c r="L917" i="3"/>
  <c r="J917" i="3"/>
  <c r="H917" i="3"/>
  <c r="F917" i="3"/>
  <c r="D917" i="3"/>
  <c r="B917" i="3"/>
  <c r="A917" i="3"/>
  <c r="BA917" i="3" s="1"/>
  <c r="BB916" i="3"/>
  <c r="AZ916" i="3"/>
  <c r="AX916" i="3"/>
  <c r="AV916" i="3"/>
  <c r="AT916" i="3"/>
  <c r="AR916" i="3"/>
  <c r="AP916" i="3"/>
  <c r="AN916" i="3"/>
  <c r="AL916" i="3"/>
  <c r="AB916" i="3"/>
  <c r="Z916" i="3"/>
  <c r="X916" i="3"/>
  <c r="V916" i="3"/>
  <c r="T916" i="3"/>
  <c r="R916" i="3"/>
  <c r="P916" i="3"/>
  <c r="N916" i="3"/>
  <c r="L916" i="3"/>
  <c r="J916" i="3"/>
  <c r="H916" i="3"/>
  <c r="F916" i="3"/>
  <c r="D916" i="3"/>
  <c r="B916" i="3"/>
  <c r="A916" i="3"/>
  <c r="BA916" i="3" s="1"/>
  <c r="BB915" i="3"/>
  <c r="AZ915" i="3"/>
  <c r="AX915" i="3"/>
  <c r="AV915" i="3"/>
  <c r="AT915" i="3"/>
  <c r="AR915" i="3"/>
  <c r="AP915" i="3"/>
  <c r="AN915" i="3"/>
  <c r="AL915" i="3"/>
  <c r="AB915" i="3"/>
  <c r="Z915" i="3"/>
  <c r="X915" i="3"/>
  <c r="V915" i="3"/>
  <c r="T915" i="3"/>
  <c r="R915" i="3"/>
  <c r="P915" i="3"/>
  <c r="N915" i="3"/>
  <c r="L915" i="3"/>
  <c r="J915" i="3"/>
  <c r="H915" i="3"/>
  <c r="F915" i="3"/>
  <c r="D915" i="3"/>
  <c r="B915" i="3"/>
  <c r="A915" i="3"/>
  <c r="BA915" i="3" s="1"/>
  <c r="BB914" i="3"/>
  <c r="AZ914" i="3"/>
  <c r="AX914" i="3"/>
  <c r="AV914" i="3"/>
  <c r="AT914" i="3"/>
  <c r="AR914" i="3"/>
  <c r="AP914" i="3"/>
  <c r="AN914" i="3"/>
  <c r="AL914" i="3"/>
  <c r="AB914" i="3"/>
  <c r="Z914" i="3"/>
  <c r="X914" i="3"/>
  <c r="V914" i="3"/>
  <c r="T914" i="3"/>
  <c r="R914" i="3"/>
  <c r="P914" i="3"/>
  <c r="N914" i="3"/>
  <c r="L914" i="3"/>
  <c r="J914" i="3"/>
  <c r="H914" i="3"/>
  <c r="F914" i="3"/>
  <c r="D914" i="3"/>
  <c r="B914" i="3"/>
  <c r="A914" i="3"/>
  <c r="BA914" i="3" s="1"/>
  <c r="BB913" i="3"/>
  <c r="AZ913" i="3"/>
  <c r="AX913" i="3"/>
  <c r="AV913" i="3"/>
  <c r="AT913" i="3"/>
  <c r="AR913" i="3"/>
  <c r="AP913" i="3"/>
  <c r="AN913" i="3"/>
  <c r="AL913" i="3"/>
  <c r="AB913" i="3"/>
  <c r="Z913" i="3"/>
  <c r="X913" i="3"/>
  <c r="V913" i="3"/>
  <c r="T913" i="3"/>
  <c r="R913" i="3"/>
  <c r="P913" i="3"/>
  <c r="N913" i="3"/>
  <c r="L913" i="3"/>
  <c r="J913" i="3"/>
  <c r="H913" i="3"/>
  <c r="F913" i="3"/>
  <c r="D913" i="3"/>
  <c r="B913" i="3"/>
  <c r="A913" i="3"/>
  <c r="BA913" i="3" s="1"/>
  <c r="BB912" i="3"/>
  <c r="AZ912" i="3"/>
  <c r="AX912" i="3"/>
  <c r="AV912" i="3"/>
  <c r="AT912" i="3"/>
  <c r="AR912" i="3"/>
  <c r="AP912" i="3"/>
  <c r="AN912" i="3"/>
  <c r="AL912" i="3"/>
  <c r="AB912" i="3"/>
  <c r="Z912" i="3"/>
  <c r="X912" i="3"/>
  <c r="V912" i="3"/>
  <c r="T912" i="3"/>
  <c r="R912" i="3"/>
  <c r="P912" i="3"/>
  <c r="N912" i="3"/>
  <c r="L912" i="3"/>
  <c r="J912" i="3"/>
  <c r="H912" i="3"/>
  <c r="F912" i="3"/>
  <c r="D912" i="3"/>
  <c r="B912" i="3"/>
  <c r="A912" i="3"/>
  <c r="BA912" i="3" s="1"/>
  <c r="BB911" i="3"/>
  <c r="AZ911" i="3"/>
  <c r="AX911" i="3"/>
  <c r="AV911" i="3"/>
  <c r="AT911" i="3"/>
  <c r="AR911" i="3"/>
  <c r="AP911" i="3"/>
  <c r="AN911" i="3"/>
  <c r="AL911" i="3"/>
  <c r="AB911" i="3"/>
  <c r="Z911" i="3"/>
  <c r="X911" i="3"/>
  <c r="V911" i="3"/>
  <c r="T911" i="3"/>
  <c r="R911" i="3"/>
  <c r="P911" i="3"/>
  <c r="N911" i="3"/>
  <c r="L911" i="3"/>
  <c r="J911" i="3"/>
  <c r="H911" i="3"/>
  <c r="F911" i="3"/>
  <c r="D911" i="3"/>
  <c r="B911" i="3"/>
  <c r="A911" i="3"/>
  <c r="BA911" i="3" s="1"/>
  <c r="BB910" i="3"/>
  <c r="AZ910" i="3"/>
  <c r="AX910" i="3"/>
  <c r="AV910" i="3"/>
  <c r="AT910" i="3"/>
  <c r="AR910" i="3"/>
  <c r="AP910" i="3"/>
  <c r="AN910" i="3"/>
  <c r="AL910" i="3"/>
  <c r="AB910" i="3"/>
  <c r="Z910" i="3"/>
  <c r="X910" i="3"/>
  <c r="V910" i="3"/>
  <c r="T910" i="3"/>
  <c r="R910" i="3"/>
  <c r="P910" i="3"/>
  <c r="N910" i="3"/>
  <c r="L910" i="3"/>
  <c r="J910" i="3"/>
  <c r="H910" i="3"/>
  <c r="F910" i="3"/>
  <c r="D910" i="3"/>
  <c r="B910" i="3"/>
  <c r="A910" i="3"/>
  <c r="BA910" i="3" s="1"/>
  <c r="BB909" i="3"/>
  <c r="AZ909" i="3"/>
  <c r="AX909" i="3"/>
  <c r="AV909" i="3"/>
  <c r="AT909" i="3"/>
  <c r="AR909" i="3"/>
  <c r="AP909" i="3"/>
  <c r="AN909" i="3"/>
  <c r="AL909" i="3"/>
  <c r="AB909" i="3"/>
  <c r="Z909" i="3"/>
  <c r="X909" i="3"/>
  <c r="V909" i="3"/>
  <c r="T909" i="3"/>
  <c r="R909" i="3"/>
  <c r="P909" i="3"/>
  <c r="N909" i="3"/>
  <c r="L909" i="3"/>
  <c r="J909" i="3"/>
  <c r="H909" i="3"/>
  <c r="F909" i="3"/>
  <c r="D909" i="3"/>
  <c r="B909" i="3"/>
  <c r="A909" i="3"/>
  <c r="BA909" i="3" s="1"/>
  <c r="BB908" i="3"/>
  <c r="AZ908" i="3"/>
  <c r="AX908" i="3"/>
  <c r="AV908" i="3"/>
  <c r="AT908" i="3"/>
  <c r="AR908" i="3"/>
  <c r="AP908" i="3"/>
  <c r="AN908" i="3"/>
  <c r="AL908" i="3"/>
  <c r="AB908" i="3"/>
  <c r="Z908" i="3"/>
  <c r="X908" i="3"/>
  <c r="V908" i="3"/>
  <c r="T908" i="3"/>
  <c r="R908" i="3"/>
  <c r="P908" i="3"/>
  <c r="N908" i="3"/>
  <c r="L908" i="3"/>
  <c r="J908" i="3"/>
  <c r="H908" i="3"/>
  <c r="F908" i="3"/>
  <c r="D908" i="3"/>
  <c r="B908" i="3"/>
  <c r="A908" i="3"/>
  <c r="BA908" i="3" s="1"/>
  <c r="BB907" i="3"/>
  <c r="AZ907" i="3"/>
  <c r="AX907" i="3"/>
  <c r="AV907" i="3"/>
  <c r="AT907" i="3"/>
  <c r="AR907" i="3"/>
  <c r="AP907" i="3"/>
  <c r="AN907" i="3"/>
  <c r="AL907" i="3"/>
  <c r="AB907" i="3"/>
  <c r="Z907" i="3"/>
  <c r="X907" i="3"/>
  <c r="V907" i="3"/>
  <c r="T907" i="3"/>
  <c r="R907" i="3"/>
  <c r="P907" i="3"/>
  <c r="N907" i="3"/>
  <c r="L907" i="3"/>
  <c r="J907" i="3"/>
  <c r="H907" i="3"/>
  <c r="F907" i="3"/>
  <c r="D907" i="3"/>
  <c r="B907" i="3"/>
  <c r="A907" i="3"/>
  <c r="BA907" i="3" s="1"/>
  <c r="BB906" i="3"/>
  <c r="AZ906" i="3"/>
  <c r="AX906" i="3"/>
  <c r="AV906" i="3"/>
  <c r="AT906" i="3"/>
  <c r="AR906" i="3"/>
  <c r="AP906" i="3"/>
  <c r="AN906" i="3"/>
  <c r="AL906" i="3"/>
  <c r="AB906" i="3"/>
  <c r="Z906" i="3"/>
  <c r="X906" i="3"/>
  <c r="V906" i="3"/>
  <c r="T906" i="3"/>
  <c r="R906" i="3"/>
  <c r="P906" i="3"/>
  <c r="N906" i="3"/>
  <c r="L906" i="3"/>
  <c r="J906" i="3"/>
  <c r="H906" i="3"/>
  <c r="F906" i="3"/>
  <c r="D906" i="3"/>
  <c r="B906" i="3"/>
  <c r="A906" i="3"/>
  <c r="BA906" i="3" s="1"/>
  <c r="BB905" i="3"/>
  <c r="AZ905" i="3"/>
  <c r="AX905" i="3"/>
  <c r="AV905" i="3"/>
  <c r="AT905" i="3"/>
  <c r="AR905" i="3"/>
  <c r="AP905" i="3"/>
  <c r="AN905" i="3"/>
  <c r="AL905" i="3"/>
  <c r="AB905" i="3"/>
  <c r="Z905" i="3"/>
  <c r="X905" i="3"/>
  <c r="V905" i="3"/>
  <c r="T905" i="3"/>
  <c r="R905" i="3"/>
  <c r="P905" i="3"/>
  <c r="N905" i="3"/>
  <c r="L905" i="3"/>
  <c r="J905" i="3"/>
  <c r="H905" i="3"/>
  <c r="F905" i="3"/>
  <c r="D905" i="3"/>
  <c r="B905" i="3"/>
  <c r="A905" i="3"/>
  <c r="BA905" i="3" s="1"/>
  <c r="BB904" i="3"/>
  <c r="AZ904" i="3"/>
  <c r="AX904" i="3"/>
  <c r="AV904" i="3"/>
  <c r="AT904" i="3"/>
  <c r="AR904" i="3"/>
  <c r="AP904" i="3"/>
  <c r="AN904" i="3"/>
  <c r="AL904" i="3"/>
  <c r="AB904" i="3"/>
  <c r="Z904" i="3"/>
  <c r="X904" i="3"/>
  <c r="V904" i="3"/>
  <c r="T904" i="3"/>
  <c r="R904" i="3"/>
  <c r="P904" i="3"/>
  <c r="N904" i="3"/>
  <c r="L904" i="3"/>
  <c r="J904" i="3"/>
  <c r="H904" i="3"/>
  <c r="F904" i="3"/>
  <c r="D904" i="3"/>
  <c r="B904" i="3"/>
  <c r="A904" i="3"/>
  <c r="BA904" i="3" s="1"/>
  <c r="BB903" i="3"/>
  <c r="AZ903" i="3"/>
  <c r="AX903" i="3"/>
  <c r="AV903" i="3"/>
  <c r="AT903" i="3"/>
  <c r="AR903" i="3"/>
  <c r="AP903" i="3"/>
  <c r="AN903" i="3"/>
  <c r="AL903" i="3"/>
  <c r="AB903" i="3"/>
  <c r="Z903" i="3"/>
  <c r="X903" i="3"/>
  <c r="V903" i="3"/>
  <c r="T903" i="3"/>
  <c r="R903" i="3"/>
  <c r="P903" i="3"/>
  <c r="N903" i="3"/>
  <c r="L903" i="3"/>
  <c r="J903" i="3"/>
  <c r="H903" i="3"/>
  <c r="F903" i="3"/>
  <c r="D903" i="3"/>
  <c r="B903" i="3"/>
  <c r="A903" i="3"/>
  <c r="BA903" i="3" s="1"/>
  <c r="BB902" i="3"/>
  <c r="AZ902" i="3"/>
  <c r="AX902" i="3"/>
  <c r="AV902" i="3"/>
  <c r="AT902" i="3"/>
  <c r="AR902" i="3"/>
  <c r="AP902" i="3"/>
  <c r="AN902" i="3"/>
  <c r="AL902" i="3"/>
  <c r="AB902" i="3"/>
  <c r="Z902" i="3"/>
  <c r="X902" i="3"/>
  <c r="V902" i="3"/>
  <c r="T902" i="3"/>
  <c r="R902" i="3"/>
  <c r="P902" i="3"/>
  <c r="N902" i="3"/>
  <c r="L902" i="3"/>
  <c r="J902" i="3"/>
  <c r="H902" i="3"/>
  <c r="F902" i="3"/>
  <c r="D902" i="3"/>
  <c r="B902" i="3"/>
  <c r="A902" i="3"/>
  <c r="BA902" i="3" s="1"/>
  <c r="BB901" i="3"/>
  <c r="AZ901" i="3"/>
  <c r="AX901" i="3"/>
  <c r="AV901" i="3"/>
  <c r="AT901" i="3"/>
  <c r="AR901" i="3"/>
  <c r="AP901" i="3"/>
  <c r="AN901" i="3"/>
  <c r="AL901" i="3"/>
  <c r="AB901" i="3"/>
  <c r="Z901" i="3"/>
  <c r="X901" i="3"/>
  <c r="V901" i="3"/>
  <c r="T901" i="3"/>
  <c r="R901" i="3"/>
  <c r="P901" i="3"/>
  <c r="N901" i="3"/>
  <c r="L901" i="3"/>
  <c r="J901" i="3"/>
  <c r="H901" i="3"/>
  <c r="F901" i="3"/>
  <c r="D901" i="3"/>
  <c r="B901" i="3"/>
  <c r="A901" i="3"/>
  <c r="BA901" i="3" s="1"/>
  <c r="BB900" i="3"/>
  <c r="AZ900" i="3"/>
  <c r="AX900" i="3"/>
  <c r="AV900" i="3"/>
  <c r="AT900" i="3"/>
  <c r="AR900" i="3"/>
  <c r="AP900" i="3"/>
  <c r="AN900" i="3"/>
  <c r="AL900" i="3"/>
  <c r="AB900" i="3"/>
  <c r="Z900" i="3"/>
  <c r="X900" i="3"/>
  <c r="V900" i="3"/>
  <c r="T900" i="3"/>
  <c r="R900" i="3"/>
  <c r="P900" i="3"/>
  <c r="N900" i="3"/>
  <c r="L900" i="3"/>
  <c r="J900" i="3"/>
  <c r="H900" i="3"/>
  <c r="F900" i="3"/>
  <c r="D900" i="3"/>
  <c r="B900" i="3"/>
  <c r="A900" i="3"/>
  <c r="BA900" i="3" s="1"/>
  <c r="BB899" i="3"/>
  <c r="AZ899" i="3"/>
  <c r="AX899" i="3"/>
  <c r="AV899" i="3"/>
  <c r="AT899" i="3"/>
  <c r="AR899" i="3"/>
  <c r="AP899" i="3"/>
  <c r="AN899" i="3"/>
  <c r="AL899" i="3"/>
  <c r="AB899" i="3"/>
  <c r="Z899" i="3"/>
  <c r="X899" i="3"/>
  <c r="V899" i="3"/>
  <c r="T899" i="3"/>
  <c r="R899" i="3"/>
  <c r="P899" i="3"/>
  <c r="N899" i="3"/>
  <c r="L899" i="3"/>
  <c r="J899" i="3"/>
  <c r="H899" i="3"/>
  <c r="F899" i="3"/>
  <c r="D899" i="3"/>
  <c r="B899" i="3"/>
  <c r="A899" i="3"/>
  <c r="BA899" i="3" s="1"/>
  <c r="BB898" i="3"/>
  <c r="AZ898" i="3"/>
  <c r="AX898" i="3"/>
  <c r="AV898" i="3"/>
  <c r="AT898" i="3"/>
  <c r="AR898" i="3"/>
  <c r="AP898" i="3"/>
  <c r="AN898" i="3"/>
  <c r="AL898" i="3"/>
  <c r="AB898" i="3"/>
  <c r="Z898" i="3"/>
  <c r="X898" i="3"/>
  <c r="V898" i="3"/>
  <c r="T898" i="3"/>
  <c r="R898" i="3"/>
  <c r="P898" i="3"/>
  <c r="N898" i="3"/>
  <c r="L898" i="3"/>
  <c r="J898" i="3"/>
  <c r="H898" i="3"/>
  <c r="F898" i="3"/>
  <c r="D898" i="3"/>
  <c r="B898" i="3"/>
  <c r="A898" i="3"/>
  <c r="BA898" i="3" s="1"/>
  <c r="BB897" i="3"/>
  <c r="AZ897" i="3"/>
  <c r="AX897" i="3"/>
  <c r="AV897" i="3"/>
  <c r="AT897" i="3"/>
  <c r="AR897" i="3"/>
  <c r="AP897" i="3"/>
  <c r="AN897" i="3"/>
  <c r="AL897" i="3"/>
  <c r="AB897" i="3"/>
  <c r="Z897" i="3"/>
  <c r="X897" i="3"/>
  <c r="V897" i="3"/>
  <c r="T897" i="3"/>
  <c r="R897" i="3"/>
  <c r="P897" i="3"/>
  <c r="N897" i="3"/>
  <c r="L897" i="3"/>
  <c r="J897" i="3"/>
  <c r="H897" i="3"/>
  <c r="F897" i="3"/>
  <c r="D897" i="3"/>
  <c r="B897" i="3"/>
  <c r="A897" i="3"/>
  <c r="BA897" i="3" s="1"/>
  <c r="BB896" i="3"/>
  <c r="AZ896" i="3"/>
  <c r="AX896" i="3"/>
  <c r="AV896" i="3"/>
  <c r="AT896" i="3"/>
  <c r="AR896" i="3"/>
  <c r="AP896" i="3"/>
  <c r="AN896" i="3"/>
  <c r="AL896" i="3"/>
  <c r="AB896" i="3"/>
  <c r="Z896" i="3"/>
  <c r="X896" i="3"/>
  <c r="V896" i="3"/>
  <c r="T896" i="3"/>
  <c r="R896" i="3"/>
  <c r="P896" i="3"/>
  <c r="N896" i="3"/>
  <c r="L896" i="3"/>
  <c r="J896" i="3"/>
  <c r="H896" i="3"/>
  <c r="F896" i="3"/>
  <c r="D896" i="3"/>
  <c r="B896" i="3"/>
  <c r="A896" i="3"/>
  <c r="BA896" i="3" s="1"/>
  <c r="BB895" i="3"/>
  <c r="AZ895" i="3"/>
  <c r="AX895" i="3"/>
  <c r="AV895" i="3"/>
  <c r="AT895" i="3"/>
  <c r="AR895" i="3"/>
  <c r="AP895" i="3"/>
  <c r="AN895" i="3"/>
  <c r="AL895" i="3"/>
  <c r="AB895" i="3"/>
  <c r="Z895" i="3"/>
  <c r="X895" i="3"/>
  <c r="V895" i="3"/>
  <c r="T895" i="3"/>
  <c r="R895" i="3"/>
  <c r="P895" i="3"/>
  <c r="N895" i="3"/>
  <c r="L895" i="3"/>
  <c r="J895" i="3"/>
  <c r="H895" i="3"/>
  <c r="F895" i="3"/>
  <c r="D895" i="3"/>
  <c r="B895" i="3"/>
  <c r="A895" i="3"/>
  <c r="BA895" i="3" s="1"/>
  <c r="BB894" i="3"/>
  <c r="AZ894" i="3"/>
  <c r="AX894" i="3"/>
  <c r="AV894" i="3"/>
  <c r="AT894" i="3"/>
  <c r="AR894" i="3"/>
  <c r="AP894" i="3"/>
  <c r="AN894" i="3"/>
  <c r="AL894" i="3"/>
  <c r="AB894" i="3"/>
  <c r="Z894" i="3"/>
  <c r="X894" i="3"/>
  <c r="V894" i="3"/>
  <c r="T894" i="3"/>
  <c r="R894" i="3"/>
  <c r="P894" i="3"/>
  <c r="N894" i="3"/>
  <c r="L894" i="3"/>
  <c r="J894" i="3"/>
  <c r="H894" i="3"/>
  <c r="F894" i="3"/>
  <c r="D894" i="3"/>
  <c r="B894" i="3"/>
  <c r="A894" i="3"/>
  <c r="BA894" i="3" s="1"/>
  <c r="BB893" i="3"/>
  <c r="AZ893" i="3"/>
  <c r="AX893" i="3"/>
  <c r="AV893" i="3"/>
  <c r="AT893" i="3"/>
  <c r="AR893" i="3"/>
  <c r="AP893" i="3"/>
  <c r="AN893" i="3"/>
  <c r="AL893" i="3"/>
  <c r="AB893" i="3"/>
  <c r="Z893" i="3"/>
  <c r="X893" i="3"/>
  <c r="V893" i="3"/>
  <c r="T893" i="3"/>
  <c r="R893" i="3"/>
  <c r="P893" i="3"/>
  <c r="N893" i="3"/>
  <c r="L893" i="3"/>
  <c r="J893" i="3"/>
  <c r="H893" i="3"/>
  <c r="F893" i="3"/>
  <c r="D893" i="3"/>
  <c r="B893" i="3"/>
  <c r="A893" i="3"/>
  <c r="BA893" i="3" s="1"/>
  <c r="BB892" i="3"/>
  <c r="AZ892" i="3"/>
  <c r="AX892" i="3"/>
  <c r="AV892" i="3"/>
  <c r="AT892" i="3"/>
  <c r="AR892" i="3"/>
  <c r="AP892" i="3"/>
  <c r="AN892" i="3"/>
  <c r="AL892" i="3"/>
  <c r="AB892" i="3"/>
  <c r="Z892" i="3"/>
  <c r="X892" i="3"/>
  <c r="V892" i="3"/>
  <c r="T892" i="3"/>
  <c r="R892" i="3"/>
  <c r="P892" i="3"/>
  <c r="N892" i="3"/>
  <c r="L892" i="3"/>
  <c r="J892" i="3"/>
  <c r="H892" i="3"/>
  <c r="F892" i="3"/>
  <c r="D892" i="3"/>
  <c r="B892" i="3"/>
  <c r="A892" i="3"/>
  <c r="BA892" i="3" s="1"/>
  <c r="BB891" i="3"/>
  <c r="AZ891" i="3"/>
  <c r="AX891" i="3"/>
  <c r="AV891" i="3"/>
  <c r="AT891" i="3"/>
  <c r="AR891" i="3"/>
  <c r="AP891" i="3"/>
  <c r="AN891" i="3"/>
  <c r="AL891" i="3"/>
  <c r="AB891" i="3"/>
  <c r="Z891" i="3"/>
  <c r="X891" i="3"/>
  <c r="V891" i="3"/>
  <c r="T891" i="3"/>
  <c r="R891" i="3"/>
  <c r="P891" i="3"/>
  <c r="N891" i="3"/>
  <c r="L891" i="3"/>
  <c r="J891" i="3"/>
  <c r="H891" i="3"/>
  <c r="F891" i="3"/>
  <c r="D891" i="3"/>
  <c r="B891" i="3"/>
  <c r="A891" i="3"/>
  <c r="BA891" i="3" s="1"/>
  <c r="BB890" i="3"/>
  <c r="AZ890" i="3"/>
  <c r="AX890" i="3"/>
  <c r="AV890" i="3"/>
  <c r="AT890" i="3"/>
  <c r="AR890" i="3"/>
  <c r="AP890" i="3"/>
  <c r="AN890" i="3"/>
  <c r="AL890" i="3"/>
  <c r="AB890" i="3"/>
  <c r="Z890" i="3"/>
  <c r="X890" i="3"/>
  <c r="V890" i="3"/>
  <c r="T890" i="3"/>
  <c r="R890" i="3"/>
  <c r="P890" i="3"/>
  <c r="N890" i="3"/>
  <c r="L890" i="3"/>
  <c r="J890" i="3"/>
  <c r="H890" i="3"/>
  <c r="F890" i="3"/>
  <c r="D890" i="3"/>
  <c r="B890" i="3"/>
  <c r="A890" i="3"/>
  <c r="BA890" i="3" s="1"/>
  <c r="BB889" i="3"/>
  <c r="AZ889" i="3"/>
  <c r="AX889" i="3"/>
  <c r="AV889" i="3"/>
  <c r="AT889" i="3"/>
  <c r="AR889" i="3"/>
  <c r="AP889" i="3"/>
  <c r="AN889" i="3"/>
  <c r="AL889" i="3"/>
  <c r="AB889" i="3"/>
  <c r="Z889" i="3"/>
  <c r="X889" i="3"/>
  <c r="V889" i="3"/>
  <c r="T889" i="3"/>
  <c r="R889" i="3"/>
  <c r="P889" i="3"/>
  <c r="N889" i="3"/>
  <c r="L889" i="3"/>
  <c r="J889" i="3"/>
  <c r="H889" i="3"/>
  <c r="F889" i="3"/>
  <c r="D889" i="3"/>
  <c r="B889" i="3"/>
  <c r="A889" i="3"/>
  <c r="BA889" i="3" s="1"/>
  <c r="BB888" i="3"/>
  <c r="AZ888" i="3"/>
  <c r="AX888" i="3"/>
  <c r="AV888" i="3"/>
  <c r="AT888" i="3"/>
  <c r="AR888" i="3"/>
  <c r="AP888" i="3"/>
  <c r="AN888" i="3"/>
  <c r="AL888" i="3"/>
  <c r="AB888" i="3"/>
  <c r="Z888" i="3"/>
  <c r="X888" i="3"/>
  <c r="V888" i="3"/>
  <c r="T888" i="3"/>
  <c r="R888" i="3"/>
  <c r="P888" i="3"/>
  <c r="N888" i="3"/>
  <c r="L888" i="3"/>
  <c r="J888" i="3"/>
  <c r="H888" i="3"/>
  <c r="F888" i="3"/>
  <c r="D888" i="3"/>
  <c r="B888" i="3"/>
  <c r="A888" i="3"/>
  <c r="BA888" i="3" s="1"/>
  <c r="BB887" i="3"/>
  <c r="AZ887" i="3"/>
  <c r="AX887" i="3"/>
  <c r="AV887" i="3"/>
  <c r="AT887" i="3"/>
  <c r="AR887" i="3"/>
  <c r="AP887" i="3"/>
  <c r="AN887" i="3"/>
  <c r="AL887" i="3"/>
  <c r="AB887" i="3"/>
  <c r="Z887" i="3"/>
  <c r="X887" i="3"/>
  <c r="V887" i="3"/>
  <c r="T887" i="3"/>
  <c r="R887" i="3"/>
  <c r="P887" i="3"/>
  <c r="N887" i="3"/>
  <c r="L887" i="3"/>
  <c r="J887" i="3"/>
  <c r="H887" i="3"/>
  <c r="F887" i="3"/>
  <c r="D887" i="3"/>
  <c r="B887" i="3"/>
  <c r="A887" i="3"/>
  <c r="BA887" i="3" s="1"/>
  <c r="BB886" i="3"/>
  <c r="AZ886" i="3"/>
  <c r="AX886" i="3"/>
  <c r="AV886" i="3"/>
  <c r="AT886" i="3"/>
  <c r="AR886" i="3"/>
  <c r="AP886" i="3"/>
  <c r="AN886" i="3"/>
  <c r="AL886" i="3"/>
  <c r="AB886" i="3"/>
  <c r="Z886" i="3"/>
  <c r="X886" i="3"/>
  <c r="V886" i="3"/>
  <c r="T886" i="3"/>
  <c r="R886" i="3"/>
  <c r="P886" i="3"/>
  <c r="N886" i="3"/>
  <c r="L886" i="3"/>
  <c r="J886" i="3"/>
  <c r="H886" i="3"/>
  <c r="F886" i="3"/>
  <c r="D886" i="3"/>
  <c r="B886" i="3"/>
  <c r="A886" i="3"/>
  <c r="BA886" i="3" s="1"/>
  <c r="BB885" i="3"/>
  <c r="AZ885" i="3"/>
  <c r="AX885" i="3"/>
  <c r="AV885" i="3"/>
  <c r="AT885" i="3"/>
  <c r="AR885" i="3"/>
  <c r="AP885" i="3"/>
  <c r="AN885" i="3"/>
  <c r="AL885" i="3"/>
  <c r="AB885" i="3"/>
  <c r="Z885" i="3"/>
  <c r="X885" i="3"/>
  <c r="V885" i="3"/>
  <c r="T885" i="3"/>
  <c r="R885" i="3"/>
  <c r="P885" i="3"/>
  <c r="N885" i="3"/>
  <c r="L885" i="3"/>
  <c r="J885" i="3"/>
  <c r="H885" i="3"/>
  <c r="F885" i="3"/>
  <c r="D885" i="3"/>
  <c r="B885" i="3"/>
  <c r="A885" i="3"/>
  <c r="BA885" i="3" s="1"/>
  <c r="BB884" i="3"/>
  <c r="AZ884" i="3"/>
  <c r="AX884" i="3"/>
  <c r="AV884" i="3"/>
  <c r="AT884" i="3"/>
  <c r="AR884" i="3"/>
  <c r="AP884" i="3"/>
  <c r="AN884" i="3"/>
  <c r="AL884" i="3"/>
  <c r="AB884" i="3"/>
  <c r="Z884" i="3"/>
  <c r="X884" i="3"/>
  <c r="V884" i="3"/>
  <c r="T884" i="3"/>
  <c r="R884" i="3"/>
  <c r="P884" i="3"/>
  <c r="N884" i="3"/>
  <c r="L884" i="3"/>
  <c r="J884" i="3"/>
  <c r="H884" i="3"/>
  <c r="F884" i="3"/>
  <c r="D884" i="3"/>
  <c r="B884" i="3"/>
  <c r="A884" i="3"/>
  <c r="BA884" i="3" s="1"/>
  <c r="A883" i="3"/>
  <c r="A882" i="3"/>
  <c r="BB882" i="3" s="1"/>
  <c r="A881" i="3"/>
  <c r="BB881" i="3" s="1"/>
  <c r="A880" i="3"/>
  <c r="BB880" i="3" s="1"/>
  <c r="A879" i="3"/>
  <c r="BB879" i="3" s="1"/>
  <c r="A878" i="3"/>
  <c r="BB878" i="3" s="1"/>
  <c r="A877" i="3"/>
  <c r="BB877" i="3" s="1"/>
  <c r="A876" i="3"/>
  <c r="BB876" i="3" s="1"/>
  <c r="A875" i="3"/>
  <c r="BB875" i="3" s="1"/>
  <c r="A874" i="3"/>
  <c r="BB874" i="3" s="1"/>
  <c r="A873" i="3"/>
  <c r="BB873" i="3" s="1"/>
  <c r="A872" i="3"/>
  <c r="BB872" i="3" s="1"/>
  <c r="A871" i="3"/>
  <c r="BB871" i="3" s="1"/>
  <c r="A870" i="3"/>
  <c r="BB870" i="3" s="1"/>
  <c r="A869" i="3"/>
  <c r="BB869" i="3" s="1"/>
  <c r="A868" i="3"/>
  <c r="BB868" i="3" s="1"/>
  <c r="A867" i="3"/>
  <c r="BB867" i="3" s="1"/>
  <c r="A866" i="3"/>
  <c r="BB866" i="3" s="1"/>
  <c r="A865" i="3"/>
  <c r="BB865" i="3" s="1"/>
  <c r="A864" i="3"/>
  <c r="BB864" i="3" s="1"/>
  <c r="A863" i="3"/>
  <c r="BB863" i="3" s="1"/>
  <c r="A862" i="3"/>
  <c r="BB862" i="3" s="1"/>
  <c r="A861" i="3"/>
  <c r="BB861" i="3" s="1"/>
  <c r="A860" i="3"/>
  <c r="BB860" i="3" s="1"/>
  <c r="A859" i="3"/>
  <c r="BB859" i="3" s="1"/>
  <c r="A858" i="3"/>
  <c r="BB858" i="3" s="1"/>
  <c r="A857" i="3"/>
  <c r="BB857" i="3" s="1"/>
  <c r="A856" i="3"/>
  <c r="BB856" i="3" s="1"/>
  <c r="A855" i="3"/>
  <c r="BB855" i="3" s="1"/>
  <c r="A854" i="3"/>
  <c r="BB854" i="3" s="1"/>
  <c r="A853" i="3"/>
  <c r="BB853" i="3" s="1"/>
  <c r="AU852" i="3"/>
  <c r="AQ852" i="3"/>
  <c r="AM852" i="3"/>
  <c r="AA852" i="3"/>
  <c r="W852" i="3"/>
  <c r="S852" i="3"/>
  <c r="O852" i="3"/>
  <c r="K852" i="3"/>
  <c r="G852" i="3"/>
  <c r="C852" i="3"/>
  <c r="A852" i="3"/>
  <c r="A851" i="3"/>
  <c r="AY850" i="3"/>
  <c r="AU850" i="3"/>
  <c r="AQ850" i="3"/>
  <c r="AM850" i="3"/>
  <c r="AA850" i="3"/>
  <c r="W850" i="3"/>
  <c r="S850" i="3"/>
  <c r="O850" i="3"/>
  <c r="K850" i="3"/>
  <c r="G850" i="3"/>
  <c r="C850" i="3"/>
  <c r="A850" i="3"/>
  <c r="A849" i="3"/>
  <c r="AY848" i="3"/>
  <c r="AU848" i="3"/>
  <c r="AQ848" i="3"/>
  <c r="AM848" i="3"/>
  <c r="AA848" i="3"/>
  <c r="W848" i="3"/>
  <c r="S848" i="3"/>
  <c r="O848" i="3"/>
  <c r="K848" i="3"/>
  <c r="G848" i="3"/>
  <c r="C848" i="3"/>
  <c r="A848" i="3"/>
  <c r="A847" i="3"/>
  <c r="AY846" i="3"/>
  <c r="AU846" i="3"/>
  <c r="AQ846" i="3"/>
  <c r="AM846" i="3"/>
  <c r="AA846" i="3"/>
  <c r="W846" i="3"/>
  <c r="S846" i="3"/>
  <c r="O846" i="3"/>
  <c r="K846" i="3"/>
  <c r="G846" i="3"/>
  <c r="C846" i="3"/>
  <c r="A846" i="3"/>
  <c r="A845" i="3"/>
  <c r="AY844" i="3"/>
  <c r="AU844" i="3"/>
  <c r="AQ844" i="3"/>
  <c r="AM844" i="3"/>
  <c r="AA844" i="3"/>
  <c r="W844" i="3"/>
  <c r="S844" i="3"/>
  <c r="O844" i="3"/>
  <c r="K844" i="3"/>
  <c r="G844" i="3"/>
  <c r="C844" i="3"/>
  <c r="A844" i="3"/>
  <c r="A843" i="3"/>
  <c r="AY842" i="3"/>
  <c r="AU842" i="3"/>
  <c r="AQ842" i="3"/>
  <c r="AM842" i="3"/>
  <c r="AA842" i="3"/>
  <c r="W842" i="3"/>
  <c r="S842" i="3"/>
  <c r="O842" i="3"/>
  <c r="K842" i="3"/>
  <c r="G842" i="3"/>
  <c r="C842" i="3"/>
  <c r="A842" i="3"/>
  <c r="A841" i="3"/>
  <c r="AY840" i="3"/>
  <c r="AU840" i="3"/>
  <c r="AQ840" i="3"/>
  <c r="AM840" i="3"/>
  <c r="AA840" i="3"/>
  <c r="W840" i="3"/>
  <c r="S840" i="3"/>
  <c r="O840" i="3"/>
  <c r="K840" i="3"/>
  <c r="G840" i="3"/>
  <c r="C840" i="3"/>
  <c r="A840" i="3"/>
  <c r="A839" i="3"/>
  <c r="AY838" i="3"/>
  <c r="AU838" i="3"/>
  <c r="AQ838" i="3"/>
  <c r="AM838" i="3"/>
  <c r="AA838" i="3"/>
  <c r="W838" i="3"/>
  <c r="S838" i="3"/>
  <c r="O838" i="3"/>
  <c r="K838" i="3"/>
  <c r="G838" i="3"/>
  <c r="C838" i="3"/>
  <c r="A838" i="3"/>
  <c r="A837" i="3"/>
  <c r="AY836" i="3"/>
  <c r="AU836" i="3"/>
  <c r="AQ836" i="3"/>
  <c r="AM836" i="3"/>
  <c r="AA836" i="3"/>
  <c r="W836" i="3"/>
  <c r="S836" i="3"/>
  <c r="O836" i="3"/>
  <c r="K836" i="3"/>
  <c r="G836" i="3"/>
  <c r="C836" i="3"/>
  <c r="A836" i="3"/>
  <c r="A835" i="3"/>
  <c r="AY834" i="3"/>
  <c r="AU834" i="3"/>
  <c r="AQ834" i="3"/>
  <c r="AM834" i="3"/>
  <c r="AA834" i="3"/>
  <c r="W834" i="3"/>
  <c r="S834" i="3"/>
  <c r="O834" i="3"/>
  <c r="K834" i="3"/>
  <c r="G834" i="3"/>
  <c r="C834" i="3"/>
  <c r="A834" i="3"/>
  <c r="A833" i="3"/>
  <c r="AY832" i="3"/>
  <c r="AU832" i="3"/>
  <c r="AQ832" i="3"/>
  <c r="AM832" i="3"/>
  <c r="AA832" i="3"/>
  <c r="W832" i="3"/>
  <c r="S832" i="3"/>
  <c r="O832" i="3"/>
  <c r="K832" i="3"/>
  <c r="G832" i="3"/>
  <c r="C832" i="3"/>
  <c r="A832" i="3"/>
  <c r="A831" i="3"/>
  <c r="AY830" i="3"/>
  <c r="AU830" i="3"/>
  <c r="AQ830" i="3"/>
  <c r="AM830" i="3"/>
  <c r="AA830" i="3"/>
  <c r="W830" i="3"/>
  <c r="S830" i="3"/>
  <c r="O830" i="3"/>
  <c r="K830" i="3"/>
  <c r="G830" i="3"/>
  <c r="C830" i="3"/>
  <c r="A830" i="3"/>
  <c r="A829" i="3"/>
  <c r="AY828" i="3"/>
  <c r="AU828" i="3"/>
  <c r="AQ828" i="3"/>
  <c r="AM828" i="3"/>
  <c r="AA828" i="3"/>
  <c r="W828" i="3"/>
  <c r="S828" i="3"/>
  <c r="O828" i="3"/>
  <c r="K828" i="3"/>
  <c r="G828" i="3"/>
  <c r="C828" i="3"/>
  <c r="A828" i="3"/>
  <c r="BA827" i="3"/>
  <c r="AW827" i="3"/>
  <c r="AS827" i="3"/>
  <c r="AO827" i="3"/>
  <c r="AK827" i="3"/>
  <c r="Y827" i="3"/>
  <c r="U827" i="3"/>
  <c r="Q827" i="3"/>
  <c r="M827" i="3"/>
  <c r="I827" i="3"/>
  <c r="E827" i="3"/>
  <c r="B827" i="3"/>
  <c r="A827" i="3"/>
  <c r="BB826" i="3"/>
  <c r="AZ826" i="3"/>
  <c r="AX826" i="3"/>
  <c r="AV826" i="3"/>
  <c r="AT826" i="3"/>
  <c r="AR826" i="3"/>
  <c r="AP826" i="3"/>
  <c r="AN826" i="3"/>
  <c r="AL826" i="3"/>
  <c r="AB826" i="3"/>
  <c r="Z826" i="3"/>
  <c r="X826" i="3"/>
  <c r="V826" i="3"/>
  <c r="T826" i="3"/>
  <c r="R826" i="3"/>
  <c r="P826" i="3"/>
  <c r="N826" i="3"/>
  <c r="L826" i="3"/>
  <c r="J826" i="3"/>
  <c r="H826" i="3"/>
  <c r="F826" i="3"/>
  <c r="D826" i="3"/>
  <c r="B826" i="3"/>
  <c r="A826" i="3"/>
  <c r="BA826" i="3" s="1"/>
  <c r="BB825" i="3"/>
  <c r="AZ825" i="3"/>
  <c r="AX825" i="3"/>
  <c r="AV825" i="3"/>
  <c r="AT825" i="3"/>
  <c r="AR825" i="3"/>
  <c r="AP825" i="3"/>
  <c r="AN825" i="3"/>
  <c r="AL825" i="3"/>
  <c r="AB825" i="3"/>
  <c r="Z825" i="3"/>
  <c r="X825" i="3"/>
  <c r="V825" i="3"/>
  <c r="T825" i="3"/>
  <c r="R825" i="3"/>
  <c r="P825" i="3"/>
  <c r="N825" i="3"/>
  <c r="L825" i="3"/>
  <c r="J825" i="3"/>
  <c r="H825" i="3"/>
  <c r="F825" i="3"/>
  <c r="D825" i="3"/>
  <c r="B825" i="3"/>
  <c r="A825" i="3"/>
  <c r="BA825" i="3" s="1"/>
  <c r="BB824" i="3"/>
  <c r="AZ824" i="3"/>
  <c r="AX824" i="3"/>
  <c r="AV824" i="3"/>
  <c r="AT824" i="3"/>
  <c r="AR824" i="3"/>
  <c r="AP824" i="3"/>
  <c r="AN824" i="3"/>
  <c r="AL824" i="3"/>
  <c r="AB824" i="3"/>
  <c r="Z824" i="3"/>
  <c r="X824" i="3"/>
  <c r="V824" i="3"/>
  <c r="T824" i="3"/>
  <c r="R824" i="3"/>
  <c r="P824" i="3"/>
  <c r="N824" i="3"/>
  <c r="L824" i="3"/>
  <c r="J824" i="3"/>
  <c r="H824" i="3"/>
  <c r="F824" i="3"/>
  <c r="D824" i="3"/>
  <c r="B824" i="3"/>
  <c r="A824" i="3"/>
  <c r="BA824" i="3" s="1"/>
  <c r="BB823" i="3"/>
  <c r="AZ823" i="3"/>
  <c r="AX823" i="3"/>
  <c r="AV823" i="3"/>
  <c r="AT823" i="3"/>
  <c r="AR823" i="3"/>
  <c r="AP823" i="3"/>
  <c r="AN823" i="3"/>
  <c r="AL823" i="3"/>
  <c r="AB823" i="3"/>
  <c r="Z823" i="3"/>
  <c r="X823" i="3"/>
  <c r="V823" i="3"/>
  <c r="T823" i="3"/>
  <c r="R823" i="3"/>
  <c r="P823" i="3"/>
  <c r="N823" i="3"/>
  <c r="L823" i="3"/>
  <c r="J823" i="3"/>
  <c r="H823" i="3"/>
  <c r="F823" i="3"/>
  <c r="D823" i="3"/>
  <c r="B823" i="3"/>
  <c r="A823" i="3"/>
  <c r="BA823" i="3" s="1"/>
  <c r="BB822" i="3"/>
  <c r="AZ822" i="3"/>
  <c r="AX822" i="3"/>
  <c r="AV822" i="3"/>
  <c r="AT822" i="3"/>
  <c r="AR822" i="3"/>
  <c r="AP822" i="3"/>
  <c r="AN822" i="3"/>
  <c r="AL822" i="3"/>
  <c r="AB822" i="3"/>
  <c r="Z822" i="3"/>
  <c r="X822" i="3"/>
  <c r="V822" i="3"/>
  <c r="T822" i="3"/>
  <c r="R822" i="3"/>
  <c r="P822" i="3"/>
  <c r="N822" i="3"/>
  <c r="L822" i="3"/>
  <c r="J822" i="3"/>
  <c r="H822" i="3"/>
  <c r="F822" i="3"/>
  <c r="D822" i="3"/>
  <c r="B822" i="3"/>
  <c r="A822" i="3"/>
  <c r="BA822" i="3" s="1"/>
  <c r="BB821" i="3"/>
  <c r="AZ821" i="3"/>
  <c r="AX821" i="3"/>
  <c r="AV821" i="3"/>
  <c r="AT821" i="3"/>
  <c r="AR821" i="3"/>
  <c r="AP821" i="3"/>
  <c r="AN821" i="3"/>
  <c r="AL821" i="3"/>
  <c r="AB821" i="3"/>
  <c r="Z821" i="3"/>
  <c r="X821" i="3"/>
  <c r="V821" i="3"/>
  <c r="T821" i="3"/>
  <c r="R821" i="3"/>
  <c r="P821" i="3"/>
  <c r="N821" i="3"/>
  <c r="L821" i="3"/>
  <c r="J821" i="3"/>
  <c r="H821" i="3"/>
  <c r="F821" i="3"/>
  <c r="D821" i="3"/>
  <c r="B821" i="3"/>
  <c r="A821" i="3"/>
  <c r="BA821" i="3" s="1"/>
  <c r="BB820" i="3"/>
  <c r="AZ820" i="3"/>
  <c r="AX820" i="3"/>
  <c r="AV820" i="3"/>
  <c r="AT820" i="3"/>
  <c r="AR820" i="3"/>
  <c r="AP820" i="3"/>
  <c r="AN820" i="3"/>
  <c r="AL820" i="3"/>
  <c r="AB820" i="3"/>
  <c r="Z820" i="3"/>
  <c r="X820" i="3"/>
  <c r="V820" i="3"/>
  <c r="T820" i="3"/>
  <c r="R820" i="3"/>
  <c r="P820" i="3"/>
  <c r="N820" i="3"/>
  <c r="L820" i="3"/>
  <c r="J820" i="3"/>
  <c r="H820" i="3"/>
  <c r="F820" i="3"/>
  <c r="D820" i="3"/>
  <c r="B820" i="3"/>
  <c r="A820" i="3"/>
  <c r="BA820" i="3" s="1"/>
  <c r="BB819" i="3"/>
  <c r="AZ819" i="3"/>
  <c r="AX819" i="3"/>
  <c r="AV819" i="3"/>
  <c r="AT819" i="3"/>
  <c r="AR819" i="3"/>
  <c r="AP819" i="3"/>
  <c r="AN819" i="3"/>
  <c r="AL819" i="3"/>
  <c r="AB819" i="3"/>
  <c r="Z819" i="3"/>
  <c r="X819" i="3"/>
  <c r="V819" i="3"/>
  <c r="T819" i="3"/>
  <c r="R819" i="3"/>
  <c r="P819" i="3"/>
  <c r="N819" i="3"/>
  <c r="L819" i="3"/>
  <c r="J819" i="3"/>
  <c r="H819" i="3"/>
  <c r="F819" i="3"/>
  <c r="D819" i="3"/>
  <c r="B819" i="3"/>
  <c r="A819" i="3"/>
  <c r="BA819" i="3" s="1"/>
  <c r="BB818" i="3"/>
  <c r="AZ818" i="3"/>
  <c r="AX818" i="3"/>
  <c r="AV818" i="3"/>
  <c r="AT818" i="3"/>
  <c r="AR818" i="3"/>
  <c r="AP818" i="3"/>
  <c r="AN818" i="3"/>
  <c r="AL818" i="3"/>
  <c r="AB818" i="3"/>
  <c r="Z818" i="3"/>
  <c r="X818" i="3"/>
  <c r="V818" i="3"/>
  <c r="T818" i="3"/>
  <c r="R818" i="3"/>
  <c r="P818" i="3"/>
  <c r="N818" i="3"/>
  <c r="L818" i="3"/>
  <c r="J818" i="3"/>
  <c r="H818" i="3"/>
  <c r="F818" i="3"/>
  <c r="D818" i="3"/>
  <c r="B818" i="3"/>
  <c r="A818" i="3"/>
  <c r="BA818" i="3" s="1"/>
  <c r="BB817" i="3"/>
  <c r="AZ817" i="3"/>
  <c r="AX817" i="3"/>
  <c r="AV817" i="3"/>
  <c r="AT817" i="3"/>
  <c r="AR817" i="3"/>
  <c r="AP817" i="3"/>
  <c r="AN817" i="3"/>
  <c r="AL817" i="3"/>
  <c r="AB817" i="3"/>
  <c r="Z817" i="3"/>
  <c r="X817" i="3"/>
  <c r="V817" i="3"/>
  <c r="T817" i="3"/>
  <c r="R817" i="3"/>
  <c r="P817" i="3"/>
  <c r="N817" i="3"/>
  <c r="L817" i="3"/>
  <c r="J817" i="3"/>
  <c r="H817" i="3"/>
  <c r="F817" i="3"/>
  <c r="D817" i="3"/>
  <c r="B817" i="3"/>
  <c r="A817" i="3"/>
  <c r="BA817" i="3" s="1"/>
  <c r="BB816" i="3"/>
  <c r="AZ816" i="3"/>
  <c r="AX816" i="3"/>
  <c r="AV816" i="3"/>
  <c r="AT816" i="3"/>
  <c r="AR816" i="3"/>
  <c r="AP816" i="3"/>
  <c r="AN816" i="3"/>
  <c r="AL816" i="3"/>
  <c r="AB816" i="3"/>
  <c r="Z816" i="3"/>
  <c r="X816" i="3"/>
  <c r="V816" i="3"/>
  <c r="T816" i="3"/>
  <c r="R816" i="3"/>
  <c r="P816" i="3"/>
  <c r="N816" i="3"/>
  <c r="L816" i="3"/>
  <c r="J816" i="3"/>
  <c r="H816" i="3"/>
  <c r="F816" i="3"/>
  <c r="D816" i="3"/>
  <c r="B816" i="3"/>
  <c r="A816" i="3"/>
  <c r="BA816" i="3" s="1"/>
  <c r="BB815" i="3"/>
  <c r="AZ815" i="3"/>
  <c r="AX815" i="3"/>
  <c r="AV815" i="3"/>
  <c r="AT815" i="3"/>
  <c r="AR815" i="3"/>
  <c r="AP815" i="3"/>
  <c r="AN815" i="3"/>
  <c r="AL815" i="3"/>
  <c r="AB815" i="3"/>
  <c r="Z815" i="3"/>
  <c r="X815" i="3"/>
  <c r="V815" i="3"/>
  <c r="T815" i="3"/>
  <c r="R815" i="3"/>
  <c r="P815" i="3"/>
  <c r="N815" i="3"/>
  <c r="L815" i="3"/>
  <c r="J815" i="3"/>
  <c r="H815" i="3"/>
  <c r="F815" i="3"/>
  <c r="D815" i="3"/>
  <c r="B815" i="3"/>
  <c r="A815" i="3"/>
  <c r="BA815" i="3" s="1"/>
  <c r="BB814" i="3"/>
  <c r="AZ814" i="3"/>
  <c r="AX814" i="3"/>
  <c r="AV814" i="3"/>
  <c r="AT814" i="3"/>
  <c r="AR814" i="3"/>
  <c r="AP814" i="3"/>
  <c r="AN814" i="3"/>
  <c r="AL814" i="3"/>
  <c r="AB814" i="3"/>
  <c r="Z814" i="3"/>
  <c r="X814" i="3"/>
  <c r="V814" i="3"/>
  <c r="T814" i="3"/>
  <c r="R814" i="3"/>
  <c r="P814" i="3"/>
  <c r="N814" i="3"/>
  <c r="L814" i="3"/>
  <c r="J814" i="3"/>
  <c r="H814" i="3"/>
  <c r="F814" i="3"/>
  <c r="D814" i="3"/>
  <c r="B814" i="3"/>
  <c r="A814" i="3"/>
  <c r="BA814" i="3" s="1"/>
  <c r="BB813" i="3"/>
  <c r="AZ813" i="3"/>
  <c r="AX813" i="3"/>
  <c r="AV813" i="3"/>
  <c r="AT813" i="3"/>
  <c r="AR813" i="3"/>
  <c r="AP813" i="3"/>
  <c r="AN813" i="3"/>
  <c r="AL813" i="3"/>
  <c r="AB813" i="3"/>
  <c r="Z813" i="3"/>
  <c r="X813" i="3"/>
  <c r="V813" i="3"/>
  <c r="T813" i="3"/>
  <c r="R813" i="3"/>
  <c r="P813" i="3"/>
  <c r="N813" i="3"/>
  <c r="L813" i="3"/>
  <c r="J813" i="3"/>
  <c r="H813" i="3"/>
  <c r="F813" i="3"/>
  <c r="D813" i="3"/>
  <c r="B813" i="3"/>
  <c r="A813" i="3"/>
  <c r="BA813" i="3" s="1"/>
  <c r="BB812" i="3"/>
  <c r="AZ812" i="3"/>
  <c r="AX812" i="3"/>
  <c r="AV812" i="3"/>
  <c r="AT812" i="3"/>
  <c r="AR812" i="3"/>
  <c r="AP812" i="3"/>
  <c r="AN812" i="3"/>
  <c r="AL812" i="3"/>
  <c r="AB812" i="3"/>
  <c r="Z812" i="3"/>
  <c r="X812" i="3"/>
  <c r="V812" i="3"/>
  <c r="T812" i="3"/>
  <c r="R812" i="3"/>
  <c r="P812" i="3"/>
  <c r="N812" i="3"/>
  <c r="L812" i="3"/>
  <c r="J812" i="3"/>
  <c r="H812" i="3"/>
  <c r="F812" i="3"/>
  <c r="D812" i="3"/>
  <c r="B812" i="3"/>
  <c r="A812" i="3"/>
  <c r="BA812" i="3" s="1"/>
  <c r="BB811" i="3"/>
  <c r="AZ811" i="3"/>
  <c r="AX811" i="3"/>
  <c r="AV811" i="3"/>
  <c r="AT811" i="3"/>
  <c r="AR811" i="3"/>
  <c r="AP811" i="3"/>
  <c r="AN811" i="3"/>
  <c r="AL811" i="3"/>
  <c r="AB811" i="3"/>
  <c r="Z811" i="3"/>
  <c r="X811" i="3"/>
  <c r="V811" i="3"/>
  <c r="T811" i="3"/>
  <c r="R811" i="3"/>
  <c r="P811" i="3"/>
  <c r="N811" i="3"/>
  <c r="L811" i="3"/>
  <c r="J811" i="3"/>
  <c r="H811" i="3"/>
  <c r="F811" i="3"/>
  <c r="D811" i="3"/>
  <c r="B811" i="3"/>
  <c r="A811" i="3"/>
  <c r="BA811" i="3" s="1"/>
  <c r="BB810" i="3"/>
  <c r="AZ810" i="3"/>
  <c r="AX810" i="3"/>
  <c r="AV810" i="3"/>
  <c r="AT810" i="3"/>
  <c r="AR810" i="3"/>
  <c r="AP810" i="3"/>
  <c r="AN810" i="3"/>
  <c r="AL810" i="3"/>
  <c r="AB810" i="3"/>
  <c r="Z810" i="3"/>
  <c r="X810" i="3"/>
  <c r="V810" i="3"/>
  <c r="T810" i="3"/>
  <c r="R810" i="3"/>
  <c r="P810" i="3"/>
  <c r="N810" i="3"/>
  <c r="L810" i="3"/>
  <c r="J810" i="3"/>
  <c r="H810" i="3"/>
  <c r="F810" i="3"/>
  <c r="D810" i="3"/>
  <c r="B810" i="3"/>
  <c r="A810" i="3"/>
  <c r="BA810" i="3" s="1"/>
  <c r="BB809" i="3"/>
  <c r="AZ809" i="3"/>
  <c r="AX809" i="3"/>
  <c r="AV809" i="3"/>
  <c r="AT809" i="3"/>
  <c r="AR809" i="3"/>
  <c r="AP809" i="3"/>
  <c r="AN809" i="3"/>
  <c r="AL809" i="3"/>
  <c r="AB809" i="3"/>
  <c r="Z809" i="3"/>
  <c r="X809" i="3"/>
  <c r="V809" i="3"/>
  <c r="T809" i="3"/>
  <c r="R809" i="3"/>
  <c r="P809" i="3"/>
  <c r="N809" i="3"/>
  <c r="L809" i="3"/>
  <c r="J809" i="3"/>
  <c r="H809" i="3"/>
  <c r="F809" i="3"/>
  <c r="D809" i="3"/>
  <c r="B809" i="3"/>
  <c r="A809" i="3"/>
  <c r="BA809" i="3" s="1"/>
  <c r="BB808" i="3"/>
  <c r="AZ808" i="3"/>
  <c r="AX808" i="3"/>
  <c r="AV808" i="3"/>
  <c r="AT808" i="3"/>
  <c r="AR808" i="3"/>
  <c r="AP808" i="3"/>
  <c r="AN808" i="3"/>
  <c r="AL808" i="3"/>
  <c r="AB808" i="3"/>
  <c r="Z808" i="3"/>
  <c r="X808" i="3"/>
  <c r="V808" i="3"/>
  <c r="T808" i="3"/>
  <c r="R808" i="3"/>
  <c r="P808" i="3"/>
  <c r="N808" i="3"/>
  <c r="L808" i="3"/>
  <c r="J808" i="3"/>
  <c r="H808" i="3"/>
  <c r="F808" i="3"/>
  <c r="D808" i="3"/>
  <c r="B808" i="3"/>
  <c r="A808" i="3"/>
  <c r="BA808" i="3" s="1"/>
  <c r="BB807" i="3"/>
  <c r="AZ807" i="3"/>
  <c r="AX807" i="3"/>
  <c r="AV807" i="3"/>
  <c r="AT807" i="3"/>
  <c r="AR807" i="3"/>
  <c r="AP807" i="3"/>
  <c r="AN807" i="3"/>
  <c r="AL807" i="3"/>
  <c r="AB807" i="3"/>
  <c r="Z807" i="3"/>
  <c r="X807" i="3"/>
  <c r="V807" i="3"/>
  <c r="T807" i="3"/>
  <c r="R807" i="3"/>
  <c r="P807" i="3"/>
  <c r="N807" i="3"/>
  <c r="L807" i="3"/>
  <c r="J807" i="3"/>
  <c r="H807" i="3"/>
  <c r="F807" i="3"/>
  <c r="D807" i="3"/>
  <c r="B807" i="3"/>
  <c r="A807" i="3"/>
  <c r="BA807" i="3" s="1"/>
  <c r="BB806" i="3"/>
  <c r="AZ806" i="3"/>
  <c r="AX806" i="3"/>
  <c r="AV806" i="3"/>
  <c r="AT806" i="3"/>
  <c r="AR806" i="3"/>
  <c r="AP806" i="3"/>
  <c r="AN806" i="3"/>
  <c r="AL806" i="3"/>
  <c r="AB806" i="3"/>
  <c r="Z806" i="3"/>
  <c r="X806" i="3"/>
  <c r="V806" i="3"/>
  <c r="T806" i="3"/>
  <c r="R806" i="3"/>
  <c r="P806" i="3"/>
  <c r="N806" i="3"/>
  <c r="L806" i="3"/>
  <c r="J806" i="3"/>
  <c r="H806" i="3"/>
  <c r="F806" i="3"/>
  <c r="D806" i="3"/>
  <c r="B806" i="3"/>
  <c r="A806" i="3"/>
  <c r="BA806" i="3" s="1"/>
  <c r="BB805" i="3"/>
  <c r="AZ805" i="3"/>
  <c r="AX805" i="3"/>
  <c r="AV805" i="3"/>
  <c r="AT805" i="3"/>
  <c r="AR805" i="3"/>
  <c r="AP805" i="3"/>
  <c r="AN805" i="3"/>
  <c r="AL805" i="3"/>
  <c r="AB805" i="3"/>
  <c r="Z805" i="3"/>
  <c r="X805" i="3"/>
  <c r="V805" i="3"/>
  <c r="T805" i="3"/>
  <c r="R805" i="3"/>
  <c r="P805" i="3"/>
  <c r="N805" i="3"/>
  <c r="L805" i="3"/>
  <c r="J805" i="3"/>
  <c r="H805" i="3"/>
  <c r="F805" i="3"/>
  <c r="D805" i="3"/>
  <c r="B805" i="3"/>
  <c r="A805" i="3"/>
  <c r="BA805" i="3" s="1"/>
  <c r="BB804" i="3"/>
  <c r="AZ804" i="3"/>
  <c r="AX804" i="3"/>
  <c r="AV804" i="3"/>
  <c r="AT804" i="3"/>
  <c r="AR804" i="3"/>
  <c r="AP804" i="3"/>
  <c r="AN804" i="3"/>
  <c r="AL804" i="3"/>
  <c r="AB804" i="3"/>
  <c r="Z804" i="3"/>
  <c r="X804" i="3"/>
  <c r="V804" i="3"/>
  <c r="T804" i="3"/>
  <c r="R804" i="3"/>
  <c r="P804" i="3"/>
  <c r="N804" i="3"/>
  <c r="L804" i="3"/>
  <c r="J804" i="3"/>
  <c r="H804" i="3"/>
  <c r="F804" i="3"/>
  <c r="D804" i="3"/>
  <c r="B804" i="3"/>
  <c r="A804" i="3"/>
  <c r="BA804" i="3" s="1"/>
  <c r="BB803" i="3"/>
  <c r="AZ803" i="3"/>
  <c r="AX803" i="3"/>
  <c r="AV803" i="3"/>
  <c r="AT803" i="3"/>
  <c r="AR803" i="3"/>
  <c r="AP803" i="3"/>
  <c r="AN803" i="3"/>
  <c r="AL803" i="3"/>
  <c r="AB803" i="3"/>
  <c r="Z803" i="3"/>
  <c r="X803" i="3"/>
  <c r="V803" i="3"/>
  <c r="T803" i="3"/>
  <c r="R803" i="3"/>
  <c r="P803" i="3"/>
  <c r="N803" i="3"/>
  <c r="L803" i="3"/>
  <c r="J803" i="3"/>
  <c r="H803" i="3"/>
  <c r="F803" i="3"/>
  <c r="D803" i="3"/>
  <c r="B803" i="3"/>
  <c r="A803" i="3"/>
  <c r="BA803" i="3" s="1"/>
  <c r="BB802" i="3"/>
  <c r="AZ802" i="3"/>
  <c r="AX802" i="3"/>
  <c r="AV802" i="3"/>
  <c r="AT802" i="3"/>
  <c r="AR802" i="3"/>
  <c r="AP802" i="3"/>
  <c r="AN802" i="3"/>
  <c r="AL802" i="3"/>
  <c r="AB802" i="3"/>
  <c r="Z802" i="3"/>
  <c r="X802" i="3"/>
  <c r="V802" i="3"/>
  <c r="T802" i="3"/>
  <c r="R802" i="3"/>
  <c r="P802" i="3"/>
  <c r="N802" i="3"/>
  <c r="L802" i="3"/>
  <c r="J802" i="3"/>
  <c r="H802" i="3"/>
  <c r="F802" i="3"/>
  <c r="D802" i="3"/>
  <c r="B802" i="3"/>
  <c r="A802" i="3"/>
  <c r="BA802" i="3" s="1"/>
  <c r="BB801" i="3"/>
  <c r="AZ801" i="3"/>
  <c r="AX801" i="3"/>
  <c r="AV801" i="3"/>
  <c r="AT801" i="3"/>
  <c r="AR801" i="3"/>
  <c r="AP801" i="3"/>
  <c r="AN801" i="3"/>
  <c r="AL801" i="3"/>
  <c r="AB801" i="3"/>
  <c r="Z801" i="3"/>
  <c r="X801" i="3"/>
  <c r="V801" i="3"/>
  <c r="T801" i="3"/>
  <c r="R801" i="3"/>
  <c r="P801" i="3"/>
  <c r="N801" i="3"/>
  <c r="L801" i="3"/>
  <c r="J801" i="3"/>
  <c r="H801" i="3"/>
  <c r="F801" i="3"/>
  <c r="D801" i="3"/>
  <c r="B801" i="3"/>
  <c r="A801" i="3"/>
  <c r="BA801" i="3" s="1"/>
  <c r="BB800" i="3"/>
  <c r="AZ800" i="3"/>
  <c r="AX800" i="3"/>
  <c r="AV800" i="3"/>
  <c r="AT800" i="3"/>
  <c r="AR800" i="3"/>
  <c r="AP800" i="3"/>
  <c r="AN800" i="3"/>
  <c r="AL800" i="3"/>
  <c r="AB800" i="3"/>
  <c r="Z800" i="3"/>
  <c r="X800" i="3"/>
  <c r="V800" i="3"/>
  <c r="T800" i="3"/>
  <c r="R800" i="3"/>
  <c r="P800" i="3"/>
  <c r="N800" i="3"/>
  <c r="L800" i="3"/>
  <c r="J800" i="3"/>
  <c r="H800" i="3"/>
  <c r="F800" i="3"/>
  <c r="D800" i="3"/>
  <c r="B800" i="3"/>
  <c r="A800" i="3"/>
  <c r="BA800" i="3" s="1"/>
  <c r="BB799" i="3"/>
  <c r="AZ799" i="3"/>
  <c r="AX799" i="3"/>
  <c r="AV799" i="3"/>
  <c r="AT799" i="3"/>
  <c r="AR799" i="3"/>
  <c r="AP799" i="3"/>
  <c r="AN799" i="3"/>
  <c r="AL799" i="3"/>
  <c r="AB799" i="3"/>
  <c r="Z799" i="3"/>
  <c r="X799" i="3"/>
  <c r="V799" i="3"/>
  <c r="T799" i="3"/>
  <c r="R799" i="3"/>
  <c r="P799" i="3"/>
  <c r="N799" i="3"/>
  <c r="L799" i="3"/>
  <c r="J799" i="3"/>
  <c r="H799" i="3"/>
  <c r="F799" i="3"/>
  <c r="D799" i="3"/>
  <c r="B799" i="3"/>
  <c r="A799" i="3"/>
  <c r="BA799" i="3" s="1"/>
  <c r="BB798" i="3"/>
  <c r="AZ798" i="3"/>
  <c r="AX798" i="3"/>
  <c r="AV798" i="3"/>
  <c r="AT798" i="3"/>
  <c r="AR798" i="3"/>
  <c r="AP798" i="3"/>
  <c r="AN798" i="3"/>
  <c r="AL798" i="3"/>
  <c r="AB798" i="3"/>
  <c r="Z798" i="3"/>
  <c r="X798" i="3"/>
  <c r="V798" i="3"/>
  <c r="T798" i="3"/>
  <c r="R798" i="3"/>
  <c r="P798" i="3"/>
  <c r="N798" i="3"/>
  <c r="L798" i="3"/>
  <c r="J798" i="3"/>
  <c r="H798" i="3"/>
  <c r="F798" i="3"/>
  <c r="D798" i="3"/>
  <c r="B798" i="3"/>
  <c r="A798" i="3"/>
  <c r="BA798" i="3" s="1"/>
  <c r="BB797" i="3"/>
  <c r="AZ797" i="3"/>
  <c r="AX797" i="3"/>
  <c r="AV797" i="3"/>
  <c r="AT797" i="3"/>
  <c r="AR797" i="3"/>
  <c r="AP797" i="3"/>
  <c r="AN797" i="3"/>
  <c r="AL797" i="3"/>
  <c r="AB797" i="3"/>
  <c r="Z797" i="3"/>
  <c r="X797" i="3"/>
  <c r="V797" i="3"/>
  <c r="T797" i="3"/>
  <c r="R797" i="3"/>
  <c r="P797" i="3"/>
  <c r="N797" i="3"/>
  <c r="L797" i="3"/>
  <c r="J797" i="3"/>
  <c r="H797" i="3"/>
  <c r="F797" i="3"/>
  <c r="D797" i="3"/>
  <c r="B797" i="3"/>
  <c r="A797" i="3"/>
  <c r="BA797" i="3" s="1"/>
  <c r="BB796" i="3"/>
  <c r="AZ796" i="3"/>
  <c r="AX796" i="3"/>
  <c r="AV796" i="3"/>
  <c r="AT796" i="3"/>
  <c r="AR796" i="3"/>
  <c r="AP796" i="3"/>
  <c r="AN796" i="3"/>
  <c r="AL796" i="3"/>
  <c r="AB796" i="3"/>
  <c r="Z796" i="3"/>
  <c r="X796" i="3"/>
  <c r="V796" i="3"/>
  <c r="T796" i="3"/>
  <c r="R796" i="3"/>
  <c r="P796" i="3"/>
  <c r="N796" i="3"/>
  <c r="L796" i="3"/>
  <c r="J796" i="3"/>
  <c r="H796" i="3"/>
  <c r="F796" i="3"/>
  <c r="D796" i="3"/>
  <c r="B796" i="3"/>
  <c r="A796" i="3"/>
  <c r="BA796" i="3" s="1"/>
  <c r="BB795" i="3"/>
  <c r="AZ795" i="3"/>
  <c r="AX795" i="3"/>
  <c r="AV795" i="3"/>
  <c r="AT795" i="3"/>
  <c r="AR795" i="3"/>
  <c r="AP795" i="3"/>
  <c r="AN795" i="3"/>
  <c r="AL795" i="3"/>
  <c r="AB795" i="3"/>
  <c r="Z795" i="3"/>
  <c r="X795" i="3"/>
  <c r="V795" i="3"/>
  <c r="T795" i="3"/>
  <c r="R795" i="3"/>
  <c r="P795" i="3"/>
  <c r="N795" i="3"/>
  <c r="L795" i="3"/>
  <c r="J795" i="3"/>
  <c r="H795" i="3"/>
  <c r="F795" i="3"/>
  <c r="D795" i="3"/>
  <c r="B795" i="3"/>
  <c r="A795" i="3"/>
  <c r="BA795" i="3" s="1"/>
  <c r="BB794" i="3"/>
  <c r="AZ794" i="3"/>
  <c r="AX794" i="3"/>
  <c r="AV794" i="3"/>
  <c r="AT794" i="3"/>
  <c r="AR794" i="3"/>
  <c r="AP794" i="3"/>
  <c r="AN794" i="3"/>
  <c r="AL794" i="3"/>
  <c r="AB794" i="3"/>
  <c r="Z794" i="3"/>
  <c r="X794" i="3"/>
  <c r="V794" i="3"/>
  <c r="T794" i="3"/>
  <c r="R794" i="3"/>
  <c r="P794" i="3"/>
  <c r="N794" i="3"/>
  <c r="L794" i="3"/>
  <c r="J794" i="3"/>
  <c r="H794" i="3"/>
  <c r="F794" i="3"/>
  <c r="D794" i="3"/>
  <c r="B794" i="3"/>
  <c r="A794" i="3"/>
  <c r="BA794" i="3" s="1"/>
  <c r="BB793" i="3"/>
  <c r="AZ793" i="3"/>
  <c r="AX793" i="3"/>
  <c r="AV793" i="3"/>
  <c r="AT793" i="3"/>
  <c r="AR793" i="3"/>
  <c r="AP793" i="3"/>
  <c r="AN793" i="3"/>
  <c r="AL793" i="3"/>
  <c r="AB793" i="3"/>
  <c r="Z793" i="3"/>
  <c r="X793" i="3"/>
  <c r="V793" i="3"/>
  <c r="T793" i="3"/>
  <c r="R793" i="3"/>
  <c r="P793" i="3"/>
  <c r="N793" i="3"/>
  <c r="L793" i="3"/>
  <c r="J793" i="3"/>
  <c r="H793" i="3"/>
  <c r="F793" i="3"/>
  <c r="D793" i="3"/>
  <c r="B793" i="3"/>
  <c r="A793" i="3"/>
  <c r="BA793" i="3" s="1"/>
  <c r="BB792" i="3"/>
  <c r="AZ792" i="3"/>
  <c r="AX792" i="3"/>
  <c r="AV792" i="3"/>
  <c r="AT792" i="3"/>
  <c r="AR792" i="3"/>
  <c r="AP792" i="3"/>
  <c r="AN792" i="3"/>
  <c r="AL792" i="3"/>
  <c r="AB792" i="3"/>
  <c r="Z792" i="3"/>
  <c r="X792" i="3"/>
  <c r="V792" i="3"/>
  <c r="T792" i="3"/>
  <c r="R792" i="3"/>
  <c r="P792" i="3"/>
  <c r="N792" i="3"/>
  <c r="L792" i="3"/>
  <c r="J792" i="3"/>
  <c r="H792" i="3"/>
  <c r="F792" i="3"/>
  <c r="D792" i="3"/>
  <c r="B792" i="3"/>
  <c r="A792" i="3"/>
  <c r="BA792" i="3" s="1"/>
  <c r="BB791" i="3"/>
  <c r="AZ791" i="3"/>
  <c r="AX791" i="3"/>
  <c r="AV791" i="3"/>
  <c r="AT791" i="3"/>
  <c r="AR791" i="3"/>
  <c r="AP791" i="3"/>
  <c r="AN791" i="3"/>
  <c r="AL791" i="3"/>
  <c r="AB791" i="3"/>
  <c r="Z791" i="3"/>
  <c r="X791" i="3"/>
  <c r="V791" i="3"/>
  <c r="T791" i="3"/>
  <c r="R791" i="3"/>
  <c r="P791" i="3"/>
  <c r="N791" i="3"/>
  <c r="L791" i="3"/>
  <c r="J791" i="3"/>
  <c r="H791" i="3"/>
  <c r="F791" i="3"/>
  <c r="D791" i="3"/>
  <c r="B791" i="3"/>
  <c r="A791" i="3"/>
  <c r="BA791" i="3" s="1"/>
  <c r="BB790" i="3"/>
  <c r="AZ790" i="3"/>
  <c r="AX790" i="3"/>
  <c r="AV790" i="3"/>
  <c r="AT790" i="3"/>
  <c r="AR790" i="3"/>
  <c r="AP790" i="3"/>
  <c r="AN790" i="3"/>
  <c r="AL790" i="3"/>
  <c r="AB790" i="3"/>
  <c r="Z790" i="3"/>
  <c r="X790" i="3"/>
  <c r="V790" i="3"/>
  <c r="T790" i="3"/>
  <c r="R790" i="3"/>
  <c r="P790" i="3"/>
  <c r="N790" i="3"/>
  <c r="L790" i="3"/>
  <c r="J790" i="3"/>
  <c r="H790" i="3"/>
  <c r="F790" i="3"/>
  <c r="D790" i="3"/>
  <c r="B790" i="3"/>
  <c r="A790" i="3"/>
  <c r="BA790" i="3" s="1"/>
  <c r="BB789" i="3"/>
  <c r="AZ789" i="3"/>
  <c r="AX789" i="3"/>
  <c r="AV789" i="3"/>
  <c r="AT789" i="3"/>
  <c r="AR789" i="3"/>
  <c r="AP789" i="3"/>
  <c r="AN789" i="3"/>
  <c r="AL789" i="3"/>
  <c r="AB789" i="3"/>
  <c r="Z789" i="3"/>
  <c r="X789" i="3"/>
  <c r="V789" i="3"/>
  <c r="T789" i="3"/>
  <c r="R789" i="3"/>
  <c r="P789" i="3"/>
  <c r="N789" i="3"/>
  <c r="L789" i="3"/>
  <c r="J789" i="3"/>
  <c r="H789" i="3"/>
  <c r="F789" i="3"/>
  <c r="D789" i="3"/>
  <c r="B789" i="3"/>
  <c r="A789" i="3"/>
  <c r="BA789" i="3" s="1"/>
  <c r="BB788" i="3"/>
  <c r="AZ788" i="3"/>
  <c r="AX788" i="3"/>
  <c r="AV788" i="3"/>
  <c r="AT788" i="3"/>
  <c r="AR788" i="3"/>
  <c r="AP788" i="3"/>
  <c r="AN788" i="3"/>
  <c r="AL788" i="3"/>
  <c r="AB788" i="3"/>
  <c r="Z788" i="3"/>
  <c r="X788" i="3"/>
  <c r="V788" i="3"/>
  <c r="T788" i="3"/>
  <c r="R788" i="3"/>
  <c r="P788" i="3"/>
  <c r="N788" i="3"/>
  <c r="L788" i="3"/>
  <c r="J788" i="3"/>
  <c r="H788" i="3"/>
  <c r="F788" i="3"/>
  <c r="D788" i="3"/>
  <c r="B788" i="3"/>
  <c r="A788" i="3"/>
  <c r="BA788" i="3" s="1"/>
  <c r="BB787" i="3"/>
  <c r="AZ787" i="3"/>
  <c r="AX787" i="3"/>
  <c r="AV787" i="3"/>
  <c r="AT787" i="3"/>
  <c r="AR787" i="3"/>
  <c r="AP787" i="3"/>
  <c r="AN787" i="3"/>
  <c r="AL787" i="3"/>
  <c r="AB787" i="3"/>
  <c r="Z787" i="3"/>
  <c r="X787" i="3"/>
  <c r="V787" i="3"/>
  <c r="T787" i="3"/>
  <c r="R787" i="3"/>
  <c r="P787" i="3"/>
  <c r="N787" i="3"/>
  <c r="L787" i="3"/>
  <c r="J787" i="3"/>
  <c r="H787" i="3"/>
  <c r="F787" i="3"/>
  <c r="D787" i="3"/>
  <c r="B787" i="3"/>
  <c r="A787" i="3"/>
  <c r="BA787" i="3" s="1"/>
  <c r="BB786" i="3"/>
  <c r="AZ786" i="3"/>
  <c r="AX786" i="3"/>
  <c r="AV786" i="3"/>
  <c r="AT786" i="3"/>
  <c r="AR786" i="3"/>
  <c r="AP786" i="3"/>
  <c r="AN786" i="3"/>
  <c r="AL786" i="3"/>
  <c r="AB786" i="3"/>
  <c r="Z786" i="3"/>
  <c r="X786" i="3"/>
  <c r="V786" i="3"/>
  <c r="T786" i="3"/>
  <c r="R786" i="3"/>
  <c r="P786" i="3"/>
  <c r="N786" i="3"/>
  <c r="L786" i="3"/>
  <c r="J786" i="3"/>
  <c r="H786" i="3"/>
  <c r="F786" i="3"/>
  <c r="D786" i="3"/>
  <c r="B786" i="3"/>
  <c r="A786" i="3"/>
  <c r="BA786" i="3" s="1"/>
  <c r="BB785" i="3"/>
  <c r="AZ785" i="3"/>
  <c r="AX785" i="3"/>
  <c r="AV785" i="3"/>
  <c r="AT785" i="3"/>
  <c r="AR785" i="3"/>
  <c r="AP785" i="3"/>
  <c r="AN785" i="3"/>
  <c r="AL785" i="3"/>
  <c r="AB785" i="3"/>
  <c r="Z785" i="3"/>
  <c r="X785" i="3"/>
  <c r="V785" i="3"/>
  <c r="T785" i="3"/>
  <c r="R785" i="3"/>
  <c r="P785" i="3"/>
  <c r="N785" i="3"/>
  <c r="L785" i="3"/>
  <c r="J785" i="3"/>
  <c r="H785" i="3"/>
  <c r="F785" i="3"/>
  <c r="D785" i="3"/>
  <c r="B785" i="3"/>
  <c r="A785" i="3"/>
  <c r="BA785" i="3" s="1"/>
  <c r="BB784" i="3"/>
  <c r="AZ784" i="3"/>
  <c r="AX784" i="3"/>
  <c r="AV784" i="3"/>
  <c r="AT784" i="3"/>
  <c r="AR784" i="3"/>
  <c r="AP784" i="3"/>
  <c r="AN784" i="3"/>
  <c r="AL784" i="3"/>
  <c r="AB784" i="3"/>
  <c r="Z784" i="3"/>
  <c r="X784" i="3"/>
  <c r="V784" i="3"/>
  <c r="T784" i="3"/>
  <c r="R784" i="3"/>
  <c r="P784" i="3"/>
  <c r="N784" i="3"/>
  <c r="L784" i="3"/>
  <c r="J784" i="3"/>
  <c r="H784" i="3"/>
  <c r="F784" i="3"/>
  <c r="D784" i="3"/>
  <c r="B784" i="3"/>
  <c r="A784" i="3"/>
  <c r="BA784" i="3" s="1"/>
  <c r="BB783" i="3"/>
  <c r="AZ783" i="3"/>
  <c r="AX783" i="3"/>
  <c r="AV783" i="3"/>
  <c r="AT783" i="3"/>
  <c r="AR783" i="3"/>
  <c r="AP783" i="3"/>
  <c r="AN783" i="3"/>
  <c r="AL783" i="3"/>
  <c r="AB783" i="3"/>
  <c r="Z783" i="3"/>
  <c r="X783" i="3"/>
  <c r="V783" i="3"/>
  <c r="T783" i="3"/>
  <c r="R783" i="3"/>
  <c r="P783" i="3"/>
  <c r="N783" i="3"/>
  <c r="L783" i="3"/>
  <c r="J783" i="3"/>
  <c r="H783" i="3"/>
  <c r="F783" i="3"/>
  <c r="D783" i="3"/>
  <c r="B783" i="3"/>
  <c r="A783" i="3"/>
  <c r="BA783" i="3" s="1"/>
  <c r="BB782" i="3"/>
  <c r="AZ782" i="3"/>
  <c r="AX782" i="3"/>
  <c r="AV782" i="3"/>
  <c r="AT782" i="3"/>
  <c r="AR782" i="3"/>
  <c r="AP782" i="3"/>
  <c r="AN782" i="3"/>
  <c r="AL782" i="3"/>
  <c r="AB782" i="3"/>
  <c r="Z782" i="3"/>
  <c r="X782" i="3"/>
  <c r="V782" i="3"/>
  <c r="T782" i="3"/>
  <c r="R782" i="3"/>
  <c r="P782" i="3"/>
  <c r="N782" i="3"/>
  <c r="L782" i="3"/>
  <c r="J782" i="3"/>
  <c r="H782" i="3"/>
  <c r="F782" i="3"/>
  <c r="D782" i="3"/>
  <c r="B782" i="3"/>
  <c r="A782" i="3"/>
  <c r="BA782" i="3" s="1"/>
  <c r="BB781" i="3"/>
  <c r="AZ781" i="3"/>
  <c r="AX781" i="3"/>
  <c r="AV781" i="3"/>
  <c r="AT781" i="3"/>
  <c r="AR781" i="3"/>
  <c r="AP781" i="3"/>
  <c r="AN781" i="3"/>
  <c r="AL781" i="3"/>
  <c r="AB781" i="3"/>
  <c r="Z781" i="3"/>
  <c r="X781" i="3"/>
  <c r="V781" i="3"/>
  <c r="T781" i="3"/>
  <c r="R781" i="3"/>
  <c r="P781" i="3"/>
  <c r="N781" i="3"/>
  <c r="L781" i="3"/>
  <c r="J781" i="3"/>
  <c r="H781" i="3"/>
  <c r="F781" i="3"/>
  <c r="D781" i="3"/>
  <c r="B781" i="3"/>
  <c r="A781" i="3"/>
  <c r="BA781" i="3" s="1"/>
  <c r="BB780" i="3"/>
  <c r="AZ780" i="3"/>
  <c r="AX780" i="3"/>
  <c r="AV780" i="3"/>
  <c r="AT780" i="3"/>
  <c r="AR780" i="3"/>
  <c r="AP780" i="3"/>
  <c r="AN780" i="3"/>
  <c r="AL780" i="3"/>
  <c r="AB780" i="3"/>
  <c r="Z780" i="3"/>
  <c r="X780" i="3"/>
  <c r="V780" i="3"/>
  <c r="T780" i="3"/>
  <c r="R780" i="3"/>
  <c r="P780" i="3"/>
  <c r="N780" i="3"/>
  <c r="L780" i="3"/>
  <c r="J780" i="3"/>
  <c r="H780" i="3"/>
  <c r="F780" i="3"/>
  <c r="D780" i="3"/>
  <c r="B780" i="3"/>
  <c r="A780" i="3"/>
  <c r="BA780" i="3" s="1"/>
  <c r="BB779" i="3"/>
  <c r="AZ779" i="3"/>
  <c r="AX779" i="3"/>
  <c r="AV779" i="3"/>
  <c r="AT779" i="3"/>
  <c r="AR779" i="3"/>
  <c r="AP779" i="3"/>
  <c r="AN779" i="3"/>
  <c r="AL779" i="3"/>
  <c r="AB779" i="3"/>
  <c r="Z779" i="3"/>
  <c r="X779" i="3"/>
  <c r="V779" i="3"/>
  <c r="T779" i="3"/>
  <c r="R779" i="3"/>
  <c r="P779" i="3"/>
  <c r="N779" i="3"/>
  <c r="L779" i="3"/>
  <c r="J779" i="3"/>
  <c r="H779" i="3"/>
  <c r="F779" i="3"/>
  <c r="D779" i="3"/>
  <c r="B779" i="3"/>
  <c r="A779" i="3"/>
  <c r="BA779" i="3" s="1"/>
  <c r="BB778" i="3"/>
  <c r="AZ778" i="3"/>
  <c r="AX778" i="3"/>
  <c r="AV778" i="3"/>
  <c r="AT778" i="3"/>
  <c r="AR778" i="3"/>
  <c r="AP778" i="3"/>
  <c r="AN778" i="3"/>
  <c r="AL778" i="3"/>
  <c r="AB778" i="3"/>
  <c r="Z778" i="3"/>
  <c r="X778" i="3"/>
  <c r="V778" i="3"/>
  <c r="T778" i="3"/>
  <c r="R778" i="3"/>
  <c r="P778" i="3"/>
  <c r="N778" i="3"/>
  <c r="L778" i="3"/>
  <c r="J778" i="3"/>
  <c r="H778" i="3"/>
  <c r="F778" i="3"/>
  <c r="D778" i="3"/>
  <c r="B778" i="3"/>
  <c r="A778" i="3"/>
  <c r="BA778" i="3" s="1"/>
  <c r="BB777" i="3"/>
  <c r="AZ777" i="3"/>
  <c r="AX777" i="3"/>
  <c r="AV777" i="3"/>
  <c r="AT777" i="3"/>
  <c r="AR777" i="3"/>
  <c r="AP777" i="3"/>
  <c r="AN777" i="3"/>
  <c r="AL777" i="3"/>
  <c r="AB777" i="3"/>
  <c r="Z777" i="3"/>
  <c r="X777" i="3"/>
  <c r="V777" i="3"/>
  <c r="T777" i="3"/>
  <c r="R777" i="3"/>
  <c r="P777" i="3"/>
  <c r="N777" i="3"/>
  <c r="L777" i="3"/>
  <c r="J777" i="3"/>
  <c r="H777" i="3"/>
  <c r="F777" i="3"/>
  <c r="D777" i="3"/>
  <c r="B777" i="3"/>
  <c r="A777" i="3"/>
  <c r="BA777" i="3" s="1"/>
  <c r="BB776" i="3"/>
  <c r="AZ776" i="3"/>
  <c r="AX776" i="3"/>
  <c r="AV776" i="3"/>
  <c r="AT776" i="3"/>
  <c r="AR776" i="3"/>
  <c r="AP776" i="3"/>
  <c r="AN776" i="3"/>
  <c r="AL776" i="3"/>
  <c r="AB776" i="3"/>
  <c r="Z776" i="3"/>
  <c r="X776" i="3"/>
  <c r="V776" i="3"/>
  <c r="T776" i="3"/>
  <c r="R776" i="3"/>
  <c r="P776" i="3"/>
  <c r="N776" i="3"/>
  <c r="L776" i="3"/>
  <c r="J776" i="3"/>
  <c r="H776" i="3"/>
  <c r="F776" i="3"/>
  <c r="D776" i="3"/>
  <c r="B776" i="3"/>
  <c r="A776" i="3"/>
  <c r="BA776" i="3" s="1"/>
  <c r="BB775" i="3"/>
  <c r="AZ775" i="3"/>
  <c r="AX775" i="3"/>
  <c r="AV775" i="3"/>
  <c r="AT775" i="3"/>
  <c r="AR775" i="3"/>
  <c r="AP775" i="3"/>
  <c r="AN775" i="3"/>
  <c r="AL775" i="3"/>
  <c r="AB775" i="3"/>
  <c r="Z775" i="3"/>
  <c r="X775" i="3"/>
  <c r="V775" i="3"/>
  <c r="T775" i="3"/>
  <c r="R775" i="3"/>
  <c r="P775" i="3"/>
  <c r="N775" i="3"/>
  <c r="L775" i="3"/>
  <c r="J775" i="3"/>
  <c r="H775" i="3"/>
  <c r="F775" i="3"/>
  <c r="D775" i="3"/>
  <c r="B775" i="3"/>
  <c r="A775" i="3"/>
  <c r="BA775" i="3" s="1"/>
  <c r="BB774" i="3"/>
  <c r="AZ774" i="3"/>
  <c r="AX774" i="3"/>
  <c r="AV774" i="3"/>
  <c r="AT774" i="3"/>
  <c r="AR774" i="3"/>
  <c r="AP774" i="3"/>
  <c r="AN774" i="3"/>
  <c r="AL774" i="3"/>
  <c r="AB774" i="3"/>
  <c r="Z774" i="3"/>
  <c r="X774" i="3"/>
  <c r="V774" i="3"/>
  <c r="T774" i="3"/>
  <c r="R774" i="3"/>
  <c r="P774" i="3"/>
  <c r="N774" i="3"/>
  <c r="L774" i="3"/>
  <c r="J774" i="3"/>
  <c r="H774" i="3"/>
  <c r="F774" i="3"/>
  <c r="D774" i="3"/>
  <c r="B774" i="3"/>
  <c r="A774" i="3"/>
  <c r="BA774" i="3" s="1"/>
  <c r="BB773" i="3"/>
  <c r="AZ773" i="3"/>
  <c r="AX773" i="3"/>
  <c r="AV773" i="3"/>
  <c r="AT773" i="3"/>
  <c r="AR773" i="3"/>
  <c r="AP773" i="3"/>
  <c r="AN773" i="3"/>
  <c r="AL773" i="3"/>
  <c r="AB773" i="3"/>
  <c r="Z773" i="3"/>
  <c r="X773" i="3"/>
  <c r="V773" i="3"/>
  <c r="T773" i="3"/>
  <c r="R773" i="3"/>
  <c r="P773" i="3"/>
  <c r="N773" i="3"/>
  <c r="L773" i="3"/>
  <c r="J773" i="3"/>
  <c r="H773" i="3"/>
  <c r="F773" i="3"/>
  <c r="D773" i="3"/>
  <c r="B773" i="3"/>
  <c r="A773" i="3"/>
  <c r="BA773" i="3" s="1"/>
  <c r="BB772" i="3"/>
  <c r="AZ772" i="3"/>
  <c r="AX772" i="3"/>
  <c r="AV772" i="3"/>
  <c r="AT772" i="3"/>
  <c r="AR772" i="3"/>
  <c r="AP772" i="3"/>
  <c r="AN772" i="3"/>
  <c r="AL772" i="3"/>
  <c r="AB772" i="3"/>
  <c r="Z772" i="3"/>
  <c r="X772" i="3"/>
  <c r="V772" i="3"/>
  <c r="T772" i="3"/>
  <c r="R772" i="3"/>
  <c r="P772" i="3"/>
  <c r="N772" i="3"/>
  <c r="L772" i="3"/>
  <c r="J772" i="3"/>
  <c r="H772" i="3"/>
  <c r="F772" i="3"/>
  <c r="D772" i="3"/>
  <c r="B772" i="3"/>
  <c r="A772" i="3"/>
  <c r="BA772" i="3" s="1"/>
  <c r="BB771" i="3"/>
  <c r="AZ771" i="3"/>
  <c r="AX771" i="3"/>
  <c r="AV771" i="3"/>
  <c r="AT771" i="3"/>
  <c r="AR771" i="3"/>
  <c r="AP771" i="3"/>
  <c r="AN771" i="3"/>
  <c r="AL771" i="3"/>
  <c r="AB771" i="3"/>
  <c r="Z771" i="3"/>
  <c r="X771" i="3"/>
  <c r="V771" i="3"/>
  <c r="T771" i="3"/>
  <c r="R771" i="3"/>
  <c r="P771" i="3"/>
  <c r="N771" i="3"/>
  <c r="L771" i="3"/>
  <c r="J771" i="3"/>
  <c r="H771" i="3"/>
  <c r="F771" i="3"/>
  <c r="D771" i="3"/>
  <c r="B771" i="3"/>
  <c r="A771" i="3"/>
  <c r="BA771" i="3" s="1"/>
  <c r="BB770" i="3"/>
  <c r="AZ770" i="3"/>
  <c r="AX770" i="3"/>
  <c r="AV770" i="3"/>
  <c r="AT770" i="3"/>
  <c r="AR770" i="3"/>
  <c r="AP770" i="3"/>
  <c r="AN770" i="3"/>
  <c r="AL770" i="3"/>
  <c r="AB770" i="3"/>
  <c r="Z770" i="3"/>
  <c r="X770" i="3"/>
  <c r="V770" i="3"/>
  <c r="T770" i="3"/>
  <c r="R770" i="3"/>
  <c r="P770" i="3"/>
  <c r="N770" i="3"/>
  <c r="L770" i="3"/>
  <c r="J770" i="3"/>
  <c r="H770" i="3"/>
  <c r="F770" i="3"/>
  <c r="D770" i="3"/>
  <c r="B770" i="3"/>
  <c r="A770" i="3"/>
  <c r="BA770" i="3" s="1"/>
  <c r="BB769" i="3"/>
  <c r="AZ769" i="3"/>
  <c r="AX769" i="3"/>
  <c r="AV769" i="3"/>
  <c r="AT769" i="3"/>
  <c r="AR769" i="3"/>
  <c r="AP769" i="3"/>
  <c r="AN769" i="3"/>
  <c r="AL769" i="3"/>
  <c r="AB769" i="3"/>
  <c r="Z769" i="3"/>
  <c r="X769" i="3"/>
  <c r="V769" i="3"/>
  <c r="T769" i="3"/>
  <c r="R769" i="3"/>
  <c r="P769" i="3"/>
  <c r="N769" i="3"/>
  <c r="L769" i="3"/>
  <c r="J769" i="3"/>
  <c r="H769" i="3"/>
  <c r="F769" i="3"/>
  <c r="D769" i="3"/>
  <c r="B769" i="3"/>
  <c r="A769" i="3"/>
  <c r="BA769" i="3" s="1"/>
  <c r="BB768" i="3"/>
  <c r="AZ768" i="3"/>
  <c r="AX768" i="3"/>
  <c r="AV768" i="3"/>
  <c r="AT768" i="3"/>
  <c r="AR768" i="3"/>
  <c r="AP768" i="3"/>
  <c r="AN768" i="3"/>
  <c r="AL768" i="3"/>
  <c r="AB768" i="3"/>
  <c r="Z768" i="3"/>
  <c r="X768" i="3"/>
  <c r="V768" i="3"/>
  <c r="T768" i="3"/>
  <c r="R768" i="3"/>
  <c r="P768" i="3"/>
  <c r="N768" i="3"/>
  <c r="L768" i="3"/>
  <c r="J768" i="3"/>
  <c r="H768" i="3"/>
  <c r="F768" i="3"/>
  <c r="D768" i="3"/>
  <c r="B768" i="3"/>
  <c r="A768" i="3"/>
  <c r="BA768" i="3" s="1"/>
  <c r="BB767" i="3"/>
  <c r="AZ767" i="3"/>
  <c r="AX767" i="3"/>
  <c r="AV767" i="3"/>
  <c r="AT767" i="3"/>
  <c r="AR767" i="3"/>
  <c r="AP767" i="3"/>
  <c r="AN767" i="3"/>
  <c r="AL767" i="3"/>
  <c r="AB767" i="3"/>
  <c r="Z767" i="3"/>
  <c r="X767" i="3"/>
  <c r="V767" i="3"/>
  <c r="T767" i="3"/>
  <c r="R767" i="3"/>
  <c r="P767" i="3"/>
  <c r="N767" i="3"/>
  <c r="L767" i="3"/>
  <c r="J767" i="3"/>
  <c r="H767" i="3"/>
  <c r="F767" i="3"/>
  <c r="D767" i="3"/>
  <c r="B767" i="3"/>
  <c r="A767" i="3"/>
  <c r="BA767" i="3" s="1"/>
  <c r="BB766" i="3"/>
  <c r="AZ766" i="3"/>
  <c r="AX766" i="3"/>
  <c r="AV766" i="3"/>
  <c r="AT766" i="3"/>
  <c r="AR766" i="3"/>
  <c r="AP766" i="3"/>
  <c r="AN766" i="3"/>
  <c r="AL766" i="3"/>
  <c r="AB766" i="3"/>
  <c r="Z766" i="3"/>
  <c r="X766" i="3"/>
  <c r="V766" i="3"/>
  <c r="T766" i="3"/>
  <c r="R766" i="3"/>
  <c r="P766" i="3"/>
  <c r="N766" i="3"/>
  <c r="L766" i="3"/>
  <c r="J766" i="3"/>
  <c r="H766" i="3"/>
  <c r="F766" i="3"/>
  <c r="D766" i="3"/>
  <c r="B766" i="3"/>
  <c r="A766" i="3"/>
  <c r="BA766" i="3" s="1"/>
  <c r="BB765" i="3"/>
  <c r="AZ765" i="3"/>
  <c r="AX765" i="3"/>
  <c r="AV765" i="3"/>
  <c r="AT765" i="3"/>
  <c r="AR765" i="3"/>
  <c r="AP765" i="3"/>
  <c r="AN765" i="3"/>
  <c r="AL765" i="3"/>
  <c r="AB765" i="3"/>
  <c r="Z765" i="3"/>
  <c r="X765" i="3"/>
  <c r="V765" i="3"/>
  <c r="T765" i="3"/>
  <c r="R765" i="3"/>
  <c r="P765" i="3"/>
  <c r="N765" i="3"/>
  <c r="L765" i="3"/>
  <c r="J765" i="3"/>
  <c r="H765" i="3"/>
  <c r="F765" i="3"/>
  <c r="D765" i="3"/>
  <c r="B765" i="3"/>
  <c r="A765" i="3"/>
  <c r="BA765" i="3" s="1"/>
  <c r="BB764" i="3"/>
  <c r="AZ764" i="3"/>
  <c r="AX764" i="3"/>
  <c r="AV764" i="3"/>
  <c r="AT764" i="3"/>
  <c r="AR764" i="3"/>
  <c r="AP764" i="3"/>
  <c r="AN764" i="3"/>
  <c r="AL764" i="3"/>
  <c r="AB764" i="3"/>
  <c r="Z764" i="3"/>
  <c r="X764" i="3"/>
  <c r="V764" i="3"/>
  <c r="T764" i="3"/>
  <c r="R764" i="3"/>
  <c r="P764" i="3"/>
  <c r="N764" i="3"/>
  <c r="L764" i="3"/>
  <c r="J764" i="3"/>
  <c r="H764" i="3"/>
  <c r="F764" i="3"/>
  <c r="D764" i="3"/>
  <c r="B764" i="3"/>
  <c r="A764" i="3"/>
  <c r="BA764" i="3" s="1"/>
  <c r="BB763" i="3"/>
  <c r="AZ763" i="3"/>
  <c r="AX763" i="3"/>
  <c r="AV763" i="3"/>
  <c r="AT763" i="3"/>
  <c r="AR763" i="3"/>
  <c r="AP763" i="3"/>
  <c r="AN763" i="3"/>
  <c r="AL763" i="3"/>
  <c r="AB763" i="3"/>
  <c r="Z763" i="3"/>
  <c r="X763" i="3"/>
  <c r="V763" i="3"/>
  <c r="T763" i="3"/>
  <c r="R763" i="3"/>
  <c r="P763" i="3"/>
  <c r="N763" i="3"/>
  <c r="L763" i="3"/>
  <c r="J763" i="3"/>
  <c r="H763" i="3"/>
  <c r="F763" i="3"/>
  <c r="D763" i="3"/>
  <c r="B763" i="3"/>
  <c r="A763" i="3"/>
  <c r="BA763" i="3" s="1"/>
  <c r="BB762" i="3"/>
  <c r="AZ762" i="3"/>
  <c r="AX762" i="3"/>
  <c r="AV762" i="3"/>
  <c r="AT762" i="3"/>
  <c r="AR762" i="3"/>
  <c r="AP762" i="3"/>
  <c r="AN762" i="3"/>
  <c r="AL762" i="3"/>
  <c r="AB762" i="3"/>
  <c r="Z762" i="3"/>
  <c r="X762" i="3"/>
  <c r="V762" i="3"/>
  <c r="T762" i="3"/>
  <c r="R762" i="3"/>
  <c r="P762" i="3"/>
  <c r="N762" i="3"/>
  <c r="L762" i="3"/>
  <c r="J762" i="3"/>
  <c r="H762" i="3"/>
  <c r="F762" i="3"/>
  <c r="D762" i="3"/>
  <c r="B762" i="3"/>
  <c r="A762" i="3"/>
  <c r="BA762" i="3" s="1"/>
  <c r="BB761" i="3"/>
  <c r="AZ761" i="3"/>
  <c r="AX761" i="3"/>
  <c r="AV761" i="3"/>
  <c r="AT761" i="3"/>
  <c r="AR761" i="3"/>
  <c r="AP761" i="3"/>
  <c r="AN761" i="3"/>
  <c r="AL761" i="3"/>
  <c r="AB761" i="3"/>
  <c r="Z761" i="3"/>
  <c r="X761" i="3"/>
  <c r="V761" i="3"/>
  <c r="T761" i="3"/>
  <c r="R761" i="3"/>
  <c r="P761" i="3"/>
  <c r="N761" i="3"/>
  <c r="L761" i="3"/>
  <c r="J761" i="3"/>
  <c r="H761" i="3"/>
  <c r="F761" i="3"/>
  <c r="D761" i="3"/>
  <c r="B761" i="3"/>
  <c r="A761" i="3"/>
  <c r="BA761" i="3" s="1"/>
  <c r="BB760" i="3"/>
  <c r="AZ760" i="3"/>
  <c r="AX760" i="3"/>
  <c r="AV760" i="3"/>
  <c r="AT760" i="3"/>
  <c r="AR760" i="3"/>
  <c r="AP760" i="3"/>
  <c r="AN760" i="3"/>
  <c r="AL760" i="3"/>
  <c r="AB760" i="3"/>
  <c r="Z760" i="3"/>
  <c r="X760" i="3"/>
  <c r="V760" i="3"/>
  <c r="T760" i="3"/>
  <c r="R760" i="3"/>
  <c r="P760" i="3"/>
  <c r="N760" i="3"/>
  <c r="L760" i="3"/>
  <c r="J760" i="3"/>
  <c r="H760" i="3"/>
  <c r="F760" i="3"/>
  <c r="D760" i="3"/>
  <c r="B760" i="3"/>
  <c r="A760" i="3"/>
  <c r="BA760" i="3" s="1"/>
  <c r="BB759" i="3"/>
  <c r="AZ759" i="3"/>
  <c r="AX759" i="3"/>
  <c r="AV759" i="3"/>
  <c r="AT759" i="3"/>
  <c r="AR759" i="3"/>
  <c r="AP759" i="3"/>
  <c r="AN759" i="3"/>
  <c r="AL759" i="3"/>
  <c r="AB759" i="3"/>
  <c r="Z759" i="3"/>
  <c r="X759" i="3"/>
  <c r="V759" i="3"/>
  <c r="T759" i="3"/>
  <c r="R759" i="3"/>
  <c r="P759" i="3"/>
  <c r="N759" i="3"/>
  <c r="L759" i="3"/>
  <c r="J759" i="3"/>
  <c r="H759" i="3"/>
  <c r="F759" i="3"/>
  <c r="D759" i="3"/>
  <c r="B759" i="3"/>
  <c r="A759" i="3"/>
  <c r="BA759" i="3" s="1"/>
  <c r="BB758" i="3"/>
  <c r="AZ758" i="3"/>
  <c r="AX758" i="3"/>
  <c r="AV758" i="3"/>
  <c r="AT758" i="3"/>
  <c r="AR758" i="3"/>
  <c r="AP758" i="3"/>
  <c r="AN758" i="3"/>
  <c r="AL758" i="3"/>
  <c r="AB758" i="3"/>
  <c r="Z758" i="3"/>
  <c r="X758" i="3"/>
  <c r="V758" i="3"/>
  <c r="T758" i="3"/>
  <c r="R758" i="3"/>
  <c r="P758" i="3"/>
  <c r="N758" i="3"/>
  <c r="L758" i="3"/>
  <c r="J758" i="3"/>
  <c r="H758" i="3"/>
  <c r="F758" i="3"/>
  <c r="D758" i="3"/>
  <c r="B758" i="3"/>
  <c r="A758" i="3"/>
  <c r="BA758" i="3" s="1"/>
  <c r="BB757" i="3"/>
  <c r="AZ757" i="3"/>
  <c r="AX757" i="3"/>
  <c r="AV757" i="3"/>
  <c r="AT757" i="3"/>
  <c r="AR757" i="3"/>
  <c r="AP757" i="3"/>
  <c r="AN757" i="3"/>
  <c r="AL757" i="3"/>
  <c r="AB757" i="3"/>
  <c r="Z757" i="3"/>
  <c r="X757" i="3"/>
  <c r="V757" i="3"/>
  <c r="T757" i="3"/>
  <c r="R757" i="3"/>
  <c r="P757" i="3"/>
  <c r="N757" i="3"/>
  <c r="L757" i="3"/>
  <c r="J757" i="3"/>
  <c r="H757" i="3"/>
  <c r="F757" i="3"/>
  <c r="D757" i="3"/>
  <c r="B757" i="3"/>
  <c r="A757" i="3"/>
  <c r="BA757" i="3" s="1"/>
  <c r="BB756" i="3"/>
  <c r="AZ756" i="3"/>
  <c r="AX756" i="3"/>
  <c r="AV756" i="3"/>
  <c r="AT756" i="3"/>
  <c r="AR756" i="3"/>
  <c r="AP756" i="3"/>
  <c r="AN756" i="3"/>
  <c r="AL756" i="3"/>
  <c r="AB756" i="3"/>
  <c r="Z756" i="3"/>
  <c r="X756" i="3"/>
  <c r="V756" i="3"/>
  <c r="T756" i="3"/>
  <c r="R756" i="3"/>
  <c r="P756" i="3"/>
  <c r="N756" i="3"/>
  <c r="L756" i="3"/>
  <c r="J756" i="3"/>
  <c r="H756" i="3"/>
  <c r="F756" i="3"/>
  <c r="D756" i="3"/>
  <c r="B756" i="3"/>
  <c r="A756" i="3"/>
  <c r="BA756" i="3" s="1"/>
  <c r="BB755" i="3"/>
  <c r="AZ755" i="3"/>
  <c r="AX755" i="3"/>
  <c r="AV755" i="3"/>
  <c r="AT755" i="3"/>
  <c r="AR755" i="3"/>
  <c r="AP755" i="3"/>
  <c r="AN755" i="3"/>
  <c r="AL755" i="3"/>
  <c r="AB755" i="3"/>
  <c r="Z755" i="3"/>
  <c r="X755" i="3"/>
  <c r="V755" i="3"/>
  <c r="T755" i="3"/>
  <c r="R755" i="3"/>
  <c r="P755" i="3"/>
  <c r="N755" i="3"/>
  <c r="L755" i="3"/>
  <c r="J755" i="3"/>
  <c r="H755" i="3"/>
  <c r="F755" i="3"/>
  <c r="D755" i="3"/>
  <c r="B755" i="3"/>
  <c r="A755" i="3"/>
  <c r="BA755" i="3" s="1"/>
  <c r="BB754" i="3"/>
  <c r="AZ754" i="3"/>
  <c r="AX754" i="3"/>
  <c r="AV754" i="3"/>
  <c r="AT754" i="3"/>
  <c r="AR754" i="3"/>
  <c r="AP754" i="3"/>
  <c r="AN754" i="3"/>
  <c r="AL754" i="3"/>
  <c r="AB754" i="3"/>
  <c r="Z754" i="3"/>
  <c r="X754" i="3"/>
  <c r="V754" i="3"/>
  <c r="T754" i="3"/>
  <c r="R754" i="3"/>
  <c r="P754" i="3"/>
  <c r="N754" i="3"/>
  <c r="L754" i="3"/>
  <c r="J754" i="3"/>
  <c r="H754" i="3"/>
  <c r="F754" i="3"/>
  <c r="D754" i="3"/>
  <c r="B754" i="3"/>
  <c r="A754" i="3"/>
  <c r="BA754" i="3" s="1"/>
  <c r="BB753" i="3"/>
  <c r="AZ753" i="3"/>
  <c r="AX753" i="3"/>
  <c r="AV753" i="3"/>
  <c r="AT753" i="3"/>
  <c r="AR753" i="3"/>
  <c r="AP753" i="3"/>
  <c r="AN753" i="3"/>
  <c r="AL753" i="3"/>
  <c r="AB753" i="3"/>
  <c r="Z753" i="3"/>
  <c r="X753" i="3"/>
  <c r="V753" i="3"/>
  <c r="T753" i="3"/>
  <c r="R753" i="3"/>
  <c r="P753" i="3"/>
  <c r="N753" i="3"/>
  <c r="L753" i="3"/>
  <c r="J753" i="3"/>
  <c r="H753" i="3"/>
  <c r="F753" i="3"/>
  <c r="D753" i="3"/>
  <c r="B753" i="3"/>
  <c r="A753" i="3"/>
  <c r="BA753" i="3" s="1"/>
  <c r="BB752" i="3"/>
  <c r="AZ752" i="3"/>
  <c r="AX752" i="3"/>
  <c r="AV752" i="3"/>
  <c r="AT752" i="3"/>
  <c r="AR752" i="3"/>
  <c r="AP752" i="3"/>
  <c r="AN752" i="3"/>
  <c r="AL752" i="3"/>
  <c r="AB752" i="3"/>
  <c r="Z752" i="3"/>
  <c r="X752" i="3"/>
  <c r="V752" i="3"/>
  <c r="T752" i="3"/>
  <c r="R752" i="3"/>
  <c r="P752" i="3"/>
  <c r="N752" i="3"/>
  <c r="L752" i="3"/>
  <c r="J752" i="3"/>
  <c r="H752" i="3"/>
  <c r="F752" i="3"/>
  <c r="D752" i="3"/>
  <c r="B752" i="3"/>
  <c r="A752" i="3"/>
  <c r="BA752" i="3" s="1"/>
  <c r="BB751" i="3"/>
  <c r="AZ751" i="3"/>
  <c r="AX751" i="3"/>
  <c r="AV751" i="3"/>
  <c r="AT751" i="3"/>
  <c r="AR751" i="3"/>
  <c r="AP751" i="3"/>
  <c r="AN751" i="3"/>
  <c r="AL751" i="3"/>
  <c r="AB751" i="3"/>
  <c r="Z751" i="3"/>
  <c r="X751" i="3"/>
  <c r="V751" i="3"/>
  <c r="T751" i="3"/>
  <c r="R751" i="3"/>
  <c r="P751" i="3"/>
  <c r="N751" i="3"/>
  <c r="L751" i="3"/>
  <c r="J751" i="3"/>
  <c r="H751" i="3"/>
  <c r="F751" i="3"/>
  <c r="D751" i="3"/>
  <c r="B751" i="3"/>
  <c r="A751" i="3"/>
  <c r="BA751" i="3" s="1"/>
  <c r="BB750" i="3"/>
  <c r="AZ750" i="3"/>
  <c r="AX750" i="3"/>
  <c r="AV750" i="3"/>
  <c r="AT750" i="3"/>
  <c r="AR750" i="3"/>
  <c r="AP750" i="3"/>
  <c r="AN750" i="3"/>
  <c r="AL750" i="3"/>
  <c r="AB750" i="3"/>
  <c r="Z750" i="3"/>
  <c r="X750" i="3"/>
  <c r="V750" i="3"/>
  <c r="T750" i="3"/>
  <c r="R750" i="3"/>
  <c r="P750" i="3"/>
  <c r="N750" i="3"/>
  <c r="L750" i="3"/>
  <c r="J750" i="3"/>
  <c r="H750" i="3"/>
  <c r="F750" i="3"/>
  <c r="D750" i="3"/>
  <c r="B750" i="3"/>
  <c r="A750" i="3"/>
  <c r="BA750" i="3" s="1"/>
  <c r="BB749" i="3"/>
  <c r="AZ749" i="3"/>
  <c r="AX749" i="3"/>
  <c r="AV749" i="3"/>
  <c r="AT749" i="3"/>
  <c r="AR749" i="3"/>
  <c r="AP749" i="3"/>
  <c r="AN749" i="3"/>
  <c r="AL749" i="3"/>
  <c r="AB749" i="3"/>
  <c r="Z749" i="3"/>
  <c r="X749" i="3"/>
  <c r="V749" i="3"/>
  <c r="T749" i="3"/>
  <c r="R749" i="3"/>
  <c r="P749" i="3"/>
  <c r="N749" i="3"/>
  <c r="L749" i="3"/>
  <c r="J749" i="3"/>
  <c r="H749" i="3"/>
  <c r="F749" i="3"/>
  <c r="D749" i="3"/>
  <c r="B749" i="3"/>
  <c r="A749" i="3"/>
  <c r="BA749" i="3" s="1"/>
  <c r="BB748" i="3"/>
  <c r="AZ748" i="3"/>
  <c r="AX748" i="3"/>
  <c r="AV748" i="3"/>
  <c r="AT748" i="3"/>
  <c r="AR748" i="3"/>
  <c r="AP748" i="3"/>
  <c r="AN748" i="3"/>
  <c r="AL748" i="3"/>
  <c r="AB748" i="3"/>
  <c r="Z748" i="3"/>
  <c r="X748" i="3"/>
  <c r="V748" i="3"/>
  <c r="T748" i="3"/>
  <c r="R748" i="3"/>
  <c r="P748" i="3"/>
  <c r="N748" i="3"/>
  <c r="L748" i="3"/>
  <c r="J748" i="3"/>
  <c r="H748" i="3"/>
  <c r="F748" i="3"/>
  <c r="D748" i="3"/>
  <c r="B748" i="3"/>
  <c r="A748" i="3"/>
  <c r="BA748" i="3" s="1"/>
  <c r="BB747" i="3"/>
  <c r="AZ747" i="3"/>
  <c r="AX747" i="3"/>
  <c r="AV747" i="3"/>
  <c r="AT747" i="3"/>
  <c r="AR747" i="3"/>
  <c r="AP747" i="3"/>
  <c r="AN747" i="3"/>
  <c r="AL747" i="3"/>
  <c r="AB747" i="3"/>
  <c r="Z747" i="3"/>
  <c r="X747" i="3"/>
  <c r="V747" i="3"/>
  <c r="T747" i="3"/>
  <c r="R747" i="3"/>
  <c r="P747" i="3"/>
  <c r="N747" i="3"/>
  <c r="L747" i="3"/>
  <c r="J747" i="3"/>
  <c r="H747" i="3"/>
  <c r="F747" i="3"/>
  <c r="D747" i="3"/>
  <c r="B747" i="3"/>
  <c r="A747" i="3"/>
  <c r="BA747" i="3" s="1"/>
  <c r="BB746" i="3"/>
  <c r="AZ746" i="3"/>
  <c r="AX746" i="3"/>
  <c r="AV746" i="3"/>
  <c r="AT746" i="3"/>
  <c r="AR746" i="3"/>
  <c r="AP746" i="3"/>
  <c r="AN746" i="3"/>
  <c r="AL746" i="3"/>
  <c r="AB746" i="3"/>
  <c r="Z746" i="3"/>
  <c r="X746" i="3"/>
  <c r="V746" i="3"/>
  <c r="T746" i="3"/>
  <c r="R746" i="3"/>
  <c r="P746" i="3"/>
  <c r="N746" i="3"/>
  <c r="L746" i="3"/>
  <c r="J746" i="3"/>
  <c r="H746" i="3"/>
  <c r="F746" i="3"/>
  <c r="D746" i="3"/>
  <c r="B746" i="3"/>
  <c r="A746" i="3"/>
  <c r="BA746" i="3" s="1"/>
  <c r="BB745" i="3"/>
  <c r="AZ745" i="3"/>
  <c r="AX745" i="3"/>
  <c r="AV745" i="3"/>
  <c r="AT745" i="3"/>
  <c r="AR745" i="3"/>
  <c r="AP745" i="3"/>
  <c r="AN745" i="3"/>
  <c r="AL745" i="3"/>
  <c r="AB745" i="3"/>
  <c r="Z745" i="3"/>
  <c r="X745" i="3"/>
  <c r="V745" i="3"/>
  <c r="T745" i="3"/>
  <c r="R745" i="3"/>
  <c r="P745" i="3"/>
  <c r="N745" i="3"/>
  <c r="L745" i="3"/>
  <c r="J745" i="3"/>
  <c r="H745" i="3"/>
  <c r="F745" i="3"/>
  <c r="D745" i="3"/>
  <c r="B745" i="3"/>
  <c r="A745" i="3"/>
  <c r="BA745" i="3" s="1"/>
  <c r="BB744" i="3"/>
  <c r="AZ744" i="3"/>
  <c r="AX744" i="3"/>
  <c r="AV744" i="3"/>
  <c r="AT744" i="3"/>
  <c r="AR744" i="3"/>
  <c r="AP744" i="3"/>
  <c r="AN744" i="3"/>
  <c r="AL744" i="3"/>
  <c r="AB744" i="3"/>
  <c r="Z744" i="3"/>
  <c r="X744" i="3"/>
  <c r="V744" i="3"/>
  <c r="T744" i="3"/>
  <c r="R744" i="3"/>
  <c r="P744" i="3"/>
  <c r="N744" i="3"/>
  <c r="L744" i="3"/>
  <c r="J744" i="3"/>
  <c r="H744" i="3"/>
  <c r="F744" i="3"/>
  <c r="D744" i="3"/>
  <c r="B744" i="3"/>
  <c r="A744" i="3"/>
  <c r="BA744" i="3" s="1"/>
  <c r="BB743" i="3"/>
  <c r="AZ743" i="3"/>
  <c r="AX743" i="3"/>
  <c r="AV743" i="3"/>
  <c r="AT743" i="3"/>
  <c r="AR743" i="3"/>
  <c r="AP743" i="3"/>
  <c r="AN743" i="3"/>
  <c r="AL743" i="3"/>
  <c r="AB743" i="3"/>
  <c r="Z743" i="3"/>
  <c r="X743" i="3"/>
  <c r="V743" i="3"/>
  <c r="T743" i="3"/>
  <c r="R743" i="3"/>
  <c r="P743" i="3"/>
  <c r="N743" i="3"/>
  <c r="L743" i="3"/>
  <c r="J743" i="3"/>
  <c r="H743" i="3"/>
  <c r="F743" i="3"/>
  <c r="D743" i="3"/>
  <c r="B743" i="3"/>
  <c r="A743" i="3"/>
  <c r="BA743" i="3" s="1"/>
  <c r="BB742" i="3"/>
  <c r="AZ742" i="3"/>
  <c r="AX742" i="3"/>
  <c r="AV742" i="3"/>
  <c r="AT742" i="3"/>
  <c r="AR742" i="3"/>
  <c r="AP742" i="3"/>
  <c r="AN742" i="3"/>
  <c r="AL742" i="3"/>
  <c r="AB742" i="3"/>
  <c r="Z742" i="3"/>
  <c r="X742" i="3"/>
  <c r="V742" i="3"/>
  <c r="T742" i="3"/>
  <c r="R742" i="3"/>
  <c r="P742" i="3"/>
  <c r="N742" i="3"/>
  <c r="L742" i="3"/>
  <c r="J742" i="3"/>
  <c r="H742" i="3"/>
  <c r="F742" i="3"/>
  <c r="D742" i="3"/>
  <c r="B742" i="3"/>
  <c r="A742" i="3"/>
  <c r="BA742" i="3" s="1"/>
  <c r="BB741" i="3"/>
  <c r="AZ741" i="3"/>
  <c r="AX741" i="3"/>
  <c r="AV741" i="3"/>
  <c r="AT741" i="3"/>
  <c r="AR741" i="3"/>
  <c r="AP741" i="3"/>
  <c r="AN741" i="3"/>
  <c r="AL741" i="3"/>
  <c r="AB741" i="3"/>
  <c r="Z741" i="3"/>
  <c r="X741" i="3"/>
  <c r="V741" i="3"/>
  <c r="T741" i="3"/>
  <c r="R741" i="3"/>
  <c r="P741" i="3"/>
  <c r="N741" i="3"/>
  <c r="L741" i="3"/>
  <c r="J741" i="3"/>
  <c r="H741" i="3"/>
  <c r="F741" i="3"/>
  <c r="D741" i="3"/>
  <c r="B741" i="3"/>
  <c r="A741" i="3"/>
  <c r="BA741" i="3" s="1"/>
  <c r="BB740" i="3"/>
  <c r="AZ740" i="3"/>
  <c r="AX740" i="3"/>
  <c r="AV740" i="3"/>
  <c r="AT740" i="3"/>
  <c r="AR740" i="3"/>
  <c r="AP740" i="3"/>
  <c r="AN740" i="3"/>
  <c r="AL740" i="3"/>
  <c r="AB740" i="3"/>
  <c r="Z740" i="3"/>
  <c r="X740" i="3"/>
  <c r="V740" i="3"/>
  <c r="T740" i="3"/>
  <c r="R740" i="3"/>
  <c r="P740" i="3"/>
  <c r="N740" i="3"/>
  <c r="L740" i="3"/>
  <c r="J740" i="3"/>
  <c r="H740" i="3"/>
  <c r="F740" i="3"/>
  <c r="D740" i="3"/>
  <c r="B740" i="3"/>
  <c r="A740" i="3"/>
  <c r="BA740" i="3" s="1"/>
  <c r="BB739" i="3"/>
  <c r="AZ739" i="3"/>
  <c r="AX739" i="3"/>
  <c r="AV739" i="3"/>
  <c r="AT739" i="3"/>
  <c r="AR739" i="3"/>
  <c r="AP739" i="3"/>
  <c r="AN739" i="3"/>
  <c r="AL739" i="3"/>
  <c r="AB739" i="3"/>
  <c r="Z739" i="3"/>
  <c r="X739" i="3"/>
  <c r="V739" i="3"/>
  <c r="T739" i="3"/>
  <c r="R739" i="3"/>
  <c r="P739" i="3"/>
  <c r="N739" i="3"/>
  <c r="L739" i="3"/>
  <c r="J739" i="3"/>
  <c r="H739" i="3"/>
  <c r="F739" i="3"/>
  <c r="D739" i="3"/>
  <c r="B739" i="3"/>
  <c r="A739" i="3"/>
  <c r="BA739" i="3" s="1"/>
  <c r="BB738" i="3"/>
  <c r="AZ738" i="3"/>
  <c r="AX738" i="3"/>
  <c r="AV738" i="3"/>
  <c r="AT738" i="3"/>
  <c r="AR738" i="3"/>
  <c r="AP738" i="3"/>
  <c r="AN738" i="3"/>
  <c r="AL738" i="3"/>
  <c r="AB738" i="3"/>
  <c r="Z738" i="3"/>
  <c r="X738" i="3"/>
  <c r="V738" i="3"/>
  <c r="T738" i="3"/>
  <c r="R738" i="3"/>
  <c r="P738" i="3"/>
  <c r="N738" i="3"/>
  <c r="L738" i="3"/>
  <c r="J738" i="3"/>
  <c r="H738" i="3"/>
  <c r="F738" i="3"/>
  <c r="D738" i="3"/>
  <c r="B738" i="3"/>
  <c r="A738" i="3"/>
  <c r="BA738" i="3" s="1"/>
  <c r="BB737" i="3"/>
  <c r="AZ737" i="3"/>
  <c r="AX737" i="3"/>
  <c r="AV737" i="3"/>
  <c r="AT737" i="3"/>
  <c r="AR737" i="3"/>
  <c r="AP737" i="3"/>
  <c r="AN737" i="3"/>
  <c r="AL737" i="3"/>
  <c r="AB737" i="3"/>
  <c r="Z737" i="3"/>
  <c r="X737" i="3"/>
  <c r="V737" i="3"/>
  <c r="T737" i="3"/>
  <c r="R737" i="3"/>
  <c r="P737" i="3"/>
  <c r="N737" i="3"/>
  <c r="L737" i="3"/>
  <c r="J737" i="3"/>
  <c r="H737" i="3"/>
  <c r="F737" i="3"/>
  <c r="D737" i="3"/>
  <c r="B737" i="3"/>
  <c r="A737" i="3"/>
  <c r="BA737" i="3" s="1"/>
  <c r="BB736" i="3"/>
  <c r="AZ736" i="3"/>
  <c r="AX736" i="3"/>
  <c r="AV736" i="3"/>
  <c r="AT736" i="3"/>
  <c r="AR736" i="3"/>
  <c r="AP736" i="3"/>
  <c r="AN736" i="3"/>
  <c r="AL736" i="3"/>
  <c r="AB736" i="3"/>
  <c r="Z736" i="3"/>
  <c r="X736" i="3"/>
  <c r="V736" i="3"/>
  <c r="T736" i="3"/>
  <c r="R736" i="3"/>
  <c r="P736" i="3"/>
  <c r="N736" i="3"/>
  <c r="L736" i="3"/>
  <c r="J736" i="3"/>
  <c r="H736" i="3"/>
  <c r="F736" i="3"/>
  <c r="D736" i="3"/>
  <c r="B736" i="3"/>
  <c r="A736" i="3"/>
  <c r="BA736" i="3" s="1"/>
  <c r="BB735" i="3"/>
  <c r="AZ735" i="3"/>
  <c r="AX735" i="3"/>
  <c r="AV735" i="3"/>
  <c r="AT735" i="3"/>
  <c r="AR735" i="3"/>
  <c r="AP735" i="3"/>
  <c r="AN735" i="3"/>
  <c r="AL735" i="3"/>
  <c r="AB735" i="3"/>
  <c r="Z735" i="3"/>
  <c r="X735" i="3"/>
  <c r="V735" i="3"/>
  <c r="T735" i="3"/>
  <c r="R735" i="3"/>
  <c r="P735" i="3"/>
  <c r="N735" i="3"/>
  <c r="L735" i="3"/>
  <c r="J735" i="3"/>
  <c r="H735" i="3"/>
  <c r="F735" i="3"/>
  <c r="D735" i="3"/>
  <c r="B735" i="3"/>
  <c r="A735" i="3"/>
  <c r="BA735" i="3" s="1"/>
  <c r="BB734" i="3"/>
  <c r="AZ734" i="3"/>
  <c r="AX734" i="3"/>
  <c r="AV734" i="3"/>
  <c r="AT734" i="3"/>
  <c r="AR734" i="3"/>
  <c r="AP734" i="3"/>
  <c r="AN734" i="3"/>
  <c r="AL734" i="3"/>
  <c r="AB734" i="3"/>
  <c r="Z734" i="3"/>
  <c r="X734" i="3"/>
  <c r="V734" i="3"/>
  <c r="T734" i="3"/>
  <c r="R734" i="3"/>
  <c r="P734" i="3"/>
  <c r="N734" i="3"/>
  <c r="L734" i="3"/>
  <c r="J734" i="3"/>
  <c r="H734" i="3"/>
  <c r="F734" i="3"/>
  <c r="D734" i="3"/>
  <c r="B734" i="3"/>
  <c r="A734" i="3"/>
  <c r="BA734" i="3" s="1"/>
  <c r="BB733" i="3"/>
  <c r="AZ733" i="3"/>
  <c r="AX733" i="3"/>
  <c r="AV733" i="3"/>
  <c r="AT733" i="3"/>
  <c r="AR733" i="3"/>
  <c r="AP733" i="3"/>
  <c r="AN733" i="3"/>
  <c r="AL733" i="3"/>
  <c r="AB733" i="3"/>
  <c r="Z733" i="3"/>
  <c r="X733" i="3"/>
  <c r="V733" i="3"/>
  <c r="T733" i="3"/>
  <c r="R733" i="3"/>
  <c r="P733" i="3"/>
  <c r="N733" i="3"/>
  <c r="L733" i="3"/>
  <c r="J733" i="3"/>
  <c r="H733" i="3"/>
  <c r="F733" i="3"/>
  <c r="D733" i="3"/>
  <c r="B733" i="3"/>
  <c r="A733" i="3"/>
  <c r="BA733" i="3" s="1"/>
  <c r="BB732" i="3"/>
  <c r="AZ732" i="3"/>
  <c r="AX732" i="3"/>
  <c r="AV732" i="3"/>
  <c r="AT732" i="3"/>
  <c r="AR732" i="3"/>
  <c r="AP732" i="3"/>
  <c r="AN732" i="3"/>
  <c r="AL732" i="3"/>
  <c r="AB732" i="3"/>
  <c r="Z732" i="3"/>
  <c r="X732" i="3"/>
  <c r="V732" i="3"/>
  <c r="T732" i="3"/>
  <c r="R732" i="3"/>
  <c r="P732" i="3"/>
  <c r="N732" i="3"/>
  <c r="L732" i="3"/>
  <c r="J732" i="3"/>
  <c r="H732" i="3"/>
  <c r="F732" i="3"/>
  <c r="D732" i="3"/>
  <c r="B732" i="3"/>
  <c r="A732" i="3"/>
  <c r="BA732" i="3" s="1"/>
  <c r="BB731" i="3"/>
  <c r="AZ731" i="3"/>
  <c r="AX731" i="3"/>
  <c r="AV731" i="3"/>
  <c r="AT731" i="3"/>
  <c r="AR731" i="3"/>
  <c r="AP731" i="3"/>
  <c r="AN731" i="3"/>
  <c r="AL731" i="3"/>
  <c r="AB731" i="3"/>
  <c r="Z731" i="3"/>
  <c r="X731" i="3"/>
  <c r="V731" i="3"/>
  <c r="T731" i="3"/>
  <c r="R731" i="3"/>
  <c r="P731" i="3"/>
  <c r="N731" i="3"/>
  <c r="L731" i="3"/>
  <c r="J731" i="3"/>
  <c r="H731" i="3"/>
  <c r="F731" i="3"/>
  <c r="D731" i="3"/>
  <c r="B731" i="3"/>
  <c r="A731" i="3"/>
  <c r="BA731" i="3" s="1"/>
  <c r="BB730" i="3"/>
  <c r="AZ730" i="3"/>
  <c r="AX730" i="3"/>
  <c r="AV730" i="3"/>
  <c r="AT730" i="3"/>
  <c r="AR730" i="3"/>
  <c r="AP730" i="3"/>
  <c r="AN730" i="3"/>
  <c r="AL730" i="3"/>
  <c r="AB730" i="3"/>
  <c r="Z730" i="3"/>
  <c r="X730" i="3"/>
  <c r="V730" i="3"/>
  <c r="T730" i="3"/>
  <c r="R730" i="3"/>
  <c r="P730" i="3"/>
  <c r="N730" i="3"/>
  <c r="L730" i="3"/>
  <c r="J730" i="3"/>
  <c r="H730" i="3"/>
  <c r="F730" i="3"/>
  <c r="D730" i="3"/>
  <c r="B730" i="3"/>
  <c r="A730" i="3"/>
  <c r="BA730" i="3" s="1"/>
  <c r="BB729" i="3"/>
  <c r="AZ729" i="3"/>
  <c r="AX729" i="3"/>
  <c r="AV729" i="3"/>
  <c r="AT729" i="3"/>
  <c r="AR729" i="3"/>
  <c r="AP729" i="3"/>
  <c r="AN729" i="3"/>
  <c r="AL729" i="3"/>
  <c r="AB729" i="3"/>
  <c r="Z729" i="3"/>
  <c r="X729" i="3"/>
  <c r="V729" i="3"/>
  <c r="T729" i="3"/>
  <c r="R729" i="3"/>
  <c r="P729" i="3"/>
  <c r="N729" i="3"/>
  <c r="L729" i="3"/>
  <c r="J729" i="3"/>
  <c r="H729" i="3"/>
  <c r="F729" i="3"/>
  <c r="D729" i="3"/>
  <c r="B729" i="3"/>
  <c r="A729" i="3"/>
  <c r="BA729" i="3" s="1"/>
  <c r="BB728" i="3"/>
  <c r="AZ728" i="3"/>
  <c r="AX728" i="3"/>
  <c r="AV728" i="3"/>
  <c r="AT728" i="3"/>
  <c r="AR728" i="3"/>
  <c r="AP728" i="3"/>
  <c r="AN728" i="3"/>
  <c r="AL728" i="3"/>
  <c r="AB728" i="3"/>
  <c r="Z728" i="3"/>
  <c r="X728" i="3"/>
  <c r="V728" i="3"/>
  <c r="T728" i="3"/>
  <c r="R728" i="3"/>
  <c r="P728" i="3"/>
  <c r="N728" i="3"/>
  <c r="L728" i="3"/>
  <c r="J728" i="3"/>
  <c r="H728" i="3"/>
  <c r="F728" i="3"/>
  <c r="D728" i="3"/>
  <c r="B728" i="3"/>
  <c r="A728" i="3"/>
  <c r="BA728" i="3" s="1"/>
  <c r="BB727" i="3"/>
  <c r="AZ727" i="3"/>
  <c r="AX727" i="3"/>
  <c r="AV727" i="3"/>
  <c r="AT727" i="3"/>
  <c r="AR727" i="3"/>
  <c r="AP727" i="3"/>
  <c r="AN727" i="3"/>
  <c r="AL727" i="3"/>
  <c r="AB727" i="3"/>
  <c r="Z727" i="3"/>
  <c r="X727" i="3"/>
  <c r="V727" i="3"/>
  <c r="T727" i="3"/>
  <c r="R727" i="3"/>
  <c r="P727" i="3"/>
  <c r="N727" i="3"/>
  <c r="L727" i="3"/>
  <c r="J727" i="3"/>
  <c r="H727" i="3"/>
  <c r="F727" i="3"/>
  <c r="D727" i="3"/>
  <c r="B727" i="3"/>
  <c r="A727" i="3"/>
  <c r="BA727" i="3" s="1"/>
  <c r="BB726" i="3"/>
  <c r="AZ726" i="3"/>
  <c r="AX726" i="3"/>
  <c r="AV726" i="3"/>
  <c r="AT726" i="3"/>
  <c r="AR726" i="3"/>
  <c r="AP726" i="3"/>
  <c r="AN726" i="3"/>
  <c r="AL726" i="3"/>
  <c r="AB726" i="3"/>
  <c r="Z726" i="3"/>
  <c r="X726" i="3"/>
  <c r="V726" i="3"/>
  <c r="T726" i="3"/>
  <c r="R726" i="3"/>
  <c r="P726" i="3"/>
  <c r="N726" i="3"/>
  <c r="L726" i="3"/>
  <c r="J726" i="3"/>
  <c r="H726" i="3"/>
  <c r="F726" i="3"/>
  <c r="D726" i="3"/>
  <c r="B726" i="3"/>
  <c r="A726" i="3"/>
  <c r="BA726" i="3" s="1"/>
  <c r="BB725" i="3"/>
  <c r="AZ725" i="3"/>
  <c r="AX725" i="3"/>
  <c r="AV725" i="3"/>
  <c r="AT725" i="3"/>
  <c r="AR725" i="3"/>
  <c r="AP725" i="3"/>
  <c r="AN725" i="3"/>
  <c r="AL725" i="3"/>
  <c r="AB725" i="3"/>
  <c r="Z725" i="3"/>
  <c r="X725" i="3"/>
  <c r="V725" i="3"/>
  <c r="T725" i="3"/>
  <c r="R725" i="3"/>
  <c r="P725" i="3"/>
  <c r="N725" i="3"/>
  <c r="L725" i="3"/>
  <c r="J725" i="3"/>
  <c r="H725" i="3"/>
  <c r="F725" i="3"/>
  <c r="D725" i="3"/>
  <c r="B725" i="3"/>
  <c r="A725" i="3"/>
  <c r="BA725" i="3" s="1"/>
  <c r="BB724" i="3"/>
  <c r="AZ724" i="3"/>
  <c r="AX724" i="3"/>
  <c r="AV724" i="3"/>
  <c r="AT724" i="3"/>
  <c r="AR724" i="3"/>
  <c r="AP724" i="3"/>
  <c r="AN724" i="3"/>
  <c r="AL724" i="3"/>
  <c r="AB724" i="3"/>
  <c r="Z724" i="3"/>
  <c r="X724" i="3"/>
  <c r="V724" i="3"/>
  <c r="T724" i="3"/>
  <c r="R724" i="3"/>
  <c r="P724" i="3"/>
  <c r="N724" i="3"/>
  <c r="L724" i="3"/>
  <c r="J724" i="3"/>
  <c r="H724" i="3"/>
  <c r="F724" i="3"/>
  <c r="D724" i="3"/>
  <c r="B724" i="3"/>
  <c r="A724" i="3"/>
  <c r="BA724" i="3" s="1"/>
  <c r="BB723" i="3"/>
  <c r="AZ723" i="3"/>
  <c r="AX723" i="3"/>
  <c r="AV723" i="3"/>
  <c r="AT723" i="3"/>
  <c r="AR723" i="3"/>
  <c r="AP723" i="3"/>
  <c r="AN723" i="3"/>
  <c r="AL723" i="3"/>
  <c r="AB723" i="3"/>
  <c r="Z723" i="3"/>
  <c r="X723" i="3"/>
  <c r="V723" i="3"/>
  <c r="T723" i="3"/>
  <c r="R723" i="3"/>
  <c r="P723" i="3"/>
  <c r="N723" i="3"/>
  <c r="L723" i="3"/>
  <c r="J723" i="3"/>
  <c r="H723" i="3"/>
  <c r="F723" i="3"/>
  <c r="D723" i="3"/>
  <c r="B723" i="3"/>
  <c r="A723" i="3"/>
  <c r="BA723" i="3" s="1"/>
  <c r="BB722" i="3"/>
  <c r="AZ722" i="3"/>
  <c r="AX722" i="3"/>
  <c r="AV722" i="3"/>
  <c r="AT722" i="3"/>
  <c r="AR722" i="3"/>
  <c r="AP722" i="3"/>
  <c r="AN722" i="3"/>
  <c r="AL722" i="3"/>
  <c r="AB722" i="3"/>
  <c r="Z722" i="3"/>
  <c r="X722" i="3"/>
  <c r="V722" i="3"/>
  <c r="T722" i="3"/>
  <c r="R722" i="3"/>
  <c r="P722" i="3"/>
  <c r="N722" i="3"/>
  <c r="L722" i="3"/>
  <c r="J722" i="3"/>
  <c r="H722" i="3"/>
  <c r="F722" i="3"/>
  <c r="D722" i="3"/>
  <c r="B722" i="3"/>
  <c r="A722" i="3"/>
  <c r="BA722" i="3" s="1"/>
  <c r="BB721" i="3"/>
  <c r="AZ721" i="3"/>
  <c r="AX721" i="3"/>
  <c r="AV721" i="3"/>
  <c r="AT721" i="3"/>
  <c r="AR721" i="3"/>
  <c r="AP721" i="3"/>
  <c r="AN721" i="3"/>
  <c r="AL721" i="3"/>
  <c r="AB721" i="3"/>
  <c r="Z721" i="3"/>
  <c r="X721" i="3"/>
  <c r="V721" i="3"/>
  <c r="T721" i="3"/>
  <c r="R721" i="3"/>
  <c r="P721" i="3"/>
  <c r="N721" i="3"/>
  <c r="L721" i="3"/>
  <c r="J721" i="3"/>
  <c r="H721" i="3"/>
  <c r="F721" i="3"/>
  <c r="D721" i="3"/>
  <c r="B721" i="3"/>
  <c r="A721" i="3"/>
  <c r="BA721" i="3" s="1"/>
  <c r="BB720" i="3"/>
  <c r="AZ720" i="3"/>
  <c r="AX720" i="3"/>
  <c r="AV720" i="3"/>
  <c r="AT720" i="3"/>
  <c r="AR720" i="3"/>
  <c r="AP720" i="3"/>
  <c r="AN720" i="3"/>
  <c r="AL720" i="3"/>
  <c r="AB720" i="3"/>
  <c r="Z720" i="3"/>
  <c r="X720" i="3"/>
  <c r="V720" i="3"/>
  <c r="T720" i="3"/>
  <c r="R720" i="3"/>
  <c r="P720" i="3"/>
  <c r="N720" i="3"/>
  <c r="L720" i="3"/>
  <c r="J720" i="3"/>
  <c r="H720" i="3"/>
  <c r="F720" i="3"/>
  <c r="D720" i="3"/>
  <c r="B720" i="3"/>
  <c r="A720" i="3"/>
  <c r="BA720" i="3" s="1"/>
  <c r="BB719" i="3"/>
  <c r="AZ719" i="3"/>
  <c r="AX719" i="3"/>
  <c r="AV719" i="3"/>
  <c r="AT719" i="3"/>
  <c r="AR719" i="3"/>
  <c r="AP719" i="3"/>
  <c r="AN719" i="3"/>
  <c r="AL719" i="3"/>
  <c r="AB719" i="3"/>
  <c r="Z719" i="3"/>
  <c r="X719" i="3"/>
  <c r="V719" i="3"/>
  <c r="T719" i="3"/>
  <c r="R719" i="3"/>
  <c r="P719" i="3"/>
  <c r="N719" i="3"/>
  <c r="L719" i="3"/>
  <c r="J719" i="3"/>
  <c r="H719" i="3"/>
  <c r="F719" i="3"/>
  <c r="D719" i="3"/>
  <c r="B719" i="3"/>
  <c r="A719" i="3"/>
  <c r="BA719" i="3" s="1"/>
  <c r="BB718" i="3"/>
  <c r="AZ718" i="3"/>
  <c r="AX718" i="3"/>
  <c r="AV718" i="3"/>
  <c r="AT718" i="3"/>
  <c r="AR718" i="3"/>
  <c r="AP718" i="3"/>
  <c r="AN718" i="3"/>
  <c r="AL718" i="3"/>
  <c r="AB718" i="3"/>
  <c r="Z718" i="3"/>
  <c r="X718" i="3"/>
  <c r="V718" i="3"/>
  <c r="T718" i="3"/>
  <c r="R718" i="3"/>
  <c r="P718" i="3"/>
  <c r="N718" i="3"/>
  <c r="L718" i="3"/>
  <c r="J718" i="3"/>
  <c r="H718" i="3"/>
  <c r="F718" i="3"/>
  <c r="D718" i="3"/>
  <c r="B718" i="3"/>
  <c r="A718" i="3"/>
  <c r="BA718" i="3" s="1"/>
  <c r="BB717" i="3"/>
  <c r="AZ717" i="3"/>
  <c r="AX717" i="3"/>
  <c r="AV717" i="3"/>
  <c r="AT717" i="3"/>
  <c r="AR717" i="3"/>
  <c r="AP717" i="3"/>
  <c r="AN717" i="3"/>
  <c r="AL717" i="3"/>
  <c r="AB717" i="3"/>
  <c r="Z717" i="3"/>
  <c r="X717" i="3"/>
  <c r="V717" i="3"/>
  <c r="T717" i="3"/>
  <c r="R717" i="3"/>
  <c r="P717" i="3"/>
  <c r="N717" i="3"/>
  <c r="L717" i="3"/>
  <c r="J717" i="3"/>
  <c r="H717" i="3"/>
  <c r="F717" i="3"/>
  <c r="D717" i="3"/>
  <c r="B717" i="3"/>
  <c r="A717" i="3"/>
  <c r="BA717" i="3" s="1"/>
  <c r="A716" i="3"/>
  <c r="BB716" i="3" s="1"/>
  <c r="A715" i="3"/>
  <c r="BA715" i="3" s="1"/>
  <c r="A714" i="3"/>
  <c r="BA714" i="3" s="1"/>
  <c r="A713" i="3"/>
  <c r="BA713" i="3" s="1"/>
  <c r="A712" i="3"/>
  <c r="BA712" i="3" s="1"/>
  <c r="A711" i="3"/>
  <c r="BA711" i="3" s="1"/>
  <c r="A710" i="3"/>
  <c r="BA710" i="3" s="1"/>
  <c r="A709" i="3"/>
  <c r="BA709" i="3" s="1"/>
  <c r="A708" i="3"/>
  <c r="BA708" i="3" s="1"/>
  <c r="A707" i="3"/>
  <c r="BA707" i="3" s="1"/>
  <c r="A706" i="3"/>
  <c r="BA706" i="3" s="1"/>
  <c r="A705" i="3"/>
  <c r="BA705" i="3" s="1"/>
  <c r="A704" i="3"/>
  <c r="BA704" i="3" s="1"/>
  <c r="A703" i="3"/>
  <c r="BA703" i="3" s="1"/>
  <c r="A702" i="3"/>
  <c r="BA702" i="3" s="1"/>
  <c r="A701" i="3"/>
  <c r="BA701" i="3" s="1"/>
  <c r="A700" i="3"/>
  <c r="BA700" i="3" s="1"/>
  <c r="A699" i="3"/>
  <c r="BA699" i="3" s="1"/>
  <c r="A698" i="3"/>
  <c r="BA698" i="3" s="1"/>
  <c r="A697" i="3"/>
  <c r="BA697" i="3" s="1"/>
  <c r="A696" i="3"/>
  <c r="BA696" i="3" s="1"/>
  <c r="A695" i="3"/>
  <c r="BA695" i="3" s="1"/>
  <c r="A694" i="3"/>
  <c r="BA694" i="3" s="1"/>
  <c r="A693" i="3"/>
  <c r="BA693" i="3" s="1"/>
  <c r="A692" i="3"/>
  <c r="BA692" i="3" s="1"/>
  <c r="A691" i="3"/>
  <c r="BA691" i="3" s="1"/>
  <c r="A690" i="3"/>
  <c r="BA690" i="3" s="1"/>
  <c r="A689" i="3"/>
  <c r="BA689" i="3" s="1"/>
  <c r="A688" i="3"/>
  <c r="BA688" i="3" s="1"/>
  <c r="A687" i="3"/>
  <c r="BA687" i="3" s="1"/>
  <c r="A686" i="3"/>
  <c r="BA686" i="3" s="1"/>
  <c r="A685" i="3"/>
  <c r="BA685" i="3" s="1"/>
  <c r="A684" i="3"/>
  <c r="BA684" i="3" s="1"/>
  <c r="A683" i="3"/>
  <c r="BA683" i="3" s="1"/>
  <c r="A682" i="3"/>
  <c r="BA682" i="3" s="1"/>
  <c r="A681" i="3"/>
  <c r="BA681" i="3" s="1"/>
  <c r="A680" i="3"/>
  <c r="BA680" i="3" s="1"/>
  <c r="A679" i="3"/>
  <c r="BA679" i="3" s="1"/>
  <c r="A678" i="3"/>
  <c r="BA678" i="3" s="1"/>
  <c r="A677" i="3"/>
  <c r="BA677" i="3" s="1"/>
  <c r="A676" i="3"/>
  <c r="BA676" i="3" s="1"/>
  <c r="L675" i="3"/>
  <c r="J675" i="3"/>
  <c r="H675" i="3"/>
  <c r="F675" i="3"/>
  <c r="D675" i="3"/>
  <c r="B675" i="3"/>
  <c r="A675" i="3"/>
  <c r="BA675" i="3" s="1"/>
  <c r="BB674" i="3"/>
  <c r="AZ674" i="3"/>
  <c r="AX674" i="3"/>
  <c r="AV674" i="3"/>
  <c r="AT674" i="3"/>
  <c r="AR674" i="3"/>
  <c r="AP674" i="3"/>
  <c r="AN674" i="3"/>
  <c r="AL674" i="3"/>
  <c r="AB674" i="3"/>
  <c r="Z674" i="3"/>
  <c r="X674" i="3"/>
  <c r="V674" i="3"/>
  <c r="T674" i="3"/>
  <c r="R674" i="3"/>
  <c r="P674" i="3"/>
  <c r="N674" i="3"/>
  <c r="L674" i="3"/>
  <c r="J674" i="3"/>
  <c r="H674" i="3"/>
  <c r="F674" i="3"/>
  <c r="D674" i="3"/>
  <c r="B674" i="3"/>
  <c r="A674" i="3"/>
  <c r="BA674" i="3" s="1"/>
  <c r="BB673" i="3"/>
  <c r="AZ673" i="3"/>
  <c r="AX673" i="3"/>
  <c r="AV673" i="3"/>
  <c r="AT673" i="3"/>
  <c r="AR673" i="3"/>
  <c r="AP673" i="3"/>
  <c r="AN673" i="3"/>
  <c r="AL673" i="3"/>
  <c r="AB673" i="3"/>
  <c r="Z673" i="3"/>
  <c r="X673" i="3"/>
  <c r="V673" i="3"/>
  <c r="T673" i="3"/>
  <c r="R673" i="3"/>
  <c r="P673" i="3"/>
  <c r="N673" i="3"/>
  <c r="L673" i="3"/>
  <c r="J673" i="3"/>
  <c r="H673" i="3"/>
  <c r="F673" i="3"/>
  <c r="D673" i="3"/>
  <c r="B673" i="3"/>
  <c r="A673" i="3"/>
  <c r="BA673" i="3" s="1"/>
  <c r="BB672" i="3"/>
  <c r="AZ672" i="3"/>
  <c r="AX672" i="3"/>
  <c r="AV672" i="3"/>
  <c r="AT672" i="3"/>
  <c r="AR672" i="3"/>
  <c r="AP672" i="3"/>
  <c r="AN672" i="3"/>
  <c r="AL672" i="3"/>
  <c r="AB672" i="3"/>
  <c r="Z672" i="3"/>
  <c r="X672" i="3"/>
  <c r="V672" i="3"/>
  <c r="T672" i="3"/>
  <c r="R672" i="3"/>
  <c r="P672" i="3"/>
  <c r="N672" i="3"/>
  <c r="L672" i="3"/>
  <c r="J672" i="3"/>
  <c r="H672" i="3"/>
  <c r="F672" i="3"/>
  <c r="D672" i="3"/>
  <c r="B672" i="3"/>
  <c r="A672" i="3"/>
  <c r="BA672" i="3" s="1"/>
  <c r="BB671" i="3"/>
  <c r="AZ671" i="3"/>
  <c r="AX671" i="3"/>
  <c r="AV671" i="3"/>
  <c r="AT671" i="3"/>
  <c r="AR671" i="3"/>
  <c r="AP671" i="3"/>
  <c r="AN671" i="3"/>
  <c r="AL671" i="3"/>
  <c r="AB671" i="3"/>
  <c r="Z671" i="3"/>
  <c r="X671" i="3"/>
  <c r="V671" i="3"/>
  <c r="T671" i="3"/>
  <c r="R671" i="3"/>
  <c r="P671" i="3"/>
  <c r="N671" i="3"/>
  <c r="L671" i="3"/>
  <c r="J671" i="3"/>
  <c r="H671" i="3"/>
  <c r="F671" i="3"/>
  <c r="D671" i="3"/>
  <c r="B671" i="3"/>
  <c r="A671" i="3"/>
  <c r="BA671" i="3" s="1"/>
  <c r="BB670" i="3"/>
  <c r="AZ670" i="3"/>
  <c r="AX670" i="3"/>
  <c r="AV670" i="3"/>
  <c r="AT670" i="3"/>
  <c r="AR670" i="3"/>
  <c r="AP670" i="3"/>
  <c r="AN670" i="3"/>
  <c r="AL670" i="3"/>
  <c r="AB670" i="3"/>
  <c r="Z670" i="3"/>
  <c r="X670" i="3"/>
  <c r="V670" i="3"/>
  <c r="T670" i="3"/>
  <c r="R670" i="3"/>
  <c r="P670" i="3"/>
  <c r="N670" i="3"/>
  <c r="L670" i="3"/>
  <c r="J670" i="3"/>
  <c r="H670" i="3"/>
  <c r="F670" i="3"/>
  <c r="D670" i="3"/>
  <c r="B670" i="3"/>
  <c r="A670" i="3"/>
  <c r="BA670" i="3" s="1"/>
  <c r="BB669" i="3"/>
  <c r="AZ669" i="3"/>
  <c r="AX669" i="3"/>
  <c r="AV669" i="3"/>
  <c r="AT669" i="3"/>
  <c r="AR669" i="3"/>
  <c r="AP669" i="3"/>
  <c r="AN669" i="3"/>
  <c r="AL669" i="3"/>
  <c r="AB669" i="3"/>
  <c r="Z669" i="3"/>
  <c r="X669" i="3"/>
  <c r="V669" i="3"/>
  <c r="T669" i="3"/>
  <c r="R669" i="3"/>
  <c r="P669" i="3"/>
  <c r="N669" i="3"/>
  <c r="L669" i="3"/>
  <c r="J669" i="3"/>
  <c r="H669" i="3"/>
  <c r="F669" i="3"/>
  <c r="D669" i="3"/>
  <c r="B669" i="3"/>
  <c r="A669" i="3"/>
  <c r="BA669" i="3" s="1"/>
  <c r="BB668" i="3"/>
  <c r="AZ668" i="3"/>
  <c r="AX668" i="3"/>
  <c r="AV668" i="3"/>
  <c r="AT668" i="3"/>
  <c r="AR668" i="3"/>
  <c r="AP668" i="3"/>
  <c r="AN668" i="3"/>
  <c r="AL668" i="3"/>
  <c r="AB668" i="3"/>
  <c r="Z668" i="3"/>
  <c r="X668" i="3"/>
  <c r="V668" i="3"/>
  <c r="T668" i="3"/>
  <c r="R668" i="3"/>
  <c r="P668" i="3"/>
  <c r="N668" i="3"/>
  <c r="L668" i="3"/>
  <c r="J668" i="3"/>
  <c r="H668" i="3"/>
  <c r="F668" i="3"/>
  <c r="D668" i="3"/>
  <c r="B668" i="3"/>
  <c r="A668" i="3"/>
  <c r="BA668" i="3" s="1"/>
  <c r="BB667" i="3"/>
  <c r="AZ667" i="3"/>
  <c r="AX667" i="3"/>
  <c r="AV667" i="3"/>
  <c r="AT667" i="3"/>
  <c r="AR667" i="3"/>
  <c r="AP667" i="3"/>
  <c r="AN667" i="3"/>
  <c r="AL667" i="3"/>
  <c r="AB667" i="3"/>
  <c r="Z667" i="3"/>
  <c r="X667" i="3"/>
  <c r="V667" i="3"/>
  <c r="T667" i="3"/>
  <c r="R667" i="3"/>
  <c r="P667" i="3"/>
  <c r="N667" i="3"/>
  <c r="L667" i="3"/>
  <c r="J667" i="3"/>
  <c r="H667" i="3"/>
  <c r="F667" i="3"/>
  <c r="D667" i="3"/>
  <c r="B667" i="3"/>
  <c r="A667" i="3"/>
  <c r="BA667" i="3" s="1"/>
  <c r="BB666" i="3"/>
  <c r="AZ666" i="3"/>
  <c r="AX666" i="3"/>
  <c r="AV666" i="3"/>
  <c r="AT666" i="3"/>
  <c r="AR666" i="3"/>
  <c r="AP666" i="3"/>
  <c r="AN666" i="3"/>
  <c r="AL666" i="3"/>
  <c r="AB666" i="3"/>
  <c r="Z666" i="3"/>
  <c r="X666" i="3"/>
  <c r="V666" i="3"/>
  <c r="T666" i="3"/>
  <c r="R666" i="3"/>
  <c r="P666" i="3"/>
  <c r="N666" i="3"/>
  <c r="L666" i="3"/>
  <c r="J666" i="3"/>
  <c r="H666" i="3"/>
  <c r="F666" i="3"/>
  <c r="D666" i="3"/>
  <c r="B666" i="3"/>
  <c r="A666" i="3"/>
  <c r="BA666" i="3" s="1"/>
  <c r="BB665" i="3"/>
  <c r="AZ665" i="3"/>
  <c r="AX665" i="3"/>
  <c r="AV665" i="3"/>
  <c r="AT665" i="3"/>
  <c r="AR665" i="3"/>
  <c r="AP665" i="3"/>
  <c r="AN665" i="3"/>
  <c r="AL665" i="3"/>
  <c r="AB665" i="3"/>
  <c r="Z665" i="3"/>
  <c r="X665" i="3"/>
  <c r="V665" i="3"/>
  <c r="T665" i="3"/>
  <c r="R665" i="3"/>
  <c r="P665" i="3"/>
  <c r="N665" i="3"/>
  <c r="L665" i="3"/>
  <c r="J665" i="3"/>
  <c r="H665" i="3"/>
  <c r="F665" i="3"/>
  <c r="D665" i="3"/>
  <c r="B665" i="3"/>
  <c r="A665" i="3"/>
  <c r="BA665" i="3" s="1"/>
  <c r="BB664" i="3"/>
  <c r="AZ664" i="3"/>
  <c r="AX664" i="3"/>
  <c r="AV664" i="3"/>
  <c r="AT664" i="3"/>
  <c r="AR664" i="3"/>
  <c r="AP664" i="3"/>
  <c r="AN664" i="3"/>
  <c r="AL664" i="3"/>
  <c r="AB664" i="3"/>
  <c r="Z664" i="3"/>
  <c r="X664" i="3"/>
  <c r="V664" i="3"/>
  <c r="T664" i="3"/>
  <c r="R664" i="3"/>
  <c r="P664" i="3"/>
  <c r="N664" i="3"/>
  <c r="L664" i="3"/>
  <c r="J664" i="3"/>
  <c r="H664" i="3"/>
  <c r="F664" i="3"/>
  <c r="D664" i="3"/>
  <c r="B664" i="3"/>
  <c r="A664" i="3"/>
  <c r="BA664" i="3" s="1"/>
  <c r="BB663" i="3"/>
  <c r="AZ663" i="3"/>
  <c r="AX663" i="3"/>
  <c r="AV663" i="3"/>
  <c r="AT663" i="3"/>
  <c r="AR663" i="3"/>
  <c r="AP663" i="3"/>
  <c r="AN663" i="3"/>
  <c r="AL663" i="3"/>
  <c r="AB663" i="3"/>
  <c r="Z663" i="3"/>
  <c r="X663" i="3"/>
  <c r="V663" i="3"/>
  <c r="T663" i="3"/>
  <c r="R663" i="3"/>
  <c r="P663" i="3"/>
  <c r="N663" i="3"/>
  <c r="L663" i="3"/>
  <c r="J663" i="3"/>
  <c r="H663" i="3"/>
  <c r="F663" i="3"/>
  <c r="D663" i="3"/>
  <c r="B663" i="3"/>
  <c r="A663" i="3"/>
  <c r="BA663" i="3" s="1"/>
  <c r="BB662" i="3"/>
  <c r="AZ662" i="3"/>
  <c r="AX662" i="3"/>
  <c r="AV662" i="3"/>
  <c r="AT662" i="3"/>
  <c r="AR662" i="3"/>
  <c r="AP662" i="3"/>
  <c r="AN662" i="3"/>
  <c r="AL662" i="3"/>
  <c r="AB662" i="3"/>
  <c r="Z662" i="3"/>
  <c r="X662" i="3"/>
  <c r="V662" i="3"/>
  <c r="T662" i="3"/>
  <c r="R662" i="3"/>
  <c r="P662" i="3"/>
  <c r="N662" i="3"/>
  <c r="L662" i="3"/>
  <c r="J662" i="3"/>
  <c r="H662" i="3"/>
  <c r="F662" i="3"/>
  <c r="D662" i="3"/>
  <c r="B662" i="3"/>
  <c r="A662" i="3"/>
  <c r="BA662" i="3" s="1"/>
  <c r="BB661" i="3"/>
  <c r="AZ661" i="3"/>
  <c r="AX661" i="3"/>
  <c r="AV661" i="3"/>
  <c r="AT661" i="3"/>
  <c r="AR661" i="3"/>
  <c r="AP661" i="3"/>
  <c r="AN661" i="3"/>
  <c r="AL661" i="3"/>
  <c r="AB661" i="3"/>
  <c r="Z661" i="3"/>
  <c r="X661" i="3"/>
  <c r="V661" i="3"/>
  <c r="T661" i="3"/>
  <c r="R661" i="3"/>
  <c r="P661" i="3"/>
  <c r="N661" i="3"/>
  <c r="L661" i="3"/>
  <c r="J661" i="3"/>
  <c r="H661" i="3"/>
  <c r="F661" i="3"/>
  <c r="D661" i="3"/>
  <c r="B661" i="3"/>
  <c r="A661" i="3"/>
  <c r="BA661" i="3" s="1"/>
  <c r="BB660" i="3"/>
  <c r="AZ660" i="3"/>
  <c r="AX660" i="3"/>
  <c r="AV660" i="3"/>
  <c r="AT660" i="3"/>
  <c r="AR660" i="3"/>
  <c r="AP660" i="3"/>
  <c r="AN660" i="3"/>
  <c r="AL660" i="3"/>
  <c r="AB660" i="3"/>
  <c r="Z660" i="3"/>
  <c r="X660" i="3"/>
  <c r="V660" i="3"/>
  <c r="T660" i="3"/>
  <c r="R660" i="3"/>
  <c r="P660" i="3"/>
  <c r="N660" i="3"/>
  <c r="L660" i="3"/>
  <c r="J660" i="3"/>
  <c r="H660" i="3"/>
  <c r="F660" i="3"/>
  <c r="D660" i="3"/>
  <c r="B660" i="3"/>
  <c r="A660" i="3"/>
  <c r="BA660" i="3" s="1"/>
  <c r="BB659" i="3"/>
  <c r="AZ659" i="3"/>
  <c r="AX659" i="3"/>
  <c r="AV659" i="3"/>
  <c r="AT659" i="3"/>
  <c r="AR659" i="3"/>
  <c r="AP659" i="3"/>
  <c r="AN659" i="3"/>
  <c r="AL659" i="3"/>
  <c r="AB659" i="3"/>
  <c r="Z659" i="3"/>
  <c r="X659" i="3"/>
  <c r="V659" i="3"/>
  <c r="T659" i="3"/>
  <c r="R659" i="3"/>
  <c r="P659" i="3"/>
  <c r="N659" i="3"/>
  <c r="L659" i="3"/>
  <c r="J659" i="3"/>
  <c r="H659" i="3"/>
  <c r="F659" i="3"/>
  <c r="D659" i="3"/>
  <c r="B659" i="3"/>
  <c r="A659" i="3"/>
  <c r="BA659" i="3" s="1"/>
  <c r="BB658" i="3"/>
  <c r="AZ658" i="3"/>
  <c r="AX658" i="3"/>
  <c r="AV658" i="3"/>
  <c r="AT658" i="3"/>
  <c r="AR658" i="3"/>
  <c r="AP658" i="3"/>
  <c r="AN658" i="3"/>
  <c r="AL658" i="3"/>
  <c r="AB658" i="3"/>
  <c r="Z658" i="3"/>
  <c r="X658" i="3"/>
  <c r="V658" i="3"/>
  <c r="T658" i="3"/>
  <c r="R658" i="3"/>
  <c r="P658" i="3"/>
  <c r="N658" i="3"/>
  <c r="L658" i="3"/>
  <c r="J658" i="3"/>
  <c r="H658" i="3"/>
  <c r="F658" i="3"/>
  <c r="D658" i="3"/>
  <c r="B658" i="3"/>
  <c r="A658" i="3"/>
  <c r="BA658" i="3" s="1"/>
  <c r="BB657" i="3"/>
  <c r="AZ657" i="3"/>
  <c r="AX657" i="3"/>
  <c r="AV657" i="3"/>
  <c r="AT657" i="3"/>
  <c r="AR657" i="3"/>
  <c r="AP657" i="3"/>
  <c r="AN657" i="3"/>
  <c r="AL657" i="3"/>
  <c r="AB657" i="3"/>
  <c r="Z657" i="3"/>
  <c r="X657" i="3"/>
  <c r="V657" i="3"/>
  <c r="T657" i="3"/>
  <c r="R657" i="3"/>
  <c r="P657" i="3"/>
  <c r="N657" i="3"/>
  <c r="L657" i="3"/>
  <c r="J657" i="3"/>
  <c r="H657" i="3"/>
  <c r="F657" i="3"/>
  <c r="D657" i="3"/>
  <c r="B657" i="3"/>
  <c r="A657" i="3"/>
  <c r="BA657" i="3" s="1"/>
  <c r="BB656" i="3"/>
  <c r="AZ656" i="3"/>
  <c r="AX656" i="3"/>
  <c r="AV656" i="3"/>
  <c r="AT656" i="3"/>
  <c r="AR656" i="3"/>
  <c r="AP656" i="3"/>
  <c r="AN656" i="3"/>
  <c r="AL656" i="3"/>
  <c r="AB656" i="3"/>
  <c r="Z656" i="3"/>
  <c r="X656" i="3"/>
  <c r="V656" i="3"/>
  <c r="T656" i="3"/>
  <c r="R656" i="3"/>
  <c r="P656" i="3"/>
  <c r="N656" i="3"/>
  <c r="L656" i="3"/>
  <c r="J656" i="3"/>
  <c r="H656" i="3"/>
  <c r="F656" i="3"/>
  <c r="D656" i="3"/>
  <c r="B656" i="3"/>
  <c r="A656" i="3"/>
  <c r="BA656" i="3" s="1"/>
  <c r="BB655" i="3"/>
  <c r="AZ655" i="3"/>
  <c r="AX655" i="3"/>
  <c r="AV655" i="3"/>
  <c r="AT655" i="3"/>
  <c r="AR655" i="3"/>
  <c r="AP655" i="3"/>
  <c r="AN655" i="3"/>
  <c r="AL655" i="3"/>
  <c r="AB655" i="3"/>
  <c r="Z655" i="3"/>
  <c r="X655" i="3"/>
  <c r="V655" i="3"/>
  <c r="T655" i="3"/>
  <c r="R655" i="3"/>
  <c r="P655" i="3"/>
  <c r="N655" i="3"/>
  <c r="L655" i="3"/>
  <c r="J655" i="3"/>
  <c r="H655" i="3"/>
  <c r="F655" i="3"/>
  <c r="D655" i="3"/>
  <c r="B655" i="3"/>
  <c r="A655" i="3"/>
  <c r="BA655" i="3" s="1"/>
  <c r="BB654" i="3"/>
  <c r="AZ654" i="3"/>
  <c r="AX654" i="3"/>
  <c r="AV654" i="3"/>
  <c r="AT654" i="3"/>
  <c r="AR654" i="3"/>
  <c r="AP654" i="3"/>
  <c r="AN654" i="3"/>
  <c r="AL654" i="3"/>
  <c r="AB654" i="3"/>
  <c r="Z654" i="3"/>
  <c r="X654" i="3"/>
  <c r="V654" i="3"/>
  <c r="T654" i="3"/>
  <c r="R654" i="3"/>
  <c r="P654" i="3"/>
  <c r="N654" i="3"/>
  <c r="L654" i="3"/>
  <c r="J654" i="3"/>
  <c r="H654" i="3"/>
  <c r="F654" i="3"/>
  <c r="D654" i="3"/>
  <c r="B654" i="3"/>
  <c r="A654" i="3"/>
  <c r="BA654" i="3" s="1"/>
  <c r="BB653" i="3"/>
  <c r="AZ653" i="3"/>
  <c r="AX653" i="3"/>
  <c r="AV653" i="3"/>
  <c r="AT653" i="3"/>
  <c r="AR653" i="3"/>
  <c r="AP653" i="3"/>
  <c r="AN653" i="3"/>
  <c r="AL653" i="3"/>
  <c r="AB653" i="3"/>
  <c r="Z653" i="3"/>
  <c r="X653" i="3"/>
  <c r="V653" i="3"/>
  <c r="T653" i="3"/>
  <c r="R653" i="3"/>
  <c r="P653" i="3"/>
  <c r="N653" i="3"/>
  <c r="L653" i="3"/>
  <c r="J653" i="3"/>
  <c r="H653" i="3"/>
  <c r="F653" i="3"/>
  <c r="D653" i="3"/>
  <c r="B653" i="3"/>
  <c r="A653" i="3"/>
  <c r="BA653" i="3" s="1"/>
  <c r="BB652" i="3"/>
  <c r="AZ652" i="3"/>
  <c r="AX652" i="3"/>
  <c r="AV652" i="3"/>
  <c r="AT652" i="3"/>
  <c r="AR652" i="3"/>
  <c r="AP652" i="3"/>
  <c r="AN652" i="3"/>
  <c r="AL652" i="3"/>
  <c r="AB652" i="3"/>
  <c r="Z652" i="3"/>
  <c r="X652" i="3"/>
  <c r="V652" i="3"/>
  <c r="T652" i="3"/>
  <c r="R652" i="3"/>
  <c r="P652" i="3"/>
  <c r="N652" i="3"/>
  <c r="L652" i="3"/>
  <c r="J652" i="3"/>
  <c r="H652" i="3"/>
  <c r="F652" i="3"/>
  <c r="D652" i="3"/>
  <c r="B652" i="3"/>
  <c r="A652" i="3"/>
  <c r="BA652" i="3" s="1"/>
  <c r="BB651" i="3"/>
  <c r="AZ651" i="3"/>
  <c r="AX651" i="3"/>
  <c r="AV651" i="3"/>
  <c r="AT651" i="3"/>
  <c r="AR651" i="3"/>
  <c r="AP651" i="3"/>
  <c r="AN651" i="3"/>
  <c r="AL651" i="3"/>
  <c r="AB651" i="3"/>
  <c r="Z651" i="3"/>
  <c r="X651" i="3"/>
  <c r="V651" i="3"/>
  <c r="T651" i="3"/>
  <c r="R651" i="3"/>
  <c r="P651" i="3"/>
  <c r="N651" i="3"/>
  <c r="L651" i="3"/>
  <c r="J651" i="3"/>
  <c r="H651" i="3"/>
  <c r="F651" i="3"/>
  <c r="D651" i="3"/>
  <c r="B651" i="3"/>
  <c r="A651" i="3"/>
  <c r="BA651" i="3" s="1"/>
  <c r="BB650" i="3"/>
  <c r="AZ650" i="3"/>
  <c r="AX650" i="3"/>
  <c r="AV650" i="3"/>
  <c r="AT650" i="3"/>
  <c r="AR650" i="3"/>
  <c r="AP650" i="3"/>
  <c r="AN650" i="3"/>
  <c r="AL650" i="3"/>
  <c r="AB650" i="3"/>
  <c r="Z650" i="3"/>
  <c r="X650" i="3"/>
  <c r="V650" i="3"/>
  <c r="T650" i="3"/>
  <c r="R650" i="3"/>
  <c r="P650" i="3"/>
  <c r="N650" i="3"/>
  <c r="L650" i="3"/>
  <c r="J650" i="3"/>
  <c r="H650" i="3"/>
  <c r="F650" i="3"/>
  <c r="D650" i="3"/>
  <c r="B650" i="3"/>
  <c r="A650" i="3"/>
  <c r="BA650" i="3" s="1"/>
  <c r="BB649" i="3"/>
  <c r="AZ649" i="3"/>
  <c r="AX649" i="3"/>
  <c r="AV649" i="3"/>
  <c r="AT649" i="3"/>
  <c r="AR649" i="3"/>
  <c r="AP649" i="3"/>
  <c r="AN649" i="3"/>
  <c r="AL649" i="3"/>
  <c r="AB649" i="3"/>
  <c r="Z649" i="3"/>
  <c r="X649" i="3"/>
  <c r="V649" i="3"/>
  <c r="T649" i="3"/>
  <c r="R649" i="3"/>
  <c r="P649" i="3"/>
  <c r="N649" i="3"/>
  <c r="L649" i="3"/>
  <c r="J649" i="3"/>
  <c r="H649" i="3"/>
  <c r="F649" i="3"/>
  <c r="D649" i="3"/>
  <c r="B649" i="3"/>
  <c r="A649" i="3"/>
  <c r="BA649" i="3" s="1"/>
  <c r="BB648" i="3"/>
  <c r="AZ648" i="3"/>
  <c r="AX648" i="3"/>
  <c r="AV648" i="3"/>
  <c r="AT648" i="3"/>
  <c r="AR648" i="3"/>
  <c r="AP648" i="3"/>
  <c r="AN648" i="3"/>
  <c r="AL648" i="3"/>
  <c r="AB648" i="3"/>
  <c r="Z648" i="3"/>
  <c r="X648" i="3"/>
  <c r="V648" i="3"/>
  <c r="T648" i="3"/>
  <c r="R648" i="3"/>
  <c r="P648" i="3"/>
  <c r="N648" i="3"/>
  <c r="L648" i="3"/>
  <c r="J648" i="3"/>
  <c r="H648" i="3"/>
  <c r="F648" i="3"/>
  <c r="D648" i="3"/>
  <c r="B648" i="3"/>
  <c r="A648" i="3"/>
  <c r="BA648" i="3" s="1"/>
  <c r="BB647" i="3"/>
  <c r="AZ647" i="3"/>
  <c r="AX647" i="3"/>
  <c r="AV647" i="3"/>
  <c r="AT647" i="3"/>
  <c r="AR647" i="3"/>
  <c r="AP647" i="3"/>
  <c r="AN647" i="3"/>
  <c r="AL647" i="3"/>
  <c r="AB647" i="3"/>
  <c r="Z647" i="3"/>
  <c r="X647" i="3"/>
  <c r="V647" i="3"/>
  <c r="T647" i="3"/>
  <c r="R647" i="3"/>
  <c r="P647" i="3"/>
  <c r="N647" i="3"/>
  <c r="L647" i="3"/>
  <c r="J647" i="3"/>
  <c r="H647" i="3"/>
  <c r="F647" i="3"/>
  <c r="D647" i="3"/>
  <c r="B647" i="3"/>
  <c r="A647" i="3"/>
  <c r="BA647" i="3" s="1"/>
  <c r="BB646" i="3"/>
  <c r="AZ646" i="3"/>
  <c r="AX646" i="3"/>
  <c r="AV646" i="3"/>
  <c r="AT646" i="3"/>
  <c r="AR646" i="3"/>
  <c r="AP646" i="3"/>
  <c r="AN646" i="3"/>
  <c r="AL646" i="3"/>
  <c r="AB646" i="3"/>
  <c r="Z646" i="3"/>
  <c r="X646" i="3"/>
  <c r="V646" i="3"/>
  <c r="T646" i="3"/>
  <c r="R646" i="3"/>
  <c r="P646" i="3"/>
  <c r="N646" i="3"/>
  <c r="L646" i="3"/>
  <c r="J646" i="3"/>
  <c r="H646" i="3"/>
  <c r="F646" i="3"/>
  <c r="D646" i="3"/>
  <c r="B646" i="3"/>
  <c r="A646" i="3"/>
  <c r="BA646" i="3" s="1"/>
  <c r="BB645" i="3"/>
  <c r="AZ645" i="3"/>
  <c r="AX645" i="3"/>
  <c r="AV645" i="3"/>
  <c r="AT645" i="3"/>
  <c r="AR645" i="3"/>
  <c r="AP645" i="3"/>
  <c r="AN645" i="3"/>
  <c r="AL645" i="3"/>
  <c r="AB645" i="3"/>
  <c r="Z645" i="3"/>
  <c r="X645" i="3"/>
  <c r="V645" i="3"/>
  <c r="T645" i="3"/>
  <c r="R645" i="3"/>
  <c r="P645" i="3"/>
  <c r="N645" i="3"/>
  <c r="L645" i="3"/>
  <c r="J645" i="3"/>
  <c r="H645" i="3"/>
  <c r="F645" i="3"/>
  <c r="D645" i="3"/>
  <c r="B645" i="3"/>
  <c r="A645" i="3"/>
  <c r="BA645" i="3" s="1"/>
  <c r="BB644" i="3"/>
  <c r="AZ644" i="3"/>
  <c r="AX644" i="3"/>
  <c r="AV644" i="3"/>
  <c r="AT644" i="3"/>
  <c r="AR644" i="3"/>
  <c r="AP644" i="3"/>
  <c r="AN644" i="3"/>
  <c r="AL644" i="3"/>
  <c r="AB644" i="3"/>
  <c r="Z644" i="3"/>
  <c r="X644" i="3"/>
  <c r="V644" i="3"/>
  <c r="T644" i="3"/>
  <c r="R644" i="3"/>
  <c r="P644" i="3"/>
  <c r="N644" i="3"/>
  <c r="L644" i="3"/>
  <c r="J644" i="3"/>
  <c r="H644" i="3"/>
  <c r="F644" i="3"/>
  <c r="D644" i="3"/>
  <c r="B644" i="3"/>
  <c r="A644" i="3"/>
  <c r="BA644" i="3" s="1"/>
  <c r="BB643" i="3"/>
  <c r="AZ643" i="3"/>
  <c r="AX643" i="3"/>
  <c r="AV643" i="3"/>
  <c r="AT643" i="3"/>
  <c r="AR643" i="3"/>
  <c r="AP643" i="3"/>
  <c r="AN643" i="3"/>
  <c r="AL643" i="3"/>
  <c r="AB643" i="3"/>
  <c r="Z643" i="3"/>
  <c r="X643" i="3"/>
  <c r="V643" i="3"/>
  <c r="T643" i="3"/>
  <c r="R643" i="3"/>
  <c r="P643" i="3"/>
  <c r="N643" i="3"/>
  <c r="L643" i="3"/>
  <c r="J643" i="3"/>
  <c r="H643" i="3"/>
  <c r="F643" i="3"/>
  <c r="D643" i="3"/>
  <c r="B643" i="3"/>
  <c r="A643" i="3"/>
  <c r="BA643" i="3" s="1"/>
  <c r="BB642" i="3"/>
  <c r="AZ642" i="3"/>
  <c r="AX642" i="3"/>
  <c r="AV642" i="3"/>
  <c r="AT642" i="3"/>
  <c r="AR642" i="3"/>
  <c r="AP642" i="3"/>
  <c r="AN642" i="3"/>
  <c r="AL642" i="3"/>
  <c r="AB642" i="3"/>
  <c r="Z642" i="3"/>
  <c r="X642" i="3"/>
  <c r="V642" i="3"/>
  <c r="T642" i="3"/>
  <c r="R642" i="3"/>
  <c r="P642" i="3"/>
  <c r="N642" i="3"/>
  <c r="L642" i="3"/>
  <c r="J642" i="3"/>
  <c r="H642" i="3"/>
  <c r="F642" i="3"/>
  <c r="D642" i="3"/>
  <c r="B642" i="3"/>
  <c r="A642" i="3"/>
  <c r="BA642" i="3" s="1"/>
  <c r="BB641" i="3"/>
  <c r="AZ641" i="3"/>
  <c r="AX641" i="3"/>
  <c r="AV641" i="3"/>
  <c r="AT641" i="3"/>
  <c r="AR641" i="3"/>
  <c r="AP641" i="3"/>
  <c r="AN641" i="3"/>
  <c r="AL641" i="3"/>
  <c r="AB641" i="3"/>
  <c r="Z641" i="3"/>
  <c r="X641" i="3"/>
  <c r="V641" i="3"/>
  <c r="T641" i="3"/>
  <c r="R641" i="3"/>
  <c r="P641" i="3"/>
  <c r="N641" i="3"/>
  <c r="L641" i="3"/>
  <c r="J641" i="3"/>
  <c r="H641" i="3"/>
  <c r="F641" i="3"/>
  <c r="D641" i="3"/>
  <c r="B641" i="3"/>
  <c r="A641" i="3"/>
  <c r="BA641" i="3" s="1"/>
  <c r="BB640" i="3"/>
  <c r="AZ640" i="3"/>
  <c r="AX640" i="3"/>
  <c r="AV640" i="3"/>
  <c r="AT640" i="3"/>
  <c r="AR640" i="3"/>
  <c r="AP640" i="3"/>
  <c r="AN640" i="3"/>
  <c r="AL640" i="3"/>
  <c r="AB640" i="3"/>
  <c r="Z640" i="3"/>
  <c r="X640" i="3"/>
  <c r="V640" i="3"/>
  <c r="T640" i="3"/>
  <c r="R640" i="3"/>
  <c r="P640" i="3"/>
  <c r="N640" i="3"/>
  <c r="L640" i="3"/>
  <c r="J640" i="3"/>
  <c r="H640" i="3"/>
  <c r="F640" i="3"/>
  <c r="D640" i="3"/>
  <c r="B640" i="3"/>
  <c r="A640" i="3"/>
  <c r="BA640" i="3" s="1"/>
  <c r="BB639" i="3"/>
  <c r="AZ639" i="3"/>
  <c r="AX639" i="3"/>
  <c r="AV639" i="3"/>
  <c r="AT639" i="3"/>
  <c r="AR639" i="3"/>
  <c r="AP639" i="3"/>
  <c r="AN639" i="3"/>
  <c r="AL639" i="3"/>
  <c r="AB639" i="3"/>
  <c r="Z639" i="3"/>
  <c r="X639" i="3"/>
  <c r="V639" i="3"/>
  <c r="T639" i="3"/>
  <c r="R639" i="3"/>
  <c r="P639" i="3"/>
  <c r="N639" i="3"/>
  <c r="L639" i="3"/>
  <c r="J639" i="3"/>
  <c r="H639" i="3"/>
  <c r="F639" i="3"/>
  <c r="D639" i="3"/>
  <c r="B639" i="3"/>
  <c r="A639" i="3"/>
  <c r="BA639" i="3" s="1"/>
  <c r="BB638" i="3"/>
  <c r="AZ638" i="3"/>
  <c r="AX638" i="3"/>
  <c r="AV638" i="3"/>
  <c r="AT638" i="3"/>
  <c r="AR638" i="3"/>
  <c r="AP638" i="3"/>
  <c r="AN638" i="3"/>
  <c r="AL638" i="3"/>
  <c r="AB638" i="3"/>
  <c r="Z638" i="3"/>
  <c r="X638" i="3"/>
  <c r="V638" i="3"/>
  <c r="T638" i="3"/>
  <c r="R638" i="3"/>
  <c r="P638" i="3"/>
  <c r="N638" i="3"/>
  <c r="L638" i="3"/>
  <c r="J638" i="3"/>
  <c r="H638" i="3"/>
  <c r="F638" i="3"/>
  <c r="D638" i="3"/>
  <c r="B638" i="3"/>
  <c r="A638" i="3"/>
  <c r="BA638" i="3" s="1"/>
  <c r="BB637" i="3"/>
  <c r="AZ637" i="3"/>
  <c r="AX637" i="3"/>
  <c r="AV637" i="3"/>
  <c r="AT637" i="3"/>
  <c r="AR637" i="3"/>
  <c r="AP637" i="3"/>
  <c r="AN637" i="3"/>
  <c r="AL637" i="3"/>
  <c r="AB637" i="3"/>
  <c r="Z637" i="3"/>
  <c r="X637" i="3"/>
  <c r="V637" i="3"/>
  <c r="T637" i="3"/>
  <c r="R637" i="3"/>
  <c r="P637" i="3"/>
  <c r="N637" i="3"/>
  <c r="L637" i="3"/>
  <c r="J637" i="3"/>
  <c r="H637" i="3"/>
  <c r="F637" i="3"/>
  <c r="D637" i="3"/>
  <c r="B637" i="3"/>
  <c r="A637" i="3"/>
  <c r="BA637" i="3" s="1"/>
  <c r="BB636" i="3"/>
  <c r="AZ636" i="3"/>
  <c r="AX636" i="3"/>
  <c r="AV636" i="3"/>
  <c r="AT636" i="3"/>
  <c r="AR636" i="3"/>
  <c r="AP636" i="3"/>
  <c r="AN636" i="3"/>
  <c r="AL636" i="3"/>
  <c r="AB636" i="3"/>
  <c r="Z636" i="3"/>
  <c r="X636" i="3"/>
  <c r="V636" i="3"/>
  <c r="T636" i="3"/>
  <c r="R636" i="3"/>
  <c r="P636" i="3"/>
  <c r="N636" i="3"/>
  <c r="L636" i="3"/>
  <c r="J636" i="3"/>
  <c r="H636" i="3"/>
  <c r="F636" i="3"/>
  <c r="D636" i="3"/>
  <c r="B636" i="3"/>
  <c r="A636" i="3"/>
  <c r="BA636" i="3" s="1"/>
  <c r="BB635" i="3"/>
  <c r="AZ635" i="3"/>
  <c r="AX635" i="3"/>
  <c r="AV635" i="3"/>
  <c r="AT635" i="3"/>
  <c r="AR635" i="3"/>
  <c r="AP635" i="3"/>
  <c r="AN635" i="3"/>
  <c r="AL635" i="3"/>
  <c r="AB635" i="3"/>
  <c r="Z635" i="3"/>
  <c r="X635" i="3"/>
  <c r="V635" i="3"/>
  <c r="T635" i="3"/>
  <c r="R635" i="3"/>
  <c r="P635" i="3"/>
  <c r="N635" i="3"/>
  <c r="L635" i="3"/>
  <c r="J635" i="3"/>
  <c r="H635" i="3"/>
  <c r="F635" i="3"/>
  <c r="D635" i="3"/>
  <c r="B635" i="3"/>
  <c r="A635" i="3"/>
  <c r="BA635" i="3" s="1"/>
  <c r="BB634" i="3"/>
  <c r="AZ634" i="3"/>
  <c r="AX634" i="3"/>
  <c r="AV634" i="3"/>
  <c r="AT634" i="3"/>
  <c r="AR634" i="3"/>
  <c r="AP634" i="3"/>
  <c r="AN634" i="3"/>
  <c r="AL634" i="3"/>
  <c r="AB634" i="3"/>
  <c r="Z634" i="3"/>
  <c r="X634" i="3"/>
  <c r="V634" i="3"/>
  <c r="T634" i="3"/>
  <c r="R634" i="3"/>
  <c r="P634" i="3"/>
  <c r="N634" i="3"/>
  <c r="L634" i="3"/>
  <c r="J634" i="3"/>
  <c r="H634" i="3"/>
  <c r="F634" i="3"/>
  <c r="D634" i="3"/>
  <c r="B634" i="3"/>
  <c r="A634" i="3"/>
  <c r="BA634" i="3" s="1"/>
  <c r="BB633" i="3"/>
  <c r="AZ633" i="3"/>
  <c r="AX633" i="3"/>
  <c r="AV633" i="3"/>
  <c r="AT633" i="3"/>
  <c r="AR633" i="3"/>
  <c r="AP633" i="3"/>
  <c r="AN633" i="3"/>
  <c r="AL633" i="3"/>
  <c r="AB633" i="3"/>
  <c r="Z633" i="3"/>
  <c r="X633" i="3"/>
  <c r="V633" i="3"/>
  <c r="T633" i="3"/>
  <c r="R633" i="3"/>
  <c r="P633" i="3"/>
  <c r="N633" i="3"/>
  <c r="L633" i="3"/>
  <c r="J633" i="3"/>
  <c r="H633" i="3"/>
  <c r="F633" i="3"/>
  <c r="D633" i="3"/>
  <c r="B633" i="3"/>
  <c r="A633" i="3"/>
  <c r="BA633" i="3" s="1"/>
  <c r="BB632" i="3"/>
  <c r="AZ632" i="3"/>
  <c r="AX632" i="3"/>
  <c r="AV632" i="3"/>
  <c r="AT632" i="3"/>
  <c r="AR632" i="3"/>
  <c r="AP632" i="3"/>
  <c r="AN632" i="3"/>
  <c r="AL632" i="3"/>
  <c r="AB632" i="3"/>
  <c r="Z632" i="3"/>
  <c r="X632" i="3"/>
  <c r="V632" i="3"/>
  <c r="T632" i="3"/>
  <c r="R632" i="3"/>
  <c r="P632" i="3"/>
  <c r="N632" i="3"/>
  <c r="L632" i="3"/>
  <c r="J632" i="3"/>
  <c r="H632" i="3"/>
  <c r="F632" i="3"/>
  <c r="D632" i="3"/>
  <c r="B632" i="3"/>
  <c r="A632" i="3"/>
  <c r="BA632" i="3" s="1"/>
  <c r="BB631" i="3"/>
  <c r="AZ631" i="3"/>
  <c r="AX631" i="3"/>
  <c r="AV631" i="3"/>
  <c r="AT631" i="3"/>
  <c r="AR631" i="3"/>
  <c r="AP631" i="3"/>
  <c r="AN631" i="3"/>
  <c r="AL631" i="3"/>
  <c r="AB631" i="3"/>
  <c r="Z631" i="3"/>
  <c r="X631" i="3"/>
  <c r="V631" i="3"/>
  <c r="T631" i="3"/>
  <c r="R631" i="3"/>
  <c r="P631" i="3"/>
  <c r="N631" i="3"/>
  <c r="L631" i="3"/>
  <c r="J631" i="3"/>
  <c r="H631" i="3"/>
  <c r="F631" i="3"/>
  <c r="D631" i="3"/>
  <c r="B631" i="3"/>
  <c r="A631" i="3"/>
  <c r="BA631" i="3" s="1"/>
  <c r="BB630" i="3"/>
  <c r="AZ630" i="3"/>
  <c r="AX630" i="3"/>
  <c r="AV630" i="3"/>
  <c r="AT630" i="3"/>
  <c r="AR630" i="3"/>
  <c r="AP630" i="3"/>
  <c r="AN630" i="3"/>
  <c r="AL630" i="3"/>
  <c r="AB630" i="3"/>
  <c r="Z630" i="3"/>
  <c r="X630" i="3"/>
  <c r="V630" i="3"/>
  <c r="T630" i="3"/>
  <c r="R630" i="3"/>
  <c r="P630" i="3"/>
  <c r="N630" i="3"/>
  <c r="L630" i="3"/>
  <c r="J630" i="3"/>
  <c r="H630" i="3"/>
  <c r="F630" i="3"/>
  <c r="D630" i="3"/>
  <c r="B630" i="3"/>
  <c r="A630" i="3"/>
  <c r="BA630" i="3" s="1"/>
  <c r="BB629" i="3"/>
  <c r="AZ629" i="3"/>
  <c r="AX629" i="3"/>
  <c r="AV629" i="3"/>
  <c r="AT629" i="3"/>
  <c r="AR629" i="3"/>
  <c r="AP629" i="3"/>
  <c r="AN629" i="3"/>
  <c r="AL629" i="3"/>
  <c r="AB629" i="3"/>
  <c r="Z629" i="3"/>
  <c r="X629" i="3"/>
  <c r="V629" i="3"/>
  <c r="T629" i="3"/>
  <c r="R629" i="3"/>
  <c r="P629" i="3"/>
  <c r="N629" i="3"/>
  <c r="L629" i="3"/>
  <c r="J629" i="3"/>
  <c r="H629" i="3"/>
  <c r="F629" i="3"/>
  <c r="D629" i="3"/>
  <c r="B629" i="3"/>
  <c r="A629" i="3"/>
  <c r="BA629" i="3" s="1"/>
  <c r="BB628" i="3"/>
  <c r="AZ628" i="3"/>
  <c r="AX628" i="3"/>
  <c r="AV628" i="3"/>
  <c r="AT628" i="3"/>
  <c r="AR628" i="3"/>
  <c r="AP628" i="3"/>
  <c r="AN628" i="3"/>
  <c r="AL628" i="3"/>
  <c r="AB628" i="3"/>
  <c r="Z628" i="3"/>
  <c r="X628" i="3"/>
  <c r="V628" i="3"/>
  <c r="T628" i="3"/>
  <c r="R628" i="3"/>
  <c r="P628" i="3"/>
  <c r="N628" i="3"/>
  <c r="L628" i="3"/>
  <c r="J628" i="3"/>
  <c r="H628" i="3"/>
  <c r="F628" i="3"/>
  <c r="D628" i="3"/>
  <c r="B628" i="3"/>
  <c r="A628" i="3"/>
  <c r="BA628" i="3" s="1"/>
  <c r="BB627" i="3"/>
  <c r="AZ627" i="3"/>
  <c r="AX627" i="3"/>
  <c r="AV627" i="3"/>
  <c r="AT627" i="3"/>
  <c r="AR627" i="3"/>
  <c r="AP627" i="3"/>
  <c r="AN627" i="3"/>
  <c r="AL627" i="3"/>
  <c r="AB627" i="3"/>
  <c r="Z627" i="3"/>
  <c r="X627" i="3"/>
  <c r="V627" i="3"/>
  <c r="T627" i="3"/>
  <c r="R627" i="3"/>
  <c r="P627" i="3"/>
  <c r="N627" i="3"/>
  <c r="L627" i="3"/>
  <c r="J627" i="3"/>
  <c r="H627" i="3"/>
  <c r="F627" i="3"/>
  <c r="D627" i="3"/>
  <c r="B627" i="3"/>
  <c r="A627" i="3"/>
  <c r="BA627" i="3" s="1"/>
  <c r="BB626" i="3"/>
  <c r="AZ626" i="3"/>
  <c r="AX626" i="3"/>
  <c r="AV626" i="3"/>
  <c r="AT626" i="3"/>
  <c r="AR626" i="3"/>
  <c r="AP626" i="3"/>
  <c r="AN626" i="3"/>
  <c r="AL626" i="3"/>
  <c r="AB626" i="3"/>
  <c r="Z626" i="3"/>
  <c r="X626" i="3"/>
  <c r="V626" i="3"/>
  <c r="T626" i="3"/>
  <c r="R626" i="3"/>
  <c r="P626" i="3"/>
  <c r="N626" i="3"/>
  <c r="L626" i="3"/>
  <c r="J626" i="3"/>
  <c r="H626" i="3"/>
  <c r="F626" i="3"/>
  <c r="D626" i="3"/>
  <c r="B626" i="3"/>
  <c r="A626" i="3"/>
  <c r="BA626" i="3" s="1"/>
  <c r="BB625" i="3"/>
  <c r="AZ625" i="3"/>
  <c r="AX625" i="3"/>
  <c r="AV625" i="3"/>
  <c r="AT625" i="3"/>
  <c r="AR625" i="3"/>
  <c r="AP625" i="3"/>
  <c r="AN625" i="3"/>
  <c r="AL625" i="3"/>
  <c r="AB625" i="3"/>
  <c r="Z625" i="3"/>
  <c r="X625" i="3"/>
  <c r="V625" i="3"/>
  <c r="T625" i="3"/>
  <c r="R625" i="3"/>
  <c r="P625" i="3"/>
  <c r="N625" i="3"/>
  <c r="L625" i="3"/>
  <c r="J625" i="3"/>
  <c r="H625" i="3"/>
  <c r="F625" i="3"/>
  <c r="D625" i="3"/>
  <c r="B625" i="3"/>
  <c r="A625" i="3"/>
  <c r="BA625" i="3" s="1"/>
  <c r="BB624" i="3"/>
  <c r="AZ624" i="3"/>
  <c r="AX624" i="3"/>
  <c r="AV624" i="3"/>
  <c r="AT624" i="3"/>
  <c r="AR624" i="3"/>
  <c r="AP624" i="3"/>
  <c r="AN624" i="3"/>
  <c r="AL624" i="3"/>
  <c r="AB624" i="3"/>
  <c r="Z624" i="3"/>
  <c r="X624" i="3"/>
  <c r="V624" i="3"/>
  <c r="T624" i="3"/>
  <c r="R624" i="3"/>
  <c r="P624" i="3"/>
  <c r="N624" i="3"/>
  <c r="L624" i="3"/>
  <c r="J624" i="3"/>
  <c r="H624" i="3"/>
  <c r="F624" i="3"/>
  <c r="D624" i="3"/>
  <c r="B624" i="3"/>
  <c r="A624" i="3"/>
  <c r="BA624" i="3" s="1"/>
  <c r="BB623" i="3"/>
  <c r="AZ623" i="3"/>
  <c r="AX623" i="3"/>
  <c r="AV623" i="3"/>
  <c r="AT623" i="3"/>
  <c r="AR623" i="3"/>
  <c r="AP623" i="3"/>
  <c r="AN623" i="3"/>
  <c r="AL623" i="3"/>
  <c r="AB623" i="3"/>
  <c r="Z623" i="3"/>
  <c r="X623" i="3"/>
  <c r="V623" i="3"/>
  <c r="T623" i="3"/>
  <c r="R623" i="3"/>
  <c r="P623" i="3"/>
  <c r="N623" i="3"/>
  <c r="L623" i="3"/>
  <c r="J623" i="3"/>
  <c r="H623" i="3"/>
  <c r="F623" i="3"/>
  <c r="D623" i="3"/>
  <c r="B623" i="3"/>
  <c r="A623" i="3"/>
  <c r="BA623" i="3" s="1"/>
  <c r="BB622" i="3"/>
  <c r="AZ622" i="3"/>
  <c r="AX622" i="3"/>
  <c r="AV622" i="3"/>
  <c r="AT622" i="3"/>
  <c r="AR622" i="3"/>
  <c r="AP622" i="3"/>
  <c r="AN622" i="3"/>
  <c r="AL622" i="3"/>
  <c r="AB622" i="3"/>
  <c r="Z622" i="3"/>
  <c r="X622" i="3"/>
  <c r="V622" i="3"/>
  <c r="T622" i="3"/>
  <c r="R622" i="3"/>
  <c r="P622" i="3"/>
  <c r="N622" i="3"/>
  <c r="L622" i="3"/>
  <c r="J622" i="3"/>
  <c r="H622" i="3"/>
  <c r="F622" i="3"/>
  <c r="D622" i="3"/>
  <c r="B622" i="3"/>
  <c r="A622" i="3"/>
  <c r="BA622" i="3" s="1"/>
  <c r="BB621" i="3"/>
  <c r="AZ621" i="3"/>
  <c r="AX621" i="3"/>
  <c r="AV621" i="3"/>
  <c r="AT621" i="3"/>
  <c r="AR621" i="3"/>
  <c r="AP621" i="3"/>
  <c r="AN621" i="3"/>
  <c r="AL621" i="3"/>
  <c r="AB621" i="3"/>
  <c r="Z621" i="3"/>
  <c r="X621" i="3"/>
  <c r="V621" i="3"/>
  <c r="T621" i="3"/>
  <c r="R621" i="3"/>
  <c r="P621" i="3"/>
  <c r="N621" i="3"/>
  <c r="L621" i="3"/>
  <c r="J621" i="3"/>
  <c r="H621" i="3"/>
  <c r="F621" i="3"/>
  <c r="D621" i="3"/>
  <c r="B621" i="3"/>
  <c r="A621" i="3"/>
  <c r="BA621" i="3" s="1"/>
  <c r="BB620" i="3"/>
  <c r="AZ620" i="3"/>
  <c r="AX620" i="3"/>
  <c r="AV620" i="3"/>
  <c r="AT620" i="3"/>
  <c r="AR620" i="3"/>
  <c r="AP620" i="3"/>
  <c r="AN620" i="3"/>
  <c r="AL620" i="3"/>
  <c r="AB620" i="3"/>
  <c r="Z620" i="3"/>
  <c r="X620" i="3"/>
  <c r="V620" i="3"/>
  <c r="T620" i="3"/>
  <c r="R620" i="3"/>
  <c r="P620" i="3"/>
  <c r="N620" i="3"/>
  <c r="L620" i="3"/>
  <c r="J620" i="3"/>
  <c r="H620" i="3"/>
  <c r="F620" i="3"/>
  <c r="D620" i="3"/>
  <c r="B620" i="3"/>
  <c r="A620" i="3"/>
  <c r="BA620" i="3" s="1"/>
  <c r="BB619" i="3"/>
  <c r="AZ619" i="3"/>
  <c r="AX619" i="3"/>
  <c r="AV619" i="3"/>
  <c r="AT619" i="3"/>
  <c r="AR619" i="3"/>
  <c r="AP619" i="3"/>
  <c r="AN619" i="3"/>
  <c r="AL619" i="3"/>
  <c r="AB619" i="3"/>
  <c r="Z619" i="3"/>
  <c r="X619" i="3"/>
  <c r="V619" i="3"/>
  <c r="T619" i="3"/>
  <c r="R619" i="3"/>
  <c r="P619" i="3"/>
  <c r="N619" i="3"/>
  <c r="L619" i="3"/>
  <c r="J619" i="3"/>
  <c r="H619" i="3"/>
  <c r="F619" i="3"/>
  <c r="D619" i="3"/>
  <c r="B619" i="3"/>
  <c r="A619" i="3"/>
  <c r="BA619" i="3" s="1"/>
  <c r="BB618" i="3"/>
  <c r="AZ618" i="3"/>
  <c r="AX618" i="3"/>
  <c r="AV618" i="3"/>
  <c r="AT618" i="3"/>
  <c r="AR618" i="3"/>
  <c r="AP618" i="3"/>
  <c r="AN618" i="3"/>
  <c r="AL618" i="3"/>
  <c r="AB618" i="3"/>
  <c r="Z618" i="3"/>
  <c r="X618" i="3"/>
  <c r="V618" i="3"/>
  <c r="T618" i="3"/>
  <c r="R618" i="3"/>
  <c r="P618" i="3"/>
  <c r="N618" i="3"/>
  <c r="L618" i="3"/>
  <c r="J618" i="3"/>
  <c r="H618" i="3"/>
  <c r="F618" i="3"/>
  <c r="D618" i="3"/>
  <c r="B618" i="3"/>
  <c r="A618" i="3"/>
  <c r="BA618" i="3" s="1"/>
  <c r="BB617" i="3"/>
  <c r="AZ617" i="3"/>
  <c r="AX617" i="3"/>
  <c r="AV617" i="3"/>
  <c r="AT617" i="3"/>
  <c r="AR617" i="3"/>
  <c r="AP617" i="3"/>
  <c r="AN617" i="3"/>
  <c r="AL617" i="3"/>
  <c r="AB617" i="3"/>
  <c r="Z617" i="3"/>
  <c r="X617" i="3"/>
  <c r="V617" i="3"/>
  <c r="T617" i="3"/>
  <c r="R617" i="3"/>
  <c r="P617" i="3"/>
  <c r="N617" i="3"/>
  <c r="L617" i="3"/>
  <c r="J617" i="3"/>
  <c r="H617" i="3"/>
  <c r="F617" i="3"/>
  <c r="D617" i="3"/>
  <c r="B617" i="3"/>
  <c r="A617" i="3"/>
  <c r="BA617" i="3" s="1"/>
  <c r="BB616" i="3"/>
  <c r="AZ616" i="3"/>
  <c r="AX616" i="3"/>
  <c r="AV616" i="3"/>
  <c r="AT616" i="3"/>
  <c r="AR616" i="3"/>
  <c r="AP616" i="3"/>
  <c r="AN616" i="3"/>
  <c r="AL616" i="3"/>
  <c r="AB616" i="3"/>
  <c r="Z616" i="3"/>
  <c r="X616" i="3"/>
  <c r="V616" i="3"/>
  <c r="T616" i="3"/>
  <c r="R616" i="3"/>
  <c r="P616" i="3"/>
  <c r="N616" i="3"/>
  <c r="L616" i="3"/>
  <c r="J616" i="3"/>
  <c r="H616" i="3"/>
  <c r="F616" i="3"/>
  <c r="D616" i="3"/>
  <c r="B616" i="3"/>
  <c r="A616" i="3"/>
  <c r="BA616" i="3" s="1"/>
  <c r="BB615" i="3"/>
  <c r="AZ615" i="3"/>
  <c r="AX615" i="3"/>
  <c r="AV615" i="3"/>
  <c r="AT615" i="3"/>
  <c r="AR615" i="3"/>
  <c r="AP615" i="3"/>
  <c r="AN615" i="3"/>
  <c r="AL615" i="3"/>
  <c r="AB615" i="3"/>
  <c r="Z615" i="3"/>
  <c r="X615" i="3"/>
  <c r="V615" i="3"/>
  <c r="T615" i="3"/>
  <c r="R615" i="3"/>
  <c r="P615" i="3"/>
  <c r="N615" i="3"/>
  <c r="L615" i="3"/>
  <c r="J615" i="3"/>
  <c r="H615" i="3"/>
  <c r="F615" i="3"/>
  <c r="D615" i="3"/>
  <c r="B615" i="3"/>
  <c r="A615" i="3"/>
  <c r="BA615" i="3" s="1"/>
  <c r="BB614" i="3"/>
  <c r="AZ614" i="3"/>
  <c r="AX614" i="3"/>
  <c r="AV614" i="3"/>
  <c r="AT614" i="3"/>
  <c r="AR614" i="3"/>
  <c r="AP614" i="3"/>
  <c r="AN614" i="3"/>
  <c r="AL614" i="3"/>
  <c r="AB614" i="3"/>
  <c r="Z614" i="3"/>
  <c r="X614" i="3"/>
  <c r="V614" i="3"/>
  <c r="T614" i="3"/>
  <c r="R614" i="3"/>
  <c r="P614" i="3"/>
  <c r="N614" i="3"/>
  <c r="L614" i="3"/>
  <c r="J614" i="3"/>
  <c r="H614" i="3"/>
  <c r="F614" i="3"/>
  <c r="D614" i="3"/>
  <c r="B614" i="3"/>
  <c r="A614" i="3"/>
  <c r="BA614" i="3" s="1"/>
  <c r="BB613" i="3"/>
  <c r="AZ613" i="3"/>
  <c r="AX613" i="3"/>
  <c r="AV613" i="3"/>
  <c r="AT613" i="3"/>
  <c r="AR613" i="3"/>
  <c r="AP613" i="3"/>
  <c r="AN613" i="3"/>
  <c r="AL613" i="3"/>
  <c r="AB613" i="3"/>
  <c r="Z613" i="3"/>
  <c r="X613" i="3"/>
  <c r="V613" i="3"/>
  <c r="T613" i="3"/>
  <c r="R613" i="3"/>
  <c r="P613" i="3"/>
  <c r="N613" i="3"/>
  <c r="L613" i="3"/>
  <c r="J613" i="3"/>
  <c r="H613" i="3"/>
  <c r="F613" i="3"/>
  <c r="D613" i="3"/>
  <c r="B613" i="3"/>
  <c r="A613" i="3"/>
  <c r="BA613" i="3" s="1"/>
  <c r="BB612" i="3"/>
  <c r="AZ612" i="3"/>
  <c r="AX612" i="3"/>
  <c r="AV612" i="3"/>
  <c r="AT612" i="3"/>
  <c r="AR612" i="3"/>
  <c r="AP612" i="3"/>
  <c r="AN612" i="3"/>
  <c r="AL612" i="3"/>
  <c r="AB612" i="3"/>
  <c r="Z612" i="3"/>
  <c r="X612" i="3"/>
  <c r="V612" i="3"/>
  <c r="T612" i="3"/>
  <c r="R612" i="3"/>
  <c r="P612" i="3"/>
  <c r="N612" i="3"/>
  <c r="L612" i="3"/>
  <c r="J612" i="3"/>
  <c r="H612" i="3"/>
  <c r="F612" i="3"/>
  <c r="D612" i="3"/>
  <c r="B612" i="3"/>
  <c r="A612" i="3"/>
  <c r="BA612" i="3" s="1"/>
  <c r="BB611" i="3"/>
  <c r="AZ611" i="3"/>
  <c r="AX611" i="3"/>
  <c r="AV611" i="3"/>
  <c r="AT611" i="3"/>
  <c r="AR611" i="3"/>
  <c r="AP611" i="3"/>
  <c r="AN611" i="3"/>
  <c r="AL611" i="3"/>
  <c r="AB611" i="3"/>
  <c r="Z611" i="3"/>
  <c r="X611" i="3"/>
  <c r="V611" i="3"/>
  <c r="T611" i="3"/>
  <c r="R611" i="3"/>
  <c r="P611" i="3"/>
  <c r="N611" i="3"/>
  <c r="L611" i="3"/>
  <c r="J611" i="3"/>
  <c r="H611" i="3"/>
  <c r="F611" i="3"/>
  <c r="D611" i="3"/>
  <c r="B611" i="3"/>
  <c r="A611" i="3"/>
  <c r="BA611" i="3" s="1"/>
  <c r="BB610" i="3"/>
  <c r="AZ610" i="3"/>
  <c r="AX610" i="3"/>
  <c r="AV610" i="3"/>
  <c r="AT610" i="3"/>
  <c r="AR610" i="3"/>
  <c r="AP610" i="3"/>
  <c r="AN610" i="3"/>
  <c r="AL610" i="3"/>
  <c r="AB610" i="3"/>
  <c r="Z610" i="3"/>
  <c r="X610" i="3"/>
  <c r="V610" i="3"/>
  <c r="T610" i="3"/>
  <c r="R610" i="3"/>
  <c r="P610" i="3"/>
  <c r="N610" i="3"/>
  <c r="L610" i="3"/>
  <c r="J610" i="3"/>
  <c r="H610" i="3"/>
  <c r="F610" i="3"/>
  <c r="D610" i="3"/>
  <c r="B610" i="3"/>
  <c r="A610" i="3"/>
  <c r="BA610" i="3" s="1"/>
  <c r="BB609" i="3"/>
  <c r="AZ609" i="3"/>
  <c r="AX609" i="3"/>
  <c r="AV609" i="3"/>
  <c r="AT609" i="3"/>
  <c r="AR609" i="3"/>
  <c r="AP609" i="3"/>
  <c r="AN609" i="3"/>
  <c r="AL609" i="3"/>
  <c r="AB609" i="3"/>
  <c r="Z609" i="3"/>
  <c r="X609" i="3"/>
  <c r="V609" i="3"/>
  <c r="T609" i="3"/>
  <c r="R609" i="3"/>
  <c r="P609" i="3"/>
  <c r="N609" i="3"/>
  <c r="L609" i="3"/>
  <c r="J609" i="3"/>
  <c r="H609" i="3"/>
  <c r="F609" i="3"/>
  <c r="D609" i="3"/>
  <c r="B609" i="3"/>
  <c r="A609" i="3"/>
  <c r="BA609" i="3" s="1"/>
  <c r="BB608" i="3"/>
  <c r="AZ608" i="3"/>
  <c r="AX608" i="3"/>
  <c r="AV608" i="3"/>
  <c r="AT608" i="3"/>
  <c r="AR608" i="3"/>
  <c r="AP608" i="3"/>
  <c r="AN608" i="3"/>
  <c r="AL608" i="3"/>
  <c r="AB608" i="3"/>
  <c r="Z608" i="3"/>
  <c r="X608" i="3"/>
  <c r="V608" i="3"/>
  <c r="T608" i="3"/>
  <c r="R608" i="3"/>
  <c r="P608" i="3"/>
  <c r="N608" i="3"/>
  <c r="L608" i="3"/>
  <c r="J608" i="3"/>
  <c r="H608" i="3"/>
  <c r="F608" i="3"/>
  <c r="D608" i="3"/>
  <c r="B608" i="3"/>
  <c r="A608" i="3"/>
  <c r="BA608" i="3" s="1"/>
  <c r="BB607" i="3"/>
  <c r="AZ607" i="3"/>
  <c r="AX607" i="3"/>
  <c r="AV607" i="3"/>
  <c r="AT607" i="3"/>
  <c r="AR607" i="3"/>
  <c r="AP607" i="3"/>
  <c r="AN607" i="3"/>
  <c r="AL607" i="3"/>
  <c r="AB607" i="3"/>
  <c r="Z607" i="3"/>
  <c r="X607" i="3"/>
  <c r="V607" i="3"/>
  <c r="T607" i="3"/>
  <c r="R607" i="3"/>
  <c r="P607" i="3"/>
  <c r="N607" i="3"/>
  <c r="L607" i="3"/>
  <c r="J607" i="3"/>
  <c r="H607" i="3"/>
  <c r="F607" i="3"/>
  <c r="D607" i="3"/>
  <c r="B607" i="3"/>
  <c r="A607" i="3"/>
  <c r="BA607" i="3" s="1"/>
  <c r="BB606" i="3"/>
  <c r="AZ606" i="3"/>
  <c r="AX606" i="3"/>
  <c r="AV606" i="3"/>
  <c r="AT606" i="3"/>
  <c r="AR606" i="3"/>
  <c r="AP606" i="3"/>
  <c r="AN606" i="3"/>
  <c r="AL606" i="3"/>
  <c r="AB606" i="3"/>
  <c r="Z606" i="3"/>
  <c r="X606" i="3"/>
  <c r="V606" i="3"/>
  <c r="T606" i="3"/>
  <c r="R606" i="3"/>
  <c r="P606" i="3"/>
  <c r="N606" i="3"/>
  <c r="L606" i="3"/>
  <c r="J606" i="3"/>
  <c r="H606" i="3"/>
  <c r="F606" i="3"/>
  <c r="D606" i="3"/>
  <c r="B606" i="3"/>
  <c r="A606" i="3"/>
  <c r="BA606" i="3" s="1"/>
  <c r="BB605" i="3"/>
  <c r="AZ605" i="3"/>
  <c r="AX605" i="3"/>
  <c r="AV605" i="3"/>
  <c r="AT605" i="3"/>
  <c r="AR605" i="3"/>
  <c r="AP605" i="3"/>
  <c r="AN605" i="3"/>
  <c r="AL605" i="3"/>
  <c r="AB605" i="3"/>
  <c r="Z605" i="3"/>
  <c r="X605" i="3"/>
  <c r="V605" i="3"/>
  <c r="T605" i="3"/>
  <c r="R605" i="3"/>
  <c r="P605" i="3"/>
  <c r="N605" i="3"/>
  <c r="L605" i="3"/>
  <c r="J605" i="3"/>
  <c r="H605" i="3"/>
  <c r="F605" i="3"/>
  <c r="D605" i="3"/>
  <c r="B605" i="3"/>
  <c r="A605" i="3"/>
  <c r="BA605" i="3" s="1"/>
  <c r="BB604" i="3"/>
  <c r="AZ604" i="3"/>
  <c r="AX604" i="3"/>
  <c r="AV604" i="3"/>
  <c r="AT604" i="3"/>
  <c r="AR604" i="3"/>
  <c r="AP604" i="3"/>
  <c r="AN604" i="3"/>
  <c r="AL604" i="3"/>
  <c r="AB604" i="3"/>
  <c r="Z604" i="3"/>
  <c r="X604" i="3"/>
  <c r="V604" i="3"/>
  <c r="T604" i="3"/>
  <c r="R604" i="3"/>
  <c r="P604" i="3"/>
  <c r="N604" i="3"/>
  <c r="L604" i="3"/>
  <c r="J604" i="3"/>
  <c r="H604" i="3"/>
  <c r="F604" i="3"/>
  <c r="D604" i="3"/>
  <c r="B604" i="3"/>
  <c r="A604" i="3"/>
  <c r="BA604" i="3" s="1"/>
  <c r="BB603" i="3"/>
  <c r="AZ603" i="3"/>
  <c r="AX603" i="3"/>
  <c r="AV603" i="3"/>
  <c r="AT603" i="3"/>
  <c r="AR603" i="3"/>
  <c r="AP603" i="3"/>
  <c r="AN603" i="3"/>
  <c r="AL603" i="3"/>
  <c r="AB603" i="3"/>
  <c r="Z603" i="3"/>
  <c r="X603" i="3"/>
  <c r="V603" i="3"/>
  <c r="T603" i="3"/>
  <c r="R603" i="3"/>
  <c r="P603" i="3"/>
  <c r="N603" i="3"/>
  <c r="L603" i="3"/>
  <c r="J603" i="3"/>
  <c r="H603" i="3"/>
  <c r="F603" i="3"/>
  <c r="D603" i="3"/>
  <c r="B603" i="3"/>
  <c r="A603" i="3"/>
  <c r="BA603" i="3" s="1"/>
  <c r="BB602" i="3"/>
  <c r="AZ602" i="3"/>
  <c r="AX602" i="3"/>
  <c r="AV602" i="3"/>
  <c r="AT602" i="3"/>
  <c r="AR602" i="3"/>
  <c r="AP602" i="3"/>
  <c r="AN602" i="3"/>
  <c r="AL602" i="3"/>
  <c r="AB602" i="3"/>
  <c r="Z602" i="3"/>
  <c r="X602" i="3"/>
  <c r="V602" i="3"/>
  <c r="T602" i="3"/>
  <c r="R602" i="3"/>
  <c r="P602" i="3"/>
  <c r="N602" i="3"/>
  <c r="L602" i="3"/>
  <c r="J602" i="3"/>
  <c r="H602" i="3"/>
  <c r="F602" i="3"/>
  <c r="D602" i="3"/>
  <c r="B602" i="3"/>
  <c r="A602" i="3"/>
  <c r="BA602" i="3" s="1"/>
  <c r="BB601" i="3"/>
  <c r="AZ601" i="3"/>
  <c r="AX601" i="3"/>
  <c r="AV601" i="3"/>
  <c r="AT601" i="3"/>
  <c r="AR601" i="3"/>
  <c r="AP601" i="3"/>
  <c r="AN601" i="3"/>
  <c r="AL601" i="3"/>
  <c r="AB601" i="3"/>
  <c r="Z601" i="3"/>
  <c r="X601" i="3"/>
  <c r="V601" i="3"/>
  <c r="T601" i="3"/>
  <c r="R601" i="3"/>
  <c r="P601" i="3"/>
  <c r="N601" i="3"/>
  <c r="L601" i="3"/>
  <c r="J601" i="3"/>
  <c r="H601" i="3"/>
  <c r="F601" i="3"/>
  <c r="D601" i="3"/>
  <c r="B601" i="3"/>
  <c r="A601" i="3"/>
  <c r="BA601" i="3" s="1"/>
  <c r="BB600" i="3"/>
  <c r="AZ600" i="3"/>
  <c r="AX600" i="3"/>
  <c r="AV600" i="3"/>
  <c r="AT600" i="3"/>
  <c r="AR600" i="3"/>
  <c r="AP600" i="3"/>
  <c r="AN600" i="3"/>
  <c r="AL600" i="3"/>
  <c r="AB600" i="3"/>
  <c r="Z600" i="3"/>
  <c r="X600" i="3"/>
  <c r="V600" i="3"/>
  <c r="T600" i="3"/>
  <c r="R600" i="3"/>
  <c r="P600" i="3"/>
  <c r="N600" i="3"/>
  <c r="L600" i="3"/>
  <c r="J600" i="3"/>
  <c r="H600" i="3"/>
  <c r="F600" i="3"/>
  <c r="D600" i="3"/>
  <c r="B600" i="3"/>
  <c r="A600" i="3"/>
  <c r="BA600" i="3" s="1"/>
  <c r="BB599" i="3"/>
  <c r="AZ599" i="3"/>
  <c r="AX599" i="3"/>
  <c r="AV599" i="3"/>
  <c r="AT599" i="3"/>
  <c r="AR599" i="3"/>
  <c r="AP599" i="3"/>
  <c r="AN599" i="3"/>
  <c r="AL599" i="3"/>
  <c r="AB599" i="3"/>
  <c r="Z599" i="3"/>
  <c r="X599" i="3"/>
  <c r="V599" i="3"/>
  <c r="T599" i="3"/>
  <c r="R599" i="3"/>
  <c r="P599" i="3"/>
  <c r="N599" i="3"/>
  <c r="L599" i="3"/>
  <c r="J599" i="3"/>
  <c r="H599" i="3"/>
  <c r="F599" i="3"/>
  <c r="D599" i="3"/>
  <c r="B599" i="3"/>
  <c r="A599" i="3"/>
  <c r="BA599" i="3" s="1"/>
  <c r="BB598" i="3"/>
  <c r="AZ598" i="3"/>
  <c r="AX598" i="3"/>
  <c r="AV598" i="3"/>
  <c r="AT598" i="3"/>
  <c r="AR598" i="3"/>
  <c r="AP598" i="3"/>
  <c r="AN598" i="3"/>
  <c r="AL598" i="3"/>
  <c r="AB598" i="3"/>
  <c r="Z598" i="3"/>
  <c r="X598" i="3"/>
  <c r="V598" i="3"/>
  <c r="T598" i="3"/>
  <c r="R598" i="3"/>
  <c r="P598" i="3"/>
  <c r="N598" i="3"/>
  <c r="L598" i="3"/>
  <c r="J598" i="3"/>
  <c r="H598" i="3"/>
  <c r="F598" i="3"/>
  <c r="D598" i="3"/>
  <c r="B598" i="3"/>
  <c r="A598" i="3"/>
  <c r="BA598" i="3" s="1"/>
  <c r="BB597" i="3"/>
  <c r="AZ597" i="3"/>
  <c r="AX597" i="3"/>
  <c r="AV597" i="3"/>
  <c r="AT597" i="3"/>
  <c r="AR597" i="3"/>
  <c r="AP597" i="3"/>
  <c r="AN597" i="3"/>
  <c r="AL597" i="3"/>
  <c r="AB597" i="3"/>
  <c r="Z597" i="3"/>
  <c r="X597" i="3"/>
  <c r="V597" i="3"/>
  <c r="T597" i="3"/>
  <c r="R597" i="3"/>
  <c r="P597" i="3"/>
  <c r="N597" i="3"/>
  <c r="L597" i="3"/>
  <c r="J597" i="3"/>
  <c r="H597" i="3"/>
  <c r="F597" i="3"/>
  <c r="D597" i="3"/>
  <c r="B597" i="3"/>
  <c r="A597" i="3"/>
  <c r="BA597" i="3" s="1"/>
  <c r="BB596" i="3"/>
  <c r="AZ596" i="3"/>
  <c r="AX596" i="3"/>
  <c r="AV596" i="3"/>
  <c r="AT596" i="3"/>
  <c r="AR596" i="3"/>
  <c r="AP596" i="3"/>
  <c r="AN596" i="3"/>
  <c r="AL596" i="3"/>
  <c r="AB596" i="3"/>
  <c r="Z596" i="3"/>
  <c r="X596" i="3"/>
  <c r="V596" i="3"/>
  <c r="T596" i="3"/>
  <c r="R596" i="3"/>
  <c r="P596" i="3"/>
  <c r="N596" i="3"/>
  <c r="L596" i="3"/>
  <c r="J596" i="3"/>
  <c r="H596" i="3"/>
  <c r="F596" i="3"/>
  <c r="D596" i="3"/>
  <c r="B596" i="3"/>
  <c r="A596" i="3"/>
  <c r="BA596" i="3" s="1"/>
  <c r="BB595" i="3"/>
  <c r="AZ595" i="3"/>
  <c r="AX595" i="3"/>
  <c r="AV595" i="3"/>
  <c r="AT595" i="3"/>
  <c r="AR595" i="3"/>
  <c r="AP595" i="3"/>
  <c r="AN595" i="3"/>
  <c r="AL595" i="3"/>
  <c r="AB595" i="3"/>
  <c r="Z595" i="3"/>
  <c r="X595" i="3"/>
  <c r="V595" i="3"/>
  <c r="T595" i="3"/>
  <c r="R595" i="3"/>
  <c r="P595" i="3"/>
  <c r="N595" i="3"/>
  <c r="L595" i="3"/>
  <c r="J595" i="3"/>
  <c r="H595" i="3"/>
  <c r="F595" i="3"/>
  <c r="D595" i="3"/>
  <c r="B595" i="3"/>
  <c r="A595" i="3"/>
  <c r="BA595" i="3" s="1"/>
  <c r="BB594" i="3"/>
  <c r="AZ594" i="3"/>
  <c r="AX594" i="3"/>
  <c r="AV594" i="3"/>
  <c r="AT594" i="3"/>
  <c r="AR594" i="3"/>
  <c r="AP594" i="3"/>
  <c r="AN594" i="3"/>
  <c r="AL594" i="3"/>
  <c r="AB594" i="3"/>
  <c r="Z594" i="3"/>
  <c r="X594" i="3"/>
  <c r="V594" i="3"/>
  <c r="T594" i="3"/>
  <c r="R594" i="3"/>
  <c r="P594" i="3"/>
  <c r="N594" i="3"/>
  <c r="L594" i="3"/>
  <c r="J594" i="3"/>
  <c r="H594" i="3"/>
  <c r="F594" i="3"/>
  <c r="D594" i="3"/>
  <c r="B594" i="3"/>
  <c r="A594" i="3"/>
  <c r="BA594" i="3" s="1"/>
  <c r="BB593" i="3"/>
  <c r="AZ593" i="3"/>
  <c r="AX593" i="3"/>
  <c r="AV593" i="3"/>
  <c r="AT593" i="3"/>
  <c r="AR593" i="3"/>
  <c r="AP593" i="3"/>
  <c r="AN593" i="3"/>
  <c r="AL593" i="3"/>
  <c r="AB593" i="3"/>
  <c r="Z593" i="3"/>
  <c r="X593" i="3"/>
  <c r="V593" i="3"/>
  <c r="T593" i="3"/>
  <c r="R593" i="3"/>
  <c r="P593" i="3"/>
  <c r="N593" i="3"/>
  <c r="L593" i="3"/>
  <c r="J593" i="3"/>
  <c r="H593" i="3"/>
  <c r="F593" i="3"/>
  <c r="D593" i="3"/>
  <c r="B593" i="3"/>
  <c r="A593" i="3"/>
  <c r="BA593" i="3" s="1"/>
  <c r="BB592" i="3"/>
  <c r="AZ592" i="3"/>
  <c r="AX592" i="3"/>
  <c r="AV592" i="3"/>
  <c r="AT592" i="3"/>
  <c r="AR592" i="3"/>
  <c r="AP592" i="3"/>
  <c r="AN592" i="3"/>
  <c r="AL592" i="3"/>
  <c r="AB592" i="3"/>
  <c r="Z592" i="3"/>
  <c r="X592" i="3"/>
  <c r="V592" i="3"/>
  <c r="T592" i="3"/>
  <c r="R592" i="3"/>
  <c r="P592" i="3"/>
  <c r="N592" i="3"/>
  <c r="L592" i="3"/>
  <c r="J592" i="3"/>
  <c r="H592" i="3"/>
  <c r="F592" i="3"/>
  <c r="D592" i="3"/>
  <c r="B592" i="3"/>
  <c r="A592" i="3"/>
  <c r="BA592" i="3" s="1"/>
  <c r="BB591" i="3"/>
  <c r="AZ591" i="3"/>
  <c r="AX591" i="3"/>
  <c r="AV591" i="3"/>
  <c r="AT591" i="3"/>
  <c r="AR591" i="3"/>
  <c r="AP591" i="3"/>
  <c r="AN591" i="3"/>
  <c r="AL591" i="3"/>
  <c r="AB591" i="3"/>
  <c r="Z591" i="3"/>
  <c r="X591" i="3"/>
  <c r="V591" i="3"/>
  <c r="T591" i="3"/>
  <c r="R591" i="3"/>
  <c r="P591" i="3"/>
  <c r="N591" i="3"/>
  <c r="L591" i="3"/>
  <c r="J591" i="3"/>
  <c r="H591" i="3"/>
  <c r="F591" i="3"/>
  <c r="D591" i="3"/>
  <c r="B591" i="3"/>
  <c r="A591" i="3"/>
  <c r="BA591" i="3" s="1"/>
  <c r="BB590" i="3"/>
  <c r="AZ590" i="3"/>
  <c r="AX590" i="3"/>
  <c r="AV590" i="3"/>
  <c r="AT590" i="3"/>
  <c r="AR590" i="3"/>
  <c r="AP590" i="3"/>
  <c r="AN590" i="3"/>
  <c r="AL590" i="3"/>
  <c r="AB590" i="3"/>
  <c r="Z590" i="3"/>
  <c r="X590" i="3"/>
  <c r="V590" i="3"/>
  <c r="T590" i="3"/>
  <c r="R590" i="3"/>
  <c r="P590" i="3"/>
  <c r="N590" i="3"/>
  <c r="L590" i="3"/>
  <c r="J590" i="3"/>
  <c r="H590" i="3"/>
  <c r="F590" i="3"/>
  <c r="D590" i="3"/>
  <c r="B590" i="3"/>
  <c r="A590" i="3"/>
  <c r="BA590" i="3" s="1"/>
  <c r="BB589" i="3"/>
  <c r="AZ589" i="3"/>
  <c r="AX589" i="3"/>
  <c r="AV589" i="3"/>
  <c r="AT589" i="3"/>
  <c r="AR589" i="3"/>
  <c r="AP589" i="3"/>
  <c r="AN589" i="3"/>
  <c r="AL589" i="3"/>
  <c r="AB589" i="3"/>
  <c r="Z589" i="3"/>
  <c r="X589" i="3"/>
  <c r="V589" i="3"/>
  <c r="T589" i="3"/>
  <c r="R589" i="3"/>
  <c r="P589" i="3"/>
  <c r="N589" i="3"/>
  <c r="L589" i="3"/>
  <c r="J589" i="3"/>
  <c r="H589" i="3"/>
  <c r="F589" i="3"/>
  <c r="D589" i="3"/>
  <c r="B589" i="3"/>
  <c r="A589" i="3"/>
  <c r="BA589" i="3" s="1"/>
  <c r="BB588" i="3"/>
  <c r="AZ588" i="3"/>
  <c r="AX588" i="3"/>
  <c r="AV588" i="3"/>
  <c r="AT588" i="3"/>
  <c r="AR588" i="3"/>
  <c r="AP588" i="3"/>
  <c r="AN588" i="3"/>
  <c r="AL588" i="3"/>
  <c r="AB588" i="3"/>
  <c r="Z588" i="3"/>
  <c r="X588" i="3"/>
  <c r="V588" i="3"/>
  <c r="T588" i="3"/>
  <c r="R588" i="3"/>
  <c r="P588" i="3"/>
  <c r="N588" i="3"/>
  <c r="L588" i="3"/>
  <c r="J588" i="3"/>
  <c r="H588" i="3"/>
  <c r="F588" i="3"/>
  <c r="D588" i="3"/>
  <c r="B588" i="3"/>
  <c r="A588" i="3"/>
  <c r="BA588" i="3" s="1"/>
  <c r="BB587" i="3"/>
  <c r="AZ587" i="3"/>
  <c r="AX587" i="3"/>
  <c r="AV587" i="3"/>
  <c r="AT587" i="3"/>
  <c r="AR587" i="3"/>
  <c r="AP587" i="3"/>
  <c r="AN587" i="3"/>
  <c r="AL587" i="3"/>
  <c r="AB587" i="3"/>
  <c r="Z587" i="3"/>
  <c r="X587" i="3"/>
  <c r="V587" i="3"/>
  <c r="T587" i="3"/>
  <c r="R587" i="3"/>
  <c r="P587" i="3"/>
  <c r="N587" i="3"/>
  <c r="L587" i="3"/>
  <c r="J587" i="3"/>
  <c r="H587" i="3"/>
  <c r="F587" i="3"/>
  <c r="D587" i="3"/>
  <c r="B587" i="3"/>
  <c r="A587" i="3"/>
  <c r="BA587" i="3" s="1"/>
  <c r="BB586" i="3"/>
  <c r="AZ586" i="3"/>
  <c r="AX586" i="3"/>
  <c r="AV586" i="3"/>
  <c r="AT586" i="3"/>
  <c r="AR586" i="3"/>
  <c r="AP586" i="3"/>
  <c r="AN586" i="3"/>
  <c r="AL586" i="3"/>
  <c r="AB586" i="3"/>
  <c r="Z586" i="3"/>
  <c r="X586" i="3"/>
  <c r="V586" i="3"/>
  <c r="T586" i="3"/>
  <c r="R586" i="3"/>
  <c r="P586" i="3"/>
  <c r="N586" i="3"/>
  <c r="L586" i="3"/>
  <c r="J586" i="3"/>
  <c r="H586" i="3"/>
  <c r="F586" i="3"/>
  <c r="D586" i="3"/>
  <c r="B586" i="3"/>
  <c r="A586" i="3"/>
  <c r="BA586" i="3" s="1"/>
  <c r="BB585" i="3"/>
  <c r="AZ585" i="3"/>
  <c r="AX585" i="3"/>
  <c r="AV585" i="3"/>
  <c r="AT585" i="3"/>
  <c r="AR585" i="3"/>
  <c r="AP585" i="3"/>
  <c r="AN585" i="3"/>
  <c r="AL585" i="3"/>
  <c r="AB585" i="3"/>
  <c r="Z585" i="3"/>
  <c r="X585" i="3"/>
  <c r="V585" i="3"/>
  <c r="T585" i="3"/>
  <c r="R585" i="3"/>
  <c r="P585" i="3"/>
  <c r="N585" i="3"/>
  <c r="L585" i="3"/>
  <c r="J585" i="3"/>
  <c r="H585" i="3"/>
  <c r="F585" i="3"/>
  <c r="D585" i="3"/>
  <c r="B585" i="3"/>
  <c r="A585" i="3"/>
  <c r="BA585" i="3" s="1"/>
  <c r="BB584" i="3"/>
  <c r="AZ584" i="3"/>
  <c r="AX584" i="3"/>
  <c r="AV584" i="3"/>
  <c r="AT584" i="3"/>
  <c r="AR584" i="3"/>
  <c r="AP584" i="3"/>
  <c r="AN584" i="3"/>
  <c r="AL584" i="3"/>
  <c r="AB584" i="3"/>
  <c r="Z584" i="3"/>
  <c r="X584" i="3"/>
  <c r="V584" i="3"/>
  <c r="T584" i="3"/>
  <c r="R584" i="3"/>
  <c r="P584" i="3"/>
  <c r="N584" i="3"/>
  <c r="L584" i="3"/>
  <c r="J584" i="3"/>
  <c r="H584" i="3"/>
  <c r="F584" i="3"/>
  <c r="D584" i="3"/>
  <c r="B584" i="3"/>
  <c r="A584" i="3"/>
  <c r="BA584" i="3" s="1"/>
  <c r="BB583" i="3"/>
  <c r="AZ583" i="3"/>
  <c r="AX583" i="3"/>
  <c r="AV583" i="3"/>
  <c r="AT583" i="3"/>
  <c r="AR583" i="3"/>
  <c r="AP583" i="3"/>
  <c r="AN583" i="3"/>
  <c r="AL583" i="3"/>
  <c r="AB583" i="3"/>
  <c r="Z583" i="3"/>
  <c r="X583" i="3"/>
  <c r="V583" i="3"/>
  <c r="T583" i="3"/>
  <c r="R583" i="3"/>
  <c r="P583" i="3"/>
  <c r="N583" i="3"/>
  <c r="L583" i="3"/>
  <c r="J583" i="3"/>
  <c r="H583" i="3"/>
  <c r="F583" i="3"/>
  <c r="D583" i="3"/>
  <c r="B583" i="3"/>
  <c r="A583" i="3"/>
  <c r="BA583" i="3" s="1"/>
  <c r="BB582" i="3"/>
  <c r="AZ582" i="3"/>
  <c r="AX582" i="3"/>
  <c r="AV582" i="3"/>
  <c r="AT582" i="3"/>
  <c r="AR582" i="3"/>
  <c r="AP582" i="3"/>
  <c r="AN582" i="3"/>
  <c r="AL582" i="3"/>
  <c r="AB582" i="3"/>
  <c r="Z582" i="3"/>
  <c r="X582" i="3"/>
  <c r="V582" i="3"/>
  <c r="T582" i="3"/>
  <c r="R582" i="3"/>
  <c r="P582" i="3"/>
  <c r="N582" i="3"/>
  <c r="L582" i="3"/>
  <c r="J582" i="3"/>
  <c r="H582" i="3"/>
  <c r="F582" i="3"/>
  <c r="D582" i="3"/>
  <c r="B582" i="3"/>
  <c r="A582" i="3"/>
  <c r="BA582" i="3" s="1"/>
  <c r="BB581" i="3"/>
  <c r="AZ581" i="3"/>
  <c r="AX581" i="3"/>
  <c r="AV581" i="3"/>
  <c r="AT581" i="3"/>
  <c r="AR581" i="3"/>
  <c r="AP581" i="3"/>
  <c r="AN581" i="3"/>
  <c r="AL581" i="3"/>
  <c r="AB581" i="3"/>
  <c r="Z581" i="3"/>
  <c r="X581" i="3"/>
  <c r="V581" i="3"/>
  <c r="T581" i="3"/>
  <c r="R581" i="3"/>
  <c r="P581" i="3"/>
  <c r="N581" i="3"/>
  <c r="L581" i="3"/>
  <c r="J581" i="3"/>
  <c r="H581" i="3"/>
  <c r="F581" i="3"/>
  <c r="D581" i="3"/>
  <c r="B581" i="3"/>
  <c r="A581" i="3"/>
  <c r="BA581" i="3" s="1"/>
  <c r="BB580" i="3"/>
  <c r="AZ580" i="3"/>
  <c r="AX580" i="3"/>
  <c r="AV580" i="3"/>
  <c r="AT580" i="3"/>
  <c r="AR580" i="3"/>
  <c r="AP580" i="3"/>
  <c r="AN580" i="3"/>
  <c r="AL580" i="3"/>
  <c r="AB580" i="3"/>
  <c r="Z580" i="3"/>
  <c r="X580" i="3"/>
  <c r="V580" i="3"/>
  <c r="T580" i="3"/>
  <c r="R580" i="3"/>
  <c r="P580" i="3"/>
  <c r="N580" i="3"/>
  <c r="L580" i="3"/>
  <c r="J580" i="3"/>
  <c r="H580" i="3"/>
  <c r="F580" i="3"/>
  <c r="D580" i="3"/>
  <c r="B580" i="3"/>
  <c r="A580" i="3"/>
  <c r="BA580" i="3" s="1"/>
  <c r="BB579" i="3"/>
  <c r="AZ579" i="3"/>
  <c r="AX579" i="3"/>
  <c r="AV579" i="3"/>
  <c r="AT579" i="3"/>
  <c r="AR579" i="3"/>
  <c r="AP579" i="3"/>
  <c r="AN579" i="3"/>
  <c r="AL579" i="3"/>
  <c r="AB579" i="3"/>
  <c r="Z579" i="3"/>
  <c r="X579" i="3"/>
  <c r="V579" i="3"/>
  <c r="T579" i="3"/>
  <c r="R579" i="3"/>
  <c r="P579" i="3"/>
  <c r="N579" i="3"/>
  <c r="L579" i="3"/>
  <c r="J579" i="3"/>
  <c r="H579" i="3"/>
  <c r="F579" i="3"/>
  <c r="D579" i="3"/>
  <c r="B579" i="3"/>
  <c r="A579" i="3"/>
  <c r="BA579" i="3" s="1"/>
  <c r="BB578" i="3"/>
  <c r="AZ578" i="3"/>
  <c r="AX578" i="3"/>
  <c r="AV578" i="3"/>
  <c r="AT578" i="3"/>
  <c r="AR578" i="3"/>
  <c r="AP578" i="3"/>
  <c r="AN578" i="3"/>
  <c r="AL578" i="3"/>
  <c r="AB578" i="3"/>
  <c r="Z578" i="3"/>
  <c r="X578" i="3"/>
  <c r="V578" i="3"/>
  <c r="T578" i="3"/>
  <c r="R578" i="3"/>
  <c r="P578" i="3"/>
  <c r="N578" i="3"/>
  <c r="L578" i="3"/>
  <c r="J578" i="3"/>
  <c r="H578" i="3"/>
  <c r="F578" i="3"/>
  <c r="D578" i="3"/>
  <c r="B578" i="3"/>
  <c r="A578" i="3"/>
  <c r="BA578" i="3" s="1"/>
  <c r="BB577" i="3"/>
  <c r="AZ577" i="3"/>
  <c r="AX577" i="3"/>
  <c r="AV577" i="3"/>
  <c r="AT577" i="3"/>
  <c r="AR577" i="3"/>
  <c r="AP577" i="3"/>
  <c r="AN577" i="3"/>
  <c r="AL577" i="3"/>
  <c r="AB577" i="3"/>
  <c r="Z577" i="3"/>
  <c r="X577" i="3"/>
  <c r="V577" i="3"/>
  <c r="T577" i="3"/>
  <c r="R577" i="3"/>
  <c r="P577" i="3"/>
  <c r="N577" i="3"/>
  <c r="L577" i="3"/>
  <c r="J577" i="3"/>
  <c r="H577" i="3"/>
  <c r="F577" i="3"/>
  <c r="D577" i="3"/>
  <c r="B577" i="3"/>
  <c r="A577" i="3"/>
  <c r="BA577" i="3" s="1"/>
  <c r="BB576" i="3"/>
  <c r="AZ576" i="3"/>
  <c r="AX576" i="3"/>
  <c r="AV576" i="3"/>
  <c r="AT576" i="3"/>
  <c r="AR576" i="3"/>
  <c r="AP576" i="3"/>
  <c r="AN576" i="3"/>
  <c r="AL576" i="3"/>
  <c r="AB576" i="3"/>
  <c r="Z576" i="3"/>
  <c r="X576" i="3"/>
  <c r="V576" i="3"/>
  <c r="T576" i="3"/>
  <c r="R576" i="3"/>
  <c r="P576" i="3"/>
  <c r="N576" i="3"/>
  <c r="L576" i="3"/>
  <c r="J576" i="3"/>
  <c r="H576" i="3"/>
  <c r="F576" i="3"/>
  <c r="D576" i="3"/>
  <c r="B576" i="3"/>
  <c r="A576" i="3"/>
  <c r="BA576" i="3" s="1"/>
  <c r="BB575" i="3"/>
  <c r="AZ575" i="3"/>
  <c r="AX575" i="3"/>
  <c r="AV575" i="3"/>
  <c r="AT575" i="3"/>
  <c r="AR575" i="3"/>
  <c r="AP575" i="3"/>
  <c r="AN575" i="3"/>
  <c r="AL575" i="3"/>
  <c r="AB575" i="3"/>
  <c r="Z575" i="3"/>
  <c r="X575" i="3"/>
  <c r="V575" i="3"/>
  <c r="T575" i="3"/>
  <c r="R575" i="3"/>
  <c r="P575" i="3"/>
  <c r="N575" i="3"/>
  <c r="L575" i="3"/>
  <c r="J575" i="3"/>
  <c r="H575" i="3"/>
  <c r="F575" i="3"/>
  <c r="D575" i="3"/>
  <c r="B575" i="3"/>
  <c r="A575" i="3"/>
  <c r="BA575" i="3" s="1"/>
  <c r="BB574" i="3"/>
  <c r="AZ574" i="3"/>
  <c r="AX574" i="3"/>
  <c r="AV574" i="3"/>
  <c r="AT574" i="3"/>
  <c r="AR574" i="3"/>
  <c r="AP574" i="3"/>
  <c r="AN574" i="3"/>
  <c r="AL574" i="3"/>
  <c r="AB574" i="3"/>
  <c r="Z574" i="3"/>
  <c r="X574" i="3"/>
  <c r="V574" i="3"/>
  <c r="T574" i="3"/>
  <c r="R574" i="3"/>
  <c r="P574" i="3"/>
  <c r="N574" i="3"/>
  <c r="L574" i="3"/>
  <c r="J574" i="3"/>
  <c r="H574" i="3"/>
  <c r="F574" i="3"/>
  <c r="D574" i="3"/>
  <c r="B574" i="3"/>
  <c r="A574" i="3"/>
  <c r="BA574" i="3" s="1"/>
  <c r="BB573" i="3"/>
  <c r="AZ573" i="3"/>
  <c r="AX573" i="3"/>
  <c r="AV573" i="3"/>
  <c r="AT573" i="3"/>
  <c r="AR573" i="3"/>
  <c r="AP573" i="3"/>
  <c r="AN573" i="3"/>
  <c r="AL573" i="3"/>
  <c r="AB573" i="3"/>
  <c r="Z573" i="3"/>
  <c r="X573" i="3"/>
  <c r="V573" i="3"/>
  <c r="T573" i="3"/>
  <c r="R573" i="3"/>
  <c r="P573" i="3"/>
  <c r="N573" i="3"/>
  <c r="L573" i="3"/>
  <c r="J573" i="3"/>
  <c r="H573" i="3"/>
  <c r="F573" i="3"/>
  <c r="D573" i="3"/>
  <c r="B573" i="3"/>
  <c r="A573" i="3"/>
  <c r="BA573" i="3" s="1"/>
  <c r="BB572" i="3"/>
  <c r="AZ572" i="3"/>
  <c r="AX572" i="3"/>
  <c r="AV572" i="3"/>
  <c r="AT572" i="3"/>
  <c r="AR572" i="3"/>
  <c r="AP572" i="3"/>
  <c r="AN572" i="3"/>
  <c r="AL572" i="3"/>
  <c r="AB572" i="3"/>
  <c r="Z572" i="3"/>
  <c r="X572" i="3"/>
  <c r="V572" i="3"/>
  <c r="T572" i="3"/>
  <c r="R572" i="3"/>
  <c r="P572" i="3"/>
  <c r="N572" i="3"/>
  <c r="L572" i="3"/>
  <c r="J572" i="3"/>
  <c r="H572" i="3"/>
  <c r="F572" i="3"/>
  <c r="D572" i="3"/>
  <c r="B572" i="3"/>
  <c r="A572" i="3"/>
  <c r="BA572" i="3" s="1"/>
  <c r="BB571" i="3"/>
  <c r="AZ571" i="3"/>
  <c r="AX571" i="3"/>
  <c r="AV571" i="3"/>
  <c r="AT571" i="3"/>
  <c r="AR571" i="3"/>
  <c r="AP571" i="3"/>
  <c r="AN571" i="3"/>
  <c r="AL571" i="3"/>
  <c r="AB571" i="3"/>
  <c r="Z571" i="3"/>
  <c r="X571" i="3"/>
  <c r="V571" i="3"/>
  <c r="T571" i="3"/>
  <c r="R571" i="3"/>
  <c r="P571" i="3"/>
  <c r="N571" i="3"/>
  <c r="L571" i="3"/>
  <c r="J571" i="3"/>
  <c r="H571" i="3"/>
  <c r="F571" i="3"/>
  <c r="D571" i="3"/>
  <c r="B571" i="3"/>
  <c r="A571" i="3"/>
  <c r="BA571" i="3" s="1"/>
  <c r="BB570" i="3"/>
  <c r="AZ570" i="3"/>
  <c r="AX570" i="3"/>
  <c r="AV570" i="3"/>
  <c r="AT570" i="3"/>
  <c r="AR570" i="3"/>
  <c r="AP570" i="3"/>
  <c r="AN570" i="3"/>
  <c r="AL570" i="3"/>
  <c r="AB570" i="3"/>
  <c r="Z570" i="3"/>
  <c r="X570" i="3"/>
  <c r="V570" i="3"/>
  <c r="T570" i="3"/>
  <c r="R570" i="3"/>
  <c r="P570" i="3"/>
  <c r="N570" i="3"/>
  <c r="L570" i="3"/>
  <c r="J570" i="3"/>
  <c r="H570" i="3"/>
  <c r="F570" i="3"/>
  <c r="D570" i="3"/>
  <c r="B570" i="3"/>
  <c r="A570" i="3"/>
  <c r="BA570" i="3" s="1"/>
  <c r="BB569" i="3"/>
  <c r="AZ569" i="3"/>
  <c r="AX569" i="3"/>
  <c r="AV569" i="3"/>
  <c r="AT569" i="3"/>
  <c r="AR569" i="3"/>
  <c r="AP569" i="3"/>
  <c r="AN569" i="3"/>
  <c r="AL569" i="3"/>
  <c r="AB569" i="3"/>
  <c r="Z569" i="3"/>
  <c r="X569" i="3"/>
  <c r="V569" i="3"/>
  <c r="T569" i="3"/>
  <c r="R569" i="3"/>
  <c r="P569" i="3"/>
  <c r="N569" i="3"/>
  <c r="L569" i="3"/>
  <c r="J569" i="3"/>
  <c r="H569" i="3"/>
  <c r="F569" i="3"/>
  <c r="D569" i="3"/>
  <c r="B569" i="3"/>
  <c r="A569" i="3"/>
  <c r="BA569" i="3" s="1"/>
  <c r="BB568" i="3"/>
  <c r="AZ568" i="3"/>
  <c r="AX568" i="3"/>
  <c r="AV568" i="3"/>
  <c r="AT568" i="3"/>
  <c r="AR568" i="3"/>
  <c r="AP568" i="3"/>
  <c r="AN568" i="3"/>
  <c r="AL568" i="3"/>
  <c r="AB568" i="3"/>
  <c r="Z568" i="3"/>
  <c r="X568" i="3"/>
  <c r="V568" i="3"/>
  <c r="T568" i="3"/>
  <c r="R568" i="3"/>
  <c r="P568" i="3"/>
  <c r="N568" i="3"/>
  <c r="L568" i="3"/>
  <c r="J568" i="3"/>
  <c r="H568" i="3"/>
  <c r="F568" i="3"/>
  <c r="D568" i="3"/>
  <c r="B568" i="3"/>
  <c r="A568" i="3"/>
  <c r="BA568" i="3" s="1"/>
  <c r="BB567" i="3"/>
  <c r="AZ567" i="3"/>
  <c r="AX567" i="3"/>
  <c r="AV567" i="3"/>
  <c r="AT567" i="3"/>
  <c r="AR567" i="3"/>
  <c r="AP567" i="3"/>
  <c r="AN567" i="3"/>
  <c r="AL567" i="3"/>
  <c r="AB567" i="3"/>
  <c r="Z567" i="3"/>
  <c r="X567" i="3"/>
  <c r="V567" i="3"/>
  <c r="T567" i="3"/>
  <c r="R567" i="3"/>
  <c r="P567" i="3"/>
  <c r="N567" i="3"/>
  <c r="L567" i="3"/>
  <c r="J567" i="3"/>
  <c r="H567" i="3"/>
  <c r="F567" i="3"/>
  <c r="D567" i="3"/>
  <c r="B567" i="3"/>
  <c r="A567" i="3"/>
  <c r="BA567" i="3" s="1"/>
  <c r="BB566" i="3"/>
  <c r="AZ566" i="3"/>
  <c r="AX566" i="3"/>
  <c r="AV566" i="3"/>
  <c r="AT566" i="3"/>
  <c r="AR566" i="3"/>
  <c r="AP566" i="3"/>
  <c r="AN566" i="3"/>
  <c r="AL566" i="3"/>
  <c r="AB566" i="3"/>
  <c r="Z566" i="3"/>
  <c r="X566" i="3"/>
  <c r="V566" i="3"/>
  <c r="T566" i="3"/>
  <c r="R566" i="3"/>
  <c r="P566" i="3"/>
  <c r="N566" i="3"/>
  <c r="L566" i="3"/>
  <c r="J566" i="3"/>
  <c r="H566" i="3"/>
  <c r="F566" i="3"/>
  <c r="D566" i="3"/>
  <c r="B566" i="3"/>
  <c r="A566" i="3"/>
  <c r="BA566" i="3" s="1"/>
  <c r="BB565" i="3"/>
  <c r="AZ565" i="3"/>
  <c r="AX565" i="3"/>
  <c r="AV565" i="3"/>
  <c r="AT565" i="3"/>
  <c r="AR565" i="3"/>
  <c r="AP565" i="3"/>
  <c r="AN565" i="3"/>
  <c r="AL565" i="3"/>
  <c r="AB565" i="3"/>
  <c r="Z565" i="3"/>
  <c r="X565" i="3"/>
  <c r="V565" i="3"/>
  <c r="T565" i="3"/>
  <c r="R565" i="3"/>
  <c r="P565" i="3"/>
  <c r="N565" i="3"/>
  <c r="L565" i="3"/>
  <c r="J565" i="3"/>
  <c r="H565" i="3"/>
  <c r="F565" i="3"/>
  <c r="D565" i="3"/>
  <c r="B565" i="3"/>
  <c r="A565" i="3"/>
  <c r="BA565" i="3" s="1"/>
  <c r="BB564" i="3"/>
  <c r="AZ564" i="3"/>
  <c r="AX564" i="3"/>
  <c r="AV564" i="3"/>
  <c r="AT564" i="3"/>
  <c r="AR564" i="3"/>
  <c r="AP564" i="3"/>
  <c r="AN564" i="3"/>
  <c r="AL564" i="3"/>
  <c r="AB564" i="3"/>
  <c r="Z564" i="3"/>
  <c r="X564" i="3"/>
  <c r="V564" i="3"/>
  <c r="T564" i="3"/>
  <c r="R564" i="3"/>
  <c r="P564" i="3"/>
  <c r="N564" i="3"/>
  <c r="L564" i="3"/>
  <c r="J564" i="3"/>
  <c r="H564" i="3"/>
  <c r="F564" i="3"/>
  <c r="D564" i="3"/>
  <c r="B564" i="3"/>
  <c r="A564" i="3"/>
  <c r="BA564" i="3" s="1"/>
  <c r="BB563" i="3"/>
  <c r="AZ563" i="3"/>
  <c r="AX563" i="3"/>
  <c r="AV563" i="3"/>
  <c r="AT563" i="3"/>
  <c r="AR563" i="3"/>
  <c r="AP563" i="3"/>
  <c r="AN563" i="3"/>
  <c r="AL563" i="3"/>
  <c r="AB563" i="3"/>
  <c r="Z563" i="3"/>
  <c r="X563" i="3"/>
  <c r="V563" i="3"/>
  <c r="T563" i="3"/>
  <c r="R563" i="3"/>
  <c r="P563" i="3"/>
  <c r="N563" i="3"/>
  <c r="L563" i="3"/>
  <c r="J563" i="3"/>
  <c r="H563" i="3"/>
  <c r="F563" i="3"/>
  <c r="D563" i="3"/>
  <c r="B563" i="3"/>
  <c r="A563" i="3"/>
  <c r="BA563" i="3" s="1"/>
  <c r="BB562" i="3"/>
  <c r="AZ562" i="3"/>
  <c r="AX562" i="3"/>
  <c r="AV562" i="3"/>
  <c r="AT562" i="3"/>
  <c r="AR562" i="3"/>
  <c r="AP562" i="3"/>
  <c r="AN562" i="3"/>
  <c r="AL562" i="3"/>
  <c r="AB562" i="3"/>
  <c r="Z562" i="3"/>
  <c r="X562" i="3"/>
  <c r="V562" i="3"/>
  <c r="T562" i="3"/>
  <c r="R562" i="3"/>
  <c r="P562" i="3"/>
  <c r="N562" i="3"/>
  <c r="L562" i="3"/>
  <c r="J562" i="3"/>
  <c r="H562" i="3"/>
  <c r="F562" i="3"/>
  <c r="D562" i="3"/>
  <c r="B562" i="3"/>
  <c r="A562" i="3"/>
  <c r="BA562" i="3" s="1"/>
  <c r="BB561" i="3"/>
  <c r="AZ561" i="3"/>
  <c r="AX561" i="3"/>
  <c r="AV561" i="3"/>
  <c r="AT561" i="3"/>
  <c r="AR561" i="3"/>
  <c r="AP561" i="3"/>
  <c r="AN561" i="3"/>
  <c r="AL561" i="3"/>
  <c r="AB561" i="3"/>
  <c r="Z561" i="3"/>
  <c r="X561" i="3"/>
  <c r="V561" i="3"/>
  <c r="T561" i="3"/>
  <c r="R561" i="3"/>
  <c r="P561" i="3"/>
  <c r="N561" i="3"/>
  <c r="L561" i="3"/>
  <c r="J561" i="3"/>
  <c r="H561" i="3"/>
  <c r="F561" i="3"/>
  <c r="D561" i="3"/>
  <c r="B561" i="3"/>
  <c r="A561" i="3"/>
  <c r="BA561" i="3" s="1"/>
  <c r="BB560" i="3"/>
  <c r="AZ560" i="3"/>
  <c r="AX560" i="3"/>
  <c r="AV560" i="3"/>
  <c r="AT560" i="3"/>
  <c r="AR560" i="3"/>
  <c r="AP560" i="3"/>
  <c r="AN560" i="3"/>
  <c r="AL560" i="3"/>
  <c r="AB560" i="3"/>
  <c r="Z560" i="3"/>
  <c r="X560" i="3"/>
  <c r="V560" i="3"/>
  <c r="T560" i="3"/>
  <c r="R560" i="3"/>
  <c r="P560" i="3"/>
  <c r="N560" i="3"/>
  <c r="L560" i="3"/>
  <c r="J560" i="3"/>
  <c r="H560" i="3"/>
  <c r="F560" i="3"/>
  <c r="D560" i="3"/>
  <c r="B560" i="3"/>
  <c r="A560" i="3"/>
  <c r="BA560" i="3" s="1"/>
  <c r="BB559" i="3"/>
  <c r="AZ559" i="3"/>
  <c r="AX559" i="3"/>
  <c r="AV559" i="3"/>
  <c r="AT559" i="3"/>
  <c r="AR559" i="3"/>
  <c r="AP559" i="3"/>
  <c r="AN559" i="3"/>
  <c r="AL559" i="3"/>
  <c r="AB559" i="3"/>
  <c r="Z559" i="3"/>
  <c r="X559" i="3"/>
  <c r="V559" i="3"/>
  <c r="T559" i="3"/>
  <c r="R559" i="3"/>
  <c r="P559" i="3"/>
  <c r="N559" i="3"/>
  <c r="L559" i="3"/>
  <c r="J559" i="3"/>
  <c r="H559" i="3"/>
  <c r="F559" i="3"/>
  <c r="D559" i="3"/>
  <c r="B559" i="3"/>
  <c r="A559" i="3"/>
  <c r="BA559" i="3" s="1"/>
  <c r="BB558" i="3"/>
  <c r="AZ558" i="3"/>
  <c r="AX558" i="3"/>
  <c r="AV558" i="3"/>
  <c r="AT558" i="3"/>
  <c r="AR558" i="3"/>
  <c r="AP558" i="3"/>
  <c r="AN558" i="3"/>
  <c r="AL558" i="3"/>
  <c r="AB558" i="3"/>
  <c r="Z558" i="3"/>
  <c r="X558" i="3"/>
  <c r="V558" i="3"/>
  <c r="T558" i="3"/>
  <c r="R558" i="3"/>
  <c r="P558" i="3"/>
  <c r="N558" i="3"/>
  <c r="L558" i="3"/>
  <c r="J558" i="3"/>
  <c r="H558" i="3"/>
  <c r="F558" i="3"/>
  <c r="D558" i="3"/>
  <c r="B558" i="3"/>
  <c r="A558" i="3"/>
  <c r="BA558" i="3" s="1"/>
  <c r="BB557" i="3"/>
  <c r="AZ557" i="3"/>
  <c r="AX557" i="3"/>
  <c r="AV557" i="3"/>
  <c r="AT557" i="3"/>
  <c r="AR557" i="3"/>
  <c r="AP557" i="3"/>
  <c r="AN557" i="3"/>
  <c r="AL557" i="3"/>
  <c r="AB557" i="3"/>
  <c r="Z557" i="3"/>
  <c r="X557" i="3"/>
  <c r="V557" i="3"/>
  <c r="T557" i="3"/>
  <c r="R557" i="3"/>
  <c r="P557" i="3"/>
  <c r="N557" i="3"/>
  <c r="L557" i="3"/>
  <c r="J557" i="3"/>
  <c r="H557" i="3"/>
  <c r="F557" i="3"/>
  <c r="D557" i="3"/>
  <c r="B557" i="3"/>
  <c r="A557" i="3"/>
  <c r="BA557" i="3" s="1"/>
  <c r="BB556" i="3"/>
  <c r="AZ556" i="3"/>
  <c r="AX556" i="3"/>
  <c r="AV556" i="3"/>
  <c r="AT556" i="3"/>
  <c r="AR556" i="3"/>
  <c r="AP556" i="3"/>
  <c r="AN556" i="3"/>
  <c r="AL556" i="3"/>
  <c r="AB556" i="3"/>
  <c r="Z556" i="3"/>
  <c r="X556" i="3"/>
  <c r="V556" i="3"/>
  <c r="T556" i="3"/>
  <c r="R556" i="3"/>
  <c r="P556" i="3"/>
  <c r="N556" i="3"/>
  <c r="L556" i="3"/>
  <c r="J556" i="3"/>
  <c r="H556" i="3"/>
  <c r="F556" i="3"/>
  <c r="D556" i="3"/>
  <c r="B556" i="3"/>
  <c r="A556" i="3"/>
  <c r="BA556" i="3" s="1"/>
  <c r="BB555" i="3"/>
  <c r="AZ555" i="3"/>
  <c r="AX555" i="3"/>
  <c r="AV555" i="3"/>
  <c r="AT555" i="3"/>
  <c r="AR555" i="3"/>
  <c r="AP555" i="3"/>
  <c r="AN555" i="3"/>
  <c r="AL555" i="3"/>
  <c r="AB555" i="3"/>
  <c r="Z555" i="3"/>
  <c r="X555" i="3"/>
  <c r="V555" i="3"/>
  <c r="T555" i="3"/>
  <c r="R555" i="3"/>
  <c r="P555" i="3"/>
  <c r="N555" i="3"/>
  <c r="L555" i="3"/>
  <c r="J555" i="3"/>
  <c r="H555" i="3"/>
  <c r="F555" i="3"/>
  <c r="D555" i="3"/>
  <c r="B555" i="3"/>
  <c r="A555" i="3"/>
  <c r="BA555" i="3" s="1"/>
  <c r="BB554" i="3"/>
  <c r="AZ554" i="3"/>
  <c r="AX554" i="3"/>
  <c r="AV554" i="3"/>
  <c r="AT554" i="3"/>
  <c r="AR554" i="3"/>
  <c r="AP554" i="3"/>
  <c r="AN554" i="3"/>
  <c r="AL554" i="3"/>
  <c r="AB554" i="3"/>
  <c r="Z554" i="3"/>
  <c r="X554" i="3"/>
  <c r="V554" i="3"/>
  <c r="T554" i="3"/>
  <c r="R554" i="3"/>
  <c r="P554" i="3"/>
  <c r="N554" i="3"/>
  <c r="L554" i="3"/>
  <c r="J554" i="3"/>
  <c r="H554" i="3"/>
  <c r="F554" i="3"/>
  <c r="D554" i="3"/>
  <c r="B554" i="3"/>
  <c r="A554" i="3"/>
  <c r="BA554" i="3" s="1"/>
  <c r="BB553" i="3"/>
  <c r="AZ553" i="3"/>
  <c r="AX553" i="3"/>
  <c r="AV553" i="3"/>
  <c r="AT553" i="3"/>
  <c r="AR553" i="3"/>
  <c r="AP553" i="3"/>
  <c r="AN553" i="3"/>
  <c r="AL553" i="3"/>
  <c r="AB553" i="3"/>
  <c r="Z553" i="3"/>
  <c r="X553" i="3"/>
  <c r="V553" i="3"/>
  <c r="T553" i="3"/>
  <c r="R553" i="3"/>
  <c r="P553" i="3"/>
  <c r="N553" i="3"/>
  <c r="L553" i="3"/>
  <c r="J553" i="3"/>
  <c r="H553" i="3"/>
  <c r="F553" i="3"/>
  <c r="D553" i="3"/>
  <c r="B553" i="3"/>
  <c r="A553" i="3"/>
  <c r="BA553" i="3" s="1"/>
  <c r="BB552" i="3"/>
  <c r="AZ552" i="3"/>
  <c r="AX552" i="3"/>
  <c r="AV552" i="3"/>
  <c r="AT552" i="3"/>
  <c r="AR552" i="3"/>
  <c r="AP552" i="3"/>
  <c r="AN552" i="3"/>
  <c r="AL552" i="3"/>
  <c r="AB552" i="3"/>
  <c r="Z552" i="3"/>
  <c r="X552" i="3"/>
  <c r="V552" i="3"/>
  <c r="T552" i="3"/>
  <c r="R552" i="3"/>
  <c r="P552" i="3"/>
  <c r="N552" i="3"/>
  <c r="L552" i="3"/>
  <c r="J552" i="3"/>
  <c r="H552" i="3"/>
  <c r="F552" i="3"/>
  <c r="D552" i="3"/>
  <c r="B552" i="3"/>
  <c r="A552" i="3"/>
  <c r="BA552" i="3" s="1"/>
  <c r="BB551" i="3"/>
  <c r="AZ551" i="3"/>
  <c r="AX551" i="3"/>
  <c r="AV551" i="3"/>
  <c r="AT551" i="3"/>
  <c r="AR551" i="3"/>
  <c r="AP551" i="3"/>
  <c r="AN551" i="3"/>
  <c r="AL551" i="3"/>
  <c r="AB551" i="3"/>
  <c r="Z551" i="3"/>
  <c r="X551" i="3"/>
  <c r="V551" i="3"/>
  <c r="T551" i="3"/>
  <c r="R551" i="3"/>
  <c r="P551" i="3"/>
  <c r="N551" i="3"/>
  <c r="L551" i="3"/>
  <c r="J551" i="3"/>
  <c r="H551" i="3"/>
  <c r="F551" i="3"/>
  <c r="D551" i="3"/>
  <c r="B551" i="3"/>
  <c r="A551" i="3"/>
  <c r="BA551" i="3" s="1"/>
  <c r="BB550" i="3"/>
  <c r="AZ550" i="3"/>
  <c r="AX550" i="3"/>
  <c r="AV550" i="3"/>
  <c r="AT550" i="3"/>
  <c r="AR550" i="3"/>
  <c r="AP550" i="3"/>
  <c r="AN550" i="3"/>
  <c r="AL550" i="3"/>
  <c r="AB550" i="3"/>
  <c r="Z550" i="3"/>
  <c r="X550" i="3"/>
  <c r="V550" i="3"/>
  <c r="T550" i="3"/>
  <c r="R550" i="3"/>
  <c r="P550" i="3"/>
  <c r="N550" i="3"/>
  <c r="L550" i="3"/>
  <c r="J550" i="3"/>
  <c r="H550" i="3"/>
  <c r="F550" i="3"/>
  <c r="D550" i="3"/>
  <c r="B550" i="3"/>
  <c r="A550" i="3"/>
  <c r="BA550" i="3" s="1"/>
  <c r="BB549" i="3"/>
  <c r="AZ549" i="3"/>
  <c r="AX549" i="3"/>
  <c r="AV549" i="3"/>
  <c r="AT549" i="3"/>
  <c r="AR549" i="3"/>
  <c r="AP549" i="3"/>
  <c r="AN549" i="3"/>
  <c r="AL549" i="3"/>
  <c r="AB549" i="3"/>
  <c r="Z549" i="3"/>
  <c r="X549" i="3"/>
  <c r="V549" i="3"/>
  <c r="T549" i="3"/>
  <c r="R549" i="3"/>
  <c r="P549" i="3"/>
  <c r="N549" i="3"/>
  <c r="L549" i="3"/>
  <c r="J549" i="3"/>
  <c r="H549" i="3"/>
  <c r="F549" i="3"/>
  <c r="D549" i="3"/>
  <c r="B549" i="3"/>
  <c r="A549" i="3"/>
  <c r="BA549" i="3" s="1"/>
  <c r="BB548" i="3"/>
  <c r="AZ548" i="3"/>
  <c r="AX548" i="3"/>
  <c r="AV548" i="3"/>
  <c r="AT548" i="3"/>
  <c r="AR548" i="3"/>
  <c r="AP548" i="3"/>
  <c r="AN548" i="3"/>
  <c r="AL548" i="3"/>
  <c r="AB548" i="3"/>
  <c r="Z548" i="3"/>
  <c r="X548" i="3"/>
  <c r="V548" i="3"/>
  <c r="T548" i="3"/>
  <c r="R548" i="3"/>
  <c r="P548" i="3"/>
  <c r="N548" i="3"/>
  <c r="L548" i="3"/>
  <c r="J548" i="3"/>
  <c r="H548" i="3"/>
  <c r="F548" i="3"/>
  <c r="D548" i="3"/>
  <c r="B548" i="3"/>
  <c r="A548" i="3"/>
  <c r="BA548" i="3" s="1"/>
  <c r="BB547" i="3"/>
  <c r="AZ547" i="3"/>
  <c r="AX547" i="3"/>
  <c r="AV547" i="3"/>
  <c r="AT547" i="3"/>
  <c r="AR547" i="3"/>
  <c r="AP547" i="3"/>
  <c r="AN547" i="3"/>
  <c r="AL547" i="3"/>
  <c r="AB547" i="3"/>
  <c r="Z547" i="3"/>
  <c r="X547" i="3"/>
  <c r="V547" i="3"/>
  <c r="T547" i="3"/>
  <c r="R547" i="3"/>
  <c r="P547" i="3"/>
  <c r="N547" i="3"/>
  <c r="L547" i="3"/>
  <c r="J547" i="3"/>
  <c r="H547" i="3"/>
  <c r="F547" i="3"/>
  <c r="D547" i="3"/>
  <c r="B547" i="3"/>
  <c r="A547" i="3"/>
  <c r="BA547" i="3" s="1"/>
  <c r="BB546" i="3"/>
  <c r="AZ546" i="3"/>
  <c r="AX546" i="3"/>
  <c r="AV546" i="3"/>
  <c r="AT546" i="3"/>
  <c r="AR546" i="3"/>
  <c r="AP546" i="3"/>
  <c r="AN546" i="3"/>
  <c r="AL546" i="3"/>
  <c r="AB546" i="3"/>
  <c r="Z546" i="3"/>
  <c r="X546" i="3"/>
  <c r="V546" i="3"/>
  <c r="T546" i="3"/>
  <c r="R546" i="3"/>
  <c r="P546" i="3"/>
  <c r="N546" i="3"/>
  <c r="L546" i="3"/>
  <c r="J546" i="3"/>
  <c r="H546" i="3"/>
  <c r="F546" i="3"/>
  <c r="D546" i="3"/>
  <c r="B546" i="3"/>
  <c r="A546" i="3"/>
  <c r="BA546" i="3" s="1"/>
  <c r="BB545" i="3"/>
  <c r="AZ545" i="3"/>
  <c r="AX545" i="3"/>
  <c r="AV545" i="3"/>
  <c r="AT545" i="3"/>
  <c r="AR545" i="3"/>
  <c r="AP545" i="3"/>
  <c r="AN545" i="3"/>
  <c r="AL545" i="3"/>
  <c r="AB545" i="3"/>
  <c r="Z545" i="3"/>
  <c r="X545" i="3"/>
  <c r="V545" i="3"/>
  <c r="T545" i="3"/>
  <c r="R545" i="3"/>
  <c r="P545" i="3"/>
  <c r="N545" i="3"/>
  <c r="L545" i="3"/>
  <c r="J545" i="3"/>
  <c r="H545" i="3"/>
  <c r="F545" i="3"/>
  <c r="D545" i="3"/>
  <c r="B545" i="3"/>
  <c r="A545" i="3"/>
  <c r="BA545" i="3" s="1"/>
  <c r="BB544" i="3"/>
  <c r="AZ544" i="3"/>
  <c r="AX544" i="3"/>
  <c r="AV544" i="3"/>
  <c r="AT544" i="3"/>
  <c r="AR544" i="3"/>
  <c r="AP544" i="3"/>
  <c r="AN544" i="3"/>
  <c r="AL544" i="3"/>
  <c r="AB544" i="3"/>
  <c r="Z544" i="3"/>
  <c r="X544" i="3"/>
  <c r="V544" i="3"/>
  <c r="T544" i="3"/>
  <c r="R544" i="3"/>
  <c r="P544" i="3"/>
  <c r="N544" i="3"/>
  <c r="L544" i="3"/>
  <c r="J544" i="3"/>
  <c r="H544" i="3"/>
  <c r="F544" i="3"/>
  <c r="D544" i="3"/>
  <c r="B544" i="3"/>
  <c r="A544" i="3"/>
  <c r="BA544" i="3" s="1"/>
  <c r="BB543" i="3"/>
  <c r="AZ543" i="3"/>
  <c r="AX543" i="3"/>
  <c r="AV543" i="3"/>
  <c r="AT543" i="3"/>
  <c r="AR543" i="3"/>
  <c r="AP543" i="3"/>
  <c r="AN543" i="3"/>
  <c r="AL543" i="3"/>
  <c r="AB543" i="3"/>
  <c r="Z543" i="3"/>
  <c r="X543" i="3"/>
  <c r="V543" i="3"/>
  <c r="T543" i="3"/>
  <c r="R543" i="3"/>
  <c r="P543" i="3"/>
  <c r="N543" i="3"/>
  <c r="L543" i="3"/>
  <c r="J543" i="3"/>
  <c r="H543" i="3"/>
  <c r="F543" i="3"/>
  <c r="D543" i="3"/>
  <c r="B543" i="3"/>
  <c r="A543" i="3"/>
  <c r="BA543" i="3" s="1"/>
  <c r="BB542" i="3"/>
  <c r="AZ542" i="3"/>
  <c r="AX542" i="3"/>
  <c r="AV542" i="3"/>
  <c r="AT542" i="3"/>
  <c r="AR542" i="3"/>
  <c r="AP542" i="3"/>
  <c r="AN542" i="3"/>
  <c r="AL542" i="3"/>
  <c r="AB542" i="3"/>
  <c r="Z542" i="3"/>
  <c r="X542" i="3"/>
  <c r="V542" i="3"/>
  <c r="T542" i="3"/>
  <c r="R542" i="3"/>
  <c r="P542" i="3"/>
  <c r="N542" i="3"/>
  <c r="L542" i="3"/>
  <c r="J542" i="3"/>
  <c r="H542" i="3"/>
  <c r="F542" i="3"/>
  <c r="D542" i="3"/>
  <c r="B542" i="3"/>
  <c r="A542" i="3"/>
  <c r="BA542" i="3" s="1"/>
  <c r="BB541" i="3"/>
  <c r="AZ541" i="3"/>
  <c r="AX541" i="3"/>
  <c r="AV541" i="3"/>
  <c r="AT541" i="3"/>
  <c r="AR541" i="3"/>
  <c r="AP541" i="3"/>
  <c r="AN541" i="3"/>
  <c r="AL541" i="3"/>
  <c r="AB541" i="3"/>
  <c r="Z541" i="3"/>
  <c r="X541" i="3"/>
  <c r="V541" i="3"/>
  <c r="T541" i="3"/>
  <c r="R541" i="3"/>
  <c r="P541" i="3"/>
  <c r="N541" i="3"/>
  <c r="L541" i="3"/>
  <c r="J541" i="3"/>
  <c r="H541" i="3"/>
  <c r="F541" i="3"/>
  <c r="D541" i="3"/>
  <c r="B541" i="3"/>
  <c r="A541" i="3"/>
  <c r="BA541" i="3" s="1"/>
  <c r="BB540" i="3"/>
  <c r="AZ540" i="3"/>
  <c r="AX540" i="3"/>
  <c r="AV540" i="3"/>
  <c r="AT540" i="3"/>
  <c r="AR540" i="3"/>
  <c r="AP540" i="3"/>
  <c r="AN540" i="3"/>
  <c r="AL540" i="3"/>
  <c r="AB540" i="3"/>
  <c r="Z540" i="3"/>
  <c r="X540" i="3"/>
  <c r="V540" i="3"/>
  <c r="T540" i="3"/>
  <c r="R540" i="3"/>
  <c r="P540" i="3"/>
  <c r="N540" i="3"/>
  <c r="L540" i="3"/>
  <c r="J540" i="3"/>
  <c r="H540" i="3"/>
  <c r="F540" i="3"/>
  <c r="D540" i="3"/>
  <c r="B540" i="3"/>
  <c r="A540" i="3"/>
  <c r="BA540" i="3" s="1"/>
  <c r="BB539" i="3"/>
  <c r="AZ539" i="3"/>
  <c r="AX539" i="3"/>
  <c r="AV539" i="3"/>
  <c r="AT539" i="3"/>
  <c r="AR539" i="3"/>
  <c r="AP539" i="3"/>
  <c r="AN539" i="3"/>
  <c r="AL539" i="3"/>
  <c r="AB539" i="3"/>
  <c r="Z539" i="3"/>
  <c r="X539" i="3"/>
  <c r="V539" i="3"/>
  <c r="T539" i="3"/>
  <c r="R539" i="3"/>
  <c r="P539" i="3"/>
  <c r="N539" i="3"/>
  <c r="L539" i="3"/>
  <c r="J539" i="3"/>
  <c r="H539" i="3"/>
  <c r="F539" i="3"/>
  <c r="D539" i="3"/>
  <c r="B539" i="3"/>
  <c r="A539" i="3"/>
  <c r="BA539" i="3" s="1"/>
  <c r="BB538" i="3"/>
  <c r="AZ538" i="3"/>
  <c r="AX538" i="3"/>
  <c r="AV538" i="3"/>
  <c r="AT538" i="3"/>
  <c r="AR538" i="3"/>
  <c r="AP538" i="3"/>
  <c r="AN538" i="3"/>
  <c r="AL538" i="3"/>
  <c r="AB538" i="3"/>
  <c r="Z538" i="3"/>
  <c r="X538" i="3"/>
  <c r="V538" i="3"/>
  <c r="T538" i="3"/>
  <c r="R538" i="3"/>
  <c r="P538" i="3"/>
  <c r="N538" i="3"/>
  <c r="L538" i="3"/>
  <c r="J538" i="3"/>
  <c r="H538" i="3"/>
  <c r="F538" i="3"/>
  <c r="D538" i="3"/>
  <c r="B538" i="3"/>
  <c r="A538" i="3"/>
  <c r="BA538" i="3" s="1"/>
  <c r="BB537" i="3"/>
  <c r="AZ537" i="3"/>
  <c r="AX537" i="3"/>
  <c r="AV537" i="3"/>
  <c r="AT537" i="3"/>
  <c r="AR537" i="3"/>
  <c r="AP537" i="3"/>
  <c r="AN537" i="3"/>
  <c r="AL537" i="3"/>
  <c r="AB537" i="3"/>
  <c r="Z537" i="3"/>
  <c r="X537" i="3"/>
  <c r="V537" i="3"/>
  <c r="T537" i="3"/>
  <c r="R537" i="3"/>
  <c r="P537" i="3"/>
  <c r="N537" i="3"/>
  <c r="L537" i="3"/>
  <c r="J537" i="3"/>
  <c r="H537" i="3"/>
  <c r="F537" i="3"/>
  <c r="D537" i="3"/>
  <c r="B537" i="3"/>
  <c r="A537" i="3"/>
  <c r="BA537" i="3" s="1"/>
  <c r="BB536" i="3"/>
  <c r="AZ536" i="3"/>
  <c r="AX536" i="3"/>
  <c r="AV536" i="3"/>
  <c r="AT536" i="3"/>
  <c r="AR536" i="3"/>
  <c r="AP536" i="3"/>
  <c r="AN536" i="3"/>
  <c r="AL536" i="3"/>
  <c r="AB536" i="3"/>
  <c r="Z536" i="3"/>
  <c r="X536" i="3"/>
  <c r="V536" i="3"/>
  <c r="T536" i="3"/>
  <c r="R536" i="3"/>
  <c r="P536" i="3"/>
  <c r="N536" i="3"/>
  <c r="L536" i="3"/>
  <c r="J536" i="3"/>
  <c r="H536" i="3"/>
  <c r="F536" i="3"/>
  <c r="D536" i="3"/>
  <c r="B536" i="3"/>
  <c r="A536" i="3"/>
  <c r="BA536" i="3" s="1"/>
  <c r="BB535" i="3"/>
  <c r="AZ535" i="3"/>
  <c r="AX535" i="3"/>
  <c r="AV535" i="3"/>
  <c r="AT535" i="3"/>
  <c r="AR535" i="3"/>
  <c r="AP535" i="3"/>
  <c r="AN535" i="3"/>
  <c r="AL535" i="3"/>
  <c r="AB535" i="3"/>
  <c r="Z535" i="3"/>
  <c r="X535" i="3"/>
  <c r="V535" i="3"/>
  <c r="T535" i="3"/>
  <c r="R535" i="3"/>
  <c r="P535" i="3"/>
  <c r="N535" i="3"/>
  <c r="L535" i="3"/>
  <c r="J535" i="3"/>
  <c r="H535" i="3"/>
  <c r="F535" i="3"/>
  <c r="D535" i="3"/>
  <c r="B535" i="3"/>
  <c r="A535" i="3"/>
  <c r="BA535" i="3" s="1"/>
  <c r="BB534" i="3"/>
  <c r="AZ534" i="3"/>
  <c r="AX534" i="3"/>
  <c r="AV534" i="3"/>
  <c r="AT534" i="3"/>
  <c r="AR534" i="3"/>
  <c r="AP534" i="3"/>
  <c r="AN534" i="3"/>
  <c r="AL534" i="3"/>
  <c r="AB534" i="3"/>
  <c r="Z534" i="3"/>
  <c r="X534" i="3"/>
  <c r="V534" i="3"/>
  <c r="T534" i="3"/>
  <c r="R534" i="3"/>
  <c r="P534" i="3"/>
  <c r="N534" i="3"/>
  <c r="L534" i="3"/>
  <c r="J534" i="3"/>
  <c r="H534" i="3"/>
  <c r="F534" i="3"/>
  <c r="D534" i="3"/>
  <c r="B534" i="3"/>
  <c r="A534" i="3"/>
  <c r="BA534" i="3" s="1"/>
  <c r="BB533" i="3"/>
  <c r="AZ533" i="3"/>
  <c r="AX533" i="3"/>
  <c r="AV533" i="3"/>
  <c r="AT533" i="3"/>
  <c r="AR533" i="3"/>
  <c r="AP533" i="3"/>
  <c r="AN533" i="3"/>
  <c r="AL533" i="3"/>
  <c r="AB533" i="3"/>
  <c r="Z533" i="3"/>
  <c r="X533" i="3"/>
  <c r="V533" i="3"/>
  <c r="T533" i="3"/>
  <c r="R533" i="3"/>
  <c r="P533" i="3"/>
  <c r="N533" i="3"/>
  <c r="L533" i="3"/>
  <c r="J533" i="3"/>
  <c r="H533" i="3"/>
  <c r="F533" i="3"/>
  <c r="D533" i="3"/>
  <c r="B533" i="3"/>
  <c r="A533" i="3"/>
  <c r="BA533" i="3" s="1"/>
  <c r="BB532" i="3"/>
  <c r="AZ532" i="3"/>
  <c r="AX532" i="3"/>
  <c r="AV532" i="3"/>
  <c r="AT532" i="3"/>
  <c r="AR532" i="3"/>
  <c r="AP532" i="3"/>
  <c r="AN532" i="3"/>
  <c r="AL532" i="3"/>
  <c r="AB532" i="3"/>
  <c r="Z532" i="3"/>
  <c r="X532" i="3"/>
  <c r="V532" i="3"/>
  <c r="T532" i="3"/>
  <c r="R532" i="3"/>
  <c r="P532" i="3"/>
  <c r="N532" i="3"/>
  <c r="L532" i="3"/>
  <c r="J532" i="3"/>
  <c r="H532" i="3"/>
  <c r="F532" i="3"/>
  <c r="D532" i="3"/>
  <c r="B532" i="3"/>
  <c r="A532" i="3"/>
  <c r="BA532" i="3" s="1"/>
  <c r="BB531" i="3"/>
  <c r="AZ531" i="3"/>
  <c r="AX531" i="3"/>
  <c r="AV531" i="3"/>
  <c r="AT531" i="3"/>
  <c r="AR531" i="3"/>
  <c r="AP531" i="3"/>
  <c r="AN531" i="3"/>
  <c r="AL531" i="3"/>
  <c r="AB531" i="3"/>
  <c r="Z531" i="3"/>
  <c r="X531" i="3"/>
  <c r="V531" i="3"/>
  <c r="T531" i="3"/>
  <c r="R531" i="3"/>
  <c r="P531" i="3"/>
  <c r="N531" i="3"/>
  <c r="L531" i="3"/>
  <c r="J531" i="3"/>
  <c r="H531" i="3"/>
  <c r="F531" i="3"/>
  <c r="D531" i="3"/>
  <c r="B531" i="3"/>
  <c r="A531" i="3"/>
  <c r="BA531" i="3" s="1"/>
  <c r="BB530" i="3"/>
  <c r="AZ530" i="3"/>
  <c r="AX530" i="3"/>
  <c r="AV530" i="3"/>
  <c r="AT530" i="3"/>
  <c r="AR530" i="3"/>
  <c r="AP530" i="3"/>
  <c r="AN530" i="3"/>
  <c r="AL530" i="3"/>
  <c r="AB530" i="3"/>
  <c r="Z530" i="3"/>
  <c r="X530" i="3"/>
  <c r="V530" i="3"/>
  <c r="T530" i="3"/>
  <c r="R530" i="3"/>
  <c r="P530" i="3"/>
  <c r="N530" i="3"/>
  <c r="L530" i="3"/>
  <c r="J530" i="3"/>
  <c r="H530" i="3"/>
  <c r="F530" i="3"/>
  <c r="D530" i="3"/>
  <c r="B530" i="3"/>
  <c r="A530" i="3"/>
  <c r="BA530" i="3" s="1"/>
  <c r="BB529" i="3"/>
  <c r="AZ529" i="3"/>
  <c r="AX529" i="3"/>
  <c r="AV529" i="3"/>
  <c r="AT529" i="3"/>
  <c r="AR529" i="3"/>
  <c r="AP529" i="3"/>
  <c r="AN529" i="3"/>
  <c r="AL529" i="3"/>
  <c r="AB529" i="3"/>
  <c r="Z529" i="3"/>
  <c r="X529" i="3"/>
  <c r="V529" i="3"/>
  <c r="T529" i="3"/>
  <c r="R529" i="3"/>
  <c r="P529" i="3"/>
  <c r="N529" i="3"/>
  <c r="L529" i="3"/>
  <c r="J529" i="3"/>
  <c r="H529" i="3"/>
  <c r="F529" i="3"/>
  <c r="D529" i="3"/>
  <c r="B529" i="3"/>
  <c r="A529" i="3"/>
  <c r="BA529" i="3" s="1"/>
  <c r="BB528" i="3"/>
  <c r="AZ528" i="3"/>
  <c r="AX528" i="3"/>
  <c r="AV528" i="3"/>
  <c r="AT528" i="3"/>
  <c r="AR528" i="3"/>
  <c r="AP528" i="3"/>
  <c r="AN528" i="3"/>
  <c r="AL528" i="3"/>
  <c r="AB528" i="3"/>
  <c r="Z528" i="3"/>
  <c r="X528" i="3"/>
  <c r="V528" i="3"/>
  <c r="T528" i="3"/>
  <c r="R528" i="3"/>
  <c r="P528" i="3"/>
  <c r="N528" i="3"/>
  <c r="L528" i="3"/>
  <c r="J528" i="3"/>
  <c r="H528" i="3"/>
  <c r="F528" i="3"/>
  <c r="D528" i="3"/>
  <c r="B528" i="3"/>
  <c r="A528" i="3"/>
  <c r="BA528" i="3" s="1"/>
  <c r="BB527" i="3"/>
  <c r="AZ527" i="3"/>
  <c r="AX527" i="3"/>
  <c r="AV527" i="3"/>
  <c r="AT527" i="3"/>
  <c r="AR527" i="3"/>
  <c r="AP527" i="3"/>
  <c r="AN527" i="3"/>
  <c r="AL527" i="3"/>
  <c r="AB527" i="3"/>
  <c r="Z527" i="3"/>
  <c r="X527" i="3"/>
  <c r="V527" i="3"/>
  <c r="T527" i="3"/>
  <c r="R527" i="3"/>
  <c r="P527" i="3"/>
  <c r="N527" i="3"/>
  <c r="L527" i="3"/>
  <c r="J527" i="3"/>
  <c r="H527" i="3"/>
  <c r="F527" i="3"/>
  <c r="D527" i="3"/>
  <c r="B527" i="3"/>
  <c r="A527" i="3"/>
  <c r="BA527" i="3" s="1"/>
  <c r="BB526" i="3"/>
  <c r="AZ526" i="3"/>
  <c r="AX526" i="3"/>
  <c r="AV526" i="3"/>
  <c r="AT526" i="3"/>
  <c r="AR526" i="3"/>
  <c r="AP526" i="3"/>
  <c r="AN526" i="3"/>
  <c r="AL526" i="3"/>
  <c r="AB526" i="3"/>
  <c r="Z526" i="3"/>
  <c r="X526" i="3"/>
  <c r="V526" i="3"/>
  <c r="T526" i="3"/>
  <c r="R526" i="3"/>
  <c r="P526" i="3"/>
  <c r="N526" i="3"/>
  <c r="L526" i="3"/>
  <c r="J526" i="3"/>
  <c r="H526" i="3"/>
  <c r="F526" i="3"/>
  <c r="D526" i="3"/>
  <c r="B526" i="3"/>
  <c r="A526" i="3"/>
  <c r="BA526" i="3" s="1"/>
  <c r="BB525" i="3"/>
  <c r="AZ525" i="3"/>
  <c r="AX525" i="3"/>
  <c r="AV525" i="3"/>
  <c r="AT525" i="3"/>
  <c r="AR525" i="3"/>
  <c r="AP525" i="3"/>
  <c r="AN525" i="3"/>
  <c r="AL525" i="3"/>
  <c r="AB525" i="3"/>
  <c r="Z525" i="3"/>
  <c r="X525" i="3"/>
  <c r="V525" i="3"/>
  <c r="T525" i="3"/>
  <c r="R525" i="3"/>
  <c r="P525" i="3"/>
  <c r="N525" i="3"/>
  <c r="L525" i="3"/>
  <c r="J525" i="3"/>
  <c r="H525" i="3"/>
  <c r="F525" i="3"/>
  <c r="D525" i="3"/>
  <c r="B525" i="3"/>
  <c r="A525" i="3"/>
  <c r="BA525" i="3" s="1"/>
  <c r="BB524" i="3"/>
  <c r="AZ524" i="3"/>
  <c r="AX524" i="3"/>
  <c r="AV524" i="3"/>
  <c r="AT524" i="3"/>
  <c r="AR524" i="3"/>
  <c r="AP524" i="3"/>
  <c r="AN524" i="3"/>
  <c r="AL524" i="3"/>
  <c r="AB524" i="3"/>
  <c r="Z524" i="3"/>
  <c r="X524" i="3"/>
  <c r="V524" i="3"/>
  <c r="T524" i="3"/>
  <c r="R524" i="3"/>
  <c r="P524" i="3"/>
  <c r="N524" i="3"/>
  <c r="L524" i="3"/>
  <c r="J524" i="3"/>
  <c r="H524" i="3"/>
  <c r="F524" i="3"/>
  <c r="D524" i="3"/>
  <c r="B524" i="3"/>
  <c r="A524" i="3"/>
  <c r="BA524" i="3" s="1"/>
  <c r="BB523" i="3"/>
  <c r="AZ523" i="3"/>
  <c r="AX523" i="3"/>
  <c r="AV523" i="3"/>
  <c r="AT523" i="3"/>
  <c r="AR523" i="3"/>
  <c r="AP523" i="3"/>
  <c r="AN523" i="3"/>
  <c r="AL523" i="3"/>
  <c r="AB523" i="3"/>
  <c r="Z523" i="3"/>
  <c r="X523" i="3"/>
  <c r="V523" i="3"/>
  <c r="T523" i="3"/>
  <c r="R523" i="3"/>
  <c r="P523" i="3"/>
  <c r="N523" i="3"/>
  <c r="L523" i="3"/>
  <c r="J523" i="3"/>
  <c r="H523" i="3"/>
  <c r="F523" i="3"/>
  <c r="D523" i="3"/>
  <c r="B523" i="3"/>
  <c r="A523" i="3"/>
  <c r="BA523" i="3" s="1"/>
  <c r="BB522" i="3"/>
  <c r="AZ522" i="3"/>
  <c r="AX522" i="3"/>
  <c r="AV522" i="3"/>
  <c r="AT522" i="3"/>
  <c r="AR522" i="3"/>
  <c r="AP522" i="3"/>
  <c r="AN522" i="3"/>
  <c r="AL522" i="3"/>
  <c r="AB522" i="3"/>
  <c r="Z522" i="3"/>
  <c r="X522" i="3"/>
  <c r="V522" i="3"/>
  <c r="T522" i="3"/>
  <c r="R522" i="3"/>
  <c r="P522" i="3"/>
  <c r="N522" i="3"/>
  <c r="L522" i="3"/>
  <c r="J522" i="3"/>
  <c r="H522" i="3"/>
  <c r="F522" i="3"/>
  <c r="D522" i="3"/>
  <c r="B522" i="3"/>
  <c r="A522" i="3"/>
  <c r="BA522" i="3" s="1"/>
  <c r="BB521" i="3"/>
  <c r="AZ521" i="3"/>
  <c r="AX521" i="3"/>
  <c r="AV521" i="3"/>
  <c r="AT521" i="3"/>
  <c r="AR521" i="3"/>
  <c r="AP521" i="3"/>
  <c r="AN521" i="3"/>
  <c r="AL521" i="3"/>
  <c r="AB521" i="3"/>
  <c r="Z521" i="3"/>
  <c r="X521" i="3"/>
  <c r="V521" i="3"/>
  <c r="T521" i="3"/>
  <c r="R521" i="3"/>
  <c r="P521" i="3"/>
  <c r="N521" i="3"/>
  <c r="L521" i="3"/>
  <c r="J521" i="3"/>
  <c r="H521" i="3"/>
  <c r="F521" i="3"/>
  <c r="D521" i="3"/>
  <c r="B521" i="3"/>
  <c r="A521" i="3"/>
  <c r="BA521" i="3" s="1"/>
  <c r="BB520" i="3"/>
  <c r="AZ520" i="3"/>
  <c r="AX520" i="3"/>
  <c r="AV520" i="3"/>
  <c r="AT520" i="3"/>
  <c r="AR520" i="3"/>
  <c r="AP520" i="3"/>
  <c r="AN520" i="3"/>
  <c r="AL520" i="3"/>
  <c r="AB520" i="3"/>
  <c r="Z520" i="3"/>
  <c r="X520" i="3"/>
  <c r="V520" i="3"/>
  <c r="T520" i="3"/>
  <c r="R520" i="3"/>
  <c r="P520" i="3"/>
  <c r="N520" i="3"/>
  <c r="L520" i="3"/>
  <c r="J520" i="3"/>
  <c r="H520" i="3"/>
  <c r="F520" i="3"/>
  <c r="D520" i="3"/>
  <c r="B520" i="3"/>
  <c r="A520" i="3"/>
  <c r="BA520" i="3" s="1"/>
  <c r="BB519" i="3"/>
  <c r="AZ519" i="3"/>
  <c r="AX519" i="3"/>
  <c r="AV519" i="3"/>
  <c r="AT519" i="3"/>
  <c r="AR519" i="3"/>
  <c r="AP519" i="3"/>
  <c r="AN519" i="3"/>
  <c r="AL519" i="3"/>
  <c r="AB519" i="3"/>
  <c r="Z519" i="3"/>
  <c r="X519" i="3"/>
  <c r="V519" i="3"/>
  <c r="T519" i="3"/>
  <c r="R519" i="3"/>
  <c r="P519" i="3"/>
  <c r="N519" i="3"/>
  <c r="L519" i="3"/>
  <c r="J519" i="3"/>
  <c r="H519" i="3"/>
  <c r="F519" i="3"/>
  <c r="D519" i="3"/>
  <c r="B519" i="3"/>
  <c r="A519" i="3"/>
  <c r="BA519" i="3" s="1"/>
  <c r="BB518" i="3"/>
  <c r="AZ518" i="3"/>
  <c r="AX518" i="3"/>
  <c r="AV518" i="3"/>
  <c r="AT518" i="3"/>
  <c r="AR518" i="3"/>
  <c r="AP518" i="3"/>
  <c r="AN518" i="3"/>
  <c r="AL518" i="3"/>
  <c r="AB518" i="3"/>
  <c r="Z518" i="3"/>
  <c r="X518" i="3"/>
  <c r="V518" i="3"/>
  <c r="T518" i="3"/>
  <c r="R518" i="3"/>
  <c r="P518" i="3"/>
  <c r="N518" i="3"/>
  <c r="L518" i="3"/>
  <c r="J518" i="3"/>
  <c r="H518" i="3"/>
  <c r="F518" i="3"/>
  <c r="D518" i="3"/>
  <c r="B518" i="3"/>
  <c r="A518" i="3"/>
  <c r="BA518" i="3" s="1"/>
  <c r="BB517" i="3"/>
  <c r="AZ517" i="3"/>
  <c r="AX517" i="3"/>
  <c r="AV517" i="3"/>
  <c r="AT517" i="3"/>
  <c r="AR517" i="3"/>
  <c r="AP517" i="3"/>
  <c r="AN517" i="3"/>
  <c r="AL517" i="3"/>
  <c r="AB517" i="3"/>
  <c r="Z517" i="3"/>
  <c r="X517" i="3"/>
  <c r="V517" i="3"/>
  <c r="T517" i="3"/>
  <c r="R517" i="3"/>
  <c r="P517" i="3"/>
  <c r="N517" i="3"/>
  <c r="L517" i="3"/>
  <c r="J517" i="3"/>
  <c r="H517" i="3"/>
  <c r="F517" i="3"/>
  <c r="D517" i="3"/>
  <c r="B517" i="3"/>
  <c r="A517" i="3"/>
  <c r="BA517" i="3" s="1"/>
  <c r="BB516" i="3"/>
  <c r="AZ516" i="3"/>
  <c r="AX516" i="3"/>
  <c r="AV516" i="3"/>
  <c r="AT516" i="3"/>
  <c r="AR516" i="3"/>
  <c r="AP516" i="3"/>
  <c r="AN516" i="3"/>
  <c r="AL516" i="3"/>
  <c r="AB516" i="3"/>
  <c r="Z516" i="3"/>
  <c r="X516" i="3"/>
  <c r="V516" i="3"/>
  <c r="T516" i="3"/>
  <c r="R516" i="3"/>
  <c r="P516" i="3"/>
  <c r="N516" i="3"/>
  <c r="L516" i="3"/>
  <c r="J516" i="3"/>
  <c r="H516" i="3"/>
  <c r="F516" i="3"/>
  <c r="D516" i="3"/>
  <c r="B516" i="3"/>
  <c r="A516" i="3"/>
  <c r="BA516" i="3" s="1"/>
  <c r="BB515" i="3"/>
  <c r="AZ515" i="3"/>
  <c r="AX515" i="3"/>
  <c r="AV515" i="3"/>
  <c r="AT515" i="3"/>
  <c r="AR515" i="3"/>
  <c r="AP515" i="3"/>
  <c r="AN515" i="3"/>
  <c r="AL515" i="3"/>
  <c r="AB515" i="3"/>
  <c r="Z515" i="3"/>
  <c r="X515" i="3"/>
  <c r="V515" i="3"/>
  <c r="T515" i="3"/>
  <c r="R515" i="3"/>
  <c r="P515" i="3"/>
  <c r="N515" i="3"/>
  <c r="L515" i="3"/>
  <c r="J515" i="3"/>
  <c r="H515" i="3"/>
  <c r="F515" i="3"/>
  <c r="D515" i="3"/>
  <c r="B515" i="3"/>
  <c r="A515" i="3"/>
  <c r="BA515" i="3" s="1"/>
  <c r="BB514" i="3"/>
  <c r="AZ514" i="3"/>
  <c r="AX514" i="3"/>
  <c r="AV514" i="3"/>
  <c r="AT514" i="3"/>
  <c r="AR514" i="3"/>
  <c r="AP514" i="3"/>
  <c r="AN514" i="3"/>
  <c r="AL514" i="3"/>
  <c r="AB514" i="3"/>
  <c r="Z514" i="3"/>
  <c r="X514" i="3"/>
  <c r="V514" i="3"/>
  <c r="T514" i="3"/>
  <c r="R514" i="3"/>
  <c r="P514" i="3"/>
  <c r="N514" i="3"/>
  <c r="L514" i="3"/>
  <c r="J514" i="3"/>
  <c r="H514" i="3"/>
  <c r="F514" i="3"/>
  <c r="D514" i="3"/>
  <c r="B514" i="3"/>
  <c r="A514" i="3"/>
  <c r="BA514" i="3" s="1"/>
  <c r="BB513" i="3"/>
  <c r="AZ513" i="3"/>
  <c r="AX513" i="3"/>
  <c r="AV513" i="3"/>
  <c r="AT513" i="3"/>
  <c r="AR513" i="3"/>
  <c r="AP513" i="3"/>
  <c r="AN513" i="3"/>
  <c r="AL513" i="3"/>
  <c r="AB513" i="3"/>
  <c r="Z513" i="3"/>
  <c r="X513" i="3"/>
  <c r="V513" i="3"/>
  <c r="T513" i="3"/>
  <c r="R513" i="3"/>
  <c r="P513" i="3"/>
  <c r="N513" i="3"/>
  <c r="L513" i="3"/>
  <c r="J513" i="3"/>
  <c r="H513" i="3"/>
  <c r="F513" i="3"/>
  <c r="D513" i="3"/>
  <c r="B513" i="3"/>
  <c r="A513" i="3"/>
  <c r="BA513" i="3" s="1"/>
  <c r="BB512" i="3"/>
  <c r="AZ512" i="3"/>
  <c r="AX512" i="3"/>
  <c r="AV512" i="3"/>
  <c r="AT512" i="3"/>
  <c r="AR512" i="3"/>
  <c r="AP512" i="3"/>
  <c r="AN512" i="3"/>
  <c r="AL512" i="3"/>
  <c r="AB512" i="3"/>
  <c r="Z512" i="3"/>
  <c r="X512" i="3"/>
  <c r="V512" i="3"/>
  <c r="T512" i="3"/>
  <c r="R512" i="3"/>
  <c r="P512" i="3"/>
  <c r="N512" i="3"/>
  <c r="L512" i="3"/>
  <c r="J512" i="3"/>
  <c r="H512" i="3"/>
  <c r="F512" i="3"/>
  <c r="D512" i="3"/>
  <c r="B512" i="3"/>
  <c r="A512" i="3"/>
  <c r="BA512" i="3" s="1"/>
  <c r="BB511" i="3"/>
  <c r="AZ511" i="3"/>
  <c r="AX511" i="3"/>
  <c r="AV511" i="3"/>
  <c r="AT511" i="3"/>
  <c r="AR511" i="3"/>
  <c r="AP511" i="3"/>
  <c r="AN511" i="3"/>
  <c r="AL511" i="3"/>
  <c r="AB511" i="3"/>
  <c r="Z511" i="3"/>
  <c r="X511" i="3"/>
  <c r="V511" i="3"/>
  <c r="T511" i="3"/>
  <c r="R511" i="3"/>
  <c r="P511" i="3"/>
  <c r="N511" i="3"/>
  <c r="L511" i="3"/>
  <c r="J511" i="3"/>
  <c r="H511" i="3"/>
  <c r="F511" i="3"/>
  <c r="D511" i="3"/>
  <c r="B511" i="3"/>
  <c r="A511" i="3"/>
  <c r="BA511" i="3" s="1"/>
  <c r="BB510" i="3"/>
  <c r="AZ510" i="3"/>
  <c r="AX510" i="3"/>
  <c r="AV510" i="3"/>
  <c r="AT510" i="3"/>
  <c r="AR510" i="3"/>
  <c r="AP510" i="3"/>
  <c r="AN510" i="3"/>
  <c r="AL510" i="3"/>
  <c r="AB510" i="3"/>
  <c r="Z510" i="3"/>
  <c r="X510" i="3"/>
  <c r="V510" i="3"/>
  <c r="T510" i="3"/>
  <c r="R510" i="3"/>
  <c r="P510" i="3"/>
  <c r="N510" i="3"/>
  <c r="L510" i="3"/>
  <c r="J510" i="3"/>
  <c r="H510" i="3"/>
  <c r="F510" i="3"/>
  <c r="D510" i="3"/>
  <c r="B510" i="3"/>
  <c r="A510" i="3"/>
  <c r="BA510" i="3" s="1"/>
  <c r="BB509" i="3"/>
  <c r="AZ509" i="3"/>
  <c r="AX509" i="3"/>
  <c r="AV509" i="3"/>
  <c r="AT509" i="3"/>
  <c r="AR509" i="3"/>
  <c r="AP509" i="3"/>
  <c r="AN509" i="3"/>
  <c r="AL509" i="3"/>
  <c r="AB509" i="3"/>
  <c r="Z509" i="3"/>
  <c r="X509" i="3"/>
  <c r="V509" i="3"/>
  <c r="T509" i="3"/>
  <c r="R509" i="3"/>
  <c r="P509" i="3"/>
  <c r="N509" i="3"/>
  <c r="L509" i="3"/>
  <c r="J509" i="3"/>
  <c r="H509" i="3"/>
  <c r="F509" i="3"/>
  <c r="D509" i="3"/>
  <c r="B509" i="3"/>
  <c r="A509" i="3"/>
  <c r="BA509" i="3" s="1"/>
  <c r="BB508" i="3"/>
  <c r="AZ508" i="3"/>
  <c r="AX508" i="3"/>
  <c r="AV508" i="3"/>
  <c r="AT508" i="3"/>
  <c r="AR508" i="3"/>
  <c r="AP508" i="3"/>
  <c r="AN508" i="3"/>
  <c r="AL508" i="3"/>
  <c r="AB508" i="3"/>
  <c r="Z508" i="3"/>
  <c r="X508" i="3"/>
  <c r="V508" i="3"/>
  <c r="T508" i="3"/>
  <c r="R508" i="3"/>
  <c r="P508" i="3"/>
  <c r="N508" i="3"/>
  <c r="L508" i="3"/>
  <c r="J508" i="3"/>
  <c r="H508" i="3"/>
  <c r="F508" i="3"/>
  <c r="D508" i="3"/>
  <c r="B508" i="3"/>
  <c r="A508" i="3"/>
  <c r="BA508" i="3" s="1"/>
  <c r="BB507" i="3"/>
  <c r="AZ507" i="3"/>
  <c r="AX507" i="3"/>
  <c r="AV507" i="3"/>
  <c r="AT507" i="3"/>
  <c r="AR507" i="3"/>
  <c r="AP507" i="3"/>
  <c r="AN507" i="3"/>
  <c r="AL507" i="3"/>
  <c r="AB507" i="3"/>
  <c r="Z507" i="3"/>
  <c r="X507" i="3"/>
  <c r="V507" i="3"/>
  <c r="T507" i="3"/>
  <c r="R507" i="3"/>
  <c r="P507" i="3"/>
  <c r="N507" i="3"/>
  <c r="L507" i="3"/>
  <c r="J507" i="3"/>
  <c r="H507" i="3"/>
  <c r="F507" i="3"/>
  <c r="D507" i="3"/>
  <c r="B507" i="3"/>
  <c r="A507" i="3"/>
  <c r="BA507" i="3" s="1"/>
  <c r="BB506" i="3"/>
  <c r="AZ506" i="3"/>
  <c r="AX506" i="3"/>
  <c r="AV506" i="3"/>
  <c r="AT506" i="3"/>
  <c r="AR506" i="3"/>
  <c r="AP506" i="3"/>
  <c r="AN506" i="3"/>
  <c r="AL506" i="3"/>
  <c r="AB506" i="3"/>
  <c r="Z506" i="3"/>
  <c r="X506" i="3"/>
  <c r="V506" i="3"/>
  <c r="T506" i="3"/>
  <c r="R506" i="3"/>
  <c r="P506" i="3"/>
  <c r="N506" i="3"/>
  <c r="L506" i="3"/>
  <c r="J506" i="3"/>
  <c r="H506" i="3"/>
  <c r="F506" i="3"/>
  <c r="D506" i="3"/>
  <c r="B506" i="3"/>
  <c r="A506" i="3"/>
  <c r="BA506" i="3" s="1"/>
  <c r="BB505" i="3"/>
  <c r="AZ505" i="3"/>
  <c r="AX505" i="3"/>
  <c r="AV505" i="3"/>
  <c r="AT505" i="3"/>
  <c r="AR505" i="3"/>
  <c r="AP505" i="3"/>
  <c r="AN505" i="3"/>
  <c r="AL505" i="3"/>
  <c r="AB505" i="3"/>
  <c r="Z505" i="3"/>
  <c r="X505" i="3"/>
  <c r="V505" i="3"/>
  <c r="T505" i="3"/>
  <c r="R505" i="3"/>
  <c r="P505" i="3"/>
  <c r="N505" i="3"/>
  <c r="L505" i="3"/>
  <c r="J505" i="3"/>
  <c r="H505" i="3"/>
  <c r="F505" i="3"/>
  <c r="D505" i="3"/>
  <c r="B505" i="3"/>
  <c r="A505" i="3"/>
  <c r="BA505" i="3" s="1"/>
  <c r="BB504" i="3"/>
  <c r="AZ504" i="3"/>
  <c r="AX504" i="3"/>
  <c r="AV504" i="3"/>
  <c r="AT504" i="3"/>
  <c r="AR504" i="3"/>
  <c r="AP504" i="3"/>
  <c r="AN504" i="3"/>
  <c r="AL504" i="3"/>
  <c r="AB504" i="3"/>
  <c r="Z504" i="3"/>
  <c r="X504" i="3"/>
  <c r="V504" i="3"/>
  <c r="T504" i="3"/>
  <c r="R504" i="3"/>
  <c r="P504" i="3"/>
  <c r="N504" i="3"/>
  <c r="L504" i="3"/>
  <c r="J504" i="3"/>
  <c r="H504" i="3"/>
  <c r="F504" i="3"/>
  <c r="D504" i="3"/>
  <c r="B504" i="3"/>
  <c r="A504" i="3"/>
  <c r="BA504" i="3" s="1"/>
  <c r="BB503" i="3"/>
  <c r="AZ503" i="3"/>
  <c r="AX503" i="3"/>
  <c r="AV503" i="3"/>
  <c r="AT503" i="3"/>
  <c r="AR503" i="3"/>
  <c r="AP503" i="3"/>
  <c r="AN503" i="3"/>
  <c r="AL503" i="3"/>
  <c r="AB503" i="3"/>
  <c r="Z503" i="3"/>
  <c r="X503" i="3"/>
  <c r="V503" i="3"/>
  <c r="T503" i="3"/>
  <c r="R503" i="3"/>
  <c r="P503" i="3"/>
  <c r="N503" i="3"/>
  <c r="L503" i="3"/>
  <c r="J503" i="3"/>
  <c r="H503" i="3"/>
  <c r="F503" i="3"/>
  <c r="D503" i="3"/>
  <c r="B503" i="3"/>
  <c r="A503" i="3"/>
  <c r="BA503" i="3" s="1"/>
  <c r="BB502" i="3"/>
  <c r="AZ502" i="3"/>
  <c r="AX502" i="3"/>
  <c r="AV502" i="3"/>
  <c r="AT502" i="3"/>
  <c r="AR502" i="3"/>
  <c r="AP502" i="3"/>
  <c r="AN502" i="3"/>
  <c r="AL502" i="3"/>
  <c r="AB502" i="3"/>
  <c r="Z502" i="3"/>
  <c r="X502" i="3"/>
  <c r="V502" i="3"/>
  <c r="T502" i="3"/>
  <c r="R502" i="3"/>
  <c r="P502" i="3"/>
  <c r="N502" i="3"/>
  <c r="L502" i="3"/>
  <c r="J502" i="3"/>
  <c r="H502" i="3"/>
  <c r="F502" i="3"/>
  <c r="D502" i="3"/>
  <c r="B502" i="3"/>
  <c r="A502" i="3"/>
  <c r="BA502" i="3" s="1"/>
  <c r="BB501" i="3"/>
  <c r="AZ501" i="3"/>
  <c r="AX501" i="3"/>
  <c r="AV501" i="3"/>
  <c r="AT501" i="3"/>
  <c r="AR501" i="3"/>
  <c r="AP501" i="3"/>
  <c r="AN501" i="3"/>
  <c r="AL501" i="3"/>
  <c r="AB501" i="3"/>
  <c r="Z501" i="3"/>
  <c r="X501" i="3"/>
  <c r="V501" i="3"/>
  <c r="T501" i="3"/>
  <c r="R501" i="3"/>
  <c r="P501" i="3"/>
  <c r="N501" i="3"/>
  <c r="L501" i="3"/>
  <c r="J501" i="3"/>
  <c r="H501" i="3"/>
  <c r="F501" i="3"/>
  <c r="D501" i="3"/>
  <c r="B501" i="3"/>
  <c r="A501" i="3"/>
  <c r="BA501" i="3" s="1"/>
  <c r="BB500" i="3"/>
  <c r="AZ500" i="3"/>
  <c r="AX500" i="3"/>
  <c r="AV500" i="3"/>
  <c r="AT500" i="3"/>
  <c r="AR500" i="3"/>
  <c r="AP500" i="3"/>
  <c r="AN500" i="3"/>
  <c r="AL500" i="3"/>
  <c r="AB500" i="3"/>
  <c r="Z500" i="3"/>
  <c r="X500" i="3"/>
  <c r="V500" i="3"/>
  <c r="T500" i="3"/>
  <c r="R500" i="3"/>
  <c r="P500" i="3"/>
  <c r="N500" i="3"/>
  <c r="L500" i="3"/>
  <c r="J500" i="3"/>
  <c r="H500" i="3"/>
  <c r="F500" i="3"/>
  <c r="D500" i="3"/>
  <c r="B500" i="3"/>
  <c r="A500" i="3"/>
  <c r="BA500" i="3" s="1"/>
  <c r="BB499" i="3"/>
  <c r="AZ499" i="3"/>
  <c r="AX499" i="3"/>
  <c r="AV499" i="3"/>
  <c r="AT499" i="3"/>
  <c r="AR499" i="3"/>
  <c r="AP499" i="3"/>
  <c r="AN499" i="3"/>
  <c r="AL499" i="3"/>
  <c r="AB499" i="3"/>
  <c r="Z499" i="3"/>
  <c r="X499" i="3"/>
  <c r="V499" i="3"/>
  <c r="T499" i="3"/>
  <c r="R499" i="3"/>
  <c r="P499" i="3"/>
  <c r="N499" i="3"/>
  <c r="L499" i="3"/>
  <c r="J499" i="3"/>
  <c r="H499" i="3"/>
  <c r="F499" i="3"/>
  <c r="D499" i="3"/>
  <c r="B499" i="3"/>
  <c r="A499" i="3"/>
  <c r="BA499" i="3" s="1"/>
  <c r="BB498" i="3"/>
  <c r="AZ498" i="3"/>
  <c r="AX498" i="3"/>
  <c r="AV498" i="3"/>
  <c r="AT498" i="3"/>
  <c r="AR498" i="3"/>
  <c r="AP498" i="3"/>
  <c r="AN498" i="3"/>
  <c r="AL498" i="3"/>
  <c r="AB498" i="3"/>
  <c r="Z498" i="3"/>
  <c r="X498" i="3"/>
  <c r="V498" i="3"/>
  <c r="T498" i="3"/>
  <c r="R498" i="3"/>
  <c r="P498" i="3"/>
  <c r="N498" i="3"/>
  <c r="L498" i="3"/>
  <c r="J498" i="3"/>
  <c r="H498" i="3"/>
  <c r="F498" i="3"/>
  <c r="D498" i="3"/>
  <c r="B498" i="3"/>
  <c r="A498" i="3"/>
  <c r="BA498" i="3" s="1"/>
  <c r="BB497" i="3"/>
  <c r="AZ497" i="3"/>
  <c r="AX497" i="3"/>
  <c r="AV497" i="3"/>
  <c r="AT497" i="3"/>
  <c r="AR497" i="3"/>
  <c r="AP497" i="3"/>
  <c r="AN497" i="3"/>
  <c r="AL497" i="3"/>
  <c r="AB497" i="3"/>
  <c r="Z497" i="3"/>
  <c r="X497" i="3"/>
  <c r="V497" i="3"/>
  <c r="T497" i="3"/>
  <c r="R497" i="3"/>
  <c r="P497" i="3"/>
  <c r="N497" i="3"/>
  <c r="L497" i="3"/>
  <c r="J497" i="3"/>
  <c r="H497" i="3"/>
  <c r="F497" i="3"/>
  <c r="D497" i="3"/>
  <c r="B497" i="3"/>
  <c r="A497" i="3"/>
  <c r="BA497" i="3" s="1"/>
  <c r="BB496" i="3"/>
  <c r="AZ496" i="3"/>
  <c r="AX496" i="3"/>
  <c r="AV496" i="3"/>
  <c r="AT496" i="3"/>
  <c r="AR496" i="3"/>
  <c r="AP496" i="3"/>
  <c r="AN496" i="3"/>
  <c r="AL496" i="3"/>
  <c r="AB496" i="3"/>
  <c r="Z496" i="3"/>
  <c r="X496" i="3"/>
  <c r="V496" i="3"/>
  <c r="T496" i="3"/>
  <c r="R496" i="3"/>
  <c r="P496" i="3"/>
  <c r="N496" i="3"/>
  <c r="L496" i="3"/>
  <c r="J496" i="3"/>
  <c r="H496" i="3"/>
  <c r="F496" i="3"/>
  <c r="D496" i="3"/>
  <c r="B496" i="3"/>
  <c r="A496" i="3"/>
  <c r="BA496" i="3" s="1"/>
  <c r="BB495" i="3"/>
  <c r="AZ495" i="3"/>
  <c r="AX495" i="3"/>
  <c r="AV495" i="3"/>
  <c r="AT495" i="3"/>
  <c r="AR495" i="3"/>
  <c r="AP495" i="3"/>
  <c r="AN495" i="3"/>
  <c r="AL495" i="3"/>
  <c r="AB495" i="3"/>
  <c r="Z495" i="3"/>
  <c r="X495" i="3"/>
  <c r="V495" i="3"/>
  <c r="T495" i="3"/>
  <c r="R495" i="3"/>
  <c r="P495" i="3"/>
  <c r="N495" i="3"/>
  <c r="L495" i="3"/>
  <c r="J495" i="3"/>
  <c r="H495" i="3"/>
  <c r="F495" i="3"/>
  <c r="D495" i="3"/>
  <c r="B495" i="3"/>
  <c r="A495" i="3"/>
  <c r="BA495" i="3" s="1"/>
  <c r="BB494" i="3"/>
  <c r="AZ494" i="3"/>
  <c r="AX494" i="3"/>
  <c r="AV494" i="3"/>
  <c r="AT494" i="3"/>
  <c r="AR494" i="3"/>
  <c r="AP494" i="3"/>
  <c r="AN494" i="3"/>
  <c r="AL494" i="3"/>
  <c r="AB494" i="3"/>
  <c r="Z494" i="3"/>
  <c r="X494" i="3"/>
  <c r="V494" i="3"/>
  <c r="T494" i="3"/>
  <c r="R494" i="3"/>
  <c r="P494" i="3"/>
  <c r="N494" i="3"/>
  <c r="L494" i="3"/>
  <c r="J494" i="3"/>
  <c r="H494" i="3"/>
  <c r="F494" i="3"/>
  <c r="D494" i="3"/>
  <c r="B494" i="3"/>
  <c r="A494" i="3"/>
  <c r="BA494" i="3" s="1"/>
  <c r="BB493" i="3"/>
  <c r="AZ493" i="3"/>
  <c r="AX493" i="3"/>
  <c r="AV493" i="3"/>
  <c r="AT493" i="3"/>
  <c r="AR493" i="3"/>
  <c r="AP493" i="3"/>
  <c r="AN493" i="3"/>
  <c r="AL493" i="3"/>
  <c r="AB493" i="3"/>
  <c r="Z493" i="3"/>
  <c r="X493" i="3"/>
  <c r="V493" i="3"/>
  <c r="T493" i="3"/>
  <c r="R493" i="3"/>
  <c r="P493" i="3"/>
  <c r="N493" i="3"/>
  <c r="L493" i="3"/>
  <c r="J493" i="3"/>
  <c r="H493" i="3"/>
  <c r="F493" i="3"/>
  <c r="D493" i="3"/>
  <c r="B493" i="3"/>
  <c r="A493" i="3"/>
  <c r="BA493" i="3" s="1"/>
  <c r="BB492" i="3"/>
  <c r="AZ492" i="3"/>
  <c r="AX492" i="3"/>
  <c r="AV492" i="3"/>
  <c r="AT492" i="3"/>
  <c r="AR492" i="3"/>
  <c r="AP492" i="3"/>
  <c r="AN492" i="3"/>
  <c r="AL492" i="3"/>
  <c r="AB492" i="3"/>
  <c r="Z492" i="3"/>
  <c r="X492" i="3"/>
  <c r="V492" i="3"/>
  <c r="T492" i="3"/>
  <c r="R492" i="3"/>
  <c r="P492" i="3"/>
  <c r="N492" i="3"/>
  <c r="L492" i="3"/>
  <c r="J492" i="3"/>
  <c r="H492" i="3"/>
  <c r="F492" i="3"/>
  <c r="D492" i="3"/>
  <c r="B492" i="3"/>
  <c r="A492" i="3"/>
  <c r="BA492" i="3" s="1"/>
  <c r="BB491" i="3"/>
  <c r="AZ491" i="3"/>
  <c r="AX491" i="3"/>
  <c r="AV491" i="3"/>
  <c r="AT491" i="3"/>
  <c r="AR491" i="3"/>
  <c r="AP491" i="3"/>
  <c r="AN491" i="3"/>
  <c r="AL491" i="3"/>
  <c r="AB491" i="3"/>
  <c r="Z491" i="3"/>
  <c r="X491" i="3"/>
  <c r="V491" i="3"/>
  <c r="T491" i="3"/>
  <c r="R491" i="3"/>
  <c r="P491" i="3"/>
  <c r="N491" i="3"/>
  <c r="L491" i="3"/>
  <c r="J491" i="3"/>
  <c r="H491" i="3"/>
  <c r="F491" i="3"/>
  <c r="D491" i="3"/>
  <c r="B491" i="3"/>
  <c r="A491" i="3"/>
  <c r="BA491" i="3" s="1"/>
  <c r="BB490" i="3"/>
  <c r="AZ490" i="3"/>
  <c r="AX490" i="3"/>
  <c r="AV490" i="3"/>
  <c r="AT490" i="3"/>
  <c r="AR490" i="3"/>
  <c r="AP490" i="3"/>
  <c r="AN490" i="3"/>
  <c r="AL490" i="3"/>
  <c r="AB490" i="3"/>
  <c r="Z490" i="3"/>
  <c r="X490" i="3"/>
  <c r="V490" i="3"/>
  <c r="T490" i="3"/>
  <c r="R490" i="3"/>
  <c r="P490" i="3"/>
  <c r="N490" i="3"/>
  <c r="L490" i="3"/>
  <c r="J490" i="3"/>
  <c r="H490" i="3"/>
  <c r="F490" i="3"/>
  <c r="D490" i="3"/>
  <c r="B490" i="3"/>
  <c r="A490" i="3"/>
  <c r="BA490" i="3" s="1"/>
  <c r="BB489" i="3"/>
  <c r="AZ489" i="3"/>
  <c r="AX489" i="3"/>
  <c r="AV489" i="3"/>
  <c r="AT489" i="3"/>
  <c r="AR489" i="3"/>
  <c r="AP489" i="3"/>
  <c r="AN489" i="3"/>
  <c r="AL489" i="3"/>
  <c r="AB489" i="3"/>
  <c r="Z489" i="3"/>
  <c r="X489" i="3"/>
  <c r="V489" i="3"/>
  <c r="T489" i="3"/>
  <c r="R489" i="3"/>
  <c r="P489" i="3"/>
  <c r="N489" i="3"/>
  <c r="L489" i="3"/>
  <c r="J489" i="3"/>
  <c r="H489" i="3"/>
  <c r="F489" i="3"/>
  <c r="D489" i="3"/>
  <c r="B489" i="3"/>
  <c r="A489" i="3"/>
  <c r="BA489" i="3" s="1"/>
  <c r="BB488" i="3"/>
  <c r="AZ488" i="3"/>
  <c r="AX488" i="3"/>
  <c r="AV488" i="3"/>
  <c r="AT488" i="3"/>
  <c r="AR488" i="3"/>
  <c r="AP488" i="3"/>
  <c r="AN488" i="3"/>
  <c r="AL488" i="3"/>
  <c r="AB488" i="3"/>
  <c r="Z488" i="3"/>
  <c r="X488" i="3"/>
  <c r="V488" i="3"/>
  <c r="T488" i="3"/>
  <c r="R488" i="3"/>
  <c r="P488" i="3"/>
  <c r="N488" i="3"/>
  <c r="L488" i="3"/>
  <c r="J488" i="3"/>
  <c r="H488" i="3"/>
  <c r="F488" i="3"/>
  <c r="D488" i="3"/>
  <c r="B488" i="3"/>
  <c r="A488" i="3"/>
  <c r="BA488" i="3" s="1"/>
  <c r="BB487" i="3"/>
  <c r="AZ487" i="3"/>
  <c r="AX487" i="3"/>
  <c r="AV487" i="3"/>
  <c r="AT487" i="3"/>
  <c r="AR487" i="3"/>
  <c r="AP487" i="3"/>
  <c r="AN487" i="3"/>
  <c r="AL487" i="3"/>
  <c r="AB487" i="3"/>
  <c r="Z487" i="3"/>
  <c r="X487" i="3"/>
  <c r="V487" i="3"/>
  <c r="T487" i="3"/>
  <c r="R487" i="3"/>
  <c r="P487" i="3"/>
  <c r="N487" i="3"/>
  <c r="L487" i="3"/>
  <c r="J487" i="3"/>
  <c r="H487" i="3"/>
  <c r="F487" i="3"/>
  <c r="D487" i="3"/>
  <c r="B487" i="3"/>
  <c r="A487" i="3"/>
  <c r="BA487" i="3" s="1"/>
  <c r="BB486" i="3"/>
  <c r="AZ486" i="3"/>
  <c r="AX486" i="3"/>
  <c r="AV486" i="3"/>
  <c r="AT486" i="3"/>
  <c r="AR486" i="3"/>
  <c r="AP486" i="3"/>
  <c r="AN486" i="3"/>
  <c r="AL486" i="3"/>
  <c r="AB486" i="3"/>
  <c r="Z486" i="3"/>
  <c r="X486" i="3"/>
  <c r="V486" i="3"/>
  <c r="T486" i="3"/>
  <c r="R486" i="3"/>
  <c r="P486" i="3"/>
  <c r="N486" i="3"/>
  <c r="L486" i="3"/>
  <c r="J486" i="3"/>
  <c r="H486" i="3"/>
  <c r="F486" i="3"/>
  <c r="D486" i="3"/>
  <c r="B486" i="3"/>
  <c r="A486" i="3"/>
  <c r="BA486" i="3" s="1"/>
  <c r="BB485" i="3"/>
  <c r="AZ485" i="3"/>
  <c r="AX485" i="3"/>
  <c r="AV485" i="3"/>
  <c r="AT485" i="3"/>
  <c r="AR485" i="3"/>
  <c r="AP485" i="3"/>
  <c r="AN485" i="3"/>
  <c r="AL485" i="3"/>
  <c r="AB485" i="3"/>
  <c r="Z485" i="3"/>
  <c r="X485" i="3"/>
  <c r="V485" i="3"/>
  <c r="T485" i="3"/>
  <c r="R485" i="3"/>
  <c r="P485" i="3"/>
  <c r="N485" i="3"/>
  <c r="L485" i="3"/>
  <c r="J485" i="3"/>
  <c r="H485" i="3"/>
  <c r="F485" i="3"/>
  <c r="D485" i="3"/>
  <c r="B485" i="3"/>
  <c r="A485" i="3"/>
  <c r="BA485" i="3" s="1"/>
  <c r="BB484" i="3"/>
  <c r="AZ484" i="3"/>
  <c r="AX484" i="3"/>
  <c r="AV484" i="3"/>
  <c r="AT484" i="3"/>
  <c r="AR484" i="3"/>
  <c r="AP484" i="3"/>
  <c r="AN484" i="3"/>
  <c r="AL484" i="3"/>
  <c r="AB484" i="3"/>
  <c r="Z484" i="3"/>
  <c r="X484" i="3"/>
  <c r="V484" i="3"/>
  <c r="T484" i="3"/>
  <c r="R484" i="3"/>
  <c r="P484" i="3"/>
  <c r="N484" i="3"/>
  <c r="L484" i="3"/>
  <c r="J484" i="3"/>
  <c r="H484" i="3"/>
  <c r="F484" i="3"/>
  <c r="D484" i="3"/>
  <c r="B484" i="3"/>
  <c r="A484" i="3"/>
  <c r="BA484" i="3" s="1"/>
  <c r="BB483" i="3"/>
  <c r="AZ483" i="3"/>
  <c r="AX483" i="3"/>
  <c r="AV483" i="3"/>
  <c r="AT483" i="3"/>
  <c r="AR483" i="3"/>
  <c r="AP483" i="3"/>
  <c r="AN483" i="3"/>
  <c r="AL483" i="3"/>
  <c r="AB483" i="3"/>
  <c r="Z483" i="3"/>
  <c r="X483" i="3"/>
  <c r="V483" i="3"/>
  <c r="T483" i="3"/>
  <c r="R483" i="3"/>
  <c r="P483" i="3"/>
  <c r="N483" i="3"/>
  <c r="L483" i="3"/>
  <c r="J483" i="3"/>
  <c r="H483" i="3"/>
  <c r="F483" i="3"/>
  <c r="D483" i="3"/>
  <c r="B483" i="3"/>
  <c r="A483" i="3"/>
  <c r="BA483" i="3" s="1"/>
  <c r="BB482" i="3"/>
  <c r="AZ482" i="3"/>
  <c r="AX482" i="3"/>
  <c r="AV482" i="3"/>
  <c r="AT482" i="3"/>
  <c r="AR482" i="3"/>
  <c r="AP482" i="3"/>
  <c r="AN482" i="3"/>
  <c r="AL482" i="3"/>
  <c r="AB482" i="3"/>
  <c r="Z482" i="3"/>
  <c r="X482" i="3"/>
  <c r="V482" i="3"/>
  <c r="T482" i="3"/>
  <c r="R482" i="3"/>
  <c r="P482" i="3"/>
  <c r="N482" i="3"/>
  <c r="L482" i="3"/>
  <c r="J482" i="3"/>
  <c r="H482" i="3"/>
  <c r="F482" i="3"/>
  <c r="D482" i="3"/>
  <c r="B482" i="3"/>
  <c r="A482" i="3"/>
  <c r="BA482" i="3" s="1"/>
  <c r="BB481" i="3"/>
  <c r="AZ481" i="3"/>
  <c r="AX481" i="3"/>
  <c r="AV481" i="3"/>
  <c r="AT481" i="3"/>
  <c r="AR481" i="3"/>
  <c r="AP481" i="3"/>
  <c r="AN481" i="3"/>
  <c r="AL481" i="3"/>
  <c r="AB481" i="3"/>
  <c r="Z481" i="3"/>
  <c r="X481" i="3"/>
  <c r="V481" i="3"/>
  <c r="T481" i="3"/>
  <c r="R481" i="3"/>
  <c r="P481" i="3"/>
  <c r="N481" i="3"/>
  <c r="L481" i="3"/>
  <c r="J481" i="3"/>
  <c r="H481" i="3"/>
  <c r="F481" i="3"/>
  <c r="D481" i="3"/>
  <c r="B481" i="3"/>
  <c r="A481" i="3"/>
  <c r="BA481" i="3" s="1"/>
  <c r="BB480" i="3"/>
  <c r="AZ480" i="3"/>
  <c r="AX480" i="3"/>
  <c r="AV480" i="3"/>
  <c r="AT480" i="3"/>
  <c r="AR480" i="3"/>
  <c r="AP480" i="3"/>
  <c r="AN480" i="3"/>
  <c r="AL480" i="3"/>
  <c r="AB480" i="3"/>
  <c r="Z480" i="3"/>
  <c r="X480" i="3"/>
  <c r="V480" i="3"/>
  <c r="T480" i="3"/>
  <c r="R480" i="3"/>
  <c r="P480" i="3"/>
  <c r="N480" i="3"/>
  <c r="L480" i="3"/>
  <c r="J480" i="3"/>
  <c r="H480" i="3"/>
  <c r="F480" i="3"/>
  <c r="D480" i="3"/>
  <c r="B480" i="3"/>
  <c r="A480" i="3"/>
  <c r="BA480" i="3" s="1"/>
  <c r="BB479" i="3"/>
  <c r="AZ479" i="3"/>
  <c r="AX479" i="3"/>
  <c r="AV479" i="3"/>
  <c r="AT479" i="3"/>
  <c r="AR479" i="3"/>
  <c r="AP479" i="3"/>
  <c r="AN479" i="3"/>
  <c r="AL479" i="3"/>
  <c r="AB479" i="3"/>
  <c r="Z479" i="3"/>
  <c r="X479" i="3"/>
  <c r="V479" i="3"/>
  <c r="T479" i="3"/>
  <c r="R479" i="3"/>
  <c r="P479" i="3"/>
  <c r="N479" i="3"/>
  <c r="L479" i="3"/>
  <c r="J479" i="3"/>
  <c r="H479" i="3"/>
  <c r="F479" i="3"/>
  <c r="D479" i="3"/>
  <c r="B479" i="3"/>
  <c r="A479" i="3"/>
  <c r="BA479" i="3" s="1"/>
  <c r="BB478" i="3"/>
  <c r="AZ478" i="3"/>
  <c r="AX478" i="3"/>
  <c r="AV478" i="3"/>
  <c r="AT478" i="3"/>
  <c r="AR478" i="3"/>
  <c r="AP478" i="3"/>
  <c r="AN478" i="3"/>
  <c r="AL478" i="3"/>
  <c r="AB478" i="3"/>
  <c r="Z478" i="3"/>
  <c r="X478" i="3"/>
  <c r="V478" i="3"/>
  <c r="T478" i="3"/>
  <c r="R478" i="3"/>
  <c r="P478" i="3"/>
  <c r="N478" i="3"/>
  <c r="L478" i="3"/>
  <c r="J478" i="3"/>
  <c r="H478" i="3"/>
  <c r="F478" i="3"/>
  <c r="D478" i="3"/>
  <c r="B478" i="3"/>
  <c r="A478" i="3"/>
  <c r="BA478" i="3" s="1"/>
  <c r="BB477" i="3"/>
  <c r="AZ477" i="3"/>
  <c r="AX477" i="3"/>
  <c r="AV477" i="3"/>
  <c r="AT477" i="3"/>
  <c r="AR477" i="3"/>
  <c r="AP477" i="3"/>
  <c r="AN477" i="3"/>
  <c r="AL477" i="3"/>
  <c r="AB477" i="3"/>
  <c r="Z477" i="3"/>
  <c r="X477" i="3"/>
  <c r="V477" i="3"/>
  <c r="T477" i="3"/>
  <c r="R477" i="3"/>
  <c r="P477" i="3"/>
  <c r="N477" i="3"/>
  <c r="L477" i="3"/>
  <c r="J477" i="3"/>
  <c r="H477" i="3"/>
  <c r="F477" i="3"/>
  <c r="D477" i="3"/>
  <c r="B477" i="3"/>
  <c r="A477" i="3"/>
  <c r="BA477" i="3" s="1"/>
  <c r="BB476" i="3"/>
  <c r="AZ476" i="3"/>
  <c r="AX476" i="3"/>
  <c r="AV476" i="3"/>
  <c r="AT476" i="3"/>
  <c r="AR476" i="3"/>
  <c r="AP476" i="3"/>
  <c r="AN476" i="3"/>
  <c r="AL476" i="3"/>
  <c r="AB476" i="3"/>
  <c r="Z476" i="3"/>
  <c r="X476" i="3"/>
  <c r="V476" i="3"/>
  <c r="T476" i="3"/>
  <c r="R476" i="3"/>
  <c r="P476" i="3"/>
  <c r="N476" i="3"/>
  <c r="L476" i="3"/>
  <c r="J476" i="3"/>
  <c r="H476" i="3"/>
  <c r="F476" i="3"/>
  <c r="D476" i="3"/>
  <c r="B476" i="3"/>
  <c r="A476" i="3"/>
  <c r="BA476" i="3" s="1"/>
  <c r="BB475" i="3"/>
  <c r="AZ475" i="3"/>
  <c r="AX475" i="3"/>
  <c r="AV475" i="3"/>
  <c r="AT475" i="3"/>
  <c r="AR475" i="3"/>
  <c r="AP475" i="3"/>
  <c r="AN475" i="3"/>
  <c r="AL475" i="3"/>
  <c r="AB475" i="3"/>
  <c r="Z475" i="3"/>
  <c r="X475" i="3"/>
  <c r="V475" i="3"/>
  <c r="T475" i="3"/>
  <c r="R475" i="3"/>
  <c r="P475" i="3"/>
  <c r="N475" i="3"/>
  <c r="L475" i="3"/>
  <c r="J475" i="3"/>
  <c r="H475" i="3"/>
  <c r="F475" i="3"/>
  <c r="D475" i="3"/>
  <c r="B475" i="3"/>
  <c r="A475" i="3"/>
  <c r="BA475" i="3" s="1"/>
  <c r="BB474" i="3"/>
  <c r="AZ474" i="3"/>
  <c r="AX474" i="3"/>
  <c r="AV474" i="3"/>
  <c r="AT474" i="3"/>
  <c r="AR474" i="3"/>
  <c r="AP474" i="3"/>
  <c r="AN474" i="3"/>
  <c r="AL474" i="3"/>
  <c r="AB474" i="3"/>
  <c r="Z474" i="3"/>
  <c r="X474" i="3"/>
  <c r="V474" i="3"/>
  <c r="T474" i="3"/>
  <c r="R474" i="3"/>
  <c r="P474" i="3"/>
  <c r="N474" i="3"/>
  <c r="L474" i="3"/>
  <c r="J474" i="3"/>
  <c r="H474" i="3"/>
  <c r="F474" i="3"/>
  <c r="D474" i="3"/>
  <c r="B474" i="3"/>
  <c r="A474" i="3"/>
  <c r="BA474" i="3" s="1"/>
  <c r="BB473" i="3"/>
  <c r="AZ473" i="3"/>
  <c r="AX473" i="3"/>
  <c r="AV473" i="3"/>
  <c r="AT473" i="3"/>
  <c r="AR473" i="3"/>
  <c r="AP473" i="3"/>
  <c r="AN473" i="3"/>
  <c r="AL473" i="3"/>
  <c r="AB473" i="3"/>
  <c r="Z473" i="3"/>
  <c r="X473" i="3"/>
  <c r="V473" i="3"/>
  <c r="T473" i="3"/>
  <c r="R473" i="3"/>
  <c r="P473" i="3"/>
  <c r="N473" i="3"/>
  <c r="L473" i="3"/>
  <c r="J473" i="3"/>
  <c r="H473" i="3"/>
  <c r="F473" i="3"/>
  <c r="D473" i="3"/>
  <c r="B473" i="3"/>
  <c r="A473" i="3"/>
  <c r="BA473" i="3" s="1"/>
  <c r="BB472" i="3"/>
  <c r="AZ472" i="3"/>
  <c r="AX472" i="3"/>
  <c r="AV472" i="3"/>
  <c r="AT472" i="3"/>
  <c r="AR472" i="3"/>
  <c r="AP472" i="3"/>
  <c r="AN472" i="3"/>
  <c r="AL472" i="3"/>
  <c r="AB472" i="3"/>
  <c r="Z472" i="3"/>
  <c r="X472" i="3"/>
  <c r="V472" i="3"/>
  <c r="T472" i="3"/>
  <c r="R472" i="3"/>
  <c r="P472" i="3"/>
  <c r="N472" i="3"/>
  <c r="L472" i="3"/>
  <c r="J472" i="3"/>
  <c r="H472" i="3"/>
  <c r="F472" i="3"/>
  <c r="D472" i="3"/>
  <c r="B472" i="3"/>
  <c r="A472" i="3"/>
  <c r="BA472" i="3" s="1"/>
  <c r="BB471" i="3"/>
  <c r="AZ471" i="3"/>
  <c r="AX471" i="3"/>
  <c r="AV471" i="3"/>
  <c r="AT471" i="3"/>
  <c r="AR471" i="3"/>
  <c r="AP471" i="3"/>
  <c r="AN471" i="3"/>
  <c r="AL471" i="3"/>
  <c r="AB471" i="3"/>
  <c r="Z471" i="3"/>
  <c r="X471" i="3"/>
  <c r="V471" i="3"/>
  <c r="T471" i="3"/>
  <c r="R471" i="3"/>
  <c r="P471" i="3"/>
  <c r="N471" i="3"/>
  <c r="L471" i="3"/>
  <c r="J471" i="3"/>
  <c r="H471" i="3"/>
  <c r="F471" i="3"/>
  <c r="D471" i="3"/>
  <c r="B471" i="3"/>
  <c r="A471" i="3"/>
  <c r="BA471" i="3" s="1"/>
  <c r="BB470" i="3"/>
  <c r="AZ470" i="3"/>
  <c r="AX470" i="3"/>
  <c r="AV470" i="3"/>
  <c r="AT470" i="3"/>
  <c r="AR470" i="3"/>
  <c r="AP470" i="3"/>
  <c r="AN470" i="3"/>
  <c r="AL470" i="3"/>
  <c r="AB470" i="3"/>
  <c r="Z470" i="3"/>
  <c r="X470" i="3"/>
  <c r="V470" i="3"/>
  <c r="T470" i="3"/>
  <c r="R470" i="3"/>
  <c r="P470" i="3"/>
  <c r="N470" i="3"/>
  <c r="L470" i="3"/>
  <c r="J470" i="3"/>
  <c r="H470" i="3"/>
  <c r="F470" i="3"/>
  <c r="D470" i="3"/>
  <c r="B470" i="3"/>
  <c r="A470" i="3"/>
  <c r="BA470" i="3" s="1"/>
  <c r="BB469" i="3"/>
  <c r="AZ469" i="3"/>
  <c r="AX469" i="3"/>
  <c r="AV469" i="3"/>
  <c r="AT469" i="3"/>
  <c r="AR469" i="3"/>
  <c r="AP469" i="3"/>
  <c r="AN469" i="3"/>
  <c r="AL469" i="3"/>
  <c r="AB469" i="3"/>
  <c r="Z469" i="3"/>
  <c r="X469" i="3"/>
  <c r="V469" i="3"/>
  <c r="T469" i="3"/>
  <c r="R469" i="3"/>
  <c r="P469" i="3"/>
  <c r="N469" i="3"/>
  <c r="L469" i="3"/>
  <c r="J469" i="3"/>
  <c r="H469" i="3"/>
  <c r="F469" i="3"/>
  <c r="D469" i="3"/>
  <c r="B469" i="3"/>
  <c r="A469" i="3"/>
  <c r="BA469" i="3" s="1"/>
  <c r="A468" i="3"/>
  <c r="BB468" i="3" s="1"/>
  <c r="A467" i="3"/>
  <c r="BA467" i="3" s="1"/>
  <c r="A466" i="3"/>
  <c r="BA466" i="3" s="1"/>
  <c r="A465" i="3"/>
  <c r="BA465" i="3" s="1"/>
  <c r="A464" i="3"/>
  <c r="BA464" i="3" s="1"/>
  <c r="A463" i="3"/>
  <c r="BA463" i="3" s="1"/>
  <c r="A462" i="3"/>
  <c r="BA462" i="3" s="1"/>
  <c r="A461" i="3"/>
  <c r="BA461" i="3" s="1"/>
  <c r="A460" i="3"/>
  <c r="BA460" i="3" s="1"/>
  <c r="A459" i="3"/>
  <c r="BA459" i="3" s="1"/>
  <c r="A458" i="3"/>
  <c r="BA458" i="3" s="1"/>
  <c r="A457" i="3"/>
  <c r="BA457" i="3" s="1"/>
  <c r="A456" i="3"/>
  <c r="BA456" i="3" s="1"/>
  <c r="A455" i="3"/>
  <c r="BA455" i="3" s="1"/>
  <c r="A454" i="3"/>
  <c r="BA454" i="3" s="1"/>
  <c r="A453" i="3"/>
  <c r="BA453" i="3" s="1"/>
  <c r="A452" i="3"/>
  <c r="BA452" i="3" s="1"/>
  <c r="A451" i="3"/>
  <c r="BA451" i="3" s="1"/>
  <c r="A450" i="3"/>
  <c r="BA450" i="3" s="1"/>
  <c r="A449" i="3"/>
  <c r="BA449" i="3" s="1"/>
  <c r="A448" i="3"/>
  <c r="BA448" i="3" s="1"/>
  <c r="A447" i="3"/>
  <c r="BA447" i="3" s="1"/>
  <c r="A446" i="3"/>
  <c r="BA446" i="3" s="1"/>
  <c r="A445" i="3"/>
  <c r="BA445" i="3" s="1"/>
  <c r="A444" i="3"/>
  <c r="BA444" i="3" s="1"/>
  <c r="A443" i="3"/>
  <c r="BA443" i="3" s="1"/>
  <c r="A442" i="3"/>
  <c r="BA442" i="3" s="1"/>
  <c r="A441" i="3"/>
  <c r="BA441" i="3" s="1"/>
  <c r="A440" i="3"/>
  <c r="BA440" i="3" s="1"/>
  <c r="A439" i="3"/>
  <c r="BA439" i="3" s="1"/>
  <c r="A438" i="3"/>
  <c r="BA438" i="3" s="1"/>
  <c r="A437" i="3"/>
  <c r="BA437" i="3" s="1"/>
  <c r="A436" i="3"/>
  <c r="BA436" i="3" s="1"/>
  <c r="A435" i="3"/>
  <c r="BA435" i="3" s="1"/>
  <c r="A434" i="3"/>
  <c r="BA434" i="3" s="1"/>
  <c r="A433" i="3"/>
  <c r="BA433" i="3" s="1"/>
  <c r="A432" i="3"/>
  <c r="BA432" i="3" s="1"/>
  <c r="A431" i="3"/>
  <c r="BA431" i="3" s="1"/>
  <c r="A430" i="3"/>
  <c r="BA430" i="3" s="1"/>
  <c r="A429" i="3"/>
  <c r="BA429" i="3" s="1"/>
  <c r="A428" i="3"/>
  <c r="BA428" i="3" s="1"/>
  <c r="A427" i="3"/>
  <c r="BA427" i="3" s="1"/>
  <c r="A426" i="3"/>
  <c r="BA426" i="3" s="1"/>
  <c r="A425" i="3"/>
  <c r="BA425" i="3" s="1"/>
  <c r="A424" i="3"/>
  <c r="BA424" i="3" s="1"/>
  <c r="A423" i="3"/>
  <c r="BA423" i="3" s="1"/>
  <c r="A422" i="3"/>
  <c r="BA422" i="3" s="1"/>
  <c r="A421" i="3"/>
  <c r="BA421" i="3" s="1"/>
  <c r="A420" i="3"/>
  <c r="BA420" i="3" s="1"/>
  <c r="A419" i="3"/>
  <c r="BA419" i="3" s="1"/>
  <c r="A418" i="3"/>
  <c r="BA418" i="3" s="1"/>
  <c r="A417" i="3"/>
  <c r="BA417" i="3" s="1"/>
  <c r="O416" i="3"/>
  <c r="K416" i="3"/>
  <c r="G416" i="3"/>
  <c r="C416" i="3"/>
  <c r="A416" i="3"/>
  <c r="A415" i="3"/>
  <c r="AY414" i="3"/>
  <c r="AU414" i="3"/>
  <c r="AQ414" i="3"/>
  <c r="AM414" i="3"/>
  <c r="AA414" i="3"/>
  <c r="W414" i="3"/>
  <c r="S414" i="3"/>
  <c r="O414" i="3"/>
  <c r="K414" i="3"/>
  <c r="G414" i="3"/>
  <c r="C414" i="3"/>
  <c r="A414" i="3"/>
  <c r="A413" i="3"/>
  <c r="AY412" i="3"/>
  <c r="AU412" i="3"/>
  <c r="AQ412" i="3"/>
  <c r="AM412" i="3"/>
  <c r="AA412" i="3"/>
  <c r="W412" i="3"/>
  <c r="S412" i="3"/>
  <c r="O412" i="3"/>
  <c r="K412" i="3"/>
  <c r="G412" i="3"/>
  <c r="C412" i="3"/>
  <c r="A412" i="3"/>
  <c r="A411" i="3"/>
  <c r="AY410" i="3"/>
  <c r="AU410" i="3"/>
  <c r="AQ410" i="3"/>
  <c r="AM410" i="3"/>
  <c r="AA410" i="3"/>
  <c r="W410" i="3"/>
  <c r="S410" i="3"/>
  <c r="O410" i="3"/>
  <c r="K410" i="3"/>
  <c r="G410" i="3"/>
  <c r="C410" i="3"/>
  <c r="A410" i="3"/>
  <c r="BA409" i="3"/>
  <c r="AW409" i="3"/>
  <c r="AS409" i="3"/>
  <c r="AO409" i="3"/>
  <c r="AK409" i="3"/>
  <c r="Y409" i="3"/>
  <c r="U409" i="3"/>
  <c r="Q409" i="3"/>
  <c r="N409" i="3"/>
  <c r="L409" i="3"/>
  <c r="J409" i="3"/>
  <c r="H409" i="3"/>
  <c r="F409" i="3"/>
  <c r="D409" i="3"/>
  <c r="B409" i="3"/>
  <c r="A409" i="3"/>
  <c r="BB408" i="3"/>
  <c r="AZ408" i="3"/>
  <c r="AX408" i="3"/>
  <c r="AV408" i="3"/>
  <c r="AT408" i="3"/>
  <c r="AR408" i="3"/>
  <c r="AP408" i="3"/>
  <c r="AN408" i="3"/>
  <c r="AL408" i="3"/>
  <c r="AB408" i="3"/>
  <c r="Z408" i="3"/>
  <c r="X408" i="3"/>
  <c r="V408" i="3"/>
  <c r="T408" i="3"/>
  <c r="R408" i="3"/>
  <c r="P408" i="3"/>
  <c r="N408" i="3"/>
  <c r="L408" i="3"/>
  <c r="J408" i="3"/>
  <c r="H408" i="3"/>
  <c r="F408" i="3"/>
  <c r="D408" i="3"/>
  <c r="B408" i="3"/>
  <c r="A408" i="3"/>
  <c r="BA408" i="3" s="1"/>
  <c r="BB407" i="3"/>
  <c r="AZ407" i="3"/>
  <c r="AX407" i="3"/>
  <c r="AV407" i="3"/>
  <c r="AT407" i="3"/>
  <c r="AR407" i="3"/>
  <c r="AP407" i="3"/>
  <c r="AN407" i="3"/>
  <c r="AL407" i="3"/>
  <c r="AB407" i="3"/>
  <c r="Z407" i="3"/>
  <c r="X407" i="3"/>
  <c r="V407" i="3"/>
  <c r="T407" i="3"/>
  <c r="R407" i="3"/>
  <c r="P407" i="3"/>
  <c r="N407" i="3"/>
  <c r="L407" i="3"/>
  <c r="J407" i="3"/>
  <c r="H407" i="3"/>
  <c r="F407" i="3"/>
  <c r="D407" i="3"/>
  <c r="B407" i="3"/>
  <c r="A407" i="3"/>
  <c r="BA407" i="3" s="1"/>
  <c r="BB406" i="3"/>
  <c r="AZ406" i="3"/>
  <c r="AX406" i="3"/>
  <c r="AV406" i="3"/>
  <c r="AT406" i="3"/>
  <c r="AR406" i="3"/>
  <c r="AP406" i="3"/>
  <c r="AN406" i="3"/>
  <c r="AL406" i="3"/>
  <c r="AB406" i="3"/>
  <c r="Z406" i="3"/>
  <c r="X406" i="3"/>
  <c r="V406" i="3"/>
  <c r="T406" i="3"/>
  <c r="R406" i="3"/>
  <c r="P406" i="3"/>
  <c r="N406" i="3"/>
  <c r="L406" i="3"/>
  <c r="J406" i="3"/>
  <c r="H406" i="3"/>
  <c r="F406" i="3"/>
  <c r="D406" i="3"/>
  <c r="B406" i="3"/>
  <c r="A406" i="3"/>
  <c r="BA406" i="3" s="1"/>
  <c r="BB405" i="3"/>
  <c r="AZ405" i="3"/>
  <c r="AX405" i="3"/>
  <c r="AV405" i="3"/>
  <c r="AT405" i="3"/>
  <c r="AR405" i="3"/>
  <c r="AP405" i="3"/>
  <c r="AN405" i="3"/>
  <c r="AL405" i="3"/>
  <c r="AB405" i="3"/>
  <c r="Z405" i="3"/>
  <c r="X405" i="3"/>
  <c r="V405" i="3"/>
  <c r="T405" i="3"/>
  <c r="R405" i="3"/>
  <c r="P405" i="3"/>
  <c r="N405" i="3"/>
  <c r="L405" i="3"/>
  <c r="J405" i="3"/>
  <c r="H405" i="3"/>
  <c r="F405" i="3"/>
  <c r="D405" i="3"/>
  <c r="B405" i="3"/>
  <c r="A405" i="3"/>
  <c r="BA405" i="3" s="1"/>
  <c r="BB404" i="3"/>
  <c r="AZ404" i="3"/>
  <c r="AX404" i="3"/>
  <c r="AV404" i="3"/>
  <c r="AT404" i="3"/>
  <c r="AR404" i="3"/>
  <c r="AP404" i="3"/>
  <c r="AN404" i="3"/>
  <c r="AL404" i="3"/>
  <c r="AB404" i="3"/>
  <c r="Z404" i="3"/>
  <c r="X404" i="3"/>
  <c r="V404" i="3"/>
  <c r="T404" i="3"/>
  <c r="R404" i="3"/>
  <c r="P404" i="3"/>
  <c r="N404" i="3"/>
  <c r="L404" i="3"/>
  <c r="J404" i="3"/>
  <c r="H404" i="3"/>
  <c r="F404" i="3"/>
  <c r="D404" i="3"/>
  <c r="B404" i="3"/>
  <c r="A404" i="3"/>
  <c r="BA404" i="3" s="1"/>
  <c r="BB403" i="3"/>
  <c r="AZ403" i="3"/>
  <c r="AX403" i="3"/>
  <c r="AV403" i="3"/>
  <c r="AT403" i="3"/>
  <c r="AR403" i="3"/>
  <c r="AP403" i="3"/>
  <c r="AN403" i="3"/>
  <c r="AL403" i="3"/>
  <c r="AB403" i="3"/>
  <c r="Z403" i="3"/>
  <c r="X403" i="3"/>
  <c r="V403" i="3"/>
  <c r="T403" i="3"/>
  <c r="R403" i="3"/>
  <c r="P403" i="3"/>
  <c r="N403" i="3"/>
  <c r="L403" i="3"/>
  <c r="J403" i="3"/>
  <c r="H403" i="3"/>
  <c r="F403" i="3"/>
  <c r="D403" i="3"/>
  <c r="B403" i="3"/>
  <c r="A403" i="3"/>
  <c r="BA403" i="3" s="1"/>
  <c r="BB402" i="3"/>
  <c r="AZ402" i="3"/>
  <c r="AX402" i="3"/>
  <c r="AV402" i="3"/>
  <c r="AT402" i="3"/>
  <c r="AR402" i="3"/>
  <c r="AP402" i="3"/>
  <c r="AN402" i="3"/>
  <c r="AL402" i="3"/>
  <c r="AB402" i="3"/>
  <c r="Z402" i="3"/>
  <c r="X402" i="3"/>
  <c r="V402" i="3"/>
  <c r="T402" i="3"/>
  <c r="R402" i="3"/>
  <c r="P402" i="3"/>
  <c r="N402" i="3"/>
  <c r="L402" i="3"/>
  <c r="J402" i="3"/>
  <c r="H402" i="3"/>
  <c r="F402" i="3"/>
  <c r="D402" i="3"/>
  <c r="B402" i="3"/>
  <c r="A402" i="3"/>
  <c r="BA402" i="3" s="1"/>
  <c r="BB401" i="3"/>
  <c r="AZ401" i="3"/>
  <c r="AX401" i="3"/>
  <c r="AV401" i="3"/>
  <c r="AT401" i="3"/>
  <c r="AR401" i="3"/>
  <c r="AP401" i="3"/>
  <c r="AN401" i="3"/>
  <c r="AL401" i="3"/>
  <c r="AB401" i="3"/>
  <c r="Z401" i="3"/>
  <c r="X401" i="3"/>
  <c r="V401" i="3"/>
  <c r="T401" i="3"/>
  <c r="R401" i="3"/>
  <c r="P401" i="3"/>
  <c r="N401" i="3"/>
  <c r="L401" i="3"/>
  <c r="J401" i="3"/>
  <c r="H401" i="3"/>
  <c r="F401" i="3"/>
  <c r="D401" i="3"/>
  <c r="B401" i="3"/>
  <c r="A401" i="3"/>
  <c r="BA401" i="3" s="1"/>
  <c r="BB400" i="3"/>
  <c r="AZ400" i="3"/>
  <c r="AX400" i="3"/>
  <c r="AV400" i="3"/>
  <c r="AT400" i="3"/>
  <c r="AR400" i="3"/>
  <c r="AP400" i="3"/>
  <c r="AN400" i="3"/>
  <c r="AL400" i="3"/>
  <c r="AB400" i="3"/>
  <c r="Z400" i="3"/>
  <c r="X400" i="3"/>
  <c r="V400" i="3"/>
  <c r="T400" i="3"/>
  <c r="R400" i="3"/>
  <c r="P400" i="3"/>
  <c r="N400" i="3"/>
  <c r="L400" i="3"/>
  <c r="J400" i="3"/>
  <c r="H400" i="3"/>
  <c r="F400" i="3"/>
  <c r="D400" i="3"/>
  <c r="B400" i="3"/>
  <c r="A400" i="3"/>
  <c r="BA400" i="3" s="1"/>
  <c r="BB399" i="3"/>
  <c r="AZ399" i="3"/>
  <c r="AX399" i="3"/>
  <c r="AV399" i="3"/>
  <c r="AT399" i="3"/>
  <c r="AR399" i="3"/>
  <c r="AP399" i="3"/>
  <c r="AN399" i="3"/>
  <c r="AL399" i="3"/>
  <c r="AB399" i="3"/>
  <c r="Z399" i="3"/>
  <c r="X399" i="3"/>
  <c r="V399" i="3"/>
  <c r="T399" i="3"/>
  <c r="R399" i="3"/>
  <c r="P399" i="3"/>
  <c r="N399" i="3"/>
  <c r="L399" i="3"/>
  <c r="J399" i="3"/>
  <c r="H399" i="3"/>
  <c r="F399" i="3"/>
  <c r="D399" i="3"/>
  <c r="B399" i="3"/>
  <c r="A399" i="3"/>
  <c r="BA399" i="3" s="1"/>
  <c r="BB398" i="3"/>
  <c r="AZ398" i="3"/>
  <c r="AX398" i="3"/>
  <c r="AV398" i="3"/>
  <c r="AT398" i="3"/>
  <c r="AR398" i="3"/>
  <c r="AP398" i="3"/>
  <c r="AN398" i="3"/>
  <c r="AL398" i="3"/>
  <c r="AB398" i="3"/>
  <c r="Z398" i="3"/>
  <c r="X398" i="3"/>
  <c r="V398" i="3"/>
  <c r="T398" i="3"/>
  <c r="R398" i="3"/>
  <c r="P398" i="3"/>
  <c r="N398" i="3"/>
  <c r="L398" i="3"/>
  <c r="J398" i="3"/>
  <c r="H398" i="3"/>
  <c r="F398" i="3"/>
  <c r="D398" i="3"/>
  <c r="B398" i="3"/>
  <c r="A398" i="3"/>
  <c r="BA398" i="3" s="1"/>
  <c r="BB397" i="3"/>
  <c r="AZ397" i="3"/>
  <c r="AX397" i="3"/>
  <c r="AV397" i="3"/>
  <c r="AT397" i="3"/>
  <c r="AR397" i="3"/>
  <c r="AP397" i="3"/>
  <c r="AN397" i="3"/>
  <c r="AL397" i="3"/>
  <c r="AB397" i="3"/>
  <c r="Z397" i="3"/>
  <c r="X397" i="3"/>
  <c r="V397" i="3"/>
  <c r="T397" i="3"/>
  <c r="R397" i="3"/>
  <c r="P397" i="3"/>
  <c r="N397" i="3"/>
  <c r="L397" i="3"/>
  <c r="J397" i="3"/>
  <c r="H397" i="3"/>
  <c r="F397" i="3"/>
  <c r="D397" i="3"/>
  <c r="B397" i="3"/>
  <c r="A397" i="3"/>
  <c r="BA397" i="3" s="1"/>
  <c r="BB396" i="3"/>
  <c r="AZ396" i="3"/>
  <c r="AX396" i="3"/>
  <c r="AV396" i="3"/>
  <c r="AT396" i="3"/>
  <c r="AR396" i="3"/>
  <c r="AP396" i="3"/>
  <c r="AN396" i="3"/>
  <c r="AL396" i="3"/>
  <c r="AB396" i="3"/>
  <c r="Z396" i="3"/>
  <c r="X396" i="3"/>
  <c r="V396" i="3"/>
  <c r="T396" i="3"/>
  <c r="R396" i="3"/>
  <c r="P396" i="3"/>
  <c r="N396" i="3"/>
  <c r="L396" i="3"/>
  <c r="J396" i="3"/>
  <c r="H396" i="3"/>
  <c r="F396" i="3"/>
  <c r="D396" i="3"/>
  <c r="B396" i="3"/>
  <c r="A396" i="3"/>
  <c r="BA396" i="3" s="1"/>
  <c r="BB395" i="3"/>
  <c r="AZ395" i="3"/>
  <c r="AX395" i="3"/>
  <c r="AV395" i="3"/>
  <c r="AT395" i="3"/>
  <c r="AR395" i="3"/>
  <c r="AP395" i="3"/>
  <c r="AN395" i="3"/>
  <c r="AL395" i="3"/>
  <c r="AB395" i="3"/>
  <c r="Z395" i="3"/>
  <c r="X395" i="3"/>
  <c r="V395" i="3"/>
  <c r="T395" i="3"/>
  <c r="R395" i="3"/>
  <c r="P395" i="3"/>
  <c r="N395" i="3"/>
  <c r="L395" i="3"/>
  <c r="J395" i="3"/>
  <c r="H395" i="3"/>
  <c r="F395" i="3"/>
  <c r="D395" i="3"/>
  <c r="B395" i="3"/>
  <c r="A395" i="3"/>
  <c r="BA395" i="3" s="1"/>
  <c r="BB394" i="3"/>
  <c r="AZ394" i="3"/>
  <c r="AX394" i="3"/>
  <c r="AV394" i="3"/>
  <c r="AT394" i="3"/>
  <c r="AR394" i="3"/>
  <c r="AP394" i="3"/>
  <c r="AN394" i="3"/>
  <c r="AL394" i="3"/>
  <c r="AB394" i="3"/>
  <c r="Z394" i="3"/>
  <c r="X394" i="3"/>
  <c r="V394" i="3"/>
  <c r="T394" i="3"/>
  <c r="R394" i="3"/>
  <c r="P394" i="3"/>
  <c r="N394" i="3"/>
  <c r="L394" i="3"/>
  <c r="J394" i="3"/>
  <c r="H394" i="3"/>
  <c r="F394" i="3"/>
  <c r="D394" i="3"/>
  <c r="B394" i="3"/>
  <c r="A394" i="3"/>
  <c r="BA394" i="3" s="1"/>
  <c r="BB393" i="3"/>
  <c r="AZ393" i="3"/>
  <c r="AX393" i="3"/>
  <c r="AV393" i="3"/>
  <c r="AT393" i="3"/>
  <c r="AR393" i="3"/>
  <c r="AP393" i="3"/>
  <c r="AN393" i="3"/>
  <c r="AL393" i="3"/>
  <c r="AB393" i="3"/>
  <c r="Z393" i="3"/>
  <c r="X393" i="3"/>
  <c r="V393" i="3"/>
  <c r="T393" i="3"/>
  <c r="R393" i="3"/>
  <c r="P393" i="3"/>
  <c r="N393" i="3"/>
  <c r="L393" i="3"/>
  <c r="J393" i="3"/>
  <c r="H393" i="3"/>
  <c r="F393" i="3"/>
  <c r="D393" i="3"/>
  <c r="B393" i="3"/>
  <c r="A393" i="3"/>
  <c r="BA393" i="3" s="1"/>
  <c r="BB392" i="3"/>
  <c r="AZ392" i="3"/>
  <c r="AX392" i="3"/>
  <c r="AV392" i="3"/>
  <c r="AT392" i="3"/>
  <c r="AR392" i="3"/>
  <c r="AP392" i="3"/>
  <c r="AN392" i="3"/>
  <c r="AL392" i="3"/>
  <c r="AB392" i="3"/>
  <c r="Z392" i="3"/>
  <c r="X392" i="3"/>
  <c r="V392" i="3"/>
  <c r="T392" i="3"/>
  <c r="R392" i="3"/>
  <c r="P392" i="3"/>
  <c r="N392" i="3"/>
  <c r="L392" i="3"/>
  <c r="J392" i="3"/>
  <c r="H392" i="3"/>
  <c r="F392" i="3"/>
  <c r="D392" i="3"/>
  <c r="B392" i="3"/>
  <c r="A392" i="3"/>
  <c r="BA392" i="3" s="1"/>
  <c r="BB391" i="3"/>
  <c r="AZ391" i="3"/>
  <c r="AX391" i="3"/>
  <c r="AV391" i="3"/>
  <c r="AT391" i="3"/>
  <c r="AR391" i="3"/>
  <c r="AP391" i="3"/>
  <c r="AN391" i="3"/>
  <c r="AL391" i="3"/>
  <c r="AB391" i="3"/>
  <c r="Z391" i="3"/>
  <c r="X391" i="3"/>
  <c r="V391" i="3"/>
  <c r="T391" i="3"/>
  <c r="R391" i="3"/>
  <c r="P391" i="3"/>
  <c r="N391" i="3"/>
  <c r="L391" i="3"/>
  <c r="J391" i="3"/>
  <c r="H391" i="3"/>
  <c r="F391" i="3"/>
  <c r="D391" i="3"/>
  <c r="B391" i="3"/>
  <c r="A391" i="3"/>
  <c r="BA391" i="3" s="1"/>
  <c r="BB390" i="3"/>
  <c r="AZ390" i="3"/>
  <c r="AX390" i="3"/>
  <c r="AV390" i="3"/>
  <c r="AT390" i="3"/>
  <c r="AR390" i="3"/>
  <c r="AP390" i="3"/>
  <c r="AN390" i="3"/>
  <c r="AL390" i="3"/>
  <c r="AB390" i="3"/>
  <c r="Z390" i="3"/>
  <c r="X390" i="3"/>
  <c r="V390" i="3"/>
  <c r="T390" i="3"/>
  <c r="R390" i="3"/>
  <c r="P390" i="3"/>
  <c r="N390" i="3"/>
  <c r="L390" i="3"/>
  <c r="J390" i="3"/>
  <c r="H390" i="3"/>
  <c r="F390" i="3"/>
  <c r="D390" i="3"/>
  <c r="B390" i="3"/>
  <c r="A390" i="3"/>
  <c r="BA390" i="3" s="1"/>
  <c r="BB389" i="3"/>
  <c r="AZ389" i="3"/>
  <c r="AX389" i="3"/>
  <c r="AV389" i="3"/>
  <c r="AT389" i="3"/>
  <c r="AR389" i="3"/>
  <c r="AP389" i="3"/>
  <c r="AN389" i="3"/>
  <c r="AL389" i="3"/>
  <c r="AB389" i="3"/>
  <c r="Z389" i="3"/>
  <c r="X389" i="3"/>
  <c r="V389" i="3"/>
  <c r="T389" i="3"/>
  <c r="R389" i="3"/>
  <c r="P389" i="3"/>
  <c r="N389" i="3"/>
  <c r="L389" i="3"/>
  <c r="J389" i="3"/>
  <c r="H389" i="3"/>
  <c r="F389" i="3"/>
  <c r="D389" i="3"/>
  <c r="B389" i="3"/>
  <c r="A389" i="3"/>
  <c r="BA389" i="3" s="1"/>
  <c r="BB388" i="3"/>
  <c r="AZ388" i="3"/>
  <c r="AX388" i="3"/>
  <c r="AV388" i="3"/>
  <c r="AT388" i="3"/>
  <c r="AR388" i="3"/>
  <c r="AP388" i="3"/>
  <c r="AN388" i="3"/>
  <c r="AL388" i="3"/>
  <c r="AB388" i="3"/>
  <c r="Z388" i="3"/>
  <c r="X388" i="3"/>
  <c r="V388" i="3"/>
  <c r="T388" i="3"/>
  <c r="R388" i="3"/>
  <c r="P388" i="3"/>
  <c r="N388" i="3"/>
  <c r="L388" i="3"/>
  <c r="J388" i="3"/>
  <c r="H388" i="3"/>
  <c r="F388" i="3"/>
  <c r="D388" i="3"/>
  <c r="B388" i="3"/>
  <c r="A388" i="3"/>
  <c r="BA388" i="3" s="1"/>
  <c r="BB387" i="3"/>
  <c r="AZ387" i="3"/>
  <c r="AX387" i="3"/>
  <c r="AV387" i="3"/>
  <c r="AT387" i="3"/>
  <c r="AR387" i="3"/>
  <c r="AP387" i="3"/>
  <c r="AN387" i="3"/>
  <c r="AL387" i="3"/>
  <c r="AB387" i="3"/>
  <c r="Z387" i="3"/>
  <c r="X387" i="3"/>
  <c r="V387" i="3"/>
  <c r="T387" i="3"/>
  <c r="R387" i="3"/>
  <c r="P387" i="3"/>
  <c r="N387" i="3"/>
  <c r="L387" i="3"/>
  <c r="J387" i="3"/>
  <c r="H387" i="3"/>
  <c r="F387" i="3"/>
  <c r="D387" i="3"/>
  <c r="B387" i="3"/>
  <c r="A387" i="3"/>
  <c r="BA387" i="3" s="1"/>
  <c r="BB386" i="3"/>
  <c r="AZ386" i="3"/>
  <c r="AX386" i="3"/>
  <c r="AV386" i="3"/>
  <c r="AT386" i="3"/>
  <c r="AR386" i="3"/>
  <c r="AP386" i="3"/>
  <c r="AN386" i="3"/>
  <c r="AL386" i="3"/>
  <c r="AB386" i="3"/>
  <c r="Z386" i="3"/>
  <c r="X386" i="3"/>
  <c r="V386" i="3"/>
  <c r="T386" i="3"/>
  <c r="R386" i="3"/>
  <c r="P386" i="3"/>
  <c r="N386" i="3"/>
  <c r="L386" i="3"/>
  <c r="J386" i="3"/>
  <c r="H386" i="3"/>
  <c r="F386" i="3"/>
  <c r="D386" i="3"/>
  <c r="B386" i="3"/>
  <c r="A386" i="3"/>
  <c r="BA386" i="3" s="1"/>
  <c r="BB385" i="3"/>
  <c r="AZ385" i="3"/>
  <c r="AX385" i="3"/>
  <c r="AV385" i="3"/>
  <c r="AT385" i="3"/>
  <c r="AR385" i="3"/>
  <c r="AP385" i="3"/>
  <c r="AN385" i="3"/>
  <c r="AL385" i="3"/>
  <c r="AB385" i="3"/>
  <c r="Z385" i="3"/>
  <c r="X385" i="3"/>
  <c r="V385" i="3"/>
  <c r="T385" i="3"/>
  <c r="R385" i="3"/>
  <c r="P385" i="3"/>
  <c r="N385" i="3"/>
  <c r="L385" i="3"/>
  <c r="J385" i="3"/>
  <c r="H385" i="3"/>
  <c r="F385" i="3"/>
  <c r="D385" i="3"/>
  <c r="B385" i="3"/>
  <c r="A385" i="3"/>
  <c r="BA385" i="3" s="1"/>
  <c r="BB384" i="3"/>
  <c r="AZ384" i="3"/>
  <c r="AX384" i="3"/>
  <c r="AV384" i="3"/>
  <c r="AT384" i="3"/>
  <c r="AR384" i="3"/>
  <c r="AP384" i="3"/>
  <c r="AN384" i="3"/>
  <c r="AL384" i="3"/>
  <c r="AB384" i="3"/>
  <c r="Z384" i="3"/>
  <c r="X384" i="3"/>
  <c r="V384" i="3"/>
  <c r="T384" i="3"/>
  <c r="R384" i="3"/>
  <c r="P384" i="3"/>
  <c r="N384" i="3"/>
  <c r="L384" i="3"/>
  <c r="J384" i="3"/>
  <c r="H384" i="3"/>
  <c r="F384" i="3"/>
  <c r="D384" i="3"/>
  <c r="B384" i="3"/>
  <c r="A384" i="3"/>
  <c r="BA384" i="3" s="1"/>
  <c r="BB383" i="3"/>
  <c r="AZ383" i="3"/>
  <c r="AX383" i="3"/>
  <c r="AV383" i="3"/>
  <c r="AT383" i="3"/>
  <c r="AR383" i="3"/>
  <c r="AP383" i="3"/>
  <c r="AN383" i="3"/>
  <c r="AL383" i="3"/>
  <c r="AB383" i="3"/>
  <c r="Z383" i="3"/>
  <c r="X383" i="3"/>
  <c r="V383" i="3"/>
  <c r="T383" i="3"/>
  <c r="R383" i="3"/>
  <c r="P383" i="3"/>
  <c r="N383" i="3"/>
  <c r="L383" i="3"/>
  <c r="J383" i="3"/>
  <c r="H383" i="3"/>
  <c r="F383" i="3"/>
  <c r="D383" i="3"/>
  <c r="B383" i="3"/>
  <c r="A383" i="3"/>
  <c r="BA383" i="3" s="1"/>
  <c r="BB382" i="3"/>
  <c r="AZ382" i="3"/>
  <c r="AX382" i="3"/>
  <c r="AV382" i="3"/>
  <c r="AT382" i="3"/>
  <c r="AR382" i="3"/>
  <c r="AP382" i="3"/>
  <c r="AN382" i="3"/>
  <c r="AL382" i="3"/>
  <c r="AB382" i="3"/>
  <c r="Z382" i="3"/>
  <c r="X382" i="3"/>
  <c r="V382" i="3"/>
  <c r="T382" i="3"/>
  <c r="R382" i="3"/>
  <c r="P382" i="3"/>
  <c r="N382" i="3"/>
  <c r="L382" i="3"/>
  <c r="J382" i="3"/>
  <c r="H382" i="3"/>
  <c r="F382" i="3"/>
  <c r="D382" i="3"/>
  <c r="B382" i="3"/>
  <c r="A382" i="3"/>
  <c r="BA382" i="3" s="1"/>
  <c r="BB381" i="3"/>
  <c r="AZ381" i="3"/>
  <c r="AX381" i="3"/>
  <c r="AV381" i="3"/>
  <c r="AT381" i="3"/>
  <c r="AR381" i="3"/>
  <c r="AP381" i="3"/>
  <c r="AN381" i="3"/>
  <c r="AL381" i="3"/>
  <c r="AB381" i="3"/>
  <c r="Z381" i="3"/>
  <c r="X381" i="3"/>
  <c r="V381" i="3"/>
  <c r="T381" i="3"/>
  <c r="R381" i="3"/>
  <c r="P381" i="3"/>
  <c r="N381" i="3"/>
  <c r="L381" i="3"/>
  <c r="J381" i="3"/>
  <c r="H381" i="3"/>
  <c r="F381" i="3"/>
  <c r="D381" i="3"/>
  <c r="B381" i="3"/>
  <c r="A381" i="3"/>
  <c r="BA381" i="3" s="1"/>
  <c r="BB380" i="3"/>
  <c r="AZ380" i="3"/>
  <c r="AX380" i="3"/>
  <c r="AV380" i="3"/>
  <c r="AT380" i="3"/>
  <c r="AR380" i="3"/>
  <c r="AP380" i="3"/>
  <c r="AN380" i="3"/>
  <c r="AL380" i="3"/>
  <c r="AB380" i="3"/>
  <c r="Z380" i="3"/>
  <c r="X380" i="3"/>
  <c r="V380" i="3"/>
  <c r="T380" i="3"/>
  <c r="R380" i="3"/>
  <c r="P380" i="3"/>
  <c r="N380" i="3"/>
  <c r="L380" i="3"/>
  <c r="J380" i="3"/>
  <c r="H380" i="3"/>
  <c r="F380" i="3"/>
  <c r="D380" i="3"/>
  <c r="B380" i="3"/>
  <c r="A380" i="3"/>
  <c r="BA380" i="3" s="1"/>
  <c r="BB379" i="3"/>
  <c r="AZ379" i="3"/>
  <c r="AX379" i="3"/>
  <c r="AV379" i="3"/>
  <c r="AT379" i="3"/>
  <c r="AR379" i="3"/>
  <c r="AP379" i="3"/>
  <c r="AN379" i="3"/>
  <c r="AL379" i="3"/>
  <c r="AB379" i="3"/>
  <c r="Z379" i="3"/>
  <c r="X379" i="3"/>
  <c r="V379" i="3"/>
  <c r="T379" i="3"/>
  <c r="R379" i="3"/>
  <c r="P379" i="3"/>
  <c r="N379" i="3"/>
  <c r="L379" i="3"/>
  <c r="J379" i="3"/>
  <c r="H379" i="3"/>
  <c r="F379" i="3"/>
  <c r="D379" i="3"/>
  <c r="B379" i="3"/>
  <c r="A379" i="3"/>
  <c r="BA379" i="3" s="1"/>
  <c r="BB378" i="3"/>
  <c r="AZ378" i="3"/>
  <c r="AX378" i="3"/>
  <c r="AV378" i="3"/>
  <c r="AT378" i="3"/>
  <c r="AR378" i="3"/>
  <c r="AP378" i="3"/>
  <c r="AN378" i="3"/>
  <c r="AL378" i="3"/>
  <c r="AB378" i="3"/>
  <c r="Z378" i="3"/>
  <c r="X378" i="3"/>
  <c r="V378" i="3"/>
  <c r="T378" i="3"/>
  <c r="R378" i="3"/>
  <c r="P378" i="3"/>
  <c r="N378" i="3"/>
  <c r="L378" i="3"/>
  <c r="J378" i="3"/>
  <c r="H378" i="3"/>
  <c r="F378" i="3"/>
  <c r="D378" i="3"/>
  <c r="B378" i="3"/>
  <c r="A378" i="3"/>
  <c r="BA378" i="3" s="1"/>
  <c r="BB377" i="3"/>
  <c r="AZ377" i="3"/>
  <c r="AX377" i="3"/>
  <c r="AV377" i="3"/>
  <c r="AT377" i="3"/>
  <c r="AR377" i="3"/>
  <c r="AP377" i="3"/>
  <c r="AN377" i="3"/>
  <c r="AL377" i="3"/>
  <c r="AB377" i="3"/>
  <c r="Z377" i="3"/>
  <c r="X377" i="3"/>
  <c r="V377" i="3"/>
  <c r="T377" i="3"/>
  <c r="R377" i="3"/>
  <c r="P377" i="3"/>
  <c r="N377" i="3"/>
  <c r="L377" i="3"/>
  <c r="J377" i="3"/>
  <c r="H377" i="3"/>
  <c r="F377" i="3"/>
  <c r="D377" i="3"/>
  <c r="B377" i="3"/>
  <c r="A377" i="3"/>
  <c r="BA377" i="3" s="1"/>
  <c r="BB376" i="3"/>
  <c r="AZ376" i="3"/>
  <c r="AX376" i="3"/>
  <c r="AV376" i="3"/>
  <c r="AT376" i="3"/>
  <c r="AR376" i="3"/>
  <c r="AP376" i="3"/>
  <c r="AN376" i="3"/>
  <c r="AL376" i="3"/>
  <c r="AB376" i="3"/>
  <c r="Z376" i="3"/>
  <c r="X376" i="3"/>
  <c r="V376" i="3"/>
  <c r="T376" i="3"/>
  <c r="R376" i="3"/>
  <c r="P376" i="3"/>
  <c r="N376" i="3"/>
  <c r="L376" i="3"/>
  <c r="J376" i="3"/>
  <c r="H376" i="3"/>
  <c r="F376" i="3"/>
  <c r="D376" i="3"/>
  <c r="B376" i="3"/>
  <c r="A376" i="3"/>
  <c r="BA376" i="3" s="1"/>
  <c r="BB375" i="3"/>
  <c r="AZ375" i="3"/>
  <c r="AX375" i="3"/>
  <c r="AV375" i="3"/>
  <c r="AT375" i="3"/>
  <c r="AR375" i="3"/>
  <c r="AP375" i="3"/>
  <c r="AN375" i="3"/>
  <c r="AL375" i="3"/>
  <c r="AB375" i="3"/>
  <c r="Z375" i="3"/>
  <c r="X375" i="3"/>
  <c r="V375" i="3"/>
  <c r="T375" i="3"/>
  <c r="R375" i="3"/>
  <c r="P375" i="3"/>
  <c r="N375" i="3"/>
  <c r="L375" i="3"/>
  <c r="J375" i="3"/>
  <c r="H375" i="3"/>
  <c r="F375" i="3"/>
  <c r="D375" i="3"/>
  <c r="B375" i="3"/>
  <c r="A375" i="3"/>
  <c r="BA375" i="3" s="1"/>
  <c r="BB374" i="3"/>
  <c r="AZ374" i="3"/>
  <c r="AX374" i="3"/>
  <c r="AV374" i="3"/>
  <c r="AT374" i="3"/>
  <c r="AR374" i="3"/>
  <c r="AP374" i="3"/>
  <c r="AN374" i="3"/>
  <c r="AL374" i="3"/>
  <c r="AB374" i="3"/>
  <c r="Z374" i="3"/>
  <c r="X374" i="3"/>
  <c r="V374" i="3"/>
  <c r="T374" i="3"/>
  <c r="R374" i="3"/>
  <c r="P374" i="3"/>
  <c r="N374" i="3"/>
  <c r="L374" i="3"/>
  <c r="J374" i="3"/>
  <c r="H374" i="3"/>
  <c r="F374" i="3"/>
  <c r="D374" i="3"/>
  <c r="B374" i="3"/>
  <c r="A374" i="3"/>
  <c r="BA374" i="3" s="1"/>
  <c r="BB373" i="3"/>
  <c r="AZ373" i="3"/>
  <c r="AX373" i="3"/>
  <c r="AV373" i="3"/>
  <c r="AT373" i="3"/>
  <c r="AR373" i="3"/>
  <c r="AP373" i="3"/>
  <c r="AN373" i="3"/>
  <c r="AL373" i="3"/>
  <c r="AB373" i="3"/>
  <c r="Z373" i="3"/>
  <c r="X373" i="3"/>
  <c r="V373" i="3"/>
  <c r="T373" i="3"/>
  <c r="R373" i="3"/>
  <c r="P373" i="3"/>
  <c r="N373" i="3"/>
  <c r="L373" i="3"/>
  <c r="J373" i="3"/>
  <c r="H373" i="3"/>
  <c r="F373" i="3"/>
  <c r="D373" i="3"/>
  <c r="B373" i="3"/>
  <c r="A373" i="3"/>
  <c r="BA373" i="3" s="1"/>
  <c r="BB372" i="3"/>
  <c r="AZ372" i="3"/>
  <c r="AX372" i="3"/>
  <c r="AV372" i="3"/>
  <c r="AT372" i="3"/>
  <c r="AR372" i="3"/>
  <c r="AP372" i="3"/>
  <c r="AN372" i="3"/>
  <c r="AL372" i="3"/>
  <c r="AB372" i="3"/>
  <c r="Z372" i="3"/>
  <c r="X372" i="3"/>
  <c r="V372" i="3"/>
  <c r="T372" i="3"/>
  <c r="R372" i="3"/>
  <c r="P372" i="3"/>
  <c r="N372" i="3"/>
  <c r="L372" i="3"/>
  <c r="J372" i="3"/>
  <c r="H372" i="3"/>
  <c r="F372" i="3"/>
  <c r="D372" i="3"/>
  <c r="B372" i="3"/>
  <c r="A372" i="3"/>
  <c r="BA372" i="3" s="1"/>
  <c r="BB371" i="3"/>
  <c r="AZ371" i="3"/>
  <c r="AX371" i="3"/>
  <c r="AV371" i="3"/>
  <c r="AT371" i="3"/>
  <c r="AR371" i="3"/>
  <c r="AP371" i="3"/>
  <c r="AN371" i="3"/>
  <c r="AL371" i="3"/>
  <c r="AB371" i="3"/>
  <c r="Z371" i="3"/>
  <c r="X371" i="3"/>
  <c r="V371" i="3"/>
  <c r="T371" i="3"/>
  <c r="R371" i="3"/>
  <c r="P371" i="3"/>
  <c r="N371" i="3"/>
  <c r="L371" i="3"/>
  <c r="J371" i="3"/>
  <c r="H371" i="3"/>
  <c r="F371" i="3"/>
  <c r="D371" i="3"/>
  <c r="B371" i="3"/>
  <c r="A371" i="3"/>
  <c r="BA371" i="3" s="1"/>
  <c r="BB370" i="3"/>
  <c r="AZ370" i="3"/>
  <c r="AX370" i="3"/>
  <c r="AV370" i="3"/>
  <c r="AT370" i="3"/>
  <c r="AR370" i="3"/>
  <c r="AP370" i="3"/>
  <c r="AN370" i="3"/>
  <c r="AL370" i="3"/>
  <c r="AB370" i="3"/>
  <c r="Z370" i="3"/>
  <c r="X370" i="3"/>
  <c r="V370" i="3"/>
  <c r="T370" i="3"/>
  <c r="R370" i="3"/>
  <c r="P370" i="3"/>
  <c r="N370" i="3"/>
  <c r="L370" i="3"/>
  <c r="J370" i="3"/>
  <c r="H370" i="3"/>
  <c r="F370" i="3"/>
  <c r="D370" i="3"/>
  <c r="B370" i="3"/>
  <c r="A370" i="3"/>
  <c r="BA370" i="3" s="1"/>
  <c r="BB369" i="3"/>
  <c r="AZ369" i="3"/>
  <c r="AX369" i="3"/>
  <c r="AV369" i="3"/>
  <c r="AT369" i="3"/>
  <c r="AR369" i="3"/>
  <c r="AP369" i="3"/>
  <c r="AN369" i="3"/>
  <c r="AL369" i="3"/>
  <c r="AB369" i="3"/>
  <c r="Z369" i="3"/>
  <c r="X369" i="3"/>
  <c r="V369" i="3"/>
  <c r="T369" i="3"/>
  <c r="R369" i="3"/>
  <c r="P369" i="3"/>
  <c r="N369" i="3"/>
  <c r="L369" i="3"/>
  <c r="J369" i="3"/>
  <c r="H369" i="3"/>
  <c r="F369" i="3"/>
  <c r="D369" i="3"/>
  <c r="B369" i="3"/>
  <c r="A369" i="3"/>
  <c r="BA369" i="3" s="1"/>
  <c r="BB368" i="3"/>
  <c r="AZ368" i="3"/>
  <c r="AX368" i="3"/>
  <c r="AV368" i="3"/>
  <c r="AT368" i="3"/>
  <c r="AR368" i="3"/>
  <c r="AP368" i="3"/>
  <c r="AN368" i="3"/>
  <c r="AL368" i="3"/>
  <c r="AB368" i="3"/>
  <c r="Z368" i="3"/>
  <c r="X368" i="3"/>
  <c r="V368" i="3"/>
  <c r="T368" i="3"/>
  <c r="R368" i="3"/>
  <c r="P368" i="3"/>
  <c r="N368" i="3"/>
  <c r="L368" i="3"/>
  <c r="J368" i="3"/>
  <c r="H368" i="3"/>
  <c r="F368" i="3"/>
  <c r="D368" i="3"/>
  <c r="B368" i="3"/>
  <c r="A368" i="3"/>
  <c r="BA368" i="3" s="1"/>
  <c r="BB367" i="3"/>
  <c r="AZ367" i="3"/>
  <c r="AX367" i="3"/>
  <c r="AV367" i="3"/>
  <c r="AT367" i="3"/>
  <c r="AR367" i="3"/>
  <c r="AP367" i="3"/>
  <c r="AN367" i="3"/>
  <c r="AL367" i="3"/>
  <c r="AB367" i="3"/>
  <c r="Z367" i="3"/>
  <c r="X367" i="3"/>
  <c r="V367" i="3"/>
  <c r="T367" i="3"/>
  <c r="R367" i="3"/>
  <c r="P367" i="3"/>
  <c r="N367" i="3"/>
  <c r="L367" i="3"/>
  <c r="J367" i="3"/>
  <c r="H367" i="3"/>
  <c r="F367" i="3"/>
  <c r="D367" i="3"/>
  <c r="B367" i="3"/>
  <c r="A367" i="3"/>
  <c r="BA367" i="3" s="1"/>
  <c r="BB366" i="3"/>
  <c r="AZ366" i="3"/>
  <c r="AX366" i="3"/>
  <c r="AV366" i="3"/>
  <c r="AT366" i="3"/>
  <c r="AR366" i="3"/>
  <c r="AP366" i="3"/>
  <c r="AN366" i="3"/>
  <c r="AL366" i="3"/>
  <c r="AB366" i="3"/>
  <c r="Z366" i="3"/>
  <c r="X366" i="3"/>
  <c r="V366" i="3"/>
  <c r="T366" i="3"/>
  <c r="R366" i="3"/>
  <c r="P366" i="3"/>
  <c r="N366" i="3"/>
  <c r="L366" i="3"/>
  <c r="J366" i="3"/>
  <c r="H366" i="3"/>
  <c r="F366" i="3"/>
  <c r="D366" i="3"/>
  <c r="B366" i="3"/>
  <c r="A366" i="3"/>
  <c r="BA366" i="3" s="1"/>
  <c r="BB365" i="3"/>
  <c r="AZ365" i="3"/>
  <c r="AX365" i="3"/>
  <c r="AV365" i="3"/>
  <c r="AT365" i="3"/>
  <c r="AR365" i="3"/>
  <c r="AP365" i="3"/>
  <c r="AN365" i="3"/>
  <c r="AL365" i="3"/>
  <c r="AB365" i="3"/>
  <c r="Z365" i="3"/>
  <c r="X365" i="3"/>
  <c r="V365" i="3"/>
  <c r="T365" i="3"/>
  <c r="R365" i="3"/>
  <c r="P365" i="3"/>
  <c r="N365" i="3"/>
  <c r="L365" i="3"/>
  <c r="J365" i="3"/>
  <c r="H365" i="3"/>
  <c r="F365" i="3"/>
  <c r="D365" i="3"/>
  <c r="B365" i="3"/>
  <c r="A365" i="3"/>
  <c r="BA365" i="3" s="1"/>
  <c r="BB364" i="3"/>
  <c r="AZ364" i="3"/>
  <c r="AX364" i="3"/>
  <c r="AV364" i="3"/>
  <c r="AT364" i="3"/>
  <c r="AR364" i="3"/>
  <c r="AP364" i="3"/>
  <c r="AN364" i="3"/>
  <c r="AL364" i="3"/>
  <c r="AB364" i="3"/>
  <c r="Z364" i="3"/>
  <c r="X364" i="3"/>
  <c r="V364" i="3"/>
  <c r="T364" i="3"/>
  <c r="R364" i="3"/>
  <c r="P364" i="3"/>
  <c r="N364" i="3"/>
  <c r="L364" i="3"/>
  <c r="J364" i="3"/>
  <c r="H364" i="3"/>
  <c r="F364" i="3"/>
  <c r="D364" i="3"/>
  <c r="B364" i="3"/>
  <c r="A364" i="3"/>
  <c r="BA364" i="3" s="1"/>
  <c r="BB363" i="3"/>
  <c r="AZ363" i="3"/>
  <c r="AX363" i="3"/>
  <c r="AV363" i="3"/>
  <c r="AT363" i="3"/>
  <c r="AR363" i="3"/>
  <c r="AP363" i="3"/>
  <c r="AN363" i="3"/>
  <c r="AL363" i="3"/>
  <c r="AB363" i="3"/>
  <c r="Z363" i="3"/>
  <c r="X363" i="3"/>
  <c r="V363" i="3"/>
  <c r="T363" i="3"/>
  <c r="R363" i="3"/>
  <c r="P363" i="3"/>
  <c r="N363" i="3"/>
  <c r="L363" i="3"/>
  <c r="J363" i="3"/>
  <c r="H363" i="3"/>
  <c r="F363" i="3"/>
  <c r="D363" i="3"/>
  <c r="B363" i="3"/>
  <c r="A363" i="3"/>
  <c r="BA363" i="3" s="1"/>
  <c r="BB362" i="3"/>
  <c r="AZ362" i="3"/>
  <c r="AX362" i="3"/>
  <c r="AV362" i="3"/>
  <c r="AT362" i="3"/>
  <c r="AR362" i="3"/>
  <c r="AP362" i="3"/>
  <c r="AN362" i="3"/>
  <c r="AL362" i="3"/>
  <c r="AB362" i="3"/>
  <c r="Z362" i="3"/>
  <c r="X362" i="3"/>
  <c r="V362" i="3"/>
  <c r="T362" i="3"/>
  <c r="R362" i="3"/>
  <c r="P362" i="3"/>
  <c r="N362" i="3"/>
  <c r="L362" i="3"/>
  <c r="J362" i="3"/>
  <c r="H362" i="3"/>
  <c r="F362" i="3"/>
  <c r="D362" i="3"/>
  <c r="B362" i="3"/>
  <c r="A362" i="3"/>
  <c r="BA362" i="3" s="1"/>
  <c r="BB361" i="3"/>
  <c r="AZ361" i="3"/>
  <c r="AX361" i="3"/>
  <c r="AV361" i="3"/>
  <c r="AT361" i="3"/>
  <c r="AR361" i="3"/>
  <c r="AP361" i="3"/>
  <c r="AN361" i="3"/>
  <c r="AL361" i="3"/>
  <c r="AB361" i="3"/>
  <c r="Z361" i="3"/>
  <c r="X361" i="3"/>
  <c r="V361" i="3"/>
  <c r="T361" i="3"/>
  <c r="R361" i="3"/>
  <c r="P361" i="3"/>
  <c r="N361" i="3"/>
  <c r="L361" i="3"/>
  <c r="J361" i="3"/>
  <c r="H361" i="3"/>
  <c r="F361" i="3"/>
  <c r="D361" i="3"/>
  <c r="B361" i="3"/>
  <c r="A361" i="3"/>
  <c r="BA361" i="3" s="1"/>
  <c r="BB360" i="3"/>
  <c r="AZ360" i="3"/>
  <c r="AX360" i="3"/>
  <c r="AV360" i="3"/>
  <c r="AT360" i="3"/>
  <c r="AR360" i="3"/>
  <c r="AP360" i="3"/>
  <c r="AN360" i="3"/>
  <c r="AL360" i="3"/>
  <c r="AB360" i="3"/>
  <c r="Z360" i="3"/>
  <c r="X360" i="3"/>
  <c r="V360" i="3"/>
  <c r="T360" i="3"/>
  <c r="R360" i="3"/>
  <c r="P360" i="3"/>
  <c r="N360" i="3"/>
  <c r="L360" i="3"/>
  <c r="J360" i="3"/>
  <c r="H360" i="3"/>
  <c r="F360" i="3"/>
  <c r="D360" i="3"/>
  <c r="B360" i="3"/>
  <c r="A360" i="3"/>
  <c r="BA360" i="3" s="1"/>
  <c r="BB359" i="3"/>
  <c r="AZ359" i="3"/>
  <c r="AX359" i="3"/>
  <c r="AV359" i="3"/>
  <c r="AT359" i="3"/>
  <c r="AR359" i="3"/>
  <c r="AP359" i="3"/>
  <c r="AN359" i="3"/>
  <c r="AL359" i="3"/>
  <c r="AB359" i="3"/>
  <c r="Z359" i="3"/>
  <c r="X359" i="3"/>
  <c r="V359" i="3"/>
  <c r="T359" i="3"/>
  <c r="R359" i="3"/>
  <c r="P359" i="3"/>
  <c r="N359" i="3"/>
  <c r="L359" i="3"/>
  <c r="J359" i="3"/>
  <c r="H359" i="3"/>
  <c r="F359" i="3"/>
  <c r="D359" i="3"/>
  <c r="B359" i="3"/>
  <c r="A359" i="3"/>
  <c r="BA359" i="3" s="1"/>
  <c r="BB358" i="3"/>
  <c r="AZ358" i="3"/>
  <c r="AX358" i="3"/>
  <c r="AV358" i="3"/>
  <c r="AT358" i="3"/>
  <c r="AR358" i="3"/>
  <c r="AP358" i="3"/>
  <c r="AN358" i="3"/>
  <c r="AL358" i="3"/>
  <c r="AB358" i="3"/>
  <c r="Z358" i="3"/>
  <c r="X358" i="3"/>
  <c r="V358" i="3"/>
  <c r="T358" i="3"/>
  <c r="R358" i="3"/>
  <c r="P358" i="3"/>
  <c r="N358" i="3"/>
  <c r="L358" i="3"/>
  <c r="J358" i="3"/>
  <c r="H358" i="3"/>
  <c r="F358" i="3"/>
  <c r="D358" i="3"/>
  <c r="B358" i="3"/>
  <c r="A358" i="3"/>
  <c r="BA358" i="3" s="1"/>
  <c r="BB357" i="3"/>
  <c r="AZ357" i="3"/>
  <c r="AX357" i="3"/>
  <c r="AV357" i="3"/>
  <c r="AT357" i="3"/>
  <c r="AR357" i="3"/>
  <c r="AP357" i="3"/>
  <c r="AN357" i="3"/>
  <c r="AL357" i="3"/>
  <c r="AB357" i="3"/>
  <c r="Z357" i="3"/>
  <c r="X357" i="3"/>
  <c r="V357" i="3"/>
  <c r="T357" i="3"/>
  <c r="R357" i="3"/>
  <c r="P357" i="3"/>
  <c r="N357" i="3"/>
  <c r="L357" i="3"/>
  <c r="J357" i="3"/>
  <c r="H357" i="3"/>
  <c r="F357" i="3"/>
  <c r="D357" i="3"/>
  <c r="B357" i="3"/>
  <c r="A357" i="3"/>
  <c r="BA357" i="3" s="1"/>
  <c r="BB356" i="3"/>
  <c r="AZ356" i="3"/>
  <c r="AX356" i="3"/>
  <c r="AV356" i="3"/>
  <c r="AT356" i="3"/>
  <c r="AR356" i="3"/>
  <c r="AP356" i="3"/>
  <c r="AN356" i="3"/>
  <c r="AL356" i="3"/>
  <c r="AB356" i="3"/>
  <c r="Z356" i="3"/>
  <c r="X356" i="3"/>
  <c r="V356" i="3"/>
  <c r="T356" i="3"/>
  <c r="R356" i="3"/>
  <c r="P356" i="3"/>
  <c r="N356" i="3"/>
  <c r="L356" i="3"/>
  <c r="J356" i="3"/>
  <c r="H356" i="3"/>
  <c r="F356" i="3"/>
  <c r="D356" i="3"/>
  <c r="B356" i="3"/>
  <c r="A356" i="3"/>
  <c r="BA356" i="3" s="1"/>
  <c r="BB355" i="3"/>
  <c r="AZ355" i="3"/>
  <c r="AX355" i="3"/>
  <c r="AV355" i="3"/>
  <c r="AT355" i="3"/>
  <c r="AR355" i="3"/>
  <c r="AP355" i="3"/>
  <c r="AN355" i="3"/>
  <c r="AL355" i="3"/>
  <c r="AB355" i="3"/>
  <c r="Z355" i="3"/>
  <c r="X355" i="3"/>
  <c r="V355" i="3"/>
  <c r="T355" i="3"/>
  <c r="R355" i="3"/>
  <c r="P355" i="3"/>
  <c r="N355" i="3"/>
  <c r="L355" i="3"/>
  <c r="J355" i="3"/>
  <c r="H355" i="3"/>
  <c r="F355" i="3"/>
  <c r="D355" i="3"/>
  <c r="B355" i="3"/>
  <c r="A355" i="3"/>
  <c r="BA355" i="3" s="1"/>
  <c r="BB354" i="3"/>
  <c r="AZ354" i="3"/>
  <c r="AX354" i="3"/>
  <c r="AV354" i="3"/>
  <c r="AT354" i="3"/>
  <c r="AR354" i="3"/>
  <c r="AP354" i="3"/>
  <c r="AN354" i="3"/>
  <c r="AL354" i="3"/>
  <c r="AB354" i="3"/>
  <c r="Z354" i="3"/>
  <c r="X354" i="3"/>
  <c r="V354" i="3"/>
  <c r="T354" i="3"/>
  <c r="R354" i="3"/>
  <c r="P354" i="3"/>
  <c r="N354" i="3"/>
  <c r="L354" i="3"/>
  <c r="J354" i="3"/>
  <c r="H354" i="3"/>
  <c r="F354" i="3"/>
  <c r="D354" i="3"/>
  <c r="B354" i="3"/>
  <c r="A354" i="3"/>
  <c r="BA354" i="3" s="1"/>
  <c r="BB353" i="3"/>
  <c r="AZ353" i="3"/>
  <c r="AX353" i="3"/>
  <c r="AV353" i="3"/>
  <c r="AT353" i="3"/>
  <c r="AR353" i="3"/>
  <c r="AP353" i="3"/>
  <c r="AN353" i="3"/>
  <c r="AL353" i="3"/>
  <c r="AB353" i="3"/>
  <c r="Z353" i="3"/>
  <c r="X353" i="3"/>
  <c r="V353" i="3"/>
  <c r="T353" i="3"/>
  <c r="R353" i="3"/>
  <c r="P353" i="3"/>
  <c r="N353" i="3"/>
  <c r="L353" i="3"/>
  <c r="J353" i="3"/>
  <c r="H353" i="3"/>
  <c r="F353" i="3"/>
  <c r="D353" i="3"/>
  <c r="B353" i="3"/>
  <c r="A353" i="3"/>
  <c r="BA353" i="3" s="1"/>
  <c r="BB352" i="3"/>
  <c r="AZ352" i="3"/>
  <c r="AX352" i="3"/>
  <c r="AV352" i="3"/>
  <c r="AT352" i="3"/>
  <c r="AR352" i="3"/>
  <c r="AP352" i="3"/>
  <c r="AN352" i="3"/>
  <c r="AL352" i="3"/>
  <c r="AB352" i="3"/>
  <c r="Z352" i="3"/>
  <c r="X352" i="3"/>
  <c r="V352" i="3"/>
  <c r="T352" i="3"/>
  <c r="R352" i="3"/>
  <c r="P352" i="3"/>
  <c r="N352" i="3"/>
  <c r="L352" i="3"/>
  <c r="J352" i="3"/>
  <c r="H352" i="3"/>
  <c r="F352" i="3"/>
  <c r="D352" i="3"/>
  <c r="B352" i="3"/>
  <c r="A352" i="3"/>
  <c r="BA352" i="3" s="1"/>
  <c r="BB351" i="3"/>
  <c r="AZ351" i="3"/>
  <c r="AX351" i="3"/>
  <c r="AV351" i="3"/>
  <c r="AT351" i="3"/>
  <c r="AR351" i="3"/>
  <c r="AP351" i="3"/>
  <c r="AN351" i="3"/>
  <c r="AL351" i="3"/>
  <c r="AB351" i="3"/>
  <c r="Z351" i="3"/>
  <c r="X351" i="3"/>
  <c r="V351" i="3"/>
  <c r="T351" i="3"/>
  <c r="R351" i="3"/>
  <c r="P351" i="3"/>
  <c r="N351" i="3"/>
  <c r="L351" i="3"/>
  <c r="J351" i="3"/>
  <c r="H351" i="3"/>
  <c r="F351" i="3"/>
  <c r="D351" i="3"/>
  <c r="B351" i="3"/>
  <c r="A351" i="3"/>
  <c r="BA351" i="3" s="1"/>
  <c r="BB350" i="3"/>
  <c r="AZ350" i="3"/>
  <c r="AX350" i="3"/>
  <c r="AV350" i="3"/>
  <c r="AT350" i="3"/>
  <c r="AR350" i="3"/>
  <c r="AP350" i="3"/>
  <c r="AN350" i="3"/>
  <c r="AL350" i="3"/>
  <c r="AB350" i="3"/>
  <c r="Z350" i="3"/>
  <c r="X350" i="3"/>
  <c r="V350" i="3"/>
  <c r="T350" i="3"/>
  <c r="R350" i="3"/>
  <c r="P350" i="3"/>
  <c r="N350" i="3"/>
  <c r="L350" i="3"/>
  <c r="J350" i="3"/>
  <c r="H350" i="3"/>
  <c r="F350" i="3"/>
  <c r="D350" i="3"/>
  <c r="B350" i="3"/>
  <c r="A350" i="3"/>
  <c r="BA350" i="3" s="1"/>
  <c r="BB349" i="3"/>
  <c r="AZ349" i="3"/>
  <c r="AX349" i="3"/>
  <c r="AV349" i="3"/>
  <c r="AT349" i="3"/>
  <c r="AR349" i="3"/>
  <c r="AP349" i="3"/>
  <c r="AN349" i="3"/>
  <c r="AL349" i="3"/>
  <c r="AB349" i="3"/>
  <c r="Z349" i="3"/>
  <c r="X349" i="3"/>
  <c r="V349" i="3"/>
  <c r="T349" i="3"/>
  <c r="R349" i="3"/>
  <c r="P349" i="3"/>
  <c r="N349" i="3"/>
  <c r="L349" i="3"/>
  <c r="J349" i="3"/>
  <c r="H349" i="3"/>
  <c r="F349" i="3"/>
  <c r="D349" i="3"/>
  <c r="B349" i="3"/>
  <c r="A349" i="3"/>
  <c r="BA349" i="3" s="1"/>
  <c r="BB348" i="3"/>
  <c r="AZ348" i="3"/>
  <c r="AX348" i="3"/>
  <c r="AV348" i="3"/>
  <c r="AT348" i="3"/>
  <c r="AR348" i="3"/>
  <c r="AP348" i="3"/>
  <c r="AN348" i="3"/>
  <c r="AL348" i="3"/>
  <c r="AB348" i="3"/>
  <c r="Z348" i="3"/>
  <c r="X348" i="3"/>
  <c r="V348" i="3"/>
  <c r="T348" i="3"/>
  <c r="R348" i="3"/>
  <c r="P348" i="3"/>
  <c r="N348" i="3"/>
  <c r="L348" i="3"/>
  <c r="J348" i="3"/>
  <c r="H348" i="3"/>
  <c r="F348" i="3"/>
  <c r="D348" i="3"/>
  <c r="B348" i="3"/>
  <c r="A348" i="3"/>
  <c r="BA348" i="3" s="1"/>
  <c r="BB347" i="3"/>
  <c r="AZ347" i="3"/>
  <c r="AX347" i="3"/>
  <c r="AV347" i="3"/>
  <c r="AT347" i="3"/>
  <c r="AR347" i="3"/>
  <c r="AP347" i="3"/>
  <c r="AN347" i="3"/>
  <c r="AL347" i="3"/>
  <c r="AB347" i="3"/>
  <c r="Z347" i="3"/>
  <c r="X347" i="3"/>
  <c r="V347" i="3"/>
  <c r="T347" i="3"/>
  <c r="R347" i="3"/>
  <c r="P347" i="3"/>
  <c r="N347" i="3"/>
  <c r="L347" i="3"/>
  <c r="J347" i="3"/>
  <c r="H347" i="3"/>
  <c r="F347" i="3"/>
  <c r="D347" i="3"/>
  <c r="B347" i="3"/>
  <c r="A347" i="3"/>
  <c r="BA347" i="3" s="1"/>
  <c r="BB346" i="3"/>
  <c r="AZ346" i="3"/>
  <c r="AX346" i="3"/>
  <c r="AV346" i="3"/>
  <c r="AT346" i="3"/>
  <c r="AR346" i="3"/>
  <c r="AP346" i="3"/>
  <c r="AN346" i="3"/>
  <c r="AL346" i="3"/>
  <c r="AB346" i="3"/>
  <c r="Z346" i="3"/>
  <c r="X346" i="3"/>
  <c r="V346" i="3"/>
  <c r="T346" i="3"/>
  <c r="R346" i="3"/>
  <c r="P346" i="3"/>
  <c r="N346" i="3"/>
  <c r="L346" i="3"/>
  <c r="J346" i="3"/>
  <c r="H346" i="3"/>
  <c r="F346" i="3"/>
  <c r="D346" i="3"/>
  <c r="B346" i="3"/>
  <c r="A346" i="3"/>
  <c r="BA346" i="3" s="1"/>
  <c r="BB345" i="3"/>
  <c r="AZ345" i="3"/>
  <c r="AX345" i="3"/>
  <c r="AV345" i="3"/>
  <c r="AT345" i="3"/>
  <c r="AR345" i="3"/>
  <c r="AP345" i="3"/>
  <c r="AN345" i="3"/>
  <c r="AL345" i="3"/>
  <c r="AB345" i="3"/>
  <c r="Z345" i="3"/>
  <c r="X345" i="3"/>
  <c r="V345" i="3"/>
  <c r="T345" i="3"/>
  <c r="R345" i="3"/>
  <c r="P345" i="3"/>
  <c r="N345" i="3"/>
  <c r="L345" i="3"/>
  <c r="J345" i="3"/>
  <c r="H345" i="3"/>
  <c r="F345" i="3"/>
  <c r="D345" i="3"/>
  <c r="B345" i="3"/>
  <c r="A345" i="3"/>
  <c r="BA345" i="3" s="1"/>
  <c r="BB344" i="3"/>
  <c r="AZ344" i="3"/>
  <c r="AX344" i="3"/>
  <c r="AV344" i="3"/>
  <c r="AT344" i="3"/>
  <c r="AR344" i="3"/>
  <c r="AP344" i="3"/>
  <c r="AN344" i="3"/>
  <c r="AL344" i="3"/>
  <c r="AB344" i="3"/>
  <c r="Z344" i="3"/>
  <c r="X344" i="3"/>
  <c r="V344" i="3"/>
  <c r="T344" i="3"/>
  <c r="R344" i="3"/>
  <c r="P344" i="3"/>
  <c r="N344" i="3"/>
  <c r="L344" i="3"/>
  <c r="J344" i="3"/>
  <c r="H344" i="3"/>
  <c r="F344" i="3"/>
  <c r="D344" i="3"/>
  <c r="B344" i="3"/>
  <c r="A344" i="3"/>
  <c r="BA344" i="3" s="1"/>
  <c r="BB343" i="3"/>
  <c r="AZ343" i="3"/>
  <c r="AX343" i="3"/>
  <c r="AV343" i="3"/>
  <c r="AT343" i="3"/>
  <c r="AR343" i="3"/>
  <c r="AP343" i="3"/>
  <c r="AN343" i="3"/>
  <c r="AL343" i="3"/>
  <c r="AB343" i="3"/>
  <c r="Z343" i="3"/>
  <c r="X343" i="3"/>
  <c r="V343" i="3"/>
  <c r="T343" i="3"/>
  <c r="R343" i="3"/>
  <c r="P343" i="3"/>
  <c r="N343" i="3"/>
  <c r="L343" i="3"/>
  <c r="J343" i="3"/>
  <c r="H343" i="3"/>
  <c r="F343" i="3"/>
  <c r="D343" i="3"/>
  <c r="B343" i="3"/>
  <c r="A343" i="3"/>
  <c r="BA343" i="3" s="1"/>
  <c r="BB342" i="3"/>
  <c r="AZ342" i="3"/>
  <c r="AX342" i="3"/>
  <c r="AV342" i="3"/>
  <c r="AT342" i="3"/>
  <c r="AR342" i="3"/>
  <c r="AP342" i="3"/>
  <c r="AN342" i="3"/>
  <c r="AL342" i="3"/>
  <c r="AB342" i="3"/>
  <c r="Z342" i="3"/>
  <c r="X342" i="3"/>
  <c r="V342" i="3"/>
  <c r="T342" i="3"/>
  <c r="R342" i="3"/>
  <c r="P342" i="3"/>
  <c r="N342" i="3"/>
  <c r="L342" i="3"/>
  <c r="J342" i="3"/>
  <c r="H342" i="3"/>
  <c r="F342" i="3"/>
  <c r="D342" i="3"/>
  <c r="B342" i="3"/>
  <c r="A342" i="3"/>
  <c r="BA342" i="3" s="1"/>
  <c r="BB341" i="3"/>
  <c r="AZ341" i="3"/>
  <c r="AX341" i="3"/>
  <c r="AV341" i="3"/>
  <c r="AT341" i="3"/>
  <c r="AR341" i="3"/>
  <c r="AP341" i="3"/>
  <c r="AN341" i="3"/>
  <c r="AL341" i="3"/>
  <c r="AB341" i="3"/>
  <c r="Z341" i="3"/>
  <c r="X341" i="3"/>
  <c r="V341" i="3"/>
  <c r="T341" i="3"/>
  <c r="R341" i="3"/>
  <c r="P341" i="3"/>
  <c r="N341" i="3"/>
  <c r="L341" i="3"/>
  <c r="J341" i="3"/>
  <c r="H341" i="3"/>
  <c r="F341" i="3"/>
  <c r="D341" i="3"/>
  <c r="B341" i="3"/>
  <c r="A341" i="3"/>
  <c r="BA341" i="3" s="1"/>
  <c r="BB340" i="3"/>
  <c r="AZ340" i="3"/>
  <c r="AX340" i="3"/>
  <c r="AV340" i="3"/>
  <c r="AT340" i="3"/>
  <c r="AR340" i="3"/>
  <c r="AP340" i="3"/>
  <c r="AN340" i="3"/>
  <c r="AL340" i="3"/>
  <c r="AB340" i="3"/>
  <c r="Z340" i="3"/>
  <c r="X340" i="3"/>
  <c r="V340" i="3"/>
  <c r="T340" i="3"/>
  <c r="R340" i="3"/>
  <c r="P340" i="3"/>
  <c r="N340" i="3"/>
  <c r="L340" i="3"/>
  <c r="J340" i="3"/>
  <c r="H340" i="3"/>
  <c r="F340" i="3"/>
  <c r="D340" i="3"/>
  <c r="B340" i="3"/>
  <c r="A340" i="3"/>
  <c r="BA340" i="3" s="1"/>
  <c r="BB339" i="3"/>
  <c r="AZ339" i="3"/>
  <c r="AX339" i="3"/>
  <c r="AV339" i="3"/>
  <c r="AT339" i="3"/>
  <c r="AR339" i="3"/>
  <c r="AP339" i="3"/>
  <c r="AN339" i="3"/>
  <c r="AL339" i="3"/>
  <c r="AB339" i="3"/>
  <c r="Z339" i="3"/>
  <c r="X339" i="3"/>
  <c r="V339" i="3"/>
  <c r="T339" i="3"/>
  <c r="R339" i="3"/>
  <c r="P339" i="3"/>
  <c r="N339" i="3"/>
  <c r="L339" i="3"/>
  <c r="J339" i="3"/>
  <c r="H339" i="3"/>
  <c r="F339" i="3"/>
  <c r="D339" i="3"/>
  <c r="B339" i="3"/>
  <c r="A339" i="3"/>
  <c r="BA339" i="3" s="1"/>
  <c r="BB338" i="3"/>
  <c r="AZ338" i="3"/>
  <c r="AX338" i="3"/>
  <c r="AV338" i="3"/>
  <c r="AT338" i="3"/>
  <c r="AR338" i="3"/>
  <c r="AP338" i="3"/>
  <c r="AN338" i="3"/>
  <c r="AL338" i="3"/>
  <c r="AB338" i="3"/>
  <c r="Z338" i="3"/>
  <c r="X338" i="3"/>
  <c r="V338" i="3"/>
  <c r="T338" i="3"/>
  <c r="R338" i="3"/>
  <c r="P338" i="3"/>
  <c r="N338" i="3"/>
  <c r="L338" i="3"/>
  <c r="J338" i="3"/>
  <c r="H338" i="3"/>
  <c r="F338" i="3"/>
  <c r="D338" i="3"/>
  <c r="B338" i="3"/>
  <c r="A338" i="3"/>
  <c r="BA338" i="3" s="1"/>
  <c r="BB337" i="3"/>
  <c r="AZ337" i="3"/>
  <c r="AX337" i="3"/>
  <c r="AV337" i="3"/>
  <c r="AT337" i="3"/>
  <c r="AR337" i="3"/>
  <c r="AP337" i="3"/>
  <c r="AN337" i="3"/>
  <c r="AL337" i="3"/>
  <c r="AB337" i="3"/>
  <c r="Z337" i="3"/>
  <c r="X337" i="3"/>
  <c r="V337" i="3"/>
  <c r="T337" i="3"/>
  <c r="R337" i="3"/>
  <c r="P337" i="3"/>
  <c r="N337" i="3"/>
  <c r="L337" i="3"/>
  <c r="J337" i="3"/>
  <c r="H337" i="3"/>
  <c r="F337" i="3"/>
  <c r="D337" i="3"/>
  <c r="B337" i="3"/>
  <c r="A337" i="3"/>
  <c r="BA337" i="3" s="1"/>
  <c r="BB336" i="3"/>
  <c r="AZ336" i="3"/>
  <c r="AX336" i="3"/>
  <c r="AV336" i="3"/>
  <c r="AT336" i="3"/>
  <c r="AR336" i="3"/>
  <c r="AP336" i="3"/>
  <c r="AN336" i="3"/>
  <c r="AL336" i="3"/>
  <c r="AB336" i="3"/>
  <c r="Z336" i="3"/>
  <c r="X336" i="3"/>
  <c r="V336" i="3"/>
  <c r="T336" i="3"/>
  <c r="R336" i="3"/>
  <c r="P336" i="3"/>
  <c r="N336" i="3"/>
  <c r="L336" i="3"/>
  <c r="J336" i="3"/>
  <c r="H336" i="3"/>
  <c r="F336" i="3"/>
  <c r="D336" i="3"/>
  <c r="B336" i="3"/>
  <c r="A336" i="3"/>
  <c r="BA336" i="3" s="1"/>
  <c r="BB335" i="3"/>
  <c r="AZ335" i="3"/>
  <c r="AX335" i="3"/>
  <c r="AV335" i="3"/>
  <c r="AT335" i="3"/>
  <c r="AR335" i="3"/>
  <c r="AP335" i="3"/>
  <c r="AN335" i="3"/>
  <c r="AL335" i="3"/>
  <c r="AB335" i="3"/>
  <c r="Z335" i="3"/>
  <c r="X335" i="3"/>
  <c r="V335" i="3"/>
  <c r="T335" i="3"/>
  <c r="R335" i="3"/>
  <c r="P335" i="3"/>
  <c r="N335" i="3"/>
  <c r="L335" i="3"/>
  <c r="J335" i="3"/>
  <c r="H335" i="3"/>
  <c r="F335" i="3"/>
  <c r="D335" i="3"/>
  <c r="B335" i="3"/>
  <c r="A335" i="3"/>
  <c r="BA335" i="3" s="1"/>
  <c r="BB334" i="3"/>
  <c r="AZ334" i="3"/>
  <c r="AX334" i="3"/>
  <c r="AV334" i="3"/>
  <c r="AT334" i="3"/>
  <c r="AR334" i="3"/>
  <c r="AP334" i="3"/>
  <c r="AN334" i="3"/>
  <c r="AL334" i="3"/>
  <c r="AB334" i="3"/>
  <c r="Z334" i="3"/>
  <c r="X334" i="3"/>
  <c r="V334" i="3"/>
  <c r="T334" i="3"/>
  <c r="R334" i="3"/>
  <c r="P334" i="3"/>
  <c r="N334" i="3"/>
  <c r="L334" i="3"/>
  <c r="J334" i="3"/>
  <c r="H334" i="3"/>
  <c r="F334" i="3"/>
  <c r="D334" i="3"/>
  <c r="B334" i="3"/>
  <c r="A334" i="3"/>
  <c r="BA334" i="3" s="1"/>
  <c r="BB333" i="3"/>
  <c r="AZ333" i="3"/>
  <c r="AX333" i="3"/>
  <c r="AV333" i="3"/>
  <c r="AT333" i="3"/>
  <c r="AR333" i="3"/>
  <c r="AP333" i="3"/>
  <c r="AN333" i="3"/>
  <c r="AL333" i="3"/>
  <c r="AB333" i="3"/>
  <c r="Z333" i="3"/>
  <c r="X333" i="3"/>
  <c r="V333" i="3"/>
  <c r="T333" i="3"/>
  <c r="R333" i="3"/>
  <c r="P333" i="3"/>
  <c r="N333" i="3"/>
  <c r="L333" i="3"/>
  <c r="J333" i="3"/>
  <c r="H333" i="3"/>
  <c r="F333" i="3"/>
  <c r="D333" i="3"/>
  <c r="B333" i="3"/>
  <c r="A333" i="3"/>
  <c r="BA333" i="3" s="1"/>
  <c r="BB332" i="3"/>
  <c r="AZ332" i="3"/>
  <c r="AX332" i="3"/>
  <c r="AV332" i="3"/>
  <c r="AT332" i="3"/>
  <c r="AR332" i="3"/>
  <c r="AP332" i="3"/>
  <c r="AN332" i="3"/>
  <c r="AL332" i="3"/>
  <c r="AB332" i="3"/>
  <c r="Z332" i="3"/>
  <c r="X332" i="3"/>
  <c r="V332" i="3"/>
  <c r="T332" i="3"/>
  <c r="R332" i="3"/>
  <c r="P332" i="3"/>
  <c r="N332" i="3"/>
  <c r="L332" i="3"/>
  <c r="J332" i="3"/>
  <c r="H332" i="3"/>
  <c r="F332" i="3"/>
  <c r="D332" i="3"/>
  <c r="B332" i="3"/>
  <c r="A332" i="3"/>
  <c r="BA332" i="3" s="1"/>
  <c r="BB331" i="3"/>
  <c r="AZ331" i="3"/>
  <c r="AX331" i="3"/>
  <c r="AV331" i="3"/>
  <c r="AT331" i="3"/>
  <c r="AR331" i="3"/>
  <c r="AP331" i="3"/>
  <c r="AN331" i="3"/>
  <c r="AL331" i="3"/>
  <c r="AB331" i="3"/>
  <c r="Z331" i="3"/>
  <c r="X331" i="3"/>
  <c r="V331" i="3"/>
  <c r="T331" i="3"/>
  <c r="R331" i="3"/>
  <c r="P331" i="3"/>
  <c r="N331" i="3"/>
  <c r="L331" i="3"/>
  <c r="J331" i="3"/>
  <c r="H331" i="3"/>
  <c r="F331" i="3"/>
  <c r="D331" i="3"/>
  <c r="B331" i="3"/>
  <c r="A331" i="3"/>
  <c r="BA331" i="3" s="1"/>
  <c r="BB330" i="3"/>
  <c r="AZ330" i="3"/>
  <c r="AX330" i="3"/>
  <c r="AV330" i="3"/>
  <c r="AT330" i="3"/>
  <c r="AR330" i="3"/>
  <c r="AP330" i="3"/>
  <c r="AN330" i="3"/>
  <c r="AL330" i="3"/>
  <c r="AB330" i="3"/>
  <c r="Z330" i="3"/>
  <c r="X330" i="3"/>
  <c r="V330" i="3"/>
  <c r="T330" i="3"/>
  <c r="R330" i="3"/>
  <c r="P330" i="3"/>
  <c r="N330" i="3"/>
  <c r="L330" i="3"/>
  <c r="J330" i="3"/>
  <c r="H330" i="3"/>
  <c r="F330" i="3"/>
  <c r="D330" i="3"/>
  <c r="B330" i="3"/>
  <c r="A330" i="3"/>
  <c r="BA330" i="3" s="1"/>
  <c r="BB329" i="3"/>
  <c r="AZ329" i="3"/>
  <c r="AX329" i="3"/>
  <c r="AV329" i="3"/>
  <c r="AT329" i="3"/>
  <c r="AR329" i="3"/>
  <c r="AP329" i="3"/>
  <c r="AN329" i="3"/>
  <c r="AL329" i="3"/>
  <c r="AB329" i="3"/>
  <c r="Z329" i="3"/>
  <c r="X329" i="3"/>
  <c r="V329" i="3"/>
  <c r="T329" i="3"/>
  <c r="R329" i="3"/>
  <c r="P329" i="3"/>
  <c r="N329" i="3"/>
  <c r="L329" i="3"/>
  <c r="J329" i="3"/>
  <c r="H329" i="3"/>
  <c r="F329" i="3"/>
  <c r="D329" i="3"/>
  <c r="B329" i="3"/>
  <c r="A329" i="3"/>
  <c r="BA329" i="3" s="1"/>
  <c r="BB328" i="3"/>
  <c r="AZ328" i="3"/>
  <c r="AX328" i="3"/>
  <c r="AV328" i="3"/>
  <c r="AT328" i="3"/>
  <c r="AR328" i="3"/>
  <c r="AP328" i="3"/>
  <c r="AN328" i="3"/>
  <c r="AL328" i="3"/>
  <c r="AB328" i="3"/>
  <c r="Z328" i="3"/>
  <c r="X328" i="3"/>
  <c r="V328" i="3"/>
  <c r="T328" i="3"/>
  <c r="R328" i="3"/>
  <c r="P328" i="3"/>
  <c r="N328" i="3"/>
  <c r="L328" i="3"/>
  <c r="J328" i="3"/>
  <c r="H328" i="3"/>
  <c r="F328" i="3"/>
  <c r="D328" i="3"/>
  <c r="B328" i="3"/>
  <c r="A328" i="3"/>
  <c r="BA328" i="3" s="1"/>
  <c r="BB327" i="3"/>
  <c r="AZ327" i="3"/>
  <c r="AX327" i="3"/>
  <c r="AV327" i="3"/>
  <c r="AT327" i="3"/>
  <c r="AR327" i="3"/>
  <c r="AP327" i="3"/>
  <c r="AN327" i="3"/>
  <c r="AL327" i="3"/>
  <c r="AB327" i="3"/>
  <c r="Z327" i="3"/>
  <c r="X327" i="3"/>
  <c r="V327" i="3"/>
  <c r="T327" i="3"/>
  <c r="R327" i="3"/>
  <c r="P327" i="3"/>
  <c r="N327" i="3"/>
  <c r="L327" i="3"/>
  <c r="J327" i="3"/>
  <c r="H327" i="3"/>
  <c r="F327" i="3"/>
  <c r="D327" i="3"/>
  <c r="B327" i="3"/>
  <c r="A327" i="3"/>
  <c r="BA327" i="3" s="1"/>
  <c r="BB326" i="3"/>
  <c r="AZ326" i="3"/>
  <c r="AX326" i="3"/>
  <c r="AV326" i="3"/>
  <c r="AT326" i="3"/>
  <c r="AR326" i="3"/>
  <c r="AP326" i="3"/>
  <c r="AN326" i="3"/>
  <c r="AL326" i="3"/>
  <c r="AB326" i="3"/>
  <c r="Z326" i="3"/>
  <c r="X326" i="3"/>
  <c r="V326" i="3"/>
  <c r="T326" i="3"/>
  <c r="R326" i="3"/>
  <c r="P326" i="3"/>
  <c r="N326" i="3"/>
  <c r="L326" i="3"/>
  <c r="J326" i="3"/>
  <c r="H326" i="3"/>
  <c r="F326" i="3"/>
  <c r="D326" i="3"/>
  <c r="B326" i="3"/>
  <c r="A326" i="3"/>
  <c r="BA326" i="3" s="1"/>
  <c r="BB325" i="3"/>
  <c r="AZ325" i="3"/>
  <c r="AX325" i="3"/>
  <c r="AV325" i="3"/>
  <c r="AT325" i="3"/>
  <c r="AR325" i="3"/>
  <c r="AP325" i="3"/>
  <c r="AN325" i="3"/>
  <c r="AL325" i="3"/>
  <c r="AB325" i="3"/>
  <c r="Z325" i="3"/>
  <c r="X325" i="3"/>
  <c r="V325" i="3"/>
  <c r="T325" i="3"/>
  <c r="R325" i="3"/>
  <c r="P325" i="3"/>
  <c r="N325" i="3"/>
  <c r="L325" i="3"/>
  <c r="J325" i="3"/>
  <c r="H325" i="3"/>
  <c r="F325" i="3"/>
  <c r="D325" i="3"/>
  <c r="B325" i="3"/>
  <c r="A325" i="3"/>
  <c r="BA325" i="3" s="1"/>
  <c r="BB324" i="3"/>
  <c r="AZ324" i="3"/>
  <c r="AX324" i="3"/>
  <c r="AV324" i="3"/>
  <c r="AT324" i="3"/>
  <c r="AR324" i="3"/>
  <c r="AP324" i="3"/>
  <c r="AN324" i="3"/>
  <c r="AL324" i="3"/>
  <c r="AB324" i="3"/>
  <c r="Z324" i="3"/>
  <c r="X324" i="3"/>
  <c r="V324" i="3"/>
  <c r="T324" i="3"/>
  <c r="R324" i="3"/>
  <c r="P324" i="3"/>
  <c r="N324" i="3"/>
  <c r="L324" i="3"/>
  <c r="J324" i="3"/>
  <c r="H324" i="3"/>
  <c r="F324" i="3"/>
  <c r="D324" i="3"/>
  <c r="B324" i="3"/>
  <c r="A324" i="3"/>
  <c r="BA324" i="3" s="1"/>
  <c r="BB323" i="3"/>
  <c r="AZ323" i="3"/>
  <c r="AX323" i="3"/>
  <c r="AV323" i="3"/>
  <c r="AT323" i="3"/>
  <c r="AR323" i="3"/>
  <c r="AP323" i="3"/>
  <c r="AN323" i="3"/>
  <c r="AL323" i="3"/>
  <c r="AB323" i="3"/>
  <c r="Z323" i="3"/>
  <c r="X323" i="3"/>
  <c r="V323" i="3"/>
  <c r="T323" i="3"/>
  <c r="R323" i="3"/>
  <c r="P323" i="3"/>
  <c r="N323" i="3"/>
  <c r="L323" i="3"/>
  <c r="J323" i="3"/>
  <c r="H323" i="3"/>
  <c r="F323" i="3"/>
  <c r="D323" i="3"/>
  <c r="B323" i="3"/>
  <c r="A323" i="3"/>
  <c r="BA323" i="3" s="1"/>
  <c r="BB322" i="3"/>
  <c r="AZ322" i="3"/>
  <c r="AX322" i="3"/>
  <c r="AV322" i="3"/>
  <c r="AT322" i="3"/>
  <c r="AR322" i="3"/>
  <c r="AP322" i="3"/>
  <c r="AN322" i="3"/>
  <c r="AL322" i="3"/>
  <c r="AB322" i="3"/>
  <c r="Z322" i="3"/>
  <c r="X322" i="3"/>
  <c r="V322" i="3"/>
  <c r="T322" i="3"/>
  <c r="R322" i="3"/>
  <c r="P322" i="3"/>
  <c r="N322" i="3"/>
  <c r="L322" i="3"/>
  <c r="J322" i="3"/>
  <c r="H322" i="3"/>
  <c r="F322" i="3"/>
  <c r="D322" i="3"/>
  <c r="B322" i="3"/>
  <c r="A322" i="3"/>
  <c r="BA322" i="3" s="1"/>
  <c r="BB321" i="3"/>
  <c r="AZ321" i="3"/>
  <c r="AX321" i="3"/>
  <c r="AV321" i="3"/>
  <c r="AT321" i="3"/>
  <c r="AR321" i="3"/>
  <c r="AP321" i="3"/>
  <c r="AN321" i="3"/>
  <c r="AL321" i="3"/>
  <c r="AB321" i="3"/>
  <c r="Z321" i="3"/>
  <c r="X321" i="3"/>
  <c r="V321" i="3"/>
  <c r="T321" i="3"/>
  <c r="R321" i="3"/>
  <c r="P321" i="3"/>
  <c r="N321" i="3"/>
  <c r="L321" i="3"/>
  <c r="J321" i="3"/>
  <c r="H321" i="3"/>
  <c r="F321" i="3"/>
  <c r="D321" i="3"/>
  <c r="B321" i="3"/>
  <c r="A321" i="3"/>
  <c r="BA321" i="3" s="1"/>
  <c r="BB320" i="3"/>
  <c r="AZ320" i="3"/>
  <c r="AX320" i="3"/>
  <c r="AV320" i="3"/>
  <c r="AT320" i="3"/>
  <c r="AR320" i="3"/>
  <c r="AP320" i="3"/>
  <c r="AN320" i="3"/>
  <c r="AL320" i="3"/>
  <c r="AB320" i="3"/>
  <c r="Z320" i="3"/>
  <c r="X320" i="3"/>
  <c r="V320" i="3"/>
  <c r="T320" i="3"/>
  <c r="R320" i="3"/>
  <c r="P320" i="3"/>
  <c r="N320" i="3"/>
  <c r="L320" i="3"/>
  <c r="J320" i="3"/>
  <c r="H320" i="3"/>
  <c r="F320" i="3"/>
  <c r="D320" i="3"/>
  <c r="B320" i="3"/>
  <c r="A320" i="3"/>
  <c r="BA320" i="3" s="1"/>
  <c r="BB319" i="3"/>
  <c r="AZ319" i="3"/>
  <c r="AX319" i="3"/>
  <c r="AV319" i="3"/>
  <c r="AT319" i="3"/>
  <c r="AR319" i="3"/>
  <c r="AP319" i="3"/>
  <c r="AN319" i="3"/>
  <c r="AL319" i="3"/>
  <c r="AB319" i="3"/>
  <c r="Z319" i="3"/>
  <c r="X319" i="3"/>
  <c r="V319" i="3"/>
  <c r="T319" i="3"/>
  <c r="R319" i="3"/>
  <c r="P319" i="3"/>
  <c r="N319" i="3"/>
  <c r="L319" i="3"/>
  <c r="J319" i="3"/>
  <c r="H319" i="3"/>
  <c r="F319" i="3"/>
  <c r="D319" i="3"/>
  <c r="B319" i="3"/>
  <c r="A319" i="3"/>
  <c r="BA319" i="3" s="1"/>
  <c r="BB318" i="3"/>
  <c r="AZ318" i="3"/>
  <c r="AX318" i="3"/>
  <c r="AV318" i="3"/>
  <c r="AT318" i="3"/>
  <c r="AR318" i="3"/>
  <c r="AP318" i="3"/>
  <c r="AN318" i="3"/>
  <c r="AL318" i="3"/>
  <c r="AB318" i="3"/>
  <c r="Z318" i="3"/>
  <c r="X318" i="3"/>
  <c r="V318" i="3"/>
  <c r="T318" i="3"/>
  <c r="R318" i="3"/>
  <c r="P318" i="3"/>
  <c r="N318" i="3"/>
  <c r="L318" i="3"/>
  <c r="J318" i="3"/>
  <c r="H318" i="3"/>
  <c r="F318" i="3"/>
  <c r="D318" i="3"/>
  <c r="B318" i="3"/>
  <c r="A318" i="3"/>
  <c r="BA318" i="3" s="1"/>
  <c r="BB317" i="3"/>
  <c r="AZ317" i="3"/>
  <c r="AX317" i="3"/>
  <c r="AV317" i="3"/>
  <c r="AT317" i="3"/>
  <c r="AR317" i="3"/>
  <c r="AP317" i="3"/>
  <c r="AN317" i="3"/>
  <c r="AL317" i="3"/>
  <c r="AB317" i="3"/>
  <c r="Z317" i="3"/>
  <c r="X317" i="3"/>
  <c r="V317" i="3"/>
  <c r="T317" i="3"/>
  <c r="R317" i="3"/>
  <c r="P317" i="3"/>
  <c r="N317" i="3"/>
  <c r="L317" i="3"/>
  <c r="J317" i="3"/>
  <c r="H317" i="3"/>
  <c r="F317" i="3"/>
  <c r="D317" i="3"/>
  <c r="B317" i="3"/>
  <c r="A317" i="3"/>
  <c r="BA317" i="3" s="1"/>
  <c r="BB316" i="3"/>
  <c r="AZ316" i="3"/>
  <c r="AX316" i="3"/>
  <c r="AV316" i="3"/>
  <c r="AT316" i="3"/>
  <c r="AR316" i="3"/>
  <c r="AP316" i="3"/>
  <c r="AN316" i="3"/>
  <c r="AL316" i="3"/>
  <c r="AB316" i="3"/>
  <c r="Z316" i="3"/>
  <c r="X316" i="3"/>
  <c r="V316" i="3"/>
  <c r="T316" i="3"/>
  <c r="R316" i="3"/>
  <c r="P316" i="3"/>
  <c r="N316" i="3"/>
  <c r="L316" i="3"/>
  <c r="J316" i="3"/>
  <c r="H316" i="3"/>
  <c r="F316" i="3"/>
  <c r="D316" i="3"/>
  <c r="B316" i="3"/>
  <c r="A316" i="3"/>
  <c r="BA316" i="3" s="1"/>
  <c r="BB315" i="3"/>
  <c r="AZ315" i="3"/>
  <c r="AX315" i="3"/>
  <c r="AV315" i="3"/>
  <c r="AT315" i="3"/>
  <c r="AR315" i="3"/>
  <c r="AP315" i="3"/>
  <c r="AN315" i="3"/>
  <c r="AL315" i="3"/>
  <c r="AB315" i="3"/>
  <c r="Z315" i="3"/>
  <c r="X315" i="3"/>
  <c r="V315" i="3"/>
  <c r="T315" i="3"/>
  <c r="R315" i="3"/>
  <c r="P315" i="3"/>
  <c r="N315" i="3"/>
  <c r="L315" i="3"/>
  <c r="J315" i="3"/>
  <c r="H315" i="3"/>
  <c r="F315" i="3"/>
  <c r="D315" i="3"/>
  <c r="B315" i="3"/>
  <c r="A315" i="3"/>
  <c r="BA315" i="3" s="1"/>
  <c r="BB314" i="3"/>
  <c r="AZ314" i="3"/>
  <c r="AX314" i="3"/>
  <c r="AV314" i="3"/>
  <c r="AT314" i="3"/>
  <c r="AR314" i="3"/>
  <c r="AP314" i="3"/>
  <c r="AN314" i="3"/>
  <c r="AL314" i="3"/>
  <c r="AB314" i="3"/>
  <c r="Z314" i="3"/>
  <c r="X314" i="3"/>
  <c r="V314" i="3"/>
  <c r="T314" i="3"/>
  <c r="R314" i="3"/>
  <c r="P314" i="3"/>
  <c r="N314" i="3"/>
  <c r="L314" i="3"/>
  <c r="J314" i="3"/>
  <c r="H314" i="3"/>
  <c r="F314" i="3"/>
  <c r="D314" i="3"/>
  <c r="B314" i="3"/>
  <c r="A314" i="3"/>
  <c r="BA314" i="3" s="1"/>
  <c r="BB313" i="3"/>
  <c r="AZ313" i="3"/>
  <c r="AX313" i="3"/>
  <c r="AV313" i="3"/>
  <c r="AT313" i="3"/>
  <c r="AR313" i="3"/>
  <c r="AP313" i="3"/>
  <c r="AN313" i="3"/>
  <c r="AL313" i="3"/>
  <c r="AB313" i="3"/>
  <c r="Z313" i="3"/>
  <c r="X313" i="3"/>
  <c r="V313" i="3"/>
  <c r="T313" i="3"/>
  <c r="R313" i="3"/>
  <c r="P313" i="3"/>
  <c r="N313" i="3"/>
  <c r="L313" i="3"/>
  <c r="J313" i="3"/>
  <c r="H313" i="3"/>
  <c r="F313" i="3"/>
  <c r="D313" i="3"/>
  <c r="B313" i="3"/>
  <c r="A313" i="3"/>
  <c r="BA313" i="3" s="1"/>
  <c r="BB312" i="3"/>
  <c r="AZ312" i="3"/>
  <c r="AX312" i="3"/>
  <c r="AV312" i="3"/>
  <c r="AT312" i="3"/>
  <c r="AR312" i="3"/>
  <c r="AP312" i="3"/>
  <c r="AN312" i="3"/>
  <c r="AL312" i="3"/>
  <c r="AB312" i="3"/>
  <c r="Z312" i="3"/>
  <c r="X312" i="3"/>
  <c r="V312" i="3"/>
  <c r="T312" i="3"/>
  <c r="R312" i="3"/>
  <c r="P312" i="3"/>
  <c r="N312" i="3"/>
  <c r="L312" i="3"/>
  <c r="J312" i="3"/>
  <c r="H312" i="3"/>
  <c r="F312" i="3"/>
  <c r="D312" i="3"/>
  <c r="B312" i="3"/>
  <c r="A312" i="3"/>
  <c r="BA312" i="3" s="1"/>
  <c r="BB311" i="3"/>
  <c r="AZ311" i="3"/>
  <c r="AX311" i="3"/>
  <c r="AV311" i="3"/>
  <c r="AT311" i="3"/>
  <c r="AR311" i="3"/>
  <c r="AP311" i="3"/>
  <c r="AN311" i="3"/>
  <c r="AL311" i="3"/>
  <c r="AB311" i="3"/>
  <c r="Z311" i="3"/>
  <c r="X311" i="3"/>
  <c r="V311" i="3"/>
  <c r="T311" i="3"/>
  <c r="R311" i="3"/>
  <c r="P311" i="3"/>
  <c r="N311" i="3"/>
  <c r="L311" i="3"/>
  <c r="J311" i="3"/>
  <c r="H311" i="3"/>
  <c r="F311" i="3"/>
  <c r="D311" i="3"/>
  <c r="B311" i="3"/>
  <c r="A311" i="3"/>
  <c r="BA311" i="3" s="1"/>
  <c r="BB310" i="3"/>
  <c r="AZ310" i="3"/>
  <c r="AX310" i="3"/>
  <c r="AV310" i="3"/>
  <c r="AT310" i="3"/>
  <c r="AR310" i="3"/>
  <c r="AP310" i="3"/>
  <c r="AN310" i="3"/>
  <c r="AL310" i="3"/>
  <c r="AB310" i="3"/>
  <c r="Z310" i="3"/>
  <c r="X310" i="3"/>
  <c r="V310" i="3"/>
  <c r="T310" i="3"/>
  <c r="R310" i="3"/>
  <c r="P310" i="3"/>
  <c r="N310" i="3"/>
  <c r="L310" i="3"/>
  <c r="J310" i="3"/>
  <c r="H310" i="3"/>
  <c r="F310" i="3"/>
  <c r="D310" i="3"/>
  <c r="B310" i="3"/>
  <c r="A310" i="3"/>
  <c r="BA310" i="3" s="1"/>
  <c r="BB309" i="3"/>
  <c r="AZ309" i="3"/>
  <c r="AX309" i="3"/>
  <c r="AV309" i="3"/>
  <c r="AT309" i="3"/>
  <c r="AR309" i="3"/>
  <c r="AP309" i="3"/>
  <c r="AN309" i="3"/>
  <c r="AL309" i="3"/>
  <c r="AB309" i="3"/>
  <c r="Z309" i="3"/>
  <c r="X309" i="3"/>
  <c r="V309" i="3"/>
  <c r="T309" i="3"/>
  <c r="R309" i="3"/>
  <c r="P309" i="3"/>
  <c r="N309" i="3"/>
  <c r="L309" i="3"/>
  <c r="J309" i="3"/>
  <c r="H309" i="3"/>
  <c r="F309" i="3"/>
  <c r="D309" i="3"/>
  <c r="B309" i="3"/>
  <c r="A309" i="3"/>
  <c r="BA309" i="3" s="1"/>
  <c r="BB308" i="3"/>
  <c r="AZ308" i="3"/>
  <c r="AX308" i="3"/>
  <c r="AV308" i="3"/>
  <c r="AT308" i="3"/>
  <c r="AR308" i="3"/>
  <c r="AP308" i="3"/>
  <c r="AN308" i="3"/>
  <c r="AL308" i="3"/>
  <c r="AB308" i="3"/>
  <c r="Z308" i="3"/>
  <c r="X308" i="3"/>
  <c r="V308" i="3"/>
  <c r="T308" i="3"/>
  <c r="R308" i="3"/>
  <c r="P308" i="3"/>
  <c r="N308" i="3"/>
  <c r="L308" i="3"/>
  <c r="J308" i="3"/>
  <c r="H308" i="3"/>
  <c r="F308" i="3"/>
  <c r="D308" i="3"/>
  <c r="B308" i="3"/>
  <c r="A308" i="3"/>
  <c r="BA308" i="3" s="1"/>
  <c r="BB307" i="3"/>
  <c r="AZ307" i="3"/>
  <c r="AX307" i="3"/>
  <c r="AV307" i="3"/>
  <c r="AT307" i="3"/>
  <c r="AR307" i="3"/>
  <c r="AP307" i="3"/>
  <c r="AN307" i="3"/>
  <c r="AL307" i="3"/>
  <c r="AB307" i="3"/>
  <c r="Z307" i="3"/>
  <c r="X307" i="3"/>
  <c r="V307" i="3"/>
  <c r="T307" i="3"/>
  <c r="R307" i="3"/>
  <c r="P307" i="3"/>
  <c r="N307" i="3"/>
  <c r="L307" i="3"/>
  <c r="J307" i="3"/>
  <c r="H307" i="3"/>
  <c r="F307" i="3"/>
  <c r="D307" i="3"/>
  <c r="B307" i="3"/>
  <c r="A307" i="3"/>
  <c r="BA307" i="3" s="1"/>
  <c r="BB306" i="3"/>
  <c r="AZ306" i="3"/>
  <c r="AX306" i="3"/>
  <c r="AV306" i="3"/>
  <c r="AT306" i="3"/>
  <c r="AR306" i="3"/>
  <c r="AP306" i="3"/>
  <c r="AN306" i="3"/>
  <c r="AL306" i="3"/>
  <c r="AB306" i="3"/>
  <c r="Z306" i="3"/>
  <c r="X306" i="3"/>
  <c r="V306" i="3"/>
  <c r="T306" i="3"/>
  <c r="R306" i="3"/>
  <c r="P306" i="3"/>
  <c r="N306" i="3"/>
  <c r="L306" i="3"/>
  <c r="J306" i="3"/>
  <c r="H306" i="3"/>
  <c r="F306" i="3"/>
  <c r="D306" i="3"/>
  <c r="B306" i="3"/>
  <c r="A306" i="3"/>
  <c r="BA306" i="3" s="1"/>
  <c r="BB305" i="3"/>
  <c r="AZ305" i="3"/>
  <c r="AX305" i="3"/>
  <c r="AV305" i="3"/>
  <c r="AT305" i="3"/>
  <c r="AR305" i="3"/>
  <c r="AP305" i="3"/>
  <c r="AN305" i="3"/>
  <c r="AL305" i="3"/>
  <c r="AB305" i="3"/>
  <c r="Z305" i="3"/>
  <c r="X305" i="3"/>
  <c r="V305" i="3"/>
  <c r="T305" i="3"/>
  <c r="R305" i="3"/>
  <c r="P305" i="3"/>
  <c r="N305" i="3"/>
  <c r="L305" i="3"/>
  <c r="J305" i="3"/>
  <c r="H305" i="3"/>
  <c r="F305" i="3"/>
  <c r="D305" i="3"/>
  <c r="B305" i="3"/>
  <c r="A305" i="3"/>
  <c r="BA305" i="3" s="1"/>
  <c r="BB304" i="3"/>
  <c r="AZ304" i="3"/>
  <c r="AX304" i="3"/>
  <c r="AV304" i="3"/>
  <c r="AT304" i="3"/>
  <c r="AR304" i="3"/>
  <c r="AP304" i="3"/>
  <c r="AN304" i="3"/>
  <c r="AL304" i="3"/>
  <c r="AB304" i="3"/>
  <c r="Z304" i="3"/>
  <c r="X304" i="3"/>
  <c r="V304" i="3"/>
  <c r="T304" i="3"/>
  <c r="R304" i="3"/>
  <c r="P304" i="3"/>
  <c r="N304" i="3"/>
  <c r="L304" i="3"/>
  <c r="J304" i="3"/>
  <c r="H304" i="3"/>
  <c r="F304" i="3"/>
  <c r="D304" i="3"/>
  <c r="B304" i="3"/>
  <c r="A304" i="3"/>
  <c r="BA304" i="3" s="1"/>
  <c r="BB303" i="3"/>
  <c r="AZ303" i="3"/>
  <c r="AX303" i="3"/>
  <c r="AV303" i="3"/>
  <c r="AT303" i="3"/>
  <c r="AR303" i="3"/>
  <c r="AP303" i="3"/>
  <c r="AN303" i="3"/>
  <c r="AL303" i="3"/>
  <c r="AB303" i="3"/>
  <c r="Z303" i="3"/>
  <c r="X303" i="3"/>
  <c r="V303" i="3"/>
  <c r="T303" i="3"/>
  <c r="R303" i="3"/>
  <c r="P303" i="3"/>
  <c r="N303" i="3"/>
  <c r="L303" i="3"/>
  <c r="J303" i="3"/>
  <c r="H303" i="3"/>
  <c r="F303" i="3"/>
  <c r="D303" i="3"/>
  <c r="B303" i="3"/>
  <c r="A303" i="3"/>
  <c r="BA303" i="3" s="1"/>
  <c r="BB302" i="3"/>
  <c r="AZ302" i="3"/>
  <c r="AX302" i="3"/>
  <c r="AV302" i="3"/>
  <c r="AT302" i="3"/>
  <c r="AR302" i="3"/>
  <c r="AP302" i="3"/>
  <c r="AN302" i="3"/>
  <c r="AL302" i="3"/>
  <c r="AB302" i="3"/>
  <c r="Z302" i="3"/>
  <c r="X302" i="3"/>
  <c r="V302" i="3"/>
  <c r="T302" i="3"/>
  <c r="R302" i="3"/>
  <c r="P302" i="3"/>
  <c r="N302" i="3"/>
  <c r="L302" i="3"/>
  <c r="J302" i="3"/>
  <c r="H302" i="3"/>
  <c r="F302" i="3"/>
  <c r="D302" i="3"/>
  <c r="B302" i="3"/>
  <c r="A302" i="3"/>
  <c r="BA302" i="3" s="1"/>
  <c r="BB301" i="3"/>
  <c r="AZ301" i="3"/>
  <c r="AX301" i="3"/>
  <c r="AV301" i="3"/>
  <c r="AT301" i="3"/>
  <c r="AR301" i="3"/>
  <c r="AP301" i="3"/>
  <c r="AN301" i="3"/>
  <c r="AL301" i="3"/>
  <c r="AB301" i="3"/>
  <c r="Z301" i="3"/>
  <c r="X301" i="3"/>
  <c r="V301" i="3"/>
  <c r="T301" i="3"/>
  <c r="R301" i="3"/>
  <c r="P301" i="3"/>
  <c r="N301" i="3"/>
  <c r="L301" i="3"/>
  <c r="J301" i="3"/>
  <c r="H301" i="3"/>
  <c r="F301" i="3"/>
  <c r="D301" i="3"/>
  <c r="B301" i="3"/>
  <c r="A301" i="3"/>
  <c r="BA301" i="3" s="1"/>
  <c r="BB300" i="3"/>
  <c r="AZ300" i="3"/>
  <c r="AX300" i="3"/>
  <c r="AV300" i="3"/>
  <c r="AT300" i="3"/>
  <c r="AR300" i="3"/>
  <c r="AP300" i="3"/>
  <c r="AN300" i="3"/>
  <c r="AL300" i="3"/>
  <c r="AB300" i="3"/>
  <c r="Z300" i="3"/>
  <c r="X300" i="3"/>
  <c r="V300" i="3"/>
  <c r="T300" i="3"/>
  <c r="R300" i="3"/>
  <c r="P300" i="3"/>
  <c r="N300" i="3"/>
  <c r="L300" i="3"/>
  <c r="J300" i="3"/>
  <c r="H300" i="3"/>
  <c r="F300" i="3"/>
  <c r="D300" i="3"/>
  <c r="B300" i="3"/>
  <c r="A300" i="3"/>
  <c r="BA300" i="3" s="1"/>
  <c r="BB299" i="3"/>
  <c r="AZ299" i="3"/>
  <c r="AX299" i="3"/>
  <c r="AV299" i="3"/>
  <c r="AT299" i="3"/>
  <c r="AR299" i="3"/>
  <c r="AP299" i="3"/>
  <c r="AN299" i="3"/>
  <c r="AL299" i="3"/>
  <c r="AB299" i="3"/>
  <c r="Z299" i="3"/>
  <c r="X299" i="3"/>
  <c r="V299" i="3"/>
  <c r="T299" i="3"/>
  <c r="R299" i="3"/>
  <c r="P299" i="3"/>
  <c r="N299" i="3"/>
  <c r="L299" i="3"/>
  <c r="J299" i="3"/>
  <c r="H299" i="3"/>
  <c r="F299" i="3"/>
  <c r="D299" i="3"/>
  <c r="B299" i="3"/>
  <c r="A299" i="3"/>
  <c r="BA299" i="3" s="1"/>
  <c r="BB298" i="3"/>
  <c r="AZ298" i="3"/>
  <c r="AX298" i="3"/>
  <c r="AV298" i="3"/>
  <c r="AT298" i="3"/>
  <c r="AR298" i="3"/>
  <c r="AP298" i="3"/>
  <c r="AN298" i="3"/>
  <c r="AL298" i="3"/>
  <c r="AB298" i="3"/>
  <c r="Z298" i="3"/>
  <c r="X298" i="3"/>
  <c r="V298" i="3"/>
  <c r="T298" i="3"/>
  <c r="R298" i="3"/>
  <c r="P298" i="3"/>
  <c r="N298" i="3"/>
  <c r="L298" i="3"/>
  <c r="J298" i="3"/>
  <c r="H298" i="3"/>
  <c r="F298" i="3"/>
  <c r="D298" i="3"/>
  <c r="B298" i="3"/>
  <c r="A298" i="3"/>
  <c r="BA298" i="3" s="1"/>
  <c r="BB297" i="3"/>
  <c r="AZ297" i="3"/>
  <c r="AX297" i="3"/>
  <c r="AV297" i="3"/>
  <c r="AT297" i="3"/>
  <c r="AR297" i="3"/>
  <c r="AP297" i="3"/>
  <c r="AN297" i="3"/>
  <c r="AL297" i="3"/>
  <c r="AB297" i="3"/>
  <c r="Z297" i="3"/>
  <c r="X297" i="3"/>
  <c r="V297" i="3"/>
  <c r="T297" i="3"/>
  <c r="R297" i="3"/>
  <c r="P297" i="3"/>
  <c r="N297" i="3"/>
  <c r="L297" i="3"/>
  <c r="J297" i="3"/>
  <c r="H297" i="3"/>
  <c r="F297" i="3"/>
  <c r="D297" i="3"/>
  <c r="B297" i="3"/>
  <c r="A297" i="3"/>
  <c r="BA297" i="3" s="1"/>
  <c r="BB296" i="3"/>
  <c r="AZ296" i="3"/>
  <c r="AX296" i="3"/>
  <c r="AV296" i="3"/>
  <c r="AT296" i="3"/>
  <c r="AR296" i="3"/>
  <c r="AP296" i="3"/>
  <c r="AN296" i="3"/>
  <c r="AL296" i="3"/>
  <c r="AB296" i="3"/>
  <c r="Z296" i="3"/>
  <c r="X296" i="3"/>
  <c r="V296" i="3"/>
  <c r="T296" i="3"/>
  <c r="R296" i="3"/>
  <c r="P296" i="3"/>
  <c r="N296" i="3"/>
  <c r="L296" i="3"/>
  <c r="J296" i="3"/>
  <c r="H296" i="3"/>
  <c r="F296" i="3"/>
  <c r="D296" i="3"/>
  <c r="B296" i="3"/>
  <c r="A296" i="3"/>
  <c r="BA296" i="3" s="1"/>
  <c r="BB295" i="3"/>
  <c r="AZ295" i="3"/>
  <c r="AX295" i="3"/>
  <c r="AV295" i="3"/>
  <c r="AT295" i="3"/>
  <c r="AR295" i="3"/>
  <c r="AP295" i="3"/>
  <c r="AN295" i="3"/>
  <c r="AL295" i="3"/>
  <c r="AB295" i="3"/>
  <c r="Z295" i="3"/>
  <c r="X295" i="3"/>
  <c r="V295" i="3"/>
  <c r="T295" i="3"/>
  <c r="R295" i="3"/>
  <c r="P295" i="3"/>
  <c r="N295" i="3"/>
  <c r="L295" i="3"/>
  <c r="J295" i="3"/>
  <c r="H295" i="3"/>
  <c r="F295" i="3"/>
  <c r="D295" i="3"/>
  <c r="B295" i="3"/>
  <c r="A295" i="3"/>
  <c r="BA295" i="3" s="1"/>
  <c r="BB294" i="3"/>
  <c r="AZ294" i="3"/>
  <c r="AX294" i="3"/>
  <c r="AV294" i="3"/>
  <c r="AT294" i="3"/>
  <c r="AR294" i="3"/>
  <c r="AP294" i="3"/>
  <c r="AN294" i="3"/>
  <c r="AL294" i="3"/>
  <c r="AB294" i="3"/>
  <c r="Z294" i="3"/>
  <c r="X294" i="3"/>
  <c r="V294" i="3"/>
  <c r="T294" i="3"/>
  <c r="R294" i="3"/>
  <c r="P294" i="3"/>
  <c r="N294" i="3"/>
  <c r="L294" i="3"/>
  <c r="J294" i="3"/>
  <c r="H294" i="3"/>
  <c r="F294" i="3"/>
  <c r="D294" i="3"/>
  <c r="B294" i="3"/>
  <c r="A294" i="3"/>
  <c r="BA294" i="3" s="1"/>
  <c r="BB293" i="3"/>
  <c r="AZ293" i="3"/>
  <c r="AX293" i="3"/>
  <c r="AV293" i="3"/>
  <c r="AT293" i="3"/>
  <c r="AR293" i="3"/>
  <c r="AP293" i="3"/>
  <c r="AN293" i="3"/>
  <c r="AL293" i="3"/>
  <c r="AB293" i="3"/>
  <c r="Z293" i="3"/>
  <c r="X293" i="3"/>
  <c r="V293" i="3"/>
  <c r="T293" i="3"/>
  <c r="R293" i="3"/>
  <c r="P293" i="3"/>
  <c r="N293" i="3"/>
  <c r="L293" i="3"/>
  <c r="J293" i="3"/>
  <c r="H293" i="3"/>
  <c r="F293" i="3"/>
  <c r="D293" i="3"/>
  <c r="B293" i="3"/>
  <c r="A293" i="3"/>
  <c r="BA293" i="3" s="1"/>
  <c r="BB292" i="3"/>
  <c r="AZ292" i="3"/>
  <c r="AX292" i="3"/>
  <c r="AV292" i="3"/>
  <c r="AT292" i="3"/>
  <c r="AR292" i="3"/>
  <c r="AP292" i="3"/>
  <c r="AN292" i="3"/>
  <c r="AL292" i="3"/>
  <c r="AB292" i="3"/>
  <c r="Z292" i="3"/>
  <c r="X292" i="3"/>
  <c r="V292" i="3"/>
  <c r="T292" i="3"/>
  <c r="R292" i="3"/>
  <c r="P292" i="3"/>
  <c r="N292" i="3"/>
  <c r="L292" i="3"/>
  <c r="J292" i="3"/>
  <c r="H292" i="3"/>
  <c r="F292" i="3"/>
  <c r="D292" i="3"/>
  <c r="B292" i="3"/>
  <c r="A292" i="3"/>
  <c r="BA292" i="3" s="1"/>
  <c r="BB291" i="3"/>
  <c r="AZ291" i="3"/>
  <c r="AX291" i="3"/>
  <c r="AV291" i="3"/>
  <c r="AT291" i="3"/>
  <c r="AR291" i="3"/>
  <c r="AP291" i="3"/>
  <c r="AN291" i="3"/>
  <c r="AL291" i="3"/>
  <c r="AB291" i="3"/>
  <c r="Z291" i="3"/>
  <c r="X291" i="3"/>
  <c r="V291" i="3"/>
  <c r="T291" i="3"/>
  <c r="R291" i="3"/>
  <c r="P291" i="3"/>
  <c r="N291" i="3"/>
  <c r="L291" i="3"/>
  <c r="J291" i="3"/>
  <c r="H291" i="3"/>
  <c r="F291" i="3"/>
  <c r="D291" i="3"/>
  <c r="B291" i="3"/>
  <c r="A291" i="3"/>
  <c r="BA291" i="3" s="1"/>
  <c r="BB290" i="3"/>
  <c r="AZ290" i="3"/>
  <c r="AX290" i="3"/>
  <c r="AV290" i="3"/>
  <c r="AT290" i="3"/>
  <c r="AR290" i="3"/>
  <c r="AP290" i="3"/>
  <c r="AN290" i="3"/>
  <c r="AL290" i="3"/>
  <c r="AB290" i="3"/>
  <c r="Z290" i="3"/>
  <c r="X290" i="3"/>
  <c r="V290" i="3"/>
  <c r="T290" i="3"/>
  <c r="R290" i="3"/>
  <c r="P290" i="3"/>
  <c r="N290" i="3"/>
  <c r="L290" i="3"/>
  <c r="J290" i="3"/>
  <c r="H290" i="3"/>
  <c r="F290" i="3"/>
  <c r="D290" i="3"/>
  <c r="B290" i="3"/>
  <c r="A290" i="3"/>
  <c r="BA290" i="3" s="1"/>
  <c r="BB289" i="3"/>
  <c r="AZ289" i="3"/>
  <c r="AX289" i="3"/>
  <c r="AV289" i="3"/>
  <c r="AT289" i="3"/>
  <c r="AR289" i="3"/>
  <c r="AP289" i="3"/>
  <c r="AN289" i="3"/>
  <c r="AL289" i="3"/>
  <c r="AB289" i="3"/>
  <c r="Z289" i="3"/>
  <c r="X289" i="3"/>
  <c r="V289" i="3"/>
  <c r="T289" i="3"/>
  <c r="R289" i="3"/>
  <c r="P289" i="3"/>
  <c r="N289" i="3"/>
  <c r="L289" i="3"/>
  <c r="J289" i="3"/>
  <c r="H289" i="3"/>
  <c r="F289" i="3"/>
  <c r="D289" i="3"/>
  <c r="B289" i="3"/>
  <c r="A289" i="3"/>
  <c r="BA289" i="3" s="1"/>
  <c r="BB288" i="3"/>
  <c r="AZ288" i="3"/>
  <c r="AX288" i="3"/>
  <c r="AV288" i="3"/>
  <c r="AT288" i="3"/>
  <c r="AR288" i="3"/>
  <c r="AP288" i="3"/>
  <c r="AN288" i="3"/>
  <c r="AL288" i="3"/>
  <c r="AB288" i="3"/>
  <c r="Z288" i="3"/>
  <c r="X288" i="3"/>
  <c r="V288" i="3"/>
  <c r="T288" i="3"/>
  <c r="R288" i="3"/>
  <c r="P288" i="3"/>
  <c r="N288" i="3"/>
  <c r="L288" i="3"/>
  <c r="J288" i="3"/>
  <c r="H288" i="3"/>
  <c r="F288" i="3"/>
  <c r="D288" i="3"/>
  <c r="B288" i="3"/>
  <c r="A288" i="3"/>
  <c r="BA288" i="3" s="1"/>
  <c r="BB287" i="3"/>
  <c r="AZ287" i="3"/>
  <c r="AX287" i="3"/>
  <c r="AV287" i="3"/>
  <c r="AT287" i="3"/>
  <c r="AR287" i="3"/>
  <c r="AP287" i="3"/>
  <c r="AN287" i="3"/>
  <c r="AL287" i="3"/>
  <c r="AB287" i="3"/>
  <c r="Z287" i="3"/>
  <c r="X287" i="3"/>
  <c r="V287" i="3"/>
  <c r="T287" i="3"/>
  <c r="R287" i="3"/>
  <c r="P287" i="3"/>
  <c r="N287" i="3"/>
  <c r="L287" i="3"/>
  <c r="J287" i="3"/>
  <c r="H287" i="3"/>
  <c r="F287" i="3"/>
  <c r="D287" i="3"/>
  <c r="B287" i="3"/>
  <c r="A287" i="3"/>
  <c r="BA287" i="3" s="1"/>
  <c r="BB286" i="3"/>
  <c r="AZ286" i="3"/>
  <c r="AX286" i="3"/>
  <c r="AV286" i="3"/>
  <c r="AT286" i="3"/>
  <c r="AR286" i="3"/>
  <c r="AP286" i="3"/>
  <c r="AN286" i="3"/>
  <c r="AL286" i="3"/>
  <c r="AB286" i="3"/>
  <c r="Z286" i="3"/>
  <c r="X286" i="3"/>
  <c r="V286" i="3"/>
  <c r="T286" i="3"/>
  <c r="R286" i="3"/>
  <c r="P286" i="3"/>
  <c r="N286" i="3"/>
  <c r="L286" i="3"/>
  <c r="J286" i="3"/>
  <c r="H286" i="3"/>
  <c r="F286" i="3"/>
  <c r="D286" i="3"/>
  <c r="B286" i="3"/>
  <c r="A286" i="3"/>
  <c r="BA286" i="3" s="1"/>
  <c r="BB285" i="3"/>
  <c r="AZ285" i="3"/>
  <c r="AX285" i="3"/>
  <c r="AV285" i="3"/>
  <c r="AT285" i="3"/>
  <c r="AR285" i="3"/>
  <c r="AP285" i="3"/>
  <c r="AN285" i="3"/>
  <c r="AL285" i="3"/>
  <c r="AB285" i="3"/>
  <c r="Z285" i="3"/>
  <c r="X285" i="3"/>
  <c r="V285" i="3"/>
  <c r="T285" i="3"/>
  <c r="R285" i="3"/>
  <c r="P285" i="3"/>
  <c r="N285" i="3"/>
  <c r="L285" i="3"/>
  <c r="J285" i="3"/>
  <c r="H285" i="3"/>
  <c r="F285" i="3"/>
  <c r="D285" i="3"/>
  <c r="B285" i="3"/>
  <c r="A285" i="3"/>
  <c r="BA285" i="3" s="1"/>
  <c r="BB284" i="3"/>
  <c r="AZ284" i="3"/>
  <c r="AX284" i="3"/>
  <c r="AV284" i="3"/>
  <c r="AT284" i="3"/>
  <c r="AR284" i="3"/>
  <c r="AP284" i="3"/>
  <c r="AN284" i="3"/>
  <c r="AL284" i="3"/>
  <c r="AB284" i="3"/>
  <c r="Z284" i="3"/>
  <c r="X284" i="3"/>
  <c r="V284" i="3"/>
  <c r="T284" i="3"/>
  <c r="R284" i="3"/>
  <c r="P284" i="3"/>
  <c r="N284" i="3"/>
  <c r="L284" i="3"/>
  <c r="J284" i="3"/>
  <c r="H284" i="3"/>
  <c r="F284" i="3"/>
  <c r="D284" i="3"/>
  <c r="B284" i="3"/>
  <c r="A284" i="3"/>
  <c r="BA284" i="3" s="1"/>
  <c r="BB283" i="3"/>
  <c r="AZ283" i="3"/>
  <c r="AX283" i="3"/>
  <c r="AV283" i="3"/>
  <c r="AT283" i="3"/>
  <c r="AR283" i="3"/>
  <c r="AP283" i="3"/>
  <c r="AN283" i="3"/>
  <c r="AL283" i="3"/>
  <c r="AB283" i="3"/>
  <c r="Z283" i="3"/>
  <c r="X283" i="3"/>
  <c r="V283" i="3"/>
  <c r="T283" i="3"/>
  <c r="R283" i="3"/>
  <c r="P283" i="3"/>
  <c r="N283" i="3"/>
  <c r="L283" i="3"/>
  <c r="J283" i="3"/>
  <c r="H283" i="3"/>
  <c r="F283" i="3"/>
  <c r="D283" i="3"/>
  <c r="B283" i="3"/>
  <c r="A283" i="3"/>
  <c r="BA283" i="3" s="1"/>
  <c r="BB282" i="3"/>
  <c r="AZ282" i="3"/>
  <c r="AX282" i="3"/>
  <c r="AV282" i="3"/>
  <c r="AT282" i="3"/>
  <c r="AR282" i="3"/>
  <c r="AP282" i="3"/>
  <c r="AN282" i="3"/>
  <c r="AL282" i="3"/>
  <c r="AB282" i="3"/>
  <c r="Z282" i="3"/>
  <c r="X282" i="3"/>
  <c r="V282" i="3"/>
  <c r="T282" i="3"/>
  <c r="R282" i="3"/>
  <c r="P282" i="3"/>
  <c r="N282" i="3"/>
  <c r="L282" i="3"/>
  <c r="J282" i="3"/>
  <c r="H282" i="3"/>
  <c r="F282" i="3"/>
  <c r="D282" i="3"/>
  <c r="B282" i="3"/>
  <c r="A282" i="3"/>
  <c r="BA282" i="3" s="1"/>
  <c r="BB281" i="3"/>
  <c r="AZ281" i="3"/>
  <c r="AX281" i="3"/>
  <c r="AV281" i="3"/>
  <c r="AT281" i="3"/>
  <c r="AR281" i="3"/>
  <c r="AP281" i="3"/>
  <c r="AN281" i="3"/>
  <c r="AL281" i="3"/>
  <c r="AB281" i="3"/>
  <c r="Z281" i="3"/>
  <c r="X281" i="3"/>
  <c r="V281" i="3"/>
  <c r="T281" i="3"/>
  <c r="R281" i="3"/>
  <c r="P281" i="3"/>
  <c r="N281" i="3"/>
  <c r="L281" i="3"/>
  <c r="J281" i="3"/>
  <c r="H281" i="3"/>
  <c r="F281" i="3"/>
  <c r="D281" i="3"/>
  <c r="B281" i="3"/>
  <c r="A281" i="3"/>
  <c r="BA281" i="3" s="1"/>
  <c r="BB280" i="3"/>
  <c r="AZ280" i="3"/>
  <c r="AX280" i="3"/>
  <c r="AV280" i="3"/>
  <c r="AT280" i="3"/>
  <c r="AR280" i="3"/>
  <c r="AP280" i="3"/>
  <c r="AN280" i="3"/>
  <c r="AL280" i="3"/>
  <c r="AB280" i="3"/>
  <c r="Z280" i="3"/>
  <c r="X280" i="3"/>
  <c r="V280" i="3"/>
  <c r="T280" i="3"/>
  <c r="R280" i="3"/>
  <c r="P280" i="3"/>
  <c r="N280" i="3"/>
  <c r="L280" i="3"/>
  <c r="J280" i="3"/>
  <c r="H280" i="3"/>
  <c r="F280" i="3"/>
  <c r="D280" i="3"/>
  <c r="B280" i="3"/>
  <c r="A280" i="3"/>
  <c r="BA280" i="3" s="1"/>
  <c r="BB279" i="3"/>
  <c r="AZ279" i="3"/>
  <c r="AX279" i="3"/>
  <c r="AV279" i="3"/>
  <c r="AT279" i="3"/>
  <c r="AR279" i="3"/>
  <c r="AP279" i="3"/>
  <c r="AN279" i="3"/>
  <c r="AL279" i="3"/>
  <c r="AB279" i="3"/>
  <c r="Z279" i="3"/>
  <c r="X279" i="3"/>
  <c r="V279" i="3"/>
  <c r="T279" i="3"/>
  <c r="R279" i="3"/>
  <c r="P279" i="3"/>
  <c r="N279" i="3"/>
  <c r="L279" i="3"/>
  <c r="J279" i="3"/>
  <c r="H279" i="3"/>
  <c r="F279" i="3"/>
  <c r="D279" i="3"/>
  <c r="B279" i="3"/>
  <c r="A279" i="3"/>
  <c r="BA279" i="3" s="1"/>
  <c r="BB278" i="3"/>
  <c r="AZ278" i="3"/>
  <c r="AX278" i="3"/>
  <c r="AV278" i="3"/>
  <c r="AT278" i="3"/>
  <c r="AR278" i="3"/>
  <c r="AP278" i="3"/>
  <c r="AN278" i="3"/>
  <c r="AL278" i="3"/>
  <c r="AB278" i="3"/>
  <c r="Z278" i="3"/>
  <c r="X278" i="3"/>
  <c r="V278" i="3"/>
  <c r="T278" i="3"/>
  <c r="R278" i="3"/>
  <c r="P278" i="3"/>
  <c r="N278" i="3"/>
  <c r="L278" i="3"/>
  <c r="J278" i="3"/>
  <c r="H278" i="3"/>
  <c r="F278" i="3"/>
  <c r="D278" i="3"/>
  <c r="B278" i="3"/>
  <c r="A278" i="3"/>
  <c r="BA278" i="3" s="1"/>
  <c r="BB277" i="3"/>
  <c r="AZ277" i="3"/>
  <c r="AX277" i="3"/>
  <c r="AV277" i="3"/>
  <c r="AT277" i="3"/>
  <c r="AR277" i="3"/>
  <c r="AP277" i="3"/>
  <c r="AN277" i="3"/>
  <c r="AL277" i="3"/>
  <c r="AB277" i="3"/>
  <c r="Z277" i="3"/>
  <c r="X277" i="3"/>
  <c r="V277" i="3"/>
  <c r="T277" i="3"/>
  <c r="R277" i="3"/>
  <c r="P277" i="3"/>
  <c r="N277" i="3"/>
  <c r="L277" i="3"/>
  <c r="J277" i="3"/>
  <c r="H277" i="3"/>
  <c r="F277" i="3"/>
  <c r="D277" i="3"/>
  <c r="B277" i="3"/>
  <c r="A277" i="3"/>
  <c r="BA277" i="3" s="1"/>
  <c r="BB276" i="3"/>
  <c r="AZ276" i="3"/>
  <c r="AX276" i="3"/>
  <c r="AV276" i="3"/>
  <c r="AT276" i="3"/>
  <c r="AR276" i="3"/>
  <c r="AP276" i="3"/>
  <c r="AN276" i="3"/>
  <c r="AL276" i="3"/>
  <c r="AB276" i="3"/>
  <c r="Z276" i="3"/>
  <c r="X276" i="3"/>
  <c r="V276" i="3"/>
  <c r="T276" i="3"/>
  <c r="R276" i="3"/>
  <c r="P276" i="3"/>
  <c r="N276" i="3"/>
  <c r="L276" i="3"/>
  <c r="J276" i="3"/>
  <c r="H276" i="3"/>
  <c r="F276" i="3"/>
  <c r="D276" i="3"/>
  <c r="B276" i="3"/>
  <c r="A276" i="3"/>
  <c r="BA276" i="3" s="1"/>
  <c r="BB275" i="3"/>
  <c r="AZ275" i="3"/>
  <c r="AX275" i="3"/>
  <c r="AV275" i="3"/>
  <c r="AT275" i="3"/>
  <c r="AR275" i="3"/>
  <c r="AP275" i="3"/>
  <c r="AN275" i="3"/>
  <c r="AL275" i="3"/>
  <c r="AB275" i="3"/>
  <c r="Z275" i="3"/>
  <c r="X275" i="3"/>
  <c r="V275" i="3"/>
  <c r="T275" i="3"/>
  <c r="R275" i="3"/>
  <c r="P275" i="3"/>
  <c r="N275" i="3"/>
  <c r="L275" i="3"/>
  <c r="J275" i="3"/>
  <c r="H275" i="3"/>
  <c r="F275" i="3"/>
  <c r="D275" i="3"/>
  <c r="B275" i="3"/>
  <c r="A275" i="3"/>
  <c r="BA275" i="3" s="1"/>
  <c r="BB274" i="3"/>
  <c r="AZ274" i="3"/>
  <c r="AX274" i="3"/>
  <c r="AV274" i="3"/>
  <c r="AT274" i="3"/>
  <c r="AR274" i="3"/>
  <c r="AP274" i="3"/>
  <c r="AN274" i="3"/>
  <c r="AL274" i="3"/>
  <c r="AB274" i="3"/>
  <c r="Z274" i="3"/>
  <c r="X274" i="3"/>
  <c r="V274" i="3"/>
  <c r="T274" i="3"/>
  <c r="R274" i="3"/>
  <c r="P274" i="3"/>
  <c r="N274" i="3"/>
  <c r="L274" i="3"/>
  <c r="J274" i="3"/>
  <c r="H274" i="3"/>
  <c r="F274" i="3"/>
  <c r="D274" i="3"/>
  <c r="B274" i="3"/>
  <c r="A274" i="3"/>
  <c r="BA274" i="3" s="1"/>
  <c r="BB273" i="3"/>
  <c r="AZ273" i="3"/>
  <c r="AX273" i="3"/>
  <c r="AV273" i="3"/>
  <c r="AT273" i="3"/>
  <c r="AR273" i="3"/>
  <c r="AP273" i="3"/>
  <c r="AN273" i="3"/>
  <c r="AL273" i="3"/>
  <c r="AB273" i="3"/>
  <c r="Z273" i="3"/>
  <c r="X273" i="3"/>
  <c r="V273" i="3"/>
  <c r="T273" i="3"/>
  <c r="R273" i="3"/>
  <c r="P273" i="3"/>
  <c r="N273" i="3"/>
  <c r="L273" i="3"/>
  <c r="J273" i="3"/>
  <c r="H273" i="3"/>
  <c r="F273" i="3"/>
  <c r="D273" i="3"/>
  <c r="B273" i="3"/>
  <c r="A273" i="3"/>
  <c r="BA273" i="3" s="1"/>
  <c r="BB272" i="3"/>
  <c r="AZ272" i="3"/>
  <c r="AX272" i="3"/>
  <c r="AV272" i="3"/>
  <c r="AT272" i="3"/>
  <c r="AR272" i="3"/>
  <c r="AP272" i="3"/>
  <c r="AN272" i="3"/>
  <c r="AL272" i="3"/>
  <c r="AB272" i="3"/>
  <c r="Z272" i="3"/>
  <c r="X272" i="3"/>
  <c r="V272" i="3"/>
  <c r="T272" i="3"/>
  <c r="R272" i="3"/>
  <c r="P272" i="3"/>
  <c r="N272" i="3"/>
  <c r="L272" i="3"/>
  <c r="J272" i="3"/>
  <c r="H272" i="3"/>
  <c r="F272" i="3"/>
  <c r="D272" i="3"/>
  <c r="B272" i="3"/>
  <c r="A272" i="3"/>
  <c r="BA272" i="3" s="1"/>
  <c r="BB271" i="3"/>
  <c r="AZ271" i="3"/>
  <c r="AX271" i="3"/>
  <c r="AV271" i="3"/>
  <c r="AT271" i="3"/>
  <c r="AR271" i="3"/>
  <c r="AP271" i="3"/>
  <c r="AN271" i="3"/>
  <c r="AL271" i="3"/>
  <c r="AB271" i="3"/>
  <c r="Z271" i="3"/>
  <c r="X271" i="3"/>
  <c r="V271" i="3"/>
  <c r="T271" i="3"/>
  <c r="R271" i="3"/>
  <c r="P271" i="3"/>
  <c r="N271" i="3"/>
  <c r="L271" i="3"/>
  <c r="J271" i="3"/>
  <c r="H271" i="3"/>
  <c r="F271" i="3"/>
  <c r="D271" i="3"/>
  <c r="B271" i="3"/>
  <c r="A271" i="3"/>
  <c r="BA271" i="3" s="1"/>
  <c r="BB270" i="3"/>
  <c r="AZ270" i="3"/>
  <c r="AX270" i="3"/>
  <c r="AV270" i="3"/>
  <c r="AT270" i="3"/>
  <c r="AR270" i="3"/>
  <c r="AP270" i="3"/>
  <c r="AN270" i="3"/>
  <c r="AL270" i="3"/>
  <c r="AB270" i="3"/>
  <c r="Z270" i="3"/>
  <c r="X270" i="3"/>
  <c r="V270" i="3"/>
  <c r="T270" i="3"/>
  <c r="R270" i="3"/>
  <c r="P270" i="3"/>
  <c r="N270" i="3"/>
  <c r="L270" i="3"/>
  <c r="J270" i="3"/>
  <c r="H270" i="3"/>
  <c r="F270" i="3"/>
  <c r="D270" i="3"/>
  <c r="B270" i="3"/>
  <c r="A270" i="3"/>
  <c r="BA270" i="3" s="1"/>
  <c r="BB269" i="3"/>
  <c r="AZ269" i="3"/>
  <c r="AX269" i="3"/>
  <c r="AV269" i="3"/>
  <c r="AT269" i="3"/>
  <c r="AR269" i="3"/>
  <c r="AP269" i="3"/>
  <c r="AN269" i="3"/>
  <c r="AL269" i="3"/>
  <c r="AB269" i="3"/>
  <c r="Z269" i="3"/>
  <c r="X269" i="3"/>
  <c r="V269" i="3"/>
  <c r="T269" i="3"/>
  <c r="R269" i="3"/>
  <c r="P269" i="3"/>
  <c r="N269" i="3"/>
  <c r="L269" i="3"/>
  <c r="J269" i="3"/>
  <c r="H269" i="3"/>
  <c r="F269" i="3"/>
  <c r="D269" i="3"/>
  <c r="B269" i="3"/>
  <c r="A269" i="3"/>
  <c r="BA269" i="3" s="1"/>
  <c r="BB268" i="3"/>
  <c r="AZ268" i="3"/>
  <c r="AX268" i="3"/>
  <c r="AV268" i="3"/>
  <c r="AT268" i="3"/>
  <c r="AR268" i="3"/>
  <c r="AP268" i="3"/>
  <c r="AN268" i="3"/>
  <c r="AL268" i="3"/>
  <c r="AB268" i="3"/>
  <c r="Z268" i="3"/>
  <c r="X268" i="3"/>
  <c r="V268" i="3"/>
  <c r="T268" i="3"/>
  <c r="R268" i="3"/>
  <c r="P268" i="3"/>
  <c r="N268" i="3"/>
  <c r="L268" i="3"/>
  <c r="J268" i="3"/>
  <c r="H268" i="3"/>
  <c r="F268" i="3"/>
  <c r="D268" i="3"/>
  <c r="B268" i="3"/>
  <c r="A268" i="3"/>
  <c r="BA268" i="3" s="1"/>
  <c r="BB267" i="3"/>
  <c r="AZ267" i="3"/>
  <c r="AX267" i="3"/>
  <c r="AV267" i="3"/>
  <c r="AT267" i="3"/>
  <c r="AR267" i="3"/>
  <c r="AP267" i="3"/>
  <c r="AN267" i="3"/>
  <c r="AL267" i="3"/>
  <c r="AB267" i="3"/>
  <c r="Z267" i="3"/>
  <c r="X267" i="3"/>
  <c r="V267" i="3"/>
  <c r="T267" i="3"/>
  <c r="R267" i="3"/>
  <c r="P267" i="3"/>
  <c r="N267" i="3"/>
  <c r="L267" i="3"/>
  <c r="J267" i="3"/>
  <c r="H267" i="3"/>
  <c r="F267" i="3"/>
  <c r="D267" i="3"/>
  <c r="B267" i="3"/>
  <c r="A267" i="3"/>
  <c r="BA267" i="3" s="1"/>
  <c r="BB266" i="3"/>
  <c r="AZ266" i="3"/>
  <c r="AX266" i="3"/>
  <c r="AV266" i="3"/>
  <c r="AT266" i="3"/>
  <c r="AR266" i="3"/>
  <c r="AP266" i="3"/>
  <c r="AN266" i="3"/>
  <c r="AL266" i="3"/>
  <c r="AB266" i="3"/>
  <c r="Z266" i="3"/>
  <c r="X266" i="3"/>
  <c r="V266" i="3"/>
  <c r="T266" i="3"/>
  <c r="R266" i="3"/>
  <c r="P266" i="3"/>
  <c r="N266" i="3"/>
  <c r="L266" i="3"/>
  <c r="J266" i="3"/>
  <c r="H266" i="3"/>
  <c r="F266" i="3"/>
  <c r="D266" i="3"/>
  <c r="B266" i="3"/>
  <c r="A266" i="3"/>
  <c r="BA266" i="3" s="1"/>
  <c r="BB265" i="3"/>
  <c r="AZ265" i="3"/>
  <c r="AX265" i="3"/>
  <c r="AV265" i="3"/>
  <c r="AT265" i="3"/>
  <c r="AR265" i="3"/>
  <c r="AP265" i="3"/>
  <c r="AN265" i="3"/>
  <c r="AL265" i="3"/>
  <c r="AB265" i="3"/>
  <c r="Z265" i="3"/>
  <c r="X265" i="3"/>
  <c r="V265" i="3"/>
  <c r="T265" i="3"/>
  <c r="R265" i="3"/>
  <c r="P265" i="3"/>
  <c r="N265" i="3"/>
  <c r="L265" i="3"/>
  <c r="J265" i="3"/>
  <c r="H265" i="3"/>
  <c r="F265" i="3"/>
  <c r="D265" i="3"/>
  <c r="B265" i="3"/>
  <c r="A265" i="3"/>
  <c r="BA265" i="3" s="1"/>
  <c r="BB264" i="3"/>
  <c r="AZ264" i="3"/>
  <c r="AX264" i="3"/>
  <c r="AV264" i="3"/>
  <c r="AT264" i="3"/>
  <c r="AR264" i="3"/>
  <c r="AP264" i="3"/>
  <c r="AN264" i="3"/>
  <c r="AL264" i="3"/>
  <c r="AB264" i="3"/>
  <c r="Z264" i="3"/>
  <c r="X264" i="3"/>
  <c r="V264" i="3"/>
  <c r="T264" i="3"/>
  <c r="R264" i="3"/>
  <c r="P264" i="3"/>
  <c r="N264" i="3"/>
  <c r="L264" i="3"/>
  <c r="J264" i="3"/>
  <c r="H264" i="3"/>
  <c r="F264" i="3"/>
  <c r="D264" i="3"/>
  <c r="B264" i="3"/>
  <c r="A264" i="3"/>
  <c r="BA264" i="3" s="1"/>
  <c r="BB263" i="3"/>
  <c r="AZ263" i="3"/>
  <c r="AX263" i="3"/>
  <c r="AV263" i="3"/>
  <c r="AT263" i="3"/>
  <c r="AR263" i="3"/>
  <c r="AP263" i="3"/>
  <c r="AN263" i="3"/>
  <c r="AL263" i="3"/>
  <c r="AB263" i="3"/>
  <c r="Z263" i="3"/>
  <c r="X263" i="3"/>
  <c r="V263" i="3"/>
  <c r="T263" i="3"/>
  <c r="R263" i="3"/>
  <c r="P263" i="3"/>
  <c r="N263" i="3"/>
  <c r="L263" i="3"/>
  <c r="J263" i="3"/>
  <c r="H263" i="3"/>
  <c r="F263" i="3"/>
  <c r="D263" i="3"/>
  <c r="B263" i="3"/>
  <c r="A263" i="3"/>
  <c r="BA263" i="3" s="1"/>
  <c r="BB262" i="3"/>
  <c r="AZ262" i="3"/>
  <c r="AX262" i="3"/>
  <c r="AV262" i="3"/>
  <c r="AT262" i="3"/>
  <c r="AR262" i="3"/>
  <c r="AP262" i="3"/>
  <c r="AN262" i="3"/>
  <c r="AL262" i="3"/>
  <c r="AB262" i="3"/>
  <c r="Z262" i="3"/>
  <c r="X262" i="3"/>
  <c r="V262" i="3"/>
  <c r="T262" i="3"/>
  <c r="R262" i="3"/>
  <c r="P262" i="3"/>
  <c r="N262" i="3"/>
  <c r="L262" i="3"/>
  <c r="J262" i="3"/>
  <c r="H262" i="3"/>
  <c r="F262" i="3"/>
  <c r="D262" i="3"/>
  <c r="B262" i="3"/>
  <c r="A262" i="3"/>
  <c r="BA262" i="3" s="1"/>
  <c r="BB261" i="3"/>
  <c r="AZ261" i="3"/>
  <c r="AX261" i="3"/>
  <c r="AV261" i="3"/>
  <c r="AT261" i="3"/>
  <c r="AR261" i="3"/>
  <c r="AP261" i="3"/>
  <c r="AN261" i="3"/>
  <c r="AL261" i="3"/>
  <c r="AB261" i="3"/>
  <c r="Z261" i="3"/>
  <c r="X261" i="3"/>
  <c r="V261" i="3"/>
  <c r="T261" i="3"/>
  <c r="R261" i="3"/>
  <c r="P261" i="3"/>
  <c r="N261" i="3"/>
  <c r="L261" i="3"/>
  <c r="J261" i="3"/>
  <c r="H261" i="3"/>
  <c r="F261" i="3"/>
  <c r="D261" i="3"/>
  <c r="B261" i="3"/>
  <c r="A261" i="3"/>
  <c r="BA261" i="3" s="1"/>
  <c r="BB260" i="3"/>
  <c r="AZ260" i="3"/>
  <c r="AX260" i="3"/>
  <c r="AV260" i="3"/>
  <c r="AT260" i="3"/>
  <c r="AR260" i="3"/>
  <c r="AP260" i="3"/>
  <c r="AN260" i="3"/>
  <c r="AL260" i="3"/>
  <c r="AB260" i="3"/>
  <c r="Z260" i="3"/>
  <c r="X260" i="3"/>
  <c r="V260" i="3"/>
  <c r="T260" i="3"/>
  <c r="R260" i="3"/>
  <c r="P260" i="3"/>
  <c r="N260" i="3"/>
  <c r="L260" i="3"/>
  <c r="J260" i="3"/>
  <c r="H260" i="3"/>
  <c r="F260" i="3"/>
  <c r="D260" i="3"/>
  <c r="B260" i="3"/>
  <c r="A260" i="3"/>
  <c r="BA260" i="3" s="1"/>
  <c r="BB259" i="3"/>
  <c r="AZ259" i="3"/>
  <c r="AX259" i="3"/>
  <c r="AV259" i="3"/>
  <c r="AT259" i="3"/>
  <c r="AR259" i="3"/>
  <c r="AP259" i="3"/>
  <c r="AN259" i="3"/>
  <c r="AL259" i="3"/>
  <c r="AB259" i="3"/>
  <c r="Z259" i="3"/>
  <c r="X259" i="3"/>
  <c r="V259" i="3"/>
  <c r="T259" i="3"/>
  <c r="R259" i="3"/>
  <c r="P259" i="3"/>
  <c r="N259" i="3"/>
  <c r="L259" i="3"/>
  <c r="J259" i="3"/>
  <c r="H259" i="3"/>
  <c r="F259" i="3"/>
  <c r="D259" i="3"/>
  <c r="B259" i="3"/>
  <c r="A259" i="3"/>
  <c r="BA259" i="3" s="1"/>
  <c r="BB258" i="3"/>
  <c r="AZ258" i="3"/>
  <c r="AX258" i="3"/>
  <c r="AV258" i="3"/>
  <c r="AT258" i="3"/>
  <c r="AR258" i="3"/>
  <c r="AP258" i="3"/>
  <c r="AN258" i="3"/>
  <c r="AL258" i="3"/>
  <c r="AB258" i="3"/>
  <c r="Z258" i="3"/>
  <c r="X258" i="3"/>
  <c r="V258" i="3"/>
  <c r="T258" i="3"/>
  <c r="R258" i="3"/>
  <c r="P258" i="3"/>
  <c r="N258" i="3"/>
  <c r="L258" i="3"/>
  <c r="J258" i="3"/>
  <c r="H258" i="3"/>
  <c r="F258" i="3"/>
  <c r="D258" i="3"/>
  <c r="B258" i="3"/>
  <c r="A258" i="3"/>
  <c r="BA258" i="3" s="1"/>
  <c r="BB257" i="3"/>
  <c r="AZ257" i="3"/>
  <c r="AX257" i="3"/>
  <c r="AV257" i="3"/>
  <c r="AT257" i="3"/>
  <c r="AR257" i="3"/>
  <c r="AP257" i="3"/>
  <c r="AN257" i="3"/>
  <c r="AL257" i="3"/>
  <c r="AB257" i="3"/>
  <c r="Z257" i="3"/>
  <c r="X257" i="3"/>
  <c r="V257" i="3"/>
  <c r="T257" i="3"/>
  <c r="R257" i="3"/>
  <c r="P257" i="3"/>
  <c r="N257" i="3"/>
  <c r="L257" i="3"/>
  <c r="J257" i="3"/>
  <c r="H257" i="3"/>
  <c r="F257" i="3"/>
  <c r="D257" i="3"/>
  <c r="B257" i="3"/>
  <c r="A257" i="3"/>
  <c r="BA257" i="3" s="1"/>
  <c r="BB256" i="3"/>
  <c r="AZ256" i="3"/>
  <c r="AX256" i="3"/>
  <c r="AV256" i="3"/>
  <c r="AT256" i="3"/>
  <c r="AR256" i="3"/>
  <c r="AP256" i="3"/>
  <c r="AN256" i="3"/>
  <c r="AL256" i="3"/>
  <c r="AB256" i="3"/>
  <c r="Z256" i="3"/>
  <c r="X256" i="3"/>
  <c r="V256" i="3"/>
  <c r="T256" i="3"/>
  <c r="R256" i="3"/>
  <c r="P256" i="3"/>
  <c r="N256" i="3"/>
  <c r="L256" i="3"/>
  <c r="J256" i="3"/>
  <c r="H256" i="3"/>
  <c r="F256" i="3"/>
  <c r="D256" i="3"/>
  <c r="B256" i="3"/>
  <c r="A256" i="3"/>
  <c r="BA256" i="3" s="1"/>
  <c r="BB255" i="3"/>
  <c r="AZ255" i="3"/>
  <c r="AX255" i="3"/>
  <c r="AV255" i="3"/>
  <c r="AT255" i="3"/>
  <c r="AR255" i="3"/>
  <c r="AP255" i="3"/>
  <c r="AN255" i="3"/>
  <c r="AL255" i="3"/>
  <c r="AB255" i="3"/>
  <c r="Z255" i="3"/>
  <c r="X255" i="3"/>
  <c r="V255" i="3"/>
  <c r="T255" i="3"/>
  <c r="R255" i="3"/>
  <c r="P255" i="3"/>
  <c r="N255" i="3"/>
  <c r="L255" i="3"/>
  <c r="J255" i="3"/>
  <c r="H255" i="3"/>
  <c r="F255" i="3"/>
  <c r="D255" i="3"/>
  <c r="B255" i="3"/>
  <c r="A255" i="3"/>
  <c r="BA255" i="3" s="1"/>
  <c r="BB254" i="3"/>
  <c r="AZ254" i="3"/>
  <c r="AX254" i="3"/>
  <c r="AV254" i="3"/>
  <c r="AT254" i="3"/>
  <c r="AR254" i="3"/>
  <c r="AP254" i="3"/>
  <c r="AN254" i="3"/>
  <c r="AL254" i="3"/>
  <c r="AB254" i="3"/>
  <c r="Z254" i="3"/>
  <c r="X254" i="3"/>
  <c r="V254" i="3"/>
  <c r="T254" i="3"/>
  <c r="R254" i="3"/>
  <c r="P254" i="3"/>
  <c r="N254" i="3"/>
  <c r="L254" i="3"/>
  <c r="J254" i="3"/>
  <c r="H254" i="3"/>
  <c r="F254" i="3"/>
  <c r="D254" i="3"/>
  <c r="B254" i="3"/>
  <c r="A254" i="3"/>
  <c r="BA254" i="3" s="1"/>
  <c r="BB253" i="3"/>
  <c r="AZ253" i="3"/>
  <c r="AX253" i="3"/>
  <c r="AV253" i="3"/>
  <c r="AT253" i="3"/>
  <c r="AR253" i="3"/>
  <c r="AP253" i="3"/>
  <c r="AN253" i="3"/>
  <c r="AL253" i="3"/>
  <c r="AB253" i="3"/>
  <c r="Z253" i="3"/>
  <c r="X253" i="3"/>
  <c r="V253" i="3"/>
  <c r="T253" i="3"/>
  <c r="R253" i="3"/>
  <c r="P253" i="3"/>
  <c r="N253" i="3"/>
  <c r="L253" i="3"/>
  <c r="J253" i="3"/>
  <c r="H253" i="3"/>
  <c r="F253" i="3"/>
  <c r="D253" i="3"/>
  <c r="B253" i="3"/>
  <c r="A253" i="3"/>
  <c r="BA253" i="3" s="1"/>
  <c r="BB252" i="3"/>
  <c r="AZ252" i="3"/>
  <c r="AX252" i="3"/>
  <c r="AV252" i="3"/>
  <c r="AT252" i="3"/>
  <c r="AR252" i="3"/>
  <c r="AP252" i="3"/>
  <c r="AN252" i="3"/>
  <c r="AL252" i="3"/>
  <c r="AB252" i="3"/>
  <c r="Z252" i="3"/>
  <c r="X252" i="3"/>
  <c r="V252" i="3"/>
  <c r="T252" i="3"/>
  <c r="R252" i="3"/>
  <c r="P252" i="3"/>
  <c r="N252" i="3"/>
  <c r="L252" i="3"/>
  <c r="J252" i="3"/>
  <c r="H252" i="3"/>
  <c r="F252" i="3"/>
  <c r="D252" i="3"/>
  <c r="B252" i="3"/>
  <c r="A252" i="3"/>
  <c r="BA252" i="3" s="1"/>
  <c r="BB251" i="3"/>
  <c r="AZ251" i="3"/>
  <c r="AX251" i="3"/>
  <c r="AV251" i="3"/>
  <c r="AT251" i="3"/>
  <c r="AR251" i="3"/>
  <c r="AP251" i="3"/>
  <c r="AN251" i="3"/>
  <c r="AL251" i="3"/>
  <c r="AB251" i="3"/>
  <c r="Z251" i="3"/>
  <c r="X251" i="3"/>
  <c r="V251" i="3"/>
  <c r="T251" i="3"/>
  <c r="R251" i="3"/>
  <c r="P251" i="3"/>
  <c r="N251" i="3"/>
  <c r="L251" i="3"/>
  <c r="J251" i="3"/>
  <c r="H251" i="3"/>
  <c r="F251" i="3"/>
  <c r="D251" i="3"/>
  <c r="B251" i="3"/>
  <c r="A251" i="3"/>
  <c r="BA251" i="3" s="1"/>
  <c r="BB250" i="3"/>
  <c r="AZ250" i="3"/>
  <c r="AX250" i="3"/>
  <c r="AV250" i="3"/>
  <c r="AT250" i="3"/>
  <c r="AR250" i="3"/>
  <c r="AP250" i="3"/>
  <c r="AN250" i="3"/>
  <c r="AL250" i="3"/>
  <c r="AB250" i="3"/>
  <c r="Z250" i="3"/>
  <c r="X250" i="3"/>
  <c r="V250" i="3"/>
  <c r="T250" i="3"/>
  <c r="R250" i="3"/>
  <c r="P250" i="3"/>
  <c r="N250" i="3"/>
  <c r="L250" i="3"/>
  <c r="J250" i="3"/>
  <c r="H250" i="3"/>
  <c r="F250" i="3"/>
  <c r="D250" i="3"/>
  <c r="B250" i="3"/>
  <c r="A250" i="3"/>
  <c r="BA250" i="3" s="1"/>
  <c r="BB249" i="3"/>
  <c r="AZ249" i="3"/>
  <c r="AX249" i="3"/>
  <c r="AV249" i="3"/>
  <c r="AT249" i="3"/>
  <c r="AR249" i="3"/>
  <c r="AP249" i="3"/>
  <c r="AN249" i="3"/>
  <c r="AL249" i="3"/>
  <c r="AB249" i="3"/>
  <c r="Z249" i="3"/>
  <c r="X249" i="3"/>
  <c r="V249" i="3"/>
  <c r="T249" i="3"/>
  <c r="R249" i="3"/>
  <c r="P249" i="3"/>
  <c r="N249" i="3"/>
  <c r="L249" i="3"/>
  <c r="J249" i="3"/>
  <c r="H249" i="3"/>
  <c r="F249" i="3"/>
  <c r="D249" i="3"/>
  <c r="B249" i="3"/>
  <c r="A249" i="3"/>
  <c r="BA249" i="3" s="1"/>
  <c r="BB248" i="3"/>
  <c r="AZ248" i="3"/>
  <c r="AX248" i="3"/>
  <c r="AV248" i="3"/>
  <c r="AT248" i="3"/>
  <c r="AR248" i="3"/>
  <c r="AP248" i="3"/>
  <c r="AN248" i="3"/>
  <c r="AL248" i="3"/>
  <c r="AB248" i="3"/>
  <c r="Z248" i="3"/>
  <c r="X248" i="3"/>
  <c r="V248" i="3"/>
  <c r="T248" i="3"/>
  <c r="R248" i="3"/>
  <c r="P248" i="3"/>
  <c r="N248" i="3"/>
  <c r="L248" i="3"/>
  <c r="J248" i="3"/>
  <c r="H248" i="3"/>
  <c r="F248" i="3"/>
  <c r="D248" i="3"/>
  <c r="B248" i="3"/>
  <c r="A248" i="3"/>
  <c r="BA248" i="3" s="1"/>
  <c r="BB247" i="3"/>
  <c r="AZ247" i="3"/>
  <c r="AX247" i="3"/>
  <c r="AV247" i="3"/>
  <c r="AT247" i="3"/>
  <c r="AR247" i="3"/>
  <c r="AP247" i="3"/>
  <c r="AN247" i="3"/>
  <c r="AL247" i="3"/>
  <c r="AB247" i="3"/>
  <c r="Z247" i="3"/>
  <c r="X247" i="3"/>
  <c r="V247" i="3"/>
  <c r="T247" i="3"/>
  <c r="R247" i="3"/>
  <c r="P247" i="3"/>
  <c r="N247" i="3"/>
  <c r="L247" i="3"/>
  <c r="J247" i="3"/>
  <c r="H247" i="3"/>
  <c r="F247" i="3"/>
  <c r="D247" i="3"/>
  <c r="B247" i="3"/>
  <c r="A247" i="3"/>
  <c r="BA247" i="3" s="1"/>
  <c r="BB246" i="3"/>
  <c r="AZ246" i="3"/>
  <c r="AX246" i="3"/>
  <c r="AV246" i="3"/>
  <c r="AT246" i="3"/>
  <c r="AR246" i="3"/>
  <c r="AP246" i="3"/>
  <c r="AN246" i="3"/>
  <c r="AL246" i="3"/>
  <c r="AB246" i="3"/>
  <c r="Z246" i="3"/>
  <c r="X246" i="3"/>
  <c r="V246" i="3"/>
  <c r="T246" i="3"/>
  <c r="R246" i="3"/>
  <c r="P246" i="3"/>
  <c r="N246" i="3"/>
  <c r="L246" i="3"/>
  <c r="J246" i="3"/>
  <c r="H246" i="3"/>
  <c r="F246" i="3"/>
  <c r="D246" i="3"/>
  <c r="B246" i="3"/>
  <c r="A246" i="3"/>
  <c r="BA246" i="3" s="1"/>
  <c r="BB245" i="3"/>
  <c r="AZ245" i="3"/>
  <c r="AX245" i="3"/>
  <c r="AV245" i="3"/>
  <c r="AT245" i="3"/>
  <c r="AR245" i="3"/>
  <c r="AP245" i="3"/>
  <c r="AN245" i="3"/>
  <c r="AL245" i="3"/>
  <c r="AB245" i="3"/>
  <c r="Z245" i="3"/>
  <c r="X245" i="3"/>
  <c r="V245" i="3"/>
  <c r="T245" i="3"/>
  <c r="R245" i="3"/>
  <c r="P245" i="3"/>
  <c r="N245" i="3"/>
  <c r="L245" i="3"/>
  <c r="J245" i="3"/>
  <c r="H245" i="3"/>
  <c r="F245" i="3"/>
  <c r="D245" i="3"/>
  <c r="B245" i="3"/>
  <c r="A245" i="3"/>
  <c r="BA245" i="3" s="1"/>
  <c r="BB244" i="3"/>
  <c r="AZ244" i="3"/>
  <c r="AX244" i="3"/>
  <c r="AV244" i="3"/>
  <c r="AT244" i="3"/>
  <c r="AR244" i="3"/>
  <c r="AP244" i="3"/>
  <c r="AN244" i="3"/>
  <c r="AL244" i="3"/>
  <c r="AB244" i="3"/>
  <c r="Z244" i="3"/>
  <c r="X244" i="3"/>
  <c r="V244" i="3"/>
  <c r="T244" i="3"/>
  <c r="R244" i="3"/>
  <c r="P244" i="3"/>
  <c r="N244" i="3"/>
  <c r="L244" i="3"/>
  <c r="J244" i="3"/>
  <c r="H244" i="3"/>
  <c r="F244" i="3"/>
  <c r="D244" i="3"/>
  <c r="B244" i="3"/>
  <c r="A244" i="3"/>
  <c r="BA244" i="3" s="1"/>
  <c r="X243" i="3"/>
  <c r="AB243" i="3" s="1"/>
  <c r="AP243" i="3" s="1"/>
  <c r="V243" i="3"/>
  <c r="Z243" i="3" s="1"/>
  <c r="N243" i="3"/>
  <c r="L243" i="3"/>
  <c r="J243" i="3"/>
  <c r="H243" i="3"/>
  <c r="D243" i="3"/>
  <c r="B243" i="3"/>
  <c r="A243" i="3"/>
  <c r="X242" i="3"/>
  <c r="AB242" i="3" s="1"/>
  <c r="AP242" i="3" s="1"/>
  <c r="V242" i="3"/>
  <c r="Z242" i="3" s="1"/>
  <c r="N242" i="3"/>
  <c r="L242" i="3"/>
  <c r="J242" i="3"/>
  <c r="H242" i="3"/>
  <c r="D242" i="3"/>
  <c r="B242" i="3"/>
  <c r="A242" i="3"/>
  <c r="X241" i="3"/>
  <c r="AB241" i="3" s="1"/>
  <c r="AP241" i="3" s="1"/>
  <c r="V241" i="3"/>
  <c r="Z241" i="3" s="1"/>
  <c r="N241" i="3"/>
  <c r="L241" i="3"/>
  <c r="J241" i="3"/>
  <c r="H241" i="3"/>
  <c r="D241" i="3"/>
  <c r="B241" i="3"/>
  <c r="A241" i="3"/>
  <c r="X240" i="3"/>
  <c r="AB240" i="3" s="1"/>
  <c r="AP240" i="3" s="1"/>
  <c r="V240" i="3"/>
  <c r="Z240" i="3" s="1"/>
  <c r="N240" i="3"/>
  <c r="L240" i="3"/>
  <c r="J240" i="3"/>
  <c r="H240" i="3"/>
  <c r="D240" i="3"/>
  <c r="B240" i="3"/>
  <c r="A240" i="3"/>
  <c r="X239" i="3"/>
  <c r="AB239" i="3" s="1"/>
  <c r="AP239" i="3" s="1"/>
  <c r="V239" i="3"/>
  <c r="Z239" i="3" s="1"/>
  <c r="N239" i="3"/>
  <c r="L239" i="3"/>
  <c r="J239" i="3"/>
  <c r="H239" i="3"/>
  <c r="D239" i="3"/>
  <c r="B239" i="3"/>
  <c r="A239" i="3"/>
  <c r="X238" i="3"/>
  <c r="AB238" i="3" s="1"/>
  <c r="AP238" i="3" s="1"/>
  <c r="V238" i="3"/>
  <c r="Z238" i="3" s="1"/>
  <c r="N238" i="3"/>
  <c r="L238" i="3"/>
  <c r="J238" i="3"/>
  <c r="H238" i="3"/>
  <c r="D238" i="3"/>
  <c r="B238" i="3"/>
  <c r="A238" i="3"/>
  <c r="X237" i="3"/>
  <c r="AB237" i="3" s="1"/>
  <c r="AP237" i="3" s="1"/>
  <c r="V237" i="3"/>
  <c r="Z237" i="3" s="1"/>
  <c r="N237" i="3"/>
  <c r="L237" i="3"/>
  <c r="J237" i="3"/>
  <c r="H237" i="3"/>
  <c r="D237" i="3"/>
  <c r="B237" i="3"/>
  <c r="A237" i="3"/>
  <c r="X236" i="3"/>
  <c r="AB236" i="3" s="1"/>
  <c r="AP236" i="3" s="1"/>
  <c r="V236" i="3"/>
  <c r="Z236" i="3" s="1"/>
  <c r="N236" i="3"/>
  <c r="L236" i="3"/>
  <c r="J236" i="3"/>
  <c r="H236" i="3"/>
  <c r="D236" i="3"/>
  <c r="B236" i="3"/>
  <c r="A236" i="3"/>
  <c r="X235" i="3"/>
  <c r="AB235" i="3" s="1"/>
  <c r="AP235" i="3" s="1"/>
  <c r="V235" i="3"/>
  <c r="Z235" i="3" s="1"/>
  <c r="N235" i="3"/>
  <c r="L235" i="3"/>
  <c r="J235" i="3"/>
  <c r="H235" i="3"/>
  <c r="D235" i="3"/>
  <c r="B235" i="3"/>
  <c r="A235" i="3"/>
  <c r="X234" i="3"/>
  <c r="AB234" i="3" s="1"/>
  <c r="AP234" i="3" s="1"/>
  <c r="V234" i="3"/>
  <c r="Z234" i="3" s="1"/>
  <c r="N234" i="3"/>
  <c r="L234" i="3"/>
  <c r="J234" i="3"/>
  <c r="H234" i="3"/>
  <c r="D234" i="3"/>
  <c r="B234" i="3"/>
  <c r="A234" i="3"/>
  <c r="X233" i="3"/>
  <c r="AB233" i="3" s="1"/>
  <c r="AP233" i="3" s="1"/>
  <c r="V233" i="3"/>
  <c r="Z233" i="3" s="1"/>
  <c r="N233" i="3"/>
  <c r="L233" i="3"/>
  <c r="J233" i="3"/>
  <c r="H233" i="3"/>
  <c r="D233" i="3"/>
  <c r="B233" i="3"/>
  <c r="A233" i="3"/>
  <c r="X232" i="3"/>
  <c r="AB232" i="3" s="1"/>
  <c r="AP232" i="3" s="1"/>
  <c r="V232" i="3"/>
  <c r="Z232" i="3" s="1"/>
  <c r="N232" i="3"/>
  <c r="L232" i="3"/>
  <c r="J232" i="3"/>
  <c r="H232" i="3"/>
  <c r="D232" i="3"/>
  <c r="B232" i="3"/>
  <c r="A232" i="3"/>
  <c r="X231" i="3"/>
  <c r="AB231" i="3" s="1"/>
  <c r="AP231" i="3" s="1"/>
  <c r="V231" i="3"/>
  <c r="Z231" i="3" s="1"/>
  <c r="N231" i="3"/>
  <c r="L231" i="3"/>
  <c r="J231" i="3"/>
  <c r="H231" i="3"/>
  <c r="D231" i="3"/>
  <c r="B231" i="3"/>
  <c r="A231" i="3"/>
  <c r="X230" i="3"/>
  <c r="AB230" i="3" s="1"/>
  <c r="AP230" i="3" s="1"/>
  <c r="V230" i="3"/>
  <c r="Z230" i="3" s="1"/>
  <c r="N230" i="3"/>
  <c r="L230" i="3"/>
  <c r="J230" i="3"/>
  <c r="H230" i="3"/>
  <c r="D230" i="3"/>
  <c r="B230" i="3"/>
  <c r="A230" i="3"/>
  <c r="X229" i="3"/>
  <c r="AB229" i="3" s="1"/>
  <c r="AP229" i="3" s="1"/>
  <c r="V229" i="3"/>
  <c r="Z229" i="3" s="1"/>
  <c r="N229" i="3"/>
  <c r="L229" i="3"/>
  <c r="J229" i="3"/>
  <c r="H229" i="3"/>
  <c r="D229" i="3"/>
  <c r="B229" i="3"/>
  <c r="A229" i="3"/>
  <c r="X228" i="3"/>
  <c r="AB228" i="3" s="1"/>
  <c r="AP228" i="3" s="1"/>
  <c r="V228" i="3"/>
  <c r="Z228" i="3" s="1"/>
  <c r="N228" i="3"/>
  <c r="L228" i="3"/>
  <c r="J228" i="3"/>
  <c r="H228" i="3"/>
  <c r="D228" i="3"/>
  <c r="B228" i="3"/>
  <c r="A228" i="3"/>
  <c r="X227" i="3"/>
  <c r="AB227" i="3" s="1"/>
  <c r="AP227" i="3" s="1"/>
  <c r="V227" i="3"/>
  <c r="Z227" i="3" s="1"/>
  <c r="N227" i="3"/>
  <c r="L227" i="3"/>
  <c r="J227" i="3"/>
  <c r="H227" i="3"/>
  <c r="D227" i="3"/>
  <c r="B227" i="3"/>
  <c r="A227" i="3"/>
  <c r="X226" i="3"/>
  <c r="AB226" i="3" s="1"/>
  <c r="AP226" i="3" s="1"/>
  <c r="V226" i="3"/>
  <c r="Z226" i="3" s="1"/>
  <c r="N226" i="3"/>
  <c r="L226" i="3"/>
  <c r="J226" i="3"/>
  <c r="H226" i="3"/>
  <c r="D226" i="3"/>
  <c r="B226" i="3"/>
  <c r="A226" i="3"/>
  <c r="X225" i="3"/>
  <c r="AB225" i="3" s="1"/>
  <c r="AP225" i="3" s="1"/>
  <c r="V225" i="3"/>
  <c r="Z225" i="3" s="1"/>
  <c r="N225" i="3"/>
  <c r="L225" i="3"/>
  <c r="J225" i="3"/>
  <c r="H225" i="3"/>
  <c r="D225" i="3"/>
  <c r="B225" i="3"/>
  <c r="A225" i="3"/>
  <c r="X224" i="3"/>
  <c r="AB224" i="3" s="1"/>
  <c r="AP224" i="3" s="1"/>
  <c r="V224" i="3"/>
  <c r="Z224" i="3" s="1"/>
  <c r="N224" i="3"/>
  <c r="L224" i="3"/>
  <c r="J224" i="3"/>
  <c r="H224" i="3"/>
  <c r="D224" i="3"/>
  <c r="B224" i="3"/>
  <c r="A224" i="3"/>
  <c r="X223" i="3"/>
  <c r="AB223" i="3" s="1"/>
  <c r="AP223" i="3" s="1"/>
  <c r="V223" i="3"/>
  <c r="Z223" i="3" s="1"/>
  <c r="N223" i="3"/>
  <c r="L223" i="3"/>
  <c r="J223" i="3"/>
  <c r="H223" i="3"/>
  <c r="D223" i="3"/>
  <c r="B223" i="3"/>
  <c r="A223" i="3"/>
  <c r="X222" i="3"/>
  <c r="AB222" i="3" s="1"/>
  <c r="AP222" i="3" s="1"/>
  <c r="V222" i="3"/>
  <c r="Z222" i="3" s="1"/>
  <c r="N222" i="3"/>
  <c r="L222" i="3"/>
  <c r="J222" i="3"/>
  <c r="H222" i="3"/>
  <c r="D222" i="3"/>
  <c r="B222" i="3"/>
  <c r="A222" i="3"/>
  <c r="X221" i="3"/>
  <c r="AB221" i="3" s="1"/>
  <c r="AP221" i="3" s="1"/>
  <c r="V221" i="3"/>
  <c r="Z221" i="3" s="1"/>
  <c r="N221" i="3"/>
  <c r="L221" i="3"/>
  <c r="J221" i="3"/>
  <c r="H221" i="3"/>
  <c r="D221" i="3"/>
  <c r="B221" i="3"/>
  <c r="A221" i="3"/>
  <c r="X220" i="3"/>
  <c r="AB220" i="3" s="1"/>
  <c r="AP220" i="3" s="1"/>
  <c r="V220" i="3"/>
  <c r="Z220" i="3" s="1"/>
  <c r="N220" i="3"/>
  <c r="L220" i="3"/>
  <c r="J220" i="3"/>
  <c r="H220" i="3"/>
  <c r="D220" i="3"/>
  <c r="B220" i="3"/>
  <c r="A220" i="3"/>
  <c r="X219" i="3"/>
  <c r="AB219" i="3" s="1"/>
  <c r="AP219" i="3" s="1"/>
  <c r="V219" i="3"/>
  <c r="Z219" i="3" s="1"/>
  <c r="N219" i="3"/>
  <c r="L219" i="3"/>
  <c r="J219" i="3"/>
  <c r="H219" i="3"/>
  <c r="D219" i="3"/>
  <c r="B219" i="3"/>
  <c r="A219" i="3"/>
  <c r="X218" i="3"/>
  <c r="AB218" i="3" s="1"/>
  <c r="AP218" i="3" s="1"/>
  <c r="V218" i="3"/>
  <c r="Z218" i="3" s="1"/>
  <c r="N218" i="3"/>
  <c r="L218" i="3"/>
  <c r="J218" i="3"/>
  <c r="H218" i="3"/>
  <c r="D218" i="3"/>
  <c r="B218" i="3"/>
  <c r="A218" i="3"/>
  <c r="X217" i="3"/>
  <c r="AB217" i="3" s="1"/>
  <c r="AP217" i="3" s="1"/>
  <c r="V217" i="3"/>
  <c r="Z217" i="3" s="1"/>
  <c r="N217" i="3"/>
  <c r="L217" i="3"/>
  <c r="J217" i="3"/>
  <c r="H217" i="3"/>
  <c r="D217" i="3"/>
  <c r="B217" i="3"/>
  <c r="A217" i="3"/>
  <c r="X216" i="3"/>
  <c r="AB216" i="3" s="1"/>
  <c r="AP216" i="3" s="1"/>
  <c r="V216" i="3"/>
  <c r="Z216" i="3" s="1"/>
  <c r="N216" i="3"/>
  <c r="L216" i="3"/>
  <c r="J216" i="3"/>
  <c r="H216" i="3"/>
  <c r="D216" i="3"/>
  <c r="B216" i="3"/>
  <c r="A216" i="3"/>
  <c r="X215" i="3"/>
  <c r="AB215" i="3" s="1"/>
  <c r="AP215" i="3" s="1"/>
  <c r="V215" i="3"/>
  <c r="Z215" i="3" s="1"/>
  <c r="N215" i="3"/>
  <c r="L215" i="3"/>
  <c r="J215" i="3"/>
  <c r="H215" i="3"/>
  <c r="D215" i="3"/>
  <c r="B215" i="3"/>
  <c r="A215" i="3"/>
  <c r="X214" i="3"/>
  <c r="AB214" i="3" s="1"/>
  <c r="AP214" i="3" s="1"/>
  <c r="V214" i="3"/>
  <c r="Z214" i="3" s="1"/>
  <c r="N214" i="3"/>
  <c r="L214" i="3"/>
  <c r="J214" i="3"/>
  <c r="H214" i="3"/>
  <c r="D214" i="3"/>
  <c r="B214" i="3"/>
  <c r="A214" i="3"/>
  <c r="X213" i="3"/>
  <c r="AB213" i="3" s="1"/>
  <c r="AP213" i="3" s="1"/>
  <c r="V213" i="3"/>
  <c r="Z213" i="3" s="1"/>
  <c r="N213" i="3"/>
  <c r="L213" i="3"/>
  <c r="J213" i="3"/>
  <c r="H213" i="3"/>
  <c r="D213" i="3"/>
  <c r="B213" i="3"/>
  <c r="A213" i="3"/>
  <c r="X212" i="3"/>
  <c r="AB212" i="3" s="1"/>
  <c r="AP212" i="3" s="1"/>
  <c r="V212" i="3"/>
  <c r="Z212" i="3" s="1"/>
  <c r="N212" i="3"/>
  <c r="L212" i="3"/>
  <c r="J212" i="3"/>
  <c r="H212" i="3"/>
  <c r="D212" i="3"/>
  <c r="B212" i="3"/>
  <c r="A212" i="3"/>
  <c r="X211" i="3"/>
  <c r="AB211" i="3" s="1"/>
  <c r="AP211" i="3" s="1"/>
  <c r="V211" i="3"/>
  <c r="Z211" i="3" s="1"/>
  <c r="N211" i="3"/>
  <c r="L211" i="3"/>
  <c r="J211" i="3"/>
  <c r="H211" i="3"/>
  <c r="D211" i="3"/>
  <c r="B211" i="3"/>
  <c r="A211" i="3"/>
  <c r="X210" i="3"/>
  <c r="AB210" i="3" s="1"/>
  <c r="AP210" i="3" s="1"/>
  <c r="V210" i="3"/>
  <c r="Z210" i="3" s="1"/>
  <c r="N210" i="3"/>
  <c r="L210" i="3"/>
  <c r="J210" i="3"/>
  <c r="H210" i="3"/>
  <c r="D210" i="3"/>
  <c r="B210" i="3"/>
  <c r="A210" i="3"/>
  <c r="X209" i="3"/>
  <c r="AB209" i="3" s="1"/>
  <c r="AP209" i="3" s="1"/>
  <c r="V209" i="3"/>
  <c r="Z209" i="3" s="1"/>
  <c r="N209" i="3"/>
  <c r="L209" i="3"/>
  <c r="J209" i="3"/>
  <c r="H209" i="3"/>
  <c r="D209" i="3"/>
  <c r="B209" i="3"/>
  <c r="A209" i="3"/>
  <c r="X208" i="3"/>
  <c r="AB208" i="3" s="1"/>
  <c r="AP208" i="3" s="1"/>
  <c r="V208" i="3"/>
  <c r="Z208" i="3" s="1"/>
  <c r="N208" i="3"/>
  <c r="L208" i="3"/>
  <c r="J208" i="3"/>
  <c r="H208" i="3"/>
  <c r="D208" i="3"/>
  <c r="B208" i="3"/>
  <c r="A208" i="3"/>
  <c r="X207" i="3"/>
  <c r="AB207" i="3" s="1"/>
  <c r="AP207" i="3" s="1"/>
  <c r="V207" i="3"/>
  <c r="Z207" i="3" s="1"/>
  <c r="N207" i="3"/>
  <c r="L207" i="3"/>
  <c r="J207" i="3"/>
  <c r="H207" i="3"/>
  <c r="D207" i="3"/>
  <c r="B207" i="3"/>
  <c r="A207" i="3"/>
  <c r="X206" i="3"/>
  <c r="AB206" i="3" s="1"/>
  <c r="AP206" i="3" s="1"/>
  <c r="V206" i="3"/>
  <c r="Z206" i="3" s="1"/>
  <c r="N206" i="3"/>
  <c r="L206" i="3"/>
  <c r="J206" i="3"/>
  <c r="H206" i="3"/>
  <c r="D206" i="3"/>
  <c r="B206" i="3"/>
  <c r="A206" i="3"/>
  <c r="X205" i="3"/>
  <c r="AB205" i="3" s="1"/>
  <c r="AP205" i="3" s="1"/>
  <c r="V205" i="3"/>
  <c r="Z205" i="3" s="1"/>
  <c r="N205" i="3"/>
  <c r="L205" i="3"/>
  <c r="J205" i="3"/>
  <c r="H205" i="3"/>
  <c r="D205" i="3"/>
  <c r="B205" i="3"/>
  <c r="A205" i="3"/>
  <c r="X204" i="3"/>
  <c r="AB204" i="3" s="1"/>
  <c r="AP204" i="3" s="1"/>
  <c r="V204" i="3"/>
  <c r="Z204" i="3" s="1"/>
  <c r="N204" i="3"/>
  <c r="L204" i="3"/>
  <c r="J204" i="3"/>
  <c r="H204" i="3"/>
  <c r="D204" i="3"/>
  <c r="B204" i="3"/>
  <c r="A204" i="3"/>
  <c r="X203" i="3"/>
  <c r="AB203" i="3" s="1"/>
  <c r="AP203" i="3" s="1"/>
  <c r="V203" i="3"/>
  <c r="Z203" i="3" s="1"/>
  <c r="N203" i="3"/>
  <c r="L203" i="3"/>
  <c r="J203" i="3"/>
  <c r="H203" i="3"/>
  <c r="D203" i="3"/>
  <c r="B203" i="3"/>
  <c r="A203" i="3"/>
  <c r="X202" i="3"/>
  <c r="AB202" i="3" s="1"/>
  <c r="AP202" i="3" s="1"/>
  <c r="V202" i="3"/>
  <c r="Z202" i="3" s="1"/>
  <c r="N202" i="3"/>
  <c r="L202" i="3"/>
  <c r="J202" i="3"/>
  <c r="H202" i="3"/>
  <c r="D202" i="3"/>
  <c r="B202" i="3"/>
  <c r="A202" i="3"/>
  <c r="X201" i="3"/>
  <c r="AB201" i="3" s="1"/>
  <c r="AP201" i="3" s="1"/>
  <c r="V201" i="3"/>
  <c r="Z201" i="3" s="1"/>
  <c r="N201" i="3"/>
  <c r="L201" i="3"/>
  <c r="J201" i="3"/>
  <c r="H201" i="3"/>
  <c r="D201" i="3"/>
  <c r="B201" i="3"/>
  <c r="A201" i="3"/>
  <c r="X200" i="3"/>
  <c r="AB200" i="3" s="1"/>
  <c r="AP200" i="3" s="1"/>
  <c r="V200" i="3"/>
  <c r="Z200" i="3" s="1"/>
  <c r="N200" i="3"/>
  <c r="L200" i="3"/>
  <c r="J200" i="3"/>
  <c r="H200" i="3"/>
  <c r="D200" i="3"/>
  <c r="B200" i="3"/>
  <c r="A200" i="3"/>
  <c r="X199" i="3"/>
  <c r="AB199" i="3" s="1"/>
  <c r="AP199" i="3" s="1"/>
  <c r="V199" i="3"/>
  <c r="Z199" i="3" s="1"/>
  <c r="N199" i="3"/>
  <c r="L199" i="3"/>
  <c r="J199" i="3"/>
  <c r="H199" i="3"/>
  <c r="D199" i="3"/>
  <c r="B199" i="3"/>
  <c r="A199" i="3"/>
  <c r="X198" i="3"/>
  <c r="AB198" i="3" s="1"/>
  <c r="AP198" i="3" s="1"/>
  <c r="V198" i="3"/>
  <c r="Z198" i="3" s="1"/>
  <c r="N198" i="3"/>
  <c r="L198" i="3"/>
  <c r="J198" i="3"/>
  <c r="H198" i="3"/>
  <c r="D198" i="3"/>
  <c r="B198" i="3"/>
  <c r="A198" i="3"/>
  <c r="X197" i="3"/>
  <c r="AB197" i="3" s="1"/>
  <c r="AP197" i="3" s="1"/>
  <c r="V197" i="3"/>
  <c r="Z197" i="3" s="1"/>
  <c r="N197" i="3"/>
  <c r="L197" i="3"/>
  <c r="J197" i="3"/>
  <c r="H197" i="3"/>
  <c r="D197" i="3"/>
  <c r="B197" i="3"/>
  <c r="A197" i="3"/>
  <c r="X196" i="3"/>
  <c r="AB196" i="3" s="1"/>
  <c r="AP196" i="3" s="1"/>
  <c r="V196" i="3"/>
  <c r="Z196" i="3" s="1"/>
  <c r="N196" i="3"/>
  <c r="L196" i="3"/>
  <c r="J196" i="3"/>
  <c r="H196" i="3"/>
  <c r="D196" i="3"/>
  <c r="B196" i="3"/>
  <c r="A196" i="3"/>
  <c r="X195" i="3"/>
  <c r="AB195" i="3" s="1"/>
  <c r="AP195" i="3" s="1"/>
  <c r="V195" i="3"/>
  <c r="Z195" i="3" s="1"/>
  <c r="N195" i="3"/>
  <c r="L195" i="3"/>
  <c r="J195" i="3"/>
  <c r="H195" i="3"/>
  <c r="D195" i="3"/>
  <c r="B195" i="3"/>
  <c r="A195" i="3"/>
  <c r="X194" i="3"/>
  <c r="AB194" i="3" s="1"/>
  <c r="AP194" i="3" s="1"/>
  <c r="V194" i="3"/>
  <c r="Z194" i="3" s="1"/>
  <c r="N194" i="3"/>
  <c r="L194" i="3"/>
  <c r="J194" i="3"/>
  <c r="H194" i="3"/>
  <c r="D194" i="3"/>
  <c r="B194" i="3"/>
  <c r="A194" i="3"/>
  <c r="X193" i="3"/>
  <c r="AB193" i="3" s="1"/>
  <c r="AP193" i="3" s="1"/>
  <c r="V193" i="3"/>
  <c r="Z193" i="3" s="1"/>
  <c r="N193" i="3"/>
  <c r="L193" i="3"/>
  <c r="J193" i="3"/>
  <c r="H193" i="3"/>
  <c r="D193" i="3"/>
  <c r="B193" i="3"/>
  <c r="A193" i="3"/>
  <c r="X192" i="3"/>
  <c r="AB192" i="3" s="1"/>
  <c r="AP192" i="3" s="1"/>
  <c r="V192" i="3"/>
  <c r="Z192" i="3" s="1"/>
  <c r="N192" i="3"/>
  <c r="L192" i="3"/>
  <c r="J192" i="3"/>
  <c r="H192" i="3"/>
  <c r="D192" i="3"/>
  <c r="B192" i="3"/>
  <c r="A192" i="3"/>
  <c r="X191" i="3"/>
  <c r="AB191" i="3" s="1"/>
  <c r="AP191" i="3" s="1"/>
  <c r="V191" i="3"/>
  <c r="Z191" i="3" s="1"/>
  <c r="N191" i="3"/>
  <c r="L191" i="3"/>
  <c r="J191" i="3"/>
  <c r="H191" i="3"/>
  <c r="D191" i="3"/>
  <c r="B191" i="3"/>
  <c r="A191" i="3"/>
  <c r="X190" i="3"/>
  <c r="AB190" i="3" s="1"/>
  <c r="AP190" i="3" s="1"/>
  <c r="V190" i="3"/>
  <c r="Z190" i="3" s="1"/>
  <c r="N190" i="3"/>
  <c r="L190" i="3"/>
  <c r="J190" i="3"/>
  <c r="H190" i="3"/>
  <c r="D190" i="3"/>
  <c r="B190" i="3"/>
  <c r="A190" i="3"/>
  <c r="X189" i="3"/>
  <c r="AB189" i="3" s="1"/>
  <c r="AP189" i="3" s="1"/>
  <c r="V189" i="3"/>
  <c r="Z189" i="3" s="1"/>
  <c r="N189" i="3"/>
  <c r="L189" i="3"/>
  <c r="J189" i="3"/>
  <c r="H189" i="3"/>
  <c r="D189" i="3"/>
  <c r="B189" i="3"/>
  <c r="A189" i="3"/>
  <c r="X188" i="3"/>
  <c r="AB188" i="3" s="1"/>
  <c r="AP188" i="3" s="1"/>
  <c r="V188" i="3"/>
  <c r="Z188" i="3" s="1"/>
  <c r="N188" i="3"/>
  <c r="L188" i="3"/>
  <c r="J188" i="3"/>
  <c r="H188" i="3"/>
  <c r="D188" i="3"/>
  <c r="B188" i="3"/>
  <c r="A188" i="3"/>
  <c r="X187" i="3"/>
  <c r="AB187" i="3" s="1"/>
  <c r="AP187" i="3" s="1"/>
  <c r="V187" i="3"/>
  <c r="Z187" i="3" s="1"/>
  <c r="N187" i="3"/>
  <c r="L187" i="3"/>
  <c r="J187" i="3"/>
  <c r="H187" i="3"/>
  <c r="D187" i="3"/>
  <c r="B187" i="3"/>
  <c r="A187" i="3"/>
  <c r="X186" i="3"/>
  <c r="AB186" i="3" s="1"/>
  <c r="AP186" i="3" s="1"/>
  <c r="V186" i="3"/>
  <c r="Z186" i="3" s="1"/>
  <c r="N186" i="3"/>
  <c r="L186" i="3"/>
  <c r="J186" i="3"/>
  <c r="H186" i="3"/>
  <c r="D186" i="3"/>
  <c r="B186" i="3"/>
  <c r="A186" i="3"/>
  <c r="X185" i="3"/>
  <c r="AB185" i="3" s="1"/>
  <c r="AP185" i="3" s="1"/>
  <c r="V185" i="3"/>
  <c r="Z185" i="3" s="1"/>
  <c r="N185" i="3"/>
  <c r="L185" i="3"/>
  <c r="J185" i="3"/>
  <c r="H185" i="3"/>
  <c r="D185" i="3"/>
  <c r="B185" i="3"/>
  <c r="A185" i="3"/>
  <c r="X184" i="3"/>
  <c r="AB184" i="3" s="1"/>
  <c r="AP184" i="3" s="1"/>
  <c r="V184" i="3"/>
  <c r="Z184" i="3" s="1"/>
  <c r="N184" i="3"/>
  <c r="L184" i="3"/>
  <c r="J184" i="3"/>
  <c r="H184" i="3"/>
  <c r="D184" i="3"/>
  <c r="B184" i="3"/>
  <c r="A184" i="3"/>
  <c r="X183" i="3"/>
  <c r="AB183" i="3" s="1"/>
  <c r="AP183" i="3" s="1"/>
  <c r="V183" i="3"/>
  <c r="Z183" i="3" s="1"/>
  <c r="N183" i="3"/>
  <c r="L183" i="3"/>
  <c r="J183" i="3"/>
  <c r="H183" i="3"/>
  <c r="D183" i="3"/>
  <c r="B183" i="3"/>
  <c r="A183" i="3"/>
  <c r="X182" i="3"/>
  <c r="AB182" i="3" s="1"/>
  <c r="AP182" i="3" s="1"/>
  <c r="V182" i="3"/>
  <c r="Z182" i="3" s="1"/>
  <c r="N182" i="3"/>
  <c r="L182" i="3"/>
  <c r="J182" i="3"/>
  <c r="H182" i="3"/>
  <c r="D182" i="3"/>
  <c r="B182" i="3"/>
  <c r="A182" i="3"/>
  <c r="X181" i="3"/>
  <c r="AB181" i="3" s="1"/>
  <c r="AP181" i="3" s="1"/>
  <c r="V181" i="3"/>
  <c r="Z181" i="3" s="1"/>
  <c r="N181" i="3"/>
  <c r="L181" i="3"/>
  <c r="J181" i="3"/>
  <c r="H181" i="3"/>
  <c r="D181" i="3"/>
  <c r="B181" i="3"/>
  <c r="A181" i="3"/>
  <c r="X180" i="3"/>
  <c r="AB180" i="3" s="1"/>
  <c r="AP180" i="3" s="1"/>
  <c r="V180" i="3"/>
  <c r="Z180" i="3" s="1"/>
  <c r="N180" i="3"/>
  <c r="L180" i="3"/>
  <c r="J180" i="3"/>
  <c r="H180" i="3"/>
  <c r="D180" i="3"/>
  <c r="B180" i="3"/>
  <c r="A180" i="3"/>
  <c r="X179" i="3"/>
  <c r="AB179" i="3" s="1"/>
  <c r="AP179" i="3" s="1"/>
  <c r="V179" i="3"/>
  <c r="Z179" i="3" s="1"/>
  <c r="N179" i="3"/>
  <c r="L179" i="3"/>
  <c r="J179" i="3"/>
  <c r="H179" i="3"/>
  <c r="D179" i="3"/>
  <c r="B179" i="3"/>
  <c r="A179" i="3"/>
  <c r="X178" i="3"/>
  <c r="AB178" i="3" s="1"/>
  <c r="AP178" i="3" s="1"/>
  <c r="V178" i="3"/>
  <c r="Z178" i="3" s="1"/>
  <c r="N178" i="3"/>
  <c r="L178" i="3"/>
  <c r="J178" i="3"/>
  <c r="H178" i="3"/>
  <c r="D178" i="3"/>
  <c r="B178" i="3"/>
  <c r="A178" i="3"/>
  <c r="X177" i="3"/>
  <c r="AB177" i="3" s="1"/>
  <c r="AP177" i="3" s="1"/>
  <c r="V177" i="3"/>
  <c r="Z177" i="3" s="1"/>
  <c r="N177" i="3"/>
  <c r="L177" i="3"/>
  <c r="J177" i="3"/>
  <c r="H177" i="3"/>
  <c r="D177" i="3"/>
  <c r="B177" i="3"/>
  <c r="A177" i="3"/>
  <c r="X176" i="3"/>
  <c r="AB176" i="3" s="1"/>
  <c r="AP176" i="3" s="1"/>
  <c r="V176" i="3"/>
  <c r="Z176" i="3" s="1"/>
  <c r="N176" i="3"/>
  <c r="L176" i="3"/>
  <c r="J176" i="3"/>
  <c r="H176" i="3"/>
  <c r="D176" i="3"/>
  <c r="B176" i="3"/>
  <c r="A176" i="3"/>
  <c r="X175" i="3"/>
  <c r="AB175" i="3" s="1"/>
  <c r="AP175" i="3" s="1"/>
  <c r="V175" i="3"/>
  <c r="Z175" i="3" s="1"/>
  <c r="N175" i="3"/>
  <c r="L175" i="3"/>
  <c r="J175" i="3"/>
  <c r="H175" i="3"/>
  <c r="D175" i="3"/>
  <c r="B175" i="3"/>
  <c r="A175" i="3"/>
  <c r="X174" i="3"/>
  <c r="AB174" i="3" s="1"/>
  <c r="AP174" i="3" s="1"/>
  <c r="V174" i="3"/>
  <c r="Z174" i="3" s="1"/>
  <c r="N174" i="3"/>
  <c r="L174" i="3"/>
  <c r="J174" i="3"/>
  <c r="H174" i="3"/>
  <c r="D174" i="3"/>
  <c r="B174" i="3"/>
  <c r="A174" i="3"/>
  <c r="X173" i="3"/>
  <c r="AB173" i="3" s="1"/>
  <c r="AP173" i="3" s="1"/>
  <c r="V173" i="3"/>
  <c r="Z173" i="3" s="1"/>
  <c r="N173" i="3"/>
  <c r="L173" i="3"/>
  <c r="J173" i="3"/>
  <c r="H173" i="3"/>
  <c r="D173" i="3"/>
  <c r="B173" i="3"/>
  <c r="A173" i="3"/>
  <c r="X172" i="3"/>
  <c r="AB172" i="3" s="1"/>
  <c r="AP172" i="3" s="1"/>
  <c r="V172" i="3"/>
  <c r="Z172" i="3" s="1"/>
  <c r="N172" i="3"/>
  <c r="L172" i="3"/>
  <c r="J172" i="3"/>
  <c r="H172" i="3"/>
  <c r="D172" i="3"/>
  <c r="B172" i="3"/>
  <c r="A172" i="3"/>
  <c r="X171" i="3"/>
  <c r="AB171" i="3" s="1"/>
  <c r="AP171" i="3" s="1"/>
  <c r="V171" i="3"/>
  <c r="Z171" i="3" s="1"/>
  <c r="N171" i="3"/>
  <c r="L171" i="3"/>
  <c r="J171" i="3"/>
  <c r="H171" i="3"/>
  <c r="D171" i="3"/>
  <c r="B171" i="3"/>
  <c r="A171" i="3"/>
  <c r="X170" i="3"/>
  <c r="AB170" i="3" s="1"/>
  <c r="AP170" i="3" s="1"/>
  <c r="V170" i="3"/>
  <c r="Z170" i="3" s="1"/>
  <c r="N170" i="3"/>
  <c r="L170" i="3"/>
  <c r="J170" i="3"/>
  <c r="H170" i="3"/>
  <c r="D170" i="3"/>
  <c r="B170" i="3"/>
  <c r="A170" i="3"/>
  <c r="X169" i="3"/>
  <c r="AB169" i="3" s="1"/>
  <c r="AP169" i="3" s="1"/>
  <c r="V169" i="3"/>
  <c r="Z169" i="3" s="1"/>
  <c r="N169" i="3"/>
  <c r="L169" i="3"/>
  <c r="J169" i="3"/>
  <c r="H169" i="3"/>
  <c r="D169" i="3"/>
  <c r="B169" i="3"/>
  <c r="A169" i="3"/>
  <c r="X168" i="3"/>
  <c r="AB168" i="3" s="1"/>
  <c r="AP168" i="3" s="1"/>
  <c r="V168" i="3"/>
  <c r="Z168" i="3" s="1"/>
  <c r="N168" i="3"/>
  <c r="L168" i="3"/>
  <c r="J168" i="3"/>
  <c r="H168" i="3"/>
  <c r="D168" i="3"/>
  <c r="B168" i="3"/>
  <c r="A168" i="3"/>
  <c r="X167" i="3"/>
  <c r="AB167" i="3" s="1"/>
  <c r="AP167" i="3" s="1"/>
  <c r="V167" i="3"/>
  <c r="Z167" i="3" s="1"/>
  <c r="N167" i="3"/>
  <c r="L167" i="3"/>
  <c r="J167" i="3"/>
  <c r="H167" i="3"/>
  <c r="D167" i="3"/>
  <c r="B167" i="3"/>
  <c r="A167" i="3"/>
  <c r="X166" i="3"/>
  <c r="AB166" i="3" s="1"/>
  <c r="AP166" i="3" s="1"/>
  <c r="V166" i="3"/>
  <c r="Z166" i="3" s="1"/>
  <c r="N166" i="3"/>
  <c r="L166" i="3"/>
  <c r="J166" i="3"/>
  <c r="H166" i="3"/>
  <c r="D166" i="3"/>
  <c r="B166" i="3"/>
  <c r="A166" i="3"/>
  <c r="X165" i="3"/>
  <c r="AB165" i="3" s="1"/>
  <c r="AP165" i="3" s="1"/>
  <c r="V165" i="3"/>
  <c r="Z165" i="3" s="1"/>
  <c r="N165" i="3"/>
  <c r="L165" i="3"/>
  <c r="J165" i="3"/>
  <c r="H165" i="3"/>
  <c r="D165" i="3"/>
  <c r="B165" i="3"/>
  <c r="A165" i="3"/>
  <c r="X164" i="3"/>
  <c r="AB164" i="3" s="1"/>
  <c r="AP164" i="3" s="1"/>
  <c r="V164" i="3"/>
  <c r="Z164" i="3" s="1"/>
  <c r="N164" i="3"/>
  <c r="L164" i="3"/>
  <c r="J164" i="3"/>
  <c r="H164" i="3"/>
  <c r="D164" i="3"/>
  <c r="B164" i="3"/>
  <c r="A164" i="3"/>
  <c r="X163" i="3"/>
  <c r="AB163" i="3" s="1"/>
  <c r="AP163" i="3" s="1"/>
  <c r="V163" i="3"/>
  <c r="Z163" i="3" s="1"/>
  <c r="N163" i="3"/>
  <c r="L163" i="3"/>
  <c r="J163" i="3"/>
  <c r="H163" i="3"/>
  <c r="D163" i="3"/>
  <c r="B163" i="3"/>
  <c r="A163" i="3"/>
  <c r="X162" i="3"/>
  <c r="AB162" i="3" s="1"/>
  <c r="AP162" i="3" s="1"/>
  <c r="V162" i="3"/>
  <c r="Z162" i="3" s="1"/>
  <c r="N162" i="3"/>
  <c r="L162" i="3"/>
  <c r="J162" i="3"/>
  <c r="H162" i="3"/>
  <c r="D162" i="3"/>
  <c r="B162" i="3"/>
  <c r="A162" i="3"/>
  <c r="X161" i="3"/>
  <c r="AB161" i="3" s="1"/>
  <c r="AP161" i="3" s="1"/>
  <c r="V161" i="3"/>
  <c r="Z161" i="3" s="1"/>
  <c r="N161" i="3"/>
  <c r="L161" i="3"/>
  <c r="J161" i="3"/>
  <c r="H161" i="3"/>
  <c r="D161" i="3"/>
  <c r="B161" i="3"/>
  <c r="A161" i="3"/>
  <c r="X160" i="3"/>
  <c r="AB160" i="3" s="1"/>
  <c r="AP160" i="3" s="1"/>
  <c r="V160" i="3"/>
  <c r="Z160" i="3" s="1"/>
  <c r="N160" i="3"/>
  <c r="L160" i="3"/>
  <c r="J160" i="3"/>
  <c r="H160" i="3"/>
  <c r="D160" i="3"/>
  <c r="B160" i="3"/>
  <c r="A160" i="3"/>
  <c r="X159" i="3"/>
  <c r="AB159" i="3" s="1"/>
  <c r="AP159" i="3" s="1"/>
  <c r="V159" i="3"/>
  <c r="Z159" i="3" s="1"/>
  <c r="N159" i="3"/>
  <c r="L159" i="3"/>
  <c r="J159" i="3"/>
  <c r="H159" i="3"/>
  <c r="D159" i="3"/>
  <c r="B159" i="3"/>
  <c r="A159" i="3"/>
  <c r="X158" i="3"/>
  <c r="AB158" i="3" s="1"/>
  <c r="AP158" i="3" s="1"/>
  <c r="V158" i="3"/>
  <c r="Z158" i="3" s="1"/>
  <c r="N158" i="3"/>
  <c r="L158" i="3"/>
  <c r="J158" i="3"/>
  <c r="H158" i="3"/>
  <c r="D158" i="3"/>
  <c r="B158" i="3"/>
  <c r="A158" i="3"/>
  <c r="X157" i="3"/>
  <c r="AB157" i="3" s="1"/>
  <c r="AP157" i="3" s="1"/>
  <c r="V157" i="3"/>
  <c r="Z157" i="3" s="1"/>
  <c r="N157" i="3"/>
  <c r="L157" i="3"/>
  <c r="J157" i="3"/>
  <c r="H157" i="3"/>
  <c r="D157" i="3"/>
  <c r="B157" i="3"/>
  <c r="A157" i="3"/>
  <c r="X156" i="3"/>
  <c r="AB156" i="3" s="1"/>
  <c r="AP156" i="3" s="1"/>
  <c r="V156" i="3"/>
  <c r="Z156" i="3" s="1"/>
  <c r="N156" i="3"/>
  <c r="L156" i="3"/>
  <c r="J156" i="3"/>
  <c r="H156" i="3"/>
  <c r="D156" i="3"/>
  <c r="B156" i="3"/>
  <c r="A156" i="3"/>
  <c r="X155" i="3"/>
  <c r="AB155" i="3" s="1"/>
  <c r="AP155" i="3" s="1"/>
  <c r="V155" i="3"/>
  <c r="Z155" i="3" s="1"/>
  <c r="N155" i="3"/>
  <c r="L155" i="3"/>
  <c r="J155" i="3"/>
  <c r="H155" i="3"/>
  <c r="D155" i="3"/>
  <c r="B155" i="3"/>
  <c r="A155" i="3"/>
  <c r="X154" i="3"/>
  <c r="AB154" i="3" s="1"/>
  <c r="AP154" i="3" s="1"/>
  <c r="V154" i="3"/>
  <c r="Z154" i="3" s="1"/>
  <c r="N154" i="3"/>
  <c r="L154" i="3"/>
  <c r="J154" i="3"/>
  <c r="H154" i="3"/>
  <c r="D154" i="3"/>
  <c r="B154" i="3"/>
  <c r="A154" i="3"/>
  <c r="X153" i="3"/>
  <c r="AB153" i="3" s="1"/>
  <c r="AP153" i="3" s="1"/>
  <c r="V153" i="3"/>
  <c r="Z153" i="3" s="1"/>
  <c r="N153" i="3"/>
  <c r="L153" i="3"/>
  <c r="J153" i="3"/>
  <c r="H153" i="3"/>
  <c r="D153" i="3"/>
  <c r="B153" i="3"/>
  <c r="A153" i="3"/>
  <c r="X152" i="3"/>
  <c r="AB152" i="3" s="1"/>
  <c r="AP152" i="3" s="1"/>
  <c r="V152" i="3"/>
  <c r="Z152" i="3" s="1"/>
  <c r="N152" i="3"/>
  <c r="L152" i="3"/>
  <c r="J152" i="3"/>
  <c r="H152" i="3"/>
  <c r="D152" i="3"/>
  <c r="B152" i="3"/>
  <c r="A152" i="3"/>
  <c r="X151" i="3"/>
  <c r="AB151" i="3" s="1"/>
  <c r="AP151" i="3" s="1"/>
  <c r="V151" i="3"/>
  <c r="Z151" i="3" s="1"/>
  <c r="N151" i="3"/>
  <c r="L151" i="3"/>
  <c r="J151" i="3"/>
  <c r="H151" i="3"/>
  <c r="D151" i="3"/>
  <c r="B151" i="3"/>
  <c r="A151" i="3"/>
  <c r="X150" i="3"/>
  <c r="AB150" i="3" s="1"/>
  <c r="AP150" i="3" s="1"/>
  <c r="V150" i="3"/>
  <c r="Z150" i="3" s="1"/>
  <c r="N150" i="3"/>
  <c r="L150" i="3"/>
  <c r="J150" i="3"/>
  <c r="H150" i="3"/>
  <c r="D150" i="3"/>
  <c r="B150" i="3"/>
  <c r="A150" i="3"/>
  <c r="X149" i="3"/>
  <c r="AB149" i="3" s="1"/>
  <c r="AP149" i="3" s="1"/>
  <c r="V149" i="3"/>
  <c r="Z149" i="3" s="1"/>
  <c r="N149" i="3"/>
  <c r="L149" i="3"/>
  <c r="J149" i="3"/>
  <c r="H149" i="3"/>
  <c r="D149" i="3"/>
  <c r="B149" i="3"/>
  <c r="A149" i="3"/>
  <c r="X148" i="3"/>
  <c r="AB148" i="3" s="1"/>
  <c r="AP148" i="3" s="1"/>
  <c r="V148" i="3"/>
  <c r="Z148" i="3" s="1"/>
  <c r="N148" i="3"/>
  <c r="L148" i="3"/>
  <c r="J148" i="3"/>
  <c r="H148" i="3"/>
  <c r="D148" i="3"/>
  <c r="B148" i="3"/>
  <c r="A148" i="3"/>
  <c r="X147" i="3"/>
  <c r="AB147" i="3" s="1"/>
  <c r="AP147" i="3" s="1"/>
  <c r="V147" i="3"/>
  <c r="Z147" i="3" s="1"/>
  <c r="N147" i="3"/>
  <c r="L147" i="3"/>
  <c r="J147" i="3"/>
  <c r="H147" i="3"/>
  <c r="D147" i="3"/>
  <c r="B147" i="3"/>
  <c r="A147" i="3"/>
  <c r="X146" i="3"/>
  <c r="AB146" i="3" s="1"/>
  <c r="AP146" i="3" s="1"/>
  <c r="V146" i="3"/>
  <c r="Z146" i="3" s="1"/>
  <c r="N146" i="3"/>
  <c r="L146" i="3"/>
  <c r="J146" i="3"/>
  <c r="H146" i="3"/>
  <c r="D146" i="3"/>
  <c r="B146" i="3"/>
  <c r="A146" i="3"/>
  <c r="X145" i="3"/>
  <c r="AB145" i="3" s="1"/>
  <c r="AP145" i="3" s="1"/>
  <c r="V145" i="3"/>
  <c r="Z145" i="3" s="1"/>
  <c r="N145" i="3"/>
  <c r="L145" i="3"/>
  <c r="J145" i="3"/>
  <c r="H145" i="3"/>
  <c r="D145" i="3"/>
  <c r="B145" i="3"/>
  <c r="A145" i="3"/>
  <c r="X144" i="3"/>
  <c r="AB144" i="3" s="1"/>
  <c r="AP144" i="3" s="1"/>
  <c r="V144" i="3"/>
  <c r="Z144" i="3" s="1"/>
  <c r="N144" i="3"/>
  <c r="L144" i="3"/>
  <c r="J144" i="3"/>
  <c r="H144" i="3"/>
  <c r="D144" i="3"/>
  <c r="B144" i="3"/>
  <c r="A144" i="3"/>
  <c r="X143" i="3"/>
  <c r="AB143" i="3" s="1"/>
  <c r="AP143" i="3" s="1"/>
  <c r="V143" i="3"/>
  <c r="Z143" i="3" s="1"/>
  <c r="N143" i="3"/>
  <c r="L143" i="3"/>
  <c r="J143" i="3"/>
  <c r="H143" i="3"/>
  <c r="D143" i="3"/>
  <c r="B143" i="3"/>
  <c r="A143" i="3"/>
  <c r="X142" i="3"/>
  <c r="AB142" i="3" s="1"/>
  <c r="AP142" i="3" s="1"/>
  <c r="V142" i="3"/>
  <c r="Z142" i="3" s="1"/>
  <c r="N142" i="3"/>
  <c r="L142" i="3"/>
  <c r="J142" i="3"/>
  <c r="H142" i="3"/>
  <c r="D142" i="3"/>
  <c r="B142" i="3"/>
  <c r="A142" i="3"/>
  <c r="X141" i="3"/>
  <c r="AB141" i="3" s="1"/>
  <c r="AP141" i="3" s="1"/>
  <c r="V141" i="3"/>
  <c r="Z141" i="3" s="1"/>
  <c r="N141" i="3"/>
  <c r="L141" i="3"/>
  <c r="J141" i="3"/>
  <c r="H141" i="3"/>
  <c r="D141" i="3"/>
  <c r="B141" i="3"/>
  <c r="A141" i="3"/>
  <c r="X140" i="3"/>
  <c r="AB140" i="3" s="1"/>
  <c r="AP140" i="3" s="1"/>
  <c r="V140" i="3"/>
  <c r="Z140" i="3" s="1"/>
  <c r="N140" i="3"/>
  <c r="L140" i="3"/>
  <c r="J140" i="3"/>
  <c r="H140" i="3"/>
  <c r="D140" i="3"/>
  <c r="B140" i="3"/>
  <c r="A140" i="3"/>
  <c r="X139" i="3"/>
  <c r="AB139" i="3" s="1"/>
  <c r="AP139" i="3" s="1"/>
  <c r="V139" i="3"/>
  <c r="Z139" i="3" s="1"/>
  <c r="N139" i="3"/>
  <c r="L139" i="3"/>
  <c r="J139" i="3"/>
  <c r="H139" i="3"/>
  <c r="D139" i="3"/>
  <c r="B139" i="3"/>
  <c r="A139" i="3"/>
  <c r="X138" i="3"/>
  <c r="AB138" i="3" s="1"/>
  <c r="AP138" i="3" s="1"/>
  <c r="V138" i="3"/>
  <c r="Z138" i="3" s="1"/>
  <c r="N138" i="3"/>
  <c r="L138" i="3"/>
  <c r="J138" i="3"/>
  <c r="H138" i="3"/>
  <c r="D138" i="3"/>
  <c r="B138" i="3"/>
  <c r="A138" i="3"/>
  <c r="X137" i="3"/>
  <c r="AB137" i="3" s="1"/>
  <c r="AP137" i="3" s="1"/>
  <c r="V137" i="3"/>
  <c r="Z137" i="3" s="1"/>
  <c r="N137" i="3"/>
  <c r="L137" i="3"/>
  <c r="J137" i="3"/>
  <c r="H137" i="3"/>
  <c r="D137" i="3"/>
  <c r="B137" i="3"/>
  <c r="A137" i="3"/>
  <c r="X136" i="3"/>
  <c r="AB136" i="3" s="1"/>
  <c r="AP136" i="3" s="1"/>
  <c r="V136" i="3"/>
  <c r="Z136" i="3" s="1"/>
  <c r="N136" i="3"/>
  <c r="L136" i="3"/>
  <c r="J136" i="3"/>
  <c r="H136" i="3"/>
  <c r="D136" i="3"/>
  <c r="B136" i="3"/>
  <c r="A136" i="3"/>
  <c r="X135" i="3"/>
  <c r="AB135" i="3" s="1"/>
  <c r="AP135" i="3" s="1"/>
  <c r="V135" i="3"/>
  <c r="Z135" i="3" s="1"/>
  <c r="N135" i="3"/>
  <c r="L135" i="3"/>
  <c r="J135" i="3"/>
  <c r="H135" i="3"/>
  <c r="D135" i="3"/>
  <c r="B135" i="3"/>
  <c r="A135" i="3"/>
  <c r="X134" i="3"/>
  <c r="AB134" i="3" s="1"/>
  <c r="AP134" i="3" s="1"/>
  <c r="V134" i="3"/>
  <c r="Z134" i="3" s="1"/>
  <c r="N134" i="3"/>
  <c r="L134" i="3"/>
  <c r="J134" i="3"/>
  <c r="H134" i="3"/>
  <c r="D134" i="3"/>
  <c r="B134" i="3"/>
  <c r="A134" i="3"/>
  <c r="X133" i="3"/>
  <c r="AB133" i="3" s="1"/>
  <c r="AP133" i="3" s="1"/>
  <c r="V133" i="3"/>
  <c r="Z133" i="3" s="1"/>
  <c r="N133" i="3"/>
  <c r="L133" i="3"/>
  <c r="J133" i="3"/>
  <c r="H133" i="3"/>
  <c r="D133" i="3"/>
  <c r="B133" i="3"/>
  <c r="A133" i="3"/>
  <c r="X132" i="3"/>
  <c r="AB132" i="3" s="1"/>
  <c r="AP132" i="3" s="1"/>
  <c r="V132" i="3"/>
  <c r="Z132" i="3" s="1"/>
  <c r="N132" i="3"/>
  <c r="L132" i="3"/>
  <c r="J132" i="3"/>
  <c r="H132" i="3"/>
  <c r="D132" i="3"/>
  <c r="B132" i="3"/>
  <c r="A132" i="3"/>
  <c r="X131" i="3"/>
  <c r="AB131" i="3" s="1"/>
  <c r="AP131" i="3" s="1"/>
  <c r="V131" i="3"/>
  <c r="Z131" i="3" s="1"/>
  <c r="N131" i="3"/>
  <c r="L131" i="3"/>
  <c r="J131" i="3"/>
  <c r="H131" i="3"/>
  <c r="D131" i="3"/>
  <c r="B131" i="3"/>
  <c r="A131" i="3"/>
  <c r="X130" i="3"/>
  <c r="AB130" i="3" s="1"/>
  <c r="AP130" i="3" s="1"/>
  <c r="V130" i="3"/>
  <c r="Z130" i="3" s="1"/>
  <c r="N130" i="3"/>
  <c r="L130" i="3"/>
  <c r="J130" i="3"/>
  <c r="H130" i="3"/>
  <c r="D130" i="3"/>
  <c r="B130" i="3"/>
  <c r="A130" i="3"/>
  <c r="X129" i="3"/>
  <c r="AB129" i="3" s="1"/>
  <c r="AP129" i="3" s="1"/>
  <c r="V129" i="3"/>
  <c r="Z129" i="3" s="1"/>
  <c r="N129" i="3"/>
  <c r="L129" i="3"/>
  <c r="J129" i="3"/>
  <c r="H129" i="3"/>
  <c r="D129" i="3"/>
  <c r="B129" i="3"/>
  <c r="A129" i="3"/>
  <c r="X128" i="3"/>
  <c r="AB128" i="3" s="1"/>
  <c r="AP128" i="3" s="1"/>
  <c r="V128" i="3"/>
  <c r="Z128" i="3" s="1"/>
  <c r="N128" i="3"/>
  <c r="L128" i="3"/>
  <c r="J128" i="3"/>
  <c r="H128" i="3"/>
  <c r="D128" i="3"/>
  <c r="B128" i="3"/>
  <c r="A128" i="3"/>
  <c r="X127" i="3"/>
  <c r="AB127" i="3" s="1"/>
  <c r="AP127" i="3" s="1"/>
  <c r="V127" i="3"/>
  <c r="Z127" i="3" s="1"/>
  <c r="N127" i="3"/>
  <c r="L127" i="3"/>
  <c r="J127" i="3"/>
  <c r="H127" i="3"/>
  <c r="D127" i="3"/>
  <c r="B127" i="3"/>
  <c r="A127" i="3"/>
  <c r="X126" i="3"/>
  <c r="AB126" i="3" s="1"/>
  <c r="AP126" i="3" s="1"/>
  <c r="V126" i="3"/>
  <c r="Z126" i="3" s="1"/>
  <c r="N126" i="3"/>
  <c r="L126" i="3"/>
  <c r="J126" i="3"/>
  <c r="H126" i="3"/>
  <c r="D126" i="3"/>
  <c r="B126" i="3"/>
  <c r="A126" i="3"/>
  <c r="X125" i="3"/>
  <c r="AB125" i="3" s="1"/>
  <c r="AP125" i="3" s="1"/>
  <c r="V125" i="3"/>
  <c r="Z125" i="3" s="1"/>
  <c r="N125" i="3"/>
  <c r="L125" i="3"/>
  <c r="J125" i="3"/>
  <c r="H125" i="3"/>
  <c r="D125" i="3"/>
  <c r="B125" i="3"/>
  <c r="A125" i="3"/>
  <c r="X124" i="3"/>
  <c r="AB124" i="3" s="1"/>
  <c r="AP124" i="3" s="1"/>
  <c r="V124" i="3"/>
  <c r="Z124" i="3" s="1"/>
  <c r="N124" i="3"/>
  <c r="L124" i="3"/>
  <c r="J124" i="3"/>
  <c r="H124" i="3"/>
  <c r="D124" i="3"/>
  <c r="B124" i="3"/>
  <c r="A124" i="3"/>
  <c r="X123" i="3"/>
  <c r="AB123" i="3" s="1"/>
  <c r="AP123" i="3" s="1"/>
  <c r="V123" i="3"/>
  <c r="Z123" i="3" s="1"/>
  <c r="N123" i="3"/>
  <c r="L123" i="3"/>
  <c r="J123" i="3"/>
  <c r="H123" i="3"/>
  <c r="D123" i="3"/>
  <c r="B123" i="3"/>
  <c r="A123" i="3"/>
  <c r="X122" i="3"/>
  <c r="AB122" i="3" s="1"/>
  <c r="AP122" i="3" s="1"/>
  <c r="V122" i="3"/>
  <c r="Z122" i="3" s="1"/>
  <c r="N122" i="3"/>
  <c r="L122" i="3"/>
  <c r="J122" i="3"/>
  <c r="H122" i="3"/>
  <c r="D122" i="3"/>
  <c r="B122" i="3"/>
  <c r="A122" i="3"/>
  <c r="X121" i="3"/>
  <c r="AB121" i="3" s="1"/>
  <c r="AP121" i="3" s="1"/>
  <c r="V121" i="3"/>
  <c r="Z121" i="3" s="1"/>
  <c r="N121" i="3"/>
  <c r="L121" i="3"/>
  <c r="J121" i="3"/>
  <c r="H121" i="3"/>
  <c r="D121" i="3"/>
  <c r="B121" i="3"/>
  <c r="A121" i="3"/>
  <c r="X120" i="3"/>
  <c r="AB120" i="3" s="1"/>
  <c r="AP120" i="3" s="1"/>
  <c r="V120" i="3"/>
  <c r="Z120" i="3" s="1"/>
  <c r="N120" i="3"/>
  <c r="L120" i="3"/>
  <c r="J120" i="3"/>
  <c r="H120" i="3"/>
  <c r="D120" i="3"/>
  <c r="B120" i="3"/>
  <c r="A120" i="3"/>
  <c r="X119" i="3"/>
  <c r="AB119" i="3" s="1"/>
  <c r="AP119" i="3" s="1"/>
  <c r="V119" i="3"/>
  <c r="Z119" i="3" s="1"/>
  <c r="N119" i="3"/>
  <c r="L119" i="3"/>
  <c r="J119" i="3"/>
  <c r="H119" i="3"/>
  <c r="D119" i="3"/>
  <c r="B119" i="3"/>
  <c r="A119" i="3"/>
  <c r="X118" i="3"/>
  <c r="AB118" i="3" s="1"/>
  <c r="AP118" i="3" s="1"/>
  <c r="V118" i="3"/>
  <c r="Z118" i="3" s="1"/>
  <c r="N118" i="3"/>
  <c r="L118" i="3"/>
  <c r="J118" i="3"/>
  <c r="H118" i="3"/>
  <c r="D118" i="3"/>
  <c r="B118" i="3"/>
  <c r="A118" i="3"/>
  <c r="X117" i="3"/>
  <c r="AB117" i="3" s="1"/>
  <c r="AP117" i="3" s="1"/>
  <c r="V117" i="3"/>
  <c r="Z117" i="3" s="1"/>
  <c r="N117" i="3"/>
  <c r="L117" i="3"/>
  <c r="J117" i="3"/>
  <c r="H117" i="3"/>
  <c r="D117" i="3"/>
  <c r="B117" i="3"/>
  <c r="A117" i="3"/>
  <c r="X116" i="3"/>
  <c r="AB116" i="3" s="1"/>
  <c r="AP116" i="3" s="1"/>
  <c r="V116" i="3"/>
  <c r="Z116" i="3" s="1"/>
  <c r="N116" i="3"/>
  <c r="L116" i="3"/>
  <c r="J116" i="3"/>
  <c r="H116" i="3"/>
  <c r="D116" i="3"/>
  <c r="B116" i="3"/>
  <c r="A116" i="3"/>
  <c r="X115" i="3"/>
  <c r="AB115" i="3" s="1"/>
  <c r="AP115" i="3" s="1"/>
  <c r="V115" i="3"/>
  <c r="Z115" i="3" s="1"/>
  <c r="N115" i="3"/>
  <c r="L115" i="3"/>
  <c r="J115" i="3"/>
  <c r="H115" i="3"/>
  <c r="D115" i="3"/>
  <c r="B115" i="3"/>
  <c r="A115" i="3"/>
  <c r="X114" i="3"/>
  <c r="AB114" i="3" s="1"/>
  <c r="AP114" i="3" s="1"/>
  <c r="V114" i="3"/>
  <c r="Z114" i="3" s="1"/>
  <c r="N114" i="3"/>
  <c r="L114" i="3"/>
  <c r="J114" i="3"/>
  <c r="H114" i="3"/>
  <c r="D114" i="3"/>
  <c r="B114" i="3"/>
  <c r="A114" i="3"/>
  <c r="X113" i="3"/>
  <c r="AB113" i="3" s="1"/>
  <c r="AP113" i="3" s="1"/>
  <c r="V113" i="3"/>
  <c r="Z113" i="3" s="1"/>
  <c r="N113" i="3"/>
  <c r="L113" i="3"/>
  <c r="J113" i="3"/>
  <c r="H113" i="3"/>
  <c r="D113" i="3"/>
  <c r="B113" i="3"/>
  <c r="A113" i="3"/>
  <c r="X112" i="3"/>
  <c r="AB112" i="3" s="1"/>
  <c r="AP112" i="3" s="1"/>
  <c r="V112" i="3"/>
  <c r="Z112" i="3" s="1"/>
  <c r="N112" i="3"/>
  <c r="L112" i="3"/>
  <c r="J112" i="3"/>
  <c r="H112" i="3"/>
  <c r="D112" i="3"/>
  <c r="B112" i="3"/>
  <c r="A112" i="3"/>
  <c r="X111" i="3"/>
  <c r="AB111" i="3" s="1"/>
  <c r="AP111" i="3" s="1"/>
  <c r="V111" i="3"/>
  <c r="Z111" i="3" s="1"/>
  <c r="N111" i="3"/>
  <c r="L111" i="3"/>
  <c r="J111" i="3"/>
  <c r="H111" i="3"/>
  <c r="D111" i="3"/>
  <c r="B111" i="3"/>
  <c r="A111" i="3"/>
  <c r="X110" i="3"/>
  <c r="AB110" i="3" s="1"/>
  <c r="AP110" i="3" s="1"/>
  <c r="V110" i="3"/>
  <c r="Z110" i="3" s="1"/>
  <c r="N110" i="3"/>
  <c r="L110" i="3"/>
  <c r="J110" i="3"/>
  <c r="H110" i="3"/>
  <c r="D110" i="3"/>
  <c r="B110" i="3"/>
  <c r="A110" i="3"/>
  <c r="X109" i="3"/>
  <c r="AB109" i="3" s="1"/>
  <c r="AP109" i="3" s="1"/>
  <c r="V109" i="3"/>
  <c r="Z109" i="3" s="1"/>
  <c r="N109" i="3"/>
  <c r="L109" i="3"/>
  <c r="J109" i="3"/>
  <c r="H109" i="3"/>
  <c r="D109" i="3"/>
  <c r="B109" i="3"/>
  <c r="A109" i="3"/>
  <c r="X108" i="3"/>
  <c r="AB108" i="3" s="1"/>
  <c r="AP108" i="3" s="1"/>
  <c r="V108" i="3"/>
  <c r="Z108" i="3" s="1"/>
  <c r="N108" i="3"/>
  <c r="L108" i="3"/>
  <c r="J108" i="3"/>
  <c r="H108" i="3"/>
  <c r="D108" i="3"/>
  <c r="B108" i="3"/>
  <c r="A108" i="3"/>
  <c r="X107" i="3"/>
  <c r="AB107" i="3" s="1"/>
  <c r="AP107" i="3" s="1"/>
  <c r="V107" i="3"/>
  <c r="Z107" i="3" s="1"/>
  <c r="N107" i="3"/>
  <c r="L107" i="3"/>
  <c r="J107" i="3"/>
  <c r="H107" i="3"/>
  <c r="D107" i="3"/>
  <c r="B107" i="3"/>
  <c r="A107" i="3"/>
  <c r="X106" i="3"/>
  <c r="AB106" i="3" s="1"/>
  <c r="AP106" i="3" s="1"/>
  <c r="V106" i="3"/>
  <c r="Z106" i="3" s="1"/>
  <c r="N106" i="3"/>
  <c r="L106" i="3"/>
  <c r="J106" i="3"/>
  <c r="H106" i="3"/>
  <c r="D106" i="3"/>
  <c r="B106" i="3"/>
  <c r="A106" i="3"/>
  <c r="X105" i="3"/>
  <c r="AB105" i="3" s="1"/>
  <c r="AP105" i="3" s="1"/>
  <c r="V105" i="3"/>
  <c r="Z105" i="3" s="1"/>
  <c r="N105" i="3"/>
  <c r="L105" i="3"/>
  <c r="J105" i="3"/>
  <c r="H105" i="3"/>
  <c r="D105" i="3"/>
  <c r="B105" i="3"/>
  <c r="A105" i="3"/>
  <c r="X104" i="3"/>
  <c r="AB104" i="3" s="1"/>
  <c r="AP104" i="3" s="1"/>
  <c r="V104" i="3"/>
  <c r="Z104" i="3" s="1"/>
  <c r="N104" i="3"/>
  <c r="L104" i="3"/>
  <c r="J104" i="3"/>
  <c r="H104" i="3"/>
  <c r="D104" i="3"/>
  <c r="B104" i="3"/>
  <c r="A104" i="3"/>
  <c r="X103" i="3"/>
  <c r="AB103" i="3" s="1"/>
  <c r="AP103" i="3" s="1"/>
  <c r="V103" i="3"/>
  <c r="Z103" i="3" s="1"/>
  <c r="N103" i="3"/>
  <c r="L103" i="3"/>
  <c r="J103" i="3"/>
  <c r="H103" i="3"/>
  <c r="D103" i="3"/>
  <c r="B103" i="3"/>
  <c r="A103" i="3"/>
  <c r="X102" i="3"/>
  <c r="AB102" i="3" s="1"/>
  <c r="AP102" i="3" s="1"/>
  <c r="V102" i="3"/>
  <c r="Z102" i="3" s="1"/>
  <c r="N102" i="3"/>
  <c r="L102" i="3"/>
  <c r="J102" i="3"/>
  <c r="H102" i="3"/>
  <c r="D102" i="3"/>
  <c r="B102" i="3"/>
  <c r="A102" i="3"/>
  <c r="X101" i="3"/>
  <c r="AB101" i="3" s="1"/>
  <c r="AP101" i="3" s="1"/>
  <c r="V101" i="3"/>
  <c r="Z101" i="3" s="1"/>
  <c r="N101" i="3"/>
  <c r="L101" i="3"/>
  <c r="J101" i="3"/>
  <c r="H101" i="3"/>
  <c r="D101" i="3"/>
  <c r="B101" i="3"/>
  <c r="A101" i="3"/>
  <c r="X100" i="3"/>
  <c r="AB100" i="3" s="1"/>
  <c r="AP100" i="3" s="1"/>
  <c r="V100" i="3"/>
  <c r="Z100" i="3" s="1"/>
  <c r="N100" i="3"/>
  <c r="L100" i="3"/>
  <c r="J100" i="3"/>
  <c r="H100" i="3"/>
  <c r="D100" i="3"/>
  <c r="B100" i="3"/>
  <c r="A100" i="3"/>
  <c r="X99" i="3"/>
  <c r="AB99" i="3" s="1"/>
  <c r="AP99" i="3" s="1"/>
  <c r="V99" i="3"/>
  <c r="Z99" i="3" s="1"/>
  <c r="N99" i="3"/>
  <c r="L99" i="3"/>
  <c r="J99" i="3"/>
  <c r="H99" i="3"/>
  <c r="D99" i="3"/>
  <c r="B99" i="3"/>
  <c r="A99" i="3"/>
  <c r="X98" i="3"/>
  <c r="AB98" i="3" s="1"/>
  <c r="AP98" i="3" s="1"/>
  <c r="V98" i="3"/>
  <c r="Z98" i="3" s="1"/>
  <c r="N98" i="3"/>
  <c r="L98" i="3"/>
  <c r="J98" i="3"/>
  <c r="H98" i="3"/>
  <c r="D98" i="3"/>
  <c r="B98" i="3"/>
  <c r="A98" i="3"/>
  <c r="X97" i="3"/>
  <c r="AB97" i="3" s="1"/>
  <c r="AP97" i="3" s="1"/>
  <c r="V97" i="3"/>
  <c r="Z97" i="3" s="1"/>
  <c r="N97" i="3"/>
  <c r="L97" i="3"/>
  <c r="J97" i="3"/>
  <c r="H97" i="3"/>
  <c r="D97" i="3"/>
  <c r="B97" i="3"/>
  <c r="A97" i="3"/>
  <c r="X96" i="3"/>
  <c r="AB96" i="3" s="1"/>
  <c r="AP96" i="3" s="1"/>
  <c r="V96" i="3"/>
  <c r="Z96" i="3" s="1"/>
  <c r="N96" i="3"/>
  <c r="L96" i="3"/>
  <c r="J96" i="3"/>
  <c r="H96" i="3"/>
  <c r="D96" i="3"/>
  <c r="B96" i="3"/>
  <c r="A96" i="3"/>
  <c r="X95" i="3"/>
  <c r="AB95" i="3" s="1"/>
  <c r="AP95" i="3" s="1"/>
  <c r="V95" i="3"/>
  <c r="Z95" i="3" s="1"/>
  <c r="N95" i="3"/>
  <c r="L95" i="3"/>
  <c r="J95" i="3"/>
  <c r="H95" i="3"/>
  <c r="D95" i="3"/>
  <c r="B95" i="3"/>
  <c r="A95" i="3"/>
  <c r="X94" i="3"/>
  <c r="AB94" i="3" s="1"/>
  <c r="AP94" i="3" s="1"/>
  <c r="V94" i="3"/>
  <c r="Z94" i="3" s="1"/>
  <c r="N94" i="3"/>
  <c r="L94" i="3"/>
  <c r="J94" i="3"/>
  <c r="H94" i="3"/>
  <c r="D94" i="3"/>
  <c r="B94" i="3"/>
  <c r="A94" i="3"/>
  <c r="X93" i="3"/>
  <c r="AB93" i="3" s="1"/>
  <c r="AP93" i="3" s="1"/>
  <c r="V93" i="3"/>
  <c r="Z93" i="3" s="1"/>
  <c r="N93" i="3"/>
  <c r="L93" i="3"/>
  <c r="J93" i="3"/>
  <c r="H93" i="3"/>
  <c r="D93" i="3"/>
  <c r="B93" i="3"/>
  <c r="A93" i="3"/>
  <c r="X92" i="3"/>
  <c r="AB92" i="3" s="1"/>
  <c r="AP92" i="3" s="1"/>
  <c r="V92" i="3"/>
  <c r="Z92" i="3" s="1"/>
  <c r="N92" i="3"/>
  <c r="L92" i="3"/>
  <c r="J92" i="3"/>
  <c r="H92" i="3"/>
  <c r="D92" i="3"/>
  <c r="B92" i="3"/>
  <c r="A92" i="3"/>
  <c r="X91" i="3"/>
  <c r="AB91" i="3" s="1"/>
  <c r="AP91" i="3" s="1"/>
  <c r="V91" i="3"/>
  <c r="Z91" i="3" s="1"/>
  <c r="N91" i="3"/>
  <c r="L91" i="3"/>
  <c r="J91" i="3"/>
  <c r="H91" i="3"/>
  <c r="D91" i="3"/>
  <c r="B91" i="3"/>
  <c r="A91" i="3"/>
  <c r="X90" i="3"/>
  <c r="AB90" i="3" s="1"/>
  <c r="AP90" i="3" s="1"/>
  <c r="V90" i="3"/>
  <c r="Z90" i="3" s="1"/>
  <c r="N90" i="3"/>
  <c r="L90" i="3"/>
  <c r="J90" i="3"/>
  <c r="H90" i="3"/>
  <c r="D90" i="3"/>
  <c r="B90" i="3"/>
  <c r="A90" i="3"/>
  <c r="X89" i="3"/>
  <c r="AB89" i="3" s="1"/>
  <c r="AP89" i="3" s="1"/>
  <c r="V89" i="3"/>
  <c r="Z89" i="3" s="1"/>
  <c r="N89" i="3"/>
  <c r="L89" i="3"/>
  <c r="J89" i="3"/>
  <c r="H89" i="3"/>
  <c r="D89" i="3"/>
  <c r="B89" i="3"/>
  <c r="A89" i="3"/>
  <c r="X88" i="3"/>
  <c r="AB88" i="3" s="1"/>
  <c r="AP88" i="3" s="1"/>
  <c r="V88" i="3"/>
  <c r="Z88" i="3" s="1"/>
  <c r="N88" i="3"/>
  <c r="L88" i="3"/>
  <c r="J88" i="3"/>
  <c r="H88" i="3"/>
  <c r="D88" i="3"/>
  <c r="B88" i="3"/>
  <c r="A88" i="3"/>
  <c r="X87" i="3"/>
  <c r="AB87" i="3" s="1"/>
  <c r="AP87" i="3" s="1"/>
  <c r="V87" i="3"/>
  <c r="Z87" i="3" s="1"/>
  <c r="N87" i="3"/>
  <c r="L87" i="3"/>
  <c r="J87" i="3"/>
  <c r="H87" i="3"/>
  <c r="D87" i="3"/>
  <c r="B87" i="3"/>
  <c r="A87" i="3"/>
  <c r="X86" i="3"/>
  <c r="AB86" i="3" s="1"/>
  <c r="AP86" i="3" s="1"/>
  <c r="V86" i="3"/>
  <c r="Z86" i="3" s="1"/>
  <c r="N86" i="3"/>
  <c r="L86" i="3"/>
  <c r="J86" i="3"/>
  <c r="H86" i="3"/>
  <c r="D86" i="3"/>
  <c r="B86" i="3"/>
  <c r="A86" i="3"/>
  <c r="X85" i="3"/>
  <c r="AB85" i="3" s="1"/>
  <c r="AP85" i="3" s="1"/>
  <c r="V85" i="3"/>
  <c r="Z85" i="3" s="1"/>
  <c r="N85" i="3"/>
  <c r="L85" i="3"/>
  <c r="J85" i="3"/>
  <c r="H85" i="3"/>
  <c r="D85" i="3"/>
  <c r="B85" i="3"/>
  <c r="A85" i="3"/>
  <c r="X84" i="3"/>
  <c r="AB84" i="3" s="1"/>
  <c r="AP84" i="3" s="1"/>
  <c r="V84" i="3"/>
  <c r="Z84" i="3" s="1"/>
  <c r="N84" i="3"/>
  <c r="L84" i="3"/>
  <c r="J84" i="3"/>
  <c r="H84" i="3"/>
  <c r="D84" i="3"/>
  <c r="B84" i="3"/>
  <c r="A84" i="3"/>
  <c r="X83" i="3"/>
  <c r="AB83" i="3" s="1"/>
  <c r="AP83" i="3" s="1"/>
  <c r="V83" i="3"/>
  <c r="Z83" i="3" s="1"/>
  <c r="N83" i="3"/>
  <c r="L83" i="3"/>
  <c r="J83" i="3"/>
  <c r="H83" i="3"/>
  <c r="D83" i="3"/>
  <c r="B83" i="3"/>
  <c r="A83" i="3"/>
  <c r="X82" i="3"/>
  <c r="AB82" i="3" s="1"/>
  <c r="AP82" i="3" s="1"/>
  <c r="V82" i="3"/>
  <c r="Z82" i="3" s="1"/>
  <c r="N82" i="3"/>
  <c r="L82" i="3"/>
  <c r="J82" i="3"/>
  <c r="H82" i="3"/>
  <c r="D82" i="3"/>
  <c r="B82" i="3"/>
  <c r="A82" i="3"/>
  <c r="X81" i="3"/>
  <c r="AB81" i="3" s="1"/>
  <c r="AP81" i="3" s="1"/>
  <c r="V81" i="3"/>
  <c r="Z81" i="3" s="1"/>
  <c r="N81" i="3"/>
  <c r="L81" i="3"/>
  <c r="J81" i="3"/>
  <c r="H81" i="3"/>
  <c r="D81" i="3"/>
  <c r="B81" i="3"/>
  <c r="A81" i="3"/>
  <c r="X80" i="3"/>
  <c r="AB80" i="3" s="1"/>
  <c r="AP80" i="3" s="1"/>
  <c r="V80" i="3"/>
  <c r="Z80" i="3" s="1"/>
  <c r="N80" i="3"/>
  <c r="L80" i="3"/>
  <c r="J80" i="3"/>
  <c r="H80" i="3"/>
  <c r="D80" i="3"/>
  <c r="B80" i="3"/>
  <c r="A80" i="3"/>
  <c r="X79" i="3"/>
  <c r="AB79" i="3" s="1"/>
  <c r="AP79" i="3" s="1"/>
  <c r="V79" i="3"/>
  <c r="Z79" i="3" s="1"/>
  <c r="N79" i="3"/>
  <c r="L79" i="3"/>
  <c r="J79" i="3"/>
  <c r="H79" i="3"/>
  <c r="D79" i="3"/>
  <c r="B79" i="3"/>
  <c r="A79" i="3"/>
  <c r="X78" i="3"/>
  <c r="AB78" i="3" s="1"/>
  <c r="AP78" i="3" s="1"/>
  <c r="V78" i="3"/>
  <c r="Z78" i="3" s="1"/>
  <c r="N78" i="3"/>
  <c r="L78" i="3"/>
  <c r="J78" i="3"/>
  <c r="H78" i="3"/>
  <c r="D78" i="3"/>
  <c r="B78" i="3"/>
  <c r="A78" i="3"/>
  <c r="X77" i="3"/>
  <c r="AB77" i="3" s="1"/>
  <c r="AP77" i="3" s="1"/>
  <c r="V77" i="3"/>
  <c r="Z77" i="3" s="1"/>
  <c r="N77" i="3"/>
  <c r="L77" i="3"/>
  <c r="J77" i="3"/>
  <c r="H77" i="3"/>
  <c r="D77" i="3"/>
  <c r="B77" i="3"/>
  <c r="A77" i="3"/>
  <c r="X76" i="3"/>
  <c r="AB76" i="3" s="1"/>
  <c r="AP76" i="3" s="1"/>
  <c r="V76" i="3"/>
  <c r="Z76" i="3" s="1"/>
  <c r="N76" i="3"/>
  <c r="L76" i="3"/>
  <c r="J76" i="3"/>
  <c r="H76" i="3"/>
  <c r="D76" i="3"/>
  <c r="B76" i="3"/>
  <c r="A76" i="3"/>
  <c r="X75" i="3"/>
  <c r="AB75" i="3" s="1"/>
  <c r="AP75" i="3" s="1"/>
  <c r="V75" i="3"/>
  <c r="Z75" i="3" s="1"/>
  <c r="N75" i="3"/>
  <c r="L75" i="3"/>
  <c r="J75" i="3"/>
  <c r="H75" i="3"/>
  <c r="D75" i="3"/>
  <c r="B75" i="3"/>
  <c r="A75" i="3"/>
  <c r="X74" i="3"/>
  <c r="AB74" i="3" s="1"/>
  <c r="AP74" i="3" s="1"/>
  <c r="V74" i="3"/>
  <c r="Z74" i="3" s="1"/>
  <c r="N74" i="3"/>
  <c r="L74" i="3"/>
  <c r="J74" i="3"/>
  <c r="H74" i="3"/>
  <c r="D74" i="3"/>
  <c r="B74" i="3"/>
  <c r="A74" i="3"/>
  <c r="X73" i="3"/>
  <c r="AB73" i="3" s="1"/>
  <c r="AP73" i="3" s="1"/>
  <c r="V73" i="3"/>
  <c r="Z73" i="3" s="1"/>
  <c r="N73" i="3"/>
  <c r="L73" i="3"/>
  <c r="J73" i="3"/>
  <c r="H73" i="3"/>
  <c r="D73" i="3"/>
  <c r="B73" i="3"/>
  <c r="A73" i="3"/>
  <c r="X72" i="3"/>
  <c r="AB72" i="3" s="1"/>
  <c r="AP72" i="3" s="1"/>
  <c r="V72" i="3"/>
  <c r="Z72" i="3" s="1"/>
  <c r="N72" i="3"/>
  <c r="L72" i="3"/>
  <c r="J72" i="3"/>
  <c r="H72" i="3"/>
  <c r="D72" i="3"/>
  <c r="B72" i="3"/>
  <c r="A72" i="3"/>
  <c r="X71" i="3"/>
  <c r="AB71" i="3" s="1"/>
  <c r="AP71" i="3" s="1"/>
  <c r="V71" i="3"/>
  <c r="Z71" i="3" s="1"/>
  <c r="N71" i="3"/>
  <c r="L71" i="3"/>
  <c r="J71" i="3"/>
  <c r="H71" i="3"/>
  <c r="D71" i="3"/>
  <c r="B71" i="3"/>
  <c r="A71" i="3"/>
  <c r="X70" i="3"/>
  <c r="AB70" i="3" s="1"/>
  <c r="AP70" i="3" s="1"/>
  <c r="V70" i="3"/>
  <c r="Z70" i="3" s="1"/>
  <c r="N70" i="3"/>
  <c r="L70" i="3"/>
  <c r="J70" i="3"/>
  <c r="H70" i="3"/>
  <c r="D70" i="3"/>
  <c r="B70" i="3"/>
  <c r="A70" i="3"/>
  <c r="X69" i="3"/>
  <c r="AB69" i="3" s="1"/>
  <c r="AP69" i="3" s="1"/>
  <c r="V69" i="3"/>
  <c r="Z69" i="3" s="1"/>
  <c r="N69" i="3"/>
  <c r="L69" i="3"/>
  <c r="J69" i="3"/>
  <c r="H69" i="3"/>
  <c r="D69" i="3"/>
  <c r="B69" i="3"/>
  <c r="A69" i="3"/>
  <c r="X68" i="3"/>
  <c r="AB68" i="3" s="1"/>
  <c r="AP68" i="3" s="1"/>
  <c r="V68" i="3"/>
  <c r="Z68" i="3" s="1"/>
  <c r="N68" i="3"/>
  <c r="L68" i="3"/>
  <c r="J68" i="3"/>
  <c r="H68" i="3"/>
  <c r="D68" i="3"/>
  <c r="B68" i="3"/>
  <c r="A68" i="3"/>
  <c r="X67" i="3"/>
  <c r="AB67" i="3" s="1"/>
  <c r="AP67" i="3" s="1"/>
  <c r="V67" i="3"/>
  <c r="Z67" i="3" s="1"/>
  <c r="N67" i="3"/>
  <c r="L67" i="3"/>
  <c r="J67" i="3"/>
  <c r="H67" i="3"/>
  <c r="D67" i="3"/>
  <c r="T67" i="3" s="1"/>
  <c r="B67" i="3"/>
  <c r="A67" i="3"/>
  <c r="X66" i="3"/>
  <c r="AB66" i="3" s="1"/>
  <c r="AP66" i="3" s="1"/>
  <c r="V66" i="3"/>
  <c r="Z66" i="3" s="1"/>
  <c r="N66" i="3"/>
  <c r="L66" i="3"/>
  <c r="J66" i="3"/>
  <c r="H66" i="3"/>
  <c r="D66" i="3"/>
  <c r="T66" i="3" s="1"/>
  <c r="B66" i="3"/>
  <c r="A66" i="3"/>
  <c r="X65" i="3"/>
  <c r="AB65" i="3" s="1"/>
  <c r="AP65" i="3" s="1"/>
  <c r="V65" i="3"/>
  <c r="Z65" i="3" s="1"/>
  <c r="N65" i="3"/>
  <c r="L65" i="3"/>
  <c r="J65" i="3"/>
  <c r="H65" i="3"/>
  <c r="D65" i="3"/>
  <c r="T65" i="3" s="1"/>
  <c r="B65" i="3"/>
  <c r="A65" i="3"/>
  <c r="X64" i="3"/>
  <c r="AB64" i="3" s="1"/>
  <c r="AP64" i="3" s="1"/>
  <c r="V64" i="3"/>
  <c r="Z64" i="3" s="1"/>
  <c r="N64" i="3"/>
  <c r="L64" i="3"/>
  <c r="J64" i="3"/>
  <c r="H64" i="3"/>
  <c r="D64" i="3"/>
  <c r="T64" i="3" s="1"/>
  <c r="B64" i="3"/>
  <c r="A64" i="3"/>
  <c r="X63" i="3"/>
  <c r="AB63" i="3" s="1"/>
  <c r="AP63" i="3" s="1"/>
  <c r="V63" i="3"/>
  <c r="Z63" i="3" s="1"/>
  <c r="N63" i="3"/>
  <c r="L63" i="3"/>
  <c r="J63" i="3"/>
  <c r="H63" i="3"/>
  <c r="D63" i="3"/>
  <c r="T63" i="3" s="1"/>
  <c r="B63" i="3"/>
  <c r="A63" i="3"/>
  <c r="X62" i="3"/>
  <c r="AB62" i="3" s="1"/>
  <c r="AP62" i="3" s="1"/>
  <c r="V62" i="3"/>
  <c r="Z62" i="3" s="1"/>
  <c r="N62" i="3"/>
  <c r="L62" i="3"/>
  <c r="J62" i="3"/>
  <c r="H62" i="3"/>
  <c r="D62" i="3"/>
  <c r="T62" i="3" s="1"/>
  <c r="B62" i="3"/>
  <c r="A62" i="3"/>
  <c r="X61" i="3"/>
  <c r="AB61" i="3" s="1"/>
  <c r="AP61" i="3" s="1"/>
  <c r="V61" i="3"/>
  <c r="Z61" i="3" s="1"/>
  <c r="N61" i="3"/>
  <c r="L61" i="3"/>
  <c r="J61" i="3"/>
  <c r="H61" i="3"/>
  <c r="D61" i="3"/>
  <c r="T61" i="3" s="1"/>
  <c r="B61" i="3"/>
  <c r="A61" i="3"/>
  <c r="X60" i="3"/>
  <c r="AB60" i="3" s="1"/>
  <c r="AP60" i="3" s="1"/>
  <c r="V60" i="3"/>
  <c r="Z60" i="3" s="1"/>
  <c r="N60" i="3"/>
  <c r="L60" i="3"/>
  <c r="J60" i="3"/>
  <c r="H60" i="3"/>
  <c r="D60" i="3"/>
  <c r="T60" i="3" s="1"/>
  <c r="B60" i="3"/>
  <c r="A60" i="3"/>
  <c r="X59" i="3"/>
  <c r="AB59" i="3" s="1"/>
  <c r="AP59" i="3" s="1"/>
  <c r="V59" i="3"/>
  <c r="Z59" i="3" s="1"/>
  <c r="N59" i="3"/>
  <c r="L59" i="3"/>
  <c r="J59" i="3"/>
  <c r="H59" i="3"/>
  <c r="D59" i="3"/>
  <c r="T59" i="3" s="1"/>
  <c r="B59" i="3"/>
  <c r="A59" i="3"/>
  <c r="X58" i="3"/>
  <c r="AB58" i="3" s="1"/>
  <c r="AP58" i="3" s="1"/>
  <c r="V58" i="3"/>
  <c r="Z58" i="3" s="1"/>
  <c r="N58" i="3"/>
  <c r="L58" i="3"/>
  <c r="J58" i="3"/>
  <c r="H58" i="3"/>
  <c r="D58" i="3"/>
  <c r="T58" i="3" s="1"/>
  <c r="B58" i="3"/>
  <c r="A58" i="3"/>
  <c r="X57" i="3"/>
  <c r="AB57" i="3" s="1"/>
  <c r="AP57" i="3" s="1"/>
  <c r="V57" i="3"/>
  <c r="Z57" i="3" s="1"/>
  <c r="N57" i="3"/>
  <c r="L57" i="3"/>
  <c r="J57" i="3"/>
  <c r="H57" i="3"/>
  <c r="D57" i="3"/>
  <c r="T57" i="3" s="1"/>
  <c r="B57" i="3"/>
  <c r="A57" i="3"/>
  <c r="X56" i="3"/>
  <c r="AB56" i="3" s="1"/>
  <c r="AP56" i="3" s="1"/>
  <c r="V56" i="3"/>
  <c r="Z56" i="3" s="1"/>
  <c r="N56" i="3"/>
  <c r="L56" i="3"/>
  <c r="J56" i="3"/>
  <c r="H56" i="3"/>
  <c r="D56" i="3"/>
  <c r="T56" i="3" s="1"/>
  <c r="B56" i="3"/>
  <c r="A56" i="3"/>
  <c r="X55" i="3"/>
  <c r="AB55" i="3" s="1"/>
  <c r="AP55" i="3" s="1"/>
  <c r="V55" i="3"/>
  <c r="Z55" i="3" s="1"/>
  <c r="N55" i="3"/>
  <c r="L55" i="3"/>
  <c r="J55" i="3"/>
  <c r="H55" i="3"/>
  <c r="D55" i="3"/>
  <c r="T55" i="3" s="1"/>
  <c r="B55" i="3"/>
  <c r="A55" i="3"/>
  <c r="X54" i="3"/>
  <c r="AB54" i="3" s="1"/>
  <c r="AP54" i="3" s="1"/>
  <c r="V54" i="3"/>
  <c r="Z54" i="3" s="1"/>
  <c r="N54" i="3"/>
  <c r="L54" i="3"/>
  <c r="J54" i="3"/>
  <c r="H54" i="3"/>
  <c r="D54" i="3"/>
  <c r="T54" i="3" s="1"/>
  <c r="B54" i="3"/>
  <c r="A54" i="3"/>
  <c r="X53" i="3"/>
  <c r="AB53" i="3" s="1"/>
  <c r="AP53" i="3" s="1"/>
  <c r="V53" i="3"/>
  <c r="Z53" i="3" s="1"/>
  <c r="N53" i="3"/>
  <c r="L53" i="3"/>
  <c r="J53" i="3"/>
  <c r="H53" i="3"/>
  <c r="D53" i="3"/>
  <c r="T53" i="3" s="1"/>
  <c r="B53" i="3"/>
  <c r="A53" i="3"/>
  <c r="X52" i="3"/>
  <c r="AB52" i="3" s="1"/>
  <c r="AP52" i="3" s="1"/>
  <c r="V52" i="3"/>
  <c r="Z52" i="3" s="1"/>
  <c r="N52" i="3"/>
  <c r="L52" i="3"/>
  <c r="J52" i="3"/>
  <c r="H52" i="3"/>
  <c r="D52" i="3"/>
  <c r="T52" i="3" s="1"/>
  <c r="B52" i="3"/>
  <c r="A52" i="3"/>
  <c r="X51" i="3"/>
  <c r="AB51" i="3" s="1"/>
  <c r="AP51" i="3" s="1"/>
  <c r="V51" i="3"/>
  <c r="Z51" i="3" s="1"/>
  <c r="N51" i="3"/>
  <c r="L51" i="3"/>
  <c r="J51" i="3"/>
  <c r="H51" i="3"/>
  <c r="D51" i="3"/>
  <c r="T51" i="3" s="1"/>
  <c r="B51" i="3"/>
  <c r="A51" i="3"/>
  <c r="X50" i="3"/>
  <c r="AB50" i="3" s="1"/>
  <c r="AP50" i="3" s="1"/>
  <c r="V50" i="3"/>
  <c r="Z50" i="3" s="1"/>
  <c r="N50" i="3"/>
  <c r="L50" i="3"/>
  <c r="J50" i="3"/>
  <c r="H50" i="3"/>
  <c r="D50" i="3"/>
  <c r="T50" i="3" s="1"/>
  <c r="B50" i="3"/>
  <c r="A50" i="3"/>
  <c r="X49" i="3"/>
  <c r="AB49" i="3" s="1"/>
  <c r="AP49" i="3" s="1"/>
  <c r="V49" i="3"/>
  <c r="Z49" i="3" s="1"/>
  <c r="N49" i="3"/>
  <c r="L49" i="3"/>
  <c r="J49" i="3"/>
  <c r="H49" i="3"/>
  <c r="D49" i="3"/>
  <c r="T49" i="3" s="1"/>
  <c r="B49" i="3"/>
  <c r="A49" i="3"/>
  <c r="X48" i="3"/>
  <c r="AB48" i="3" s="1"/>
  <c r="AP48" i="3" s="1"/>
  <c r="V48" i="3"/>
  <c r="Z48" i="3" s="1"/>
  <c r="N48" i="3"/>
  <c r="L48" i="3"/>
  <c r="J48" i="3"/>
  <c r="H48" i="3"/>
  <c r="D48" i="3"/>
  <c r="T48" i="3" s="1"/>
  <c r="B48" i="3"/>
  <c r="A48" i="3"/>
  <c r="X47" i="3"/>
  <c r="AB47" i="3" s="1"/>
  <c r="AP47" i="3" s="1"/>
  <c r="V47" i="3"/>
  <c r="Z47" i="3" s="1"/>
  <c r="N47" i="3"/>
  <c r="L47" i="3"/>
  <c r="J47" i="3"/>
  <c r="H47" i="3"/>
  <c r="D47" i="3"/>
  <c r="T47" i="3" s="1"/>
  <c r="B47" i="3"/>
  <c r="A47" i="3"/>
  <c r="X46" i="3"/>
  <c r="AB46" i="3" s="1"/>
  <c r="AP46" i="3" s="1"/>
  <c r="V46" i="3"/>
  <c r="Z46" i="3" s="1"/>
  <c r="N46" i="3"/>
  <c r="L46" i="3"/>
  <c r="J46" i="3"/>
  <c r="H46" i="3"/>
  <c r="D46" i="3"/>
  <c r="T46" i="3" s="1"/>
  <c r="B46" i="3"/>
  <c r="A46" i="3"/>
  <c r="X45" i="3"/>
  <c r="AB45" i="3" s="1"/>
  <c r="AP45" i="3" s="1"/>
  <c r="V45" i="3"/>
  <c r="Z45" i="3" s="1"/>
  <c r="N45" i="3"/>
  <c r="L45" i="3"/>
  <c r="J45" i="3"/>
  <c r="H45" i="3"/>
  <c r="D45" i="3"/>
  <c r="T45" i="3" s="1"/>
  <c r="B45" i="3"/>
  <c r="A45" i="3"/>
  <c r="X44" i="3"/>
  <c r="AB44" i="3" s="1"/>
  <c r="AP44" i="3" s="1"/>
  <c r="V44" i="3"/>
  <c r="Z44" i="3" s="1"/>
  <c r="N44" i="3"/>
  <c r="L44" i="3"/>
  <c r="J44" i="3"/>
  <c r="H44" i="3"/>
  <c r="D44" i="3"/>
  <c r="T44" i="3" s="1"/>
  <c r="B44" i="3"/>
  <c r="A44" i="3"/>
  <c r="X43" i="3"/>
  <c r="AB43" i="3" s="1"/>
  <c r="AP43" i="3" s="1"/>
  <c r="V43" i="3"/>
  <c r="Z43" i="3" s="1"/>
  <c r="N43" i="3"/>
  <c r="L43" i="3"/>
  <c r="J43" i="3"/>
  <c r="H43" i="3"/>
  <c r="D43" i="3"/>
  <c r="T43" i="3" s="1"/>
  <c r="B43" i="3"/>
  <c r="A43" i="3"/>
  <c r="X42" i="3"/>
  <c r="AB42" i="3" s="1"/>
  <c r="AP42" i="3" s="1"/>
  <c r="V42" i="3"/>
  <c r="Z42" i="3" s="1"/>
  <c r="N42" i="3"/>
  <c r="L42" i="3"/>
  <c r="J42" i="3"/>
  <c r="H42" i="3"/>
  <c r="D42" i="3"/>
  <c r="T42" i="3" s="1"/>
  <c r="B42" i="3"/>
  <c r="A42" i="3"/>
  <c r="X41" i="3"/>
  <c r="AB41" i="3" s="1"/>
  <c r="AP41" i="3" s="1"/>
  <c r="V41" i="3"/>
  <c r="Z41" i="3" s="1"/>
  <c r="N41" i="3"/>
  <c r="L41" i="3"/>
  <c r="J41" i="3"/>
  <c r="H41" i="3"/>
  <c r="D41" i="3"/>
  <c r="T41" i="3" s="1"/>
  <c r="B41" i="3"/>
  <c r="A41" i="3"/>
  <c r="X40" i="3"/>
  <c r="AB40" i="3" s="1"/>
  <c r="AP40" i="3" s="1"/>
  <c r="V40" i="3"/>
  <c r="Z40" i="3" s="1"/>
  <c r="N40" i="3"/>
  <c r="L40" i="3"/>
  <c r="J40" i="3"/>
  <c r="H40" i="3"/>
  <c r="D40" i="3"/>
  <c r="T40" i="3" s="1"/>
  <c r="B40" i="3"/>
  <c r="A40" i="3"/>
  <c r="X39" i="3"/>
  <c r="AB39" i="3" s="1"/>
  <c r="AP39" i="3" s="1"/>
  <c r="V39" i="3"/>
  <c r="Z39" i="3" s="1"/>
  <c r="N39" i="3"/>
  <c r="L39" i="3"/>
  <c r="J39" i="3"/>
  <c r="H39" i="3"/>
  <c r="D39" i="3"/>
  <c r="T39" i="3" s="1"/>
  <c r="B39" i="3"/>
  <c r="A39" i="3"/>
  <c r="X38" i="3"/>
  <c r="AB38" i="3" s="1"/>
  <c r="AP38" i="3" s="1"/>
  <c r="V38" i="3"/>
  <c r="Z38" i="3" s="1"/>
  <c r="N38" i="3"/>
  <c r="L38" i="3"/>
  <c r="J38" i="3"/>
  <c r="H38" i="3"/>
  <c r="D38" i="3"/>
  <c r="T38" i="3" s="1"/>
  <c r="B38" i="3"/>
  <c r="A38" i="3"/>
  <c r="X37" i="3"/>
  <c r="AB37" i="3" s="1"/>
  <c r="AP37" i="3" s="1"/>
  <c r="V37" i="3"/>
  <c r="Z37" i="3" s="1"/>
  <c r="N37" i="3"/>
  <c r="L37" i="3"/>
  <c r="J37" i="3"/>
  <c r="H37" i="3"/>
  <c r="D37" i="3"/>
  <c r="T37" i="3" s="1"/>
  <c r="B37" i="3"/>
  <c r="A37" i="3"/>
  <c r="X36" i="3"/>
  <c r="AB36" i="3" s="1"/>
  <c r="AP36" i="3" s="1"/>
  <c r="V36" i="3"/>
  <c r="Z36" i="3" s="1"/>
  <c r="N36" i="3"/>
  <c r="L36" i="3"/>
  <c r="J36" i="3"/>
  <c r="H36" i="3"/>
  <c r="D36" i="3"/>
  <c r="T36" i="3" s="1"/>
  <c r="B36" i="3"/>
  <c r="A36" i="3"/>
  <c r="X35" i="3"/>
  <c r="AB35" i="3" s="1"/>
  <c r="AP35" i="3" s="1"/>
  <c r="V35" i="3"/>
  <c r="Z35" i="3" s="1"/>
  <c r="N35" i="3"/>
  <c r="L35" i="3"/>
  <c r="J35" i="3"/>
  <c r="H35" i="3"/>
  <c r="D35" i="3"/>
  <c r="T35" i="3" s="1"/>
  <c r="B35" i="3"/>
  <c r="A35" i="3"/>
  <c r="X34" i="3"/>
  <c r="AB34" i="3" s="1"/>
  <c r="AP34" i="3" s="1"/>
  <c r="V34" i="3"/>
  <c r="Z34" i="3" s="1"/>
  <c r="N34" i="3"/>
  <c r="L34" i="3"/>
  <c r="J34" i="3"/>
  <c r="H34" i="3"/>
  <c r="D34" i="3"/>
  <c r="T34" i="3" s="1"/>
  <c r="B34" i="3"/>
  <c r="A34" i="3"/>
  <c r="X33" i="3"/>
  <c r="AB33" i="3" s="1"/>
  <c r="AP33" i="3" s="1"/>
  <c r="V33" i="3"/>
  <c r="Z33" i="3" s="1"/>
  <c r="N33" i="3"/>
  <c r="L33" i="3"/>
  <c r="J33" i="3"/>
  <c r="H33" i="3"/>
  <c r="D33" i="3"/>
  <c r="T33" i="3" s="1"/>
  <c r="B33" i="3"/>
  <c r="A33" i="3"/>
  <c r="X32" i="3"/>
  <c r="AB32" i="3" s="1"/>
  <c r="AP32" i="3" s="1"/>
  <c r="V32" i="3"/>
  <c r="Z32" i="3" s="1"/>
  <c r="N32" i="3"/>
  <c r="L32" i="3"/>
  <c r="J32" i="3"/>
  <c r="H32" i="3"/>
  <c r="D32" i="3"/>
  <c r="T32" i="3" s="1"/>
  <c r="B32" i="3"/>
  <c r="A32" i="3"/>
  <c r="X31" i="3"/>
  <c r="AB31" i="3" s="1"/>
  <c r="AP31" i="3" s="1"/>
  <c r="V31" i="3"/>
  <c r="Z31" i="3" s="1"/>
  <c r="N31" i="3"/>
  <c r="L31" i="3"/>
  <c r="J31" i="3"/>
  <c r="H31" i="3"/>
  <c r="D31" i="3"/>
  <c r="T31" i="3" s="1"/>
  <c r="B31" i="3"/>
  <c r="A31" i="3"/>
  <c r="X30" i="3"/>
  <c r="AB30" i="3" s="1"/>
  <c r="AP30" i="3" s="1"/>
  <c r="V30" i="3"/>
  <c r="Z30" i="3" s="1"/>
  <c r="N30" i="3"/>
  <c r="L30" i="3"/>
  <c r="J30" i="3"/>
  <c r="H30" i="3"/>
  <c r="D30" i="3"/>
  <c r="T30" i="3" s="1"/>
  <c r="B30" i="3"/>
  <c r="A30" i="3"/>
  <c r="X29" i="3"/>
  <c r="AB29" i="3" s="1"/>
  <c r="AP29" i="3" s="1"/>
  <c r="V29" i="3"/>
  <c r="Z29" i="3" s="1"/>
  <c r="N29" i="3"/>
  <c r="L29" i="3"/>
  <c r="J29" i="3"/>
  <c r="H29" i="3"/>
  <c r="D29" i="3"/>
  <c r="T29" i="3" s="1"/>
  <c r="B29" i="3"/>
  <c r="A29" i="3"/>
  <c r="X28" i="3"/>
  <c r="AB28" i="3" s="1"/>
  <c r="AP28" i="3" s="1"/>
  <c r="V28" i="3"/>
  <c r="Z28" i="3" s="1"/>
  <c r="N28" i="3"/>
  <c r="L28" i="3"/>
  <c r="J28" i="3"/>
  <c r="H28" i="3"/>
  <c r="D28" i="3"/>
  <c r="T28" i="3" s="1"/>
  <c r="B28" i="3"/>
  <c r="A28" i="3"/>
  <c r="X27" i="3"/>
  <c r="AB27" i="3" s="1"/>
  <c r="AP27" i="3" s="1"/>
  <c r="V27" i="3"/>
  <c r="Z27" i="3" s="1"/>
  <c r="N27" i="3"/>
  <c r="L27" i="3"/>
  <c r="J27" i="3"/>
  <c r="H27" i="3"/>
  <c r="D27" i="3"/>
  <c r="T27" i="3" s="1"/>
  <c r="B27" i="3"/>
  <c r="A27" i="3"/>
  <c r="X26" i="3"/>
  <c r="AB26" i="3" s="1"/>
  <c r="AP26" i="3" s="1"/>
  <c r="V26" i="3"/>
  <c r="Z26" i="3" s="1"/>
  <c r="N26" i="3"/>
  <c r="L26" i="3"/>
  <c r="J26" i="3"/>
  <c r="H26" i="3"/>
  <c r="D26" i="3"/>
  <c r="T26" i="3" s="1"/>
  <c r="B26" i="3"/>
  <c r="A26" i="3"/>
  <c r="X25" i="3"/>
  <c r="AB25" i="3" s="1"/>
  <c r="AP25" i="3" s="1"/>
  <c r="V25" i="3"/>
  <c r="Z25" i="3" s="1"/>
  <c r="N25" i="3"/>
  <c r="L25" i="3"/>
  <c r="J25" i="3"/>
  <c r="H25" i="3"/>
  <c r="D25" i="3"/>
  <c r="T25" i="3" s="1"/>
  <c r="B25" i="3"/>
  <c r="A25" i="3"/>
  <c r="X24" i="3"/>
  <c r="AB24" i="3" s="1"/>
  <c r="AP24" i="3" s="1"/>
  <c r="V24" i="3"/>
  <c r="Z24" i="3" s="1"/>
  <c r="N24" i="3"/>
  <c r="L24" i="3"/>
  <c r="J24" i="3"/>
  <c r="H24" i="3"/>
  <c r="D24" i="3"/>
  <c r="T24" i="3" s="1"/>
  <c r="B24" i="3"/>
  <c r="A24" i="3"/>
  <c r="X23" i="3"/>
  <c r="AB23" i="3" s="1"/>
  <c r="AP23" i="3" s="1"/>
  <c r="V23" i="3"/>
  <c r="Z23" i="3" s="1"/>
  <c r="N23" i="3"/>
  <c r="L23" i="3"/>
  <c r="J23" i="3"/>
  <c r="H23" i="3"/>
  <c r="D23" i="3"/>
  <c r="T23" i="3" s="1"/>
  <c r="B23" i="3"/>
  <c r="A23" i="3"/>
  <c r="X22" i="3"/>
  <c r="AB22" i="3" s="1"/>
  <c r="AP22" i="3" s="1"/>
  <c r="V22" i="3"/>
  <c r="Z22" i="3" s="1"/>
  <c r="N22" i="3"/>
  <c r="L22" i="3"/>
  <c r="J22" i="3"/>
  <c r="H22" i="3"/>
  <c r="D22" i="3"/>
  <c r="T22" i="3" s="1"/>
  <c r="B22" i="3"/>
  <c r="A22" i="3"/>
  <c r="X21" i="3"/>
  <c r="AB21" i="3" s="1"/>
  <c r="AP21" i="3" s="1"/>
  <c r="V21" i="3"/>
  <c r="Z21" i="3" s="1"/>
  <c r="N21" i="3"/>
  <c r="L21" i="3"/>
  <c r="J21" i="3"/>
  <c r="H21" i="3"/>
  <c r="D21" i="3"/>
  <c r="T21" i="3" s="1"/>
  <c r="B21" i="3"/>
  <c r="A21" i="3"/>
  <c r="X20" i="3"/>
  <c r="AB20" i="3" s="1"/>
  <c r="AP20" i="3" s="1"/>
  <c r="V20" i="3"/>
  <c r="Z20" i="3" s="1"/>
  <c r="N20" i="3"/>
  <c r="L20" i="3"/>
  <c r="J20" i="3"/>
  <c r="H20" i="3"/>
  <c r="D20" i="3"/>
  <c r="T20" i="3" s="1"/>
  <c r="B20" i="3"/>
  <c r="A20" i="3"/>
  <c r="X19" i="3"/>
  <c r="AB19" i="3" s="1"/>
  <c r="AP19" i="3" s="1"/>
  <c r="V19" i="3"/>
  <c r="Z19" i="3" s="1"/>
  <c r="N19" i="3"/>
  <c r="L19" i="3"/>
  <c r="J19" i="3"/>
  <c r="H19" i="3"/>
  <c r="D19" i="3"/>
  <c r="T19" i="3" s="1"/>
  <c r="B19" i="3"/>
  <c r="A19" i="3"/>
  <c r="X18" i="3"/>
  <c r="AB18" i="3" s="1"/>
  <c r="AP18" i="3" s="1"/>
  <c r="V18" i="3"/>
  <c r="Z18" i="3" s="1"/>
  <c r="N18" i="3"/>
  <c r="L18" i="3"/>
  <c r="J18" i="3"/>
  <c r="H18" i="3"/>
  <c r="D18" i="3"/>
  <c r="T18" i="3" s="1"/>
  <c r="B18" i="3"/>
  <c r="A18" i="3"/>
  <c r="X17" i="3"/>
  <c r="AB17" i="3" s="1"/>
  <c r="AP17" i="3" s="1"/>
  <c r="V17" i="3"/>
  <c r="Z17" i="3" s="1"/>
  <c r="N17" i="3"/>
  <c r="L17" i="3"/>
  <c r="J17" i="3"/>
  <c r="H17" i="3"/>
  <c r="D17" i="3"/>
  <c r="T17" i="3" s="1"/>
  <c r="B17" i="3"/>
  <c r="A17" i="3"/>
  <c r="X16" i="3"/>
  <c r="AB16" i="3" s="1"/>
  <c r="AP16" i="3" s="1"/>
  <c r="V16" i="3"/>
  <c r="Z16" i="3" s="1"/>
  <c r="N16" i="3"/>
  <c r="L16" i="3"/>
  <c r="J16" i="3"/>
  <c r="H16" i="3"/>
  <c r="D16" i="3"/>
  <c r="T16" i="3" s="1"/>
  <c r="B16" i="3"/>
  <c r="A16" i="3"/>
  <c r="X15" i="3"/>
  <c r="AB15" i="3" s="1"/>
  <c r="AP15" i="3" s="1"/>
  <c r="V15" i="3"/>
  <c r="Z15" i="3" s="1"/>
  <c r="N15" i="3"/>
  <c r="L15" i="3"/>
  <c r="J15" i="3"/>
  <c r="H15" i="3"/>
  <c r="D15" i="3"/>
  <c r="T15" i="3" s="1"/>
  <c r="B15" i="3"/>
  <c r="A15" i="3"/>
  <c r="X14" i="3"/>
  <c r="AB14" i="3" s="1"/>
  <c r="AP14" i="3" s="1"/>
  <c r="V14" i="3"/>
  <c r="Z14" i="3" s="1"/>
  <c r="N14" i="3"/>
  <c r="L14" i="3"/>
  <c r="J14" i="3"/>
  <c r="H14" i="3"/>
  <c r="D14" i="3"/>
  <c r="T14" i="3" s="1"/>
  <c r="B14" i="3"/>
  <c r="A14" i="3"/>
  <c r="X13" i="3"/>
  <c r="AB13" i="3" s="1"/>
  <c r="AP13" i="3" s="1"/>
  <c r="V13" i="3"/>
  <c r="Z13" i="3" s="1"/>
  <c r="N13" i="3"/>
  <c r="L13" i="3"/>
  <c r="J13" i="3"/>
  <c r="H13" i="3"/>
  <c r="D13" i="3"/>
  <c r="T13" i="3" s="1"/>
  <c r="B13" i="3"/>
  <c r="A13" i="3"/>
  <c r="X12" i="3"/>
  <c r="AB12" i="3" s="1"/>
  <c r="AP12" i="3" s="1"/>
  <c r="V12" i="3"/>
  <c r="Z12" i="3" s="1"/>
  <c r="N12" i="3"/>
  <c r="L12" i="3"/>
  <c r="J12" i="3"/>
  <c r="H12" i="3"/>
  <c r="D12" i="3"/>
  <c r="T12" i="3" s="1"/>
  <c r="B12" i="3"/>
  <c r="A12" i="3"/>
  <c r="X11" i="3"/>
  <c r="AB11" i="3" s="1"/>
  <c r="AP11" i="3" s="1"/>
  <c r="V11" i="3"/>
  <c r="Z11" i="3" s="1"/>
  <c r="N11" i="3"/>
  <c r="L11" i="3"/>
  <c r="J11" i="3"/>
  <c r="H11" i="3"/>
  <c r="D11" i="3"/>
  <c r="T11" i="3" s="1"/>
  <c r="B11" i="3"/>
  <c r="A11" i="3"/>
  <c r="X10" i="3"/>
  <c r="AB10" i="3" s="1"/>
  <c r="AP10" i="3" s="1"/>
  <c r="V10" i="3"/>
  <c r="Z10" i="3" s="1"/>
  <c r="N10" i="3"/>
  <c r="L10" i="3"/>
  <c r="J10" i="3"/>
  <c r="H10" i="3"/>
  <c r="D10" i="3"/>
  <c r="T10" i="3" s="1"/>
  <c r="B10" i="3"/>
  <c r="A10" i="3"/>
  <c r="X9" i="3"/>
  <c r="AB9" i="3" s="1"/>
  <c r="AP9" i="3" s="1"/>
  <c r="V9" i="3"/>
  <c r="Z9" i="3" s="1"/>
  <c r="N9" i="3"/>
  <c r="L9" i="3"/>
  <c r="J9" i="3"/>
  <c r="H9" i="3"/>
  <c r="D9" i="3"/>
  <c r="T9" i="3" s="1"/>
  <c r="B9" i="3"/>
  <c r="A9" i="3"/>
  <c r="X8" i="3"/>
  <c r="AB8" i="3" s="1"/>
  <c r="AP8" i="3" s="1"/>
  <c r="V8" i="3"/>
  <c r="Z8" i="3" s="1"/>
  <c r="N8" i="3"/>
  <c r="L8" i="3"/>
  <c r="J8" i="3"/>
  <c r="H8" i="3"/>
  <c r="D8" i="3"/>
  <c r="T8" i="3" s="1"/>
  <c r="B8" i="3"/>
  <c r="A8" i="3"/>
  <c r="X7" i="3"/>
  <c r="AB7" i="3" s="1"/>
  <c r="AP7" i="3" s="1"/>
  <c r="V7" i="3"/>
  <c r="Z7" i="3" s="1"/>
  <c r="N7" i="3"/>
  <c r="L7" i="3"/>
  <c r="J7" i="3"/>
  <c r="H7" i="3"/>
  <c r="D7" i="3"/>
  <c r="T7" i="3" s="1"/>
  <c r="B7" i="3"/>
  <c r="A7" i="3"/>
  <c r="X6" i="3"/>
  <c r="AB6" i="3" s="1"/>
  <c r="AP6" i="3" s="1"/>
  <c r="V6" i="3"/>
  <c r="Z6" i="3" s="1"/>
  <c r="N6" i="3"/>
  <c r="L6" i="3"/>
  <c r="J6" i="3"/>
  <c r="H6" i="3"/>
  <c r="D6" i="3"/>
  <c r="T6" i="3" s="1"/>
  <c r="B6" i="3"/>
  <c r="A6" i="3"/>
  <c r="X5" i="3"/>
  <c r="AB5" i="3" s="1"/>
  <c r="AP5" i="3" s="1"/>
  <c r="V5" i="3"/>
  <c r="Z5" i="3" s="1"/>
  <c r="N5" i="3"/>
  <c r="L5" i="3"/>
  <c r="J5" i="3"/>
  <c r="H5" i="3"/>
  <c r="D5" i="3"/>
  <c r="T5" i="3" s="1"/>
  <c r="B5" i="3"/>
  <c r="A5" i="3"/>
  <c r="X4" i="3"/>
  <c r="AB4" i="3" s="1"/>
  <c r="AP4" i="3" s="1"/>
  <c r="V4" i="3"/>
  <c r="Z4" i="3" s="1"/>
  <c r="N4" i="3"/>
  <c r="L4" i="3"/>
  <c r="J4" i="3"/>
  <c r="H4" i="3"/>
  <c r="D4" i="3"/>
  <c r="T4" i="3" s="1"/>
  <c r="B4" i="3"/>
  <c r="A4" i="3"/>
  <c r="X3" i="3"/>
  <c r="AB3" i="3" s="1"/>
  <c r="AP3" i="3" s="1"/>
  <c r="V3" i="3"/>
  <c r="Z3" i="3" s="1"/>
  <c r="N3" i="3"/>
  <c r="L3" i="3"/>
  <c r="J3" i="3"/>
  <c r="H3" i="3"/>
  <c r="D3" i="3"/>
  <c r="T3" i="3" s="1"/>
  <c r="B3" i="3"/>
  <c r="A3" i="3"/>
  <c r="X2" i="3"/>
  <c r="AB2" i="3" s="1"/>
  <c r="AP2" i="3" s="1"/>
  <c r="V2" i="3"/>
  <c r="Z2" i="3" s="1"/>
  <c r="N2" i="3"/>
  <c r="L2" i="3"/>
  <c r="J2" i="3"/>
  <c r="H2" i="3"/>
  <c r="D2" i="3"/>
  <c r="T2" i="3" s="1"/>
  <c r="B2" i="3"/>
  <c r="A2" i="3"/>
  <c r="C104" i="2"/>
  <c r="B104" i="2"/>
  <c r="C103" i="2"/>
  <c r="B103" i="2"/>
  <c r="C102" i="2"/>
  <c r="B102" i="2"/>
  <c r="C101" i="2"/>
  <c r="B101" i="2"/>
  <c r="C100" i="2"/>
  <c r="B100" i="2"/>
  <c r="C99" i="2"/>
  <c r="B99" i="2"/>
  <c r="C98" i="2"/>
  <c r="B98" i="2"/>
  <c r="C97" i="2"/>
  <c r="B97" i="2"/>
  <c r="C96" i="2"/>
  <c r="C105" i="2" s="1"/>
  <c r="B96" i="2"/>
  <c r="C93" i="2"/>
  <c r="C92" i="2"/>
  <c r="B92" i="2"/>
  <c r="C91" i="2"/>
  <c r="B91" i="2"/>
  <c r="C90" i="2"/>
  <c r="B90" i="2"/>
  <c r="C89" i="2"/>
  <c r="B89" i="2"/>
  <c r="C88" i="2"/>
  <c r="B88" i="2"/>
  <c r="C87" i="2"/>
  <c r="B87" i="2"/>
  <c r="C86" i="2"/>
  <c r="B86" i="2"/>
  <c r="C85" i="2"/>
  <c r="B85" i="2"/>
  <c r="C84" i="2"/>
  <c r="B84" i="2"/>
  <c r="C83" i="2"/>
  <c r="B83" i="2"/>
  <c r="C82" i="2"/>
  <c r="B82" i="2"/>
  <c r="C81" i="2"/>
  <c r="B81" i="2"/>
  <c r="C80" i="2"/>
  <c r="B80" i="2"/>
  <c r="C79" i="2"/>
  <c r="B79" i="2"/>
  <c r="C78" i="2"/>
  <c r="B78" i="2"/>
  <c r="C77" i="2"/>
  <c r="B77" i="2"/>
  <c r="C76" i="2"/>
  <c r="B76" i="2"/>
  <c r="C75" i="2"/>
  <c r="B75" i="2"/>
  <c r="C74" i="2"/>
  <c r="B74" i="2"/>
  <c r="C73" i="2"/>
  <c r="B73" i="2"/>
  <c r="C72" i="2"/>
  <c r="B72" i="2"/>
  <c r="C71" i="2"/>
  <c r="B71" i="2"/>
  <c r="C70" i="2"/>
  <c r="B70" i="2"/>
  <c r="C69" i="2"/>
  <c r="B69" i="2"/>
  <c r="C68" i="2"/>
  <c r="B68" i="2"/>
  <c r="C67" i="2"/>
  <c r="B67" i="2"/>
  <c r="C66" i="2"/>
  <c r="B66" i="2"/>
  <c r="C65" i="2"/>
  <c r="B65" i="2"/>
  <c r="C64" i="2"/>
  <c r="B64" i="2"/>
  <c r="C63" i="2"/>
  <c r="B63" i="2"/>
  <c r="C62" i="2"/>
  <c r="B62" i="2"/>
  <c r="C61" i="2"/>
  <c r="B61" i="2"/>
  <c r="C60" i="2"/>
  <c r="B60" i="2"/>
  <c r="C56" i="2"/>
  <c r="B56" i="2"/>
  <c r="C55" i="2"/>
  <c r="B55" i="2"/>
  <c r="C54" i="2"/>
  <c r="B54" i="2"/>
  <c r="C53" i="2"/>
  <c r="B53" i="2"/>
  <c r="C52" i="2"/>
  <c r="B52" i="2"/>
  <c r="C51" i="2"/>
  <c r="B51" i="2"/>
  <c r="C50" i="2"/>
  <c r="B50" i="2"/>
  <c r="C49" i="2"/>
  <c r="B49" i="2"/>
  <c r="C48" i="2"/>
  <c r="B48" i="2"/>
  <c r="C47" i="2"/>
  <c r="B47" i="2"/>
  <c r="C46" i="2"/>
  <c r="B46" i="2"/>
  <c r="C45" i="2"/>
  <c r="B45" i="2"/>
  <c r="C44" i="2"/>
  <c r="B44" i="2"/>
  <c r="C43" i="2"/>
  <c r="B43" i="2"/>
  <c r="C42" i="2"/>
  <c r="B42" i="2"/>
  <c r="C41" i="2"/>
  <c r="B41" i="2"/>
  <c r="C40" i="2"/>
  <c r="B40" i="2"/>
  <c r="C39" i="2"/>
  <c r="B39" i="2"/>
  <c r="C38" i="2"/>
  <c r="B38" i="2"/>
  <c r="C37" i="2"/>
  <c r="B37" i="2"/>
  <c r="C36" i="2"/>
  <c r="B36" i="2"/>
  <c r="C35" i="2"/>
  <c r="B35" i="2"/>
  <c r="C34" i="2"/>
  <c r="B34" i="2"/>
  <c r="C33" i="2"/>
  <c r="B33" i="2"/>
  <c r="C32" i="2"/>
  <c r="B32" i="2"/>
  <c r="C31" i="2"/>
  <c r="B31" i="2"/>
  <c r="C30" i="2"/>
  <c r="B30" i="2"/>
  <c r="C29" i="2"/>
  <c r="C57" i="2" s="1"/>
  <c r="B29" i="2"/>
  <c r="C26" i="2"/>
  <c r="C107" i="2" s="1"/>
  <c r="C25" i="2"/>
  <c r="B25" i="2"/>
  <c r="C24" i="2"/>
  <c r="B24" i="2"/>
  <c r="C23" i="2"/>
  <c r="B23" i="2"/>
  <c r="C22" i="2"/>
  <c r="B22" i="2"/>
  <c r="C21" i="2"/>
  <c r="B21" i="2"/>
  <c r="C20" i="2"/>
  <c r="B20" i="2"/>
  <c r="C19" i="2"/>
  <c r="B19" i="2"/>
  <c r="C18" i="2"/>
  <c r="B18" i="2"/>
  <c r="C17" i="2"/>
  <c r="B17" i="2"/>
  <c r="C16" i="2"/>
  <c r="B16" i="2"/>
  <c r="C15" i="2"/>
  <c r="B15" i="2"/>
  <c r="C14" i="2"/>
  <c r="B14" i="2"/>
  <c r="C13" i="2"/>
  <c r="B13" i="2"/>
  <c r="C12" i="2"/>
  <c r="B12" i="2"/>
  <c r="C11" i="2"/>
  <c r="B11" i="2"/>
  <c r="C10" i="2"/>
  <c r="B10" i="2"/>
  <c r="C9" i="2"/>
  <c r="B9" i="2"/>
  <c r="C8" i="2"/>
  <c r="B8" i="2"/>
  <c r="C7" i="2"/>
  <c r="B7" i="2"/>
  <c r="C6" i="2"/>
  <c r="B6" i="2"/>
  <c r="C5" i="2"/>
  <c r="B5" i="2"/>
  <c r="G8" i="1"/>
  <c r="F7" i="1"/>
  <c r="E7" i="1"/>
  <c r="D7" i="1"/>
  <c r="C7" i="1"/>
  <c r="G7" i="1" s="1"/>
  <c r="AL2" i="3" l="1"/>
  <c r="AZ2" i="3"/>
  <c r="AR2" i="3"/>
  <c r="AN2" i="3"/>
  <c r="AL10" i="3"/>
  <c r="AZ10" i="3"/>
  <c r="AR10" i="3"/>
  <c r="AN10" i="3"/>
  <c r="AL12" i="3"/>
  <c r="AZ12" i="3"/>
  <c r="AR12" i="3"/>
  <c r="AN12" i="3"/>
  <c r="AL14" i="3"/>
  <c r="AZ14" i="3"/>
  <c r="AR14" i="3"/>
  <c r="AN14" i="3"/>
  <c r="AL16" i="3"/>
  <c r="AZ16" i="3"/>
  <c r="AR16" i="3"/>
  <c r="AN16" i="3"/>
  <c r="AL18" i="3"/>
  <c r="AZ18" i="3"/>
  <c r="AR18" i="3"/>
  <c r="AN18" i="3"/>
  <c r="AL20" i="3"/>
  <c r="AZ20" i="3"/>
  <c r="AR20" i="3"/>
  <c r="AN20" i="3"/>
  <c r="AL22" i="3"/>
  <c r="AZ22" i="3"/>
  <c r="AR22" i="3"/>
  <c r="AN22" i="3"/>
  <c r="AL24" i="3"/>
  <c r="AZ24" i="3"/>
  <c r="AR24" i="3"/>
  <c r="AN24" i="3"/>
  <c r="AL26" i="3"/>
  <c r="AZ26" i="3"/>
  <c r="AR26" i="3"/>
  <c r="AN26" i="3"/>
  <c r="AL28" i="3"/>
  <c r="AZ28" i="3"/>
  <c r="AR28" i="3"/>
  <c r="AN28" i="3"/>
  <c r="AL30" i="3"/>
  <c r="AZ30" i="3"/>
  <c r="AR30" i="3"/>
  <c r="AN30" i="3"/>
  <c r="AL32" i="3"/>
  <c r="AZ32" i="3"/>
  <c r="AR32" i="3"/>
  <c r="AN32" i="3"/>
  <c r="AL34" i="3"/>
  <c r="AZ34" i="3"/>
  <c r="AR34" i="3"/>
  <c r="AN34" i="3"/>
  <c r="AL36" i="3"/>
  <c r="AZ36" i="3"/>
  <c r="AR36" i="3"/>
  <c r="AN36" i="3"/>
  <c r="AL38" i="3"/>
  <c r="AZ38" i="3"/>
  <c r="AR38" i="3"/>
  <c r="AN38" i="3"/>
  <c r="AL40" i="3"/>
  <c r="AZ40" i="3"/>
  <c r="AR40" i="3"/>
  <c r="AN40" i="3"/>
  <c r="AL42" i="3"/>
  <c r="AZ42" i="3"/>
  <c r="AR42" i="3"/>
  <c r="AN42" i="3"/>
  <c r="AL44" i="3"/>
  <c r="AZ44" i="3"/>
  <c r="AR44" i="3"/>
  <c r="AN44" i="3"/>
  <c r="AL46" i="3"/>
  <c r="AZ46" i="3"/>
  <c r="AR46" i="3"/>
  <c r="AN46" i="3"/>
  <c r="AL48" i="3"/>
  <c r="AZ48" i="3"/>
  <c r="AR48" i="3"/>
  <c r="AN48" i="3"/>
  <c r="AL50" i="3"/>
  <c r="AZ50" i="3"/>
  <c r="AR50" i="3"/>
  <c r="AN50" i="3"/>
  <c r="AL52" i="3"/>
  <c r="AZ52" i="3"/>
  <c r="AR52" i="3"/>
  <c r="AN52" i="3"/>
  <c r="AL54" i="3"/>
  <c r="AZ54" i="3"/>
  <c r="AR54" i="3"/>
  <c r="AN54" i="3"/>
  <c r="AL56" i="3"/>
  <c r="AZ56" i="3"/>
  <c r="AR56" i="3"/>
  <c r="AN56" i="3"/>
  <c r="AL58" i="3"/>
  <c r="AZ58" i="3"/>
  <c r="AR58" i="3"/>
  <c r="AN58" i="3"/>
  <c r="AL60" i="3"/>
  <c r="AZ60" i="3"/>
  <c r="AR60" i="3"/>
  <c r="AN60" i="3"/>
  <c r="AL62" i="3"/>
  <c r="AZ62" i="3"/>
  <c r="AR62" i="3"/>
  <c r="AN62" i="3"/>
  <c r="AL64" i="3"/>
  <c r="AZ64" i="3"/>
  <c r="AR64" i="3"/>
  <c r="AN64" i="3"/>
  <c r="AL66" i="3"/>
  <c r="AZ66" i="3"/>
  <c r="AR66" i="3"/>
  <c r="AN66" i="3"/>
  <c r="AL4" i="3"/>
  <c r="AZ4" i="3"/>
  <c r="AR4" i="3"/>
  <c r="AN4" i="3"/>
  <c r="AL6" i="3"/>
  <c r="AZ6" i="3"/>
  <c r="AR6" i="3"/>
  <c r="AN6" i="3"/>
  <c r="AL8" i="3"/>
  <c r="AZ8" i="3"/>
  <c r="AR8" i="3"/>
  <c r="AN8" i="3"/>
  <c r="AL3" i="3"/>
  <c r="AZ3" i="3"/>
  <c r="AR3" i="3"/>
  <c r="AN3" i="3"/>
  <c r="AL5" i="3"/>
  <c r="AZ5" i="3"/>
  <c r="AR5" i="3"/>
  <c r="AN5" i="3"/>
  <c r="AL7" i="3"/>
  <c r="AZ7" i="3"/>
  <c r="AR7" i="3"/>
  <c r="AN7" i="3"/>
  <c r="AL9" i="3"/>
  <c r="AZ9" i="3"/>
  <c r="AR9" i="3"/>
  <c r="AN9" i="3"/>
  <c r="AL11" i="3"/>
  <c r="AZ11" i="3"/>
  <c r="AR11" i="3"/>
  <c r="AN11" i="3"/>
  <c r="AL13" i="3"/>
  <c r="AZ13" i="3"/>
  <c r="AR13" i="3"/>
  <c r="AN13" i="3"/>
  <c r="AL15" i="3"/>
  <c r="AZ15" i="3"/>
  <c r="AR15" i="3"/>
  <c r="AN15" i="3"/>
  <c r="AL17" i="3"/>
  <c r="AZ17" i="3"/>
  <c r="AR17" i="3"/>
  <c r="AN17" i="3"/>
  <c r="AL19" i="3"/>
  <c r="AZ19" i="3"/>
  <c r="AR19" i="3"/>
  <c r="AN19" i="3"/>
  <c r="AL21" i="3"/>
  <c r="AZ21" i="3"/>
  <c r="AR21" i="3"/>
  <c r="AN21" i="3"/>
  <c r="AL23" i="3"/>
  <c r="AZ23" i="3"/>
  <c r="AR23" i="3"/>
  <c r="AN23" i="3"/>
  <c r="AL25" i="3"/>
  <c r="AZ25" i="3"/>
  <c r="AR25" i="3"/>
  <c r="AN25" i="3"/>
  <c r="AL27" i="3"/>
  <c r="AZ27" i="3"/>
  <c r="AR27" i="3"/>
  <c r="AN27" i="3"/>
  <c r="AL29" i="3"/>
  <c r="AZ29" i="3"/>
  <c r="AR29" i="3"/>
  <c r="AN29" i="3"/>
  <c r="AL31" i="3"/>
  <c r="AZ31" i="3"/>
  <c r="AR31" i="3"/>
  <c r="AN31" i="3"/>
  <c r="AL33" i="3"/>
  <c r="AZ33" i="3"/>
  <c r="AR33" i="3"/>
  <c r="AN33" i="3"/>
  <c r="AL35" i="3"/>
  <c r="AZ35" i="3"/>
  <c r="AR35" i="3"/>
  <c r="AN35" i="3"/>
  <c r="AL37" i="3"/>
  <c r="AZ37" i="3"/>
  <c r="AR37" i="3"/>
  <c r="AN37" i="3"/>
  <c r="AL39" i="3"/>
  <c r="AZ39" i="3"/>
  <c r="AR39" i="3"/>
  <c r="AN39" i="3"/>
  <c r="AL41" i="3"/>
  <c r="AZ41" i="3"/>
  <c r="AR41" i="3"/>
  <c r="AN41" i="3"/>
  <c r="AL43" i="3"/>
  <c r="AZ43" i="3"/>
  <c r="AR43" i="3"/>
  <c r="AN43" i="3"/>
  <c r="AL45" i="3"/>
  <c r="AZ45" i="3"/>
  <c r="AR45" i="3"/>
  <c r="AN45" i="3"/>
  <c r="AL47" i="3"/>
  <c r="AZ47" i="3"/>
  <c r="AR47" i="3"/>
  <c r="AN47" i="3"/>
  <c r="AL49" i="3"/>
  <c r="AZ49" i="3"/>
  <c r="AR49" i="3"/>
  <c r="AN49" i="3"/>
  <c r="AL51" i="3"/>
  <c r="AZ51" i="3"/>
  <c r="AR51" i="3"/>
  <c r="AN51" i="3"/>
  <c r="AL53" i="3"/>
  <c r="AZ53" i="3"/>
  <c r="AR53" i="3"/>
  <c r="AN53" i="3"/>
  <c r="AL55" i="3"/>
  <c r="AZ55" i="3"/>
  <c r="AR55" i="3"/>
  <c r="AN55" i="3"/>
  <c r="AL57" i="3"/>
  <c r="AZ57" i="3"/>
  <c r="AR57" i="3"/>
  <c r="AN57" i="3"/>
  <c r="AL59" i="3"/>
  <c r="AZ59" i="3"/>
  <c r="AR59" i="3"/>
  <c r="AN59" i="3"/>
  <c r="AL61" i="3"/>
  <c r="AZ61" i="3"/>
  <c r="AR61" i="3"/>
  <c r="AN61" i="3"/>
  <c r="AL63" i="3"/>
  <c r="AZ63" i="3"/>
  <c r="AR63" i="3"/>
  <c r="AN63" i="3"/>
  <c r="AL65" i="3"/>
  <c r="AZ65" i="3"/>
  <c r="AR65" i="3"/>
  <c r="AN65" i="3"/>
  <c r="AR67" i="3"/>
  <c r="AN67" i="3"/>
  <c r="AZ67" i="3"/>
  <c r="AL67" i="3"/>
  <c r="M8" i="1"/>
  <c r="AZ68" i="3"/>
  <c r="AR68" i="3"/>
  <c r="AN68" i="3"/>
  <c r="AL68" i="3"/>
  <c r="T69" i="3"/>
  <c r="AZ70" i="3"/>
  <c r="AL70" i="3"/>
  <c r="AR70" i="3"/>
  <c r="AN70" i="3"/>
  <c r="T71" i="3"/>
  <c r="AZ72" i="3"/>
  <c r="AN72" i="3"/>
  <c r="AL72" i="3"/>
  <c r="AR72" i="3"/>
  <c r="T73" i="3"/>
  <c r="AZ74" i="3"/>
  <c r="AR74" i="3"/>
  <c r="AN74" i="3"/>
  <c r="AL74" i="3"/>
  <c r="T75" i="3"/>
  <c r="AR76" i="3"/>
  <c r="AN76" i="3"/>
  <c r="AZ76" i="3"/>
  <c r="AL76" i="3"/>
  <c r="T77" i="3"/>
  <c r="AZ78" i="3"/>
  <c r="AN78" i="3"/>
  <c r="AR78" i="3"/>
  <c r="AL78" i="3"/>
  <c r="T79" i="3"/>
  <c r="AZ80" i="3"/>
  <c r="AL80" i="3"/>
  <c r="AR80" i="3"/>
  <c r="AN80" i="3"/>
  <c r="T81" i="3"/>
  <c r="AR82" i="3"/>
  <c r="AN82" i="3"/>
  <c r="AZ82" i="3"/>
  <c r="AL82" i="3"/>
  <c r="T83" i="3"/>
  <c r="AZ84" i="3"/>
  <c r="AN84" i="3"/>
  <c r="AL84" i="3"/>
  <c r="AR84" i="3"/>
  <c r="T85" i="3"/>
  <c r="AN86" i="3"/>
  <c r="AZ86" i="3"/>
  <c r="AR86" i="3"/>
  <c r="AL86" i="3"/>
  <c r="T87" i="3"/>
  <c r="AZ88" i="3"/>
  <c r="AR88" i="3"/>
  <c r="AN88" i="3"/>
  <c r="AL88" i="3"/>
  <c r="T89" i="3"/>
  <c r="AR90" i="3"/>
  <c r="AN90" i="3"/>
  <c r="AZ90" i="3"/>
  <c r="AL90" i="3"/>
  <c r="T91" i="3"/>
  <c r="AL92" i="3"/>
  <c r="AZ92" i="3"/>
  <c r="AR92" i="3"/>
  <c r="AN92" i="3"/>
  <c r="T93" i="3"/>
  <c r="AZ94" i="3"/>
  <c r="AR94" i="3"/>
  <c r="AN94" i="3"/>
  <c r="AL94" i="3"/>
  <c r="T95" i="3"/>
  <c r="AZ96" i="3"/>
  <c r="AR96" i="3"/>
  <c r="AN96" i="3"/>
  <c r="AL96" i="3"/>
  <c r="T97" i="3"/>
  <c r="AZ98" i="3"/>
  <c r="AN98" i="3"/>
  <c r="AL98" i="3"/>
  <c r="AR98" i="3"/>
  <c r="T99" i="3"/>
  <c r="AZ100" i="3"/>
  <c r="AL100" i="3"/>
  <c r="AR100" i="3"/>
  <c r="AN100" i="3"/>
  <c r="T101" i="3"/>
  <c r="AL102" i="3"/>
  <c r="AZ102" i="3"/>
  <c r="AR102" i="3"/>
  <c r="AN102" i="3"/>
  <c r="T103" i="3"/>
  <c r="AR104" i="3"/>
  <c r="AL104" i="3"/>
  <c r="AZ104" i="3"/>
  <c r="AN104" i="3"/>
  <c r="T105" i="3"/>
  <c r="AZ106" i="3"/>
  <c r="AR106" i="3"/>
  <c r="AN106" i="3"/>
  <c r="AL106" i="3"/>
  <c r="T107" i="3"/>
  <c r="AZ108" i="3"/>
  <c r="AR108" i="3"/>
  <c r="AN108" i="3"/>
  <c r="AL108" i="3"/>
  <c r="T109" i="3"/>
  <c r="AZ110" i="3"/>
  <c r="AR110" i="3"/>
  <c r="AN110" i="3"/>
  <c r="AL110" i="3"/>
  <c r="T111" i="3"/>
  <c r="AR112" i="3"/>
  <c r="AN112" i="3"/>
  <c r="AZ112" i="3"/>
  <c r="AL112" i="3"/>
  <c r="T113" i="3"/>
  <c r="AZ114" i="3"/>
  <c r="AR114" i="3"/>
  <c r="AN114" i="3"/>
  <c r="AL114" i="3"/>
  <c r="T115" i="3"/>
  <c r="AL116" i="3"/>
  <c r="AZ116" i="3"/>
  <c r="AR116" i="3"/>
  <c r="AN116" i="3"/>
  <c r="T117" i="3"/>
  <c r="AR118" i="3"/>
  <c r="AN118" i="3"/>
  <c r="AZ118" i="3"/>
  <c r="AL118" i="3"/>
  <c r="T119" i="3"/>
  <c r="AZ120" i="3"/>
  <c r="AR120" i="3"/>
  <c r="AN120" i="3"/>
  <c r="AL120" i="3"/>
  <c r="T121" i="3"/>
  <c r="AZ122" i="3"/>
  <c r="AL122" i="3"/>
  <c r="AR122" i="3"/>
  <c r="AN122" i="3"/>
  <c r="T123" i="3"/>
  <c r="AZ124" i="3"/>
  <c r="AR124" i="3"/>
  <c r="AN124" i="3"/>
  <c r="AL124" i="3"/>
  <c r="T125" i="3"/>
  <c r="AZ126" i="3"/>
  <c r="AN126" i="3"/>
  <c r="AR126" i="3"/>
  <c r="AL126" i="3"/>
  <c r="T127" i="3"/>
  <c r="AZ128" i="3"/>
  <c r="AL128" i="3"/>
  <c r="AR128" i="3"/>
  <c r="AN128" i="3"/>
  <c r="T129" i="3"/>
  <c r="AZ130" i="3"/>
  <c r="AR130" i="3"/>
  <c r="AN130" i="3"/>
  <c r="AL130" i="3"/>
  <c r="T131" i="3"/>
  <c r="AZ132" i="3"/>
  <c r="AL132" i="3"/>
  <c r="AR132" i="3"/>
  <c r="AN132" i="3"/>
  <c r="T133" i="3"/>
  <c r="AZ134" i="3"/>
  <c r="AR134" i="3"/>
  <c r="AN134" i="3"/>
  <c r="AL134" i="3"/>
  <c r="T135" i="3"/>
  <c r="AZ136" i="3"/>
  <c r="AN136" i="3"/>
  <c r="AR136" i="3"/>
  <c r="AL136" i="3"/>
  <c r="T137" i="3"/>
  <c r="AR138" i="3"/>
  <c r="AL138" i="3"/>
  <c r="AZ138" i="3"/>
  <c r="AN138" i="3"/>
  <c r="T139" i="3"/>
  <c r="AN140" i="3"/>
  <c r="AZ140" i="3"/>
  <c r="AR140" i="3"/>
  <c r="AL140" i="3"/>
  <c r="T141" i="3"/>
  <c r="AR142" i="3"/>
  <c r="AN142" i="3"/>
  <c r="AZ142" i="3"/>
  <c r="AL142" i="3"/>
  <c r="T143" i="3"/>
  <c r="AR144" i="3"/>
  <c r="AN144" i="3"/>
  <c r="AZ144" i="3"/>
  <c r="AL144" i="3"/>
  <c r="T145" i="3"/>
  <c r="AZ146" i="3"/>
  <c r="AR146" i="3"/>
  <c r="AL146" i="3"/>
  <c r="AN146" i="3"/>
  <c r="T147" i="3"/>
  <c r="AZ148" i="3"/>
  <c r="AR148" i="3"/>
  <c r="AN148" i="3"/>
  <c r="AL148" i="3"/>
  <c r="T149" i="3"/>
  <c r="AZ150" i="3"/>
  <c r="AR150" i="3"/>
  <c r="AL150" i="3"/>
  <c r="AN150" i="3"/>
  <c r="T151" i="3"/>
  <c r="AZ152" i="3"/>
  <c r="AL152" i="3"/>
  <c r="AR152" i="3"/>
  <c r="AN152" i="3"/>
  <c r="T153" i="3"/>
  <c r="AZ154" i="3"/>
  <c r="AR154" i="3"/>
  <c r="AN154" i="3"/>
  <c r="AL154" i="3"/>
  <c r="T155" i="3"/>
  <c r="AZ156" i="3"/>
  <c r="AR156" i="3"/>
  <c r="AN156" i="3"/>
  <c r="AL156" i="3"/>
  <c r="T157" i="3"/>
  <c r="AZ158" i="3"/>
  <c r="AR158" i="3"/>
  <c r="AN158" i="3"/>
  <c r="AL158" i="3"/>
  <c r="T159" i="3"/>
  <c r="AR160" i="3"/>
  <c r="AN160" i="3"/>
  <c r="AZ160" i="3"/>
  <c r="AL160" i="3"/>
  <c r="T161" i="3"/>
  <c r="AZ162" i="3"/>
  <c r="AN162" i="3"/>
  <c r="AR162" i="3"/>
  <c r="AL162" i="3"/>
  <c r="T163" i="3"/>
  <c r="AL164" i="3"/>
  <c r="AZ164" i="3"/>
  <c r="AR164" i="3"/>
  <c r="AN164" i="3"/>
  <c r="T165" i="3"/>
  <c r="AL166" i="3"/>
  <c r="AZ166" i="3"/>
  <c r="AR166" i="3"/>
  <c r="AN166" i="3"/>
  <c r="T167" i="3"/>
  <c r="AZ168" i="3"/>
  <c r="AL168" i="3"/>
  <c r="AR168" i="3"/>
  <c r="AN168" i="3"/>
  <c r="T169" i="3"/>
  <c r="AR170" i="3"/>
  <c r="AN170" i="3"/>
  <c r="AL170" i="3"/>
  <c r="AZ170" i="3"/>
  <c r="T171" i="3"/>
  <c r="AZ172" i="3"/>
  <c r="AR172" i="3"/>
  <c r="AN172" i="3"/>
  <c r="AL172" i="3"/>
  <c r="T173" i="3"/>
  <c r="AZ174" i="3"/>
  <c r="AR174" i="3"/>
  <c r="AN174" i="3"/>
  <c r="AL174" i="3"/>
  <c r="T175" i="3"/>
  <c r="AZ176" i="3"/>
  <c r="AR176" i="3"/>
  <c r="AN176" i="3"/>
  <c r="AL176" i="3"/>
  <c r="T177" i="3"/>
  <c r="AZ178" i="3"/>
  <c r="AR178" i="3"/>
  <c r="AN178" i="3"/>
  <c r="AL178" i="3"/>
  <c r="T179" i="3"/>
  <c r="AR180" i="3"/>
  <c r="AN180" i="3"/>
  <c r="AZ180" i="3"/>
  <c r="AL180" i="3"/>
  <c r="T181" i="3"/>
  <c r="AR182" i="3"/>
  <c r="AN182" i="3"/>
  <c r="AZ182" i="3"/>
  <c r="AL182" i="3"/>
  <c r="T183" i="3"/>
  <c r="AR184" i="3"/>
  <c r="AN184" i="3"/>
  <c r="AZ184" i="3"/>
  <c r="AL184" i="3"/>
  <c r="T185" i="3"/>
  <c r="AN186" i="3"/>
  <c r="AZ186" i="3"/>
  <c r="AR186" i="3"/>
  <c r="AL186" i="3"/>
  <c r="T187" i="3"/>
  <c r="AL188" i="3"/>
  <c r="AZ188" i="3"/>
  <c r="AR188" i="3"/>
  <c r="AN188" i="3"/>
  <c r="T189" i="3"/>
  <c r="AZ190" i="3"/>
  <c r="AR190" i="3"/>
  <c r="AN190" i="3"/>
  <c r="AL190" i="3"/>
  <c r="T191" i="3"/>
  <c r="AZ192" i="3"/>
  <c r="AR192" i="3"/>
  <c r="AN192" i="3"/>
  <c r="AL192" i="3"/>
  <c r="T193" i="3"/>
  <c r="AR194" i="3"/>
  <c r="AN194" i="3"/>
  <c r="AZ194" i="3"/>
  <c r="AL194" i="3"/>
  <c r="T195" i="3"/>
  <c r="AZ196" i="3"/>
  <c r="AR196" i="3"/>
  <c r="AN196" i="3"/>
  <c r="AL196" i="3"/>
  <c r="T197" i="3"/>
  <c r="AR198" i="3"/>
  <c r="AZ198" i="3"/>
  <c r="AN198" i="3"/>
  <c r="AL198" i="3"/>
  <c r="T199" i="3"/>
  <c r="AR200" i="3"/>
  <c r="AL200" i="3"/>
  <c r="AZ200" i="3"/>
  <c r="AN200" i="3"/>
  <c r="T201" i="3"/>
  <c r="AR202" i="3"/>
  <c r="AN202" i="3"/>
  <c r="AZ202" i="3"/>
  <c r="AL202" i="3"/>
  <c r="T203" i="3"/>
  <c r="AZ204" i="3"/>
  <c r="AR204" i="3"/>
  <c r="AN204" i="3"/>
  <c r="AL204" i="3"/>
  <c r="T205" i="3"/>
  <c r="AZ206" i="3"/>
  <c r="AR206" i="3"/>
  <c r="AN206" i="3"/>
  <c r="AL206" i="3"/>
  <c r="T207" i="3"/>
  <c r="AZ208" i="3"/>
  <c r="AR208" i="3"/>
  <c r="AN208" i="3"/>
  <c r="AL208" i="3"/>
  <c r="T209" i="3"/>
  <c r="AZ210" i="3"/>
  <c r="AR210" i="3"/>
  <c r="AN210" i="3"/>
  <c r="AL210" i="3"/>
  <c r="T211" i="3"/>
  <c r="AR212" i="3"/>
  <c r="AN212" i="3"/>
  <c r="AZ212" i="3"/>
  <c r="AL212" i="3"/>
  <c r="T213" i="3"/>
  <c r="AZ214" i="3"/>
  <c r="AL214" i="3"/>
  <c r="AR214" i="3"/>
  <c r="AN214" i="3"/>
  <c r="T215" i="3"/>
  <c r="AN216" i="3"/>
  <c r="AZ216" i="3"/>
  <c r="AR216" i="3"/>
  <c r="AL216" i="3"/>
  <c r="T217" i="3"/>
  <c r="AL218" i="3"/>
  <c r="AZ218" i="3"/>
  <c r="AR218" i="3"/>
  <c r="AN218" i="3"/>
  <c r="T219" i="3"/>
  <c r="AZ220" i="3"/>
  <c r="AR220" i="3"/>
  <c r="AN220" i="3"/>
  <c r="AL220" i="3"/>
  <c r="T221" i="3"/>
  <c r="AZ222" i="3"/>
  <c r="AL222" i="3"/>
  <c r="AR222" i="3"/>
  <c r="AN222" i="3"/>
  <c r="T223" i="3"/>
  <c r="AZ224" i="3"/>
  <c r="AR224" i="3"/>
  <c r="AN224" i="3"/>
  <c r="AL224" i="3"/>
  <c r="T225" i="3"/>
  <c r="AZ226" i="3"/>
  <c r="AR226" i="3"/>
  <c r="AN226" i="3"/>
  <c r="AL226" i="3"/>
  <c r="T227" i="3"/>
  <c r="AZ228" i="3"/>
  <c r="AR228" i="3"/>
  <c r="AN228" i="3"/>
  <c r="AL228" i="3"/>
  <c r="T229" i="3"/>
  <c r="AZ230" i="3"/>
  <c r="AR230" i="3"/>
  <c r="AN230" i="3"/>
  <c r="AL230" i="3"/>
  <c r="T231" i="3"/>
  <c r="AZ232" i="3"/>
  <c r="AR232" i="3"/>
  <c r="AN232" i="3"/>
  <c r="AL232" i="3"/>
  <c r="T233" i="3"/>
  <c r="AZ234" i="3"/>
  <c r="AR234" i="3"/>
  <c r="AN234" i="3"/>
  <c r="AL234" i="3"/>
  <c r="T235" i="3"/>
  <c r="AZ236" i="3"/>
  <c r="AR236" i="3"/>
  <c r="AN236" i="3"/>
  <c r="AL236" i="3"/>
  <c r="T237" i="3"/>
  <c r="AZ238" i="3"/>
  <c r="AR238" i="3"/>
  <c r="AN238" i="3"/>
  <c r="AL238" i="3"/>
  <c r="T239" i="3"/>
  <c r="AZ240" i="3"/>
  <c r="AR240" i="3"/>
  <c r="AN240" i="3"/>
  <c r="AL240" i="3"/>
  <c r="T241" i="3"/>
  <c r="AZ242" i="3"/>
  <c r="AR242" i="3"/>
  <c r="AN242" i="3"/>
  <c r="AL242" i="3"/>
  <c r="T243" i="3"/>
  <c r="T68" i="3"/>
  <c r="G9" i="1" s="1"/>
  <c r="AZ69" i="3"/>
  <c r="AL69" i="3"/>
  <c r="AR69" i="3"/>
  <c r="AN69" i="3"/>
  <c r="T70" i="3"/>
  <c r="AR71" i="3"/>
  <c r="AN71" i="3"/>
  <c r="AZ71" i="3"/>
  <c r="AL71" i="3"/>
  <c r="T72" i="3"/>
  <c r="AZ73" i="3"/>
  <c r="AR73" i="3"/>
  <c r="AN73" i="3"/>
  <c r="AL73" i="3"/>
  <c r="T74" i="3"/>
  <c r="AL75" i="3"/>
  <c r="AZ75" i="3"/>
  <c r="AR75" i="3"/>
  <c r="AN75" i="3"/>
  <c r="T76" i="3"/>
  <c r="AZ77" i="3"/>
  <c r="AR77" i="3"/>
  <c r="AL77" i="3"/>
  <c r="AN77" i="3"/>
  <c r="T78" i="3"/>
  <c r="AR79" i="3"/>
  <c r="AN79" i="3"/>
  <c r="AL79" i="3"/>
  <c r="AZ79" i="3"/>
  <c r="T80" i="3"/>
  <c r="AN81" i="3"/>
  <c r="AZ81" i="3"/>
  <c r="AR81" i="3"/>
  <c r="AL81" i="3"/>
  <c r="T82" i="3"/>
  <c r="AZ83" i="3"/>
  <c r="AL83" i="3"/>
  <c r="AR83" i="3"/>
  <c r="AN83" i="3"/>
  <c r="T84" i="3"/>
  <c r="AZ85" i="3"/>
  <c r="AR85" i="3"/>
  <c r="AN85" i="3"/>
  <c r="AL85" i="3"/>
  <c r="T86" i="3"/>
  <c r="AR87" i="3"/>
  <c r="AN87" i="3"/>
  <c r="AZ87" i="3"/>
  <c r="AL87" i="3"/>
  <c r="T88" i="3"/>
  <c r="AR89" i="3"/>
  <c r="AL89" i="3"/>
  <c r="AZ89" i="3"/>
  <c r="AN89" i="3"/>
  <c r="T90" i="3"/>
  <c r="AZ91" i="3"/>
  <c r="AN91" i="3"/>
  <c r="AL91" i="3"/>
  <c r="AR91" i="3"/>
  <c r="T92" i="3"/>
  <c r="AR93" i="3"/>
  <c r="AL93" i="3"/>
  <c r="AZ93" i="3"/>
  <c r="AN93" i="3"/>
  <c r="T94" i="3"/>
  <c r="AZ95" i="3"/>
  <c r="AR95" i="3"/>
  <c r="AN95" i="3"/>
  <c r="AL95" i="3"/>
  <c r="T96" i="3"/>
  <c r="AZ97" i="3"/>
  <c r="AR97" i="3"/>
  <c r="AN97" i="3"/>
  <c r="AL97" i="3"/>
  <c r="T98" i="3"/>
  <c r="AL99" i="3"/>
  <c r="AZ99" i="3"/>
  <c r="AR99" i="3"/>
  <c r="AN99" i="3"/>
  <c r="T100" i="3"/>
  <c r="AR101" i="3"/>
  <c r="AL101" i="3"/>
  <c r="AZ101" i="3"/>
  <c r="AN101" i="3"/>
  <c r="T102" i="3"/>
  <c r="AZ103" i="3"/>
  <c r="AR103" i="3"/>
  <c r="AN103" i="3"/>
  <c r="AL103" i="3"/>
  <c r="T104" i="3"/>
  <c r="AL105" i="3"/>
  <c r="AZ105" i="3"/>
  <c r="AR105" i="3"/>
  <c r="AN105" i="3"/>
  <c r="T106" i="3"/>
  <c r="AR107" i="3"/>
  <c r="AL107" i="3"/>
  <c r="AZ107" i="3"/>
  <c r="AN107" i="3"/>
  <c r="T108" i="3"/>
  <c r="AZ109" i="3"/>
  <c r="AN109" i="3"/>
  <c r="AR109" i="3"/>
  <c r="AL109" i="3"/>
  <c r="T110" i="3"/>
  <c r="AN111" i="3"/>
  <c r="AZ111" i="3"/>
  <c r="AR111" i="3"/>
  <c r="AL111" i="3"/>
  <c r="T112" i="3"/>
  <c r="AL113" i="3"/>
  <c r="AZ113" i="3"/>
  <c r="AR113" i="3"/>
  <c r="AN113" i="3"/>
  <c r="T114" i="3"/>
  <c r="AL115" i="3"/>
  <c r="AZ115" i="3"/>
  <c r="AR115" i="3"/>
  <c r="AN115" i="3"/>
  <c r="T116" i="3"/>
  <c r="AR117" i="3"/>
  <c r="AN117" i="3"/>
  <c r="AZ117" i="3"/>
  <c r="AL117" i="3"/>
  <c r="T118" i="3"/>
  <c r="AZ119" i="3"/>
  <c r="AR119" i="3"/>
  <c r="AN119" i="3"/>
  <c r="AL119" i="3"/>
  <c r="T120" i="3"/>
  <c r="AZ121" i="3"/>
  <c r="AR121" i="3"/>
  <c r="AN121" i="3"/>
  <c r="AL121" i="3"/>
  <c r="T122" i="3"/>
  <c r="AZ123" i="3"/>
  <c r="AL123" i="3"/>
  <c r="AR123" i="3"/>
  <c r="AN123" i="3"/>
  <c r="T124" i="3"/>
  <c r="AR125" i="3"/>
  <c r="AN125" i="3"/>
  <c r="AZ125" i="3"/>
  <c r="AL125" i="3"/>
  <c r="T126" i="3"/>
  <c r="AR127" i="3"/>
  <c r="AN127" i="3"/>
  <c r="AZ127" i="3"/>
  <c r="AL127" i="3"/>
  <c r="T128" i="3"/>
  <c r="AZ129" i="3"/>
  <c r="AR129" i="3"/>
  <c r="AN129" i="3"/>
  <c r="AL129" i="3"/>
  <c r="T130" i="3"/>
  <c r="AL131" i="3"/>
  <c r="AZ131" i="3"/>
  <c r="AR131" i="3"/>
  <c r="AN131" i="3"/>
  <c r="T132" i="3"/>
  <c r="AL133" i="3"/>
  <c r="AZ133" i="3"/>
  <c r="AR133" i="3"/>
  <c r="AN133" i="3"/>
  <c r="T134" i="3"/>
  <c r="AZ135" i="3"/>
  <c r="AN135" i="3"/>
  <c r="AR135" i="3"/>
  <c r="AL135" i="3"/>
  <c r="T136" i="3"/>
  <c r="AR137" i="3"/>
  <c r="AL137" i="3"/>
  <c r="AZ137" i="3"/>
  <c r="AN137" i="3"/>
  <c r="T138" i="3"/>
  <c r="AZ139" i="3"/>
  <c r="AN139" i="3"/>
  <c r="AL139" i="3"/>
  <c r="AR139" i="3"/>
  <c r="T140" i="3"/>
  <c r="AR141" i="3"/>
  <c r="AL141" i="3"/>
  <c r="AZ141" i="3"/>
  <c r="AN141" i="3"/>
  <c r="T142" i="3"/>
  <c r="AL143" i="3"/>
  <c r="AZ143" i="3"/>
  <c r="AR143" i="3"/>
  <c r="AN143" i="3"/>
  <c r="T144" i="3"/>
  <c r="AR145" i="3"/>
  <c r="AL145" i="3"/>
  <c r="AZ145" i="3"/>
  <c r="AN145" i="3"/>
  <c r="T146" i="3"/>
  <c r="AZ147" i="3"/>
  <c r="AR147" i="3"/>
  <c r="AN147" i="3"/>
  <c r="AL147" i="3"/>
  <c r="T148" i="3"/>
  <c r="AR149" i="3"/>
  <c r="AL149" i="3"/>
  <c r="AZ149" i="3"/>
  <c r="AN149" i="3"/>
  <c r="T150" i="3"/>
  <c r="AZ151" i="3"/>
  <c r="AR151" i="3"/>
  <c r="AN151" i="3"/>
  <c r="AL151" i="3"/>
  <c r="T152" i="3"/>
  <c r="AN153" i="3"/>
  <c r="AZ153" i="3"/>
  <c r="AR153" i="3"/>
  <c r="AL153" i="3"/>
  <c r="T154" i="3"/>
  <c r="AZ155" i="3"/>
  <c r="AR155" i="3"/>
  <c r="AL155" i="3"/>
  <c r="AN155" i="3"/>
  <c r="T156" i="3"/>
  <c r="AR157" i="3"/>
  <c r="AN157" i="3"/>
  <c r="AZ157" i="3"/>
  <c r="AL157" i="3"/>
  <c r="T158" i="3"/>
  <c r="AZ159" i="3"/>
  <c r="AR159" i="3"/>
  <c r="AN159" i="3"/>
  <c r="AL159" i="3"/>
  <c r="T160" i="3"/>
  <c r="AZ161" i="3"/>
  <c r="AR161" i="3"/>
  <c r="AN161" i="3"/>
  <c r="AL161" i="3"/>
  <c r="T162" i="3"/>
  <c r="AZ163" i="3"/>
  <c r="AR163" i="3"/>
  <c r="AN163" i="3"/>
  <c r="AL163" i="3"/>
  <c r="T164" i="3"/>
  <c r="AL165" i="3"/>
  <c r="AZ165" i="3"/>
  <c r="AR165" i="3"/>
  <c r="AN165" i="3"/>
  <c r="T166" i="3"/>
  <c r="AZ167" i="3"/>
  <c r="AN167" i="3"/>
  <c r="AR167" i="3"/>
  <c r="AL167" i="3"/>
  <c r="T168" i="3"/>
  <c r="AR169" i="3"/>
  <c r="AN169" i="3"/>
  <c r="AZ169" i="3"/>
  <c r="AL169" i="3"/>
  <c r="T170" i="3"/>
  <c r="AZ171" i="3"/>
  <c r="AL171" i="3"/>
  <c r="AR171" i="3"/>
  <c r="AN171" i="3"/>
  <c r="T172" i="3"/>
  <c r="AZ173" i="3"/>
  <c r="AR173" i="3"/>
  <c r="AL173" i="3"/>
  <c r="AN173" i="3"/>
  <c r="T174" i="3"/>
  <c r="AZ175" i="3"/>
  <c r="AR175" i="3"/>
  <c r="AN175" i="3"/>
  <c r="AL175" i="3"/>
  <c r="T176" i="3"/>
  <c r="AZ177" i="3"/>
  <c r="AR177" i="3"/>
  <c r="AL177" i="3"/>
  <c r="AN177" i="3"/>
  <c r="T178" i="3"/>
  <c r="AZ179" i="3"/>
  <c r="AR179" i="3"/>
  <c r="AN179" i="3"/>
  <c r="AL179" i="3"/>
  <c r="T180" i="3"/>
  <c r="AZ181" i="3"/>
  <c r="AR181" i="3"/>
  <c r="AL181" i="3"/>
  <c r="AN181" i="3"/>
  <c r="T182" i="3"/>
  <c r="AZ183" i="3"/>
  <c r="AR183" i="3"/>
  <c r="AL183" i="3"/>
  <c r="AN183" i="3"/>
  <c r="T184" i="3"/>
  <c r="AZ185" i="3"/>
  <c r="AR185" i="3"/>
  <c r="AN185" i="3"/>
  <c r="AL185" i="3"/>
  <c r="T186" i="3"/>
  <c r="AZ187" i="3"/>
  <c r="AN187" i="3"/>
  <c r="AL187" i="3"/>
  <c r="AR187" i="3"/>
  <c r="T188" i="3"/>
  <c r="AR189" i="3"/>
  <c r="AN189" i="3"/>
  <c r="AZ189" i="3"/>
  <c r="AL189" i="3"/>
  <c r="T190" i="3"/>
  <c r="AN191" i="3"/>
  <c r="AZ191" i="3"/>
  <c r="AR191" i="3"/>
  <c r="AL191" i="3"/>
  <c r="T192" i="3"/>
  <c r="AZ193" i="3"/>
  <c r="AR193" i="3"/>
  <c r="AN193" i="3"/>
  <c r="AL193" i="3"/>
  <c r="T194" i="3"/>
  <c r="AL195" i="3"/>
  <c r="AZ195" i="3"/>
  <c r="AR195" i="3"/>
  <c r="AN195" i="3"/>
  <c r="T196" i="3"/>
  <c r="AZ197" i="3"/>
  <c r="AN197" i="3"/>
  <c r="AL197" i="3"/>
  <c r="AR197" i="3"/>
  <c r="T198" i="3"/>
  <c r="AZ199" i="3"/>
  <c r="AN199" i="3"/>
  <c r="AR199" i="3"/>
  <c r="AL199" i="3"/>
  <c r="T200" i="3"/>
  <c r="AZ201" i="3"/>
  <c r="AR201" i="3"/>
  <c r="AN201" i="3"/>
  <c r="AL201" i="3"/>
  <c r="T202" i="3"/>
  <c r="AZ203" i="3"/>
  <c r="AN203" i="3"/>
  <c r="AL203" i="3"/>
  <c r="AR203" i="3"/>
  <c r="T204" i="3"/>
  <c r="AZ205" i="3"/>
  <c r="AR205" i="3"/>
  <c r="AN205" i="3"/>
  <c r="AL205" i="3"/>
  <c r="T206" i="3"/>
  <c r="AZ207" i="3"/>
  <c r="AL207" i="3"/>
  <c r="AR207" i="3"/>
  <c r="AN207" i="3"/>
  <c r="T208" i="3"/>
  <c r="AZ209" i="3"/>
  <c r="AR209" i="3"/>
  <c r="AL209" i="3"/>
  <c r="AN209" i="3"/>
  <c r="T210" i="3"/>
  <c r="AZ211" i="3"/>
  <c r="AN211" i="3"/>
  <c r="AR211" i="3"/>
  <c r="AL211" i="3"/>
  <c r="T212" i="3"/>
  <c r="AZ213" i="3"/>
  <c r="AR213" i="3"/>
  <c r="AN213" i="3"/>
  <c r="AL213" i="3"/>
  <c r="T214" i="3"/>
  <c r="AR215" i="3"/>
  <c r="AZ215" i="3"/>
  <c r="AN215" i="3"/>
  <c r="AL215" i="3"/>
  <c r="T216" i="3"/>
  <c r="AR217" i="3"/>
  <c r="AN217" i="3"/>
  <c r="AZ217" i="3"/>
  <c r="AL217" i="3"/>
  <c r="T218" i="3"/>
  <c r="AZ219" i="3"/>
  <c r="AR219" i="3"/>
  <c r="AL219" i="3"/>
  <c r="AN219" i="3"/>
  <c r="T220" i="3"/>
  <c r="AZ221" i="3"/>
  <c r="AR221" i="3"/>
  <c r="AN221" i="3"/>
  <c r="AL221" i="3"/>
  <c r="T222" i="3"/>
  <c r="AN223" i="3"/>
  <c r="AZ223" i="3"/>
  <c r="AR223" i="3"/>
  <c r="AL223" i="3"/>
  <c r="T224" i="3"/>
  <c r="AR225" i="3"/>
  <c r="AL225" i="3"/>
  <c r="AZ225" i="3"/>
  <c r="AN225" i="3"/>
  <c r="T226" i="3"/>
  <c r="AZ227" i="3"/>
  <c r="AR227" i="3"/>
  <c r="AN227" i="3"/>
  <c r="AL227" i="3"/>
  <c r="T228" i="3"/>
  <c r="AZ229" i="3"/>
  <c r="AR229" i="3"/>
  <c r="AN229" i="3"/>
  <c r="AL229" i="3"/>
  <c r="T230" i="3"/>
  <c r="AZ231" i="3"/>
  <c r="AR231" i="3"/>
  <c r="AN231" i="3"/>
  <c r="AL231" i="3"/>
  <c r="T232" i="3"/>
  <c r="AZ233" i="3"/>
  <c r="AR233" i="3"/>
  <c r="AN233" i="3"/>
  <c r="AL233" i="3"/>
  <c r="T234" i="3"/>
  <c r="AZ235" i="3"/>
  <c r="AR235" i="3"/>
  <c r="AN235" i="3"/>
  <c r="AL235" i="3"/>
  <c r="T236" i="3"/>
  <c r="AZ237" i="3"/>
  <c r="AR237" i="3"/>
  <c r="AN237" i="3"/>
  <c r="AL237" i="3"/>
  <c r="T238" i="3"/>
  <c r="AZ239" i="3"/>
  <c r="AR239" i="3"/>
  <c r="AN239" i="3"/>
  <c r="AL239" i="3"/>
  <c r="T240" i="3"/>
  <c r="AZ241" i="3"/>
  <c r="AR241" i="3"/>
  <c r="AN241" i="3"/>
  <c r="AL241" i="3"/>
  <c r="T242" i="3"/>
  <c r="AZ243" i="3"/>
  <c r="AR243" i="3"/>
  <c r="AN243" i="3"/>
  <c r="AL243" i="3"/>
  <c r="BB411" i="3"/>
  <c r="AZ411" i="3"/>
  <c r="AX411" i="3"/>
  <c r="AV411" i="3"/>
  <c r="AT411" i="3"/>
  <c r="AR411" i="3"/>
  <c r="AP411" i="3"/>
  <c r="AN411" i="3"/>
  <c r="AL411" i="3"/>
  <c r="AB411" i="3"/>
  <c r="Z411" i="3"/>
  <c r="X411" i="3"/>
  <c r="V411" i="3"/>
  <c r="T411" i="3"/>
  <c r="R411" i="3"/>
  <c r="P411" i="3"/>
  <c r="N411" i="3"/>
  <c r="L411" i="3"/>
  <c r="J411" i="3"/>
  <c r="H411" i="3"/>
  <c r="F411" i="3"/>
  <c r="D411" i="3"/>
  <c r="B411" i="3"/>
  <c r="E411" i="3"/>
  <c r="I411" i="3"/>
  <c r="M411" i="3"/>
  <c r="Q411" i="3"/>
  <c r="U411" i="3"/>
  <c r="Y411" i="3"/>
  <c r="AK411" i="3"/>
  <c r="AO411" i="3"/>
  <c r="AS411" i="3"/>
  <c r="AW411" i="3"/>
  <c r="BA411" i="3"/>
  <c r="BB413" i="3"/>
  <c r="AZ413" i="3"/>
  <c r="AX413" i="3"/>
  <c r="AV413" i="3"/>
  <c r="AT413" i="3"/>
  <c r="AR413" i="3"/>
  <c r="AP413" i="3"/>
  <c r="AN413" i="3"/>
  <c r="AL413" i="3"/>
  <c r="AB413" i="3"/>
  <c r="Z413" i="3"/>
  <c r="X413" i="3"/>
  <c r="V413" i="3"/>
  <c r="T413" i="3"/>
  <c r="R413" i="3"/>
  <c r="P413" i="3"/>
  <c r="N413" i="3"/>
  <c r="L413" i="3"/>
  <c r="J413" i="3"/>
  <c r="H413" i="3"/>
  <c r="F413" i="3"/>
  <c r="D413" i="3"/>
  <c r="B413" i="3"/>
  <c r="E413" i="3"/>
  <c r="I413" i="3"/>
  <c r="M413" i="3"/>
  <c r="Q413" i="3"/>
  <c r="U413" i="3"/>
  <c r="Y413" i="3"/>
  <c r="AK413" i="3"/>
  <c r="AO413" i="3"/>
  <c r="AS413" i="3"/>
  <c r="AW413" i="3"/>
  <c r="BA413" i="3"/>
  <c r="BB415" i="3"/>
  <c r="AZ415" i="3"/>
  <c r="AX415" i="3"/>
  <c r="AV415" i="3"/>
  <c r="AT415" i="3"/>
  <c r="AR415" i="3"/>
  <c r="AP415" i="3"/>
  <c r="AN415" i="3"/>
  <c r="AL415" i="3"/>
  <c r="AB415" i="3"/>
  <c r="Z415" i="3"/>
  <c r="X415" i="3"/>
  <c r="V415" i="3"/>
  <c r="T415" i="3"/>
  <c r="R415" i="3"/>
  <c r="P415" i="3"/>
  <c r="N415" i="3"/>
  <c r="L415" i="3"/>
  <c r="J415" i="3"/>
  <c r="H415" i="3"/>
  <c r="F415" i="3"/>
  <c r="D415" i="3"/>
  <c r="B415" i="3"/>
  <c r="E415" i="3"/>
  <c r="I415" i="3"/>
  <c r="M415" i="3"/>
  <c r="Q415" i="3"/>
  <c r="U415" i="3"/>
  <c r="Y415" i="3"/>
  <c r="AK415" i="3"/>
  <c r="AO415" i="3"/>
  <c r="AS415" i="3"/>
  <c r="AW415" i="3"/>
  <c r="BA415" i="3"/>
  <c r="C2" i="3"/>
  <c r="E2" i="3"/>
  <c r="G2" i="3"/>
  <c r="I2" i="3"/>
  <c r="K2" i="3"/>
  <c r="M2" i="3"/>
  <c r="O2" i="3"/>
  <c r="Q2" i="3"/>
  <c r="W2" i="3"/>
  <c r="AA2" i="3"/>
  <c r="AT2" i="3" s="1"/>
  <c r="AM2" i="3"/>
  <c r="AO2" i="3"/>
  <c r="AQ2" i="3"/>
  <c r="AS2" i="3"/>
  <c r="AU2" i="3"/>
  <c r="AY2" i="3"/>
  <c r="C3" i="3"/>
  <c r="E3" i="3"/>
  <c r="F3" i="3" s="1"/>
  <c r="G3" i="3"/>
  <c r="I3" i="3"/>
  <c r="P3" i="3" s="1"/>
  <c r="S3" i="3" s="1"/>
  <c r="K3" i="3"/>
  <c r="R3" i="3" s="1"/>
  <c r="M3" i="3"/>
  <c r="O3" i="3"/>
  <c r="Q3" i="3"/>
  <c r="U3" i="3"/>
  <c r="W3" i="3"/>
  <c r="Y3" i="3"/>
  <c r="AA3" i="3"/>
  <c r="AK3" i="3"/>
  <c r="AM3" i="3"/>
  <c r="AO3" i="3"/>
  <c r="AQ3" i="3"/>
  <c r="AS3" i="3"/>
  <c r="AU3" i="3"/>
  <c r="AW3" i="3"/>
  <c r="AY3" i="3"/>
  <c r="C4" i="3"/>
  <c r="E4" i="3"/>
  <c r="F4" i="3" s="1"/>
  <c r="G4" i="3"/>
  <c r="U4" i="3" s="1"/>
  <c r="I4" i="3"/>
  <c r="P4" i="3" s="1"/>
  <c r="K4" i="3"/>
  <c r="R4" i="3" s="1"/>
  <c r="M4" i="3"/>
  <c r="O4" i="3"/>
  <c r="Q4" i="3"/>
  <c r="S4" i="3"/>
  <c r="W4" i="3"/>
  <c r="Y4" i="3"/>
  <c r="AA4" i="3"/>
  <c r="BB4" i="3" s="1"/>
  <c r="AM4" i="3"/>
  <c r="AO4" i="3"/>
  <c r="AQ4" i="3"/>
  <c r="AS4" i="3"/>
  <c r="AU4" i="3"/>
  <c r="AY4" i="3"/>
  <c r="C5" i="3"/>
  <c r="E5" i="3"/>
  <c r="F5" i="3" s="1"/>
  <c r="G5" i="3"/>
  <c r="I5" i="3"/>
  <c r="P5" i="3" s="1"/>
  <c r="S5" i="3" s="1"/>
  <c r="K5" i="3"/>
  <c r="R5" i="3" s="1"/>
  <c r="M5" i="3"/>
  <c r="O5" i="3"/>
  <c r="Q5" i="3"/>
  <c r="U5" i="3"/>
  <c r="W5" i="3"/>
  <c r="Y5" i="3"/>
  <c r="AA5" i="3"/>
  <c r="AK5" i="3"/>
  <c r="AM5" i="3"/>
  <c r="AO5" i="3"/>
  <c r="AQ5" i="3"/>
  <c r="AS5" i="3"/>
  <c r="AU5" i="3"/>
  <c r="AW5" i="3"/>
  <c r="AY5" i="3"/>
  <c r="C6" i="3"/>
  <c r="E6" i="3"/>
  <c r="F6" i="3" s="1"/>
  <c r="G6" i="3"/>
  <c r="U6" i="3" s="1"/>
  <c r="I6" i="3"/>
  <c r="P6" i="3" s="1"/>
  <c r="K6" i="3"/>
  <c r="R6" i="3" s="1"/>
  <c r="M6" i="3"/>
  <c r="O6" i="3"/>
  <c r="Q6" i="3"/>
  <c r="S6" i="3"/>
  <c r="W6" i="3"/>
  <c r="Y6" i="3"/>
  <c r="AA6" i="3"/>
  <c r="BB6" i="3" s="1"/>
  <c r="AM6" i="3"/>
  <c r="AO6" i="3"/>
  <c r="AQ6" i="3"/>
  <c r="AS6" i="3"/>
  <c r="AU6" i="3"/>
  <c r="AY6" i="3"/>
  <c r="C7" i="3"/>
  <c r="E7" i="3"/>
  <c r="F7" i="3" s="1"/>
  <c r="G7" i="3"/>
  <c r="I7" i="3"/>
  <c r="P7" i="3" s="1"/>
  <c r="S7" i="3" s="1"/>
  <c r="K7" i="3"/>
  <c r="R7" i="3" s="1"/>
  <c r="M7" i="3"/>
  <c r="O7" i="3"/>
  <c r="Q7" i="3"/>
  <c r="U7" i="3"/>
  <c r="W7" i="3"/>
  <c r="Y7" i="3"/>
  <c r="AA7" i="3"/>
  <c r="AK7" i="3"/>
  <c r="AM7" i="3"/>
  <c r="AO7" i="3"/>
  <c r="AQ7" i="3"/>
  <c r="AS7" i="3"/>
  <c r="AU7" i="3"/>
  <c r="AW7" i="3"/>
  <c r="AY7" i="3"/>
  <c r="C8" i="3"/>
  <c r="E8" i="3"/>
  <c r="F8" i="3" s="1"/>
  <c r="G8" i="3"/>
  <c r="U8" i="3" s="1"/>
  <c r="I8" i="3"/>
  <c r="P8" i="3" s="1"/>
  <c r="K8" i="3"/>
  <c r="R8" i="3" s="1"/>
  <c r="M8" i="3"/>
  <c r="O8" i="3"/>
  <c r="Q8" i="3"/>
  <c r="S8" i="3"/>
  <c r="W8" i="3"/>
  <c r="Y8" i="3"/>
  <c r="AA8" i="3"/>
  <c r="BB8" i="3" s="1"/>
  <c r="AM8" i="3"/>
  <c r="AO8" i="3"/>
  <c r="AQ8" i="3"/>
  <c r="AS8" i="3"/>
  <c r="AU8" i="3"/>
  <c r="AY8" i="3"/>
  <c r="C9" i="3"/>
  <c r="E9" i="3"/>
  <c r="F9" i="3" s="1"/>
  <c r="G9" i="3"/>
  <c r="I9" i="3"/>
  <c r="P9" i="3" s="1"/>
  <c r="S9" i="3" s="1"/>
  <c r="K9" i="3"/>
  <c r="R9" i="3" s="1"/>
  <c r="M9" i="3"/>
  <c r="O9" i="3"/>
  <c r="Q9" i="3"/>
  <c r="U9" i="3"/>
  <c r="W9" i="3"/>
  <c r="Y9" i="3"/>
  <c r="AA9" i="3"/>
  <c r="AK9" i="3"/>
  <c r="AM9" i="3"/>
  <c r="AO9" i="3"/>
  <c r="AQ9" i="3"/>
  <c r="AS9" i="3"/>
  <c r="AU9" i="3"/>
  <c r="AW9" i="3"/>
  <c r="AY9" i="3"/>
  <c r="C10" i="3"/>
  <c r="E10" i="3"/>
  <c r="F10" i="3" s="1"/>
  <c r="G10" i="3"/>
  <c r="U10" i="3" s="1"/>
  <c r="I10" i="3"/>
  <c r="P10" i="3" s="1"/>
  <c r="K10" i="3"/>
  <c r="R10" i="3" s="1"/>
  <c r="M10" i="3"/>
  <c r="O10" i="3"/>
  <c r="Q10" i="3"/>
  <c r="S10" i="3"/>
  <c r="W10" i="3"/>
  <c r="Y10" i="3"/>
  <c r="AA10" i="3"/>
  <c r="AT10" i="3" s="1"/>
  <c r="AM10" i="3"/>
  <c r="AO10" i="3"/>
  <c r="AQ10" i="3"/>
  <c r="AS10" i="3"/>
  <c r="AU10" i="3"/>
  <c r="AY10" i="3"/>
  <c r="C11" i="3"/>
  <c r="E11" i="3"/>
  <c r="F11" i="3" s="1"/>
  <c r="G11" i="3"/>
  <c r="I11" i="3"/>
  <c r="P11" i="3" s="1"/>
  <c r="S11" i="3" s="1"/>
  <c r="K11" i="3"/>
  <c r="R11" i="3" s="1"/>
  <c r="M11" i="3"/>
  <c r="O11" i="3"/>
  <c r="Q11" i="3"/>
  <c r="U11" i="3"/>
  <c r="W11" i="3"/>
  <c r="Y11" i="3"/>
  <c r="AA11" i="3"/>
  <c r="AK11" i="3"/>
  <c r="AM11" i="3"/>
  <c r="AO11" i="3"/>
  <c r="AQ11" i="3"/>
  <c r="AS11" i="3"/>
  <c r="AU11" i="3"/>
  <c r="AW11" i="3"/>
  <c r="AY11" i="3"/>
  <c r="C12" i="3"/>
  <c r="E12" i="3"/>
  <c r="F12" i="3" s="1"/>
  <c r="G12" i="3"/>
  <c r="U12" i="3" s="1"/>
  <c r="I12" i="3"/>
  <c r="P12" i="3" s="1"/>
  <c r="K12" i="3"/>
  <c r="R12" i="3" s="1"/>
  <c r="M12" i="3"/>
  <c r="O12" i="3"/>
  <c r="Q12" i="3"/>
  <c r="S12" i="3"/>
  <c r="W12" i="3"/>
  <c r="Y12" i="3"/>
  <c r="AA12" i="3"/>
  <c r="AT12" i="3" s="1"/>
  <c r="AM12" i="3"/>
  <c r="AO12" i="3"/>
  <c r="AQ12" i="3"/>
  <c r="AS12" i="3"/>
  <c r="AU12" i="3"/>
  <c r="AY12" i="3"/>
  <c r="C13" i="3"/>
  <c r="E13" i="3"/>
  <c r="F13" i="3" s="1"/>
  <c r="G13" i="3"/>
  <c r="I13" i="3"/>
  <c r="P13" i="3" s="1"/>
  <c r="S13" i="3" s="1"/>
  <c r="K13" i="3"/>
  <c r="R13" i="3" s="1"/>
  <c r="M13" i="3"/>
  <c r="O13" i="3"/>
  <c r="Q13" i="3"/>
  <c r="U13" i="3"/>
  <c r="W13" i="3"/>
  <c r="Y13" i="3"/>
  <c r="AA13" i="3"/>
  <c r="AK13" i="3"/>
  <c r="AM13" i="3"/>
  <c r="AO13" i="3"/>
  <c r="AQ13" i="3"/>
  <c r="AS13" i="3"/>
  <c r="AU13" i="3"/>
  <c r="AW13" i="3"/>
  <c r="AY13" i="3"/>
  <c r="C14" i="3"/>
  <c r="E14" i="3"/>
  <c r="F14" i="3" s="1"/>
  <c r="G14" i="3"/>
  <c r="U14" i="3" s="1"/>
  <c r="I14" i="3"/>
  <c r="P14" i="3" s="1"/>
  <c r="K14" i="3"/>
  <c r="R14" i="3" s="1"/>
  <c r="M14" i="3"/>
  <c r="O14" i="3"/>
  <c r="Q14" i="3"/>
  <c r="S14" i="3"/>
  <c r="W14" i="3"/>
  <c r="Y14" i="3"/>
  <c r="AA14" i="3"/>
  <c r="AT14" i="3" s="1"/>
  <c r="AM14" i="3"/>
  <c r="AO14" i="3"/>
  <c r="AQ14" i="3"/>
  <c r="AS14" i="3"/>
  <c r="AU14" i="3"/>
  <c r="AY14" i="3"/>
  <c r="C15" i="3"/>
  <c r="E15" i="3"/>
  <c r="F15" i="3" s="1"/>
  <c r="G15" i="3"/>
  <c r="I15" i="3"/>
  <c r="P15" i="3" s="1"/>
  <c r="S15" i="3" s="1"/>
  <c r="K15" i="3"/>
  <c r="R15" i="3" s="1"/>
  <c r="M15" i="3"/>
  <c r="O15" i="3"/>
  <c r="Q15" i="3"/>
  <c r="U15" i="3"/>
  <c r="W15" i="3"/>
  <c r="Y15" i="3"/>
  <c r="AA15" i="3"/>
  <c r="AK15" i="3"/>
  <c r="AM15" i="3"/>
  <c r="AO15" i="3"/>
  <c r="AQ15" i="3"/>
  <c r="AS15" i="3"/>
  <c r="AU15" i="3"/>
  <c r="AW15" i="3"/>
  <c r="AY15" i="3"/>
  <c r="C16" i="3"/>
  <c r="E16" i="3"/>
  <c r="F16" i="3" s="1"/>
  <c r="G16" i="3"/>
  <c r="U16" i="3" s="1"/>
  <c r="I16" i="3"/>
  <c r="P16" i="3" s="1"/>
  <c r="K16" i="3"/>
  <c r="R16" i="3" s="1"/>
  <c r="M16" i="3"/>
  <c r="O16" i="3"/>
  <c r="Q16" i="3"/>
  <c r="S16" i="3"/>
  <c r="W16" i="3"/>
  <c r="Y16" i="3"/>
  <c r="AA16" i="3"/>
  <c r="AT16" i="3" s="1"/>
  <c r="AM16" i="3"/>
  <c r="AO16" i="3"/>
  <c r="AQ16" i="3"/>
  <c r="AS16" i="3"/>
  <c r="AU16" i="3"/>
  <c r="AY16" i="3"/>
  <c r="C17" i="3"/>
  <c r="E17" i="3"/>
  <c r="F17" i="3" s="1"/>
  <c r="G17" i="3"/>
  <c r="I17" i="3"/>
  <c r="P17" i="3" s="1"/>
  <c r="S17" i="3" s="1"/>
  <c r="K17" i="3"/>
  <c r="R17" i="3" s="1"/>
  <c r="M17" i="3"/>
  <c r="O17" i="3"/>
  <c r="Q17" i="3"/>
  <c r="U17" i="3"/>
  <c r="W17" i="3"/>
  <c r="Y17" i="3"/>
  <c r="AA17" i="3"/>
  <c r="AK17" i="3"/>
  <c r="AM17" i="3"/>
  <c r="AO17" i="3"/>
  <c r="AQ17" i="3"/>
  <c r="AS17" i="3"/>
  <c r="AU17" i="3"/>
  <c r="AW17" i="3"/>
  <c r="AY17" i="3"/>
  <c r="C18" i="3"/>
  <c r="E18" i="3"/>
  <c r="F18" i="3" s="1"/>
  <c r="G18" i="3"/>
  <c r="U18" i="3" s="1"/>
  <c r="I18" i="3"/>
  <c r="P18" i="3" s="1"/>
  <c r="K18" i="3"/>
  <c r="R18" i="3" s="1"/>
  <c r="M18" i="3"/>
  <c r="O18" i="3"/>
  <c r="Q18" i="3"/>
  <c r="S18" i="3"/>
  <c r="W18" i="3"/>
  <c r="Y18" i="3"/>
  <c r="AA18" i="3"/>
  <c r="AT18" i="3" s="1"/>
  <c r="AM18" i="3"/>
  <c r="AO18" i="3"/>
  <c r="AQ18" i="3"/>
  <c r="AS18" i="3"/>
  <c r="AU18" i="3"/>
  <c r="AY18" i="3"/>
  <c r="C19" i="3"/>
  <c r="E19" i="3"/>
  <c r="F19" i="3" s="1"/>
  <c r="G19" i="3"/>
  <c r="I19" i="3"/>
  <c r="P19" i="3" s="1"/>
  <c r="S19" i="3" s="1"/>
  <c r="K19" i="3"/>
  <c r="R19" i="3" s="1"/>
  <c r="M19" i="3"/>
  <c r="O19" i="3"/>
  <c r="Q19" i="3"/>
  <c r="U19" i="3"/>
  <c r="W19" i="3"/>
  <c r="Y19" i="3"/>
  <c r="AA19" i="3"/>
  <c r="AK19" i="3"/>
  <c r="AM19" i="3"/>
  <c r="AO19" i="3"/>
  <c r="AQ19" i="3"/>
  <c r="AS19" i="3"/>
  <c r="AU19" i="3"/>
  <c r="AW19" i="3"/>
  <c r="AY19" i="3"/>
  <c r="C20" i="3"/>
  <c r="E20" i="3"/>
  <c r="F20" i="3" s="1"/>
  <c r="G20" i="3"/>
  <c r="U20" i="3" s="1"/>
  <c r="I20" i="3"/>
  <c r="P20" i="3" s="1"/>
  <c r="K20" i="3"/>
  <c r="R20" i="3" s="1"/>
  <c r="M20" i="3"/>
  <c r="O20" i="3"/>
  <c r="Q20" i="3"/>
  <c r="S20" i="3"/>
  <c r="W20" i="3"/>
  <c r="Y20" i="3"/>
  <c r="AA20" i="3"/>
  <c r="AT20" i="3" s="1"/>
  <c r="AM20" i="3"/>
  <c r="AO20" i="3"/>
  <c r="AQ20" i="3"/>
  <c r="AS20" i="3"/>
  <c r="AU20" i="3"/>
  <c r="AY20" i="3"/>
  <c r="C21" i="3"/>
  <c r="E21" i="3"/>
  <c r="F21" i="3" s="1"/>
  <c r="G21" i="3"/>
  <c r="I21" i="3"/>
  <c r="P21" i="3" s="1"/>
  <c r="S21" i="3" s="1"/>
  <c r="K21" i="3"/>
  <c r="R21" i="3" s="1"/>
  <c r="M21" i="3"/>
  <c r="O21" i="3"/>
  <c r="Q21" i="3"/>
  <c r="U21" i="3"/>
  <c r="W21" i="3"/>
  <c r="Y21" i="3"/>
  <c r="AA21" i="3"/>
  <c r="AK21" i="3"/>
  <c r="AM21" i="3"/>
  <c r="AO21" i="3"/>
  <c r="AQ21" i="3"/>
  <c r="AS21" i="3"/>
  <c r="AU21" i="3"/>
  <c r="AW21" i="3"/>
  <c r="AY21" i="3"/>
  <c r="C22" i="3"/>
  <c r="E22" i="3"/>
  <c r="F22" i="3" s="1"/>
  <c r="G22" i="3"/>
  <c r="U22" i="3" s="1"/>
  <c r="I22" i="3"/>
  <c r="P22" i="3" s="1"/>
  <c r="K22" i="3"/>
  <c r="R22" i="3" s="1"/>
  <c r="M22" i="3"/>
  <c r="O22" i="3"/>
  <c r="Q22" i="3"/>
  <c r="S22" i="3"/>
  <c r="W22" i="3"/>
  <c r="Y22" i="3"/>
  <c r="AA22" i="3"/>
  <c r="AT22" i="3" s="1"/>
  <c r="AM22" i="3"/>
  <c r="AO22" i="3"/>
  <c r="AQ22" i="3"/>
  <c r="AS22" i="3"/>
  <c r="AU22" i="3"/>
  <c r="AY22" i="3"/>
  <c r="C23" i="3"/>
  <c r="E23" i="3"/>
  <c r="F23" i="3" s="1"/>
  <c r="G23" i="3"/>
  <c r="I23" i="3"/>
  <c r="P23" i="3" s="1"/>
  <c r="S23" i="3" s="1"/>
  <c r="K23" i="3"/>
  <c r="R23" i="3" s="1"/>
  <c r="M23" i="3"/>
  <c r="O23" i="3"/>
  <c r="Q23" i="3"/>
  <c r="U23" i="3"/>
  <c r="W23" i="3"/>
  <c r="Y23" i="3"/>
  <c r="AA23" i="3"/>
  <c r="AK23" i="3"/>
  <c r="AM23" i="3"/>
  <c r="AO23" i="3"/>
  <c r="AQ23" i="3"/>
  <c r="AS23" i="3"/>
  <c r="AU23" i="3"/>
  <c r="AW23" i="3"/>
  <c r="AY23" i="3"/>
  <c r="C24" i="3"/>
  <c r="E24" i="3"/>
  <c r="F24" i="3" s="1"/>
  <c r="G24" i="3"/>
  <c r="U24" i="3" s="1"/>
  <c r="I24" i="3"/>
  <c r="P24" i="3" s="1"/>
  <c r="K24" i="3"/>
  <c r="R24" i="3" s="1"/>
  <c r="M24" i="3"/>
  <c r="O24" i="3"/>
  <c r="Q24" i="3"/>
  <c r="S24" i="3"/>
  <c r="W24" i="3"/>
  <c r="Y24" i="3"/>
  <c r="AA24" i="3"/>
  <c r="AT24" i="3" s="1"/>
  <c r="AM24" i="3"/>
  <c r="AO24" i="3"/>
  <c r="AQ24" i="3"/>
  <c r="AS24" i="3"/>
  <c r="AU24" i="3"/>
  <c r="AY24" i="3"/>
  <c r="C25" i="3"/>
  <c r="E25" i="3"/>
  <c r="F25" i="3" s="1"/>
  <c r="G25" i="3"/>
  <c r="I25" i="3"/>
  <c r="P25" i="3" s="1"/>
  <c r="S25" i="3" s="1"/>
  <c r="K25" i="3"/>
  <c r="R25" i="3" s="1"/>
  <c r="M25" i="3"/>
  <c r="O25" i="3"/>
  <c r="Q25" i="3"/>
  <c r="U25" i="3"/>
  <c r="W25" i="3"/>
  <c r="Y25" i="3"/>
  <c r="AA25" i="3"/>
  <c r="AK25" i="3"/>
  <c r="AM25" i="3"/>
  <c r="AO25" i="3"/>
  <c r="AQ25" i="3"/>
  <c r="AS25" i="3"/>
  <c r="AU25" i="3"/>
  <c r="AW25" i="3"/>
  <c r="AY25" i="3"/>
  <c r="C26" i="3"/>
  <c r="E26" i="3"/>
  <c r="F26" i="3" s="1"/>
  <c r="G26" i="3"/>
  <c r="U26" i="3" s="1"/>
  <c r="I26" i="3"/>
  <c r="P26" i="3" s="1"/>
  <c r="K26" i="3"/>
  <c r="R26" i="3" s="1"/>
  <c r="M26" i="3"/>
  <c r="O26" i="3"/>
  <c r="Q26" i="3"/>
  <c r="S26" i="3"/>
  <c r="W26" i="3"/>
  <c r="Y26" i="3"/>
  <c r="AA26" i="3"/>
  <c r="AT26" i="3" s="1"/>
  <c r="AM26" i="3"/>
  <c r="AO26" i="3"/>
  <c r="AQ26" i="3"/>
  <c r="AS26" i="3"/>
  <c r="AU26" i="3"/>
  <c r="AY26" i="3"/>
  <c r="C27" i="3"/>
  <c r="E27" i="3"/>
  <c r="F27" i="3" s="1"/>
  <c r="G27" i="3"/>
  <c r="I27" i="3"/>
  <c r="P27" i="3" s="1"/>
  <c r="S27" i="3" s="1"/>
  <c r="K27" i="3"/>
  <c r="R27" i="3" s="1"/>
  <c r="M27" i="3"/>
  <c r="O27" i="3"/>
  <c r="Q27" i="3"/>
  <c r="U27" i="3"/>
  <c r="W27" i="3"/>
  <c r="Y27" i="3"/>
  <c r="AA27" i="3"/>
  <c r="AM27" i="3"/>
  <c r="AO27" i="3"/>
  <c r="AQ27" i="3"/>
  <c r="AS27" i="3"/>
  <c r="AU27" i="3"/>
  <c r="AY27" i="3"/>
  <c r="C28" i="3"/>
  <c r="E28" i="3"/>
  <c r="F28" i="3" s="1"/>
  <c r="G28" i="3"/>
  <c r="I28" i="3"/>
  <c r="P28" i="3" s="1"/>
  <c r="S28" i="3" s="1"/>
  <c r="K28" i="3"/>
  <c r="R28" i="3" s="1"/>
  <c r="M28" i="3"/>
  <c r="O28" i="3"/>
  <c r="Q28" i="3"/>
  <c r="U28" i="3"/>
  <c r="W28" i="3"/>
  <c r="Y28" i="3"/>
  <c r="AA28" i="3"/>
  <c r="AT28" i="3" s="1"/>
  <c r="AK28" i="3"/>
  <c r="AM28" i="3"/>
  <c r="AO28" i="3"/>
  <c r="AQ28" i="3"/>
  <c r="AS28" i="3"/>
  <c r="AU28" i="3"/>
  <c r="AW28" i="3"/>
  <c r="AY28" i="3"/>
  <c r="C29" i="3"/>
  <c r="E29" i="3"/>
  <c r="F29" i="3" s="1"/>
  <c r="G29" i="3"/>
  <c r="U29" i="3" s="1"/>
  <c r="I29" i="3"/>
  <c r="P29" i="3" s="1"/>
  <c r="K29" i="3"/>
  <c r="R29" i="3" s="1"/>
  <c r="M29" i="3"/>
  <c r="O29" i="3"/>
  <c r="Q29" i="3"/>
  <c r="S29" i="3"/>
  <c r="W29" i="3"/>
  <c r="Y29" i="3"/>
  <c r="AA29" i="3"/>
  <c r="AM29" i="3"/>
  <c r="AO29" i="3"/>
  <c r="AQ29" i="3"/>
  <c r="AS29" i="3"/>
  <c r="AU29" i="3"/>
  <c r="AY29" i="3"/>
  <c r="C30" i="3"/>
  <c r="E30" i="3"/>
  <c r="F30" i="3" s="1"/>
  <c r="G30" i="3"/>
  <c r="I30" i="3"/>
  <c r="P30" i="3" s="1"/>
  <c r="S30" i="3" s="1"/>
  <c r="K30" i="3"/>
  <c r="R30" i="3" s="1"/>
  <c r="M30" i="3"/>
  <c r="O30" i="3"/>
  <c r="Q30" i="3"/>
  <c r="U30" i="3"/>
  <c r="W30" i="3"/>
  <c r="Y30" i="3"/>
  <c r="AA30" i="3"/>
  <c r="AT30" i="3" s="1"/>
  <c r="AK30" i="3"/>
  <c r="AM30" i="3"/>
  <c r="AO30" i="3"/>
  <c r="AQ30" i="3"/>
  <c r="AS30" i="3"/>
  <c r="AU30" i="3"/>
  <c r="AW30" i="3"/>
  <c r="AY30" i="3"/>
  <c r="C31" i="3"/>
  <c r="E31" i="3"/>
  <c r="F31" i="3" s="1"/>
  <c r="G31" i="3"/>
  <c r="U31" i="3" s="1"/>
  <c r="I31" i="3"/>
  <c r="P31" i="3" s="1"/>
  <c r="K31" i="3"/>
  <c r="R31" i="3" s="1"/>
  <c r="M31" i="3"/>
  <c r="O31" i="3"/>
  <c r="Q31" i="3"/>
  <c r="S31" i="3"/>
  <c r="W31" i="3"/>
  <c r="Y31" i="3"/>
  <c r="AA31" i="3"/>
  <c r="AM31" i="3"/>
  <c r="AO31" i="3"/>
  <c r="AQ31" i="3"/>
  <c r="AS31" i="3"/>
  <c r="AU31" i="3"/>
  <c r="AY31" i="3"/>
  <c r="C32" i="3"/>
  <c r="E32" i="3"/>
  <c r="F32" i="3" s="1"/>
  <c r="G32" i="3"/>
  <c r="I32" i="3"/>
  <c r="P32" i="3" s="1"/>
  <c r="S32" i="3" s="1"/>
  <c r="K32" i="3"/>
  <c r="R32" i="3" s="1"/>
  <c r="M32" i="3"/>
  <c r="O32" i="3"/>
  <c r="Q32" i="3"/>
  <c r="U32" i="3"/>
  <c r="W32" i="3"/>
  <c r="Y32" i="3"/>
  <c r="AA32" i="3"/>
  <c r="AT32" i="3" s="1"/>
  <c r="AK32" i="3"/>
  <c r="AM32" i="3"/>
  <c r="AO32" i="3"/>
  <c r="AQ32" i="3"/>
  <c r="AS32" i="3"/>
  <c r="AU32" i="3"/>
  <c r="AW32" i="3"/>
  <c r="AY32" i="3"/>
  <c r="C33" i="3"/>
  <c r="E33" i="3"/>
  <c r="F33" i="3" s="1"/>
  <c r="G33" i="3"/>
  <c r="U33" i="3" s="1"/>
  <c r="I33" i="3"/>
  <c r="P33" i="3" s="1"/>
  <c r="K33" i="3"/>
  <c r="R33" i="3" s="1"/>
  <c r="M33" i="3"/>
  <c r="O33" i="3"/>
  <c r="Q33" i="3"/>
  <c r="S33" i="3"/>
  <c r="W33" i="3"/>
  <c r="Y33" i="3"/>
  <c r="AA33" i="3"/>
  <c r="AM33" i="3"/>
  <c r="AO33" i="3"/>
  <c r="AQ33" i="3"/>
  <c r="AS33" i="3"/>
  <c r="AU33" i="3"/>
  <c r="AY33" i="3"/>
  <c r="C34" i="3"/>
  <c r="E34" i="3"/>
  <c r="F34" i="3" s="1"/>
  <c r="G34" i="3"/>
  <c r="I34" i="3"/>
  <c r="P34" i="3" s="1"/>
  <c r="S34" i="3" s="1"/>
  <c r="K34" i="3"/>
  <c r="R34" i="3" s="1"/>
  <c r="M34" i="3"/>
  <c r="O34" i="3"/>
  <c r="Q34" i="3"/>
  <c r="U34" i="3"/>
  <c r="W34" i="3"/>
  <c r="Y34" i="3"/>
  <c r="AA34" i="3"/>
  <c r="AT34" i="3" s="1"/>
  <c r="AK34" i="3"/>
  <c r="AM34" i="3"/>
  <c r="AO34" i="3"/>
  <c r="AQ34" i="3"/>
  <c r="AS34" i="3"/>
  <c r="AU34" i="3"/>
  <c r="AW34" i="3"/>
  <c r="AY34" i="3"/>
  <c r="C35" i="3"/>
  <c r="E35" i="3"/>
  <c r="F35" i="3" s="1"/>
  <c r="G35" i="3"/>
  <c r="U35" i="3" s="1"/>
  <c r="I35" i="3"/>
  <c r="P35" i="3" s="1"/>
  <c r="K35" i="3"/>
  <c r="R35" i="3" s="1"/>
  <c r="M35" i="3"/>
  <c r="O35" i="3"/>
  <c r="Q35" i="3"/>
  <c r="S35" i="3"/>
  <c r="W35" i="3"/>
  <c r="Y35" i="3"/>
  <c r="AA35" i="3"/>
  <c r="AM35" i="3"/>
  <c r="AO35" i="3"/>
  <c r="AQ35" i="3"/>
  <c r="AS35" i="3"/>
  <c r="AU35" i="3"/>
  <c r="AY35" i="3"/>
  <c r="C36" i="3"/>
  <c r="E36" i="3"/>
  <c r="F36" i="3" s="1"/>
  <c r="G36" i="3"/>
  <c r="I36" i="3"/>
  <c r="P36" i="3" s="1"/>
  <c r="S36" i="3" s="1"/>
  <c r="K36" i="3"/>
  <c r="R36" i="3" s="1"/>
  <c r="M36" i="3"/>
  <c r="O36" i="3"/>
  <c r="Q36" i="3"/>
  <c r="U36" i="3"/>
  <c r="W36" i="3"/>
  <c r="Y36" i="3"/>
  <c r="AA36" i="3"/>
  <c r="AT36" i="3" s="1"/>
  <c r="AK36" i="3"/>
  <c r="AM36" i="3"/>
  <c r="AO36" i="3"/>
  <c r="AQ36" i="3"/>
  <c r="AS36" i="3"/>
  <c r="AU36" i="3"/>
  <c r="AW36" i="3"/>
  <c r="AY36" i="3"/>
  <c r="C37" i="3"/>
  <c r="E37" i="3"/>
  <c r="F37" i="3" s="1"/>
  <c r="G37" i="3"/>
  <c r="U37" i="3" s="1"/>
  <c r="I37" i="3"/>
  <c r="P37" i="3" s="1"/>
  <c r="K37" i="3"/>
  <c r="R37" i="3" s="1"/>
  <c r="M37" i="3"/>
  <c r="O37" i="3"/>
  <c r="Q37" i="3"/>
  <c r="S37" i="3"/>
  <c r="W37" i="3"/>
  <c r="Y37" i="3"/>
  <c r="AA37" i="3"/>
  <c r="AM37" i="3"/>
  <c r="AO37" i="3"/>
  <c r="AQ37" i="3"/>
  <c r="AS37" i="3"/>
  <c r="AU37" i="3"/>
  <c r="AY37" i="3"/>
  <c r="C38" i="3"/>
  <c r="E38" i="3"/>
  <c r="F38" i="3" s="1"/>
  <c r="G38" i="3"/>
  <c r="I38" i="3"/>
  <c r="P38" i="3" s="1"/>
  <c r="S38" i="3" s="1"/>
  <c r="K38" i="3"/>
  <c r="R38" i="3" s="1"/>
  <c r="M38" i="3"/>
  <c r="O38" i="3"/>
  <c r="Q38" i="3"/>
  <c r="U38" i="3"/>
  <c r="W38" i="3"/>
  <c r="Y38" i="3"/>
  <c r="AA38" i="3"/>
  <c r="AT38" i="3" s="1"/>
  <c r="AK38" i="3"/>
  <c r="AM38" i="3"/>
  <c r="AO38" i="3"/>
  <c r="AQ38" i="3"/>
  <c r="AS38" i="3"/>
  <c r="AU38" i="3"/>
  <c r="AW38" i="3"/>
  <c r="AY38" i="3"/>
  <c r="C39" i="3"/>
  <c r="E39" i="3"/>
  <c r="F39" i="3" s="1"/>
  <c r="G39" i="3"/>
  <c r="U39" i="3" s="1"/>
  <c r="I39" i="3"/>
  <c r="P39" i="3" s="1"/>
  <c r="K39" i="3"/>
  <c r="R39" i="3" s="1"/>
  <c r="M39" i="3"/>
  <c r="O39" i="3"/>
  <c r="Q39" i="3"/>
  <c r="S39" i="3"/>
  <c r="W39" i="3"/>
  <c r="Y39" i="3"/>
  <c r="AA39" i="3"/>
  <c r="AM39" i="3"/>
  <c r="AO39" i="3"/>
  <c r="AQ39" i="3"/>
  <c r="AS39" i="3"/>
  <c r="AU39" i="3"/>
  <c r="AY39" i="3"/>
  <c r="C40" i="3"/>
  <c r="E40" i="3"/>
  <c r="F40" i="3" s="1"/>
  <c r="G40" i="3"/>
  <c r="I40" i="3"/>
  <c r="P40" i="3" s="1"/>
  <c r="S40" i="3" s="1"/>
  <c r="K40" i="3"/>
  <c r="R40" i="3" s="1"/>
  <c r="M40" i="3"/>
  <c r="O40" i="3"/>
  <c r="Q40" i="3"/>
  <c r="U40" i="3"/>
  <c r="W40" i="3"/>
  <c r="Y40" i="3"/>
  <c r="AA40" i="3"/>
  <c r="AT40" i="3" s="1"/>
  <c r="AK40" i="3"/>
  <c r="AM40" i="3"/>
  <c r="AO40" i="3"/>
  <c r="AQ40" i="3"/>
  <c r="AS40" i="3"/>
  <c r="AU40" i="3"/>
  <c r="AW40" i="3"/>
  <c r="AY40" i="3"/>
  <c r="C41" i="3"/>
  <c r="E41" i="3"/>
  <c r="F41" i="3" s="1"/>
  <c r="G41" i="3"/>
  <c r="U41" i="3" s="1"/>
  <c r="I41" i="3"/>
  <c r="P41" i="3" s="1"/>
  <c r="K41" i="3"/>
  <c r="R41" i="3" s="1"/>
  <c r="M41" i="3"/>
  <c r="O41" i="3"/>
  <c r="Q41" i="3"/>
  <c r="S41" i="3"/>
  <c r="W41" i="3"/>
  <c r="Y41" i="3"/>
  <c r="AA41" i="3"/>
  <c r="AM41" i="3"/>
  <c r="AO41" i="3"/>
  <c r="AQ41" i="3"/>
  <c r="AS41" i="3"/>
  <c r="AU41" i="3"/>
  <c r="AY41" i="3"/>
  <c r="C42" i="3"/>
  <c r="E42" i="3"/>
  <c r="F42" i="3" s="1"/>
  <c r="G42" i="3"/>
  <c r="I42" i="3"/>
  <c r="P42" i="3" s="1"/>
  <c r="S42" i="3" s="1"/>
  <c r="K42" i="3"/>
  <c r="R42" i="3" s="1"/>
  <c r="M42" i="3"/>
  <c r="O42" i="3"/>
  <c r="Q42" i="3"/>
  <c r="U42" i="3"/>
  <c r="W42" i="3"/>
  <c r="Y42" i="3"/>
  <c r="AA42" i="3"/>
  <c r="AT42" i="3" s="1"/>
  <c r="AK42" i="3"/>
  <c r="AM42" i="3"/>
  <c r="AO42" i="3"/>
  <c r="AQ42" i="3"/>
  <c r="AS42" i="3"/>
  <c r="AU42" i="3"/>
  <c r="AW42" i="3"/>
  <c r="AY42" i="3"/>
  <c r="C43" i="3"/>
  <c r="E43" i="3"/>
  <c r="F43" i="3" s="1"/>
  <c r="G43" i="3"/>
  <c r="U43" i="3" s="1"/>
  <c r="I43" i="3"/>
  <c r="P43" i="3" s="1"/>
  <c r="K43" i="3"/>
  <c r="R43" i="3" s="1"/>
  <c r="M43" i="3"/>
  <c r="O43" i="3"/>
  <c r="Q43" i="3"/>
  <c r="S43" i="3"/>
  <c r="W43" i="3"/>
  <c r="Y43" i="3"/>
  <c r="AA43" i="3"/>
  <c r="AM43" i="3"/>
  <c r="AO43" i="3"/>
  <c r="AQ43" i="3"/>
  <c r="AS43" i="3"/>
  <c r="AU43" i="3"/>
  <c r="AY43" i="3"/>
  <c r="C44" i="3"/>
  <c r="E44" i="3"/>
  <c r="F44" i="3" s="1"/>
  <c r="G44" i="3"/>
  <c r="I44" i="3"/>
  <c r="P44" i="3" s="1"/>
  <c r="S44" i="3" s="1"/>
  <c r="K44" i="3"/>
  <c r="R44" i="3" s="1"/>
  <c r="M44" i="3"/>
  <c r="O44" i="3"/>
  <c r="Q44" i="3"/>
  <c r="U44" i="3"/>
  <c r="W44" i="3"/>
  <c r="Y44" i="3"/>
  <c r="AA44" i="3"/>
  <c r="AT44" i="3" s="1"/>
  <c r="AK44" i="3"/>
  <c r="AM44" i="3"/>
  <c r="AO44" i="3"/>
  <c r="AQ44" i="3"/>
  <c r="AS44" i="3"/>
  <c r="AU44" i="3"/>
  <c r="AW44" i="3"/>
  <c r="AY44" i="3"/>
  <c r="C45" i="3"/>
  <c r="E45" i="3"/>
  <c r="F45" i="3" s="1"/>
  <c r="G45" i="3"/>
  <c r="U45" i="3" s="1"/>
  <c r="I45" i="3"/>
  <c r="P45" i="3" s="1"/>
  <c r="K45" i="3"/>
  <c r="R45" i="3" s="1"/>
  <c r="M45" i="3"/>
  <c r="O45" i="3"/>
  <c r="Q45" i="3"/>
  <c r="S45" i="3"/>
  <c r="W45" i="3"/>
  <c r="Y45" i="3"/>
  <c r="AA45" i="3"/>
  <c r="AM45" i="3"/>
  <c r="AO45" i="3"/>
  <c r="AQ45" i="3"/>
  <c r="AS45" i="3"/>
  <c r="AU45" i="3"/>
  <c r="AY45" i="3"/>
  <c r="C46" i="3"/>
  <c r="E46" i="3"/>
  <c r="F46" i="3" s="1"/>
  <c r="G46" i="3"/>
  <c r="I46" i="3"/>
  <c r="P46" i="3" s="1"/>
  <c r="S46" i="3" s="1"/>
  <c r="K46" i="3"/>
  <c r="R46" i="3" s="1"/>
  <c r="M46" i="3"/>
  <c r="O46" i="3"/>
  <c r="Q46" i="3"/>
  <c r="U46" i="3"/>
  <c r="W46" i="3"/>
  <c r="Y46" i="3"/>
  <c r="AA46" i="3"/>
  <c r="AT46" i="3" s="1"/>
  <c r="AK46" i="3"/>
  <c r="AM46" i="3"/>
  <c r="AO46" i="3"/>
  <c r="AQ46" i="3"/>
  <c r="AS46" i="3"/>
  <c r="AU46" i="3"/>
  <c r="AW46" i="3"/>
  <c r="AY46" i="3"/>
  <c r="C47" i="3"/>
  <c r="E47" i="3"/>
  <c r="F47" i="3" s="1"/>
  <c r="G47" i="3"/>
  <c r="U47" i="3" s="1"/>
  <c r="I47" i="3"/>
  <c r="P47" i="3" s="1"/>
  <c r="K47" i="3"/>
  <c r="R47" i="3" s="1"/>
  <c r="M47" i="3"/>
  <c r="O47" i="3"/>
  <c r="Q47" i="3"/>
  <c r="S47" i="3"/>
  <c r="W47" i="3"/>
  <c r="Y47" i="3"/>
  <c r="AA47" i="3"/>
  <c r="AM47" i="3"/>
  <c r="AO47" i="3"/>
  <c r="AQ47" i="3"/>
  <c r="AS47" i="3"/>
  <c r="AU47" i="3"/>
  <c r="AY47" i="3"/>
  <c r="C48" i="3"/>
  <c r="E48" i="3"/>
  <c r="F48" i="3" s="1"/>
  <c r="G48" i="3"/>
  <c r="I48" i="3"/>
  <c r="P48" i="3" s="1"/>
  <c r="S48" i="3" s="1"/>
  <c r="K48" i="3"/>
  <c r="R48" i="3" s="1"/>
  <c r="M48" i="3"/>
  <c r="O48" i="3"/>
  <c r="Q48" i="3"/>
  <c r="U48" i="3"/>
  <c r="W48" i="3"/>
  <c r="Y48" i="3"/>
  <c r="AA48" i="3"/>
  <c r="AT48" i="3" s="1"/>
  <c r="AK48" i="3"/>
  <c r="AM48" i="3"/>
  <c r="AO48" i="3"/>
  <c r="AQ48" i="3"/>
  <c r="AS48" i="3"/>
  <c r="AU48" i="3"/>
  <c r="AW48" i="3"/>
  <c r="AY48" i="3"/>
  <c r="C49" i="3"/>
  <c r="E49" i="3"/>
  <c r="F49" i="3" s="1"/>
  <c r="G49" i="3"/>
  <c r="U49" i="3" s="1"/>
  <c r="I49" i="3"/>
  <c r="P49" i="3" s="1"/>
  <c r="K49" i="3"/>
  <c r="R49" i="3" s="1"/>
  <c r="M49" i="3"/>
  <c r="O49" i="3"/>
  <c r="Q49" i="3"/>
  <c r="S49" i="3"/>
  <c r="W49" i="3"/>
  <c r="Y49" i="3"/>
  <c r="AA49" i="3"/>
  <c r="AM49" i="3"/>
  <c r="AO49" i="3"/>
  <c r="AQ49" i="3"/>
  <c r="AS49" i="3"/>
  <c r="AU49" i="3"/>
  <c r="AY49" i="3"/>
  <c r="C50" i="3"/>
  <c r="E50" i="3"/>
  <c r="F50" i="3" s="1"/>
  <c r="G50" i="3"/>
  <c r="I50" i="3"/>
  <c r="P50" i="3" s="1"/>
  <c r="S50" i="3" s="1"/>
  <c r="K50" i="3"/>
  <c r="R50" i="3" s="1"/>
  <c r="M50" i="3"/>
  <c r="O50" i="3"/>
  <c r="Q50" i="3"/>
  <c r="U50" i="3"/>
  <c r="W50" i="3"/>
  <c r="Y50" i="3"/>
  <c r="AA50" i="3"/>
  <c r="AT50" i="3" s="1"/>
  <c r="AK50" i="3"/>
  <c r="AM50" i="3"/>
  <c r="AO50" i="3"/>
  <c r="AQ50" i="3"/>
  <c r="AS50" i="3"/>
  <c r="AU50" i="3"/>
  <c r="AW50" i="3"/>
  <c r="AY50" i="3"/>
  <c r="C51" i="3"/>
  <c r="E51" i="3"/>
  <c r="F51" i="3" s="1"/>
  <c r="G51" i="3"/>
  <c r="U51" i="3" s="1"/>
  <c r="I51" i="3"/>
  <c r="P51" i="3" s="1"/>
  <c r="K51" i="3"/>
  <c r="R51" i="3" s="1"/>
  <c r="M51" i="3"/>
  <c r="O51" i="3"/>
  <c r="Q51" i="3"/>
  <c r="S51" i="3"/>
  <c r="W51" i="3"/>
  <c r="Y51" i="3"/>
  <c r="AA51" i="3"/>
  <c r="AM51" i="3"/>
  <c r="AO51" i="3"/>
  <c r="AQ51" i="3"/>
  <c r="AS51" i="3"/>
  <c r="AU51" i="3"/>
  <c r="AY51" i="3"/>
  <c r="C52" i="3"/>
  <c r="E52" i="3"/>
  <c r="F52" i="3" s="1"/>
  <c r="G52" i="3"/>
  <c r="I52" i="3"/>
  <c r="P52" i="3" s="1"/>
  <c r="S52" i="3" s="1"/>
  <c r="K52" i="3"/>
  <c r="R52" i="3" s="1"/>
  <c r="M52" i="3"/>
  <c r="O52" i="3"/>
  <c r="Q52" i="3"/>
  <c r="U52" i="3"/>
  <c r="W52" i="3"/>
  <c r="Y52" i="3"/>
  <c r="AA52" i="3"/>
  <c r="AT52" i="3" s="1"/>
  <c r="AK52" i="3"/>
  <c r="AM52" i="3"/>
  <c r="AO52" i="3"/>
  <c r="AQ52" i="3"/>
  <c r="AS52" i="3"/>
  <c r="AU52" i="3"/>
  <c r="AW52" i="3"/>
  <c r="AY52" i="3"/>
  <c r="C53" i="3"/>
  <c r="E53" i="3"/>
  <c r="F53" i="3" s="1"/>
  <c r="G53" i="3"/>
  <c r="U53" i="3" s="1"/>
  <c r="I53" i="3"/>
  <c r="P53" i="3" s="1"/>
  <c r="K53" i="3"/>
  <c r="R53" i="3" s="1"/>
  <c r="M53" i="3"/>
  <c r="O53" i="3"/>
  <c r="Q53" i="3"/>
  <c r="S53" i="3"/>
  <c r="W53" i="3"/>
  <c r="Y53" i="3"/>
  <c r="AA53" i="3"/>
  <c r="AM53" i="3"/>
  <c r="AO53" i="3"/>
  <c r="AQ53" i="3"/>
  <c r="AS53" i="3"/>
  <c r="AU53" i="3"/>
  <c r="AY53" i="3"/>
  <c r="C54" i="3"/>
  <c r="E54" i="3"/>
  <c r="F54" i="3" s="1"/>
  <c r="G54" i="3"/>
  <c r="I54" i="3"/>
  <c r="P54" i="3" s="1"/>
  <c r="S54" i="3" s="1"/>
  <c r="K54" i="3"/>
  <c r="R54" i="3" s="1"/>
  <c r="M54" i="3"/>
  <c r="O54" i="3"/>
  <c r="Q54" i="3"/>
  <c r="U54" i="3"/>
  <c r="W54" i="3"/>
  <c r="Y54" i="3"/>
  <c r="AA54" i="3"/>
  <c r="AT54" i="3" s="1"/>
  <c r="AK54" i="3"/>
  <c r="AM54" i="3"/>
  <c r="AO54" i="3"/>
  <c r="AQ54" i="3"/>
  <c r="AS54" i="3"/>
  <c r="AU54" i="3"/>
  <c r="AW54" i="3"/>
  <c r="AY54" i="3"/>
  <c r="C55" i="3"/>
  <c r="E55" i="3"/>
  <c r="F55" i="3" s="1"/>
  <c r="G55" i="3"/>
  <c r="U55" i="3" s="1"/>
  <c r="I55" i="3"/>
  <c r="P55" i="3" s="1"/>
  <c r="K55" i="3"/>
  <c r="R55" i="3" s="1"/>
  <c r="M55" i="3"/>
  <c r="O55" i="3"/>
  <c r="Q55" i="3"/>
  <c r="S55" i="3"/>
  <c r="W55" i="3"/>
  <c r="Y55" i="3"/>
  <c r="AA55" i="3"/>
  <c r="AM55" i="3"/>
  <c r="AO55" i="3"/>
  <c r="AQ55" i="3"/>
  <c r="AS55" i="3"/>
  <c r="AU55" i="3"/>
  <c r="AY55" i="3"/>
  <c r="C56" i="3"/>
  <c r="E56" i="3"/>
  <c r="F56" i="3" s="1"/>
  <c r="G56" i="3"/>
  <c r="I56" i="3"/>
  <c r="P56" i="3" s="1"/>
  <c r="S56" i="3" s="1"/>
  <c r="K56" i="3"/>
  <c r="R56" i="3" s="1"/>
  <c r="M56" i="3"/>
  <c r="O56" i="3"/>
  <c r="Q56" i="3"/>
  <c r="U56" i="3"/>
  <c r="W56" i="3"/>
  <c r="Y56" i="3"/>
  <c r="AA56" i="3"/>
  <c r="AT56" i="3" s="1"/>
  <c r="AK56" i="3"/>
  <c r="AM56" i="3"/>
  <c r="AO56" i="3"/>
  <c r="AQ56" i="3"/>
  <c r="AS56" i="3"/>
  <c r="AU56" i="3"/>
  <c r="AW56" i="3"/>
  <c r="AY56" i="3"/>
  <c r="C57" i="3"/>
  <c r="E57" i="3"/>
  <c r="F57" i="3" s="1"/>
  <c r="G57" i="3"/>
  <c r="U57" i="3" s="1"/>
  <c r="I57" i="3"/>
  <c r="P57" i="3" s="1"/>
  <c r="K57" i="3"/>
  <c r="R57" i="3" s="1"/>
  <c r="M57" i="3"/>
  <c r="O57" i="3"/>
  <c r="Q57" i="3"/>
  <c r="S57" i="3"/>
  <c r="W57" i="3"/>
  <c r="Y57" i="3"/>
  <c r="AA57" i="3"/>
  <c r="AM57" i="3"/>
  <c r="AO57" i="3"/>
  <c r="AQ57" i="3"/>
  <c r="AS57" i="3"/>
  <c r="AU57" i="3"/>
  <c r="AY57" i="3"/>
  <c r="C58" i="3"/>
  <c r="E58" i="3"/>
  <c r="F58" i="3" s="1"/>
  <c r="G58" i="3"/>
  <c r="I58" i="3"/>
  <c r="P58" i="3" s="1"/>
  <c r="S58" i="3" s="1"/>
  <c r="K58" i="3"/>
  <c r="R58" i="3" s="1"/>
  <c r="M58" i="3"/>
  <c r="O58" i="3"/>
  <c r="Q58" i="3"/>
  <c r="U58" i="3"/>
  <c r="W58" i="3"/>
  <c r="Y58" i="3"/>
  <c r="AA58" i="3"/>
  <c r="AT58" i="3" s="1"/>
  <c r="AK58" i="3"/>
  <c r="AM58" i="3"/>
  <c r="AO58" i="3"/>
  <c r="AQ58" i="3"/>
  <c r="AS58" i="3"/>
  <c r="AU58" i="3"/>
  <c r="AW58" i="3"/>
  <c r="AY58" i="3"/>
  <c r="C59" i="3"/>
  <c r="E59" i="3"/>
  <c r="F59" i="3" s="1"/>
  <c r="G59" i="3"/>
  <c r="U59" i="3" s="1"/>
  <c r="I59" i="3"/>
  <c r="P59" i="3" s="1"/>
  <c r="K59" i="3"/>
  <c r="R59" i="3" s="1"/>
  <c r="M59" i="3"/>
  <c r="O59" i="3"/>
  <c r="Q59" i="3"/>
  <c r="S59" i="3"/>
  <c r="W59" i="3"/>
  <c r="Y59" i="3"/>
  <c r="AA59" i="3"/>
  <c r="AM59" i="3"/>
  <c r="AO59" i="3"/>
  <c r="AQ59" i="3"/>
  <c r="AS59" i="3"/>
  <c r="AU59" i="3"/>
  <c r="AY59" i="3"/>
  <c r="C60" i="3"/>
  <c r="E60" i="3"/>
  <c r="F60" i="3" s="1"/>
  <c r="G60" i="3"/>
  <c r="I60" i="3"/>
  <c r="P60" i="3" s="1"/>
  <c r="S60" i="3" s="1"/>
  <c r="K60" i="3"/>
  <c r="R60" i="3" s="1"/>
  <c r="M60" i="3"/>
  <c r="O60" i="3"/>
  <c r="Q60" i="3"/>
  <c r="U60" i="3"/>
  <c r="W60" i="3"/>
  <c r="Y60" i="3"/>
  <c r="AA60" i="3"/>
  <c r="AT60" i="3" s="1"/>
  <c r="AK60" i="3"/>
  <c r="AM60" i="3"/>
  <c r="AO60" i="3"/>
  <c r="AQ60" i="3"/>
  <c r="AS60" i="3"/>
  <c r="AU60" i="3"/>
  <c r="AW60" i="3"/>
  <c r="AY60" i="3"/>
  <c r="C61" i="3"/>
  <c r="E61" i="3"/>
  <c r="F61" i="3" s="1"/>
  <c r="G61" i="3"/>
  <c r="U61" i="3" s="1"/>
  <c r="I61" i="3"/>
  <c r="P61" i="3" s="1"/>
  <c r="K61" i="3"/>
  <c r="R61" i="3" s="1"/>
  <c r="M61" i="3"/>
  <c r="O61" i="3"/>
  <c r="Q61" i="3"/>
  <c r="S61" i="3"/>
  <c r="W61" i="3"/>
  <c r="Y61" i="3"/>
  <c r="AA61" i="3"/>
  <c r="AM61" i="3"/>
  <c r="AO61" i="3"/>
  <c r="AQ61" i="3"/>
  <c r="AS61" i="3"/>
  <c r="AU61" i="3"/>
  <c r="AY61" i="3"/>
  <c r="C62" i="3"/>
  <c r="E62" i="3"/>
  <c r="F62" i="3" s="1"/>
  <c r="G62" i="3"/>
  <c r="I62" i="3"/>
  <c r="P62" i="3" s="1"/>
  <c r="S62" i="3" s="1"/>
  <c r="K62" i="3"/>
  <c r="R62" i="3" s="1"/>
  <c r="M62" i="3"/>
  <c r="O62" i="3"/>
  <c r="Q62" i="3"/>
  <c r="U62" i="3"/>
  <c r="W62" i="3"/>
  <c r="Y62" i="3"/>
  <c r="AA62" i="3"/>
  <c r="AT62" i="3" s="1"/>
  <c r="AK62" i="3"/>
  <c r="AM62" i="3"/>
  <c r="AO62" i="3"/>
  <c r="AQ62" i="3"/>
  <c r="AS62" i="3"/>
  <c r="AU62" i="3"/>
  <c r="AW62" i="3"/>
  <c r="AY62" i="3"/>
  <c r="C63" i="3"/>
  <c r="E63" i="3"/>
  <c r="F63" i="3" s="1"/>
  <c r="G63" i="3"/>
  <c r="U63" i="3" s="1"/>
  <c r="I63" i="3"/>
  <c r="P63" i="3" s="1"/>
  <c r="K63" i="3"/>
  <c r="R63" i="3" s="1"/>
  <c r="M63" i="3"/>
  <c r="O63" i="3"/>
  <c r="Q63" i="3"/>
  <c r="S63" i="3"/>
  <c r="W63" i="3"/>
  <c r="Y63" i="3"/>
  <c r="AA63" i="3"/>
  <c r="AM63" i="3"/>
  <c r="AO63" i="3"/>
  <c r="AQ63" i="3"/>
  <c r="AS63" i="3"/>
  <c r="AU63" i="3"/>
  <c r="AY63" i="3"/>
  <c r="C64" i="3"/>
  <c r="E64" i="3"/>
  <c r="F64" i="3" s="1"/>
  <c r="G64" i="3"/>
  <c r="I64" i="3"/>
  <c r="P64" i="3" s="1"/>
  <c r="S64" i="3" s="1"/>
  <c r="K64" i="3"/>
  <c r="R64" i="3" s="1"/>
  <c r="M64" i="3"/>
  <c r="O64" i="3"/>
  <c r="Q64" i="3"/>
  <c r="U64" i="3"/>
  <c r="W64" i="3"/>
  <c r="Y64" i="3"/>
  <c r="AA64" i="3"/>
  <c r="AT64" i="3" s="1"/>
  <c r="AK64" i="3"/>
  <c r="AM64" i="3"/>
  <c r="AO64" i="3"/>
  <c r="AQ64" i="3"/>
  <c r="AS64" i="3"/>
  <c r="AU64" i="3"/>
  <c r="AW64" i="3"/>
  <c r="AY64" i="3"/>
  <c r="C65" i="3"/>
  <c r="E65" i="3"/>
  <c r="F65" i="3" s="1"/>
  <c r="G65" i="3"/>
  <c r="U65" i="3" s="1"/>
  <c r="I65" i="3"/>
  <c r="P65" i="3" s="1"/>
  <c r="K65" i="3"/>
  <c r="R65" i="3" s="1"/>
  <c r="M65" i="3"/>
  <c r="O65" i="3"/>
  <c r="Q65" i="3"/>
  <c r="S65" i="3"/>
  <c r="W65" i="3"/>
  <c r="Y65" i="3"/>
  <c r="AA65" i="3"/>
  <c r="AM65" i="3"/>
  <c r="AO65" i="3"/>
  <c r="AQ65" i="3"/>
  <c r="AS65" i="3"/>
  <c r="AU65" i="3"/>
  <c r="AY65" i="3"/>
  <c r="C66" i="3"/>
  <c r="E66" i="3"/>
  <c r="F66" i="3" s="1"/>
  <c r="G66" i="3"/>
  <c r="I66" i="3"/>
  <c r="P66" i="3" s="1"/>
  <c r="S66" i="3" s="1"/>
  <c r="K66" i="3"/>
  <c r="R66" i="3" s="1"/>
  <c r="M66" i="3"/>
  <c r="O66" i="3"/>
  <c r="Q66" i="3"/>
  <c r="U66" i="3"/>
  <c r="W66" i="3"/>
  <c r="Y66" i="3"/>
  <c r="AA66" i="3"/>
  <c r="AT66" i="3" s="1"/>
  <c r="AK66" i="3"/>
  <c r="AM66" i="3"/>
  <c r="AO66" i="3"/>
  <c r="AQ66" i="3"/>
  <c r="AS66" i="3"/>
  <c r="AU66" i="3"/>
  <c r="AW66" i="3"/>
  <c r="AY66" i="3"/>
  <c r="C67" i="3"/>
  <c r="E67" i="3"/>
  <c r="F67" i="3" s="1"/>
  <c r="G67" i="3"/>
  <c r="U67" i="3" s="1"/>
  <c r="I67" i="3"/>
  <c r="P67" i="3" s="1"/>
  <c r="K67" i="3"/>
  <c r="R67" i="3" s="1"/>
  <c r="M67" i="3"/>
  <c r="O67" i="3"/>
  <c r="Q67" i="3"/>
  <c r="S67" i="3"/>
  <c r="W67" i="3"/>
  <c r="Y67" i="3"/>
  <c r="AA67" i="3"/>
  <c r="AM67" i="3"/>
  <c r="AO67" i="3"/>
  <c r="AQ67" i="3"/>
  <c r="AS67" i="3"/>
  <c r="AU67" i="3"/>
  <c r="AY67" i="3"/>
  <c r="C68" i="3"/>
  <c r="E68" i="3"/>
  <c r="F68" i="3" s="1"/>
  <c r="G68" i="3"/>
  <c r="I68" i="3"/>
  <c r="P68" i="3" s="1"/>
  <c r="S68" i="3" s="1"/>
  <c r="K68" i="3"/>
  <c r="R68" i="3" s="1"/>
  <c r="M68" i="3"/>
  <c r="O68" i="3"/>
  <c r="Q68" i="3"/>
  <c r="U68" i="3"/>
  <c r="W68" i="3"/>
  <c r="Y68" i="3"/>
  <c r="AA68" i="3"/>
  <c r="BA68" i="3" s="1"/>
  <c r="AK68" i="3"/>
  <c r="AM68" i="3"/>
  <c r="AO68" i="3"/>
  <c r="AQ68" i="3"/>
  <c r="AS68" i="3"/>
  <c r="AU68" i="3"/>
  <c r="AW68" i="3"/>
  <c r="AY68" i="3"/>
  <c r="C69" i="3"/>
  <c r="E69" i="3"/>
  <c r="F69" i="3" s="1"/>
  <c r="G69" i="3"/>
  <c r="U69" i="3" s="1"/>
  <c r="I69" i="3"/>
  <c r="P69" i="3" s="1"/>
  <c r="K69" i="3"/>
  <c r="R69" i="3" s="1"/>
  <c r="M69" i="3"/>
  <c r="O69" i="3"/>
  <c r="Q69" i="3"/>
  <c r="S69" i="3"/>
  <c r="W69" i="3"/>
  <c r="Y69" i="3"/>
  <c r="AA69" i="3"/>
  <c r="AM69" i="3"/>
  <c r="AO69" i="3"/>
  <c r="AQ69" i="3"/>
  <c r="AS69" i="3"/>
  <c r="AU69" i="3"/>
  <c r="AY69" i="3"/>
  <c r="C70" i="3"/>
  <c r="E70" i="3"/>
  <c r="F70" i="3" s="1"/>
  <c r="G70" i="3"/>
  <c r="I70" i="3"/>
  <c r="P70" i="3" s="1"/>
  <c r="S70" i="3" s="1"/>
  <c r="K70" i="3"/>
  <c r="R70" i="3" s="1"/>
  <c r="M70" i="3"/>
  <c r="O70" i="3"/>
  <c r="Q70" i="3"/>
  <c r="U70" i="3"/>
  <c r="W70" i="3"/>
  <c r="Y70" i="3"/>
  <c r="AA70" i="3"/>
  <c r="AT70" i="3" s="1"/>
  <c r="AK70" i="3"/>
  <c r="AM70" i="3"/>
  <c r="AO70" i="3"/>
  <c r="AQ70" i="3"/>
  <c r="AS70" i="3"/>
  <c r="AU70" i="3"/>
  <c r="AW70" i="3"/>
  <c r="AY70" i="3"/>
  <c r="C71" i="3"/>
  <c r="E71" i="3"/>
  <c r="F71" i="3" s="1"/>
  <c r="G71" i="3"/>
  <c r="U71" i="3" s="1"/>
  <c r="I71" i="3"/>
  <c r="P71" i="3" s="1"/>
  <c r="K71" i="3"/>
  <c r="R71" i="3" s="1"/>
  <c r="M71" i="3"/>
  <c r="O71" i="3"/>
  <c r="Q71" i="3"/>
  <c r="S71" i="3"/>
  <c r="W71" i="3"/>
  <c r="Y71" i="3"/>
  <c r="AA71" i="3"/>
  <c r="AM71" i="3"/>
  <c r="AO71" i="3"/>
  <c r="AQ71" i="3"/>
  <c r="AS71" i="3"/>
  <c r="AU71" i="3"/>
  <c r="AY71" i="3"/>
  <c r="C72" i="3"/>
  <c r="E72" i="3"/>
  <c r="F72" i="3" s="1"/>
  <c r="G72" i="3"/>
  <c r="I72" i="3"/>
  <c r="P72" i="3" s="1"/>
  <c r="S72" i="3" s="1"/>
  <c r="K72" i="3"/>
  <c r="R72" i="3" s="1"/>
  <c r="M72" i="3"/>
  <c r="O72" i="3"/>
  <c r="Q72" i="3"/>
  <c r="U72" i="3"/>
  <c r="W72" i="3"/>
  <c r="Y72" i="3"/>
  <c r="AA72" i="3"/>
  <c r="BA72" i="3" s="1"/>
  <c r="AK72" i="3"/>
  <c r="AM72" i="3"/>
  <c r="AO72" i="3"/>
  <c r="AQ72" i="3"/>
  <c r="AS72" i="3"/>
  <c r="AU72" i="3"/>
  <c r="AW72" i="3"/>
  <c r="AY72" i="3"/>
  <c r="C73" i="3"/>
  <c r="E73" i="3"/>
  <c r="F73" i="3" s="1"/>
  <c r="G73" i="3"/>
  <c r="U73" i="3" s="1"/>
  <c r="I73" i="3"/>
  <c r="P73" i="3" s="1"/>
  <c r="K73" i="3"/>
  <c r="R73" i="3" s="1"/>
  <c r="M73" i="3"/>
  <c r="O73" i="3"/>
  <c r="Q73" i="3"/>
  <c r="S73" i="3"/>
  <c r="W73" i="3"/>
  <c r="Y73" i="3"/>
  <c r="AA73" i="3"/>
  <c r="AM73" i="3"/>
  <c r="AO73" i="3"/>
  <c r="AQ73" i="3"/>
  <c r="AS73" i="3"/>
  <c r="AU73" i="3"/>
  <c r="AY73" i="3"/>
  <c r="C74" i="3"/>
  <c r="E74" i="3"/>
  <c r="F74" i="3" s="1"/>
  <c r="G74" i="3"/>
  <c r="I74" i="3"/>
  <c r="P74" i="3" s="1"/>
  <c r="S74" i="3" s="1"/>
  <c r="K74" i="3"/>
  <c r="R74" i="3" s="1"/>
  <c r="M74" i="3"/>
  <c r="O74" i="3"/>
  <c r="Q74" i="3"/>
  <c r="U74" i="3"/>
  <c r="W74" i="3"/>
  <c r="Y74" i="3"/>
  <c r="AA74" i="3"/>
  <c r="BB74" i="3" s="1"/>
  <c r="AK74" i="3"/>
  <c r="AM74" i="3"/>
  <c r="AO74" i="3"/>
  <c r="AQ74" i="3"/>
  <c r="AS74" i="3"/>
  <c r="AU74" i="3"/>
  <c r="AW74" i="3"/>
  <c r="AY74" i="3"/>
  <c r="C75" i="3"/>
  <c r="E75" i="3"/>
  <c r="F75" i="3" s="1"/>
  <c r="G75" i="3"/>
  <c r="U75" i="3" s="1"/>
  <c r="I75" i="3"/>
  <c r="P75" i="3" s="1"/>
  <c r="K75" i="3"/>
  <c r="R75" i="3" s="1"/>
  <c r="M75" i="3"/>
  <c r="O75" i="3"/>
  <c r="Q75" i="3"/>
  <c r="S75" i="3"/>
  <c r="W75" i="3"/>
  <c r="Y75" i="3"/>
  <c r="AA75" i="3"/>
  <c r="AM75" i="3"/>
  <c r="AO75" i="3"/>
  <c r="AQ75" i="3"/>
  <c r="AS75" i="3"/>
  <c r="AU75" i="3"/>
  <c r="AY75" i="3"/>
  <c r="C76" i="3"/>
  <c r="E76" i="3"/>
  <c r="F76" i="3" s="1"/>
  <c r="G76" i="3"/>
  <c r="I76" i="3"/>
  <c r="P76" i="3" s="1"/>
  <c r="S76" i="3" s="1"/>
  <c r="K76" i="3"/>
  <c r="R76" i="3" s="1"/>
  <c r="M76" i="3"/>
  <c r="O76" i="3"/>
  <c r="Q76" i="3"/>
  <c r="U76" i="3"/>
  <c r="W76" i="3"/>
  <c r="Y76" i="3"/>
  <c r="AA76" i="3"/>
  <c r="BA76" i="3" s="1"/>
  <c r="AK76" i="3"/>
  <c r="AM76" i="3"/>
  <c r="AO76" i="3"/>
  <c r="AQ76" i="3"/>
  <c r="AS76" i="3"/>
  <c r="AU76" i="3"/>
  <c r="AW76" i="3"/>
  <c r="AY76" i="3"/>
  <c r="C77" i="3"/>
  <c r="E77" i="3"/>
  <c r="F77" i="3" s="1"/>
  <c r="G77" i="3"/>
  <c r="U77" i="3" s="1"/>
  <c r="I77" i="3"/>
  <c r="P77" i="3" s="1"/>
  <c r="K77" i="3"/>
  <c r="R77" i="3" s="1"/>
  <c r="M77" i="3"/>
  <c r="O77" i="3"/>
  <c r="Q77" i="3"/>
  <c r="S77" i="3"/>
  <c r="W77" i="3"/>
  <c r="Y77" i="3"/>
  <c r="AA77" i="3"/>
  <c r="AM77" i="3"/>
  <c r="AO77" i="3"/>
  <c r="AQ77" i="3"/>
  <c r="AS77" i="3"/>
  <c r="AU77" i="3"/>
  <c r="AY77" i="3"/>
  <c r="C78" i="3"/>
  <c r="E78" i="3"/>
  <c r="F78" i="3" s="1"/>
  <c r="G78" i="3"/>
  <c r="I78" i="3"/>
  <c r="P78" i="3" s="1"/>
  <c r="S78" i="3" s="1"/>
  <c r="K78" i="3"/>
  <c r="R78" i="3" s="1"/>
  <c r="M78" i="3"/>
  <c r="O78" i="3"/>
  <c r="Q78" i="3"/>
  <c r="U78" i="3"/>
  <c r="W78" i="3"/>
  <c r="Y78" i="3"/>
  <c r="AA78" i="3"/>
  <c r="BA78" i="3" s="1"/>
  <c r="AK78" i="3"/>
  <c r="AM78" i="3"/>
  <c r="AO78" i="3"/>
  <c r="AQ78" i="3"/>
  <c r="AS78" i="3"/>
  <c r="AU78" i="3"/>
  <c r="AW78" i="3"/>
  <c r="AY78" i="3"/>
  <c r="C79" i="3"/>
  <c r="E79" i="3"/>
  <c r="F79" i="3" s="1"/>
  <c r="G79" i="3"/>
  <c r="U79" i="3" s="1"/>
  <c r="I79" i="3"/>
  <c r="P79" i="3" s="1"/>
  <c r="K79" i="3"/>
  <c r="R79" i="3" s="1"/>
  <c r="M79" i="3"/>
  <c r="O79" i="3"/>
  <c r="Q79" i="3"/>
  <c r="S79" i="3"/>
  <c r="W79" i="3"/>
  <c r="Y79" i="3"/>
  <c r="AA79" i="3"/>
  <c r="AM79" i="3"/>
  <c r="AO79" i="3"/>
  <c r="AQ79" i="3"/>
  <c r="AS79" i="3"/>
  <c r="AU79" i="3"/>
  <c r="AY79" i="3"/>
  <c r="C80" i="3"/>
  <c r="E80" i="3"/>
  <c r="F80" i="3" s="1"/>
  <c r="G80" i="3"/>
  <c r="I80" i="3"/>
  <c r="P80" i="3" s="1"/>
  <c r="S80" i="3" s="1"/>
  <c r="K80" i="3"/>
  <c r="R80" i="3" s="1"/>
  <c r="M80" i="3"/>
  <c r="O80" i="3"/>
  <c r="Q80" i="3"/>
  <c r="U80" i="3"/>
  <c r="W80" i="3"/>
  <c r="Y80" i="3"/>
  <c r="AA80" i="3"/>
  <c r="AT80" i="3" s="1"/>
  <c r="AK80" i="3"/>
  <c r="AM80" i="3"/>
  <c r="AO80" i="3"/>
  <c r="AQ80" i="3"/>
  <c r="AS80" i="3"/>
  <c r="AU80" i="3"/>
  <c r="AW80" i="3"/>
  <c r="AY80" i="3"/>
  <c r="C81" i="3"/>
  <c r="E81" i="3"/>
  <c r="F81" i="3" s="1"/>
  <c r="G81" i="3"/>
  <c r="U81" i="3" s="1"/>
  <c r="I81" i="3"/>
  <c r="P81" i="3" s="1"/>
  <c r="K81" i="3"/>
  <c r="R81" i="3" s="1"/>
  <c r="M81" i="3"/>
  <c r="O81" i="3"/>
  <c r="Q81" i="3"/>
  <c r="S81" i="3"/>
  <c r="W81" i="3"/>
  <c r="Y81" i="3"/>
  <c r="AA81" i="3"/>
  <c r="AM81" i="3"/>
  <c r="AO81" i="3"/>
  <c r="AQ81" i="3"/>
  <c r="AS81" i="3"/>
  <c r="AU81" i="3"/>
  <c r="AY81" i="3"/>
  <c r="C82" i="3"/>
  <c r="E82" i="3"/>
  <c r="F82" i="3" s="1"/>
  <c r="G82" i="3"/>
  <c r="I82" i="3"/>
  <c r="P82" i="3" s="1"/>
  <c r="S82" i="3" s="1"/>
  <c r="K82" i="3"/>
  <c r="R82" i="3" s="1"/>
  <c r="M82" i="3"/>
  <c r="O82" i="3"/>
  <c r="Q82" i="3"/>
  <c r="U82" i="3"/>
  <c r="W82" i="3"/>
  <c r="Y82" i="3"/>
  <c r="AA82" i="3"/>
  <c r="BA82" i="3" s="1"/>
  <c r="AK82" i="3"/>
  <c r="AM82" i="3"/>
  <c r="AO82" i="3"/>
  <c r="AQ82" i="3"/>
  <c r="AS82" i="3"/>
  <c r="AU82" i="3"/>
  <c r="AW82" i="3"/>
  <c r="AY82" i="3"/>
  <c r="C83" i="3"/>
  <c r="E83" i="3"/>
  <c r="F83" i="3" s="1"/>
  <c r="G83" i="3"/>
  <c r="U83" i="3" s="1"/>
  <c r="I83" i="3"/>
  <c r="P83" i="3" s="1"/>
  <c r="K83" i="3"/>
  <c r="R83" i="3" s="1"/>
  <c r="M83" i="3"/>
  <c r="O83" i="3"/>
  <c r="Q83" i="3"/>
  <c r="S83" i="3"/>
  <c r="W83" i="3"/>
  <c r="Y83" i="3"/>
  <c r="AA83" i="3"/>
  <c r="AM83" i="3"/>
  <c r="AO83" i="3"/>
  <c r="AQ83" i="3"/>
  <c r="AS83" i="3"/>
  <c r="AU83" i="3"/>
  <c r="AY83" i="3"/>
  <c r="C84" i="3"/>
  <c r="E84" i="3"/>
  <c r="F84" i="3" s="1"/>
  <c r="G84" i="3"/>
  <c r="I84" i="3"/>
  <c r="P84" i="3" s="1"/>
  <c r="S84" i="3" s="1"/>
  <c r="K84" i="3"/>
  <c r="R84" i="3" s="1"/>
  <c r="M84" i="3"/>
  <c r="O84" i="3"/>
  <c r="Q84" i="3"/>
  <c r="U84" i="3"/>
  <c r="W84" i="3"/>
  <c r="Y84" i="3"/>
  <c r="AA84" i="3"/>
  <c r="BA84" i="3" s="1"/>
  <c r="AK84" i="3"/>
  <c r="AM84" i="3"/>
  <c r="AO84" i="3"/>
  <c r="AQ84" i="3"/>
  <c r="AS84" i="3"/>
  <c r="AU84" i="3"/>
  <c r="AW84" i="3"/>
  <c r="AY84" i="3"/>
  <c r="C85" i="3"/>
  <c r="E85" i="3"/>
  <c r="F85" i="3" s="1"/>
  <c r="G85" i="3"/>
  <c r="U85" i="3" s="1"/>
  <c r="I85" i="3"/>
  <c r="P85" i="3" s="1"/>
  <c r="K85" i="3"/>
  <c r="R85" i="3" s="1"/>
  <c r="M85" i="3"/>
  <c r="O85" i="3"/>
  <c r="Q85" i="3"/>
  <c r="S85" i="3"/>
  <c r="W85" i="3"/>
  <c r="Y85" i="3"/>
  <c r="AA85" i="3"/>
  <c r="AM85" i="3"/>
  <c r="AO85" i="3"/>
  <c r="AQ85" i="3"/>
  <c r="AS85" i="3"/>
  <c r="AU85" i="3"/>
  <c r="AY85" i="3"/>
  <c r="C86" i="3"/>
  <c r="E86" i="3"/>
  <c r="F86" i="3" s="1"/>
  <c r="G86" i="3"/>
  <c r="I86" i="3"/>
  <c r="P86" i="3" s="1"/>
  <c r="S86" i="3" s="1"/>
  <c r="K86" i="3"/>
  <c r="R86" i="3" s="1"/>
  <c r="M86" i="3"/>
  <c r="O86" i="3"/>
  <c r="Q86" i="3"/>
  <c r="U86" i="3"/>
  <c r="W86" i="3"/>
  <c r="Y86" i="3"/>
  <c r="AA86" i="3"/>
  <c r="BB86" i="3" s="1"/>
  <c r="AK86" i="3"/>
  <c r="AM86" i="3"/>
  <c r="AO86" i="3"/>
  <c r="AQ86" i="3"/>
  <c r="AS86" i="3"/>
  <c r="AU86" i="3"/>
  <c r="AW86" i="3"/>
  <c r="AY86" i="3"/>
  <c r="C87" i="3"/>
  <c r="E87" i="3"/>
  <c r="F87" i="3" s="1"/>
  <c r="G87" i="3"/>
  <c r="U87" i="3" s="1"/>
  <c r="I87" i="3"/>
  <c r="P87" i="3" s="1"/>
  <c r="K87" i="3"/>
  <c r="R87" i="3" s="1"/>
  <c r="M87" i="3"/>
  <c r="O87" i="3"/>
  <c r="Q87" i="3"/>
  <c r="S87" i="3"/>
  <c r="W87" i="3"/>
  <c r="Y87" i="3"/>
  <c r="AA87" i="3"/>
  <c r="AM87" i="3"/>
  <c r="AO87" i="3"/>
  <c r="AQ87" i="3"/>
  <c r="AS87" i="3"/>
  <c r="AU87" i="3"/>
  <c r="AY87" i="3"/>
  <c r="C88" i="3"/>
  <c r="E88" i="3"/>
  <c r="F88" i="3" s="1"/>
  <c r="G88" i="3"/>
  <c r="I88" i="3"/>
  <c r="P88" i="3" s="1"/>
  <c r="S88" i="3" s="1"/>
  <c r="K88" i="3"/>
  <c r="R88" i="3" s="1"/>
  <c r="M88" i="3"/>
  <c r="O88" i="3"/>
  <c r="Q88" i="3"/>
  <c r="U88" i="3"/>
  <c r="W88" i="3"/>
  <c r="Y88" i="3"/>
  <c r="AA88" i="3"/>
  <c r="BB88" i="3" s="1"/>
  <c r="AK88" i="3"/>
  <c r="AM88" i="3"/>
  <c r="AO88" i="3"/>
  <c r="AQ88" i="3"/>
  <c r="AS88" i="3"/>
  <c r="AU88" i="3"/>
  <c r="AW88" i="3"/>
  <c r="AY88" i="3"/>
  <c r="C89" i="3"/>
  <c r="E89" i="3"/>
  <c r="F89" i="3" s="1"/>
  <c r="G89" i="3"/>
  <c r="U89" i="3" s="1"/>
  <c r="I89" i="3"/>
  <c r="P89" i="3" s="1"/>
  <c r="K89" i="3"/>
  <c r="R89" i="3" s="1"/>
  <c r="M89" i="3"/>
  <c r="O89" i="3"/>
  <c r="Q89" i="3"/>
  <c r="S89" i="3"/>
  <c r="W89" i="3"/>
  <c r="Y89" i="3"/>
  <c r="AA89" i="3"/>
  <c r="AM89" i="3"/>
  <c r="AO89" i="3"/>
  <c r="AQ89" i="3"/>
  <c r="AS89" i="3"/>
  <c r="AU89" i="3"/>
  <c r="AY89" i="3"/>
  <c r="C90" i="3"/>
  <c r="E90" i="3"/>
  <c r="F90" i="3" s="1"/>
  <c r="G90" i="3"/>
  <c r="I90" i="3"/>
  <c r="P90" i="3" s="1"/>
  <c r="S90" i="3" s="1"/>
  <c r="K90" i="3"/>
  <c r="R90" i="3" s="1"/>
  <c r="M90" i="3"/>
  <c r="O90" i="3"/>
  <c r="Q90" i="3"/>
  <c r="U90" i="3"/>
  <c r="W90" i="3"/>
  <c r="Y90" i="3"/>
  <c r="AA90" i="3"/>
  <c r="BA90" i="3" s="1"/>
  <c r="AK90" i="3"/>
  <c r="AM90" i="3"/>
  <c r="AO90" i="3"/>
  <c r="AQ90" i="3"/>
  <c r="AS90" i="3"/>
  <c r="AU90" i="3"/>
  <c r="AW90" i="3"/>
  <c r="AY90" i="3"/>
  <c r="C91" i="3"/>
  <c r="E91" i="3"/>
  <c r="F91" i="3" s="1"/>
  <c r="G91" i="3"/>
  <c r="U91" i="3" s="1"/>
  <c r="I91" i="3"/>
  <c r="P91" i="3" s="1"/>
  <c r="K91" i="3"/>
  <c r="R91" i="3" s="1"/>
  <c r="M91" i="3"/>
  <c r="O91" i="3"/>
  <c r="Q91" i="3"/>
  <c r="S91" i="3"/>
  <c r="W91" i="3"/>
  <c r="Y91" i="3"/>
  <c r="AA91" i="3"/>
  <c r="AM91" i="3"/>
  <c r="AO91" i="3"/>
  <c r="AQ91" i="3"/>
  <c r="AS91" i="3"/>
  <c r="AU91" i="3"/>
  <c r="AY91" i="3"/>
  <c r="C92" i="3"/>
  <c r="E92" i="3"/>
  <c r="F92" i="3" s="1"/>
  <c r="G92" i="3"/>
  <c r="I92" i="3"/>
  <c r="P92" i="3" s="1"/>
  <c r="S92" i="3" s="1"/>
  <c r="K92" i="3"/>
  <c r="R92" i="3" s="1"/>
  <c r="M92" i="3"/>
  <c r="O92" i="3"/>
  <c r="Q92" i="3"/>
  <c r="U92" i="3"/>
  <c r="W92" i="3"/>
  <c r="Y92" i="3"/>
  <c r="AA92" i="3"/>
  <c r="AT92" i="3" s="1"/>
  <c r="AK92" i="3"/>
  <c r="AM92" i="3"/>
  <c r="AO92" i="3"/>
  <c r="AQ92" i="3"/>
  <c r="AS92" i="3"/>
  <c r="AU92" i="3"/>
  <c r="AW92" i="3"/>
  <c r="AY92" i="3"/>
  <c r="C93" i="3"/>
  <c r="E93" i="3"/>
  <c r="F93" i="3" s="1"/>
  <c r="G93" i="3"/>
  <c r="U93" i="3" s="1"/>
  <c r="I93" i="3"/>
  <c r="P93" i="3" s="1"/>
  <c r="K93" i="3"/>
  <c r="R93" i="3" s="1"/>
  <c r="M93" i="3"/>
  <c r="O93" i="3"/>
  <c r="Q93" i="3"/>
  <c r="S93" i="3"/>
  <c r="W93" i="3"/>
  <c r="Y93" i="3"/>
  <c r="AA93" i="3"/>
  <c r="AM93" i="3"/>
  <c r="AO93" i="3"/>
  <c r="AQ93" i="3"/>
  <c r="AS93" i="3"/>
  <c r="AU93" i="3"/>
  <c r="AY93" i="3"/>
  <c r="C94" i="3"/>
  <c r="E94" i="3"/>
  <c r="F94" i="3" s="1"/>
  <c r="G94" i="3"/>
  <c r="I94" i="3"/>
  <c r="P94" i="3" s="1"/>
  <c r="S94" i="3" s="1"/>
  <c r="K94" i="3"/>
  <c r="R94" i="3" s="1"/>
  <c r="M94" i="3"/>
  <c r="O94" i="3"/>
  <c r="Q94" i="3"/>
  <c r="U94" i="3"/>
  <c r="W94" i="3"/>
  <c r="Y94" i="3"/>
  <c r="AA94" i="3"/>
  <c r="BA94" i="3" s="1"/>
  <c r="AK94" i="3"/>
  <c r="AM94" i="3"/>
  <c r="AO94" i="3"/>
  <c r="AQ94" i="3"/>
  <c r="AS94" i="3"/>
  <c r="AU94" i="3"/>
  <c r="AW94" i="3"/>
  <c r="AY94" i="3"/>
  <c r="C95" i="3"/>
  <c r="E95" i="3"/>
  <c r="F95" i="3" s="1"/>
  <c r="G95" i="3"/>
  <c r="U95" i="3" s="1"/>
  <c r="I95" i="3"/>
  <c r="P95" i="3" s="1"/>
  <c r="K95" i="3"/>
  <c r="R95" i="3" s="1"/>
  <c r="M95" i="3"/>
  <c r="O95" i="3"/>
  <c r="Q95" i="3"/>
  <c r="S95" i="3"/>
  <c r="W95" i="3"/>
  <c r="Y95" i="3"/>
  <c r="AA95" i="3"/>
  <c r="AM95" i="3"/>
  <c r="AO95" i="3"/>
  <c r="AQ95" i="3"/>
  <c r="AS95" i="3"/>
  <c r="AU95" i="3"/>
  <c r="AY95" i="3"/>
  <c r="C96" i="3"/>
  <c r="E96" i="3"/>
  <c r="F96" i="3" s="1"/>
  <c r="G96" i="3"/>
  <c r="I96" i="3"/>
  <c r="P96" i="3" s="1"/>
  <c r="S96" i="3" s="1"/>
  <c r="K96" i="3"/>
  <c r="R96" i="3" s="1"/>
  <c r="M96" i="3"/>
  <c r="O96" i="3"/>
  <c r="Q96" i="3"/>
  <c r="U96" i="3"/>
  <c r="W96" i="3"/>
  <c r="Y96" i="3"/>
  <c r="AA96" i="3"/>
  <c r="BA96" i="3" s="1"/>
  <c r="AK96" i="3"/>
  <c r="AM96" i="3"/>
  <c r="AO96" i="3"/>
  <c r="AQ96" i="3"/>
  <c r="AS96" i="3"/>
  <c r="AU96" i="3"/>
  <c r="AW96" i="3"/>
  <c r="AY96" i="3"/>
  <c r="C97" i="3"/>
  <c r="E97" i="3"/>
  <c r="F97" i="3" s="1"/>
  <c r="G97" i="3"/>
  <c r="U97" i="3" s="1"/>
  <c r="I97" i="3"/>
  <c r="P97" i="3" s="1"/>
  <c r="K97" i="3"/>
  <c r="R97" i="3" s="1"/>
  <c r="M97" i="3"/>
  <c r="O97" i="3"/>
  <c r="Q97" i="3"/>
  <c r="S97" i="3"/>
  <c r="W97" i="3"/>
  <c r="Y97" i="3"/>
  <c r="AA97" i="3"/>
  <c r="AM97" i="3"/>
  <c r="AO97" i="3"/>
  <c r="AQ97" i="3"/>
  <c r="AS97" i="3"/>
  <c r="AU97" i="3"/>
  <c r="AY97" i="3"/>
  <c r="C98" i="3"/>
  <c r="E98" i="3"/>
  <c r="F98" i="3" s="1"/>
  <c r="G98" i="3"/>
  <c r="I98" i="3"/>
  <c r="P98" i="3" s="1"/>
  <c r="S98" i="3" s="1"/>
  <c r="K98" i="3"/>
  <c r="R98" i="3" s="1"/>
  <c r="M98" i="3"/>
  <c r="O98" i="3"/>
  <c r="Q98" i="3"/>
  <c r="U98" i="3"/>
  <c r="W98" i="3"/>
  <c r="Y98" i="3"/>
  <c r="AA98" i="3"/>
  <c r="BA98" i="3" s="1"/>
  <c r="AK98" i="3"/>
  <c r="AM98" i="3"/>
  <c r="AO98" i="3"/>
  <c r="AQ98" i="3"/>
  <c r="AS98" i="3"/>
  <c r="AU98" i="3"/>
  <c r="AW98" i="3"/>
  <c r="AY98" i="3"/>
  <c r="C99" i="3"/>
  <c r="E99" i="3"/>
  <c r="F99" i="3" s="1"/>
  <c r="G99" i="3"/>
  <c r="U99" i="3" s="1"/>
  <c r="I99" i="3"/>
  <c r="P99" i="3" s="1"/>
  <c r="K99" i="3"/>
  <c r="R99" i="3" s="1"/>
  <c r="M99" i="3"/>
  <c r="O99" i="3"/>
  <c r="Q99" i="3"/>
  <c r="S99" i="3"/>
  <c r="W99" i="3"/>
  <c r="Y99" i="3"/>
  <c r="AA99" i="3"/>
  <c r="AM99" i="3"/>
  <c r="AO99" i="3"/>
  <c r="AQ99" i="3"/>
  <c r="AS99" i="3"/>
  <c r="AU99" i="3"/>
  <c r="AY99" i="3"/>
  <c r="C100" i="3"/>
  <c r="E100" i="3"/>
  <c r="F100" i="3" s="1"/>
  <c r="G100" i="3"/>
  <c r="I100" i="3"/>
  <c r="P100" i="3" s="1"/>
  <c r="S100" i="3" s="1"/>
  <c r="K100" i="3"/>
  <c r="R100" i="3" s="1"/>
  <c r="M100" i="3"/>
  <c r="O100" i="3"/>
  <c r="Q100" i="3"/>
  <c r="U100" i="3"/>
  <c r="W100" i="3"/>
  <c r="Y100" i="3"/>
  <c r="AA100" i="3"/>
  <c r="AT100" i="3" s="1"/>
  <c r="AK100" i="3"/>
  <c r="AM100" i="3"/>
  <c r="AO100" i="3"/>
  <c r="AQ100" i="3"/>
  <c r="AS100" i="3"/>
  <c r="AU100" i="3"/>
  <c r="AW100" i="3"/>
  <c r="AY100" i="3"/>
  <c r="C101" i="3"/>
  <c r="E101" i="3"/>
  <c r="F101" i="3" s="1"/>
  <c r="G101" i="3"/>
  <c r="U101" i="3" s="1"/>
  <c r="I101" i="3"/>
  <c r="P101" i="3" s="1"/>
  <c r="K101" i="3"/>
  <c r="R101" i="3" s="1"/>
  <c r="M101" i="3"/>
  <c r="O101" i="3"/>
  <c r="Q101" i="3"/>
  <c r="S101" i="3"/>
  <c r="W101" i="3"/>
  <c r="Y101" i="3"/>
  <c r="AA101" i="3"/>
  <c r="AM101" i="3"/>
  <c r="AO101" i="3"/>
  <c r="AQ101" i="3"/>
  <c r="AS101" i="3"/>
  <c r="AU101" i="3"/>
  <c r="AY101" i="3"/>
  <c r="C102" i="3"/>
  <c r="E102" i="3"/>
  <c r="F102" i="3" s="1"/>
  <c r="G102" i="3"/>
  <c r="I102" i="3"/>
  <c r="P102" i="3" s="1"/>
  <c r="S102" i="3" s="1"/>
  <c r="K102" i="3"/>
  <c r="R102" i="3" s="1"/>
  <c r="M102" i="3"/>
  <c r="O102" i="3"/>
  <c r="Q102" i="3"/>
  <c r="U102" i="3"/>
  <c r="W102" i="3"/>
  <c r="Y102" i="3"/>
  <c r="AA102" i="3"/>
  <c r="AT102" i="3" s="1"/>
  <c r="AK102" i="3"/>
  <c r="AM102" i="3"/>
  <c r="AO102" i="3"/>
  <c r="AQ102" i="3"/>
  <c r="AS102" i="3"/>
  <c r="AU102" i="3"/>
  <c r="AW102" i="3"/>
  <c r="AY102" i="3"/>
  <c r="C103" i="3"/>
  <c r="E103" i="3"/>
  <c r="F103" i="3" s="1"/>
  <c r="G103" i="3"/>
  <c r="U103" i="3" s="1"/>
  <c r="I103" i="3"/>
  <c r="P103" i="3" s="1"/>
  <c r="K103" i="3"/>
  <c r="R103" i="3" s="1"/>
  <c r="M103" i="3"/>
  <c r="O103" i="3"/>
  <c r="Q103" i="3"/>
  <c r="S103" i="3"/>
  <c r="W103" i="3"/>
  <c r="Y103" i="3"/>
  <c r="AA103" i="3"/>
  <c r="AM103" i="3"/>
  <c r="AO103" i="3"/>
  <c r="AQ103" i="3"/>
  <c r="AS103" i="3"/>
  <c r="AU103" i="3"/>
  <c r="AY103" i="3"/>
  <c r="C104" i="3"/>
  <c r="E104" i="3"/>
  <c r="F104" i="3" s="1"/>
  <c r="G104" i="3"/>
  <c r="I104" i="3"/>
  <c r="P104" i="3" s="1"/>
  <c r="S104" i="3" s="1"/>
  <c r="K104" i="3"/>
  <c r="R104" i="3" s="1"/>
  <c r="M104" i="3"/>
  <c r="O104" i="3"/>
  <c r="Q104" i="3"/>
  <c r="U104" i="3"/>
  <c r="W104" i="3"/>
  <c r="Y104" i="3"/>
  <c r="AA104" i="3"/>
  <c r="BA104" i="3" s="1"/>
  <c r="AK104" i="3"/>
  <c r="AM104" i="3"/>
  <c r="AO104" i="3"/>
  <c r="AQ104" i="3"/>
  <c r="AS104" i="3"/>
  <c r="AU104" i="3"/>
  <c r="AW104" i="3"/>
  <c r="AY104" i="3"/>
  <c r="C105" i="3"/>
  <c r="E105" i="3"/>
  <c r="F105" i="3" s="1"/>
  <c r="G105" i="3"/>
  <c r="U105" i="3" s="1"/>
  <c r="I105" i="3"/>
  <c r="P105" i="3" s="1"/>
  <c r="K105" i="3"/>
  <c r="R105" i="3" s="1"/>
  <c r="M105" i="3"/>
  <c r="O105" i="3"/>
  <c r="Q105" i="3"/>
  <c r="S105" i="3"/>
  <c r="W105" i="3"/>
  <c r="Y105" i="3"/>
  <c r="AA105" i="3"/>
  <c r="AM105" i="3"/>
  <c r="AO105" i="3"/>
  <c r="AQ105" i="3"/>
  <c r="AS105" i="3"/>
  <c r="AU105" i="3"/>
  <c r="AY105" i="3"/>
  <c r="C106" i="3"/>
  <c r="E106" i="3"/>
  <c r="F106" i="3" s="1"/>
  <c r="G106" i="3"/>
  <c r="I106" i="3"/>
  <c r="P106" i="3" s="1"/>
  <c r="S106" i="3" s="1"/>
  <c r="K106" i="3"/>
  <c r="R106" i="3" s="1"/>
  <c r="M106" i="3"/>
  <c r="O106" i="3"/>
  <c r="Q106" i="3"/>
  <c r="U106" i="3"/>
  <c r="W106" i="3"/>
  <c r="Y106" i="3"/>
  <c r="AA106" i="3"/>
  <c r="AT106" i="3" s="1"/>
  <c r="AK106" i="3"/>
  <c r="AM106" i="3"/>
  <c r="AO106" i="3"/>
  <c r="AQ106" i="3"/>
  <c r="AS106" i="3"/>
  <c r="AU106" i="3"/>
  <c r="AW106" i="3"/>
  <c r="AY106" i="3"/>
  <c r="C107" i="3"/>
  <c r="E107" i="3"/>
  <c r="F107" i="3" s="1"/>
  <c r="G107" i="3"/>
  <c r="U107" i="3" s="1"/>
  <c r="I107" i="3"/>
  <c r="P107" i="3" s="1"/>
  <c r="K107" i="3"/>
  <c r="R107" i="3" s="1"/>
  <c r="M107" i="3"/>
  <c r="O107" i="3"/>
  <c r="Q107" i="3"/>
  <c r="S107" i="3"/>
  <c r="W107" i="3"/>
  <c r="Y107" i="3"/>
  <c r="AA107" i="3"/>
  <c r="AM107" i="3"/>
  <c r="AO107" i="3"/>
  <c r="AQ107" i="3"/>
  <c r="AS107" i="3"/>
  <c r="AU107" i="3"/>
  <c r="AY107" i="3"/>
  <c r="C108" i="3"/>
  <c r="E108" i="3"/>
  <c r="F108" i="3" s="1"/>
  <c r="G108" i="3"/>
  <c r="I108" i="3"/>
  <c r="P108" i="3" s="1"/>
  <c r="S108" i="3" s="1"/>
  <c r="K108" i="3"/>
  <c r="R108" i="3" s="1"/>
  <c r="M108" i="3"/>
  <c r="O108" i="3"/>
  <c r="Q108" i="3"/>
  <c r="U108" i="3"/>
  <c r="W108" i="3"/>
  <c r="Y108" i="3"/>
  <c r="AA108" i="3"/>
  <c r="BA108" i="3" s="1"/>
  <c r="AK108" i="3"/>
  <c r="AM108" i="3"/>
  <c r="AO108" i="3"/>
  <c r="AQ108" i="3"/>
  <c r="AS108" i="3"/>
  <c r="AU108" i="3"/>
  <c r="AW108" i="3"/>
  <c r="AY108" i="3"/>
  <c r="C109" i="3"/>
  <c r="E109" i="3"/>
  <c r="F109" i="3" s="1"/>
  <c r="G109" i="3"/>
  <c r="U109" i="3" s="1"/>
  <c r="I109" i="3"/>
  <c r="P109" i="3" s="1"/>
  <c r="K109" i="3"/>
  <c r="R109" i="3" s="1"/>
  <c r="M109" i="3"/>
  <c r="O109" i="3"/>
  <c r="Q109" i="3"/>
  <c r="S109" i="3"/>
  <c r="W109" i="3"/>
  <c r="Y109" i="3"/>
  <c r="AA109" i="3"/>
  <c r="AM109" i="3"/>
  <c r="AO109" i="3"/>
  <c r="AQ109" i="3"/>
  <c r="AS109" i="3"/>
  <c r="AU109" i="3"/>
  <c r="AY109" i="3"/>
  <c r="C110" i="3"/>
  <c r="E110" i="3"/>
  <c r="F110" i="3" s="1"/>
  <c r="G110" i="3"/>
  <c r="I110" i="3"/>
  <c r="P110" i="3" s="1"/>
  <c r="S110" i="3" s="1"/>
  <c r="K110" i="3"/>
  <c r="R110" i="3" s="1"/>
  <c r="M110" i="3"/>
  <c r="O110" i="3"/>
  <c r="Q110" i="3"/>
  <c r="U110" i="3"/>
  <c r="W110" i="3"/>
  <c r="Y110" i="3"/>
  <c r="AA110" i="3"/>
  <c r="BB110" i="3" s="1"/>
  <c r="AK110" i="3"/>
  <c r="AM110" i="3"/>
  <c r="AO110" i="3"/>
  <c r="AQ110" i="3"/>
  <c r="AS110" i="3"/>
  <c r="AU110" i="3"/>
  <c r="AW110" i="3"/>
  <c r="AY110" i="3"/>
  <c r="C111" i="3"/>
  <c r="E111" i="3"/>
  <c r="F111" i="3" s="1"/>
  <c r="G111" i="3"/>
  <c r="U111" i="3" s="1"/>
  <c r="I111" i="3"/>
  <c r="P111" i="3" s="1"/>
  <c r="K111" i="3"/>
  <c r="R111" i="3" s="1"/>
  <c r="M111" i="3"/>
  <c r="O111" i="3"/>
  <c r="Q111" i="3"/>
  <c r="S111" i="3"/>
  <c r="W111" i="3"/>
  <c r="Y111" i="3"/>
  <c r="AA111" i="3"/>
  <c r="AM111" i="3"/>
  <c r="AO111" i="3"/>
  <c r="AQ111" i="3"/>
  <c r="AS111" i="3"/>
  <c r="AU111" i="3"/>
  <c r="AY111" i="3"/>
  <c r="C112" i="3"/>
  <c r="E112" i="3"/>
  <c r="F112" i="3" s="1"/>
  <c r="G112" i="3"/>
  <c r="I112" i="3"/>
  <c r="P112" i="3" s="1"/>
  <c r="S112" i="3" s="1"/>
  <c r="K112" i="3"/>
  <c r="R112" i="3" s="1"/>
  <c r="M112" i="3"/>
  <c r="O112" i="3"/>
  <c r="Q112" i="3"/>
  <c r="U112" i="3"/>
  <c r="W112" i="3"/>
  <c r="Y112" i="3"/>
  <c r="AA112" i="3"/>
  <c r="AT112" i="3" s="1"/>
  <c r="AK112" i="3"/>
  <c r="AM112" i="3"/>
  <c r="AO112" i="3"/>
  <c r="AQ112" i="3"/>
  <c r="AS112" i="3"/>
  <c r="AU112" i="3"/>
  <c r="AW112" i="3"/>
  <c r="AY112" i="3"/>
  <c r="C113" i="3"/>
  <c r="E113" i="3"/>
  <c r="F113" i="3" s="1"/>
  <c r="G113" i="3"/>
  <c r="U113" i="3" s="1"/>
  <c r="I113" i="3"/>
  <c r="P113" i="3" s="1"/>
  <c r="K113" i="3"/>
  <c r="R113" i="3" s="1"/>
  <c r="M113" i="3"/>
  <c r="O113" i="3"/>
  <c r="Q113" i="3"/>
  <c r="S113" i="3"/>
  <c r="W113" i="3"/>
  <c r="Y113" i="3"/>
  <c r="AA113" i="3"/>
  <c r="AM113" i="3"/>
  <c r="AO113" i="3"/>
  <c r="AQ113" i="3"/>
  <c r="AS113" i="3"/>
  <c r="AU113" i="3"/>
  <c r="AY113" i="3"/>
  <c r="C114" i="3"/>
  <c r="E114" i="3"/>
  <c r="F114" i="3" s="1"/>
  <c r="G114" i="3"/>
  <c r="I114" i="3"/>
  <c r="P114" i="3" s="1"/>
  <c r="S114" i="3" s="1"/>
  <c r="K114" i="3"/>
  <c r="R114" i="3" s="1"/>
  <c r="M114" i="3"/>
  <c r="O114" i="3"/>
  <c r="Q114" i="3"/>
  <c r="U114" i="3"/>
  <c r="W114" i="3"/>
  <c r="Y114" i="3"/>
  <c r="AA114" i="3"/>
  <c r="BA114" i="3" s="1"/>
  <c r="AK114" i="3"/>
  <c r="AM114" i="3"/>
  <c r="AO114" i="3"/>
  <c r="AQ114" i="3"/>
  <c r="AS114" i="3"/>
  <c r="AU114" i="3"/>
  <c r="AW114" i="3"/>
  <c r="AY114" i="3"/>
  <c r="C115" i="3"/>
  <c r="E115" i="3"/>
  <c r="F115" i="3" s="1"/>
  <c r="G115" i="3"/>
  <c r="U115" i="3" s="1"/>
  <c r="I115" i="3"/>
  <c r="P115" i="3" s="1"/>
  <c r="K115" i="3"/>
  <c r="R115" i="3" s="1"/>
  <c r="M115" i="3"/>
  <c r="O115" i="3"/>
  <c r="Q115" i="3"/>
  <c r="S115" i="3"/>
  <c r="W115" i="3"/>
  <c r="Y115" i="3"/>
  <c r="AA115" i="3"/>
  <c r="AM115" i="3"/>
  <c r="AO115" i="3"/>
  <c r="AQ115" i="3"/>
  <c r="AS115" i="3"/>
  <c r="AU115" i="3"/>
  <c r="AY115" i="3"/>
  <c r="C116" i="3"/>
  <c r="E116" i="3"/>
  <c r="F116" i="3" s="1"/>
  <c r="G116" i="3"/>
  <c r="I116" i="3"/>
  <c r="P116" i="3" s="1"/>
  <c r="S116" i="3" s="1"/>
  <c r="K116" i="3"/>
  <c r="R116" i="3" s="1"/>
  <c r="M116" i="3"/>
  <c r="O116" i="3"/>
  <c r="Q116" i="3"/>
  <c r="U116" i="3"/>
  <c r="W116" i="3"/>
  <c r="Y116" i="3"/>
  <c r="AA116" i="3"/>
  <c r="AT116" i="3" s="1"/>
  <c r="AK116" i="3"/>
  <c r="AM116" i="3"/>
  <c r="AO116" i="3"/>
  <c r="AQ116" i="3"/>
  <c r="AS116" i="3"/>
  <c r="AU116" i="3"/>
  <c r="AW116" i="3"/>
  <c r="AY116" i="3"/>
  <c r="C117" i="3"/>
  <c r="E117" i="3"/>
  <c r="F117" i="3" s="1"/>
  <c r="G117" i="3"/>
  <c r="U117" i="3" s="1"/>
  <c r="I117" i="3"/>
  <c r="P117" i="3" s="1"/>
  <c r="K117" i="3"/>
  <c r="R117" i="3" s="1"/>
  <c r="M117" i="3"/>
  <c r="O117" i="3"/>
  <c r="Q117" i="3"/>
  <c r="S117" i="3"/>
  <c r="W117" i="3"/>
  <c r="Y117" i="3"/>
  <c r="AA117" i="3"/>
  <c r="AM117" i="3"/>
  <c r="AO117" i="3"/>
  <c r="AQ117" i="3"/>
  <c r="AS117" i="3"/>
  <c r="AU117" i="3"/>
  <c r="AY117" i="3"/>
  <c r="C118" i="3"/>
  <c r="E118" i="3"/>
  <c r="F118" i="3" s="1"/>
  <c r="G118" i="3"/>
  <c r="I118" i="3"/>
  <c r="P118" i="3" s="1"/>
  <c r="S118" i="3" s="1"/>
  <c r="K118" i="3"/>
  <c r="R118" i="3" s="1"/>
  <c r="M118" i="3"/>
  <c r="O118" i="3"/>
  <c r="Q118" i="3"/>
  <c r="U118" i="3"/>
  <c r="W118" i="3"/>
  <c r="Y118" i="3"/>
  <c r="AA118" i="3"/>
  <c r="BA118" i="3" s="1"/>
  <c r="AK118" i="3"/>
  <c r="AM118" i="3"/>
  <c r="AO118" i="3"/>
  <c r="AQ118" i="3"/>
  <c r="AS118" i="3"/>
  <c r="AU118" i="3"/>
  <c r="AW118" i="3"/>
  <c r="AY118" i="3"/>
  <c r="C119" i="3"/>
  <c r="E119" i="3"/>
  <c r="F119" i="3" s="1"/>
  <c r="G119" i="3"/>
  <c r="U119" i="3" s="1"/>
  <c r="I119" i="3"/>
  <c r="P119" i="3" s="1"/>
  <c r="K119" i="3"/>
  <c r="R119" i="3" s="1"/>
  <c r="M119" i="3"/>
  <c r="O119" i="3"/>
  <c r="Q119" i="3"/>
  <c r="S119" i="3"/>
  <c r="W119" i="3"/>
  <c r="Y119" i="3"/>
  <c r="AA119" i="3"/>
  <c r="AM119" i="3"/>
  <c r="AO119" i="3"/>
  <c r="AQ119" i="3"/>
  <c r="AS119" i="3"/>
  <c r="AU119" i="3"/>
  <c r="AY119" i="3"/>
  <c r="C120" i="3"/>
  <c r="E120" i="3"/>
  <c r="F120" i="3" s="1"/>
  <c r="G120" i="3"/>
  <c r="I120" i="3"/>
  <c r="P120" i="3" s="1"/>
  <c r="S120" i="3" s="1"/>
  <c r="K120" i="3"/>
  <c r="R120" i="3" s="1"/>
  <c r="M120" i="3"/>
  <c r="O120" i="3"/>
  <c r="Q120" i="3"/>
  <c r="U120" i="3"/>
  <c r="W120" i="3"/>
  <c r="Y120" i="3"/>
  <c r="AA120" i="3"/>
  <c r="BA120" i="3" s="1"/>
  <c r="AK120" i="3"/>
  <c r="AM120" i="3"/>
  <c r="AO120" i="3"/>
  <c r="AQ120" i="3"/>
  <c r="AS120" i="3"/>
  <c r="AU120" i="3"/>
  <c r="AW120" i="3"/>
  <c r="AY120" i="3"/>
  <c r="C121" i="3"/>
  <c r="E121" i="3"/>
  <c r="F121" i="3" s="1"/>
  <c r="G121" i="3"/>
  <c r="U121" i="3" s="1"/>
  <c r="I121" i="3"/>
  <c r="P121" i="3" s="1"/>
  <c r="K121" i="3"/>
  <c r="R121" i="3" s="1"/>
  <c r="M121" i="3"/>
  <c r="O121" i="3"/>
  <c r="Q121" i="3"/>
  <c r="S121" i="3"/>
  <c r="W121" i="3"/>
  <c r="Y121" i="3"/>
  <c r="AA121" i="3"/>
  <c r="AM121" i="3"/>
  <c r="AO121" i="3"/>
  <c r="AQ121" i="3"/>
  <c r="AS121" i="3"/>
  <c r="AU121" i="3"/>
  <c r="AY121" i="3"/>
  <c r="C122" i="3"/>
  <c r="E122" i="3"/>
  <c r="F122" i="3" s="1"/>
  <c r="G122" i="3"/>
  <c r="I122" i="3"/>
  <c r="P122" i="3" s="1"/>
  <c r="S122" i="3" s="1"/>
  <c r="K122" i="3"/>
  <c r="R122" i="3" s="1"/>
  <c r="M122" i="3"/>
  <c r="O122" i="3"/>
  <c r="Q122" i="3"/>
  <c r="U122" i="3"/>
  <c r="W122" i="3"/>
  <c r="Y122" i="3"/>
  <c r="AA122" i="3"/>
  <c r="BA122" i="3" s="1"/>
  <c r="AK122" i="3"/>
  <c r="AM122" i="3"/>
  <c r="AO122" i="3"/>
  <c r="AQ122" i="3"/>
  <c r="AS122" i="3"/>
  <c r="AU122" i="3"/>
  <c r="AW122" i="3"/>
  <c r="AY122" i="3"/>
  <c r="C123" i="3"/>
  <c r="E123" i="3"/>
  <c r="F123" i="3" s="1"/>
  <c r="G123" i="3"/>
  <c r="U123" i="3" s="1"/>
  <c r="I123" i="3"/>
  <c r="P123" i="3" s="1"/>
  <c r="K123" i="3"/>
  <c r="R123" i="3" s="1"/>
  <c r="M123" i="3"/>
  <c r="O123" i="3"/>
  <c r="Q123" i="3"/>
  <c r="S123" i="3"/>
  <c r="W123" i="3"/>
  <c r="Y123" i="3"/>
  <c r="AA123" i="3"/>
  <c r="AM123" i="3"/>
  <c r="AO123" i="3"/>
  <c r="AQ123" i="3"/>
  <c r="AS123" i="3"/>
  <c r="AU123" i="3"/>
  <c r="AY123" i="3"/>
  <c r="C124" i="3"/>
  <c r="E124" i="3"/>
  <c r="F124" i="3" s="1"/>
  <c r="G124" i="3"/>
  <c r="I124" i="3"/>
  <c r="P124" i="3" s="1"/>
  <c r="S124" i="3" s="1"/>
  <c r="K124" i="3"/>
  <c r="R124" i="3" s="1"/>
  <c r="M124" i="3"/>
  <c r="O124" i="3"/>
  <c r="Q124" i="3"/>
  <c r="U124" i="3"/>
  <c r="W124" i="3"/>
  <c r="Y124" i="3"/>
  <c r="AA124" i="3"/>
  <c r="BB124" i="3" s="1"/>
  <c r="AK124" i="3"/>
  <c r="AM124" i="3"/>
  <c r="AO124" i="3"/>
  <c r="AQ124" i="3"/>
  <c r="AS124" i="3"/>
  <c r="AU124" i="3"/>
  <c r="AW124" i="3"/>
  <c r="AY124" i="3"/>
  <c r="C125" i="3"/>
  <c r="E125" i="3"/>
  <c r="F125" i="3" s="1"/>
  <c r="G125" i="3"/>
  <c r="U125" i="3" s="1"/>
  <c r="I125" i="3"/>
  <c r="P125" i="3" s="1"/>
  <c r="K125" i="3"/>
  <c r="R125" i="3" s="1"/>
  <c r="M125" i="3"/>
  <c r="O125" i="3"/>
  <c r="Q125" i="3"/>
  <c r="S125" i="3"/>
  <c r="W125" i="3"/>
  <c r="Y125" i="3"/>
  <c r="AA125" i="3"/>
  <c r="AM125" i="3"/>
  <c r="AO125" i="3"/>
  <c r="AQ125" i="3"/>
  <c r="AS125" i="3"/>
  <c r="AU125" i="3"/>
  <c r="AY125" i="3"/>
  <c r="C126" i="3"/>
  <c r="E126" i="3"/>
  <c r="F126" i="3" s="1"/>
  <c r="G126" i="3"/>
  <c r="I126" i="3"/>
  <c r="P126" i="3" s="1"/>
  <c r="S126" i="3" s="1"/>
  <c r="K126" i="3"/>
  <c r="R126" i="3" s="1"/>
  <c r="M126" i="3"/>
  <c r="O126" i="3"/>
  <c r="Q126" i="3"/>
  <c r="U126" i="3"/>
  <c r="W126" i="3"/>
  <c r="Y126" i="3"/>
  <c r="AA126" i="3"/>
  <c r="AT126" i="3" s="1"/>
  <c r="AK126" i="3"/>
  <c r="AM126" i="3"/>
  <c r="AO126" i="3"/>
  <c r="AQ126" i="3"/>
  <c r="AS126" i="3"/>
  <c r="AU126" i="3"/>
  <c r="AW126" i="3"/>
  <c r="AY126" i="3"/>
  <c r="C127" i="3"/>
  <c r="E127" i="3"/>
  <c r="F127" i="3" s="1"/>
  <c r="G127" i="3"/>
  <c r="U127" i="3" s="1"/>
  <c r="I127" i="3"/>
  <c r="P127" i="3" s="1"/>
  <c r="K127" i="3"/>
  <c r="R127" i="3" s="1"/>
  <c r="M127" i="3"/>
  <c r="O127" i="3"/>
  <c r="Q127" i="3"/>
  <c r="S127" i="3"/>
  <c r="W127" i="3"/>
  <c r="Y127" i="3"/>
  <c r="AA127" i="3"/>
  <c r="AM127" i="3"/>
  <c r="AO127" i="3"/>
  <c r="AQ127" i="3"/>
  <c r="AS127" i="3"/>
  <c r="AU127" i="3"/>
  <c r="AY127" i="3"/>
  <c r="C128" i="3"/>
  <c r="E128" i="3"/>
  <c r="F128" i="3" s="1"/>
  <c r="G128" i="3"/>
  <c r="I128" i="3"/>
  <c r="P128" i="3" s="1"/>
  <c r="S128" i="3" s="1"/>
  <c r="K128" i="3"/>
  <c r="R128" i="3" s="1"/>
  <c r="M128" i="3"/>
  <c r="O128" i="3"/>
  <c r="Q128" i="3"/>
  <c r="U128" i="3"/>
  <c r="W128" i="3"/>
  <c r="Y128" i="3"/>
  <c r="AA128" i="3"/>
  <c r="AT128" i="3" s="1"/>
  <c r="AK128" i="3"/>
  <c r="AM128" i="3"/>
  <c r="AO128" i="3"/>
  <c r="AQ128" i="3"/>
  <c r="AS128" i="3"/>
  <c r="AU128" i="3"/>
  <c r="AW128" i="3"/>
  <c r="AY128" i="3"/>
  <c r="C129" i="3"/>
  <c r="E129" i="3"/>
  <c r="F129" i="3" s="1"/>
  <c r="G129" i="3"/>
  <c r="U129" i="3" s="1"/>
  <c r="I129" i="3"/>
  <c r="P129" i="3" s="1"/>
  <c r="K129" i="3"/>
  <c r="R129" i="3" s="1"/>
  <c r="M129" i="3"/>
  <c r="O129" i="3"/>
  <c r="Q129" i="3"/>
  <c r="S129" i="3"/>
  <c r="W129" i="3"/>
  <c r="Y129" i="3"/>
  <c r="AA129" i="3"/>
  <c r="AM129" i="3"/>
  <c r="AO129" i="3"/>
  <c r="AQ129" i="3"/>
  <c r="AS129" i="3"/>
  <c r="AU129" i="3"/>
  <c r="AY129" i="3"/>
  <c r="C130" i="3"/>
  <c r="E130" i="3"/>
  <c r="F130" i="3" s="1"/>
  <c r="G130" i="3"/>
  <c r="I130" i="3"/>
  <c r="P130" i="3" s="1"/>
  <c r="S130" i="3" s="1"/>
  <c r="K130" i="3"/>
  <c r="R130" i="3" s="1"/>
  <c r="M130" i="3"/>
  <c r="O130" i="3"/>
  <c r="Q130" i="3"/>
  <c r="U130" i="3"/>
  <c r="W130" i="3"/>
  <c r="Y130" i="3"/>
  <c r="AA130" i="3"/>
  <c r="BA130" i="3" s="1"/>
  <c r="AK130" i="3"/>
  <c r="AM130" i="3"/>
  <c r="AO130" i="3"/>
  <c r="AQ130" i="3"/>
  <c r="AS130" i="3"/>
  <c r="AU130" i="3"/>
  <c r="AW130" i="3"/>
  <c r="AY130" i="3"/>
  <c r="C131" i="3"/>
  <c r="E131" i="3"/>
  <c r="F131" i="3" s="1"/>
  <c r="G131" i="3"/>
  <c r="U131" i="3" s="1"/>
  <c r="I131" i="3"/>
  <c r="P131" i="3" s="1"/>
  <c r="K131" i="3"/>
  <c r="R131" i="3" s="1"/>
  <c r="M131" i="3"/>
  <c r="O131" i="3"/>
  <c r="Q131" i="3"/>
  <c r="S131" i="3"/>
  <c r="W131" i="3"/>
  <c r="Y131" i="3"/>
  <c r="AA131" i="3"/>
  <c r="AM131" i="3"/>
  <c r="AO131" i="3"/>
  <c r="AQ131" i="3"/>
  <c r="AS131" i="3"/>
  <c r="AU131" i="3"/>
  <c r="AY131" i="3"/>
  <c r="C132" i="3"/>
  <c r="E132" i="3"/>
  <c r="F132" i="3" s="1"/>
  <c r="G132" i="3"/>
  <c r="I132" i="3"/>
  <c r="P132" i="3" s="1"/>
  <c r="S132" i="3" s="1"/>
  <c r="K132" i="3"/>
  <c r="R132" i="3" s="1"/>
  <c r="M132" i="3"/>
  <c r="O132" i="3"/>
  <c r="Q132" i="3"/>
  <c r="U132" i="3"/>
  <c r="W132" i="3"/>
  <c r="Y132" i="3"/>
  <c r="AA132" i="3"/>
  <c r="AT132" i="3" s="1"/>
  <c r="AK132" i="3"/>
  <c r="AM132" i="3"/>
  <c r="AO132" i="3"/>
  <c r="AQ132" i="3"/>
  <c r="AS132" i="3"/>
  <c r="AU132" i="3"/>
  <c r="AW132" i="3"/>
  <c r="AY132" i="3"/>
  <c r="C133" i="3"/>
  <c r="E133" i="3"/>
  <c r="F133" i="3" s="1"/>
  <c r="G133" i="3"/>
  <c r="U133" i="3" s="1"/>
  <c r="I133" i="3"/>
  <c r="P133" i="3" s="1"/>
  <c r="K133" i="3"/>
  <c r="R133" i="3" s="1"/>
  <c r="M133" i="3"/>
  <c r="O133" i="3"/>
  <c r="Q133" i="3"/>
  <c r="S133" i="3"/>
  <c r="W133" i="3"/>
  <c r="Y133" i="3"/>
  <c r="AA133" i="3"/>
  <c r="AM133" i="3"/>
  <c r="AO133" i="3"/>
  <c r="AQ133" i="3"/>
  <c r="AS133" i="3"/>
  <c r="AU133" i="3"/>
  <c r="AY133" i="3"/>
  <c r="C134" i="3"/>
  <c r="E134" i="3"/>
  <c r="F134" i="3" s="1"/>
  <c r="G134" i="3"/>
  <c r="I134" i="3"/>
  <c r="P134" i="3" s="1"/>
  <c r="S134" i="3" s="1"/>
  <c r="K134" i="3"/>
  <c r="R134" i="3" s="1"/>
  <c r="M134" i="3"/>
  <c r="O134" i="3"/>
  <c r="Q134" i="3"/>
  <c r="U134" i="3"/>
  <c r="W134" i="3"/>
  <c r="Y134" i="3"/>
  <c r="AA134" i="3"/>
  <c r="BB134" i="3" s="1"/>
  <c r="AK134" i="3"/>
  <c r="AM134" i="3"/>
  <c r="AO134" i="3"/>
  <c r="AQ134" i="3"/>
  <c r="AS134" i="3"/>
  <c r="AU134" i="3"/>
  <c r="AW134" i="3"/>
  <c r="AY134" i="3"/>
  <c r="C135" i="3"/>
  <c r="E135" i="3"/>
  <c r="F135" i="3" s="1"/>
  <c r="G135" i="3"/>
  <c r="U135" i="3" s="1"/>
  <c r="I135" i="3"/>
  <c r="P135" i="3" s="1"/>
  <c r="K135" i="3"/>
  <c r="R135" i="3" s="1"/>
  <c r="M135" i="3"/>
  <c r="O135" i="3"/>
  <c r="Q135" i="3"/>
  <c r="S135" i="3"/>
  <c r="W135" i="3"/>
  <c r="Y135" i="3"/>
  <c r="AA135" i="3"/>
  <c r="AM135" i="3"/>
  <c r="AO135" i="3"/>
  <c r="AQ135" i="3"/>
  <c r="AS135" i="3"/>
  <c r="AU135" i="3"/>
  <c r="AY135" i="3"/>
  <c r="C136" i="3"/>
  <c r="E136" i="3"/>
  <c r="F136" i="3" s="1"/>
  <c r="G136" i="3"/>
  <c r="I136" i="3"/>
  <c r="P136" i="3" s="1"/>
  <c r="S136" i="3" s="1"/>
  <c r="K136" i="3"/>
  <c r="R136" i="3" s="1"/>
  <c r="M136" i="3"/>
  <c r="O136" i="3"/>
  <c r="Q136" i="3"/>
  <c r="U136" i="3"/>
  <c r="W136" i="3"/>
  <c r="Y136" i="3"/>
  <c r="AA136" i="3"/>
  <c r="BA136" i="3" s="1"/>
  <c r="AK136" i="3"/>
  <c r="AM136" i="3"/>
  <c r="AO136" i="3"/>
  <c r="AQ136" i="3"/>
  <c r="AS136" i="3"/>
  <c r="AU136" i="3"/>
  <c r="AW136" i="3"/>
  <c r="AY136" i="3"/>
  <c r="C137" i="3"/>
  <c r="E137" i="3"/>
  <c r="F137" i="3" s="1"/>
  <c r="G137" i="3"/>
  <c r="U137" i="3" s="1"/>
  <c r="I137" i="3"/>
  <c r="P137" i="3" s="1"/>
  <c r="K137" i="3"/>
  <c r="R137" i="3" s="1"/>
  <c r="M137" i="3"/>
  <c r="O137" i="3"/>
  <c r="Q137" i="3"/>
  <c r="S137" i="3"/>
  <c r="W137" i="3"/>
  <c r="Y137" i="3"/>
  <c r="AA137" i="3"/>
  <c r="AM137" i="3"/>
  <c r="AO137" i="3"/>
  <c r="AQ137" i="3"/>
  <c r="AS137" i="3"/>
  <c r="AU137" i="3"/>
  <c r="AY137" i="3"/>
  <c r="C138" i="3"/>
  <c r="E138" i="3"/>
  <c r="F138" i="3" s="1"/>
  <c r="G138" i="3"/>
  <c r="I138" i="3"/>
  <c r="P138" i="3" s="1"/>
  <c r="S138" i="3" s="1"/>
  <c r="K138" i="3"/>
  <c r="R138" i="3" s="1"/>
  <c r="M138" i="3"/>
  <c r="O138" i="3"/>
  <c r="Q138" i="3"/>
  <c r="U138" i="3"/>
  <c r="W138" i="3"/>
  <c r="Y138" i="3"/>
  <c r="AA138" i="3"/>
  <c r="BA138" i="3" s="1"/>
  <c r="AK138" i="3"/>
  <c r="AM138" i="3"/>
  <c r="AO138" i="3"/>
  <c r="AQ138" i="3"/>
  <c r="AS138" i="3"/>
  <c r="AU138" i="3"/>
  <c r="AW138" i="3"/>
  <c r="AY138" i="3"/>
  <c r="C139" i="3"/>
  <c r="E139" i="3"/>
  <c r="F139" i="3" s="1"/>
  <c r="G139" i="3"/>
  <c r="U139" i="3" s="1"/>
  <c r="I139" i="3"/>
  <c r="P139" i="3" s="1"/>
  <c r="K139" i="3"/>
  <c r="R139" i="3" s="1"/>
  <c r="M139" i="3"/>
  <c r="O139" i="3"/>
  <c r="Q139" i="3"/>
  <c r="S139" i="3"/>
  <c r="W139" i="3"/>
  <c r="Y139" i="3"/>
  <c r="AA139" i="3"/>
  <c r="AM139" i="3"/>
  <c r="AO139" i="3"/>
  <c r="AQ139" i="3"/>
  <c r="AS139" i="3"/>
  <c r="AU139" i="3"/>
  <c r="AY139" i="3"/>
  <c r="C140" i="3"/>
  <c r="E140" i="3"/>
  <c r="F140" i="3" s="1"/>
  <c r="G140" i="3"/>
  <c r="I140" i="3"/>
  <c r="P140" i="3" s="1"/>
  <c r="S140" i="3" s="1"/>
  <c r="K140" i="3"/>
  <c r="R140" i="3" s="1"/>
  <c r="M140" i="3"/>
  <c r="O140" i="3"/>
  <c r="Q140" i="3"/>
  <c r="U140" i="3"/>
  <c r="W140" i="3"/>
  <c r="Y140" i="3"/>
  <c r="AA140" i="3"/>
  <c r="BB140" i="3" s="1"/>
  <c r="AK140" i="3"/>
  <c r="AM140" i="3"/>
  <c r="AO140" i="3"/>
  <c r="AQ140" i="3"/>
  <c r="AS140" i="3"/>
  <c r="AU140" i="3"/>
  <c r="AW140" i="3"/>
  <c r="AY140" i="3"/>
  <c r="C141" i="3"/>
  <c r="E141" i="3"/>
  <c r="F141" i="3" s="1"/>
  <c r="G141" i="3"/>
  <c r="U141" i="3" s="1"/>
  <c r="I141" i="3"/>
  <c r="P141" i="3" s="1"/>
  <c r="K141" i="3"/>
  <c r="R141" i="3" s="1"/>
  <c r="M141" i="3"/>
  <c r="O141" i="3"/>
  <c r="Q141" i="3"/>
  <c r="S141" i="3"/>
  <c r="W141" i="3"/>
  <c r="Y141" i="3"/>
  <c r="AA141" i="3"/>
  <c r="AM141" i="3"/>
  <c r="AO141" i="3"/>
  <c r="AQ141" i="3"/>
  <c r="AS141" i="3"/>
  <c r="AU141" i="3"/>
  <c r="AY141" i="3"/>
  <c r="C142" i="3"/>
  <c r="E142" i="3"/>
  <c r="F142" i="3" s="1"/>
  <c r="G142" i="3"/>
  <c r="I142" i="3"/>
  <c r="P142" i="3" s="1"/>
  <c r="S142" i="3" s="1"/>
  <c r="K142" i="3"/>
  <c r="R142" i="3" s="1"/>
  <c r="M142" i="3"/>
  <c r="O142" i="3"/>
  <c r="Q142" i="3"/>
  <c r="U142" i="3"/>
  <c r="W142" i="3"/>
  <c r="Y142" i="3"/>
  <c r="AA142" i="3"/>
  <c r="BA142" i="3" s="1"/>
  <c r="AM142" i="3"/>
  <c r="AO142" i="3"/>
  <c r="AQ142" i="3"/>
  <c r="AS142" i="3"/>
  <c r="AU142" i="3"/>
  <c r="AY142" i="3"/>
  <c r="C143" i="3"/>
  <c r="E143" i="3"/>
  <c r="F143" i="3" s="1"/>
  <c r="G143" i="3"/>
  <c r="I143" i="3"/>
  <c r="P143" i="3" s="1"/>
  <c r="S143" i="3" s="1"/>
  <c r="K143" i="3"/>
  <c r="R143" i="3" s="1"/>
  <c r="M143" i="3"/>
  <c r="O143" i="3"/>
  <c r="Q143" i="3"/>
  <c r="U143" i="3"/>
  <c r="W143" i="3"/>
  <c r="Y143" i="3"/>
  <c r="AA143" i="3"/>
  <c r="AM143" i="3"/>
  <c r="AO143" i="3"/>
  <c r="AQ143" i="3"/>
  <c r="AS143" i="3"/>
  <c r="AU143" i="3"/>
  <c r="AY143" i="3"/>
  <c r="C144" i="3"/>
  <c r="E144" i="3"/>
  <c r="F144" i="3" s="1"/>
  <c r="G144" i="3"/>
  <c r="I144" i="3"/>
  <c r="P144" i="3" s="1"/>
  <c r="S144" i="3" s="1"/>
  <c r="K144" i="3"/>
  <c r="R144" i="3" s="1"/>
  <c r="M144" i="3"/>
  <c r="O144" i="3"/>
  <c r="Q144" i="3"/>
  <c r="U144" i="3"/>
  <c r="W144" i="3"/>
  <c r="Y144" i="3"/>
  <c r="AA144" i="3"/>
  <c r="BA144" i="3" s="1"/>
  <c r="AM144" i="3"/>
  <c r="AO144" i="3"/>
  <c r="AQ144" i="3"/>
  <c r="AS144" i="3"/>
  <c r="AU144" i="3"/>
  <c r="AY144" i="3"/>
  <c r="C145" i="3"/>
  <c r="E145" i="3"/>
  <c r="F145" i="3" s="1"/>
  <c r="G145" i="3"/>
  <c r="I145" i="3"/>
  <c r="P145" i="3" s="1"/>
  <c r="S145" i="3" s="1"/>
  <c r="K145" i="3"/>
  <c r="R145" i="3" s="1"/>
  <c r="M145" i="3"/>
  <c r="O145" i="3"/>
  <c r="Q145" i="3"/>
  <c r="U145" i="3"/>
  <c r="W145" i="3"/>
  <c r="Y145" i="3"/>
  <c r="AA145" i="3"/>
  <c r="AM145" i="3"/>
  <c r="AO145" i="3"/>
  <c r="AQ145" i="3"/>
  <c r="AS145" i="3"/>
  <c r="AU145" i="3"/>
  <c r="AY145" i="3"/>
  <c r="C146" i="3"/>
  <c r="E146" i="3"/>
  <c r="F146" i="3" s="1"/>
  <c r="G146" i="3"/>
  <c r="I146" i="3"/>
  <c r="P146" i="3" s="1"/>
  <c r="S146" i="3" s="1"/>
  <c r="K146" i="3"/>
  <c r="R146" i="3" s="1"/>
  <c r="M146" i="3"/>
  <c r="O146" i="3"/>
  <c r="Q146" i="3"/>
  <c r="U146" i="3"/>
  <c r="W146" i="3"/>
  <c r="Y146" i="3"/>
  <c r="AA146" i="3"/>
  <c r="BB146" i="3" s="1"/>
  <c r="AM146" i="3"/>
  <c r="AO146" i="3"/>
  <c r="AQ146" i="3"/>
  <c r="AS146" i="3"/>
  <c r="AU146" i="3"/>
  <c r="AY146" i="3"/>
  <c r="C147" i="3"/>
  <c r="E147" i="3"/>
  <c r="F147" i="3" s="1"/>
  <c r="G147" i="3"/>
  <c r="I147" i="3"/>
  <c r="P147" i="3" s="1"/>
  <c r="S147" i="3" s="1"/>
  <c r="K147" i="3"/>
  <c r="R147" i="3" s="1"/>
  <c r="M147" i="3"/>
  <c r="O147" i="3"/>
  <c r="Q147" i="3"/>
  <c r="U147" i="3"/>
  <c r="W147" i="3"/>
  <c r="Y147" i="3"/>
  <c r="AA147" i="3"/>
  <c r="AK147" i="3"/>
  <c r="AM147" i="3"/>
  <c r="AO147" i="3"/>
  <c r="AQ147" i="3"/>
  <c r="AS147" i="3"/>
  <c r="AU147" i="3"/>
  <c r="AW147" i="3"/>
  <c r="AY147" i="3"/>
  <c r="C148" i="3"/>
  <c r="E148" i="3"/>
  <c r="F148" i="3" s="1"/>
  <c r="G148" i="3"/>
  <c r="U148" i="3" s="1"/>
  <c r="I148" i="3"/>
  <c r="P148" i="3" s="1"/>
  <c r="K148" i="3"/>
  <c r="R148" i="3" s="1"/>
  <c r="M148" i="3"/>
  <c r="O148" i="3"/>
  <c r="Q148" i="3"/>
  <c r="S148" i="3"/>
  <c r="W148" i="3"/>
  <c r="Y148" i="3"/>
  <c r="AA148" i="3"/>
  <c r="BB148" i="3" s="1"/>
  <c r="AM148" i="3"/>
  <c r="AO148" i="3"/>
  <c r="AQ148" i="3"/>
  <c r="AS148" i="3"/>
  <c r="AU148" i="3"/>
  <c r="AY148" i="3"/>
  <c r="C149" i="3"/>
  <c r="E149" i="3"/>
  <c r="F149" i="3" s="1"/>
  <c r="G149" i="3"/>
  <c r="I149" i="3"/>
  <c r="P149" i="3" s="1"/>
  <c r="S149" i="3" s="1"/>
  <c r="K149" i="3"/>
  <c r="R149" i="3" s="1"/>
  <c r="M149" i="3"/>
  <c r="O149" i="3"/>
  <c r="Q149" i="3"/>
  <c r="U149" i="3"/>
  <c r="W149" i="3"/>
  <c r="Y149" i="3"/>
  <c r="AA149" i="3"/>
  <c r="AM149" i="3"/>
  <c r="AO149" i="3"/>
  <c r="AQ149" i="3"/>
  <c r="AS149" i="3"/>
  <c r="AU149" i="3"/>
  <c r="AY149" i="3"/>
  <c r="C150" i="3"/>
  <c r="E150" i="3"/>
  <c r="F150" i="3" s="1"/>
  <c r="G150" i="3"/>
  <c r="I150" i="3"/>
  <c r="P150" i="3" s="1"/>
  <c r="S150" i="3" s="1"/>
  <c r="K150" i="3"/>
  <c r="R150" i="3" s="1"/>
  <c r="M150" i="3"/>
  <c r="O150" i="3"/>
  <c r="Q150" i="3"/>
  <c r="U150" i="3"/>
  <c r="W150" i="3"/>
  <c r="Y150" i="3"/>
  <c r="AA150" i="3"/>
  <c r="BA150" i="3" s="1"/>
  <c r="AM150" i="3"/>
  <c r="AO150" i="3"/>
  <c r="AQ150" i="3"/>
  <c r="AS150" i="3"/>
  <c r="AU150" i="3"/>
  <c r="AY150" i="3"/>
  <c r="C151" i="3"/>
  <c r="E151" i="3"/>
  <c r="F151" i="3" s="1"/>
  <c r="G151" i="3"/>
  <c r="I151" i="3"/>
  <c r="P151" i="3" s="1"/>
  <c r="S151" i="3" s="1"/>
  <c r="K151" i="3"/>
  <c r="R151" i="3" s="1"/>
  <c r="M151" i="3"/>
  <c r="O151" i="3"/>
  <c r="Q151" i="3"/>
  <c r="U151" i="3"/>
  <c r="W151" i="3"/>
  <c r="Y151" i="3"/>
  <c r="AA151" i="3"/>
  <c r="AM151" i="3"/>
  <c r="AO151" i="3"/>
  <c r="AQ151" i="3"/>
  <c r="AS151" i="3"/>
  <c r="AU151" i="3"/>
  <c r="AY151" i="3"/>
  <c r="C152" i="3"/>
  <c r="E152" i="3"/>
  <c r="F152" i="3" s="1"/>
  <c r="G152" i="3"/>
  <c r="I152" i="3"/>
  <c r="P152" i="3" s="1"/>
  <c r="S152" i="3" s="1"/>
  <c r="K152" i="3"/>
  <c r="R152" i="3" s="1"/>
  <c r="M152" i="3"/>
  <c r="O152" i="3"/>
  <c r="Q152" i="3"/>
  <c r="U152" i="3"/>
  <c r="W152" i="3"/>
  <c r="Y152" i="3"/>
  <c r="AA152" i="3"/>
  <c r="AT152" i="3" s="1"/>
  <c r="AM152" i="3"/>
  <c r="AO152" i="3"/>
  <c r="AQ152" i="3"/>
  <c r="AS152" i="3"/>
  <c r="AU152" i="3"/>
  <c r="AY152" i="3"/>
  <c r="C153" i="3"/>
  <c r="E153" i="3"/>
  <c r="F153" i="3" s="1"/>
  <c r="G153" i="3"/>
  <c r="I153" i="3"/>
  <c r="P153" i="3" s="1"/>
  <c r="S153" i="3" s="1"/>
  <c r="K153" i="3"/>
  <c r="R153" i="3" s="1"/>
  <c r="M153" i="3"/>
  <c r="O153" i="3"/>
  <c r="Q153" i="3"/>
  <c r="U153" i="3"/>
  <c r="W153" i="3"/>
  <c r="Y153" i="3"/>
  <c r="AA153" i="3"/>
  <c r="AK153" i="3"/>
  <c r="AM153" i="3"/>
  <c r="AO153" i="3"/>
  <c r="AQ153" i="3"/>
  <c r="AS153" i="3"/>
  <c r="AU153" i="3"/>
  <c r="AW153" i="3"/>
  <c r="AY153" i="3"/>
  <c r="C154" i="3"/>
  <c r="E154" i="3"/>
  <c r="F154" i="3" s="1"/>
  <c r="G154" i="3"/>
  <c r="U154" i="3" s="1"/>
  <c r="I154" i="3"/>
  <c r="P154" i="3" s="1"/>
  <c r="K154" i="3"/>
  <c r="R154" i="3" s="1"/>
  <c r="M154" i="3"/>
  <c r="O154" i="3"/>
  <c r="Q154" i="3"/>
  <c r="S154" i="3"/>
  <c r="W154" i="3"/>
  <c r="Y154" i="3"/>
  <c r="AA154" i="3"/>
  <c r="BB154" i="3" s="1"/>
  <c r="AM154" i="3"/>
  <c r="AO154" i="3"/>
  <c r="AQ154" i="3"/>
  <c r="AS154" i="3"/>
  <c r="AU154" i="3"/>
  <c r="AY154" i="3"/>
  <c r="C155" i="3"/>
  <c r="E155" i="3"/>
  <c r="F155" i="3" s="1"/>
  <c r="G155" i="3"/>
  <c r="I155" i="3"/>
  <c r="P155" i="3" s="1"/>
  <c r="S155" i="3" s="1"/>
  <c r="K155" i="3"/>
  <c r="R155" i="3" s="1"/>
  <c r="M155" i="3"/>
  <c r="O155" i="3"/>
  <c r="Q155" i="3"/>
  <c r="U155" i="3"/>
  <c r="W155" i="3"/>
  <c r="Y155" i="3"/>
  <c r="AA155" i="3"/>
  <c r="AK155" i="3"/>
  <c r="AM155" i="3"/>
  <c r="AO155" i="3"/>
  <c r="AQ155" i="3"/>
  <c r="AS155" i="3"/>
  <c r="AU155" i="3"/>
  <c r="AW155" i="3"/>
  <c r="AY155" i="3"/>
  <c r="C156" i="3"/>
  <c r="E156" i="3"/>
  <c r="F156" i="3" s="1"/>
  <c r="G156" i="3"/>
  <c r="U156" i="3" s="1"/>
  <c r="I156" i="3"/>
  <c r="P156" i="3" s="1"/>
  <c r="K156" i="3"/>
  <c r="R156" i="3" s="1"/>
  <c r="M156" i="3"/>
  <c r="O156" i="3"/>
  <c r="Q156" i="3"/>
  <c r="S156" i="3"/>
  <c r="W156" i="3"/>
  <c r="Y156" i="3"/>
  <c r="AA156" i="3"/>
  <c r="BB156" i="3" s="1"/>
  <c r="AM156" i="3"/>
  <c r="AO156" i="3"/>
  <c r="AQ156" i="3"/>
  <c r="AS156" i="3"/>
  <c r="AU156" i="3"/>
  <c r="AY156" i="3"/>
  <c r="C157" i="3"/>
  <c r="E157" i="3"/>
  <c r="F157" i="3" s="1"/>
  <c r="G157" i="3"/>
  <c r="I157" i="3"/>
  <c r="P157" i="3" s="1"/>
  <c r="S157" i="3" s="1"/>
  <c r="K157" i="3"/>
  <c r="R157" i="3" s="1"/>
  <c r="M157" i="3"/>
  <c r="O157" i="3"/>
  <c r="Q157" i="3"/>
  <c r="U157" i="3"/>
  <c r="W157" i="3"/>
  <c r="Y157" i="3"/>
  <c r="AA157" i="3"/>
  <c r="AK157" i="3"/>
  <c r="AM157" i="3"/>
  <c r="AO157" i="3"/>
  <c r="AQ157" i="3"/>
  <c r="AS157" i="3"/>
  <c r="AU157" i="3"/>
  <c r="AW157" i="3"/>
  <c r="AY157" i="3"/>
  <c r="C158" i="3"/>
  <c r="E158" i="3"/>
  <c r="F158" i="3" s="1"/>
  <c r="G158" i="3"/>
  <c r="U158" i="3" s="1"/>
  <c r="I158" i="3"/>
  <c r="P158" i="3" s="1"/>
  <c r="K158" i="3"/>
  <c r="R158" i="3" s="1"/>
  <c r="M158" i="3"/>
  <c r="O158" i="3"/>
  <c r="Q158" i="3"/>
  <c r="S158" i="3"/>
  <c r="W158" i="3"/>
  <c r="Y158" i="3"/>
  <c r="AA158" i="3"/>
  <c r="BA158" i="3" s="1"/>
  <c r="AM158" i="3"/>
  <c r="AO158" i="3"/>
  <c r="AQ158" i="3"/>
  <c r="AS158" i="3"/>
  <c r="AU158" i="3"/>
  <c r="AY158" i="3"/>
  <c r="C159" i="3"/>
  <c r="E159" i="3"/>
  <c r="F159" i="3" s="1"/>
  <c r="G159" i="3"/>
  <c r="I159" i="3"/>
  <c r="P159" i="3" s="1"/>
  <c r="S159" i="3" s="1"/>
  <c r="K159" i="3"/>
  <c r="R159" i="3" s="1"/>
  <c r="M159" i="3"/>
  <c r="O159" i="3"/>
  <c r="Q159" i="3"/>
  <c r="U159" i="3"/>
  <c r="W159" i="3"/>
  <c r="Y159" i="3"/>
  <c r="AA159" i="3"/>
  <c r="AM159" i="3"/>
  <c r="AO159" i="3"/>
  <c r="AQ159" i="3"/>
  <c r="AS159" i="3"/>
  <c r="AU159" i="3"/>
  <c r="AY159" i="3"/>
  <c r="C160" i="3"/>
  <c r="E160" i="3"/>
  <c r="F160" i="3" s="1"/>
  <c r="G160" i="3"/>
  <c r="I160" i="3"/>
  <c r="P160" i="3" s="1"/>
  <c r="S160" i="3" s="1"/>
  <c r="K160" i="3"/>
  <c r="R160" i="3" s="1"/>
  <c r="M160" i="3"/>
  <c r="O160" i="3"/>
  <c r="Q160" i="3"/>
  <c r="U160" i="3"/>
  <c r="W160" i="3"/>
  <c r="Y160" i="3"/>
  <c r="AA160" i="3"/>
  <c r="BA160" i="3" s="1"/>
  <c r="AK160" i="3"/>
  <c r="AM160" i="3"/>
  <c r="AO160" i="3"/>
  <c r="AQ160" i="3"/>
  <c r="AS160" i="3"/>
  <c r="AU160" i="3"/>
  <c r="AW160" i="3"/>
  <c r="AY160" i="3"/>
  <c r="C161" i="3"/>
  <c r="E161" i="3"/>
  <c r="F161" i="3" s="1"/>
  <c r="G161" i="3"/>
  <c r="U161" i="3" s="1"/>
  <c r="I161" i="3"/>
  <c r="P161" i="3" s="1"/>
  <c r="K161" i="3"/>
  <c r="R161" i="3" s="1"/>
  <c r="M161" i="3"/>
  <c r="O161" i="3"/>
  <c r="Q161" i="3"/>
  <c r="S161" i="3"/>
  <c r="W161" i="3"/>
  <c r="Y161" i="3"/>
  <c r="AA161" i="3"/>
  <c r="AM161" i="3"/>
  <c r="AO161" i="3"/>
  <c r="AQ161" i="3"/>
  <c r="AS161" i="3"/>
  <c r="AU161" i="3"/>
  <c r="AY161" i="3"/>
  <c r="C162" i="3"/>
  <c r="E162" i="3"/>
  <c r="F162" i="3" s="1"/>
  <c r="G162" i="3"/>
  <c r="I162" i="3"/>
  <c r="P162" i="3" s="1"/>
  <c r="S162" i="3" s="1"/>
  <c r="K162" i="3"/>
  <c r="R162" i="3" s="1"/>
  <c r="M162" i="3"/>
  <c r="O162" i="3"/>
  <c r="Q162" i="3"/>
  <c r="U162" i="3"/>
  <c r="W162" i="3"/>
  <c r="Y162" i="3"/>
  <c r="AA162" i="3"/>
  <c r="AT162" i="3" s="1"/>
  <c r="AK162" i="3"/>
  <c r="AM162" i="3"/>
  <c r="AO162" i="3"/>
  <c r="AQ162" i="3"/>
  <c r="AS162" i="3"/>
  <c r="AU162" i="3"/>
  <c r="AW162" i="3"/>
  <c r="AY162" i="3"/>
  <c r="C163" i="3"/>
  <c r="E163" i="3"/>
  <c r="F163" i="3" s="1"/>
  <c r="G163" i="3"/>
  <c r="U163" i="3" s="1"/>
  <c r="I163" i="3"/>
  <c r="P163" i="3" s="1"/>
  <c r="K163" i="3"/>
  <c r="R163" i="3" s="1"/>
  <c r="M163" i="3"/>
  <c r="O163" i="3"/>
  <c r="Q163" i="3"/>
  <c r="S163" i="3"/>
  <c r="W163" i="3"/>
  <c r="Y163" i="3"/>
  <c r="AA163" i="3"/>
  <c r="AM163" i="3"/>
  <c r="AO163" i="3"/>
  <c r="AQ163" i="3"/>
  <c r="AS163" i="3"/>
  <c r="AU163" i="3"/>
  <c r="AY163" i="3"/>
  <c r="C164" i="3"/>
  <c r="E164" i="3"/>
  <c r="F164" i="3" s="1"/>
  <c r="G164" i="3"/>
  <c r="I164" i="3"/>
  <c r="P164" i="3" s="1"/>
  <c r="S164" i="3" s="1"/>
  <c r="K164" i="3"/>
  <c r="R164" i="3" s="1"/>
  <c r="M164" i="3"/>
  <c r="O164" i="3"/>
  <c r="Q164" i="3"/>
  <c r="U164" i="3"/>
  <c r="W164" i="3"/>
  <c r="Y164" i="3"/>
  <c r="AA164" i="3"/>
  <c r="AT164" i="3" s="1"/>
  <c r="AK164" i="3"/>
  <c r="AM164" i="3"/>
  <c r="AO164" i="3"/>
  <c r="AQ164" i="3"/>
  <c r="AS164" i="3"/>
  <c r="AU164" i="3"/>
  <c r="AW164" i="3"/>
  <c r="AY164" i="3"/>
  <c r="C165" i="3"/>
  <c r="E165" i="3"/>
  <c r="F165" i="3" s="1"/>
  <c r="G165" i="3"/>
  <c r="U165" i="3" s="1"/>
  <c r="I165" i="3"/>
  <c r="P165" i="3" s="1"/>
  <c r="K165" i="3"/>
  <c r="R165" i="3" s="1"/>
  <c r="M165" i="3"/>
  <c r="O165" i="3"/>
  <c r="Q165" i="3"/>
  <c r="S165" i="3"/>
  <c r="W165" i="3"/>
  <c r="Y165" i="3"/>
  <c r="AA165" i="3"/>
  <c r="AM165" i="3"/>
  <c r="AO165" i="3"/>
  <c r="AQ165" i="3"/>
  <c r="AS165" i="3"/>
  <c r="AU165" i="3"/>
  <c r="AY165" i="3"/>
  <c r="C166" i="3"/>
  <c r="E166" i="3"/>
  <c r="F166" i="3" s="1"/>
  <c r="G166" i="3"/>
  <c r="I166" i="3"/>
  <c r="P166" i="3" s="1"/>
  <c r="S166" i="3" s="1"/>
  <c r="K166" i="3"/>
  <c r="R166" i="3" s="1"/>
  <c r="M166" i="3"/>
  <c r="O166" i="3"/>
  <c r="Q166" i="3"/>
  <c r="U166" i="3"/>
  <c r="W166" i="3"/>
  <c r="Y166" i="3"/>
  <c r="AA166" i="3"/>
  <c r="BB166" i="3" s="1"/>
  <c r="AK166" i="3"/>
  <c r="AM166" i="3"/>
  <c r="AO166" i="3"/>
  <c r="AQ166" i="3"/>
  <c r="AS166" i="3"/>
  <c r="AU166" i="3"/>
  <c r="AW166" i="3"/>
  <c r="AY166" i="3"/>
  <c r="C167" i="3"/>
  <c r="E167" i="3"/>
  <c r="F167" i="3" s="1"/>
  <c r="G167" i="3"/>
  <c r="U167" i="3" s="1"/>
  <c r="I167" i="3"/>
  <c r="P167" i="3" s="1"/>
  <c r="K167" i="3"/>
  <c r="R167" i="3" s="1"/>
  <c r="M167" i="3"/>
  <c r="O167" i="3"/>
  <c r="Q167" i="3"/>
  <c r="S167" i="3"/>
  <c r="W167" i="3"/>
  <c r="Y167" i="3"/>
  <c r="AA167" i="3"/>
  <c r="AM167" i="3"/>
  <c r="AO167" i="3"/>
  <c r="AQ167" i="3"/>
  <c r="AS167" i="3"/>
  <c r="AU167" i="3"/>
  <c r="AY167" i="3"/>
  <c r="C168" i="3"/>
  <c r="E168" i="3"/>
  <c r="F168" i="3" s="1"/>
  <c r="G168" i="3"/>
  <c r="I168" i="3"/>
  <c r="P168" i="3" s="1"/>
  <c r="S168" i="3" s="1"/>
  <c r="K168" i="3"/>
  <c r="R168" i="3" s="1"/>
  <c r="M168" i="3"/>
  <c r="O168" i="3"/>
  <c r="Q168" i="3"/>
  <c r="U168" i="3"/>
  <c r="W168" i="3"/>
  <c r="Y168" i="3"/>
  <c r="AA168" i="3"/>
  <c r="AT168" i="3" s="1"/>
  <c r="AK168" i="3"/>
  <c r="AM168" i="3"/>
  <c r="AO168" i="3"/>
  <c r="AQ168" i="3"/>
  <c r="AS168" i="3"/>
  <c r="AU168" i="3"/>
  <c r="AW168" i="3"/>
  <c r="AY168" i="3"/>
  <c r="C169" i="3"/>
  <c r="E169" i="3"/>
  <c r="F169" i="3" s="1"/>
  <c r="G169" i="3"/>
  <c r="U169" i="3" s="1"/>
  <c r="I169" i="3"/>
  <c r="P169" i="3" s="1"/>
  <c r="K169" i="3"/>
  <c r="R169" i="3" s="1"/>
  <c r="M169" i="3"/>
  <c r="O169" i="3"/>
  <c r="Q169" i="3"/>
  <c r="S169" i="3"/>
  <c r="W169" i="3"/>
  <c r="Y169" i="3"/>
  <c r="AA169" i="3"/>
  <c r="AM169" i="3"/>
  <c r="AO169" i="3"/>
  <c r="AQ169" i="3"/>
  <c r="AS169" i="3"/>
  <c r="AU169" i="3"/>
  <c r="AY169" i="3"/>
  <c r="C170" i="3"/>
  <c r="E170" i="3"/>
  <c r="F170" i="3" s="1"/>
  <c r="G170" i="3"/>
  <c r="I170" i="3"/>
  <c r="P170" i="3" s="1"/>
  <c r="S170" i="3" s="1"/>
  <c r="K170" i="3"/>
  <c r="R170" i="3" s="1"/>
  <c r="M170" i="3"/>
  <c r="O170" i="3"/>
  <c r="Q170" i="3"/>
  <c r="U170" i="3"/>
  <c r="W170" i="3"/>
  <c r="Y170" i="3"/>
  <c r="AA170" i="3"/>
  <c r="AT170" i="3" s="1"/>
  <c r="AK170" i="3"/>
  <c r="AM170" i="3"/>
  <c r="AO170" i="3"/>
  <c r="AQ170" i="3"/>
  <c r="AS170" i="3"/>
  <c r="AU170" i="3"/>
  <c r="AW170" i="3"/>
  <c r="AY170" i="3"/>
  <c r="C171" i="3"/>
  <c r="E171" i="3"/>
  <c r="F171" i="3" s="1"/>
  <c r="G171" i="3"/>
  <c r="U171" i="3" s="1"/>
  <c r="I171" i="3"/>
  <c r="P171" i="3" s="1"/>
  <c r="K171" i="3"/>
  <c r="R171" i="3" s="1"/>
  <c r="M171" i="3"/>
  <c r="O171" i="3"/>
  <c r="Q171" i="3"/>
  <c r="S171" i="3"/>
  <c r="W171" i="3"/>
  <c r="Y171" i="3"/>
  <c r="AA171" i="3"/>
  <c r="AM171" i="3"/>
  <c r="AO171" i="3"/>
  <c r="AQ171" i="3"/>
  <c r="AS171" i="3"/>
  <c r="AU171" i="3"/>
  <c r="AY171" i="3"/>
  <c r="C172" i="3"/>
  <c r="E172" i="3"/>
  <c r="F172" i="3" s="1"/>
  <c r="G172" i="3"/>
  <c r="I172" i="3"/>
  <c r="P172" i="3" s="1"/>
  <c r="S172" i="3" s="1"/>
  <c r="K172" i="3"/>
  <c r="R172" i="3" s="1"/>
  <c r="M172" i="3"/>
  <c r="O172" i="3"/>
  <c r="Q172" i="3"/>
  <c r="U172" i="3"/>
  <c r="W172" i="3"/>
  <c r="Y172" i="3"/>
  <c r="AA172" i="3"/>
  <c r="BB172" i="3" s="1"/>
  <c r="AK172" i="3"/>
  <c r="AM172" i="3"/>
  <c r="AO172" i="3"/>
  <c r="AQ172" i="3"/>
  <c r="AS172" i="3"/>
  <c r="AU172" i="3"/>
  <c r="AW172" i="3"/>
  <c r="AY172" i="3"/>
  <c r="C173" i="3"/>
  <c r="E173" i="3"/>
  <c r="F173" i="3" s="1"/>
  <c r="G173" i="3"/>
  <c r="U173" i="3" s="1"/>
  <c r="I173" i="3"/>
  <c r="P173" i="3" s="1"/>
  <c r="K173" i="3"/>
  <c r="R173" i="3" s="1"/>
  <c r="M173" i="3"/>
  <c r="O173" i="3"/>
  <c r="Q173" i="3"/>
  <c r="S173" i="3"/>
  <c r="W173" i="3"/>
  <c r="Y173" i="3"/>
  <c r="AA173" i="3"/>
  <c r="AM173" i="3"/>
  <c r="AO173" i="3"/>
  <c r="AQ173" i="3"/>
  <c r="AS173" i="3"/>
  <c r="AU173" i="3"/>
  <c r="AY173" i="3"/>
  <c r="C174" i="3"/>
  <c r="E174" i="3"/>
  <c r="F174" i="3" s="1"/>
  <c r="G174" i="3"/>
  <c r="I174" i="3"/>
  <c r="P174" i="3" s="1"/>
  <c r="S174" i="3" s="1"/>
  <c r="K174" i="3"/>
  <c r="R174" i="3" s="1"/>
  <c r="M174" i="3"/>
  <c r="O174" i="3"/>
  <c r="Q174" i="3"/>
  <c r="U174" i="3"/>
  <c r="W174" i="3"/>
  <c r="Y174" i="3"/>
  <c r="AA174" i="3"/>
  <c r="BB174" i="3" s="1"/>
  <c r="AK174" i="3"/>
  <c r="AM174" i="3"/>
  <c r="AO174" i="3"/>
  <c r="AQ174" i="3"/>
  <c r="AS174" i="3"/>
  <c r="AU174" i="3"/>
  <c r="AW174" i="3"/>
  <c r="AY174" i="3"/>
  <c r="C175" i="3"/>
  <c r="E175" i="3"/>
  <c r="F175" i="3" s="1"/>
  <c r="G175" i="3"/>
  <c r="U175" i="3" s="1"/>
  <c r="I175" i="3"/>
  <c r="P175" i="3" s="1"/>
  <c r="K175" i="3"/>
  <c r="R175" i="3" s="1"/>
  <c r="M175" i="3"/>
  <c r="O175" i="3"/>
  <c r="Q175" i="3"/>
  <c r="S175" i="3"/>
  <c r="W175" i="3"/>
  <c r="Y175" i="3"/>
  <c r="AA175" i="3"/>
  <c r="AM175" i="3"/>
  <c r="AO175" i="3"/>
  <c r="AQ175" i="3"/>
  <c r="AS175" i="3"/>
  <c r="AU175" i="3"/>
  <c r="AY175" i="3"/>
  <c r="C176" i="3"/>
  <c r="E176" i="3"/>
  <c r="F176" i="3" s="1"/>
  <c r="G176" i="3"/>
  <c r="I176" i="3"/>
  <c r="P176" i="3" s="1"/>
  <c r="S176" i="3" s="1"/>
  <c r="K176" i="3"/>
  <c r="R176" i="3" s="1"/>
  <c r="M176" i="3"/>
  <c r="O176" i="3"/>
  <c r="Q176" i="3"/>
  <c r="U176" i="3"/>
  <c r="W176" i="3"/>
  <c r="Y176" i="3"/>
  <c r="AA176" i="3"/>
  <c r="BA176" i="3" s="1"/>
  <c r="AK176" i="3"/>
  <c r="AM176" i="3"/>
  <c r="AO176" i="3"/>
  <c r="AQ176" i="3"/>
  <c r="AS176" i="3"/>
  <c r="AU176" i="3"/>
  <c r="AW176" i="3"/>
  <c r="AY176" i="3"/>
  <c r="C177" i="3"/>
  <c r="E177" i="3"/>
  <c r="F177" i="3" s="1"/>
  <c r="G177" i="3"/>
  <c r="U177" i="3" s="1"/>
  <c r="I177" i="3"/>
  <c r="P177" i="3" s="1"/>
  <c r="K177" i="3"/>
  <c r="R177" i="3" s="1"/>
  <c r="M177" i="3"/>
  <c r="O177" i="3"/>
  <c r="Q177" i="3"/>
  <c r="S177" i="3"/>
  <c r="W177" i="3"/>
  <c r="Y177" i="3"/>
  <c r="AA177" i="3"/>
  <c r="AM177" i="3"/>
  <c r="AO177" i="3"/>
  <c r="AQ177" i="3"/>
  <c r="AS177" i="3"/>
  <c r="AU177" i="3"/>
  <c r="AY177" i="3"/>
  <c r="C178" i="3"/>
  <c r="E178" i="3"/>
  <c r="F178" i="3" s="1"/>
  <c r="G178" i="3"/>
  <c r="I178" i="3"/>
  <c r="P178" i="3" s="1"/>
  <c r="S178" i="3" s="1"/>
  <c r="K178" i="3"/>
  <c r="R178" i="3" s="1"/>
  <c r="M178" i="3"/>
  <c r="O178" i="3"/>
  <c r="Q178" i="3"/>
  <c r="U178" i="3"/>
  <c r="W178" i="3"/>
  <c r="Y178" i="3"/>
  <c r="AA178" i="3"/>
  <c r="BB178" i="3" s="1"/>
  <c r="AK178" i="3"/>
  <c r="AM178" i="3"/>
  <c r="AO178" i="3"/>
  <c r="AQ178" i="3"/>
  <c r="AS178" i="3"/>
  <c r="AU178" i="3"/>
  <c r="AW178" i="3"/>
  <c r="AY178" i="3"/>
  <c r="C179" i="3"/>
  <c r="E179" i="3"/>
  <c r="F179" i="3" s="1"/>
  <c r="G179" i="3"/>
  <c r="U179" i="3" s="1"/>
  <c r="I179" i="3"/>
  <c r="P179" i="3" s="1"/>
  <c r="K179" i="3"/>
  <c r="R179" i="3" s="1"/>
  <c r="M179" i="3"/>
  <c r="O179" i="3"/>
  <c r="Q179" i="3"/>
  <c r="S179" i="3"/>
  <c r="W179" i="3"/>
  <c r="Y179" i="3"/>
  <c r="AA179" i="3"/>
  <c r="AM179" i="3"/>
  <c r="AO179" i="3"/>
  <c r="AQ179" i="3"/>
  <c r="AS179" i="3"/>
  <c r="AU179" i="3"/>
  <c r="AY179" i="3"/>
  <c r="C180" i="3"/>
  <c r="E180" i="3"/>
  <c r="F180" i="3" s="1"/>
  <c r="G180" i="3"/>
  <c r="I180" i="3"/>
  <c r="P180" i="3" s="1"/>
  <c r="S180" i="3" s="1"/>
  <c r="K180" i="3"/>
  <c r="R180" i="3" s="1"/>
  <c r="M180" i="3"/>
  <c r="O180" i="3"/>
  <c r="Q180" i="3"/>
  <c r="U180" i="3"/>
  <c r="W180" i="3"/>
  <c r="Y180" i="3"/>
  <c r="AA180" i="3"/>
  <c r="BA180" i="3" s="1"/>
  <c r="AK180" i="3"/>
  <c r="AM180" i="3"/>
  <c r="AO180" i="3"/>
  <c r="AQ180" i="3"/>
  <c r="AS180" i="3"/>
  <c r="AU180" i="3"/>
  <c r="AW180" i="3"/>
  <c r="AY180" i="3"/>
  <c r="C181" i="3"/>
  <c r="E181" i="3"/>
  <c r="F181" i="3" s="1"/>
  <c r="G181" i="3"/>
  <c r="U181" i="3" s="1"/>
  <c r="I181" i="3"/>
  <c r="P181" i="3" s="1"/>
  <c r="K181" i="3"/>
  <c r="R181" i="3" s="1"/>
  <c r="M181" i="3"/>
  <c r="O181" i="3"/>
  <c r="Q181" i="3"/>
  <c r="S181" i="3"/>
  <c r="W181" i="3"/>
  <c r="Y181" i="3"/>
  <c r="AA181" i="3"/>
  <c r="AM181" i="3"/>
  <c r="AO181" i="3"/>
  <c r="AQ181" i="3"/>
  <c r="AS181" i="3"/>
  <c r="AU181" i="3"/>
  <c r="AY181" i="3"/>
  <c r="C182" i="3"/>
  <c r="E182" i="3"/>
  <c r="F182" i="3" s="1"/>
  <c r="G182" i="3"/>
  <c r="I182" i="3"/>
  <c r="P182" i="3" s="1"/>
  <c r="S182" i="3" s="1"/>
  <c r="K182" i="3"/>
  <c r="R182" i="3" s="1"/>
  <c r="M182" i="3"/>
  <c r="O182" i="3"/>
  <c r="Q182" i="3"/>
  <c r="U182" i="3"/>
  <c r="W182" i="3"/>
  <c r="Y182" i="3"/>
  <c r="AA182" i="3"/>
  <c r="BA182" i="3" s="1"/>
  <c r="AK182" i="3"/>
  <c r="AM182" i="3"/>
  <c r="AO182" i="3"/>
  <c r="AQ182" i="3"/>
  <c r="AS182" i="3"/>
  <c r="AU182" i="3"/>
  <c r="AW182" i="3"/>
  <c r="AY182" i="3"/>
  <c r="C183" i="3"/>
  <c r="E183" i="3"/>
  <c r="F183" i="3" s="1"/>
  <c r="G183" i="3"/>
  <c r="U183" i="3" s="1"/>
  <c r="I183" i="3"/>
  <c r="P183" i="3" s="1"/>
  <c r="K183" i="3"/>
  <c r="R183" i="3" s="1"/>
  <c r="M183" i="3"/>
  <c r="O183" i="3"/>
  <c r="Q183" i="3"/>
  <c r="S183" i="3"/>
  <c r="W183" i="3"/>
  <c r="Y183" i="3"/>
  <c r="AA183" i="3"/>
  <c r="AM183" i="3"/>
  <c r="AO183" i="3"/>
  <c r="AQ183" i="3"/>
  <c r="AS183" i="3"/>
  <c r="AU183" i="3"/>
  <c r="AY183" i="3"/>
  <c r="C184" i="3"/>
  <c r="E184" i="3"/>
  <c r="F184" i="3" s="1"/>
  <c r="G184" i="3"/>
  <c r="I184" i="3"/>
  <c r="P184" i="3" s="1"/>
  <c r="S184" i="3" s="1"/>
  <c r="K184" i="3"/>
  <c r="R184" i="3" s="1"/>
  <c r="M184" i="3"/>
  <c r="O184" i="3"/>
  <c r="Q184" i="3"/>
  <c r="U184" i="3"/>
  <c r="W184" i="3"/>
  <c r="Y184" i="3"/>
  <c r="AA184" i="3"/>
  <c r="BA184" i="3" s="1"/>
  <c r="AK184" i="3"/>
  <c r="AM184" i="3"/>
  <c r="AO184" i="3"/>
  <c r="AQ184" i="3"/>
  <c r="AS184" i="3"/>
  <c r="AU184" i="3"/>
  <c r="AW184" i="3"/>
  <c r="AY184" i="3"/>
  <c r="C185" i="3"/>
  <c r="E185" i="3"/>
  <c r="F185" i="3" s="1"/>
  <c r="G185" i="3"/>
  <c r="U185" i="3" s="1"/>
  <c r="I185" i="3"/>
  <c r="P185" i="3" s="1"/>
  <c r="K185" i="3"/>
  <c r="R185" i="3" s="1"/>
  <c r="M185" i="3"/>
  <c r="O185" i="3"/>
  <c r="Q185" i="3"/>
  <c r="S185" i="3"/>
  <c r="W185" i="3"/>
  <c r="Y185" i="3"/>
  <c r="AA185" i="3"/>
  <c r="AM185" i="3"/>
  <c r="AO185" i="3"/>
  <c r="AQ185" i="3"/>
  <c r="AS185" i="3"/>
  <c r="AU185" i="3"/>
  <c r="AY185" i="3"/>
  <c r="C186" i="3"/>
  <c r="E186" i="3"/>
  <c r="F186" i="3" s="1"/>
  <c r="G186" i="3"/>
  <c r="I186" i="3"/>
  <c r="P186" i="3" s="1"/>
  <c r="S186" i="3" s="1"/>
  <c r="K186" i="3"/>
  <c r="R186" i="3" s="1"/>
  <c r="M186" i="3"/>
  <c r="O186" i="3"/>
  <c r="Q186" i="3"/>
  <c r="U186" i="3"/>
  <c r="W186" i="3"/>
  <c r="Y186" i="3"/>
  <c r="AA186" i="3"/>
  <c r="AT186" i="3" s="1"/>
  <c r="AK186" i="3"/>
  <c r="AM186" i="3"/>
  <c r="AO186" i="3"/>
  <c r="AQ186" i="3"/>
  <c r="AS186" i="3"/>
  <c r="AU186" i="3"/>
  <c r="AW186" i="3"/>
  <c r="AY186" i="3"/>
  <c r="C187" i="3"/>
  <c r="E187" i="3"/>
  <c r="F187" i="3" s="1"/>
  <c r="G187" i="3"/>
  <c r="U187" i="3" s="1"/>
  <c r="I187" i="3"/>
  <c r="P187" i="3" s="1"/>
  <c r="K187" i="3"/>
  <c r="R187" i="3" s="1"/>
  <c r="M187" i="3"/>
  <c r="O187" i="3"/>
  <c r="Q187" i="3"/>
  <c r="S187" i="3"/>
  <c r="W187" i="3"/>
  <c r="Y187" i="3"/>
  <c r="AA187" i="3"/>
  <c r="AM187" i="3"/>
  <c r="AO187" i="3"/>
  <c r="AQ187" i="3"/>
  <c r="AS187" i="3"/>
  <c r="AU187" i="3"/>
  <c r="AY187" i="3"/>
  <c r="C188" i="3"/>
  <c r="E188" i="3"/>
  <c r="F188" i="3" s="1"/>
  <c r="G188" i="3"/>
  <c r="I188" i="3"/>
  <c r="P188" i="3" s="1"/>
  <c r="S188" i="3" s="1"/>
  <c r="K188" i="3"/>
  <c r="R188" i="3" s="1"/>
  <c r="M188" i="3"/>
  <c r="O188" i="3"/>
  <c r="Q188" i="3"/>
  <c r="U188" i="3"/>
  <c r="W188" i="3"/>
  <c r="Y188" i="3"/>
  <c r="AA188" i="3"/>
  <c r="BB188" i="3" s="1"/>
  <c r="AK188" i="3"/>
  <c r="AM188" i="3"/>
  <c r="AO188" i="3"/>
  <c r="AQ188" i="3"/>
  <c r="AS188" i="3"/>
  <c r="AU188" i="3"/>
  <c r="AW188" i="3"/>
  <c r="AY188" i="3"/>
  <c r="C189" i="3"/>
  <c r="E189" i="3"/>
  <c r="F189" i="3" s="1"/>
  <c r="G189" i="3"/>
  <c r="U189" i="3" s="1"/>
  <c r="I189" i="3"/>
  <c r="P189" i="3" s="1"/>
  <c r="K189" i="3"/>
  <c r="R189" i="3" s="1"/>
  <c r="M189" i="3"/>
  <c r="O189" i="3"/>
  <c r="Q189" i="3"/>
  <c r="S189" i="3"/>
  <c r="W189" i="3"/>
  <c r="Y189" i="3"/>
  <c r="AA189" i="3"/>
  <c r="AM189" i="3"/>
  <c r="AO189" i="3"/>
  <c r="AQ189" i="3"/>
  <c r="AS189" i="3"/>
  <c r="AU189" i="3"/>
  <c r="AY189" i="3"/>
  <c r="C190" i="3"/>
  <c r="E190" i="3"/>
  <c r="F190" i="3" s="1"/>
  <c r="G190" i="3"/>
  <c r="I190" i="3"/>
  <c r="P190" i="3" s="1"/>
  <c r="S190" i="3" s="1"/>
  <c r="K190" i="3"/>
  <c r="R190" i="3" s="1"/>
  <c r="M190" i="3"/>
  <c r="O190" i="3"/>
  <c r="Q190" i="3"/>
  <c r="U190" i="3"/>
  <c r="W190" i="3"/>
  <c r="Y190" i="3"/>
  <c r="AA190" i="3"/>
  <c r="BA190" i="3" s="1"/>
  <c r="AK190" i="3"/>
  <c r="AM190" i="3"/>
  <c r="AO190" i="3"/>
  <c r="AQ190" i="3"/>
  <c r="AS190" i="3"/>
  <c r="AU190" i="3"/>
  <c r="AW190" i="3"/>
  <c r="AY190" i="3"/>
  <c r="C191" i="3"/>
  <c r="E191" i="3"/>
  <c r="F191" i="3" s="1"/>
  <c r="G191" i="3"/>
  <c r="U191" i="3" s="1"/>
  <c r="I191" i="3"/>
  <c r="P191" i="3" s="1"/>
  <c r="K191" i="3"/>
  <c r="R191" i="3" s="1"/>
  <c r="M191" i="3"/>
  <c r="O191" i="3"/>
  <c r="Q191" i="3"/>
  <c r="S191" i="3"/>
  <c r="W191" i="3"/>
  <c r="Y191" i="3"/>
  <c r="AA191" i="3"/>
  <c r="AM191" i="3"/>
  <c r="AO191" i="3"/>
  <c r="AQ191" i="3"/>
  <c r="AS191" i="3"/>
  <c r="AU191" i="3"/>
  <c r="AY191" i="3"/>
  <c r="C192" i="3"/>
  <c r="E192" i="3"/>
  <c r="F192" i="3" s="1"/>
  <c r="G192" i="3"/>
  <c r="I192" i="3"/>
  <c r="P192" i="3" s="1"/>
  <c r="S192" i="3" s="1"/>
  <c r="K192" i="3"/>
  <c r="R192" i="3" s="1"/>
  <c r="M192" i="3"/>
  <c r="O192" i="3"/>
  <c r="Q192" i="3"/>
  <c r="U192" i="3"/>
  <c r="W192" i="3"/>
  <c r="Y192" i="3"/>
  <c r="AA192" i="3"/>
  <c r="BB192" i="3" s="1"/>
  <c r="AK192" i="3"/>
  <c r="AM192" i="3"/>
  <c r="AO192" i="3"/>
  <c r="AQ192" i="3"/>
  <c r="AS192" i="3"/>
  <c r="AU192" i="3"/>
  <c r="AW192" i="3"/>
  <c r="AY192" i="3"/>
  <c r="C193" i="3"/>
  <c r="E193" i="3"/>
  <c r="F193" i="3" s="1"/>
  <c r="G193" i="3"/>
  <c r="U193" i="3" s="1"/>
  <c r="I193" i="3"/>
  <c r="P193" i="3" s="1"/>
  <c r="K193" i="3"/>
  <c r="R193" i="3" s="1"/>
  <c r="M193" i="3"/>
  <c r="O193" i="3"/>
  <c r="Q193" i="3"/>
  <c r="S193" i="3"/>
  <c r="W193" i="3"/>
  <c r="Y193" i="3"/>
  <c r="AA193" i="3"/>
  <c r="AM193" i="3"/>
  <c r="AO193" i="3"/>
  <c r="AQ193" i="3"/>
  <c r="AS193" i="3"/>
  <c r="AU193" i="3"/>
  <c r="AY193" i="3"/>
  <c r="C194" i="3"/>
  <c r="E194" i="3"/>
  <c r="F194" i="3" s="1"/>
  <c r="G194" i="3"/>
  <c r="I194" i="3"/>
  <c r="P194" i="3" s="1"/>
  <c r="S194" i="3" s="1"/>
  <c r="K194" i="3"/>
  <c r="R194" i="3" s="1"/>
  <c r="M194" i="3"/>
  <c r="O194" i="3"/>
  <c r="Q194" i="3"/>
  <c r="U194" i="3"/>
  <c r="W194" i="3"/>
  <c r="Y194" i="3"/>
  <c r="AA194" i="3"/>
  <c r="BA194" i="3" s="1"/>
  <c r="AK194" i="3"/>
  <c r="AM194" i="3"/>
  <c r="AO194" i="3"/>
  <c r="AQ194" i="3"/>
  <c r="AS194" i="3"/>
  <c r="AU194" i="3"/>
  <c r="AW194" i="3"/>
  <c r="AY194" i="3"/>
  <c r="C195" i="3"/>
  <c r="E195" i="3"/>
  <c r="F195" i="3" s="1"/>
  <c r="G195" i="3"/>
  <c r="U195" i="3" s="1"/>
  <c r="I195" i="3"/>
  <c r="P195" i="3" s="1"/>
  <c r="K195" i="3"/>
  <c r="R195" i="3" s="1"/>
  <c r="M195" i="3"/>
  <c r="O195" i="3"/>
  <c r="Q195" i="3"/>
  <c r="S195" i="3"/>
  <c r="W195" i="3"/>
  <c r="Y195" i="3"/>
  <c r="AA195" i="3"/>
  <c r="AM195" i="3"/>
  <c r="AO195" i="3"/>
  <c r="AQ195" i="3"/>
  <c r="AS195" i="3"/>
  <c r="AU195" i="3"/>
  <c r="AY195" i="3"/>
  <c r="C196" i="3"/>
  <c r="E196" i="3"/>
  <c r="F196" i="3" s="1"/>
  <c r="G196" i="3"/>
  <c r="I196" i="3"/>
  <c r="P196" i="3" s="1"/>
  <c r="S196" i="3" s="1"/>
  <c r="K196" i="3"/>
  <c r="R196" i="3" s="1"/>
  <c r="M196" i="3"/>
  <c r="O196" i="3"/>
  <c r="Q196" i="3"/>
  <c r="U196" i="3"/>
  <c r="W196" i="3"/>
  <c r="Y196" i="3"/>
  <c r="AA196" i="3"/>
  <c r="BA196" i="3" s="1"/>
  <c r="AK196" i="3"/>
  <c r="AM196" i="3"/>
  <c r="AO196" i="3"/>
  <c r="AQ196" i="3"/>
  <c r="AS196" i="3"/>
  <c r="AU196" i="3"/>
  <c r="AW196" i="3"/>
  <c r="AY196" i="3"/>
  <c r="C197" i="3"/>
  <c r="E197" i="3"/>
  <c r="F197" i="3" s="1"/>
  <c r="G197" i="3"/>
  <c r="U197" i="3" s="1"/>
  <c r="I197" i="3"/>
  <c r="P197" i="3" s="1"/>
  <c r="K197" i="3"/>
  <c r="R197" i="3" s="1"/>
  <c r="M197" i="3"/>
  <c r="O197" i="3"/>
  <c r="Q197" i="3"/>
  <c r="S197" i="3"/>
  <c r="W197" i="3"/>
  <c r="Y197" i="3"/>
  <c r="AA197" i="3"/>
  <c r="AM197" i="3"/>
  <c r="AO197" i="3"/>
  <c r="AQ197" i="3"/>
  <c r="AS197" i="3"/>
  <c r="AU197" i="3"/>
  <c r="AY197" i="3"/>
  <c r="C198" i="3"/>
  <c r="E198" i="3"/>
  <c r="F198" i="3" s="1"/>
  <c r="G198" i="3"/>
  <c r="I198" i="3"/>
  <c r="P198" i="3" s="1"/>
  <c r="S198" i="3" s="1"/>
  <c r="K198" i="3"/>
  <c r="R198" i="3" s="1"/>
  <c r="M198" i="3"/>
  <c r="O198" i="3"/>
  <c r="Q198" i="3"/>
  <c r="U198" i="3"/>
  <c r="W198" i="3"/>
  <c r="Y198" i="3"/>
  <c r="AA198" i="3"/>
  <c r="BB198" i="3" s="1"/>
  <c r="AK198" i="3"/>
  <c r="AM198" i="3"/>
  <c r="AO198" i="3"/>
  <c r="AQ198" i="3"/>
  <c r="AS198" i="3"/>
  <c r="AU198" i="3"/>
  <c r="AW198" i="3"/>
  <c r="AY198" i="3"/>
  <c r="C199" i="3"/>
  <c r="E199" i="3"/>
  <c r="F199" i="3" s="1"/>
  <c r="G199" i="3"/>
  <c r="U199" i="3" s="1"/>
  <c r="I199" i="3"/>
  <c r="P199" i="3" s="1"/>
  <c r="K199" i="3"/>
  <c r="R199" i="3" s="1"/>
  <c r="M199" i="3"/>
  <c r="O199" i="3"/>
  <c r="Q199" i="3"/>
  <c r="S199" i="3"/>
  <c r="W199" i="3"/>
  <c r="Y199" i="3"/>
  <c r="AA199" i="3"/>
  <c r="AM199" i="3"/>
  <c r="AO199" i="3"/>
  <c r="AQ199" i="3"/>
  <c r="AS199" i="3"/>
  <c r="AU199" i="3"/>
  <c r="AY199" i="3"/>
  <c r="C200" i="3"/>
  <c r="E200" i="3"/>
  <c r="F200" i="3" s="1"/>
  <c r="G200" i="3"/>
  <c r="I200" i="3"/>
  <c r="P200" i="3" s="1"/>
  <c r="S200" i="3" s="1"/>
  <c r="K200" i="3"/>
  <c r="R200" i="3" s="1"/>
  <c r="M200" i="3"/>
  <c r="O200" i="3"/>
  <c r="Q200" i="3"/>
  <c r="U200" i="3"/>
  <c r="W200" i="3"/>
  <c r="Y200" i="3"/>
  <c r="AA200" i="3"/>
  <c r="BA200" i="3" s="1"/>
  <c r="AK200" i="3"/>
  <c r="AM200" i="3"/>
  <c r="AO200" i="3"/>
  <c r="AQ200" i="3"/>
  <c r="AS200" i="3"/>
  <c r="AU200" i="3"/>
  <c r="AW200" i="3"/>
  <c r="AY200" i="3"/>
  <c r="C201" i="3"/>
  <c r="E201" i="3"/>
  <c r="F201" i="3" s="1"/>
  <c r="G201" i="3"/>
  <c r="U201" i="3" s="1"/>
  <c r="I201" i="3"/>
  <c r="P201" i="3" s="1"/>
  <c r="K201" i="3"/>
  <c r="R201" i="3" s="1"/>
  <c r="M201" i="3"/>
  <c r="O201" i="3"/>
  <c r="Q201" i="3"/>
  <c r="S201" i="3"/>
  <c r="W201" i="3"/>
  <c r="Y201" i="3"/>
  <c r="AA201" i="3"/>
  <c r="AM201" i="3"/>
  <c r="AO201" i="3"/>
  <c r="AQ201" i="3"/>
  <c r="AS201" i="3"/>
  <c r="AU201" i="3"/>
  <c r="AY201" i="3"/>
  <c r="C202" i="3"/>
  <c r="E202" i="3"/>
  <c r="F202" i="3" s="1"/>
  <c r="G202" i="3"/>
  <c r="I202" i="3"/>
  <c r="P202" i="3" s="1"/>
  <c r="S202" i="3" s="1"/>
  <c r="K202" i="3"/>
  <c r="R202" i="3" s="1"/>
  <c r="M202" i="3"/>
  <c r="O202" i="3"/>
  <c r="Q202" i="3"/>
  <c r="U202" i="3"/>
  <c r="W202" i="3"/>
  <c r="Y202" i="3"/>
  <c r="AA202" i="3"/>
  <c r="AT202" i="3" s="1"/>
  <c r="AK202" i="3"/>
  <c r="AM202" i="3"/>
  <c r="AO202" i="3"/>
  <c r="AQ202" i="3"/>
  <c r="AS202" i="3"/>
  <c r="AU202" i="3"/>
  <c r="AW202" i="3"/>
  <c r="AY202" i="3"/>
  <c r="C203" i="3"/>
  <c r="E203" i="3"/>
  <c r="F203" i="3" s="1"/>
  <c r="G203" i="3"/>
  <c r="U203" i="3" s="1"/>
  <c r="I203" i="3"/>
  <c r="P203" i="3" s="1"/>
  <c r="K203" i="3"/>
  <c r="R203" i="3" s="1"/>
  <c r="M203" i="3"/>
  <c r="O203" i="3"/>
  <c r="Q203" i="3"/>
  <c r="S203" i="3"/>
  <c r="W203" i="3"/>
  <c r="Y203" i="3"/>
  <c r="AA203" i="3"/>
  <c r="AM203" i="3"/>
  <c r="AO203" i="3"/>
  <c r="AQ203" i="3"/>
  <c r="AS203" i="3"/>
  <c r="AU203" i="3"/>
  <c r="AY203" i="3"/>
  <c r="C204" i="3"/>
  <c r="E204" i="3"/>
  <c r="F204" i="3" s="1"/>
  <c r="G204" i="3"/>
  <c r="I204" i="3"/>
  <c r="P204" i="3" s="1"/>
  <c r="S204" i="3" s="1"/>
  <c r="K204" i="3"/>
  <c r="R204" i="3" s="1"/>
  <c r="M204" i="3"/>
  <c r="O204" i="3"/>
  <c r="Q204" i="3"/>
  <c r="U204" i="3"/>
  <c r="W204" i="3"/>
  <c r="Y204" i="3"/>
  <c r="AA204" i="3"/>
  <c r="BA204" i="3" s="1"/>
  <c r="AK204" i="3"/>
  <c r="AM204" i="3"/>
  <c r="AO204" i="3"/>
  <c r="AQ204" i="3"/>
  <c r="AS204" i="3"/>
  <c r="AU204" i="3"/>
  <c r="AW204" i="3"/>
  <c r="AY204" i="3"/>
  <c r="C205" i="3"/>
  <c r="E205" i="3"/>
  <c r="F205" i="3" s="1"/>
  <c r="G205" i="3"/>
  <c r="U205" i="3" s="1"/>
  <c r="I205" i="3"/>
  <c r="P205" i="3" s="1"/>
  <c r="K205" i="3"/>
  <c r="R205" i="3" s="1"/>
  <c r="M205" i="3"/>
  <c r="O205" i="3"/>
  <c r="Q205" i="3"/>
  <c r="S205" i="3"/>
  <c r="W205" i="3"/>
  <c r="Y205" i="3"/>
  <c r="AA205" i="3"/>
  <c r="AM205" i="3"/>
  <c r="AO205" i="3"/>
  <c r="AQ205" i="3"/>
  <c r="AS205" i="3"/>
  <c r="AU205" i="3"/>
  <c r="AY205" i="3"/>
  <c r="C206" i="3"/>
  <c r="E206" i="3"/>
  <c r="F206" i="3" s="1"/>
  <c r="G206" i="3"/>
  <c r="I206" i="3"/>
  <c r="P206" i="3" s="1"/>
  <c r="S206" i="3" s="1"/>
  <c r="K206" i="3"/>
  <c r="R206" i="3" s="1"/>
  <c r="M206" i="3"/>
  <c r="O206" i="3"/>
  <c r="Q206" i="3"/>
  <c r="U206" i="3"/>
  <c r="W206" i="3"/>
  <c r="Y206" i="3"/>
  <c r="AA206" i="3"/>
  <c r="BB206" i="3" s="1"/>
  <c r="AK206" i="3"/>
  <c r="AM206" i="3"/>
  <c r="AO206" i="3"/>
  <c r="AQ206" i="3"/>
  <c r="AS206" i="3"/>
  <c r="AU206" i="3"/>
  <c r="AW206" i="3"/>
  <c r="AY206" i="3"/>
  <c r="C207" i="3"/>
  <c r="E207" i="3"/>
  <c r="F207" i="3" s="1"/>
  <c r="G207" i="3"/>
  <c r="U207" i="3" s="1"/>
  <c r="I207" i="3"/>
  <c r="P207" i="3" s="1"/>
  <c r="K207" i="3"/>
  <c r="R207" i="3" s="1"/>
  <c r="M207" i="3"/>
  <c r="O207" i="3"/>
  <c r="Q207" i="3"/>
  <c r="S207" i="3"/>
  <c r="W207" i="3"/>
  <c r="Y207" i="3"/>
  <c r="AA207" i="3"/>
  <c r="AM207" i="3"/>
  <c r="AO207" i="3"/>
  <c r="AQ207" i="3"/>
  <c r="AS207" i="3"/>
  <c r="AU207" i="3"/>
  <c r="AY207" i="3"/>
  <c r="C208" i="3"/>
  <c r="E208" i="3"/>
  <c r="F208" i="3" s="1"/>
  <c r="G208" i="3"/>
  <c r="I208" i="3"/>
  <c r="P208" i="3" s="1"/>
  <c r="S208" i="3" s="1"/>
  <c r="K208" i="3"/>
  <c r="R208" i="3" s="1"/>
  <c r="M208" i="3"/>
  <c r="O208" i="3"/>
  <c r="Q208" i="3"/>
  <c r="U208" i="3"/>
  <c r="W208" i="3"/>
  <c r="Y208" i="3"/>
  <c r="AA208" i="3"/>
  <c r="BA208" i="3" s="1"/>
  <c r="AK208" i="3"/>
  <c r="AM208" i="3"/>
  <c r="AO208" i="3"/>
  <c r="AQ208" i="3"/>
  <c r="AS208" i="3"/>
  <c r="AU208" i="3"/>
  <c r="AW208" i="3"/>
  <c r="AY208" i="3"/>
  <c r="C209" i="3"/>
  <c r="E209" i="3"/>
  <c r="F209" i="3" s="1"/>
  <c r="G209" i="3"/>
  <c r="U209" i="3" s="1"/>
  <c r="I209" i="3"/>
  <c r="P209" i="3" s="1"/>
  <c r="K209" i="3"/>
  <c r="R209" i="3" s="1"/>
  <c r="M209" i="3"/>
  <c r="O209" i="3"/>
  <c r="Q209" i="3"/>
  <c r="S209" i="3"/>
  <c r="W209" i="3"/>
  <c r="Y209" i="3"/>
  <c r="AA209" i="3"/>
  <c r="AM209" i="3"/>
  <c r="AO209" i="3"/>
  <c r="AQ209" i="3"/>
  <c r="AS209" i="3"/>
  <c r="AU209" i="3"/>
  <c r="AY209" i="3"/>
  <c r="C210" i="3"/>
  <c r="E210" i="3"/>
  <c r="F210" i="3" s="1"/>
  <c r="G210" i="3"/>
  <c r="I210" i="3"/>
  <c r="P210" i="3" s="1"/>
  <c r="S210" i="3" s="1"/>
  <c r="K210" i="3"/>
  <c r="R210" i="3" s="1"/>
  <c r="M210" i="3"/>
  <c r="O210" i="3"/>
  <c r="Q210" i="3"/>
  <c r="U210" i="3"/>
  <c r="W210" i="3"/>
  <c r="Y210" i="3"/>
  <c r="AA210" i="3"/>
  <c r="BA210" i="3" s="1"/>
  <c r="AK210" i="3"/>
  <c r="AM210" i="3"/>
  <c r="AO210" i="3"/>
  <c r="AQ210" i="3"/>
  <c r="AS210" i="3"/>
  <c r="AU210" i="3"/>
  <c r="AW210" i="3"/>
  <c r="AY210" i="3"/>
  <c r="C211" i="3"/>
  <c r="E211" i="3"/>
  <c r="F211" i="3" s="1"/>
  <c r="G211" i="3"/>
  <c r="U211" i="3" s="1"/>
  <c r="I211" i="3"/>
  <c r="P211" i="3" s="1"/>
  <c r="K211" i="3"/>
  <c r="R211" i="3" s="1"/>
  <c r="M211" i="3"/>
  <c r="O211" i="3"/>
  <c r="Q211" i="3"/>
  <c r="S211" i="3"/>
  <c r="W211" i="3"/>
  <c r="Y211" i="3"/>
  <c r="AA211" i="3"/>
  <c r="AM211" i="3"/>
  <c r="AO211" i="3"/>
  <c r="AQ211" i="3"/>
  <c r="AS211" i="3"/>
  <c r="AU211" i="3"/>
  <c r="AY211" i="3"/>
  <c r="C212" i="3"/>
  <c r="E212" i="3"/>
  <c r="F212" i="3" s="1"/>
  <c r="G212" i="3"/>
  <c r="I212" i="3"/>
  <c r="P212" i="3" s="1"/>
  <c r="S212" i="3" s="1"/>
  <c r="K212" i="3"/>
  <c r="R212" i="3" s="1"/>
  <c r="M212" i="3"/>
  <c r="O212" i="3"/>
  <c r="Q212" i="3"/>
  <c r="U212" i="3"/>
  <c r="W212" i="3"/>
  <c r="Y212" i="3"/>
  <c r="AA212" i="3"/>
  <c r="BA212" i="3" s="1"/>
  <c r="AK212" i="3"/>
  <c r="AM212" i="3"/>
  <c r="AO212" i="3"/>
  <c r="AQ212" i="3"/>
  <c r="AS212" i="3"/>
  <c r="AU212" i="3"/>
  <c r="AW212" i="3"/>
  <c r="AY212" i="3"/>
  <c r="C213" i="3"/>
  <c r="E213" i="3"/>
  <c r="F213" i="3" s="1"/>
  <c r="G213" i="3"/>
  <c r="U213" i="3" s="1"/>
  <c r="I213" i="3"/>
  <c r="P213" i="3" s="1"/>
  <c r="K213" i="3"/>
  <c r="R213" i="3" s="1"/>
  <c r="M213" i="3"/>
  <c r="O213" i="3"/>
  <c r="Q213" i="3"/>
  <c r="S213" i="3"/>
  <c r="W213" i="3"/>
  <c r="Y213" i="3"/>
  <c r="AA213" i="3"/>
  <c r="AM213" i="3"/>
  <c r="AO213" i="3"/>
  <c r="AQ213" i="3"/>
  <c r="AS213" i="3"/>
  <c r="AU213" i="3"/>
  <c r="AY213" i="3"/>
  <c r="C214" i="3"/>
  <c r="E214" i="3"/>
  <c r="F214" i="3" s="1"/>
  <c r="G214" i="3"/>
  <c r="I214" i="3"/>
  <c r="P214" i="3" s="1"/>
  <c r="S214" i="3" s="1"/>
  <c r="K214" i="3"/>
  <c r="R214" i="3" s="1"/>
  <c r="M214" i="3"/>
  <c r="O214" i="3"/>
  <c r="Q214" i="3"/>
  <c r="U214" i="3"/>
  <c r="W214" i="3"/>
  <c r="Y214" i="3"/>
  <c r="AA214" i="3"/>
  <c r="AT214" i="3" s="1"/>
  <c r="AK214" i="3"/>
  <c r="AM214" i="3"/>
  <c r="AO214" i="3"/>
  <c r="AQ214" i="3"/>
  <c r="AS214" i="3"/>
  <c r="AU214" i="3"/>
  <c r="AW214" i="3"/>
  <c r="AY214" i="3"/>
  <c r="C215" i="3"/>
  <c r="E215" i="3"/>
  <c r="F215" i="3" s="1"/>
  <c r="G215" i="3"/>
  <c r="U215" i="3" s="1"/>
  <c r="I215" i="3"/>
  <c r="P215" i="3" s="1"/>
  <c r="K215" i="3"/>
  <c r="R215" i="3" s="1"/>
  <c r="M215" i="3"/>
  <c r="O215" i="3"/>
  <c r="Q215" i="3"/>
  <c r="S215" i="3"/>
  <c r="W215" i="3"/>
  <c r="Y215" i="3"/>
  <c r="AA215" i="3"/>
  <c r="AM215" i="3"/>
  <c r="AO215" i="3"/>
  <c r="AQ215" i="3"/>
  <c r="AS215" i="3"/>
  <c r="AU215" i="3"/>
  <c r="AY215" i="3"/>
  <c r="C216" i="3"/>
  <c r="E216" i="3"/>
  <c r="F216" i="3" s="1"/>
  <c r="G216" i="3"/>
  <c r="I216" i="3"/>
  <c r="P216" i="3" s="1"/>
  <c r="S216" i="3" s="1"/>
  <c r="K216" i="3"/>
  <c r="R216" i="3" s="1"/>
  <c r="M216" i="3"/>
  <c r="O216" i="3"/>
  <c r="Q216" i="3"/>
  <c r="U216" i="3"/>
  <c r="W216" i="3"/>
  <c r="Y216" i="3"/>
  <c r="AA216" i="3"/>
  <c r="BB216" i="3" s="1"/>
  <c r="AK216" i="3"/>
  <c r="AM216" i="3"/>
  <c r="AO216" i="3"/>
  <c r="AQ216" i="3"/>
  <c r="AS216" i="3"/>
  <c r="AU216" i="3"/>
  <c r="AW216" i="3"/>
  <c r="AY216" i="3"/>
  <c r="C217" i="3"/>
  <c r="E217" i="3"/>
  <c r="F217" i="3" s="1"/>
  <c r="G217" i="3"/>
  <c r="U217" i="3" s="1"/>
  <c r="I217" i="3"/>
  <c r="P217" i="3" s="1"/>
  <c r="K217" i="3"/>
  <c r="R217" i="3" s="1"/>
  <c r="M217" i="3"/>
  <c r="O217" i="3"/>
  <c r="Q217" i="3"/>
  <c r="S217" i="3"/>
  <c r="W217" i="3"/>
  <c r="Y217" i="3"/>
  <c r="AA217" i="3"/>
  <c r="AM217" i="3"/>
  <c r="AO217" i="3"/>
  <c r="AQ217" i="3"/>
  <c r="AS217" i="3"/>
  <c r="AU217" i="3"/>
  <c r="AY217" i="3"/>
  <c r="C218" i="3"/>
  <c r="E218" i="3"/>
  <c r="F218" i="3" s="1"/>
  <c r="G218" i="3"/>
  <c r="I218" i="3"/>
  <c r="P218" i="3" s="1"/>
  <c r="S218" i="3" s="1"/>
  <c r="K218" i="3"/>
  <c r="R218" i="3" s="1"/>
  <c r="M218" i="3"/>
  <c r="O218" i="3"/>
  <c r="Q218" i="3"/>
  <c r="U218" i="3"/>
  <c r="W218" i="3"/>
  <c r="Y218" i="3"/>
  <c r="AA218" i="3"/>
  <c r="AT218" i="3" s="1"/>
  <c r="AK218" i="3"/>
  <c r="AM218" i="3"/>
  <c r="AO218" i="3"/>
  <c r="AQ218" i="3"/>
  <c r="AS218" i="3"/>
  <c r="AU218" i="3"/>
  <c r="AW218" i="3"/>
  <c r="AY218" i="3"/>
  <c r="C219" i="3"/>
  <c r="E219" i="3"/>
  <c r="F219" i="3" s="1"/>
  <c r="G219" i="3"/>
  <c r="U219" i="3" s="1"/>
  <c r="I219" i="3"/>
  <c r="P219" i="3" s="1"/>
  <c r="K219" i="3"/>
  <c r="R219" i="3" s="1"/>
  <c r="M219" i="3"/>
  <c r="O219" i="3"/>
  <c r="Q219" i="3"/>
  <c r="S219" i="3"/>
  <c r="W219" i="3"/>
  <c r="Y219" i="3"/>
  <c r="AA219" i="3"/>
  <c r="AM219" i="3"/>
  <c r="AO219" i="3"/>
  <c r="AQ219" i="3"/>
  <c r="AS219" i="3"/>
  <c r="AU219" i="3"/>
  <c r="AY219" i="3"/>
  <c r="C220" i="3"/>
  <c r="E220" i="3"/>
  <c r="F220" i="3" s="1"/>
  <c r="G220" i="3"/>
  <c r="I220" i="3"/>
  <c r="P220" i="3" s="1"/>
  <c r="S220" i="3" s="1"/>
  <c r="K220" i="3"/>
  <c r="R220" i="3" s="1"/>
  <c r="M220" i="3"/>
  <c r="O220" i="3"/>
  <c r="Q220" i="3"/>
  <c r="U220" i="3"/>
  <c r="W220" i="3"/>
  <c r="Y220" i="3"/>
  <c r="AA220" i="3"/>
  <c r="BA220" i="3" s="1"/>
  <c r="AK220" i="3"/>
  <c r="AM220" i="3"/>
  <c r="AO220" i="3"/>
  <c r="AQ220" i="3"/>
  <c r="AS220" i="3"/>
  <c r="AU220" i="3"/>
  <c r="AW220" i="3"/>
  <c r="AY220" i="3"/>
  <c r="C221" i="3"/>
  <c r="E221" i="3"/>
  <c r="F221" i="3" s="1"/>
  <c r="G221" i="3"/>
  <c r="U221" i="3" s="1"/>
  <c r="I221" i="3"/>
  <c r="P221" i="3" s="1"/>
  <c r="K221" i="3"/>
  <c r="R221" i="3" s="1"/>
  <c r="M221" i="3"/>
  <c r="O221" i="3"/>
  <c r="Q221" i="3"/>
  <c r="S221" i="3"/>
  <c r="W221" i="3"/>
  <c r="Y221" i="3"/>
  <c r="AA221" i="3"/>
  <c r="AM221" i="3"/>
  <c r="AO221" i="3"/>
  <c r="AQ221" i="3"/>
  <c r="AS221" i="3"/>
  <c r="AU221" i="3"/>
  <c r="AY221" i="3"/>
  <c r="C222" i="3"/>
  <c r="E222" i="3"/>
  <c r="F222" i="3" s="1"/>
  <c r="G222" i="3"/>
  <c r="I222" i="3"/>
  <c r="P222" i="3" s="1"/>
  <c r="S222" i="3" s="1"/>
  <c r="K222" i="3"/>
  <c r="R222" i="3" s="1"/>
  <c r="M222" i="3"/>
  <c r="O222" i="3"/>
  <c r="Q222" i="3"/>
  <c r="U222" i="3"/>
  <c r="W222" i="3"/>
  <c r="Y222" i="3"/>
  <c r="AA222" i="3"/>
  <c r="AT222" i="3" s="1"/>
  <c r="AK222" i="3"/>
  <c r="AM222" i="3"/>
  <c r="AO222" i="3"/>
  <c r="AQ222" i="3"/>
  <c r="AS222" i="3"/>
  <c r="AU222" i="3"/>
  <c r="AW222" i="3"/>
  <c r="AY222" i="3"/>
  <c r="C223" i="3"/>
  <c r="E223" i="3"/>
  <c r="F223" i="3" s="1"/>
  <c r="G223" i="3"/>
  <c r="U223" i="3" s="1"/>
  <c r="I223" i="3"/>
  <c r="P223" i="3" s="1"/>
  <c r="K223" i="3"/>
  <c r="R223" i="3" s="1"/>
  <c r="M223" i="3"/>
  <c r="O223" i="3"/>
  <c r="Q223" i="3"/>
  <c r="S223" i="3"/>
  <c r="W223" i="3"/>
  <c r="Y223" i="3"/>
  <c r="AA223" i="3"/>
  <c r="AM223" i="3"/>
  <c r="AO223" i="3"/>
  <c r="AQ223" i="3"/>
  <c r="AS223" i="3"/>
  <c r="AU223" i="3"/>
  <c r="AY223" i="3"/>
  <c r="C224" i="3"/>
  <c r="E224" i="3"/>
  <c r="F224" i="3" s="1"/>
  <c r="G224" i="3"/>
  <c r="I224" i="3"/>
  <c r="P224" i="3" s="1"/>
  <c r="S224" i="3" s="1"/>
  <c r="K224" i="3"/>
  <c r="R224" i="3" s="1"/>
  <c r="M224" i="3"/>
  <c r="O224" i="3"/>
  <c r="Q224" i="3"/>
  <c r="U224" i="3"/>
  <c r="W224" i="3"/>
  <c r="Y224" i="3"/>
  <c r="AA224" i="3"/>
  <c r="BB224" i="3" s="1"/>
  <c r="AK224" i="3"/>
  <c r="AM224" i="3"/>
  <c r="AO224" i="3"/>
  <c r="AQ224" i="3"/>
  <c r="AS224" i="3"/>
  <c r="AU224" i="3"/>
  <c r="AW224" i="3"/>
  <c r="AY224" i="3"/>
  <c r="C225" i="3"/>
  <c r="E225" i="3"/>
  <c r="F225" i="3" s="1"/>
  <c r="G225" i="3"/>
  <c r="U225" i="3" s="1"/>
  <c r="I225" i="3"/>
  <c r="P225" i="3" s="1"/>
  <c r="K225" i="3"/>
  <c r="R225" i="3" s="1"/>
  <c r="M225" i="3"/>
  <c r="O225" i="3"/>
  <c r="Q225" i="3"/>
  <c r="S225" i="3"/>
  <c r="W225" i="3"/>
  <c r="Y225" i="3"/>
  <c r="AA225" i="3"/>
  <c r="AM225" i="3"/>
  <c r="AO225" i="3"/>
  <c r="AQ225" i="3"/>
  <c r="AS225" i="3"/>
  <c r="AU225" i="3"/>
  <c r="AY225" i="3"/>
  <c r="C226" i="3"/>
  <c r="E226" i="3"/>
  <c r="F226" i="3" s="1"/>
  <c r="G226" i="3"/>
  <c r="I226" i="3"/>
  <c r="P226" i="3" s="1"/>
  <c r="S226" i="3" s="1"/>
  <c r="K226" i="3"/>
  <c r="R226" i="3" s="1"/>
  <c r="M226" i="3"/>
  <c r="O226" i="3"/>
  <c r="Q226" i="3"/>
  <c r="U226" i="3"/>
  <c r="W226" i="3"/>
  <c r="Y226" i="3"/>
  <c r="AA226" i="3"/>
  <c r="BB226" i="3" s="1"/>
  <c r="AK226" i="3"/>
  <c r="AM226" i="3"/>
  <c r="AO226" i="3"/>
  <c r="AQ226" i="3"/>
  <c r="AS226" i="3"/>
  <c r="AU226" i="3"/>
  <c r="AW226" i="3"/>
  <c r="AY226" i="3"/>
  <c r="C227" i="3"/>
  <c r="E227" i="3"/>
  <c r="F227" i="3" s="1"/>
  <c r="G227" i="3"/>
  <c r="U227" i="3" s="1"/>
  <c r="I227" i="3"/>
  <c r="P227" i="3" s="1"/>
  <c r="K227" i="3"/>
  <c r="R227" i="3" s="1"/>
  <c r="M227" i="3"/>
  <c r="O227" i="3"/>
  <c r="Q227" i="3"/>
  <c r="S227" i="3"/>
  <c r="W227" i="3"/>
  <c r="Y227" i="3"/>
  <c r="AA227" i="3"/>
  <c r="AM227" i="3"/>
  <c r="AO227" i="3"/>
  <c r="AQ227" i="3"/>
  <c r="AS227" i="3"/>
  <c r="AU227" i="3"/>
  <c r="AY227" i="3"/>
  <c r="C228" i="3"/>
  <c r="E228" i="3"/>
  <c r="F228" i="3" s="1"/>
  <c r="G228" i="3"/>
  <c r="I228" i="3"/>
  <c r="P228" i="3" s="1"/>
  <c r="S228" i="3" s="1"/>
  <c r="K228" i="3"/>
  <c r="R228" i="3" s="1"/>
  <c r="M228" i="3"/>
  <c r="O228" i="3"/>
  <c r="Q228" i="3"/>
  <c r="U228" i="3"/>
  <c r="W228" i="3"/>
  <c r="Y228" i="3"/>
  <c r="AA228" i="3"/>
  <c r="BA228" i="3" s="1"/>
  <c r="AK228" i="3"/>
  <c r="AM228" i="3"/>
  <c r="AO228" i="3"/>
  <c r="AQ228" i="3"/>
  <c r="AS228" i="3"/>
  <c r="AU228" i="3"/>
  <c r="AW228" i="3"/>
  <c r="AY228" i="3"/>
  <c r="C229" i="3"/>
  <c r="E229" i="3"/>
  <c r="F229" i="3" s="1"/>
  <c r="G229" i="3"/>
  <c r="U229" i="3" s="1"/>
  <c r="I229" i="3"/>
  <c r="P229" i="3" s="1"/>
  <c r="K229" i="3"/>
  <c r="R229" i="3" s="1"/>
  <c r="M229" i="3"/>
  <c r="O229" i="3"/>
  <c r="Q229" i="3"/>
  <c r="S229" i="3"/>
  <c r="W229" i="3"/>
  <c r="Y229" i="3"/>
  <c r="AA229" i="3"/>
  <c r="AM229" i="3"/>
  <c r="AO229" i="3"/>
  <c r="AQ229" i="3"/>
  <c r="AS229" i="3"/>
  <c r="AU229" i="3"/>
  <c r="AY229" i="3"/>
  <c r="C230" i="3"/>
  <c r="E230" i="3"/>
  <c r="F230" i="3" s="1"/>
  <c r="G230" i="3"/>
  <c r="I230" i="3"/>
  <c r="P230" i="3" s="1"/>
  <c r="S230" i="3" s="1"/>
  <c r="K230" i="3"/>
  <c r="R230" i="3" s="1"/>
  <c r="M230" i="3"/>
  <c r="O230" i="3"/>
  <c r="Q230" i="3"/>
  <c r="U230" i="3"/>
  <c r="W230" i="3"/>
  <c r="Y230" i="3"/>
  <c r="AA230" i="3"/>
  <c r="BA230" i="3" s="1"/>
  <c r="AK230" i="3"/>
  <c r="AM230" i="3"/>
  <c r="AO230" i="3"/>
  <c r="AQ230" i="3"/>
  <c r="AS230" i="3"/>
  <c r="AU230" i="3"/>
  <c r="AW230" i="3"/>
  <c r="AY230" i="3"/>
  <c r="C231" i="3"/>
  <c r="E231" i="3"/>
  <c r="F231" i="3" s="1"/>
  <c r="G231" i="3"/>
  <c r="U231" i="3" s="1"/>
  <c r="I231" i="3"/>
  <c r="P231" i="3" s="1"/>
  <c r="K231" i="3"/>
  <c r="R231" i="3" s="1"/>
  <c r="M231" i="3"/>
  <c r="O231" i="3"/>
  <c r="Q231" i="3"/>
  <c r="S231" i="3"/>
  <c r="W231" i="3"/>
  <c r="Y231" i="3"/>
  <c r="AA231" i="3"/>
  <c r="AM231" i="3"/>
  <c r="AO231" i="3"/>
  <c r="AQ231" i="3"/>
  <c r="AS231" i="3"/>
  <c r="AU231" i="3"/>
  <c r="AY231" i="3"/>
  <c r="C232" i="3"/>
  <c r="E232" i="3"/>
  <c r="F232" i="3" s="1"/>
  <c r="G232" i="3"/>
  <c r="I232" i="3"/>
  <c r="P232" i="3" s="1"/>
  <c r="S232" i="3" s="1"/>
  <c r="K232" i="3"/>
  <c r="R232" i="3" s="1"/>
  <c r="M232" i="3"/>
  <c r="O232" i="3"/>
  <c r="Q232" i="3"/>
  <c r="U232" i="3"/>
  <c r="W232" i="3"/>
  <c r="Y232" i="3"/>
  <c r="AA232" i="3"/>
  <c r="BA232" i="3" s="1"/>
  <c r="AK232" i="3"/>
  <c r="AM232" i="3"/>
  <c r="AO232" i="3"/>
  <c r="AQ232" i="3"/>
  <c r="AS232" i="3"/>
  <c r="AU232" i="3"/>
  <c r="AW232" i="3"/>
  <c r="AY232" i="3"/>
  <c r="C233" i="3"/>
  <c r="E233" i="3"/>
  <c r="F233" i="3" s="1"/>
  <c r="G233" i="3"/>
  <c r="U233" i="3" s="1"/>
  <c r="I233" i="3"/>
  <c r="P233" i="3" s="1"/>
  <c r="K233" i="3"/>
  <c r="R233" i="3" s="1"/>
  <c r="M233" i="3"/>
  <c r="O233" i="3"/>
  <c r="Q233" i="3"/>
  <c r="S233" i="3"/>
  <c r="W233" i="3"/>
  <c r="Y233" i="3"/>
  <c r="AA233" i="3"/>
  <c r="AM233" i="3"/>
  <c r="AO233" i="3"/>
  <c r="AQ233" i="3"/>
  <c r="AS233" i="3"/>
  <c r="AU233" i="3"/>
  <c r="AY233" i="3"/>
  <c r="C234" i="3"/>
  <c r="E234" i="3"/>
  <c r="F234" i="3" s="1"/>
  <c r="G234" i="3"/>
  <c r="I234" i="3"/>
  <c r="P234" i="3" s="1"/>
  <c r="S234" i="3" s="1"/>
  <c r="K234" i="3"/>
  <c r="R234" i="3" s="1"/>
  <c r="M234" i="3"/>
  <c r="O234" i="3"/>
  <c r="Q234" i="3"/>
  <c r="U234" i="3"/>
  <c r="W234" i="3"/>
  <c r="Y234" i="3"/>
  <c r="AA234" i="3"/>
  <c r="BA234" i="3" s="1"/>
  <c r="AK234" i="3"/>
  <c r="AM234" i="3"/>
  <c r="AO234" i="3"/>
  <c r="AQ234" i="3"/>
  <c r="AS234" i="3"/>
  <c r="AU234" i="3"/>
  <c r="AW234" i="3"/>
  <c r="AY234" i="3"/>
  <c r="C235" i="3"/>
  <c r="E235" i="3"/>
  <c r="F235" i="3" s="1"/>
  <c r="G235" i="3"/>
  <c r="U235" i="3" s="1"/>
  <c r="I235" i="3"/>
  <c r="P235" i="3" s="1"/>
  <c r="K235" i="3"/>
  <c r="R235" i="3" s="1"/>
  <c r="M235" i="3"/>
  <c r="O235" i="3"/>
  <c r="Q235" i="3"/>
  <c r="S235" i="3"/>
  <c r="W235" i="3"/>
  <c r="Y235" i="3"/>
  <c r="AA235" i="3"/>
  <c r="AM235" i="3"/>
  <c r="AO235" i="3"/>
  <c r="AQ235" i="3"/>
  <c r="AS235" i="3"/>
  <c r="AU235" i="3"/>
  <c r="AY235" i="3"/>
  <c r="C236" i="3"/>
  <c r="E236" i="3"/>
  <c r="F236" i="3" s="1"/>
  <c r="G236" i="3"/>
  <c r="I236" i="3"/>
  <c r="P236" i="3" s="1"/>
  <c r="S236" i="3" s="1"/>
  <c r="K236" i="3"/>
  <c r="R236" i="3" s="1"/>
  <c r="M236" i="3"/>
  <c r="O236" i="3"/>
  <c r="Q236" i="3"/>
  <c r="U236" i="3"/>
  <c r="W236" i="3"/>
  <c r="Y236" i="3"/>
  <c r="AA236" i="3"/>
  <c r="BA236" i="3" s="1"/>
  <c r="AK236" i="3"/>
  <c r="AM236" i="3"/>
  <c r="AO236" i="3"/>
  <c r="AQ236" i="3"/>
  <c r="AS236" i="3"/>
  <c r="AU236" i="3"/>
  <c r="AW236" i="3"/>
  <c r="AY236" i="3"/>
  <c r="C237" i="3"/>
  <c r="E237" i="3"/>
  <c r="F237" i="3" s="1"/>
  <c r="G237" i="3"/>
  <c r="U237" i="3" s="1"/>
  <c r="I237" i="3"/>
  <c r="P237" i="3" s="1"/>
  <c r="K237" i="3"/>
  <c r="R237" i="3" s="1"/>
  <c r="M237" i="3"/>
  <c r="O237" i="3"/>
  <c r="Q237" i="3"/>
  <c r="S237" i="3"/>
  <c r="W237" i="3"/>
  <c r="Y237" i="3"/>
  <c r="AA237" i="3"/>
  <c r="AM237" i="3"/>
  <c r="AO237" i="3"/>
  <c r="AQ237" i="3"/>
  <c r="AS237" i="3"/>
  <c r="AU237" i="3"/>
  <c r="AY237" i="3"/>
  <c r="C238" i="3"/>
  <c r="E238" i="3"/>
  <c r="F238" i="3" s="1"/>
  <c r="G238" i="3"/>
  <c r="I238" i="3"/>
  <c r="P238" i="3" s="1"/>
  <c r="S238" i="3" s="1"/>
  <c r="K238" i="3"/>
  <c r="R238" i="3" s="1"/>
  <c r="M238" i="3"/>
  <c r="O238" i="3"/>
  <c r="Q238" i="3"/>
  <c r="U238" i="3"/>
  <c r="W238" i="3"/>
  <c r="Y238" i="3"/>
  <c r="AA238" i="3"/>
  <c r="BA238" i="3" s="1"/>
  <c r="AK238" i="3"/>
  <c r="AM238" i="3"/>
  <c r="AO238" i="3"/>
  <c r="AQ238" i="3"/>
  <c r="AS238" i="3"/>
  <c r="AU238" i="3"/>
  <c r="AW238" i="3"/>
  <c r="AY238" i="3"/>
  <c r="C239" i="3"/>
  <c r="E239" i="3"/>
  <c r="F239" i="3" s="1"/>
  <c r="G239" i="3"/>
  <c r="U239" i="3" s="1"/>
  <c r="I239" i="3"/>
  <c r="P239" i="3" s="1"/>
  <c r="K239" i="3"/>
  <c r="R239" i="3" s="1"/>
  <c r="M239" i="3"/>
  <c r="O239" i="3"/>
  <c r="Q239" i="3"/>
  <c r="S239" i="3"/>
  <c r="W239" i="3"/>
  <c r="Y239" i="3"/>
  <c r="AA239" i="3"/>
  <c r="AM239" i="3"/>
  <c r="AO239" i="3"/>
  <c r="AQ239" i="3"/>
  <c r="AS239" i="3"/>
  <c r="AU239" i="3"/>
  <c r="AY239" i="3"/>
  <c r="C240" i="3"/>
  <c r="E240" i="3"/>
  <c r="F240" i="3" s="1"/>
  <c r="G240" i="3"/>
  <c r="I240" i="3"/>
  <c r="P240" i="3" s="1"/>
  <c r="S240" i="3" s="1"/>
  <c r="K240" i="3"/>
  <c r="R240" i="3" s="1"/>
  <c r="M240" i="3"/>
  <c r="O240" i="3"/>
  <c r="Q240" i="3"/>
  <c r="U240" i="3"/>
  <c r="W240" i="3"/>
  <c r="Y240" i="3"/>
  <c r="AA240" i="3"/>
  <c r="BA240" i="3" s="1"/>
  <c r="AK240" i="3"/>
  <c r="AM240" i="3"/>
  <c r="AO240" i="3"/>
  <c r="AQ240" i="3"/>
  <c r="AS240" i="3"/>
  <c r="AU240" i="3"/>
  <c r="AW240" i="3"/>
  <c r="AY240" i="3"/>
  <c r="C241" i="3"/>
  <c r="E241" i="3"/>
  <c r="F241" i="3" s="1"/>
  <c r="G241" i="3"/>
  <c r="U241" i="3" s="1"/>
  <c r="I241" i="3"/>
  <c r="P241" i="3" s="1"/>
  <c r="K241" i="3"/>
  <c r="R241" i="3" s="1"/>
  <c r="M241" i="3"/>
  <c r="O241" i="3"/>
  <c r="Q241" i="3"/>
  <c r="S241" i="3"/>
  <c r="W241" i="3"/>
  <c r="Y241" i="3"/>
  <c r="AA241" i="3"/>
  <c r="AM241" i="3"/>
  <c r="AO241" i="3"/>
  <c r="AQ241" i="3"/>
  <c r="AS241" i="3"/>
  <c r="AU241" i="3"/>
  <c r="AY241" i="3"/>
  <c r="C242" i="3"/>
  <c r="E242" i="3"/>
  <c r="F242" i="3" s="1"/>
  <c r="G242" i="3"/>
  <c r="I242" i="3"/>
  <c r="P242" i="3" s="1"/>
  <c r="S242" i="3" s="1"/>
  <c r="K242" i="3"/>
  <c r="R242" i="3" s="1"/>
  <c r="M242" i="3"/>
  <c r="O242" i="3"/>
  <c r="Q242" i="3"/>
  <c r="U242" i="3"/>
  <c r="W242" i="3"/>
  <c r="Y242" i="3"/>
  <c r="AA242" i="3"/>
  <c r="BA242" i="3" s="1"/>
  <c r="AK242" i="3"/>
  <c r="AM242" i="3"/>
  <c r="AO242" i="3"/>
  <c r="AQ242" i="3"/>
  <c r="AS242" i="3"/>
  <c r="AU242" i="3"/>
  <c r="AW242" i="3"/>
  <c r="AY242" i="3"/>
  <c r="C243" i="3"/>
  <c r="E243" i="3"/>
  <c r="F243" i="3" s="1"/>
  <c r="G243" i="3"/>
  <c r="U243" i="3" s="1"/>
  <c r="I243" i="3"/>
  <c r="P243" i="3" s="1"/>
  <c r="K243" i="3"/>
  <c r="R243" i="3" s="1"/>
  <c r="M243" i="3"/>
  <c r="O243" i="3"/>
  <c r="Q243" i="3"/>
  <c r="S243" i="3"/>
  <c r="W243" i="3"/>
  <c r="Y243" i="3"/>
  <c r="AA243" i="3"/>
  <c r="AM243" i="3"/>
  <c r="AO243" i="3"/>
  <c r="AQ243" i="3"/>
  <c r="AS243" i="3"/>
  <c r="AU243" i="3"/>
  <c r="AY243" i="3"/>
  <c r="C244" i="3"/>
  <c r="E244" i="3"/>
  <c r="G244" i="3"/>
  <c r="I244" i="3"/>
  <c r="K244" i="3"/>
  <c r="M244" i="3"/>
  <c r="O244" i="3"/>
  <c r="Q244" i="3"/>
  <c r="S244" i="3"/>
  <c r="U244" i="3"/>
  <c r="W244" i="3"/>
  <c r="Y244" i="3"/>
  <c r="AA244" i="3"/>
  <c r="AK244" i="3"/>
  <c r="AM244" i="3"/>
  <c r="AO244" i="3"/>
  <c r="AQ244" i="3"/>
  <c r="AS244" i="3"/>
  <c r="AU244" i="3"/>
  <c r="AW244" i="3"/>
  <c r="AY244" i="3"/>
  <c r="C245" i="3"/>
  <c r="E245" i="3"/>
  <c r="G245" i="3"/>
  <c r="I245" i="3"/>
  <c r="K245" i="3"/>
  <c r="M245" i="3"/>
  <c r="O245" i="3"/>
  <c r="Q245" i="3"/>
  <c r="S245" i="3"/>
  <c r="U245" i="3"/>
  <c r="W245" i="3"/>
  <c r="Y245" i="3"/>
  <c r="AA245" i="3"/>
  <c r="AK245" i="3"/>
  <c r="AM245" i="3"/>
  <c r="AO245" i="3"/>
  <c r="AQ245" i="3"/>
  <c r="AS245" i="3"/>
  <c r="AU245" i="3"/>
  <c r="AW245" i="3"/>
  <c r="AY245" i="3"/>
  <c r="C246" i="3"/>
  <c r="E246" i="3"/>
  <c r="G246" i="3"/>
  <c r="I246" i="3"/>
  <c r="K246" i="3"/>
  <c r="M246" i="3"/>
  <c r="O246" i="3"/>
  <c r="Q246" i="3"/>
  <c r="S246" i="3"/>
  <c r="U246" i="3"/>
  <c r="W246" i="3"/>
  <c r="Y246" i="3"/>
  <c r="AA246" i="3"/>
  <c r="AK246" i="3"/>
  <c r="AM246" i="3"/>
  <c r="AO246" i="3"/>
  <c r="AQ246" i="3"/>
  <c r="AS246" i="3"/>
  <c r="AU246" i="3"/>
  <c r="AW246" i="3"/>
  <c r="AY246" i="3"/>
  <c r="C247" i="3"/>
  <c r="E247" i="3"/>
  <c r="G247" i="3"/>
  <c r="I247" i="3"/>
  <c r="K247" i="3"/>
  <c r="M247" i="3"/>
  <c r="O247" i="3"/>
  <c r="Q247" i="3"/>
  <c r="S247" i="3"/>
  <c r="U247" i="3"/>
  <c r="W247" i="3"/>
  <c r="Y247" i="3"/>
  <c r="AA247" i="3"/>
  <c r="AK247" i="3"/>
  <c r="AM247" i="3"/>
  <c r="AO247" i="3"/>
  <c r="AQ247" i="3"/>
  <c r="AS247" i="3"/>
  <c r="AU247" i="3"/>
  <c r="AW247" i="3"/>
  <c r="AY247" i="3"/>
  <c r="C248" i="3"/>
  <c r="E248" i="3"/>
  <c r="G248" i="3"/>
  <c r="I248" i="3"/>
  <c r="K248" i="3"/>
  <c r="M248" i="3"/>
  <c r="O248" i="3"/>
  <c r="Q248" i="3"/>
  <c r="S248" i="3"/>
  <c r="U248" i="3"/>
  <c r="W248" i="3"/>
  <c r="Y248" i="3"/>
  <c r="AA248" i="3"/>
  <c r="AK248" i="3"/>
  <c r="AM248" i="3"/>
  <c r="AO248" i="3"/>
  <c r="AQ248" i="3"/>
  <c r="AS248" i="3"/>
  <c r="AU248" i="3"/>
  <c r="AW248" i="3"/>
  <c r="AY248" i="3"/>
  <c r="C249" i="3"/>
  <c r="E249" i="3"/>
  <c r="G249" i="3"/>
  <c r="I249" i="3"/>
  <c r="K249" i="3"/>
  <c r="M249" i="3"/>
  <c r="O249" i="3"/>
  <c r="Q249" i="3"/>
  <c r="S249" i="3"/>
  <c r="U249" i="3"/>
  <c r="W249" i="3"/>
  <c r="Y249" i="3"/>
  <c r="AA249" i="3"/>
  <c r="AK249" i="3"/>
  <c r="AM249" i="3"/>
  <c r="AO249" i="3"/>
  <c r="AQ249" i="3"/>
  <c r="AS249" i="3"/>
  <c r="AU249" i="3"/>
  <c r="AW249" i="3"/>
  <c r="AY249" i="3"/>
  <c r="C250" i="3"/>
  <c r="E250" i="3"/>
  <c r="G250" i="3"/>
  <c r="I250" i="3"/>
  <c r="K250" i="3"/>
  <c r="M250" i="3"/>
  <c r="O250" i="3"/>
  <c r="Q250" i="3"/>
  <c r="S250" i="3"/>
  <c r="U250" i="3"/>
  <c r="W250" i="3"/>
  <c r="Y250" i="3"/>
  <c r="AA250" i="3"/>
  <c r="AK250" i="3"/>
  <c r="AM250" i="3"/>
  <c r="AO250" i="3"/>
  <c r="AQ250" i="3"/>
  <c r="AS250" i="3"/>
  <c r="AU250" i="3"/>
  <c r="AW250" i="3"/>
  <c r="AY250" i="3"/>
  <c r="C251" i="3"/>
  <c r="E251" i="3"/>
  <c r="G251" i="3"/>
  <c r="I251" i="3"/>
  <c r="K251" i="3"/>
  <c r="M251" i="3"/>
  <c r="O251" i="3"/>
  <c r="Q251" i="3"/>
  <c r="S251" i="3"/>
  <c r="U251" i="3"/>
  <c r="W251" i="3"/>
  <c r="Y251" i="3"/>
  <c r="AA251" i="3"/>
  <c r="AK251" i="3"/>
  <c r="AM251" i="3"/>
  <c r="AO251" i="3"/>
  <c r="AQ251" i="3"/>
  <c r="AS251" i="3"/>
  <c r="AU251" i="3"/>
  <c r="AW251" i="3"/>
  <c r="AY251" i="3"/>
  <c r="C252" i="3"/>
  <c r="E252" i="3"/>
  <c r="G252" i="3"/>
  <c r="I252" i="3"/>
  <c r="K252" i="3"/>
  <c r="M252" i="3"/>
  <c r="O252" i="3"/>
  <c r="Q252" i="3"/>
  <c r="S252" i="3"/>
  <c r="U252" i="3"/>
  <c r="W252" i="3"/>
  <c r="Y252" i="3"/>
  <c r="AA252" i="3"/>
  <c r="AK252" i="3"/>
  <c r="AM252" i="3"/>
  <c r="AO252" i="3"/>
  <c r="AQ252" i="3"/>
  <c r="AS252" i="3"/>
  <c r="AU252" i="3"/>
  <c r="AW252" i="3"/>
  <c r="AY252" i="3"/>
  <c r="C253" i="3"/>
  <c r="E253" i="3"/>
  <c r="G253" i="3"/>
  <c r="I253" i="3"/>
  <c r="K253" i="3"/>
  <c r="M253" i="3"/>
  <c r="O253" i="3"/>
  <c r="Q253" i="3"/>
  <c r="S253" i="3"/>
  <c r="U253" i="3"/>
  <c r="W253" i="3"/>
  <c r="Y253" i="3"/>
  <c r="AA253" i="3"/>
  <c r="AK253" i="3"/>
  <c r="AM253" i="3"/>
  <c r="AO253" i="3"/>
  <c r="AQ253" i="3"/>
  <c r="AS253" i="3"/>
  <c r="AU253" i="3"/>
  <c r="AW253" i="3"/>
  <c r="AY253" i="3"/>
  <c r="C254" i="3"/>
  <c r="E254" i="3"/>
  <c r="G254" i="3"/>
  <c r="I254" i="3"/>
  <c r="K254" i="3"/>
  <c r="M254" i="3"/>
  <c r="O254" i="3"/>
  <c r="Q254" i="3"/>
  <c r="S254" i="3"/>
  <c r="U254" i="3"/>
  <c r="W254" i="3"/>
  <c r="Y254" i="3"/>
  <c r="AA254" i="3"/>
  <c r="AK254" i="3"/>
  <c r="AM254" i="3"/>
  <c r="AO254" i="3"/>
  <c r="AQ254" i="3"/>
  <c r="AS254" i="3"/>
  <c r="AU254" i="3"/>
  <c r="AW254" i="3"/>
  <c r="AY254" i="3"/>
  <c r="C255" i="3"/>
  <c r="E255" i="3"/>
  <c r="G255" i="3"/>
  <c r="I255" i="3"/>
  <c r="K255" i="3"/>
  <c r="M255" i="3"/>
  <c r="O255" i="3"/>
  <c r="Q255" i="3"/>
  <c r="S255" i="3"/>
  <c r="U255" i="3"/>
  <c r="W255" i="3"/>
  <c r="Y255" i="3"/>
  <c r="AA255" i="3"/>
  <c r="AK255" i="3"/>
  <c r="AM255" i="3"/>
  <c r="AO255" i="3"/>
  <c r="AQ255" i="3"/>
  <c r="AS255" i="3"/>
  <c r="AU255" i="3"/>
  <c r="AW255" i="3"/>
  <c r="AY255" i="3"/>
  <c r="C256" i="3"/>
  <c r="E256" i="3"/>
  <c r="G256" i="3"/>
  <c r="I256" i="3"/>
  <c r="K256" i="3"/>
  <c r="M256" i="3"/>
  <c r="O256" i="3"/>
  <c r="Q256" i="3"/>
  <c r="S256" i="3"/>
  <c r="U256" i="3"/>
  <c r="W256" i="3"/>
  <c r="Y256" i="3"/>
  <c r="AA256" i="3"/>
  <c r="AK256" i="3"/>
  <c r="AM256" i="3"/>
  <c r="AO256" i="3"/>
  <c r="AQ256" i="3"/>
  <c r="AS256" i="3"/>
  <c r="AU256" i="3"/>
  <c r="AW256" i="3"/>
  <c r="AY256" i="3"/>
  <c r="C257" i="3"/>
  <c r="E257" i="3"/>
  <c r="G257" i="3"/>
  <c r="I257" i="3"/>
  <c r="K257" i="3"/>
  <c r="M257" i="3"/>
  <c r="O257" i="3"/>
  <c r="Q257" i="3"/>
  <c r="S257" i="3"/>
  <c r="U257" i="3"/>
  <c r="W257" i="3"/>
  <c r="Y257" i="3"/>
  <c r="AA257" i="3"/>
  <c r="AK257" i="3"/>
  <c r="AM257" i="3"/>
  <c r="AO257" i="3"/>
  <c r="AQ257" i="3"/>
  <c r="AS257" i="3"/>
  <c r="AU257" i="3"/>
  <c r="AW257" i="3"/>
  <c r="AY257" i="3"/>
  <c r="C258" i="3"/>
  <c r="E258" i="3"/>
  <c r="G258" i="3"/>
  <c r="I258" i="3"/>
  <c r="K258" i="3"/>
  <c r="M258" i="3"/>
  <c r="O258" i="3"/>
  <c r="Q258" i="3"/>
  <c r="S258" i="3"/>
  <c r="U258" i="3"/>
  <c r="W258" i="3"/>
  <c r="Y258" i="3"/>
  <c r="AA258" i="3"/>
  <c r="AK258" i="3"/>
  <c r="AM258" i="3"/>
  <c r="AO258" i="3"/>
  <c r="AQ258" i="3"/>
  <c r="AS258" i="3"/>
  <c r="AU258" i="3"/>
  <c r="AW258" i="3"/>
  <c r="AY258" i="3"/>
  <c r="C259" i="3"/>
  <c r="E259" i="3"/>
  <c r="G259" i="3"/>
  <c r="I259" i="3"/>
  <c r="K259" i="3"/>
  <c r="M259" i="3"/>
  <c r="O259" i="3"/>
  <c r="Q259" i="3"/>
  <c r="S259" i="3"/>
  <c r="U259" i="3"/>
  <c r="W259" i="3"/>
  <c r="Y259" i="3"/>
  <c r="AA259" i="3"/>
  <c r="AK259" i="3"/>
  <c r="AM259" i="3"/>
  <c r="AO259" i="3"/>
  <c r="AQ259" i="3"/>
  <c r="AS259" i="3"/>
  <c r="AU259" i="3"/>
  <c r="AW259" i="3"/>
  <c r="AY259" i="3"/>
  <c r="C260" i="3"/>
  <c r="E260" i="3"/>
  <c r="G260" i="3"/>
  <c r="I260" i="3"/>
  <c r="K260" i="3"/>
  <c r="M260" i="3"/>
  <c r="O260" i="3"/>
  <c r="Q260" i="3"/>
  <c r="S260" i="3"/>
  <c r="U260" i="3"/>
  <c r="W260" i="3"/>
  <c r="Y260" i="3"/>
  <c r="AA260" i="3"/>
  <c r="AK260" i="3"/>
  <c r="AM260" i="3"/>
  <c r="AO260" i="3"/>
  <c r="AQ260" i="3"/>
  <c r="AS260" i="3"/>
  <c r="AU260" i="3"/>
  <c r="AW260" i="3"/>
  <c r="AY260" i="3"/>
  <c r="C261" i="3"/>
  <c r="E261" i="3"/>
  <c r="G261" i="3"/>
  <c r="I261" i="3"/>
  <c r="K261" i="3"/>
  <c r="M261" i="3"/>
  <c r="O261" i="3"/>
  <c r="Q261" i="3"/>
  <c r="S261" i="3"/>
  <c r="U261" i="3"/>
  <c r="W261" i="3"/>
  <c r="Y261" i="3"/>
  <c r="AA261" i="3"/>
  <c r="AK261" i="3"/>
  <c r="AM261" i="3"/>
  <c r="AO261" i="3"/>
  <c r="AQ261" i="3"/>
  <c r="AS261" i="3"/>
  <c r="AU261" i="3"/>
  <c r="AW261" i="3"/>
  <c r="AY261" i="3"/>
  <c r="C262" i="3"/>
  <c r="E262" i="3"/>
  <c r="G262" i="3"/>
  <c r="I262" i="3"/>
  <c r="K262" i="3"/>
  <c r="M262" i="3"/>
  <c r="O262" i="3"/>
  <c r="Q262" i="3"/>
  <c r="S262" i="3"/>
  <c r="U262" i="3"/>
  <c r="W262" i="3"/>
  <c r="Y262" i="3"/>
  <c r="AA262" i="3"/>
  <c r="AK262" i="3"/>
  <c r="AM262" i="3"/>
  <c r="AO262" i="3"/>
  <c r="AQ262" i="3"/>
  <c r="AS262" i="3"/>
  <c r="AU262" i="3"/>
  <c r="AW262" i="3"/>
  <c r="AY262" i="3"/>
  <c r="C263" i="3"/>
  <c r="E263" i="3"/>
  <c r="G263" i="3"/>
  <c r="I263" i="3"/>
  <c r="K263" i="3"/>
  <c r="M263" i="3"/>
  <c r="O263" i="3"/>
  <c r="Q263" i="3"/>
  <c r="S263" i="3"/>
  <c r="U263" i="3"/>
  <c r="W263" i="3"/>
  <c r="Y263" i="3"/>
  <c r="AA263" i="3"/>
  <c r="AK263" i="3"/>
  <c r="AM263" i="3"/>
  <c r="AO263" i="3"/>
  <c r="AQ263" i="3"/>
  <c r="AS263" i="3"/>
  <c r="AU263" i="3"/>
  <c r="AW263" i="3"/>
  <c r="AY263" i="3"/>
  <c r="C264" i="3"/>
  <c r="E264" i="3"/>
  <c r="G264" i="3"/>
  <c r="I264" i="3"/>
  <c r="K264" i="3"/>
  <c r="M264" i="3"/>
  <c r="O264" i="3"/>
  <c r="Q264" i="3"/>
  <c r="S264" i="3"/>
  <c r="U264" i="3"/>
  <c r="W264" i="3"/>
  <c r="Y264" i="3"/>
  <c r="AA264" i="3"/>
  <c r="AK264" i="3"/>
  <c r="AM264" i="3"/>
  <c r="AO264" i="3"/>
  <c r="AQ264" i="3"/>
  <c r="AS264" i="3"/>
  <c r="AU264" i="3"/>
  <c r="AW264" i="3"/>
  <c r="AY264" i="3"/>
  <c r="C265" i="3"/>
  <c r="E265" i="3"/>
  <c r="G265" i="3"/>
  <c r="I265" i="3"/>
  <c r="K265" i="3"/>
  <c r="M265" i="3"/>
  <c r="O265" i="3"/>
  <c r="Q265" i="3"/>
  <c r="S265" i="3"/>
  <c r="U265" i="3"/>
  <c r="W265" i="3"/>
  <c r="Y265" i="3"/>
  <c r="AA265" i="3"/>
  <c r="AK265" i="3"/>
  <c r="AM265" i="3"/>
  <c r="AO265" i="3"/>
  <c r="AQ265" i="3"/>
  <c r="AS265" i="3"/>
  <c r="AU265" i="3"/>
  <c r="AW265" i="3"/>
  <c r="AY265" i="3"/>
  <c r="C266" i="3"/>
  <c r="E266" i="3"/>
  <c r="G266" i="3"/>
  <c r="I266" i="3"/>
  <c r="K266" i="3"/>
  <c r="M266" i="3"/>
  <c r="O266" i="3"/>
  <c r="Q266" i="3"/>
  <c r="S266" i="3"/>
  <c r="U266" i="3"/>
  <c r="W266" i="3"/>
  <c r="Y266" i="3"/>
  <c r="AA266" i="3"/>
  <c r="AK266" i="3"/>
  <c r="AM266" i="3"/>
  <c r="AO266" i="3"/>
  <c r="AQ266" i="3"/>
  <c r="AS266" i="3"/>
  <c r="AU266" i="3"/>
  <c r="AW266" i="3"/>
  <c r="AY266" i="3"/>
  <c r="C267" i="3"/>
  <c r="E267" i="3"/>
  <c r="G267" i="3"/>
  <c r="I267" i="3"/>
  <c r="K267" i="3"/>
  <c r="M267" i="3"/>
  <c r="O267" i="3"/>
  <c r="Q267" i="3"/>
  <c r="S267" i="3"/>
  <c r="U267" i="3"/>
  <c r="W267" i="3"/>
  <c r="Y267" i="3"/>
  <c r="AA267" i="3"/>
  <c r="AK267" i="3"/>
  <c r="AM267" i="3"/>
  <c r="AO267" i="3"/>
  <c r="AQ267" i="3"/>
  <c r="AS267" i="3"/>
  <c r="AU267" i="3"/>
  <c r="AW267" i="3"/>
  <c r="AY267" i="3"/>
  <c r="C268" i="3"/>
  <c r="E268" i="3"/>
  <c r="G268" i="3"/>
  <c r="I268" i="3"/>
  <c r="K268" i="3"/>
  <c r="M268" i="3"/>
  <c r="O268" i="3"/>
  <c r="Q268" i="3"/>
  <c r="S268" i="3"/>
  <c r="U268" i="3"/>
  <c r="W268" i="3"/>
  <c r="Y268" i="3"/>
  <c r="AA268" i="3"/>
  <c r="AK268" i="3"/>
  <c r="AM268" i="3"/>
  <c r="AO268" i="3"/>
  <c r="AQ268" i="3"/>
  <c r="AS268" i="3"/>
  <c r="AU268" i="3"/>
  <c r="AW268" i="3"/>
  <c r="AY268" i="3"/>
  <c r="C269" i="3"/>
  <c r="E269" i="3"/>
  <c r="G269" i="3"/>
  <c r="I269" i="3"/>
  <c r="K269" i="3"/>
  <c r="M269" i="3"/>
  <c r="O269" i="3"/>
  <c r="Q269" i="3"/>
  <c r="S269" i="3"/>
  <c r="U269" i="3"/>
  <c r="W269" i="3"/>
  <c r="Y269" i="3"/>
  <c r="AA269" i="3"/>
  <c r="AK269" i="3"/>
  <c r="AM269" i="3"/>
  <c r="AO269" i="3"/>
  <c r="AQ269" i="3"/>
  <c r="AS269" i="3"/>
  <c r="AU269" i="3"/>
  <c r="AW269" i="3"/>
  <c r="AY269" i="3"/>
  <c r="C270" i="3"/>
  <c r="E270" i="3"/>
  <c r="G270" i="3"/>
  <c r="I270" i="3"/>
  <c r="K270" i="3"/>
  <c r="M270" i="3"/>
  <c r="O270" i="3"/>
  <c r="Q270" i="3"/>
  <c r="S270" i="3"/>
  <c r="U270" i="3"/>
  <c r="W270" i="3"/>
  <c r="Y270" i="3"/>
  <c r="AA270" i="3"/>
  <c r="AK270" i="3"/>
  <c r="AM270" i="3"/>
  <c r="AO270" i="3"/>
  <c r="AQ270" i="3"/>
  <c r="AS270" i="3"/>
  <c r="AU270" i="3"/>
  <c r="AW270" i="3"/>
  <c r="AY270" i="3"/>
  <c r="C271" i="3"/>
  <c r="E271" i="3"/>
  <c r="G271" i="3"/>
  <c r="I271" i="3"/>
  <c r="K271" i="3"/>
  <c r="M271" i="3"/>
  <c r="O271" i="3"/>
  <c r="Q271" i="3"/>
  <c r="S271" i="3"/>
  <c r="U271" i="3"/>
  <c r="W271" i="3"/>
  <c r="Y271" i="3"/>
  <c r="AA271" i="3"/>
  <c r="AK271" i="3"/>
  <c r="AM271" i="3"/>
  <c r="AO271" i="3"/>
  <c r="AQ271" i="3"/>
  <c r="AS271" i="3"/>
  <c r="AU271" i="3"/>
  <c r="AW271" i="3"/>
  <c r="AY271" i="3"/>
  <c r="C272" i="3"/>
  <c r="E272" i="3"/>
  <c r="G272" i="3"/>
  <c r="I272" i="3"/>
  <c r="K272" i="3"/>
  <c r="M272" i="3"/>
  <c r="O272" i="3"/>
  <c r="Q272" i="3"/>
  <c r="S272" i="3"/>
  <c r="U272" i="3"/>
  <c r="W272" i="3"/>
  <c r="Y272" i="3"/>
  <c r="AA272" i="3"/>
  <c r="AK272" i="3"/>
  <c r="AM272" i="3"/>
  <c r="AO272" i="3"/>
  <c r="AQ272" i="3"/>
  <c r="AS272" i="3"/>
  <c r="AU272" i="3"/>
  <c r="AW272" i="3"/>
  <c r="AY272" i="3"/>
  <c r="C273" i="3"/>
  <c r="E273" i="3"/>
  <c r="G273" i="3"/>
  <c r="I273" i="3"/>
  <c r="K273" i="3"/>
  <c r="M273" i="3"/>
  <c r="O273" i="3"/>
  <c r="Q273" i="3"/>
  <c r="S273" i="3"/>
  <c r="U273" i="3"/>
  <c r="W273" i="3"/>
  <c r="Y273" i="3"/>
  <c r="AA273" i="3"/>
  <c r="AK273" i="3"/>
  <c r="AM273" i="3"/>
  <c r="AO273" i="3"/>
  <c r="AQ273" i="3"/>
  <c r="AS273" i="3"/>
  <c r="AU273" i="3"/>
  <c r="AW273" i="3"/>
  <c r="AY273" i="3"/>
  <c r="C274" i="3"/>
  <c r="E274" i="3"/>
  <c r="G274" i="3"/>
  <c r="I274" i="3"/>
  <c r="K274" i="3"/>
  <c r="M274" i="3"/>
  <c r="O274" i="3"/>
  <c r="Q274" i="3"/>
  <c r="S274" i="3"/>
  <c r="U274" i="3"/>
  <c r="W274" i="3"/>
  <c r="Y274" i="3"/>
  <c r="AA274" i="3"/>
  <c r="AK274" i="3"/>
  <c r="AM274" i="3"/>
  <c r="AO274" i="3"/>
  <c r="AQ274" i="3"/>
  <c r="AS274" i="3"/>
  <c r="AU274" i="3"/>
  <c r="AW274" i="3"/>
  <c r="AY274" i="3"/>
  <c r="C275" i="3"/>
  <c r="E275" i="3"/>
  <c r="G275" i="3"/>
  <c r="I275" i="3"/>
  <c r="K275" i="3"/>
  <c r="M275" i="3"/>
  <c r="O275" i="3"/>
  <c r="Q275" i="3"/>
  <c r="S275" i="3"/>
  <c r="U275" i="3"/>
  <c r="W275" i="3"/>
  <c r="Y275" i="3"/>
  <c r="AA275" i="3"/>
  <c r="AK275" i="3"/>
  <c r="AM275" i="3"/>
  <c r="AO275" i="3"/>
  <c r="AQ275" i="3"/>
  <c r="AS275" i="3"/>
  <c r="AU275" i="3"/>
  <c r="AW275" i="3"/>
  <c r="AY275" i="3"/>
  <c r="C276" i="3"/>
  <c r="E276" i="3"/>
  <c r="G276" i="3"/>
  <c r="I276" i="3"/>
  <c r="K276" i="3"/>
  <c r="M276" i="3"/>
  <c r="O276" i="3"/>
  <c r="Q276" i="3"/>
  <c r="S276" i="3"/>
  <c r="U276" i="3"/>
  <c r="W276" i="3"/>
  <c r="Y276" i="3"/>
  <c r="AA276" i="3"/>
  <c r="AK276" i="3"/>
  <c r="AM276" i="3"/>
  <c r="AO276" i="3"/>
  <c r="AQ276" i="3"/>
  <c r="AS276" i="3"/>
  <c r="AU276" i="3"/>
  <c r="AW276" i="3"/>
  <c r="AY276" i="3"/>
  <c r="C277" i="3"/>
  <c r="E277" i="3"/>
  <c r="G277" i="3"/>
  <c r="I277" i="3"/>
  <c r="K277" i="3"/>
  <c r="M277" i="3"/>
  <c r="O277" i="3"/>
  <c r="Q277" i="3"/>
  <c r="S277" i="3"/>
  <c r="U277" i="3"/>
  <c r="W277" i="3"/>
  <c r="Y277" i="3"/>
  <c r="AA277" i="3"/>
  <c r="AK277" i="3"/>
  <c r="AM277" i="3"/>
  <c r="AO277" i="3"/>
  <c r="AQ277" i="3"/>
  <c r="AS277" i="3"/>
  <c r="AU277" i="3"/>
  <c r="AW277" i="3"/>
  <c r="AY277" i="3"/>
  <c r="C278" i="3"/>
  <c r="E278" i="3"/>
  <c r="G278" i="3"/>
  <c r="I278" i="3"/>
  <c r="K278" i="3"/>
  <c r="M278" i="3"/>
  <c r="O278" i="3"/>
  <c r="Q278" i="3"/>
  <c r="S278" i="3"/>
  <c r="U278" i="3"/>
  <c r="W278" i="3"/>
  <c r="Y278" i="3"/>
  <c r="AA278" i="3"/>
  <c r="AK278" i="3"/>
  <c r="AM278" i="3"/>
  <c r="AO278" i="3"/>
  <c r="AQ278" i="3"/>
  <c r="AS278" i="3"/>
  <c r="AU278" i="3"/>
  <c r="AW278" i="3"/>
  <c r="AY278" i="3"/>
  <c r="C279" i="3"/>
  <c r="E279" i="3"/>
  <c r="G279" i="3"/>
  <c r="I279" i="3"/>
  <c r="K279" i="3"/>
  <c r="M279" i="3"/>
  <c r="O279" i="3"/>
  <c r="Q279" i="3"/>
  <c r="S279" i="3"/>
  <c r="U279" i="3"/>
  <c r="W279" i="3"/>
  <c r="Y279" i="3"/>
  <c r="AA279" i="3"/>
  <c r="AK279" i="3"/>
  <c r="AM279" i="3"/>
  <c r="AO279" i="3"/>
  <c r="AQ279" i="3"/>
  <c r="AS279" i="3"/>
  <c r="AU279" i="3"/>
  <c r="AW279" i="3"/>
  <c r="AY279" i="3"/>
  <c r="C280" i="3"/>
  <c r="E280" i="3"/>
  <c r="G280" i="3"/>
  <c r="I280" i="3"/>
  <c r="K280" i="3"/>
  <c r="M280" i="3"/>
  <c r="O280" i="3"/>
  <c r="Q280" i="3"/>
  <c r="S280" i="3"/>
  <c r="U280" i="3"/>
  <c r="W280" i="3"/>
  <c r="Y280" i="3"/>
  <c r="AA280" i="3"/>
  <c r="AK280" i="3"/>
  <c r="AM280" i="3"/>
  <c r="AO280" i="3"/>
  <c r="AQ280" i="3"/>
  <c r="AS280" i="3"/>
  <c r="AU280" i="3"/>
  <c r="AW280" i="3"/>
  <c r="AY280" i="3"/>
  <c r="C281" i="3"/>
  <c r="E281" i="3"/>
  <c r="G281" i="3"/>
  <c r="I281" i="3"/>
  <c r="K281" i="3"/>
  <c r="M281" i="3"/>
  <c r="O281" i="3"/>
  <c r="Q281" i="3"/>
  <c r="S281" i="3"/>
  <c r="U281" i="3"/>
  <c r="W281" i="3"/>
  <c r="Y281" i="3"/>
  <c r="AA281" i="3"/>
  <c r="AK281" i="3"/>
  <c r="AM281" i="3"/>
  <c r="AO281" i="3"/>
  <c r="AQ281" i="3"/>
  <c r="AS281" i="3"/>
  <c r="AU281" i="3"/>
  <c r="AW281" i="3"/>
  <c r="AY281" i="3"/>
  <c r="C282" i="3"/>
  <c r="E282" i="3"/>
  <c r="G282" i="3"/>
  <c r="I282" i="3"/>
  <c r="K282" i="3"/>
  <c r="M282" i="3"/>
  <c r="O282" i="3"/>
  <c r="Q282" i="3"/>
  <c r="S282" i="3"/>
  <c r="U282" i="3"/>
  <c r="W282" i="3"/>
  <c r="Y282" i="3"/>
  <c r="AA282" i="3"/>
  <c r="AK282" i="3"/>
  <c r="AM282" i="3"/>
  <c r="AO282" i="3"/>
  <c r="AQ282" i="3"/>
  <c r="AS282" i="3"/>
  <c r="AU282" i="3"/>
  <c r="AW282" i="3"/>
  <c r="AY282" i="3"/>
  <c r="C283" i="3"/>
  <c r="E283" i="3"/>
  <c r="G283" i="3"/>
  <c r="I283" i="3"/>
  <c r="K283" i="3"/>
  <c r="M283" i="3"/>
  <c r="O283" i="3"/>
  <c r="Q283" i="3"/>
  <c r="S283" i="3"/>
  <c r="U283" i="3"/>
  <c r="W283" i="3"/>
  <c r="Y283" i="3"/>
  <c r="AA283" i="3"/>
  <c r="AK283" i="3"/>
  <c r="AM283" i="3"/>
  <c r="AO283" i="3"/>
  <c r="AQ283" i="3"/>
  <c r="AS283" i="3"/>
  <c r="AU283" i="3"/>
  <c r="AW283" i="3"/>
  <c r="AY283" i="3"/>
  <c r="C284" i="3"/>
  <c r="E284" i="3"/>
  <c r="G284" i="3"/>
  <c r="I284" i="3"/>
  <c r="K284" i="3"/>
  <c r="M284" i="3"/>
  <c r="O284" i="3"/>
  <c r="Q284" i="3"/>
  <c r="S284" i="3"/>
  <c r="U284" i="3"/>
  <c r="W284" i="3"/>
  <c r="Y284" i="3"/>
  <c r="AA284" i="3"/>
  <c r="AK284" i="3"/>
  <c r="AM284" i="3"/>
  <c r="AO284" i="3"/>
  <c r="AQ284" i="3"/>
  <c r="AS284" i="3"/>
  <c r="AU284" i="3"/>
  <c r="AW284" i="3"/>
  <c r="AY284" i="3"/>
  <c r="C285" i="3"/>
  <c r="E285" i="3"/>
  <c r="G285" i="3"/>
  <c r="I285" i="3"/>
  <c r="K285" i="3"/>
  <c r="M285" i="3"/>
  <c r="O285" i="3"/>
  <c r="Q285" i="3"/>
  <c r="S285" i="3"/>
  <c r="U285" i="3"/>
  <c r="W285" i="3"/>
  <c r="Y285" i="3"/>
  <c r="AA285" i="3"/>
  <c r="AK285" i="3"/>
  <c r="AM285" i="3"/>
  <c r="AO285" i="3"/>
  <c r="AQ285" i="3"/>
  <c r="AS285" i="3"/>
  <c r="AU285" i="3"/>
  <c r="AW285" i="3"/>
  <c r="AY285" i="3"/>
  <c r="C286" i="3"/>
  <c r="E286" i="3"/>
  <c r="G286" i="3"/>
  <c r="I286" i="3"/>
  <c r="K286" i="3"/>
  <c r="M286" i="3"/>
  <c r="O286" i="3"/>
  <c r="Q286" i="3"/>
  <c r="S286" i="3"/>
  <c r="U286" i="3"/>
  <c r="W286" i="3"/>
  <c r="Y286" i="3"/>
  <c r="AA286" i="3"/>
  <c r="AK286" i="3"/>
  <c r="AM286" i="3"/>
  <c r="AO286" i="3"/>
  <c r="AQ286" i="3"/>
  <c r="AS286" i="3"/>
  <c r="AU286" i="3"/>
  <c r="AW286" i="3"/>
  <c r="AY286" i="3"/>
  <c r="C287" i="3"/>
  <c r="E287" i="3"/>
  <c r="G287" i="3"/>
  <c r="I287" i="3"/>
  <c r="K287" i="3"/>
  <c r="M287" i="3"/>
  <c r="O287" i="3"/>
  <c r="Q287" i="3"/>
  <c r="S287" i="3"/>
  <c r="U287" i="3"/>
  <c r="W287" i="3"/>
  <c r="Y287" i="3"/>
  <c r="AA287" i="3"/>
  <c r="AK287" i="3"/>
  <c r="AM287" i="3"/>
  <c r="AO287" i="3"/>
  <c r="AQ287" i="3"/>
  <c r="AS287" i="3"/>
  <c r="AU287" i="3"/>
  <c r="AW287" i="3"/>
  <c r="AY287" i="3"/>
  <c r="C288" i="3"/>
  <c r="E288" i="3"/>
  <c r="G288" i="3"/>
  <c r="I288" i="3"/>
  <c r="K288" i="3"/>
  <c r="M288" i="3"/>
  <c r="O288" i="3"/>
  <c r="Q288" i="3"/>
  <c r="S288" i="3"/>
  <c r="U288" i="3"/>
  <c r="W288" i="3"/>
  <c r="Y288" i="3"/>
  <c r="AA288" i="3"/>
  <c r="AK288" i="3"/>
  <c r="AM288" i="3"/>
  <c r="AO288" i="3"/>
  <c r="AQ288" i="3"/>
  <c r="AS288" i="3"/>
  <c r="AU288" i="3"/>
  <c r="AW288" i="3"/>
  <c r="AY288" i="3"/>
  <c r="C289" i="3"/>
  <c r="E289" i="3"/>
  <c r="G289" i="3"/>
  <c r="I289" i="3"/>
  <c r="K289" i="3"/>
  <c r="M289" i="3"/>
  <c r="O289" i="3"/>
  <c r="Q289" i="3"/>
  <c r="S289" i="3"/>
  <c r="U289" i="3"/>
  <c r="W289" i="3"/>
  <c r="Y289" i="3"/>
  <c r="AA289" i="3"/>
  <c r="AK289" i="3"/>
  <c r="AM289" i="3"/>
  <c r="AO289" i="3"/>
  <c r="AQ289" i="3"/>
  <c r="AS289" i="3"/>
  <c r="AU289" i="3"/>
  <c r="AW289" i="3"/>
  <c r="AY289" i="3"/>
  <c r="C290" i="3"/>
  <c r="E290" i="3"/>
  <c r="G290" i="3"/>
  <c r="I290" i="3"/>
  <c r="K290" i="3"/>
  <c r="M290" i="3"/>
  <c r="O290" i="3"/>
  <c r="Q290" i="3"/>
  <c r="S290" i="3"/>
  <c r="U290" i="3"/>
  <c r="W290" i="3"/>
  <c r="Y290" i="3"/>
  <c r="AA290" i="3"/>
  <c r="AK290" i="3"/>
  <c r="AM290" i="3"/>
  <c r="AO290" i="3"/>
  <c r="AQ290" i="3"/>
  <c r="AS290" i="3"/>
  <c r="AU290" i="3"/>
  <c r="AW290" i="3"/>
  <c r="AY290" i="3"/>
  <c r="C291" i="3"/>
  <c r="E291" i="3"/>
  <c r="G291" i="3"/>
  <c r="I291" i="3"/>
  <c r="K291" i="3"/>
  <c r="M291" i="3"/>
  <c r="O291" i="3"/>
  <c r="Q291" i="3"/>
  <c r="S291" i="3"/>
  <c r="U291" i="3"/>
  <c r="W291" i="3"/>
  <c r="Y291" i="3"/>
  <c r="AA291" i="3"/>
  <c r="AK291" i="3"/>
  <c r="AM291" i="3"/>
  <c r="AO291" i="3"/>
  <c r="AQ291" i="3"/>
  <c r="AS291" i="3"/>
  <c r="AU291" i="3"/>
  <c r="AW291" i="3"/>
  <c r="AY291" i="3"/>
  <c r="C292" i="3"/>
  <c r="E292" i="3"/>
  <c r="G292" i="3"/>
  <c r="I292" i="3"/>
  <c r="K292" i="3"/>
  <c r="M292" i="3"/>
  <c r="O292" i="3"/>
  <c r="Q292" i="3"/>
  <c r="S292" i="3"/>
  <c r="U292" i="3"/>
  <c r="W292" i="3"/>
  <c r="Y292" i="3"/>
  <c r="AA292" i="3"/>
  <c r="AK292" i="3"/>
  <c r="AM292" i="3"/>
  <c r="AO292" i="3"/>
  <c r="AQ292" i="3"/>
  <c r="AS292" i="3"/>
  <c r="AU292" i="3"/>
  <c r="AW292" i="3"/>
  <c r="AY292" i="3"/>
  <c r="C293" i="3"/>
  <c r="E293" i="3"/>
  <c r="G293" i="3"/>
  <c r="I293" i="3"/>
  <c r="K293" i="3"/>
  <c r="M293" i="3"/>
  <c r="O293" i="3"/>
  <c r="Q293" i="3"/>
  <c r="S293" i="3"/>
  <c r="U293" i="3"/>
  <c r="W293" i="3"/>
  <c r="Y293" i="3"/>
  <c r="AA293" i="3"/>
  <c r="AK293" i="3"/>
  <c r="AM293" i="3"/>
  <c r="AO293" i="3"/>
  <c r="AQ293" i="3"/>
  <c r="AS293" i="3"/>
  <c r="AU293" i="3"/>
  <c r="AW293" i="3"/>
  <c r="AY293" i="3"/>
  <c r="C294" i="3"/>
  <c r="E294" i="3"/>
  <c r="G294" i="3"/>
  <c r="I294" i="3"/>
  <c r="K294" i="3"/>
  <c r="M294" i="3"/>
  <c r="O294" i="3"/>
  <c r="Q294" i="3"/>
  <c r="S294" i="3"/>
  <c r="U294" i="3"/>
  <c r="W294" i="3"/>
  <c r="Y294" i="3"/>
  <c r="AA294" i="3"/>
  <c r="AK294" i="3"/>
  <c r="AM294" i="3"/>
  <c r="AO294" i="3"/>
  <c r="AQ294" i="3"/>
  <c r="AS294" i="3"/>
  <c r="AU294" i="3"/>
  <c r="AW294" i="3"/>
  <c r="AY294" i="3"/>
  <c r="C295" i="3"/>
  <c r="E295" i="3"/>
  <c r="G295" i="3"/>
  <c r="I295" i="3"/>
  <c r="K295" i="3"/>
  <c r="M295" i="3"/>
  <c r="O295" i="3"/>
  <c r="Q295" i="3"/>
  <c r="S295" i="3"/>
  <c r="U295" i="3"/>
  <c r="W295" i="3"/>
  <c r="Y295" i="3"/>
  <c r="AA295" i="3"/>
  <c r="AK295" i="3"/>
  <c r="AM295" i="3"/>
  <c r="AO295" i="3"/>
  <c r="AQ295" i="3"/>
  <c r="AS295" i="3"/>
  <c r="AU295" i="3"/>
  <c r="AW295" i="3"/>
  <c r="AY295" i="3"/>
  <c r="C296" i="3"/>
  <c r="E296" i="3"/>
  <c r="G296" i="3"/>
  <c r="I296" i="3"/>
  <c r="K296" i="3"/>
  <c r="M296" i="3"/>
  <c r="O296" i="3"/>
  <c r="Q296" i="3"/>
  <c r="S296" i="3"/>
  <c r="U296" i="3"/>
  <c r="W296" i="3"/>
  <c r="Y296" i="3"/>
  <c r="AA296" i="3"/>
  <c r="AK296" i="3"/>
  <c r="AM296" i="3"/>
  <c r="AO296" i="3"/>
  <c r="AQ296" i="3"/>
  <c r="AS296" i="3"/>
  <c r="AU296" i="3"/>
  <c r="AW296" i="3"/>
  <c r="AY296" i="3"/>
  <c r="C297" i="3"/>
  <c r="E297" i="3"/>
  <c r="G297" i="3"/>
  <c r="I297" i="3"/>
  <c r="K297" i="3"/>
  <c r="M297" i="3"/>
  <c r="O297" i="3"/>
  <c r="Q297" i="3"/>
  <c r="S297" i="3"/>
  <c r="U297" i="3"/>
  <c r="W297" i="3"/>
  <c r="Y297" i="3"/>
  <c r="AA297" i="3"/>
  <c r="AK297" i="3"/>
  <c r="AM297" i="3"/>
  <c r="AO297" i="3"/>
  <c r="AQ297" i="3"/>
  <c r="AS297" i="3"/>
  <c r="AU297" i="3"/>
  <c r="AW297" i="3"/>
  <c r="AY297" i="3"/>
  <c r="C298" i="3"/>
  <c r="E298" i="3"/>
  <c r="G298" i="3"/>
  <c r="I298" i="3"/>
  <c r="K298" i="3"/>
  <c r="M298" i="3"/>
  <c r="O298" i="3"/>
  <c r="Q298" i="3"/>
  <c r="S298" i="3"/>
  <c r="U298" i="3"/>
  <c r="W298" i="3"/>
  <c r="Y298" i="3"/>
  <c r="AA298" i="3"/>
  <c r="AK298" i="3"/>
  <c r="AM298" i="3"/>
  <c r="AO298" i="3"/>
  <c r="AQ298" i="3"/>
  <c r="AS298" i="3"/>
  <c r="AU298" i="3"/>
  <c r="AW298" i="3"/>
  <c r="AY298" i="3"/>
  <c r="C299" i="3"/>
  <c r="E299" i="3"/>
  <c r="G299" i="3"/>
  <c r="I299" i="3"/>
  <c r="K299" i="3"/>
  <c r="M299" i="3"/>
  <c r="O299" i="3"/>
  <c r="Q299" i="3"/>
  <c r="S299" i="3"/>
  <c r="U299" i="3"/>
  <c r="W299" i="3"/>
  <c r="Y299" i="3"/>
  <c r="AA299" i="3"/>
  <c r="AK299" i="3"/>
  <c r="AM299" i="3"/>
  <c r="AO299" i="3"/>
  <c r="AQ299" i="3"/>
  <c r="AS299" i="3"/>
  <c r="AU299" i="3"/>
  <c r="AW299" i="3"/>
  <c r="AY299" i="3"/>
  <c r="C300" i="3"/>
  <c r="E300" i="3"/>
  <c r="G300" i="3"/>
  <c r="I300" i="3"/>
  <c r="K300" i="3"/>
  <c r="M300" i="3"/>
  <c r="O300" i="3"/>
  <c r="Q300" i="3"/>
  <c r="S300" i="3"/>
  <c r="U300" i="3"/>
  <c r="W300" i="3"/>
  <c r="Y300" i="3"/>
  <c r="AA300" i="3"/>
  <c r="AK300" i="3"/>
  <c r="AM300" i="3"/>
  <c r="AO300" i="3"/>
  <c r="AQ300" i="3"/>
  <c r="AS300" i="3"/>
  <c r="AU300" i="3"/>
  <c r="AW300" i="3"/>
  <c r="AY300" i="3"/>
  <c r="C301" i="3"/>
  <c r="E301" i="3"/>
  <c r="G301" i="3"/>
  <c r="I301" i="3"/>
  <c r="K301" i="3"/>
  <c r="M301" i="3"/>
  <c r="O301" i="3"/>
  <c r="Q301" i="3"/>
  <c r="S301" i="3"/>
  <c r="U301" i="3"/>
  <c r="W301" i="3"/>
  <c r="Y301" i="3"/>
  <c r="AA301" i="3"/>
  <c r="AK301" i="3"/>
  <c r="AM301" i="3"/>
  <c r="AO301" i="3"/>
  <c r="AQ301" i="3"/>
  <c r="AS301" i="3"/>
  <c r="AU301" i="3"/>
  <c r="AW301" i="3"/>
  <c r="AY301" i="3"/>
  <c r="C302" i="3"/>
  <c r="E302" i="3"/>
  <c r="G302" i="3"/>
  <c r="I302" i="3"/>
  <c r="K302" i="3"/>
  <c r="M302" i="3"/>
  <c r="O302" i="3"/>
  <c r="Q302" i="3"/>
  <c r="S302" i="3"/>
  <c r="U302" i="3"/>
  <c r="W302" i="3"/>
  <c r="Y302" i="3"/>
  <c r="AA302" i="3"/>
  <c r="AK302" i="3"/>
  <c r="AM302" i="3"/>
  <c r="AO302" i="3"/>
  <c r="AQ302" i="3"/>
  <c r="AS302" i="3"/>
  <c r="AU302" i="3"/>
  <c r="AW302" i="3"/>
  <c r="AY302" i="3"/>
  <c r="C303" i="3"/>
  <c r="E303" i="3"/>
  <c r="G303" i="3"/>
  <c r="I303" i="3"/>
  <c r="K303" i="3"/>
  <c r="M303" i="3"/>
  <c r="O303" i="3"/>
  <c r="Q303" i="3"/>
  <c r="S303" i="3"/>
  <c r="U303" i="3"/>
  <c r="W303" i="3"/>
  <c r="Y303" i="3"/>
  <c r="AA303" i="3"/>
  <c r="AK303" i="3"/>
  <c r="AM303" i="3"/>
  <c r="AO303" i="3"/>
  <c r="AQ303" i="3"/>
  <c r="AS303" i="3"/>
  <c r="AU303" i="3"/>
  <c r="AW303" i="3"/>
  <c r="AY303" i="3"/>
  <c r="C304" i="3"/>
  <c r="E304" i="3"/>
  <c r="G304" i="3"/>
  <c r="I304" i="3"/>
  <c r="K304" i="3"/>
  <c r="M304" i="3"/>
  <c r="O304" i="3"/>
  <c r="Q304" i="3"/>
  <c r="S304" i="3"/>
  <c r="U304" i="3"/>
  <c r="W304" i="3"/>
  <c r="Y304" i="3"/>
  <c r="AA304" i="3"/>
  <c r="AK304" i="3"/>
  <c r="AM304" i="3"/>
  <c r="AO304" i="3"/>
  <c r="AQ304" i="3"/>
  <c r="AS304" i="3"/>
  <c r="AU304" i="3"/>
  <c r="AW304" i="3"/>
  <c r="AY304" i="3"/>
  <c r="C305" i="3"/>
  <c r="E305" i="3"/>
  <c r="G305" i="3"/>
  <c r="I305" i="3"/>
  <c r="K305" i="3"/>
  <c r="M305" i="3"/>
  <c r="O305" i="3"/>
  <c r="Q305" i="3"/>
  <c r="S305" i="3"/>
  <c r="U305" i="3"/>
  <c r="W305" i="3"/>
  <c r="Y305" i="3"/>
  <c r="AA305" i="3"/>
  <c r="AK305" i="3"/>
  <c r="AM305" i="3"/>
  <c r="AO305" i="3"/>
  <c r="AQ305" i="3"/>
  <c r="AS305" i="3"/>
  <c r="AU305" i="3"/>
  <c r="AW305" i="3"/>
  <c r="AY305" i="3"/>
  <c r="C306" i="3"/>
  <c r="E306" i="3"/>
  <c r="G306" i="3"/>
  <c r="I306" i="3"/>
  <c r="K306" i="3"/>
  <c r="M306" i="3"/>
  <c r="O306" i="3"/>
  <c r="Q306" i="3"/>
  <c r="S306" i="3"/>
  <c r="U306" i="3"/>
  <c r="W306" i="3"/>
  <c r="Y306" i="3"/>
  <c r="AA306" i="3"/>
  <c r="AK306" i="3"/>
  <c r="AM306" i="3"/>
  <c r="AO306" i="3"/>
  <c r="AQ306" i="3"/>
  <c r="AS306" i="3"/>
  <c r="AU306" i="3"/>
  <c r="AW306" i="3"/>
  <c r="AY306" i="3"/>
  <c r="C307" i="3"/>
  <c r="E307" i="3"/>
  <c r="G307" i="3"/>
  <c r="I307" i="3"/>
  <c r="K307" i="3"/>
  <c r="M307" i="3"/>
  <c r="O307" i="3"/>
  <c r="Q307" i="3"/>
  <c r="S307" i="3"/>
  <c r="U307" i="3"/>
  <c r="W307" i="3"/>
  <c r="Y307" i="3"/>
  <c r="AA307" i="3"/>
  <c r="AK307" i="3"/>
  <c r="AM307" i="3"/>
  <c r="AO307" i="3"/>
  <c r="AQ307" i="3"/>
  <c r="AS307" i="3"/>
  <c r="AU307" i="3"/>
  <c r="AW307" i="3"/>
  <c r="AY307" i="3"/>
  <c r="C308" i="3"/>
  <c r="E308" i="3"/>
  <c r="G308" i="3"/>
  <c r="I308" i="3"/>
  <c r="K308" i="3"/>
  <c r="M308" i="3"/>
  <c r="O308" i="3"/>
  <c r="Q308" i="3"/>
  <c r="S308" i="3"/>
  <c r="U308" i="3"/>
  <c r="W308" i="3"/>
  <c r="Y308" i="3"/>
  <c r="AA308" i="3"/>
  <c r="AK308" i="3"/>
  <c r="AM308" i="3"/>
  <c r="AO308" i="3"/>
  <c r="AQ308" i="3"/>
  <c r="AS308" i="3"/>
  <c r="AU308" i="3"/>
  <c r="AW308" i="3"/>
  <c r="AY308" i="3"/>
  <c r="C309" i="3"/>
  <c r="E309" i="3"/>
  <c r="G309" i="3"/>
  <c r="I309" i="3"/>
  <c r="K309" i="3"/>
  <c r="M309" i="3"/>
  <c r="O309" i="3"/>
  <c r="Q309" i="3"/>
  <c r="S309" i="3"/>
  <c r="U309" i="3"/>
  <c r="W309" i="3"/>
  <c r="Y309" i="3"/>
  <c r="AA309" i="3"/>
  <c r="AK309" i="3"/>
  <c r="AM309" i="3"/>
  <c r="AO309" i="3"/>
  <c r="AQ309" i="3"/>
  <c r="AS309" i="3"/>
  <c r="AU309" i="3"/>
  <c r="AW309" i="3"/>
  <c r="AY309" i="3"/>
  <c r="C310" i="3"/>
  <c r="E310" i="3"/>
  <c r="G310" i="3"/>
  <c r="I310" i="3"/>
  <c r="K310" i="3"/>
  <c r="M310" i="3"/>
  <c r="O310" i="3"/>
  <c r="Q310" i="3"/>
  <c r="S310" i="3"/>
  <c r="U310" i="3"/>
  <c r="W310" i="3"/>
  <c r="Y310" i="3"/>
  <c r="AA310" i="3"/>
  <c r="AK310" i="3"/>
  <c r="AM310" i="3"/>
  <c r="AO310" i="3"/>
  <c r="AQ310" i="3"/>
  <c r="AS310" i="3"/>
  <c r="AU310" i="3"/>
  <c r="AW310" i="3"/>
  <c r="AY310" i="3"/>
  <c r="C311" i="3"/>
  <c r="E311" i="3"/>
  <c r="G311" i="3"/>
  <c r="I311" i="3"/>
  <c r="K311" i="3"/>
  <c r="M311" i="3"/>
  <c r="O311" i="3"/>
  <c r="Q311" i="3"/>
  <c r="S311" i="3"/>
  <c r="U311" i="3"/>
  <c r="W311" i="3"/>
  <c r="Y311" i="3"/>
  <c r="AA311" i="3"/>
  <c r="AK311" i="3"/>
  <c r="AM311" i="3"/>
  <c r="AO311" i="3"/>
  <c r="AQ311" i="3"/>
  <c r="AS311" i="3"/>
  <c r="AU311" i="3"/>
  <c r="AW311" i="3"/>
  <c r="AY311" i="3"/>
  <c r="C312" i="3"/>
  <c r="E312" i="3"/>
  <c r="G312" i="3"/>
  <c r="I312" i="3"/>
  <c r="K312" i="3"/>
  <c r="M312" i="3"/>
  <c r="O312" i="3"/>
  <c r="Q312" i="3"/>
  <c r="S312" i="3"/>
  <c r="U312" i="3"/>
  <c r="W312" i="3"/>
  <c r="Y312" i="3"/>
  <c r="AA312" i="3"/>
  <c r="AK312" i="3"/>
  <c r="AM312" i="3"/>
  <c r="AO312" i="3"/>
  <c r="AQ312" i="3"/>
  <c r="AS312" i="3"/>
  <c r="AU312" i="3"/>
  <c r="AW312" i="3"/>
  <c r="AY312" i="3"/>
  <c r="C313" i="3"/>
  <c r="E313" i="3"/>
  <c r="G313" i="3"/>
  <c r="I313" i="3"/>
  <c r="K313" i="3"/>
  <c r="M313" i="3"/>
  <c r="O313" i="3"/>
  <c r="Q313" i="3"/>
  <c r="S313" i="3"/>
  <c r="U313" i="3"/>
  <c r="W313" i="3"/>
  <c r="Y313" i="3"/>
  <c r="AA313" i="3"/>
  <c r="AK313" i="3"/>
  <c r="AM313" i="3"/>
  <c r="AO313" i="3"/>
  <c r="AQ313" i="3"/>
  <c r="AS313" i="3"/>
  <c r="AU313" i="3"/>
  <c r="AW313" i="3"/>
  <c r="AY313" i="3"/>
  <c r="C314" i="3"/>
  <c r="E314" i="3"/>
  <c r="G314" i="3"/>
  <c r="I314" i="3"/>
  <c r="K314" i="3"/>
  <c r="M314" i="3"/>
  <c r="O314" i="3"/>
  <c r="Q314" i="3"/>
  <c r="S314" i="3"/>
  <c r="U314" i="3"/>
  <c r="W314" i="3"/>
  <c r="Y314" i="3"/>
  <c r="AA314" i="3"/>
  <c r="AK314" i="3"/>
  <c r="AM314" i="3"/>
  <c r="AO314" i="3"/>
  <c r="AQ314" i="3"/>
  <c r="AS314" i="3"/>
  <c r="AU314" i="3"/>
  <c r="AW314" i="3"/>
  <c r="AY314" i="3"/>
  <c r="C315" i="3"/>
  <c r="E315" i="3"/>
  <c r="G315" i="3"/>
  <c r="I315" i="3"/>
  <c r="K315" i="3"/>
  <c r="M315" i="3"/>
  <c r="O315" i="3"/>
  <c r="Q315" i="3"/>
  <c r="S315" i="3"/>
  <c r="U315" i="3"/>
  <c r="W315" i="3"/>
  <c r="Y315" i="3"/>
  <c r="AA315" i="3"/>
  <c r="AK315" i="3"/>
  <c r="AM315" i="3"/>
  <c r="AO315" i="3"/>
  <c r="AQ315" i="3"/>
  <c r="AS315" i="3"/>
  <c r="AU315" i="3"/>
  <c r="AW315" i="3"/>
  <c r="AY315" i="3"/>
  <c r="C316" i="3"/>
  <c r="E316" i="3"/>
  <c r="G316" i="3"/>
  <c r="I316" i="3"/>
  <c r="K316" i="3"/>
  <c r="M316" i="3"/>
  <c r="O316" i="3"/>
  <c r="Q316" i="3"/>
  <c r="S316" i="3"/>
  <c r="U316" i="3"/>
  <c r="W316" i="3"/>
  <c r="Y316" i="3"/>
  <c r="AA316" i="3"/>
  <c r="AK316" i="3"/>
  <c r="AM316" i="3"/>
  <c r="AO316" i="3"/>
  <c r="AQ316" i="3"/>
  <c r="AS316" i="3"/>
  <c r="AU316" i="3"/>
  <c r="AW316" i="3"/>
  <c r="AY316" i="3"/>
  <c r="C317" i="3"/>
  <c r="E317" i="3"/>
  <c r="G317" i="3"/>
  <c r="I317" i="3"/>
  <c r="K317" i="3"/>
  <c r="M317" i="3"/>
  <c r="O317" i="3"/>
  <c r="Q317" i="3"/>
  <c r="S317" i="3"/>
  <c r="U317" i="3"/>
  <c r="W317" i="3"/>
  <c r="Y317" i="3"/>
  <c r="AA317" i="3"/>
  <c r="AK317" i="3"/>
  <c r="AM317" i="3"/>
  <c r="AO317" i="3"/>
  <c r="AQ317" i="3"/>
  <c r="AS317" i="3"/>
  <c r="AU317" i="3"/>
  <c r="AW317" i="3"/>
  <c r="AY317" i="3"/>
  <c r="C318" i="3"/>
  <c r="E318" i="3"/>
  <c r="G318" i="3"/>
  <c r="I318" i="3"/>
  <c r="K318" i="3"/>
  <c r="M318" i="3"/>
  <c r="O318" i="3"/>
  <c r="Q318" i="3"/>
  <c r="S318" i="3"/>
  <c r="U318" i="3"/>
  <c r="W318" i="3"/>
  <c r="Y318" i="3"/>
  <c r="AA318" i="3"/>
  <c r="AK318" i="3"/>
  <c r="AM318" i="3"/>
  <c r="AO318" i="3"/>
  <c r="AQ318" i="3"/>
  <c r="AS318" i="3"/>
  <c r="AU318" i="3"/>
  <c r="AW318" i="3"/>
  <c r="AY318" i="3"/>
  <c r="C319" i="3"/>
  <c r="E319" i="3"/>
  <c r="G319" i="3"/>
  <c r="I319" i="3"/>
  <c r="K319" i="3"/>
  <c r="M319" i="3"/>
  <c r="O319" i="3"/>
  <c r="Q319" i="3"/>
  <c r="S319" i="3"/>
  <c r="U319" i="3"/>
  <c r="W319" i="3"/>
  <c r="Y319" i="3"/>
  <c r="AA319" i="3"/>
  <c r="AK319" i="3"/>
  <c r="AM319" i="3"/>
  <c r="AO319" i="3"/>
  <c r="AQ319" i="3"/>
  <c r="AS319" i="3"/>
  <c r="AU319" i="3"/>
  <c r="AW319" i="3"/>
  <c r="AY319" i="3"/>
  <c r="C320" i="3"/>
  <c r="E320" i="3"/>
  <c r="G320" i="3"/>
  <c r="I320" i="3"/>
  <c r="K320" i="3"/>
  <c r="M320" i="3"/>
  <c r="O320" i="3"/>
  <c r="Q320" i="3"/>
  <c r="S320" i="3"/>
  <c r="U320" i="3"/>
  <c r="W320" i="3"/>
  <c r="Y320" i="3"/>
  <c r="AA320" i="3"/>
  <c r="AK320" i="3"/>
  <c r="AM320" i="3"/>
  <c r="AO320" i="3"/>
  <c r="AQ320" i="3"/>
  <c r="AS320" i="3"/>
  <c r="AU320" i="3"/>
  <c r="AW320" i="3"/>
  <c r="AY320" i="3"/>
  <c r="C321" i="3"/>
  <c r="E321" i="3"/>
  <c r="G321" i="3"/>
  <c r="I321" i="3"/>
  <c r="K321" i="3"/>
  <c r="M321" i="3"/>
  <c r="O321" i="3"/>
  <c r="Q321" i="3"/>
  <c r="S321" i="3"/>
  <c r="U321" i="3"/>
  <c r="W321" i="3"/>
  <c r="Y321" i="3"/>
  <c r="AA321" i="3"/>
  <c r="AK321" i="3"/>
  <c r="AM321" i="3"/>
  <c r="AO321" i="3"/>
  <c r="AQ321" i="3"/>
  <c r="AS321" i="3"/>
  <c r="AU321" i="3"/>
  <c r="AW321" i="3"/>
  <c r="AY321" i="3"/>
  <c r="C322" i="3"/>
  <c r="E322" i="3"/>
  <c r="G322" i="3"/>
  <c r="I322" i="3"/>
  <c r="K322" i="3"/>
  <c r="M322" i="3"/>
  <c r="O322" i="3"/>
  <c r="Q322" i="3"/>
  <c r="S322" i="3"/>
  <c r="U322" i="3"/>
  <c r="W322" i="3"/>
  <c r="Y322" i="3"/>
  <c r="AA322" i="3"/>
  <c r="AK322" i="3"/>
  <c r="AM322" i="3"/>
  <c r="AO322" i="3"/>
  <c r="AQ322" i="3"/>
  <c r="AS322" i="3"/>
  <c r="AU322" i="3"/>
  <c r="AW322" i="3"/>
  <c r="AY322" i="3"/>
  <c r="C323" i="3"/>
  <c r="E323" i="3"/>
  <c r="G323" i="3"/>
  <c r="I323" i="3"/>
  <c r="K323" i="3"/>
  <c r="M323" i="3"/>
  <c r="O323" i="3"/>
  <c r="Q323" i="3"/>
  <c r="S323" i="3"/>
  <c r="U323" i="3"/>
  <c r="W323" i="3"/>
  <c r="Y323" i="3"/>
  <c r="AA323" i="3"/>
  <c r="AK323" i="3"/>
  <c r="AM323" i="3"/>
  <c r="AO323" i="3"/>
  <c r="AQ323" i="3"/>
  <c r="AS323" i="3"/>
  <c r="AU323" i="3"/>
  <c r="AW323" i="3"/>
  <c r="AY323" i="3"/>
  <c r="C324" i="3"/>
  <c r="E324" i="3"/>
  <c r="G324" i="3"/>
  <c r="I324" i="3"/>
  <c r="K324" i="3"/>
  <c r="M324" i="3"/>
  <c r="O324" i="3"/>
  <c r="Q324" i="3"/>
  <c r="S324" i="3"/>
  <c r="U324" i="3"/>
  <c r="W324" i="3"/>
  <c r="Y324" i="3"/>
  <c r="AA324" i="3"/>
  <c r="AK324" i="3"/>
  <c r="AM324" i="3"/>
  <c r="AO324" i="3"/>
  <c r="AQ324" i="3"/>
  <c r="AS324" i="3"/>
  <c r="AU324" i="3"/>
  <c r="AW324" i="3"/>
  <c r="AY324" i="3"/>
  <c r="C325" i="3"/>
  <c r="E325" i="3"/>
  <c r="G325" i="3"/>
  <c r="I325" i="3"/>
  <c r="K325" i="3"/>
  <c r="M325" i="3"/>
  <c r="O325" i="3"/>
  <c r="Q325" i="3"/>
  <c r="S325" i="3"/>
  <c r="U325" i="3"/>
  <c r="W325" i="3"/>
  <c r="Y325" i="3"/>
  <c r="AA325" i="3"/>
  <c r="AK325" i="3"/>
  <c r="AM325" i="3"/>
  <c r="AO325" i="3"/>
  <c r="AQ325" i="3"/>
  <c r="AS325" i="3"/>
  <c r="AU325" i="3"/>
  <c r="AW325" i="3"/>
  <c r="AY325" i="3"/>
  <c r="C326" i="3"/>
  <c r="E326" i="3"/>
  <c r="G326" i="3"/>
  <c r="I326" i="3"/>
  <c r="K326" i="3"/>
  <c r="M326" i="3"/>
  <c r="O326" i="3"/>
  <c r="Q326" i="3"/>
  <c r="S326" i="3"/>
  <c r="U326" i="3"/>
  <c r="W326" i="3"/>
  <c r="Y326" i="3"/>
  <c r="AA326" i="3"/>
  <c r="AK326" i="3"/>
  <c r="AM326" i="3"/>
  <c r="AO326" i="3"/>
  <c r="AQ326" i="3"/>
  <c r="AS326" i="3"/>
  <c r="AU326" i="3"/>
  <c r="AW326" i="3"/>
  <c r="AY326" i="3"/>
  <c r="C327" i="3"/>
  <c r="E327" i="3"/>
  <c r="G327" i="3"/>
  <c r="I327" i="3"/>
  <c r="K327" i="3"/>
  <c r="M327" i="3"/>
  <c r="O327" i="3"/>
  <c r="Q327" i="3"/>
  <c r="S327" i="3"/>
  <c r="U327" i="3"/>
  <c r="W327" i="3"/>
  <c r="Y327" i="3"/>
  <c r="AA327" i="3"/>
  <c r="AK327" i="3"/>
  <c r="AM327" i="3"/>
  <c r="AO327" i="3"/>
  <c r="AQ327" i="3"/>
  <c r="AS327" i="3"/>
  <c r="AU327" i="3"/>
  <c r="AW327" i="3"/>
  <c r="AY327" i="3"/>
  <c r="C328" i="3"/>
  <c r="E328" i="3"/>
  <c r="G328" i="3"/>
  <c r="I328" i="3"/>
  <c r="K328" i="3"/>
  <c r="M328" i="3"/>
  <c r="O328" i="3"/>
  <c r="Q328" i="3"/>
  <c r="S328" i="3"/>
  <c r="U328" i="3"/>
  <c r="W328" i="3"/>
  <c r="Y328" i="3"/>
  <c r="AA328" i="3"/>
  <c r="AK328" i="3"/>
  <c r="AM328" i="3"/>
  <c r="AO328" i="3"/>
  <c r="AQ328" i="3"/>
  <c r="AS328" i="3"/>
  <c r="AU328" i="3"/>
  <c r="AW328" i="3"/>
  <c r="AY328" i="3"/>
  <c r="C329" i="3"/>
  <c r="E329" i="3"/>
  <c r="G329" i="3"/>
  <c r="I329" i="3"/>
  <c r="K329" i="3"/>
  <c r="M329" i="3"/>
  <c r="O329" i="3"/>
  <c r="Q329" i="3"/>
  <c r="S329" i="3"/>
  <c r="U329" i="3"/>
  <c r="W329" i="3"/>
  <c r="Y329" i="3"/>
  <c r="AA329" i="3"/>
  <c r="AK329" i="3"/>
  <c r="AM329" i="3"/>
  <c r="AO329" i="3"/>
  <c r="AQ329" i="3"/>
  <c r="AS329" i="3"/>
  <c r="AU329" i="3"/>
  <c r="AW329" i="3"/>
  <c r="AY329" i="3"/>
  <c r="C330" i="3"/>
  <c r="E330" i="3"/>
  <c r="G330" i="3"/>
  <c r="I330" i="3"/>
  <c r="K330" i="3"/>
  <c r="M330" i="3"/>
  <c r="O330" i="3"/>
  <c r="Q330" i="3"/>
  <c r="S330" i="3"/>
  <c r="U330" i="3"/>
  <c r="W330" i="3"/>
  <c r="Y330" i="3"/>
  <c r="AA330" i="3"/>
  <c r="AK330" i="3"/>
  <c r="AM330" i="3"/>
  <c r="AO330" i="3"/>
  <c r="AQ330" i="3"/>
  <c r="AS330" i="3"/>
  <c r="AU330" i="3"/>
  <c r="AW330" i="3"/>
  <c r="AY330" i="3"/>
  <c r="C331" i="3"/>
  <c r="E331" i="3"/>
  <c r="G331" i="3"/>
  <c r="I331" i="3"/>
  <c r="K331" i="3"/>
  <c r="M331" i="3"/>
  <c r="O331" i="3"/>
  <c r="Q331" i="3"/>
  <c r="S331" i="3"/>
  <c r="U331" i="3"/>
  <c r="W331" i="3"/>
  <c r="Y331" i="3"/>
  <c r="AA331" i="3"/>
  <c r="AK331" i="3"/>
  <c r="AM331" i="3"/>
  <c r="AO331" i="3"/>
  <c r="AQ331" i="3"/>
  <c r="AS331" i="3"/>
  <c r="AU331" i="3"/>
  <c r="AW331" i="3"/>
  <c r="AY331" i="3"/>
  <c r="C332" i="3"/>
  <c r="E332" i="3"/>
  <c r="G332" i="3"/>
  <c r="I332" i="3"/>
  <c r="K332" i="3"/>
  <c r="M332" i="3"/>
  <c r="O332" i="3"/>
  <c r="Q332" i="3"/>
  <c r="S332" i="3"/>
  <c r="U332" i="3"/>
  <c r="W332" i="3"/>
  <c r="Y332" i="3"/>
  <c r="AA332" i="3"/>
  <c r="AK332" i="3"/>
  <c r="AM332" i="3"/>
  <c r="AO332" i="3"/>
  <c r="AQ332" i="3"/>
  <c r="AS332" i="3"/>
  <c r="AU332" i="3"/>
  <c r="AW332" i="3"/>
  <c r="AY332" i="3"/>
  <c r="C333" i="3"/>
  <c r="E333" i="3"/>
  <c r="G333" i="3"/>
  <c r="I333" i="3"/>
  <c r="K333" i="3"/>
  <c r="M333" i="3"/>
  <c r="O333" i="3"/>
  <c r="Q333" i="3"/>
  <c r="S333" i="3"/>
  <c r="U333" i="3"/>
  <c r="W333" i="3"/>
  <c r="Y333" i="3"/>
  <c r="AA333" i="3"/>
  <c r="AK333" i="3"/>
  <c r="AM333" i="3"/>
  <c r="AO333" i="3"/>
  <c r="AQ333" i="3"/>
  <c r="AS333" i="3"/>
  <c r="AU333" i="3"/>
  <c r="AW333" i="3"/>
  <c r="AY333" i="3"/>
  <c r="C334" i="3"/>
  <c r="E334" i="3"/>
  <c r="G334" i="3"/>
  <c r="I334" i="3"/>
  <c r="K334" i="3"/>
  <c r="M334" i="3"/>
  <c r="O334" i="3"/>
  <c r="Q334" i="3"/>
  <c r="S334" i="3"/>
  <c r="U334" i="3"/>
  <c r="W334" i="3"/>
  <c r="Y334" i="3"/>
  <c r="AA334" i="3"/>
  <c r="AK334" i="3"/>
  <c r="AM334" i="3"/>
  <c r="AO334" i="3"/>
  <c r="AQ334" i="3"/>
  <c r="AS334" i="3"/>
  <c r="AU334" i="3"/>
  <c r="AW334" i="3"/>
  <c r="AY334" i="3"/>
  <c r="C335" i="3"/>
  <c r="E335" i="3"/>
  <c r="G335" i="3"/>
  <c r="I335" i="3"/>
  <c r="K335" i="3"/>
  <c r="M335" i="3"/>
  <c r="O335" i="3"/>
  <c r="Q335" i="3"/>
  <c r="S335" i="3"/>
  <c r="U335" i="3"/>
  <c r="W335" i="3"/>
  <c r="Y335" i="3"/>
  <c r="AA335" i="3"/>
  <c r="AK335" i="3"/>
  <c r="AM335" i="3"/>
  <c r="AO335" i="3"/>
  <c r="AQ335" i="3"/>
  <c r="AS335" i="3"/>
  <c r="AU335" i="3"/>
  <c r="AW335" i="3"/>
  <c r="AY335" i="3"/>
  <c r="C336" i="3"/>
  <c r="E336" i="3"/>
  <c r="G336" i="3"/>
  <c r="I336" i="3"/>
  <c r="K336" i="3"/>
  <c r="M336" i="3"/>
  <c r="O336" i="3"/>
  <c r="Q336" i="3"/>
  <c r="S336" i="3"/>
  <c r="U336" i="3"/>
  <c r="W336" i="3"/>
  <c r="Y336" i="3"/>
  <c r="AA336" i="3"/>
  <c r="AK336" i="3"/>
  <c r="AM336" i="3"/>
  <c r="AO336" i="3"/>
  <c r="AQ336" i="3"/>
  <c r="AS336" i="3"/>
  <c r="AU336" i="3"/>
  <c r="AW336" i="3"/>
  <c r="AY336" i="3"/>
  <c r="C337" i="3"/>
  <c r="E337" i="3"/>
  <c r="G337" i="3"/>
  <c r="I337" i="3"/>
  <c r="K337" i="3"/>
  <c r="M337" i="3"/>
  <c r="O337" i="3"/>
  <c r="Q337" i="3"/>
  <c r="S337" i="3"/>
  <c r="U337" i="3"/>
  <c r="W337" i="3"/>
  <c r="Y337" i="3"/>
  <c r="AA337" i="3"/>
  <c r="AK337" i="3"/>
  <c r="AM337" i="3"/>
  <c r="AO337" i="3"/>
  <c r="AQ337" i="3"/>
  <c r="AS337" i="3"/>
  <c r="AU337" i="3"/>
  <c r="AW337" i="3"/>
  <c r="AY337" i="3"/>
  <c r="C338" i="3"/>
  <c r="E338" i="3"/>
  <c r="G338" i="3"/>
  <c r="I338" i="3"/>
  <c r="K338" i="3"/>
  <c r="M338" i="3"/>
  <c r="O338" i="3"/>
  <c r="Q338" i="3"/>
  <c r="S338" i="3"/>
  <c r="U338" i="3"/>
  <c r="W338" i="3"/>
  <c r="Y338" i="3"/>
  <c r="AA338" i="3"/>
  <c r="AK338" i="3"/>
  <c r="AM338" i="3"/>
  <c r="AO338" i="3"/>
  <c r="AQ338" i="3"/>
  <c r="AS338" i="3"/>
  <c r="AU338" i="3"/>
  <c r="AW338" i="3"/>
  <c r="AY338" i="3"/>
  <c r="C339" i="3"/>
  <c r="E339" i="3"/>
  <c r="G339" i="3"/>
  <c r="I339" i="3"/>
  <c r="K339" i="3"/>
  <c r="M339" i="3"/>
  <c r="O339" i="3"/>
  <c r="Q339" i="3"/>
  <c r="S339" i="3"/>
  <c r="U339" i="3"/>
  <c r="W339" i="3"/>
  <c r="Y339" i="3"/>
  <c r="AA339" i="3"/>
  <c r="AK339" i="3"/>
  <c r="AM339" i="3"/>
  <c r="AO339" i="3"/>
  <c r="AQ339" i="3"/>
  <c r="AS339" i="3"/>
  <c r="AU339" i="3"/>
  <c r="AW339" i="3"/>
  <c r="AY339" i="3"/>
  <c r="C340" i="3"/>
  <c r="E340" i="3"/>
  <c r="G340" i="3"/>
  <c r="I340" i="3"/>
  <c r="K340" i="3"/>
  <c r="M340" i="3"/>
  <c r="O340" i="3"/>
  <c r="Q340" i="3"/>
  <c r="S340" i="3"/>
  <c r="U340" i="3"/>
  <c r="W340" i="3"/>
  <c r="Y340" i="3"/>
  <c r="AA340" i="3"/>
  <c r="AK340" i="3"/>
  <c r="AM340" i="3"/>
  <c r="AO340" i="3"/>
  <c r="AQ340" i="3"/>
  <c r="AS340" i="3"/>
  <c r="AU340" i="3"/>
  <c r="AW340" i="3"/>
  <c r="AY340" i="3"/>
  <c r="C341" i="3"/>
  <c r="E341" i="3"/>
  <c r="G341" i="3"/>
  <c r="I341" i="3"/>
  <c r="K341" i="3"/>
  <c r="M341" i="3"/>
  <c r="O341" i="3"/>
  <c r="Q341" i="3"/>
  <c r="S341" i="3"/>
  <c r="U341" i="3"/>
  <c r="W341" i="3"/>
  <c r="Y341" i="3"/>
  <c r="AA341" i="3"/>
  <c r="AK341" i="3"/>
  <c r="AM341" i="3"/>
  <c r="AO341" i="3"/>
  <c r="AQ341" i="3"/>
  <c r="AS341" i="3"/>
  <c r="AU341" i="3"/>
  <c r="AW341" i="3"/>
  <c r="AY341" i="3"/>
  <c r="C342" i="3"/>
  <c r="E342" i="3"/>
  <c r="G342" i="3"/>
  <c r="I342" i="3"/>
  <c r="K342" i="3"/>
  <c r="M342" i="3"/>
  <c r="O342" i="3"/>
  <c r="Q342" i="3"/>
  <c r="S342" i="3"/>
  <c r="U342" i="3"/>
  <c r="W342" i="3"/>
  <c r="Y342" i="3"/>
  <c r="AA342" i="3"/>
  <c r="AK342" i="3"/>
  <c r="AM342" i="3"/>
  <c r="AO342" i="3"/>
  <c r="AQ342" i="3"/>
  <c r="AS342" i="3"/>
  <c r="AU342" i="3"/>
  <c r="AW342" i="3"/>
  <c r="AY342" i="3"/>
  <c r="C343" i="3"/>
  <c r="E343" i="3"/>
  <c r="G343" i="3"/>
  <c r="I343" i="3"/>
  <c r="K343" i="3"/>
  <c r="M343" i="3"/>
  <c r="O343" i="3"/>
  <c r="Q343" i="3"/>
  <c r="S343" i="3"/>
  <c r="U343" i="3"/>
  <c r="W343" i="3"/>
  <c r="Y343" i="3"/>
  <c r="AA343" i="3"/>
  <c r="AK343" i="3"/>
  <c r="AM343" i="3"/>
  <c r="AO343" i="3"/>
  <c r="AQ343" i="3"/>
  <c r="AS343" i="3"/>
  <c r="AU343" i="3"/>
  <c r="AW343" i="3"/>
  <c r="AY343" i="3"/>
  <c r="C344" i="3"/>
  <c r="E344" i="3"/>
  <c r="G344" i="3"/>
  <c r="I344" i="3"/>
  <c r="K344" i="3"/>
  <c r="M344" i="3"/>
  <c r="O344" i="3"/>
  <c r="Q344" i="3"/>
  <c r="S344" i="3"/>
  <c r="U344" i="3"/>
  <c r="W344" i="3"/>
  <c r="Y344" i="3"/>
  <c r="AA344" i="3"/>
  <c r="AK344" i="3"/>
  <c r="AM344" i="3"/>
  <c r="AO344" i="3"/>
  <c r="AQ344" i="3"/>
  <c r="AS344" i="3"/>
  <c r="AU344" i="3"/>
  <c r="AW344" i="3"/>
  <c r="AY344" i="3"/>
  <c r="C345" i="3"/>
  <c r="E345" i="3"/>
  <c r="G345" i="3"/>
  <c r="I345" i="3"/>
  <c r="K345" i="3"/>
  <c r="M345" i="3"/>
  <c r="O345" i="3"/>
  <c r="Q345" i="3"/>
  <c r="S345" i="3"/>
  <c r="U345" i="3"/>
  <c r="W345" i="3"/>
  <c r="Y345" i="3"/>
  <c r="AA345" i="3"/>
  <c r="AK345" i="3"/>
  <c r="AM345" i="3"/>
  <c r="AO345" i="3"/>
  <c r="AQ345" i="3"/>
  <c r="AS345" i="3"/>
  <c r="AU345" i="3"/>
  <c r="AW345" i="3"/>
  <c r="AY345" i="3"/>
  <c r="C346" i="3"/>
  <c r="E346" i="3"/>
  <c r="G346" i="3"/>
  <c r="I346" i="3"/>
  <c r="K346" i="3"/>
  <c r="M346" i="3"/>
  <c r="O346" i="3"/>
  <c r="Q346" i="3"/>
  <c r="S346" i="3"/>
  <c r="U346" i="3"/>
  <c r="W346" i="3"/>
  <c r="Y346" i="3"/>
  <c r="AA346" i="3"/>
  <c r="AK346" i="3"/>
  <c r="AM346" i="3"/>
  <c r="AO346" i="3"/>
  <c r="AQ346" i="3"/>
  <c r="AS346" i="3"/>
  <c r="AU346" i="3"/>
  <c r="AW346" i="3"/>
  <c r="AY346" i="3"/>
  <c r="C347" i="3"/>
  <c r="E347" i="3"/>
  <c r="G347" i="3"/>
  <c r="I347" i="3"/>
  <c r="K347" i="3"/>
  <c r="M347" i="3"/>
  <c r="O347" i="3"/>
  <c r="Q347" i="3"/>
  <c r="S347" i="3"/>
  <c r="U347" i="3"/>
  <c r="W347" i="3"/>
  <c r="Y347" i="3"/>
  <c r="AA347" i="3"/>
  <c r="AK347" i="3"/>
  <c r="AM347" i="3"/>
  <c r="AO347" i="3"/>
  <c r="AQ347" i="3"/>
  <c r="AS347" i="3"/>
  <c r="AU347" i="3"/>
  <c r="AW347" i="3"/>
  <c r="AY347" i="3"/>
  <c r="C348" i="3"/>
  <c r="E348" i="3"/>
  <c r="G348" i="3"/>
  <c r="I348" i="3"/>
  <c r="K348" i="3"/>
  <c r="M348" i="3"/>
  <c r="O348" i="3"/>
  <c r="Q348" i="3"/>
  <c r="S348" i="3"/>
  <c r="U348" i="3"/>
  <c r="W348" i="3"/>
  <c r="Y348" i="3"/>
  <c r="AA348" i="3"/>
  <c r="AK348" i="3"/>
  <c r="AM348" i="3"/>
  <c r="AO348" i="3"/>
  <c r="AQ348" i="3"/>
  <c r="AS348" i="3"/>
  <c r="AU348" i="3"/>
  <c r="AW348" i="3"/>
  <c r="AY348" i="3"/>
  <c r="C349" i="3"/>
  <c r="E349" i="3"/>
  <c r="G349" i="3"/>
  <c r="I349" i="3"/>
  <c r="K349" i="3"/>
  <c r="M349" i="3"/>
  <c r="O349" i="3"/>
  <c r="Q349" i="3"/>
  <c r="S349" i="3"/>
  <c r="U349" i="3"/>
  <c r="W349" i="3"/>
  <c r="Y349" i="3"/>
  <c r="AA349" i="3"/>
  <c r="AK349" i="3"/>
  <c r="AM349" i="3"/>
  <c r="AO349" i="3"/>
  <c r="AQ349" i="3"/>
  <c r="AS349" i="3"/>
  <c r="AU349" i="3"/>
  <c r="AW349" i="3"/>
  <c r="AY349" i="3"/>
  <c r="C350" i="3"/>
  <c r="E350" i="3"/>
  <c r="G350" i="3"/>
  <c r="I350" i="3"/>
  <c r="K350" i="3"/>
  <c r="M350" i="3"/>
  <c r="O350" i="3"/>
  <c r="Q350" i="3"/>
  <c r="S350" i="3"/>
  <c r="U350" i="3"/>
  <c r="W350" i="3"/>
  <c r="Y350" i="3"/>
  <c r="AA350" i="3"/>
  <c r="AK350" i="3"/>
  <c r="AM350" i="3"/>
  <c r="AO350" i="3"/>
  <c r="AQ350" i="3"/>
  <c r="AS350" i="3"/>
  <c r="AU350" i="3"/>
  <c r="AW350" i="3"/>
  <c r="AY350" i="3"/>
  <c r="C351" i="3"/>
  <c r="E351" i="3"/>
  <c r="G351" i="3"/>
  <c r="I351" i="3"/>
  <c r="K351" i="3"/>
  <c r="M351" i="3"/>
  <c r="O351" i="3"/>
  <c r="Q351" i="3"/>
  <c r="S351" i="3"/>
  <c r="U351" i="3"/>
  <c r="W351" i="3"/>
  <c r="Y351" i="3"/>
  <c r="AA351" i="3"/>
  <c r="AK351" i="3"/>
  <c r="AM351" i="3"/>
  <c r="AO351" i="3"/>
  <c r="AQ351" i="3"/>
  <c r="AS351" i="3"/>
  <c r="AU351" i="3"/>
  <c r="AW351" i="3"/>
  <c r="AY351" i="3"/>
  <c r="C352" i="3"/>
  <c r="E352" i="3"/>
  <c r="G352" i="3"/>
  <c r="I352" i="3"/>
  <c r="K352" i="3"/>
  <c r="M352" i="3"/>
  <c r="O352" i="3"/>
  <c r="Q352" i="3"/>
  <c r="S352" i="3"/>
  <c r="U352" i="3"/>
  <c r="W352" i="3"/>
  <c r="Y352" i="3"/>
  <c r="AA352" i="3"/>
  <c r="AK352" i="3"/>
  <c r="AM352" i="3"/>
  <c r="AO352" i="3"/>
  <c r="AQ352" i="3"/>
  <c r="AS352" i="3"/>
  <c r="AU352" i="3"/>
  <c r="AW352" i="3"/>
  <c r="AY352" i="3"/>
  <c r="C353" i="3"/>
  <c r="E353" i="3"/>
  <c r="G353" i="3"/>
  <c r="I353" i="3"/>
  <c r="K353" i="3"/>
  <c r="M353" i="3"/>
  <c r="O353" i="3"/>
  <c r="Q353" i="3"/>
  <c r="S353" i="3"/>
  <c r="U353" i="3"/>
  <c r="W353" i="3"/>
  <c r="Y353" i="3"/>
  <c r="AA353" i="3"/>
  <c r="AK353" i="3"/>
  <c r="AM353" i="3"/>
  <c r="AO353" i="3"/>
  <c r="AQ353" i="3"/>
  <c r="AS353" i="3"/>
  <c r="AU353" i="3"/>
  <c r="AW353" i="3"/>
  <c r="AY353" i="3"/>
  <c r="C354" i="3"/>
  <c r="E354" i="3"/>
  <c r="G354" i="3"/>
  <c r="I354" i="3"/>
  <c r="K354" i="3"/>
  <c r="M354" i="3"/>
  <c r="O354" i="3"/>
  <c r="Q354" i="3"/>
  <c r="S354" i="3"/>
  <c r="U354" i="3"/>
  <c r="W354" i="3"/>
  <c r="Y354" i="3"/>
  <c r="AA354" i="3"/>
  <c r="AK354" i="3"/>
  <c r="AM354" i="3"/>
  <c r="AO354" i="3"/>
  <c r="AQ354" i="3"/>
  <c r="AS354" i="3"/>
  <c r="AU354" i="3"/>
  <c r="AW354" i="3"/>
  <c r="AY354" i="3"/>
  <c r="C355" i="3"/>
  <c r="E355" i="3"/>
  <c r="G355" i="3"/>
  <c r="I355" i="3"/>
  <c r="K355" i="3"/>
  <c r="M355" i="3"/>
  <c r="O355" i="3"/>
  <c r="Q355" i="3"/>
  <c r="S355" i="3"/>
  <c r="U355" i="3"/>
  <c r="W355" i="3"/>
  <c r="Y355" i="3"/>
  <c r="AA355" i="3"/>
  <c r="AK355" i="3"/>
  <c r="AM355" i="3"/>
  <c r="AO355" i="3"/>
  <c r="AQ355" i="3"/>
  <c r="AS355" i="3"/>
  <c r="AU355" i="3"/>
  <c r="AW355" i="3"/>
  <c r="AY355" i="3"/>
  <c r="C356" i="3"/>
  <c r="E356" i="3"/>
  <c r="G356" i="3"/>
  <c r="I356" i="3"/>
  <c r="K356" i="3"/>
  <c r="M356" i="3"/>
  <c r="O356" i="3"/>
  <c r="Q356" i="3"/>
  <c r="S356" i="3"/>
  <c r="U356" i="3"/>
  <c r="W356" i="3"/>
  <c r="Y356" i="3"/>
  <c r="AA356" i="3"/>
  <c r="AK356" i="3"/>
  <c r="AM356" i="3"/>
  <c r="AO356" i="3"/>
  <c r="AQ356" i="3"/>
  <c r="AS356" i="3"/>
  <c r="AU356" i="3"/>
  <c r="AW356" i="3"/>
  <c r="AY356" i="3"/>
  <c r="C357" i="3"/>
  <c r="E357" i="3"/>
  <c r="G357" i="3"/>
  <c r="I357" i="3"/>
  <c r="K357" i="3"/>
  <c r="M357" i="3"/>
  <c r="O357" i="3"/>
  <c r="Q357" i="3"/>
  <c r="S357" i="3"/>
  <c r="U357" i="3"/>
  <c r="W357" i="3"/>
  <c r="Y357" i="3"/>
  <c r="AA357" i="3"/>
  <c r="AK357" i="3"/>
  <c r="AM357" i="3"/>
  <c r="AO357" i="3"/>
  <c r="AQ357" i="3"/>
  <c r="AS357" i="3"/>
  <c r="AU357" i="3"/>
  <c r="AW357" i="3"/>
  <c r="AY357" i="3"/>
  <c r="C358" i="3"/>
  <c r="E358" i="3"/>
  <c r="G358" i="3"/>
  <c r="I358" i="3"/>
  <c r="K358" i="3"/>
  <c r="M358" i="3"/>
  <c r="O358" i="3"/>
  <c r="Q358" i="3"/>
  <c r="S358" i="3"/>
  <c r="U358" i="3"/>
  <c r="W358" i="3"/>
  <c r="Y358" i="3"/>
  <c r="AA358" i="3"/>
  <c r="AK358" i="3"/>
  <c r="AM358" i="3"/>
  <c r="AO358" i="3"/>
  <c r="AQ358" i="3"/>
  <c r="AS358" i="3"/>
  <c r="AU358" i="3"/>
  <c r="AW358" i="3"/>
  <c r="AY358" i="3"/>
  <c r="C359" i="3"/>
  <c r="E359" i="3"/>
  <c r="G359" i="3"/>
  <c r="I359" i="3"/>
  <c r="K359" i="3"/>
  <c r="M359" i="3"/>
  <c r="O359" i="3"/>
  <c r="Q359" i="3"/>
  <c r="S359" i="3"/>
  <c r="U359" i="3"/>
  <c r="W359" i="3"/>
  <c r="Y359" i="3"/>
  <c r="AA359" i="3"/>
  <c r="AK359" i="3"/>
  <c r="AM359" i="3"/>
  <c r="AO359" i="3"/>
  <c r="AQ359" i="3"/>
  <c r="AS359" i="3"/>
  <c r="AU359" i="3"/>
  <c r="AW359" i="3"/>
  <c r="AY359" i="3"/>
  <c r="C360" i="3"/>
  <c r="E360" i="3"/>
  <c r="G360" i="3"/>
  <c r="I360" i="3"/>
  <c r="K360" i="3"/>
  <c r="M360" i="3"/>
  <c r="O360" i="3"/>
  <c r="Q360" i="3"/>
  <c r="S360" i="3"/>
  <c r="U360" i="3"/>
  <c r="W360" i="3"/>
  <c r="Y360" i="3"/>
  <c r="AA360" i="3"/>
  <c r="AK360" i="3"/>
  <c r="AM360" i="3"/>
  <c r="AO360" i="3"/>
  <c r="AQ360" i="3"/>
  <c r="AS360" i="3"/>
  <c r="AU360" i="3"/>
  <c r="AW360" i="3"/>
  <c r="AY360" i="3"/>
  <c r="C361" i="3"/>
  <c r="E361" i="3"/>
  <c r="G361" i="3"/>
  <c r="I361" i="3"/>
  <c r="K361" i="3"/>
  <c r="M361" i="3"/>
  <c r="O361" i="3"/>
  <c r="Q361" i="3"/>
  <c r="S361" i="3"/>
  <c r="U361" i="3"/>
  <c r="W361" i="3"/>
  <c r="Y361" i="3"/>
  <c r="AA361" i="3"/>
  <c r="AK361" i="3"/>
  <c r="AM361" i="3"/>
  <c r="AO361" i="3"/>
  <c r="AQ361" i="3"/>
  <c r="AS361" i="3"/>
  <c r="AU361" i="3"/>
  <c r="AW361" i="3"/>
  <c r="AY361" i="3"/>
  <c r="C362" i="3"/>
  <c r="E362" i="3"/>
  <c r="G362" i="3"/>
  <c r="I362" i="3"/>
  <c r="K362" i="3"/>
  <c r="M362" i="3"/>
  <c r="O362" i="3"/>
  <c r="Q362" i="3"/>
  <c r="S362" i="3"/>
  <c r="U362" i="3"/>
  <c r="W362" i="3"/>
  <c r="Y362" i="3"/>
  <c r="AA362" i="3"/>
  <c r="AK362" i="3"/>
  <c r="AM362" i="3"/>
  <c r="AO362" i="3"/>
  <c r="AQ362" i="3"/>
  <c r="AS362" i="3"/>
  <c r="AU362" i="3"/>
  <c r="AW362" i="3"/>
  <c r="AY362" i="3"/>
  <c r="C363" i="3"/>
  <c r="E363" i="3"/>
  <c r="G363" i="3"/>
  <c r="I363" i="3"/>
  <c r="K363" i="3"/>
  <c r="M363" i="3"/>
  <c r="O363" i="3"/>
  <c r="Q363" i="3"/>
  <c r="S363" i="3"/>
  <c r="U363" i="3"/>
  <c r="W363" i="3"/>
  <c r="Y363" i="3"/>
  <c r="AA363" i="3"/>
  <c r="AK363" i="3"/>
  <c r="AM363" i="3"/>
  <c r="AO363" i="3"/>
  <c r="AQ363" i="3"/>
  <c r="AS363" i="3"/>
  <c r="AU363" i="3"/>
  <c r="AW363" i="3"/>
  <c r="AY363" i="3"/>
  <c r="C364" i="3"/>
  <c r="E364" i="3"/>
  <c r="G364" i="3"/>
  <c r="I364" i="3"/>
  <c r="K364" i="3"/>
  <c r="M364" i="3"/>
  <c r="O364" i="3"/>
  <c r="Q364" i="3"/>
  <c r="S364" i="3"/>
  <c r="U364" i="3"/>
  <c r="W364" i="3"/>
  <c r="Y364" i="3"/>
  <c r="AA364" i="3"/>
  <c r="AK364" i="3"/>
  <c r="AM364" i="3"/>
  <c r="AO364" i="3"/>
  <c r="AQ364" i="3"/>
  <c r="AS364" i="3"/>
  <c r="AU364" i="3"/>
  <c r="AW364" i="3"/>
  <c r="AY364" i="3"/>
  <c r="C365" i="3"/>
  <c r="E365" i="3"/>
  <c r="G365" i="3"/>
  <c r="I365" i="3"/>
  <c r="K365" i="3"/>
  <c r="M365" i="3"/>
  <c r="O365" i="3"/>
  <c r="Q365" i="3"/>
  <c r="S365" i="3"/>
  <c r="U365" i="3"/>
  <c r="W365" i="3"/>
  <c r="Y365" i="3"/>
  <c r="AA365" i="3"/>
  <c r="AK365" i="3"/>
  <c r="AM365" i="3"/>
  <c r="AO365" i="3"/>
  <c r="AQ365" i="3"/>
  <c r="AS365" i="3"/>
  <c r="AU365" i="3"/>
  <c r="AW365" i="3"/>
  <c r="AY365" i="3"/>
  <c r="C366" i="3"/>
  <c r="E366" i="3"/>
  <c r="G366" i="3"/>
  <c r="I366" i="3"/>
  <c r="K366" i="3"/>
  <c r="M366" i="3"/>
  <c r="O366" i="3"/>
  <c r="Q366" i="3"/>
  <c r="S366" i="3"/>
  <c r="U366" i="3"/>
  <c r="W366" i="3"/>
  <c r="Y366" i="3"/>
  <c r="AA366" i="3"/>
  <c r="AK366" i="3"/>
  <c r="AM366" i="3"/>
  <c r="AO366" i="3"/>
  <c r="AQ366" i="3"/>
  <c r="AS366" i="3"/>
  <c r="AU366" i="3"/>
  <c r="AW366" i="3"/>
  <c r="AY366" i="3"/>
  <c r="C367" i="3"/>
  <c r="E367" i="3"/>
  <c r="G367" i="3"/>
  <c r="I367" i="3"/>
  <c r="K367" i="3"/>
  <c r="M367" i="3"/>
  <c r="O367" i="3"/>
  <c r="Q367" i="3"/>
  <c r="S367" i="3"/>
  <c r="U367" i="3"/>
  <c r="W367" i="3"/>
  <c r="Y367" i="3"/>
  <c r="AA367" i="3"/>
  <c r="AK367" i="3"/>
  <c r="AM367" i="3"/>
  <c r="AO367" i="3"/>
  <c r="AQ367" i="3"/>
  <c r="AS367" i="3"/>
  <c r="AU367" i="3"/>
  <c r="AW367" i="3"/>
  <c r="AY367" i="3"/>
  <c r="C368" i="3"/>
  <c r="E368" i="3"/>
  <c r="G368" i="3"/>
  <c r="I368" i="3"/>
  <c r="K368" i="3"/>
  <c r="M368" i="3"/>
  <c r="O368" i="3"/>
  <c r="Q368" i="3"/>
  <c r="S368" i="3"/>
  <c r="U368" i="3"/>
  <c r="W368" i="3"/>
  <c r="Y368" i="3"/>
  <c r="AA368" i="3"/>
  <c r="AK368" i="3"/>
  <c r="AM368" i="3"/>
  <c r="AO368" i="3"/>
  <c r="AQ368" i="3"/>
  <c r="AS368" i="3"/>
  <c r="AU368" i="3"/>
  <c r="AW368" i="3"/>
  <c r="AY368" i="3"/>
  <c r="C369" i="3"/>
  <c r="E369" i="3"/>
  <c r="G369" i="3"/>
  <c r="I369" i="3"/>
  <c r="K369" i="3"/>
  <c r="M369" i="3"/>
  <c r="O369" i="3"/>
  <c r="Q369" i="3"/>
  <c r="S369" i="3"/>
  <c r="U369" i="3"/>
  <c r="W369" i="3"/>
  <c r="Y369" i="3"/>
  <c r="AA369" i="3"/>
  <c r="AK369" i="3"/>
  <c r="AM369" i="3"/>
  <c r="AO369" i="3"/>
  <c r="AQ369" i="3"/>
  <c r="AS369" i="3"/>
  <c r="AU369" i="3"/>
  <c r="AW369" i="3"/>
  <c r="AY369" i="3"/>
  <c r="C370" i="3"/>
  <c r="E370" i="3"/>
  <c r="G370" i="3"/>
  <c r="I370" i="3"/>
  <c r="K370" i="3"/>
  <c r="M370" i="3"/>
  <c r="O370" i="3"/>
  <c r="Q370" i="3"/>
  <c r="S370" i="3"/>
  <c r="U370" i="3"/>
  <c r="W370" i="3"/>
  <c r="Y370" i="3"/>
  <c r="AA370" i="3"/>
  <c r="AK370" i="3"/>
  <c r="AM370" i="3"/>
  <c r="AO370" i="3"/>
  <c r="AQ370" i="3"/>
  <c r="AS370" i="3"/>
  <c r="AU370" i="3"/>
  <c r="AW370" i="3"/>
  <c r="AY370" i="3"/>
  <c r="C371" i="3"/>
  <c r="E371" i="3"/>
  <c r="G371" i="3"/>
  <c r="I371" i="3"/>
  <c r="K371" i="3"/>
  <c r="M371" i="3"/>
  <c r="O371" i="3"/>
  <c r="Q371" i="3"/>
  <c r="S371" i="3"/>
  <c r="U371" i="3"/>
  <c r="W371" i="3"/>
  <c r="Y371" i="3"/>
  <c r="AA371" i="3"/>
  <c r="AK371" i="3"/>
  <c r="AM371" i="3"/>
  <c r="AO371" i="3"/>
  <c r="AQ371" i="3"/>
  <c r="AS371" i="3"/>
  <c r="AU371" i="3"/>
  <c r="AW371" i="3"/>
  <c r="AY371" i="3"/>
  <c r="C372" i="3"/>
  <c r="E372" i="3"/>
  <c r="G372" i="3"/>
  <c r="I372" i="3"/>
  <c r="K372" i="3"/>
  <c r="M372" i="3"/>
  <c r="O372" i="3"/>
  <c r="Q372" i="3"/>
  <c r="S372" i="3"/>
  <c r="U372" i="3"/>
  <c r="W372" i="3"/>
  <c r="Y372" i="3"/>
  <c r="AA372" i="3"/>
  <c r="AK372" i="3"/>
  <c r="AM372" i="3"/>
  <c r="AO372" i="3"/>
  <c r="AQ372" i="3"/>
  <c r="AS372" i="3"/>
  <c r="AU372" i="3"/>
  <c r="AW372" i="3"/>
  <c r="AY372" i="3"/>
  <c r="C373" i="3"/>
  <c r="E373" i="3"/>
  <c r="G373" i="3"/>
  <c r="I373" i="3"/>
  <c r="K373" i="3"/>
  <c r="M373" i="3"/>
  <c r="O373" i="3"/>
  <c r="Q373" i="3"/>
  <c r="S373" i="3"/>
  <c r="U373" i="3"/>
  <c r="W373" i="3"/>
  <c r="Y373" i="3"/>
  <c r="AA373" i="3"/>
  <c r="AK373" i="3"/>
  <c r="AM373" i="3"/>
  <c r="AO373" i="3"/>
  <c r="AQ373" i="3"/>
  <c r="AS373" i="3"/>
  <c r="AU373" i="3"/>
  <c r="AW373" i="3"/>
  <c r="AY373" i="3"/>
  <c r="C374" i="3"/>
  <c r="E374" i="3"/>
  <c r="G374" i="3"/>
  <c r="I374" i="3"/>
  <c r="K374" i="3"/>
  <c r="M374" i="3"/>
  <c r="O374" i="3"/>
  <c r="Q374" i="3"/>
  <c r="S374" i="3"/>
  <c r="U374" i="3"/>
  <c r="W374" i="3"/>
  <c r="Y374" i="3"/>
  <c r="AA374" i="3"/>
  <c r="AK374" i="3"/>
  <c r="AM374" i="3"/>
  <c r="AO374" i="3"/>
  <c r="AQ374" i="3"/>
  <c r="AS374" i="3"/>
  <c r="AU374" i="3"/>
  <c r="AW374" i="3"/>
  <c r="AY374" i="3"/>
  <c r="C375" i="3"/>
  <c r="E375" i="3"/>
  <c r="G375" i="3"/>
  <c r="I375" i="3"/>
  <c r="K375" i="3"/>
  <c r="M375" i="3"/>
  <c r="O375" i="3"/>
  <c r="Q375" i="3"/>
  <c r="S375" i="3"/>
  <c r="U375" i="3"/>
  <c r="W375" i="3"/>
  <c r="Y375" i="3"/>
  <c r="AA375" i="3"/>
  <c r="AK375" i="3"/>
  <c r="AM375" i="3"/>
  <c r="AO375" i="3"/>
  <c r="AQ375" i="3"/>
  <c r="AS375" i="3"/>
  <c r="AU375" i="3"/>
  <c r="AW375" i="3"/>
  <c r="AY375" i="3"/>
  <c r="C376" i="3"/>
  <c r="E376" i="3"/>
  <c r="G376" i="3"/>
  <c r="I376" i="3"/>
  <c r="K376" i="3"/>
  <c r="M376" i="3"/>
  <c r="O376" i="3"/>
  <c r="Q376" i="3"/>
  <c r="S376" i="3"/>
  <c r="U376" i="3"/>
  <c r="W376" i="3"/>
  <c r="Y376" i="3"/>
  <c r="AA376" i="3"/>
  <c r="AK376" i="3"/>
  <c r="AM376" i="3"/>
  <c r="AO376" i="3"/>
  <c r="AQ376" i="3"/>
  <c r="AS376" i="3"/>
  <c r="AU376" i="3"/>
  <c r="AW376" i="3"/>
  <c r="AY376" i="3"/>
  <c r="C377" i="3"/>
  <c r="E377" i="3"/>
  <c r="G377" i="3"/>
  <c r="I377" i="3"/>
  <c r="K377" i="3"/>
  <c r="M377" i="3"/>
  <c r="O377" i="3"/>
  <c r="Q377" i="3"/>
  <c r="S377" i="3"/>
  <c r="U377" i="3"/>
  <c r="W377" i="3"/>
  <c r="Y377" i="3"/>
  <c r="AA377" i="3"/>
  <c r="AK377" i="3"/>
  <c r="AM377" i="3"/>
  <c r="AO377" i="3"/>
  <c r="AQ377" i="3"/>
  <c r="AS377" i="3"/>
  <c r="AU377" i="3"/>
  <c r="AW377" i="3"/>
  <c r="AY377" i="3"/>
  <c r="C378" i="3"/>
  <c r="E378" i="3"/>
  <c r="G378" i="3"/>
  <c r="I378" i="3"/>
  <c r="K378" i="3"/>
  <c r="M378" i="3"/>
  <c r="O378" i="3"/>
  <c r="Q378" i="3"/>
  <c r="S378" i="3"/>
  <c r="U378" i="3"/>
  <c r="W378" i="3"/>
  <c r="Y378" i="3"/>
  <c r="AA378" i="3"/>
  <c r="AK378" i="3"/>
  <c r="AM378" i="3"/>
  <c r="AO378" i="3"/>
  <c r="AQ378" i="3"/>
  <c r="AS378" i="3"/>
  <c r="AU378" i="3"/>
  <c r="AW378" i="3"/>
  <c r="AY378" i="3"/>
  <c r="C379" i="3"/>
  <c r="E379" i="3"/>
  <c r="G379" i="3"/>
  <c r="I379" i="3"/>
  <c r="K379" i="3"/>
  <c r="M379" i="3"/>
  <c r="O379" i="3"/>
  <c r="Q379" i="3"/>
  <c r="S379" i="3"/>
  <c r="U379" i="3"/>
  <c r="W379" i="3"/>
  <c r="Y379" i="3"/>
  <c r="AA379" i="3"/>
  <c r="AK379" i="3"/>
  <c r="AM379" i="3"/>
  <c r="AO379" i="3"/>
  <c r="AQ379" i="3"/>
  <c r="AS379" i="3"/>
  <c r="AU379" i="3"/>
  <c r="AW379" i="3"/>
  <c r="AY379" i="3"/>
  <c r="C380" i="3"/>
  <c r="E380" i="3"/>
  <c r="G380" i="3"/>
  <c r="I380" i="3"/>
  <c r="K380" i="3"/>
  <c r="M380" i="3"/>
  <c r="O380" i="3"/>
  <c r="Q380" i="3"/>
  <c r="S380" i="3"/>
  <c r="U380" i="3"/>
  <c r="W380" i="3"/>
  <c r="Y380" i="3"/>
  <c r="AA380" i="3"/>
  <c r="AK380" i="3"/>
  <c r="AM380" i="3"/>
  <c r="AO380" i="3"/>
  <c r="AQ380" i="3"/>
  <c r="AS380" i="3"/>
  <c r="AU380" i="3"/>
  <c r="AW380" i="3"/>
  <c r="AY380" i="3"/>
  <c r="C381" i="3"/>
  <c r="E381" i="3"/>
  <c r="G381" i="3"/>
  <c r="I381" i="3"/>
  <c r="K381" i="3"/>
  <c r="M381" i="3"/>
  <c r="O381" i="3"/>
  <c r="Q381" i="3"/>
  <c r="S381" i="3"/>
  <c r="U381" i="3"/>
  <c r="W381" i="3"/>
  <c r="Y381" i="3"/>
  <c r="AA381" i="3"/>
  <c r="AK381" i="3"/>
  <c r="AM381" i="3"/>
  <c r="AO381" i="3"/>
  <c r="AQ381" i="3"/>
  <c r="AS381" i="3"/>
  <c r="AU381" i="3"/>
  <c r="AW381" i="3"/>
  <c r="AY381" i="3"/>
  <c r="C382" i="3"/>
  <c r="E382" i="3"/>
  <c r="G382" i="3"/>
  <c r="I382" i="3"/>
  <c r="K382" i="3"/>
  <c r="M382" i="3"/>
  <c r="O382" i="3"/>
  <c r="Q382" i="3"/>
  <c r="S382" i="3"/>
  <c r="U382" i="3"/>
  <c r="W382" i="3"/>
  <c r="Y382" i="3"/>
  <c r="AA382" i="3"/>
  <c r="AK382" i="3"/>
  <c r="AM382" i="3"/>
  <c r="AO382" i="3"/>
  <c r="AQ382" i="3"/>
  <c r="AS382" i="3"/>
  <c r="AU382" i="3"/>
  <c r="AW382" i="3"/>
  <c r="AY382" i="3"/>
  <c r="C383" i="3"/>
  <c r="E383" i="3"/>
  <c r="G383" i="3"/>
  <c r="I383" i="3"/>
  <c r="K383" i="3"/>
  <c r="M383" i="3"/>
  <c r="O383" i="3"/>
  <c r="Q383" i="3"/>
  <c r="S383" i="3"/>
  <c r="U383" i="3"/>
  <c r="W383" i="3"/>
  <c r="Y383" i="3"/>
  <c r="AA383" i="3"/>
  <c r="AK383" i="3"/>
  <c r="AM383" i="3"/>
  <c r="AO383" i="3"/>
  <c r="AQ383" i="3"/>
  <c r="AS383" i="3"/>
  <c r="AU383" i="3"/>
  <c r="AW383" i="3"/>
  <c r="AY383" i="3"/>
  <c r="C384" i="3"/>
  <c r="E384" i="3"/>
  <c r="G384" i="3"/>
  <c r="I384" i="3"/>
  <c r="K384" i="3"/>
  <c r="M384" i="3"/>
  <c r="O384" i="3"/>
  <c r="Q384" i="3"/>
  <c r="S384" i="3"/>
  <c r="U384" i="3"/>
  <c r="W384" i="3"/>
  <c r="Y384" i="3"/>
  <c r="AA384" i="3"/>
  <c r="AK384" i="3"/>
  <c r="AM384" i="3"/>
  <c r="AO384" i="3"/>
  <c r="AQ384" i="3"/>
  <c r="AS384" i="3"/>
  <c r="AU384" i="3"/>
  <c r="AW384" i="3"/>
  <c r="AY384" i="3"/>
  <c r="C385" i="3"/>
  <c r="E385" i="3"/>
  <c r="G385" i="3"/>
  <c r="I385" i="3"/>
  <c r="K385" i="3"/>
  <c r="M385" i="3"/>
  <c r="O385" i="3"/>
  <c r="Q385" i="3"/>
  <c r="S385" i="3"/>
  <c r="U385" i="3"/>
  <c r="W385" i="3"/>
  <c r="Y385" i="3"/>
  <c r="AA385" i="3"/>
  <c r="AK385" i="3"/>
  <c r="AM385" i="3"/>
  <c r="AO385" i="3"/>
  <c r="AQ385" i="3"/>
  <c r="AS385" i="3"/>
  <c r="AU385" i="3"/>
  <c r="AW385" i="3"/>
  <c r="AY385" i="3"/>
  <c r="C386" i="3"/>
  <c r="E386" i="3"/>
  <c r="G386" i="3"/>
  <c r="I386" i="3"/>
  <c r="K386" i="3"/>
  <c r="M386" i="3"/>
  <c r="O386" i="3"/>
  <c r="Q386" i="3"/>
  <c r="S386" i="3"/>
  <c r="U386" i="3"/>
  <c r="W386" i="3"/>
  <c r="Y386" i="3"/>
  <c r="AA386" i="3"/>
  <c r="AK386" i="3"/>
  <c r="AM386" i="3"/>
  <c r="AO386" i="3"/>
  <c r="AQ386" i="3"/>
  <c r="AS386" i="3"/>
  <c r="AU386" i="3"/>
  <c r="AW386" i="3"/>
  <c r="AY386" i="3"/>
  <c r="C387" i="3"/>
  <c r="E387" i="3"/>
  <c r="G387" i="3"/>
  <c r="I387" i="3"/>
  <c r="K387" i="3"/>
  <c r="M387" i="3"/>
  <c r="O387" i="3"/>
  <c r="Q387" i="3"/>
  <c r="S387" i="3"/>
  <c r="U387" i="3"/>
  <c r="W387" i="3"/>
  <c r="Y387" i="3"/>
  <c r="AA387" i="3"/>
  <c r="AK387" i="3"/>
  <c r="AM387" i="3"/>
  <c r="AO387" i="3"/>
  <c r="AQ387" i="3"/>
  <c r="AS387" i="3"/>
  <c r="AU387" i="3"/>
  <c r="AW387" i="3"/>
  <c r="AY387" i="3"/>
  <c r="C388" i="3"/>
  <c r="E388" i="3"/>
  <c r="G388" i="3"/>
  <c r="I388" i="3"/>
  <c r="K388" i="3"/>
  <c r="M388" i="3"/>
  <c r="O388" i="3"/>
  <c r="Q388" i="3"/>
  <c r="S388" i="3"/>
  <c r="U388" i="3"/>
  <c r="W388" i="3"/>
  <c r="Y388" i="3"/>
  <c r="AA388" i="3"/>
  <c r="AK388" i="3"/>
  <c r="AM388" i="3"/>
  <c r="AO388" i="3"/>
  <c r="AQ388" i="3"/>
  <c r="AS388" i="3"/>
  <c r="AU388" i="3"/>
  <c r="AW388" i="3"/>
  <c r="AY388" i="3"/>
  <c r="C389" i="3"/>
  <c r="E389" i="3"/>
  <c r="G389" i="3"/>
  <c r="I389" i="3"/>
  <c r="K389" i="3"/>
  <c r="M389" i="3"/>
  <c r="O389" i="3"/>
  <c r="Q389" i="3"/>
  <c r="S389" i="3"/>
  <c r="U389" i="3"/>
  <c r="W389" i="3"/>
  <c r="Y389" i="3"/>
  <c r="AA389" i="3"/>
  <c r="AK389" i="3"/>
  <c r="AM389" i="3"/>
  <c r="AO389" i="3"/>
  <c r="AQ389" i="3"/>
  <c r="AS389" i="3"/>
  <c r="AU389" i="3"/>
  <c r="AW389" i="3"/>
  <c r="AY389" i="3"/>
  <c r="C390" i="3"/>
  <c r="E390" i="3"/>
  <c r="G390" i="3"/>
  <c r="I390" i="3"/>
  <c r="K390" i="3"/>
  <c r="M390" i="3"/>
  <c r="O390" i="3"/>
  <c r="Q390" i="3"/>
  <c r="S390" i="3"/>
  <c r="U390" i="3"/>
  <c r="W390" i="3"/>
  <c r="Y390" i="3"/>
  <c r="AA390" i="3"/>
  <c r="AK390" i="3"/>
  <c r="AM390" i="3"/>
  <c r="AO390" i="3"/>
  <c r="AQ390" i="3"/>
  <c r="AS390" i="3"/>
  <c r="AU390" i="3"/>
  <c r="AW390" i="3"/>
  <c r="AY390" i="3"/>
  <c r="C391" i="3"/>
  <c r="E391" i="3"/>
  <c r="G391" i="3"/>
  <c r="I391" i="3"/>
  <c r="K391" i="3"/>
  <c r="M391" i="3"/>
  <c r="O391" i="3"/>
  <c r="Q391" i="3"/>
  <c r="S391" i="3"/>
  <c r="U391" i="3"/>
  <c r="W391" i="3"/>
  <c r="Y391" i="3"/>
  <c r="AA391" i="3"/>
  <c r="AK391" i="3"/>
  <c r="AM391" i="3"/>
  <c r="AO391" i="3"/>
  <c r="AQ391" i="3"/>
  <c r="AS391" i="3"/>
  <c r="AU391" i="3"/>
  <c r="AW391" i="3"/>
  <c r="AY391" i="3"/>
  <c r="C392" i="3"/>
  <c r="E392" i="3"/>
  <c r="G392" i="3"/>
  <c r="I392" i="3"/>
  <c r="K392" i="3"/>
  <c r="M392" i="3"/>
  <c r="O392" i="3"/>
  <c r="Q392" i="3"/>
  <c r="S392" i="3"/>
  <c r="U392" i="3"/>
  <c r="W392" i="3"/>
  <c r="Y392" i="3"/>
  <c r="AA392" i="3"/>
  <c r="AK392" i="3"/>
  <c r="AM392" i="3"/>
  <c r="AO392" i="3"/>
  <c r="AQ392" i="3"/>
  <c r="AS392" i="3"/>
  <c r="AU392" i="3"/>
  <c r="AW392" i="3"/>
  <c r="AY392" i="3"/>
  <c r="C393" i="3"/>
  <c r="E393" i="3"/>
  <c r="G393" i="3"/>
  <c r="I393" i="3"/>
  <c r="K393" i="3"/>
  <c r="M393" i="3"/>
  <c r="O393" i="3"/>
  <c r="Q393" i="3"/>
  <c r="S393" i="3"/>
  <c r="U393" i="3"/>
  <c r="W393" i="3"/>
  <c r="Y393" i="3"/>
  <c r="AA393" i="3"/>
  <c r="AK393" i="3"/>
  <c r="AM393" i="3"/>
  <c r="AO393" i="3"/>
  <c r="AQ393" i="3"/>
  <c r="AS393" i="3"/>
  <c r="AU393" i="3"/>
  <c r="AW393" i="3"/>
  <c r="AY393" i="3"/>
  <c r="C394" i="3"/>
  <c r="E394" i="3"/>
  <c r="G394" i="3"/>
  <c r="I394" i="3"/>
  <c r="K394" i="3"/>
  <c r="M394" i="3"/>
  <c r="O394" i="3"/>
  <c r="Q394" i="3"/>
  <c r="S394" i="3"/>
  <c r="U394" i="3"/>
  <c r="W394" i="3"/>
  <c r="Y394" i="3"/>
  <c r="AA394" i="3"/>
  <c r="AK394" i="3"/>
  <c r="AM394" i="3"/>
  <c r="AO394" i="3"/>
  <c r="AQ394" i="3"/>
  <c r="AS394" i="3"/>
  <c r="AU394" i="3"/>
  <c r="AW394" i="3"/>
  <c r="AY394" i="3"/>
  <c r="C395" i="3"/>
  <c r="E395" i="3"/>
  <c r="G395" i="3"/>
  <c r="I395" i="3"/>
  <c r="K395" i="3"/>
  <c r="M395" i="3"/>
  <c r="O395" i="3"/>
  <c r="Q395" i="3"/>
  <c r="S395" i="3"/>
  <c r="U395" i="3"/>
  <c r="W395" i="3"/>
  <c r="Y395" i="3"/>
  <c r="AA395" i="3"/>
  <c r="AK395" i="3"/>
  <c r="AM395" i="3"/>
  <c r="AO395" i="3"/>
  <c r="AQ395" i="3"/>
  <c r="AS395" i="3"/>
  <c r="AU395" i="3"/>
  <c r="AW395" i="3"/>
  <c r="AY395" i="3"/>
  <c r="C396" i="3"/>
  <c r="E396" i="3"/>
  <c r="G396" i="3"/>
  <c r="I396" i="3"/>
  <c r="K396" i="3"/>
  <c r="M396" i="3"/>
  <c r="O396" i="3"/>
  <c r="Q396" i="3"/>
  <c r="S396" i="3"/>
  <c r="U396" i="3"/>
  <c r="W396" i="3"/>
  <c r="Y396" i="3"/>
  <c r="AA396" i="3"/>
  <c r="AK396" i="3"/>
  <c r="AM396" i="3"/>
  <c r="AO396" i="3"/>
  <c r="AQ396" i="3"/>
  <c r="AS396" i="3"/>
  <c r="AU396" i="3"/>
  <c r="AW396" i="3"/>
  <c r="AY396" i="3"/>
  <c r="C397" i="3"/>
  <c r="E397" i="3"/>
  <c r="G397" i="3"/>
  <c r="I397" i="3"/>
  <c r="K397" i="3"/>
  <c r="M397" i="3"/>
  <c r="O397" i="3"/>
  <c r="Q397" i="3"/>
  <c r="S397" i="3"/>
  <c r="U397" i="3"/>
  <c r="W397" i="3"/>
  <c r="Y397" i="3"/>
  <c r="AA397" i="3"/>
  <c r="AK397" i="3"/>
  <c r="AM397" i="3"/>
  <c r="AO397" i="3"/>
  <c r="AQ397" i="3"/>
  <c r="AS397" i="3"/>
  <c r="AU397" i="3"/>
  <c r="AW397" i="3"/>
  <c r="AY397" i="3"/>
  <c r="C398" i="3"/>
  <c r="E398" i="3"/>
  <c r="G398" i="3"/>
  <c r="I398" i="3"/>
  <c r="K398" i="3"/>
  <c r="M398" i="3"/>
  <c r="O398" i="3"/>
  <c r="Q398" i="3"/>
  <c r="S398" i="3"/>
  <c r="U398" i="3"/>
  <c r="W398" i="3"/>
  <c r="Y398" i="3"/>
  <c r="AA398" i="3"/>
  <c r="AK398" i="3"/>
  <c r="AM398" i="3"/>
  <c r="AO398" i="3"/>
  <c r="AQ398" i="3"/>
  <c r="AS398" i="3"/>
  <c r="AU398" i="3"/>
  <c r="AW398" i="3"/>
  <c r="AY398" i="3"/>
  <c r="C399" i="3"/>
  <c r="E399" i="3"/>
  <c r="G399" i="3"/>
  <c r="I399" i="3"/>
  <c r="K399" i="3"/>
  <c r="M399" i="3"/>
  <c r="O399" i="3"/>
  <c r="Q399" i="3"/>
  <c r="S399" i="3"/>
  <c r="U399" i="3"/>
  <c r="W399" i="3"/>
  <c r="Y399" i="3"/>
  <c r="AA399" i="3"/>
  <c r="AK399" i="3"/>
  <c r="AM399" i="3"/>
  <c r="AO399" i="3"/>
  <c r="AQ399" i="3"/>
  <c r="AS399" i="3"/>
  <c r="AU399" i="3"/>
  <c r="AW399" i="3"/>
  <c r="AY399" i="3"/>
  <c r="C400" i="3"/>
  <c r="E400" i="3"/>
  <c r="G400" i="3"/>
  <c r="I400" i="3"/>
  <c r="K400" i="3"/>
  <c r="M400" i="3"/>
  <c r="O400" i="3"/>
  <c r="Q400" i="3"/>
  <c r="S400" i="3"/>
  <c r="U400" i="3"/>
  <c r="W400" i="3"/>
  <c r="Y400" i="3"/>
  <c r="AA400" i="3"/>
  <c r="AK400" i="3"/>
  <c r="AM400" i="3"/>
  <c r="AO400" i="3"/>
  <c r="AQ400" i="3"/>
  <c r="AS400" i="3"/>
  <c r="AU400" i="3"/>
  <c r="AW400" i="3"/>
  <c r="AY400" i="3"/>
  <c r="C401" i="3"/>
  <c r="E401" i="3"/>
  <c r="G401" i="3"/>
  <c r="I401" i="3"/>
  <c r="K401" i="3"/>
  <c r="M401" i="3"/>
  <c r="O401" i="3"/>
  <c r="Q401" i="3"/>
  <c r="S401" i="3"/>
  <c r="U401" i="3"/>
  <c r="W401" i="3"/>
  <c r="Y401" i="3"/>
  <c r="AA401" i="3"/>
  <c r="AK401" i="3"/>
  <c r="AM401" i="3"/>
  <c r="AO401" i="3"/>
  <c r="AQ401" i="3"/>
  <c r="AS401" i="3"/>
  <c r="AU401" i="3"/>
  <c r="AW401" i="3"/>
  <c r="AY401" i="3"/>
  <c r="C402" i="3"/>
  <c r="E402" i="3"/>
  <c r="G402" i="3"/>
  <c r="I402" i="3"/>
  <c r="K402" i="3"/>
  <c r="M402" i="3"/>
  <c r="O402" i="3"/>
  <c r="Q402" i="3"/>
  <c r="S402" i="3"/>
  <c r="U402" i="3"/>
  <c r="W402" i="3"/>
  <c r="Y402" i="3"/>
  <c r="AA402" i="3"/>
  <c r="AK402" i="3"/>
  <c r="AM402" i="3"/>
  <c r="AO402" i="3"/>
  <c r="AQ402" i="3"/>
  <c r="AS402" i="3"/>
  <c r="AU402" i="3"/>
  <c r="AW402" i="3"/>
  <c r="AY402" i="3"/>
  <c r="C403" i="3"/>
  <c r="E403" i="3"/>
  <c r="G403" i="3"/>
  <c r="I403" i="3"/>
  <c r="K403" i="3"/>
  <c r="M403" i="3"/>
  <c r="O403" i="3"/>
  <c r="Q403" i="3"/>
  <c r="S403" i="3"/>
  <c r="U403" i="3"/>
  <c r="W403" i="3"/>
  <c r="Y403" i="3"/>
  <c r="AA403" i="3"/>
  <c r="AK403" i="3"/>
  <c r="AM403" i="3"/>
  <c r="AO403" i="3"/>
  <c r="AQ403" i="3"/>
  <c r="AS403" i="3"/>
  <c r="AU403" i="3"/>
  <c r="AW403" i="3"/>
  <c r="AY403" i="3"/>
  <c r="C404" i="3"/>
  <c r="E404" i="3"/>
  <c r="G404" i="3"/>
  <c r="I404" i="3"/>
  <c r="K404" i="3"/>
  <c r="M404" i="3"/>
  <c r="O404" i="3"/>
  <c r="Q404" i="3"/>
  <c r="S404" i="3"/>
  <c r="U404" i="3"/>
  <c r="W404" i="3"/>
  <c r="Y404" i="3"/>
  <c r="AA404" i="3"/>
  <c r="AK404" i="3"/>
  <c r="AM404" i="3"/>
  <c r="AO404" i="3"/>
  <c r="AQ404" i="3"/>
  <c r="AS404" i="3"/>
  <c r="AU404" i="3"/>
  <c r="AW404" i="3"/>
  <c r="AY404" i="3"/>
  <c r="C405" i="3"/>
  <c r="E405" i="3"/>
  <c r="G405" i="3"/>
  <c r="I405" i="3"/>
  <c r="K405" i="3"/>
  <c r="M405" i="3"/>
  <c r="O405" i="3"/>
  <c r="Q405" i="3"/>
  <c r="S405" i="3"/>
  <c r="U405" i="3"/>
  <c r="W405" i="3"/>
  <c r="Y405" i="3"/>
  <c r="AA405" i="3"/>
  <c r="AK405" i="3"/>
  <c r="AM405" i="3"/>
  <c r="AO405" i="3"/>
  <c r="AQ405" i="3"/>
  <c r="AS405" i="3"/>
  <c r="AU405" i="3"/>
  <c r="AW405" i="3"/>
  <c r="AY405" i="3"/>
  <c r="C406" i="3"/>
  <c r="E406" i="3"/>
  <c r="G406" i="3"/>
  <c r="I406" i="3"/>
  <c r="K406" i="3"/>
  <c r="M406" i="3"/>
  <c r="O406" i="3"/>
  <c r="Q406" i="3"/>
  <c r="S406" i="3"/>
  <c r="U406" i="3"/>
  <c r="W406" i="3"/>
  <c r="Y406" i="3"/>
  <c r="AA406" i="3"/>
  <c r="AK406" i="3"/>
  <c r="AM406" i="3"/>
  <c r="AO406" i="3"/>
  <c r="AQ406" i="3"/>
  <c r="AS406" i="3"/>
  <c r="AU406" i="3"/>
  <c r="AW406" i="3"/>
  <c r="AY406" i="3"/>
  <c r="C407" i="3"/>
  <c r="E407" i="3"/>
  <c r="G407" i="3"/>
  <c r="I407" i="3"/>
  <c r="K407" i="3"/>
  <c r="M407" i="3"/>
  <c r="O407" i="3"/>
  <c r="Q407" i="3"/>
  <c r="S407" i="3"/>
  <c r="U407" i="3"/>
  <c r="W407" i="3"/>
  <c r="Y407" i="3"/>
  <c r="AA407" i="3"/>
  <c r="AK407" i="3"/>
  <c r="AM407" i="3"/>
  <c r="AO407" i="3"/>
  <c r="AQ407" i="3"/>
  <c r="AS407" i="3"/>
  <c r="AU407" i="3"/>
  <c r="AW407" i="3"/>
  <c r="AY407" i="3"/>
  <c r="C408" i="3"/>
  <c r="E408" i="3"/>
  <c r="G408" i="3"/>
  <c r="I408" i="3"/>
  <c r="K408" i="3"/>
  <c r="M408" i="3"/>
  <c r="O408" i="3"/>
  <c r="Q408" i="3"/>
  <c r="S408" i="3"/>
  <c r="U408" i="3"/>
  <c r="W408" i="3"/>
  <c r="Y408" i="3"/>
  <c r="AA408" i="3"/>
  <c r="AK408" i="3"/>
  <c r="AM408" i="3"/>
  <c r="AO408" i="3"/>
  <c r="AQ408" i="3"/>
  <c r="AS408" i="3"/>
  <c r="AU408" i="3"/>
  <c r="AW408" i="3"/>
  <c r="AY408" i="3"/>
  <c r="BB409" i="3"/>
  <c r="AZ409" i="3"/>
  <c r="AX409" i="3"/>
  <c r="AV409" i="3"/>
  <c r="AT409" i="3"/>
  <c r="AR409" i="3"/>
  <c r="AP409" i="3"/>
  <c r="G42" i="1" s="1"/>
  <c r="AN409" i="3"/>
  <c r="AL409" i="3"/>
  <c r="AB409" i="3"/>
  <c r="Z409" i="3"/>
  <c r="X409" i="3"/>
  <c r="V409" i="3"/>
  <c r="T409" i="3"/>
  <c r="R409" i="3"/>
  <c r="P409" i="3"/>
  <c r="C409" i="3"/>
  <c r="E409" i="3"/>
  <c r="G409" i="3"/>
  <c r="I409" i="3"/>
  <c r="K409" i="3"/>
  <c r="M409" i="3"/>
  <c r="O409" i="3"/>
  <c r="S409" i="3"/>
  <c r="W409" i="3"/>
  <c r="AA409" i="3"/>
  <c r="AM409" i="3"/>
  <c r="AQ409" i="3"/>
  <c r="AU409" i="3"/>
  <c r="AY409" i="3"/>
  <c r="BB410" i="3"/>
  <c r="AZ410" i="3"/>
  <c r="AX410" i="3"/>
  <c r="AV410" i="3"/>
  <c r="AT410" i="3"/>
  <c r="AR410" i="3"/>
  <c r="AP410" i="3"/>
  <c r="AN410" i="3"/>
  <c r="AL410" i="3"/>
  <c r="AB410" i="3"/>
  <c r="Z410" i="3"/>
  <c r="X410" i="3"/>
  <c r="V410" i="3"/>
  <c r="T410" i="3"/>
  <c r="R410" i="3"/>
  <c r="P410" i="3"/>
  <c r="N410" i="3"/>
  <c r="G28" i="1" s="1"/>
  <c r="M28" i="1" s="1"/>
  <c r="L410" i="3"/>
  <c r="G26" i="1" s="1"/>
  <c r="M26" i="1" s="1"/>
  <c r="J410" i="3"/>
  <c r="J107" i="2" s="1"/>
  <c r="H410" i="3"/>
  <c r="G11" i="1" s="1"/>
  <c r="M11" i="1" s="1"/>
  <c r="F410" i="3"/>
  <c r="D410" i="3"/>
  <c r="B410" i="3"/>
  <c r="C2" i="1" s="1"/>
  <c r="E410" i="3"/>
  <c r="I410" i="3"/>
  <c r="M410" i="3"/>
  <c r="Q410" i="3"/>
  <c r="U410" i="3"/>
  <c r="Y410" i="3"/>
  <c r="AK410" i="3"/>
  <c r="AO410" i="3"/>
  <c r="AS410" i="3"/>
  <c r="AW410" i="3"/>
  <c r="BA410" i="3"/>
  <c r="C411" i="3"/>
  <c r="G411" i="3"/>
  <c r="K411" i="3"/>
  <c r="O411" i="3"/>
  <c r="S411" i="3"/>
  <c r="W411" i="3"/>
  <c r="AA411" i="3"/>
  <c r="AM411" i="3"/>
  <c r="AQ411" i="3"/>
  <c r="AU411" i="3"/>
  <c r="AY411" i="3"/>
  <c r="BB412" i="3"/>
  <c r="AZ412" i="3"/>
  <c r="AX412" i="3"/>
  <c r="AV412" i="3"/>
  <c r="AT412" i="3"/>
  <c r="AR412" i="3"/>
  <c r="AP412" i="3"/>
  <c r="AN412" i="3"/>
  <c r="AL412" i="3"/>
  <c r="AB412" i="3"/>
  <c r="Z412" i="3"/>
  <c r="X412" i="3"/>
  <c r="V412" i="3"/>
  <c r="T412" i="3"/>
  <c r="R412" i="3"/>
  <c r="P412" i="3"/>
  <c r="N412" i="3"/>
  <c r="L412" i="3"/>
  <c r="J412" i="3"/>
  <c r="H412" i="3"/>
  <c r="F412" i="3"/>
  <c r="D412" i="3"/>
  <c r="B412" i="3"/>
  <c r="E412" i="3"/>
  <c r="I412" i="3"/>
  <c r="M412" i="3"/>
  <c r="Q412" i="3"/>
  <c r="U412" i="3"/>
  <c r="Y412" i="3"/>
  <c r="AK412" i="3"/>
  <c r="AO412" i="3"/>
  <c r="AS412" i="3"/>
  <c r="AW412" i="3"/>
  <c r="BA412" i="3"/>
  <c r="C413" i="3"/>
  <c r="G413" i="3"/>
  <c r="K413" i="3"/>
  <c r="O413" i="3"/>
  <c r="S413" i="3"/>
  <c r="W413" i="3"/>
  <c r="AA413" i="3"/>
  <c r="AM413" i="3"/>
  <c r="AQ413" i="3"/>
  <c r="AU413" i="3"/>
  <c r="AY413" i="3"/>
  <c r="BB414" i="3"/>
  <c r="AZ414" i="3"/>
  <c r="AX414" i="3"/>
  <c r="AV414" i="3"/>
  <c r="AT414" i="3"/>
  <c r="AR414" i="3"/>
  <c r="AP414" i="3"/>
  <c r="AN414" i="3"/>
  <c r="AL414" i="3"/>
  <c r="AB414" i="3"/>
  <c r="Z414" i="3"/>
  <c r="X414" i="3"/>
  <c r="V414" i="3"/>
  <c r="T414" i="3"/>
  <c r="R414" i="3"/>
  <c r="P414" i="3"/>
  <c r="N414" i="3"/>
  <c r="L414" i="3"/>
  <c r="J414" i="3"/>
  <c r="H414" i="3"/>
  <c r="F414" i="3"/>
  <c r="D414" i="3"/>
  <c r="B414" i="3"/>
  <c r="E414" i="3"/>
  <c r="I414" i="3"/>
  <c r="M414" i="3"/>
  <c r="Q414" i="3"/>
  <c r="U414" i="3"/>
  <c r="Y414" i="3"/>
  <c r="AK414" i="3"/>
  <c r="AO414" i="3"/>
  <c r="AS414" i="3"/>
  <c r="AW414" i="3"/>
  <c r="BA414" i="3"/>
  <c r="C415" i="3"/>
  <c r="G415" i="3"/>
  <c r="K415" i="3"/>
  <c r="O415" i="3"/>
  <c r="S415" i="3"/>
  <c r="W415" i="3"/>
  <c r="AA415" i="3"/>
  <c r="AM415" i="3"/>
  <c r="AQ415" i="3"/>
  <c r="AU415" i="3"/>
  <c r="AY415" i="3"/>
  <c r="BA416" i="3"/>
  <c r="AY416" i="3"/>
  <c r="AW416" i="3"/>
  <c r="AU416" i="3"/>
  <c r="AS416" i="3"/>
  <c r="AQ416" i="3"/>
  <c r="AO416" i="3"/>
  <c r="AM416" i="3"/>
  <c r="AK416" i="3"/>
  <c r="AA416" i="3"/>
  <c r="Y416" i="3"/>
  <c r="W416" i="3"/>
  <c r="U416" i="3"/>
  <c r="S416" i="3"/>
  <c r="Q416" i="3"/>
  <c r="BB416" i="3"/>
  <c r="AZ416" i="3"/>
  <c r="AX416" i="3"/>
  <c r="AV416" i="3"/>
  <c r="AT416" i="3"/>
  <c r="AR416" i="3"/>
  <c r="AP416" i="3"/>
  <c r="AN416" i="3"/>
  <c r="AL416" i="3"/>
  <c r="AB416" i="3"/>
  <c r="Z416" i="3"/>
  <c r="X416" i="3"/>
  <c r="V416" i="3"/>
  <c r="T416" i="3"/>
  <c r="R416" i="3"/>
  <c r="P416" i="3"/>
  <c r="N416" i="3"/>
  <c r="L416" i="3"/>
  <c r="J416" i="3"/>
  <c r="H416" i="3"/>
  <c r="F416" i="3"/>
  <c r="D416" i="3"/>
  <c r="B416" i="3"/>
  <c r="E416" i="3"/>
  <c r="I416" i="3"/>
  <c r="M416" i="3"/>
  <c r="B417" i="3"/>
  <c r="D417" i="3"/>
  <c r="F417" i="3"/>
  <c r="H417" i="3"/>
  <c r="J417" i="3"/>
  <c r="L417" i="3"/>
  <c r="N417" i="3"/>
  <c r="P417" i="3"/>
  <c r="R417" i="3"/>
  <c r="T417" i="3"/>
  <c r="V417" i="3"/>
  <c r="X417" i="3"/>
  <c r="Z417" i="3"/>
  <c r="AB417" i="3"/>
  <c r="AL417" i="3"/>
  <c r="AN417" i="3"/>
  <c r="AP417" i="3"/>
  <c r="AR417" i="3"/>
  <c r="AT417" i="3"/>
  <c r="AV417" i="3"/>
  <c r="AX417" i="3"/>
  <c r="AZ417" i="3"/>
  <c r="BB417" i="3"/>
  <c r="B418" i="3"/>
  <c r="D418" i="3"/>
  <c r="F418" i="3"/>
  <c r="H418" i="3"/>
  <c r="J418" i="3"/>
  <c r="L418" i="3"/>
  <c r="N418" i="3"/>
  <c r="P418" i="3"/>
  <c r="R418" i="3"/>
  <c r="T418" i="3"/>
  <c r="V418" i="3"/>
  <c r="X418" i="3"/>
  <c r="Z418" i="3"/>
  <c r="AB418" i="3"/>
  <c r="AL418" i="3"/>
  <c r="AN418" i="3"/>
  <c r="AP418" i="3"/>
  <c r="AR418" i="3"/>
  <c r="AT418" i="3"/>
  <c r="AV418" i="3"/>
  <c r="AX418" i="3"/>
  <c r="AZ418" i="3"/>
  <c r="BB418" i="3"/>
  <c r="B419" i="3"/>
  <c r="D419" i="3"/>
  <c r="F419" i="3"/>
  <c r="H419" i="3"/>
  <c r="J419" i="3"/>
  <c r="L419" i="3"/>
  <c r="N419" i="3"/>
  <c r="P419" i="3"/>
  <c r="R419" i="3"/>
  <c r="T419" i="3"/>
  <c r="V419" i="3"/>
  <c r="X419" i="3"/>
  <c r="Z419" i="3"/>
  <c r="AB419" i="3"/>
  <c r="AL419" i="3"/>
  <c r="AN419" i="3"/>
  <c r="AP419" i="3"/>
  <c r="AR419" i="3"/>
  <c r="AT419" i="3"/>
  <c r="AV419" i="3"/>
  <c r="AX419" i="3"/>
  <c r="AZ419" i="3"/>
  <c r="BB419" i="3"/>
  <c r="B420" i="3"/>
  <c r="D420" i="3"/>
  <c r="F420" i="3"/>
  <c r="H420" i="3"/>
  <c r="J420" i="3"/>
  <c r="L420" i="3"/>
  <c r="N420" i="3"/>
  <c r="P420" i="3"/>
  <c r="R420" i="3"/>
  <c r="T420" i="3"/>
  <c r="V420" i="3"/>
  <c r="X420" i="3"/>
  <c r="Z420" i="3"/>
  <c r="AB420" i="3"/>
  <c r="AL420" i="3"/>
  <c r="AN420" i="3"/>
  <c r="AP420" i="3"/>
  <c r="AR420" i="3"/>
  <c r="AT420" i="3"/>
  <c r="AV420" i="3"/>
  <c r="AX420" i="3"/>
  <c r="AZ420" i="3"/>
  <c r="BB420" i="3"/>
  <c r="B421" i="3"/>
  <c r="D421" i="3"/>
  <c r="F421" i="3"/>
  <c r="H421" i="3"/>
  <c r="J421" i="3"/>
  <c r="L421" i="3"/>
  <c r="N421" i="3"/>
  <c r="P421" i="3"/>
  <c r="R421" i="3"/>
  <c r="T421" i="3"/>
  <c r="V421" i="3"/>
  <c r="X421" i="3"/>
  <c r="Z421" i="3"/>
  <c r="AB421" i="3"/>
  <c r="AL421" i="3"/>
  <c r="AN421" i="3"/>
  <c r="AP421" i="3"/>
  <c r="AR421" i="3"/>
  <c r="AT421" i="3"/>
  <c r="AV421" i="3"/>
  <c r="AX421" i="3"/>
  <c r="AZ421" i="3"/>
  <c r="BB421" i="3"/>
  <c r="B422" i="3"/>
  <c r="D422" i="3"/>
  <c r="F422" i="3"/>
  <c r="H422" i="3"/>
  <c r="J422" i="3"/>
  <c r="L422" i="3"/>
  <c r="N422" i="3"/>
  <c r="P422" i="3"/>
  <c r="R422" i="3"/>
  <c r="T422" i="3"/>
  <c r="V422" i="3"/>
  <c r="X422" i="3"/>
  <c r="Z422" i="3"/>
  <c r="AB422" i="3"/>
  <c r="AL422" i="3"/>
  <c r="AN422" i="3"/>
  <c r="AP422" i="3"/>
  <c r="AR422" i="3"/>
  <c r="AT422" i="3"/>
  <c r="AV422" i="3"/>
  <c r="AX422" i="3"/>
  <c r="AZ422" i="3"/>
  <c r="BB422" i="3"/>
  <c r="B423" i="3"/>
  <c r="D423" i="3"/>
  <c r="F423" i="3"/>
  <c r="H423" i="3"/>
  <c r="J423" i="3"/>
  <c r="L423" i="3"/>
  <c r="N423" i="3"/>
  <c r="P423" i="3"/>
  <c r="R423" i="3"/>
  <c r="T423" i="3"/>
  <c r="V423" i="3"/>
  <c r="X423" i="3"/>
  <c r="Z423" i="3"/>
  <c r="AB423" i="3"/>
  <c r="AL423" i="3"/>
  <c r="AN423" i="3"/>
  <c r="AP423" i="3"/>
  <c r="AR423" i="3"/>
  <c r="AT423" i="3"/>
  <c r="AV423" i="3"/>
  <c r="AX423" i="3"/>
  <c r="AZ423" i="3"/>
  <c r="BB423" i="3"/>
  <c r="B424" i="3"/>
  <c r="D424" i="3"/>
  <c r="F424" i="3"/>
  <c r="H424" i="3"/>
  <c r="J424" i="3"/>
  <c r="L424" i="3"/>
  <c r="N424" i="3"/>
  <c r="P424" i="3"/>
  <c r="R424" i="3"/>
  <c r="T424" i="3"/>
  <c r="V424" i="3"/>
  <c r="X424" i="3"/>
  <c r="Z424" i="3"/>
  <c r="AB424" i="3"/>
  <c r="AL424" i="3"/>
  <c r="AN424" i="3"/>
  <c r="AP424" i="3"/>
  <c r="AR424" i="3"/>
  <c r="AT424" i="3"/>
  <c r="AV424" i="3"/>
  <c r="AX424" i="3"/>
  <c r="AZ424" i="3"/>
  <c r="BB424" i="3"/>
  <c r="B425" i="3"/>
  <c r="D425" i="3"/>
  <c r="F425" i="3"/>
  <c r="H425" i="3"/>
  <c r="J425" i="3"/>
  <c r="L425" i="3"/>
  <c r="N425" i="3"/>
  <c r="P425" i="3"/>
  <c r="R425" i="3"/>
  <c r="T425" i="3"/>
  <c r="V425" i="3"/>
  <c r="X425" i="3"/>
  <c r="Z425" i="3"/>
  <c r="AB425" i="3"/>
  <c r="AL425" i="3"/>
  <c r="AN425" i="3"/>
  <c r="AP425" i="3"/>
  <c r="AR425" i="3"/>
  <c r="AT425" i="3"/>
  <c r="AV425" i="3"/>
  <c r="AX425" i="3"/>
  <c r="AZ425" i="3"/>
  <c r="BB425" i="3"/>
  <c r="B426" i="3"/>
  <c r="D426" i="3"/>
  <c r="F426" i="3"/>
  <c r="H426" i="3"/>
  <c r="J426" i="3"/>
  <c r="L426" i="3"/>
  <c r="N426" i="3"/>
  <c r="P426" i="3"/>
  <c r="R426" i="3"/>
  <c r="T426" i="3"/>
  <c r="V426" i="3"/>
  <c r="X426" i="3"/>
  <c r="Z426" i="3"/>
  <c r="AB426" i="3"/>
  <c r="AL426" i="3"/>
  <c r="AN426" i="3"/>
  <c r="AP426" i="3"/>
  <c r="AR426" i="3"/>
  <c r="AT426" i="3"/>
  <c r="AV426" i="3"/>
  <c r="AX426" i="3"/>
  <c r="AZ426" i="3"/>
  <c r="BB426" i="3"/>
  <c r="B427" i="3"/>
  <c r="D427" i="3"/>
  <c r="F427" i="3"/>
  <c r="H427" i="3"/>
  <c r="J427" i="3"/>
  <c r="L427" i="3"/>
  <c r="N427" i="3"/>
  <c r="P427" i="3"/>
  <c r="R427" i="3"/>
  <c r="T427" i="3"/>
  <c r="V427" i="3"/>
  <c r="X427" i="3"/>
  <c r="Z427" i="3"/>
  <c r="AB427" i="3"/>
  <c r="AL427" i="3"/>
  <c r="AN427" i="3"/>
  <c r="AP427" i="3"/>
  <c r="AR427" i="3"/>
  <c r="AT427" i="3"/>
  <c r="AV427" i="3"/>
  <c r="AX427" i="3"/>
  <c r="AZ427" i="3"/>
  <c r="BB427" i="3"/>
  <c r="B428" i="3"/>
  <c r="D428" i="3"/>
  <c r="F428" i="3"/>
  <c r="H428" i="3"/>
  <c r="J428" i="3"/>
  <c r="L428" i="3"/>
  <c r="N428" i="3"/>
  <c r="P428" i="3"/>
  <c r="R428" i="3"/>
  <c r="T428" i="3"/>
  <c r="V428" i="3"/>
  <c r="X428" i="3"/>
  <c r="Z428" i="3"/>
  <c r="AB428" i="3"/>
  <c r="AL428" i="3"/>
  <c r="AN428" i="3"/>
  <c r="AP428" i="3"/>
  <c r="AR428" i="3"/>
  <c r="AT428" i="3"/>
  <c r="AV428" i="3"/>
  <c r="AX428" i="3"/>
  <c r="AZ428" i="3"/>
  <c r="BB428" i="3"/>
  <c r="B429" i="3"/>
  <c r="D429" i="3"/>
  <c r="F429" i="3"/>
  <c r="H429" i="3"/>
  <c r="J429" i="3"/>
  <c r="L429" i="3"/>
  <c r="N429" i="3"/>
  <c r="P429" i="3"/>
  <c r="R429" i="3"/>
  <c r="T429" i="3"/>
  <c r="V429" i="3"/>
  <c r="X429" i="3"/>
  <c r="Z429" i="3"/>
  <c r="AB429" i="3"/>
  <c r="AL429" i="3"/>
  <c r="AN429" i="3"/>
  <c r="AP429" i="3"/>
  <c r="AR429" i="3"/>
  <c r="AT429" i="3"/>
  <c r="AV429" i="3"/>
  <c r="AX429" i="3"/>
  <c r="AZ429" i="3"/>
  <c r="BB429" i="3"/>
  <c r="B430" i="3"/>
  <c r="D430" i="3"/>
  <c r="F430" i="3"/>
  <c r="H430" i="3"/>
  <c r="J430" i="3"/>
  <c r="L430" i="3"/>
  <c r="N430" i="3"/>
  <c r="P430" i="3"/>
  <c r="R430" i="3"/>
  <c r="T430" i="3"/>
  <c r="V430" i="3"/>
  <c r="X430" i="3"/>
  <c r="Z430" i="3"/>
  <c r="AB430" i="3"/>
  <c r="AL430" i="3"/>
  <c r="AN430" i="3"/>
  <c r="AP430" i="3"/>
  <c r="AR430" i="3"/>
  <c r="AT430" i="3"/>
  <c r="AV430" i="3"/>
  <c r="AX430" i="3"/>
  <c r="AZ430" i="3"/>
  <c r="BB430" i="3"/>
  <c r="B431" i="3"/>
  <c r="D431" i="3"/>
  <c r="F431" i="3"/>
  <c r="H431" i="3"/>
  <c r="J431" i="3"/>
  <c r="L431" i="3"/>
  <c r="N431" i="3"/>
  <c r="P431" i="3"/>
  <c r="R431" i="3"/>
  <c r="T431" i="3"/>
  <c r="V431" i="3"/>
  <c r="X431" i="3"/>
  <c r="Z431" i="3"/>
  <c r="AB431" i="3"/>
  <c r="AL431" i="3"/>
  <c r="AN431" i="3"/>
  <c r="AP431" i="3"/>
  <c r="AR431" i="3"/>
  <c r="AT431" i="3"/>
  <c r="AV431" i="3"/>
  <c r="AX431" i="3"/>
  <c r="AZ431" i="3"/>
  <c r="BB431" i="3"/>
  <c r="B432" i="3"/>
  <c r="D432" i="3"/>
  <c r="F432" i="3"/>
  <c r="H432" i="3"/>
  <c r="J432" i="3"/>
  <c r="L432" i="3"/>
  <c r="N432" i="3"/>
  <c r="P432" i="3"/>
  <c r="R432" i="3"/>
  <c r="T432" i="3"/>
  <c r="V432" i="3"/>
  <c r="X432" i="3"/>
  <c r="Z432" i="3"/>
  <c r="AB432" i="3"/>
  <c r="AL432" i="3"/>
  <c r="AN432" i="3"/>
  <c r="AP432" i="3"/>
  <c r="AR432" i="3"/>
  <c r="AT432" i="3"/>
  <c r="AV432" i="3"/>
  <c r="AX432" i="3"/>
  <c r="AZ432" i="3"/>
  <c r="BB432" i="3"/>
  <c r="B433" i="3"/>
  <c r="D433" i="3"/>
  <c r="F433" i="3"/>
  <c r="H433" i="3"/>
  <c r="J433" i="3"/>
  <c r="L433" i="3"/>
  <c r="N433" i="3"/>
  <c r="P433" i="3"/>
  <c r="R433" i="3"/>
  <c r="T433" i="3"/>
  <c r="V433" i="3"/>
  <c r="X433" i="3"/>
  <c r="Z433" i="3"/>
  <c r="AB433" i="3"/>
  <c r="AL433" i="3"/>
  <c r="AN433" i="3"/>
  <c r="AP433" i="3"/>
  <c r="AR433" i="3"/>
  <c r="AT433" i="3"/>
  <c r="AV433" i="3"/>
  <c r="AX433" i="3"/>
  <c r="AZ433" i="3"/>
  <c r="BB433" i="3"/>
  <c r="B434" i="3"/>
  <c r="D434" i="3"/>
  <c r="F434" i="3"/>
  <c r="H434" i="3"/>
  <c r="J434" i="3"/>
  <c r="L434" i="3"/>
  <c r="N434" i="3"/>
  <c r="P434" i="3"/>
  <c r="R434" i="3"/>
  <c r="T434" i="3"/>
  <c r="V434" i="3"/>
  <c r="X434" i="3"/>
  <c r="Z434" i="3"/>
  <c r="AB434" i="3"/>
  <c r="AL434" i="3"/>
  <c r="AN434" i="3"/>
  <c r="AP434" i="3"/>
  <c r="AR434" i="3"/>
  <c r="AT434" i="3"/>
  <c r="AV434" i="3"/>
  <c r="AX434" i="3"/>
  <c r="AZ434" i="3"/>
  <c r="BB434" i="3"/>
  <c r="B435" i="3"/>
  <c r="D435" i="3"/>
  <c r="F435" i="3"/>
  <c r="H435" i="3"/>
  <c r="J435" i="3"/>
  <c r="L435" i="3"/>
  <c r="N435" i="3"/>
  <c r="P435" i="3"/>
  <c r="R435" i="3"/>
  <c r="T435" i="3"/>
  <c r="V435" i="3"/>
  <c r="X435" i="3"/>
  <c r="Z435" i="3"/>
  <c r="AB435" i="3"/>
  <c r="AL435" i="3"/>
  <c r="AN435" i="3"/>
  <c r="AP435" i="3"/>
  <c r="AR435" i="3"/>
  <c r="AT435" i="3"/>
  <c r="AV435" i="3"/>
  <c r="AX435" i="3"/>
  <c r="AZ435" i="3"/>
  <c r="BB435" i="3"/>
  <c r="B436" i="3"/>
  <c r="D436" i="3"/>
  <c r="F436" i="3"/>
  <c r="H436" i="3"/>
  <c r="J436" i="3"/>
  <c r="L436" i="3"/>
  <c r="N436" i="3"/>
  <c r="P436" i="3"/>
  <c r="R436" i="3"/>
  <c r="T436" i="3"/>
  <c r="V436" i="3"/>
  <c r="X436" i="3"/>
  <c r="Z436" i="3"/>
  <c r="AB436" i="3"/>
  <c r="AL436" i="3"/>
  <c r="AN436" i="3"/>
  <c r="AP436" i="3"/>
  <c r="AR436" i="3"/>
  <c r="AT436" i="3"/>
  <c r="AV436" i="3"/>
  <c r="AX436" i="3"/>
  <c r="AZ436" i="3"/>
  <c r="BB436" i="3"/>
  <c r="B437" i="3"/>
  <c r="D437" i="3"/>
  <c r="F437" i="3"/>
  <c r="H437" i="3"/>
  <c r="J437" i="3"/>
  <c r="L437" i="3"/>
  <c r="N437" i="3"/>
  <c r="P437" i="3"/>
  <c r="R437" i="3"/>
  <c r="T437" i="3"/>
  <c r="V437" i="3"/>
  <c r="X437" i="3"/>
  <c r="Z437" i="3"/>
  <c r="AB437" i="3"/>
  <c r="AL437" i="3"/>
  <c r="AN437" i="3"/>
  <c r="AP437" i="3"/>
  <c r="AR437" i="3"/>
  <c r="AT437" i="3"/>
  <c r="AV437" i="3"/>
  <c r="AX437" i="3"/>
  <c r="AZ437" i="3"/>
  <c r="BB437" i="3"/>
  <c r="B438" i="3"/>
  <c r="D438" i="3"/>
  <c r="F438" i="3"/>
  <c r="H438" i="3"/>
  <c r="J438" i="3"/>
  <c r="L438" i="3"/>
  <c r="N438" i="3"/>
  <c r="P438" i="3"/>
  <c r="R438" i="3"/>
  <c r="T438" i="3"/>
  <c r="V438" i="3"/>
  <c r="X438" i="3"/>
  <c r="Z438" i="3"/>
  <c r="AB438" i="3"/>
  <c r="AL438" i="3"/>
  <c r="AN438" i="3"/>
  <c r="AP438" i="3"/>
  <c r="AR438" i="3"/>
  <c r="AT438" i="3"/>
  <c r="AV438" i="3"/>
  <c r="AX438" i="3"/>
  <c r="AZ438" i="3"/>
  <c r="BB438" i="3"/>
  <c r="B439" i="3"/>
  <c r="D439" i="3"/>
  <c r="F439" i="3"/>
  <c r="H439" i="3"/>
  <c r="J439" i="3"/>
  <c r="L439" i="3"/>
  <c r="N439" i="3"/>
  <c r="P439" i="3"/>
  <c r="R439" i="3"/>
  <c r="T439" i="3"/>
  <c r="V439" i="3"/>
  <c r="X439" i="3"/>
  <c r="Z439" i="3"/>
  <c r="AB439" i="3"/>
  <c r="AL439" i="3"/>
  <c r="AN439" i="3"/>
  <c r="AP439" i="3"/>
  <c r="AR439" i="3"/>
  <c r="AT439" i="3"/>
  <c r="AV439" i="3"/>
  <c r="AX439" i="3"/>
  <c r="AZ439" i="3"/>
  <c r="BB439" i="3"/>
  <c r="B440" i="3"/>
  <c r="D440" i="3"/>
  <c r="F440" i="3"/>
  <c r="H440" i="3"/>
  <c r="J440" i="3"/>
  <c r="L440" i="3"/>
  <c r="N440" i="3"/>
  <c r="P440" i="3"/>
  <c r="R440" i="3"/>
  <c r="T440" i="3"/>
  <c r="V440" i="3"/>
  <c r="X440" i="3"/>
  <c r="Z440" i="3"/>
  <c r="AB440" i="3"/>
  <c r="AL440" i="3"/>
  <c r="AN440" i="3"/>
  <c r="AP440" i="3"/>
  <c r="AR440" i="3"/>
  <c r="AT440" i="3"/>
  <c r="AV440" i="3"/>
  <c r="AX440" i="3"/>
  <c r="AZ440" i="3"/>
  <c r="BB440" i="3"/>
  <c r="B441" i="3"/>
  <c r="D441" i="3"/>
  <c r="F441" i="3"/>
  <c r="H441" i="3"/>
  <c r="J441" i="3"/>
  <c r="L441" i="3"/>
  <c r="N441" i="3"/>
  <c r="P441" i="3"/>
  <c r="R441" i="3"/>
  <c r="T441" i="3"/>
  <c r="V441" i="3"/>
  <c r="X441" i="3"/>
  <c r="Z441" i="3"/>
  <c r="AB441" i="3"/>
  <c r="AL441" i="3"/>
  <c r="AN441" i="3"/>
  <c r="AP441" i="3"/>
  <c r="AR441" i="3"/>
  <c r="AT441" i="3"/>
  <c r="AV441" i="3"/>
  <c r="AX441" i="3"/>
  <c r="AZ441" i="3"/>
  <c r="BB441" i="3"/>
  <c r="B442" i="3"/>
  <c r="D442" i="3"/>
  <c r="F442" i="3"/>
  <c r="H442" i="3"/>
  <c r="J442" i="3"/>
  <c r="L442" i="3"/>
  <c r="N442" i="3"/>
  <c r="P442" i="3"/>
  <c r="R442" i="3"/>
  <c r="T442" i="3"/>
  <c r="V442" i="3"/>
  <c r="X442" i="3"/>
  <c r="Z442" i="3"/>
  <c r="AB442" i="3"/>
  <c r="AL442" i="3"/>
  <c r="AN442" i="3"/>
  <c r="AP442" i="3"/>
  <c r="AR442" i="3"/>
  <c r="AT442" i="3"/>
  <c r="AV442" i="3"/>
  <c r="AX442" i="3"/>
  <c r="AZ442" i="3"/>
  <c r="BB442" i="3"/>
  <c r="B443" i="3"/>
  <c r="D443" i="3"/>
  <c r="F443" i="3"/>
  <c r="H443" i="3"/>
  <c r="J443" i="3"/>
  <c r="L443" i="3"/>
  <c r="N443" i="3"/>
  <c r="P443" i="3"/>
  <c r="R443" i="3"/>
  <c r="T443" i="3"/>
  <c r="V443" i="3"/>
  <c r="X443" i="3"/>
  <c r="Z443" i="3"/>
  <c r="AB443" i="3"/>
  <c r="AL443" i="3"/>
  <c r="AN443" i="3"/>
  <c r="AP443" i="3"/>
  <c r="AR443" i="3"/>
  <c r="AT443" i="3"/>
  <c r="AV443" i="3"/>
  <c r="AX443" i="3"/>
  <c r="AZ443" i="3"/>
  <c r="BB443" i="3"/>
  <c r="B444" i="3"/>
  <c r="D444" i="3"/>
  <c r="F444" i="3"/>
  <c r="H444" i="3"/>
  <c r="J444" i="3"/>
  <c r="L444" i="3"/>
  <c r="N444" i="3"/>
  <c r="P444" i="3"/>
  <c r="R444" i="3"/>
  <c r="T444" i="3"/>
  <c r="V444" i="3"/>
  <c r="X444" i="3"/>
  <c r="Z444" i="3"/>
  <c r="AB444" i="3"/>
  <c r="AL444" i="3"/>
  <c r="AN444" i="3"/>
  <c r="AP444" i="3"/>
  <c r="AR444" i="3"/>
  <c r="AT444" i="3"/>
  <c r="AV444" i="3"/>
  <c r="AX444" i="3"/>
  <c r="AZ444" i="3"/>
  <c r="BB444" i="3"/>
  <c r="B445" i="3"/>
  <c r="D445" i="3"/>
  <c r="F445" i="3"/>
  <c r="H445" i="3"/>
  <c r="J445" i="3"/>
  <c r="L445" i="3"/>
  <c r="N445" i="3"/>
  <c r="P445" i="3"/>
  <c r="R445" i="3"/>
  <c r="T445" i="3"/>
  <c r="V445" i="3"/>
  <c r="X445" i="3"/>
  <c r="Z445" i="3"/>
  <c r="AB445" i="3"/>
  <c r="AL445" i="3"/>
  <c r="AN445" i="3"/>
  <c r="AP445" i="3"/>
  <c r="AR445" i="3"/>
  <c r="AT445" i="3"/>
  <c r="AV445" i="3"/>
  <c r="AX445" i="3"/>
  <c r="AZ445" i="3"/>
  <c r="BB445" i="3"/>
  <c r="B446" i="3"/>
  <c r="D446" i="3"/>
  <c r="F446" i="3"/>
  <c r="H446" i="3"/>
  <c r="J446" i="3"/>
  <c r="L446" i="3"/>
  <c r="N446" i="3"/>
  <c r="P446" i="3"/>
  <c r="R446" i="3"/>
  <c r="T446" i="3"/>
  <c r="V446" i="3"/>
  <c r="X446" i="3"/>
  <c r="Z446" i="3"/>
  <c r="AB446" i="3"/>
  <c r="AL446" i="3"/>
  <c r="AN446" i="3"/>
  <c r="AP446" i="3"/>
  <c r="AR446" i="3"/>
  <c r="AT446" i="3"/>
  <c r="AV446" i="3"/>
  <c r="AX446" i="3"/>
  <c r="AZ446" i="3"/>
  <c r="BB446" i="3"/>
  <c r="B447" i="3"/>
  <c r="D447" i="3"/>
  <c r="F447" i="3"/>
  <c r="H447" i="3"/>
  <c r="J447" i="3"/>
  <c r="L447" i="3"/>
  <c r="N447" i="3"/>
  <c r="P447" i="3"/>
  <c r="R447" i="3"/>
  <c r="T447" i="3"/>
  <c r="V447" i="3"/>
  <c r="X447" i="3"/>
  <c r="Z447" i="3"/>
  <c r="AB447" i="3"/>
  <c r="AL447" i="3"/>
  <c r="AN447" i="3"/>
  <c r="AP447" i="3"/>
  <c r="AR447" i="3"/>
  <c r="AT447" i="3"/>
  <c r="AV447" i="3"/>
  <c r="AX447" i="3"/>
  <c r="AZ447" i="3"/>
  <c r="BB447" i="3"/>
  <c r="B448" i="3"/>
  <c r="D448" i="3"/>
  <c r="F448" i="3"/>
  <c r="H448" i="3"/>
  <c r="J448" i="3"/>
  <c r="L448" i="3"/>
  <c r="N448" i="3"/>
  <c r="P448" i="3"/>
  <c r="R448" i="3"/>
  <c r="T448" i="3"/>
  <c r="V448" i="3"/>
  <c r="X448" i="3"/>
  <c r="Z448" i="3"/>
  <c r="AB448" i="3"/>
  <c r="AL448" i="3"/>
  <c r="AN448" i="3"/>
  <c r="AP448" i="3"/>
  <c r="AR448" i="3"/>
  <c r="AT448" i="3"/>
  <c r="AV448" i="3"/>
  <c r="AX448" i="3"/>
  <c r="AZ448" i="3"/>
  <c r="BB448" i="3"/>
  <c r="B449" i="3"/>
  <c r="D449" i="3"/>
  <c r="F449" i="3"/>
  <c r="H449" i="3"/>
  <c r="J449" i="3"/>
  <c r="L449" i="3"/>
  <c r="N449" i="3"/>
  <c r="P449" i="3"/>
  <c r="R449" i="3"/>
  <c r="T449" i="3"/>
  <c r="V449" i="3"/>
  <c r="X449" i="3"/>
  <c r="Z449" i="3"/>
  <c r="AB449" i="3"/>
  <c r="AL449" i="3"/>
  <c r="AN449" i="3"/>
  <c r="AP449" i="3"/>
  <c r="AR449" i="3"/>
  <c r="AT449" i="3"/>
  <c r="AV449" i="3"/>
  <c r="AX449" i="3"/>
  <c r="AZ449" i="3"/>
  <c r="BB449" i="3"/>
  <c r="B450" i="3"/>
  <c r="D450" i="3"/>
  <c r="F450" i="3"/>
  <c r="H450" i="3"/>
  <c r="J450" i="3"/>
  <c r="L450" i="3"/>
  <c r="N450" i="3"/>
  <c r="P450" i="3"/>
  <c r="R450" i="3"/>
  <c r="T450" i="3"/>
  <c r="V450" i="3"/>
  <c r="X450" i="3"/>
  <c r="Z450" i="3"/>
  <c r="AB450" i="3"/>
  <c r="AL450" i="3"/>
  <c r="AN450" i="3"/>
  <c r="AP450" i="3"/>
  <c r="AR450" i="3"/>
  <c r="AT450" i="3"/>
  <c r="AV450" i="3"/>
  <c r="AX450" i="3"/>
  <c r="AZ450" i="3"/>
  <c r="BB450" i="3"/>
  <c r="B451" i="3"/>
  <c r="D451" i="3"/>
  <c r="F451" i="3"/>
  <c r="H451" i="3"/>
  <c r="J451" i="3"/>
  <c r="L451" i="3"/>
  <c r="N451" i="3"/>
  <c r="P451" i="3"/>
  <c r="R451" i="3"/>
  <c r="T451" i="3"/>
  <c r="V451" i="3"/>
  <c r="X451" i="3"/>
  <c r="Z451" i="3"/>
  <c r="AB451" i="3"/>
  <c r="AL451" i="3"/>
  <c r="AN451" i="3"/>
  <c r="AP451" i="3"/>
  <c r="AR451" i="3"/>
  <c r="AT451" i="3"/>
  <c r="AV451" i="3"/>
  <c r="AX451" i="3"/>
  <c r="AZ451" i="3"/>
  <c r="BB451" i="3"/>
  <c r="B452" i="3"/>
  <c r="D452" i="3"/>
  <c r="F452" i="3"/>
  <c r="H452" i="3"/>
  <c r="J452" i="3"/>
  <c r="L452" i="3"/>
  <c r="N452" i="3"/>
  <c r="P452" i="3"/>
  <c r="R452" i="3"/>
  <c r="T452" i="3"/>
  <c r="V452" i="3"/>
  <c r="X452" i="3"/>
  <c r="Z452" i="3"/>
  <c r="AB452" i="3"/>
  <c r="AL452" i="3"/>
  <c r="AN452" i="3"/>
  <c r="AP452" i="3"/>
  <c r="AR452" i="3"/>
  <c r="AT452" i="3"/>
  <c r="AV452" i="3"/>
  <c r="AX452" i="3"/>
  <c r="AZ452" i="3"/>
  <c r="BB452" i="3"/>
  <c r="B453" i="3"/>
  <c r="D453" i="3"/>
  <c r="F453" i="3"/>
  <c r="H453" i="3"/>
  <c r="J453" i="3"/>
  <c r="L453" i="3"/>
  <c r="N453" i="3"/>
  <c r="P453" i="3"/>
  <c r="R453" i="3"/>
  <c r="T453" i="3"/>
  <c r="V453" i="3"/>
  <c r="X453" i="3"/>
  <c r="Z453" i="3"/>
  <c r="AB453" i="3"/>
  <c r="AL453" i="3"/>
  <c r="AN453" i="3"/>
  <c r="AP453" i="3"/>
  <c r="AR453" i="3"/>
  <c r="AT453" i="3"/>
  <c r="AV453" i="3"/>
  <c r="AX453" i="3"/>
  <c r="AZ453" i="3"/>
  <c r="BB453" i="3"/>
  <c r="B454" i="3"/>
  <c r="D454" i="3"/>
  <c r="F454" i="3"/>
  <c r="H454" i="3"/>
  <c r="J454" i="3"/>
  <c r="L454" i="3"/>
  <c r="N454" i="3"/>
  <c r="P454" i="3"/>
  <c r="R454" i="3"/>
  <c r="T454" i="3"/>
  <c r="V454" i="3"/>
  <c r="X454" i="3"/>
  <c r="Z454" i="3"/>
  <c r="AB454" i="3"/>
  <c r="AL454" i="3"/>
  <c r="AN454" i="3"/>
  <c r="AP454" i="3"/>
  <c r="AR454" i="3"/>
  <c r="AT454" i="3"/>
  <c r="AV454" i="3"/>
  <c r="AX454" i="3"/>
  <c r="AZ454" i="3"/>
  <c r="BB454" i="3"/>
  <c r="B455" i="3"/>
  <c r="D455" i="3"/>
  <c r="F455" i="3"/>
  <c r="H455" i="3"/>
  <c r="J455" i="3"/>
  <c r="L455" i="3"/>
  <c r="N455" i="3"/>
  <c r="P455" i="3"/>
  <c r="R455" i="3"/>
  <c r="T455" i="3"/>
  <c r="V455" i="3"/>
  <c r="X455" i="3"/>
  <c r="Z455" i="3"/>
  <c r="AB455" i="3"/>
  <c r="AL455" i="3"/>
  <c r="AN455" i="3"/>
  <c r="AP455" i="3"/>
  <c r="AR455" i="3"/>
  <c r="AT455" i="3"/>
  <c r="AV455" i="3"/>
  <c r="AX455" i="3"/>
  <c r="AZ455" i="3"/>
  <c r="BB455" i="3"/>
  <c r="B456" i="3"/>
  <c r="D456" i="3"/>
  <c r="F456" i="3"/>
  <c r="H456" i="3"/>
  <c r="J456" i="3"/>
  <c r="L456" i="3"/>
  <c r="N456" i="3"/>
  <c r="P456" i="3"/>
  <c r="R456" i="3"/>
  <c r="T456" i="3"/>
  <c r="V456" i="3"/>
  <c r="X456" i="3"/>
  <c r="Z456" i="3"/>
  <c r="AB456" i="3"/>
  <c r="AL456" i="3"/>
  <c r="AN456" i="3"/>
  <c r="AP456" i="3"/>
  <c r="AR456" i="3"/>
  <c r="AT456" i="3"/>
  <c r="AV456" i="3"/>
  <c r="AX456" i="3"/>
  <c r="AZ456" i="3"/>
  <c r="BB456" i="3"/>
  <c r="B457" i="3"/>
  <c r="D457" i="3"/>
  <c r="F457" i="3"/>
  <c r="H457" i="3"/>
  <c r="J457" i="3"/>
  <c r="L457" i="3"/>
  <c r="N457" i="3"/>
  <c r="P457" i="3"/>
  <c r="R457" i="3"/>
  <c r="T457" i="3"/>
  <c r="V457" i="3"/>
  <c r="X457" i="3"/>
  <c r="Z457" i="3"/>
  <c r="AB457" i="3"/>
  <c r="AL457" i="3"/>
  <c r="AN457" i="3"/>
  <c r="AP457" i="3"/>
  <c r="AR457" i="3"/>
  <c r="AT457" i="3"/>
  <c r="AV457" i="3"/>
  <c r="AX457" i="3"/>
  <c r="AZ457" i="3"/>
  <c r="BB457" i="3"/>
  <c r="B458" i="3"/>
  <c r="D458" i="3"/>
  <c r="F458" i="3"/>
  <c r="H458" i="3"/>
  <c r="J458" i="3"/>
  <c r="L458" i="3"/>
  <c r="N458" i="3"/>
  <c r="P458" i="3"/>
  <c r="R458" i="3"/>
  <c r="T458" i="3"/>
  <c r="V458" i="3"/>
  <c r="X458" i="3"/>
  <c r="Z458" i="3"/>
  <c r="AB458" i="3"/>
  <c r="AL458" i="3"/>
  <c r="AN458" i="3"/>
  <c r="AP458" i="3"/>
  <c r="AR458" i="3"/>
  <c r="AT458" i="3"/>
  <c r="AV458" i="3"/>
  <c r="AX458" i="3"/>
  <c r="AZ458" i="3"/>
  <c r="BB458" i="3"/>
  <c r="B459" i="3"/>
  <c r="D459" i="3"/>
  <c r="F459" i="3"/>
  <c r="H459" i="3"/>
  <c r="J459" i="3"/>
  <c r="L459" i="3"/>
  <c r="N459" i="3"/>
  <c r="P459" i="3"/>
  <c r="R459" i="3"/>
  <c r="T459" i="3"/>
  <c r="V459" i="3"/>
  <c r="X459" i="3"/>
  <c r="Z459" i="3"/>
  <c r="AB459" i="3"/>
  <c r="AL459" i="3"/>
  <c r="AN459" i="3"/>
  <c r="AP459" i="3"/>
  <c r="AR459" i="3"/>
  <c r="AT459" i="3"/>
  <c r="AV459" i="3"/>
  <c r="AX459" i="3"/>
  <c r="AZ459" i="3"/>
  <c r="BB459" i="3"/>
  <c r="B460" i="3"/>
  <c r="D460" i="3"/>
  <c r="F460" i="3"/>
  <c r="H460" i="3"/>
  <c r="J460" i="3"/>
  <c r="L460" i="3"/>
  <c r="N460" i="3"/>
  <c r="P460" i="3"/>
  <c r="R460" i="3"/>
  <c r="T460" i="3"/>
  <c r="V460" i="3"/>
  <c r="X460" i="3"/>
  <c r="Z460" i="3"/>
  <c r="AB460" i="3"/>
  <c r="AL460" i="3"/>
  <c r="AN460" i="3"/>
  <c r="AP460" i="3"/>
  <c r="AR460" i="3"/>
  <c r="AT460" i="3"/>
  <c r="AV460" i="3"/>
  <c r="AX460" i="3"/>
  <c r="AZ460" i="3"/>
  <c r="BB460" i="3"/>
  <c r="B461" i="3"/>
  <c r="D461" i="3"/>
  <c r="F461" i="3"/>
  <c r="H461" i="3"/>
  <c r="J461" i="3"/>
  <c r="L461" i="3"/>
  <c r="N461" i="3"/>
  <c r="P461" i="3"/>
  <c r="R461" i="3"/>
  <c r="T461" i="3"/>
  <c r="V461" i="3"/>
  <c r="X461" i="3"/>
  <c r="Z461" i="3"/>
  <c r="AB461" i="3"/>
  <c r="AL461" i="3"/>
  <c r="AN461" i="3"/>
  <c r="AP461" i="3"/>
  <c r="AR461" i="3"/>
  <c r="AT461" i="3"/>
  <c r="AV461" i="3"/>
  <c r="AX461" i="3"/>
  <c r="AZ461" i="3"/>
  <c r="BB461" i="3"/>
  <c r="B462" i="3"/>
  <c r="D462" i="3"/>
  <c r="F462" i="3"/>
  <c r="H462" i="3"/>
  <c r="J462" i="3"/>
  <c r="L462" i="3"/>
  <c r="N462" i="3"/>
  <c r="P462" i="3"/>
  <c r="R462" i="3"/>
  <c r="T462" i="3"/>
  <c r="V462" i="3"/>
  <c r="X462" i="3"/>
  <c r="Z462" i="3"/>
  <c r="AB462" i="3"/>
  <c r="AL462" i="3"/>
  <c r="AN462" i="3"/>
  <c r="AP462" i="3"/>
  <c r="AR462" i="3"/>
  <c r="AT462" i="3"/>
  <c r="AV462" i="3"/>
  <c r="AX462" i="3"/>
  <c r="AZ462" i="3"/>
  <c r="BB462" i="3"/>
  <c r="B463" i="3"/>
  <c r="D463" i="3"/>
  <c r="F463" i="3"/>
  <c r="H463" i="3"/>
  <c r="J463" i="3"/>
  <c r="L463" i="3"/>
  <c r="N463" i="3"/>
  <c r="P463" i="3"/>
  <c r="R463" i="3"/>
  <c r="T463" i="3"/>
  <c r="V463" i="3"/>
  <c r="X463" i="3"/>
  <c r="Z463" i="3"/>
  <c r="AB463" i="3"/>
  <c r="AL463" i="3"/>
  <c r="AN463" i="3"/>
  <c r="AP463" i="3"/>
  <c r="AR463" i="3"/>
  <c r="AT463" i="3"/>
  <c r="AV463" i="3"/>
  <c r="AX463" i="3"/>
  <c r="AZ463" i="3"/>
  <c r="BB463" i="3"/>
  <c r="B464" i="3"/>
  <c r="D464" i="3"/>
  <c r="F464" i="3"/>
  <c r="H464" i="3"/>
  <c r="J464" i="3"/>
  <c r="L464" i="3"/>
  <c r="N464" i="3"/>
  <c r="P464" i="3"/>
  <c r="R464" i="3"/>
  <c r="T464" i="3"/>
  <c r="V464" i="3"/>
  <c r="X464" i="3"/>
  <c r="Z464" i="3"/>
  <c r="AB464" i="3"/>
  <c r="AL464" i="3"/>
  <c r="AN464" i="3"/>
  <c r="AP464" i="3"/>
  <c r="AR464" i="3"/>
  <c r="AT464" i="3"/>
  <c r="AV464" i="3"/>
  <c r="AX464" i="3"/>
  <c r="AZ464" i="3"/>
  <c r="BB464" i="3"/>
  <c r="B465" i="3"/>
  <c r="D465" i="3"/>
  <c r="F465" i="3"/>
  <c r="H465" i="3"/>
  <c r="J465" i="3"/>
  <c r="L465" i="3"/>
  <c r="N465" i="3"/>
  <c r="P465" i="3"/>
  <c r="R465" i="3"/>
  <c r="T465" i="3"/>
  <c r="V465" i="3"/>
  <c r="X465" i="3"/>
  <c r="Z465" i="3"/>
  <c r="AB465" i="3"/>
  <c r="AL465" i="3"/>
  <c r="AN465" i="3"/>
  <c r="AP465" i="3"/>
  <c r="AR465" i="3"/>
  <c r="AT465" i="3"/>
  <c r="AV465" i="3"/>
  <c r="AX465" i="3"/>
  <c r="AZ465" i="3"/>
  <c r="BB465" i="3"/>
  <c r="B466" i="3"/>
  <c r="D466" i="3"/>
  <c r="F466" i="3"/>
  <c r="H466" i="3"/>
  <c r="J466" i="3"/>
  <c r="L466" i="3"/>
  <c r="N466" i="3"/>
  <c r="P466" i="3"/>
  <c r="R466" i="3"/>
  <c r="T466" i="3"/>
  <c r="V466" i="3"/>
  <c r="X466" i="3"/>
  <c r="Z466" i="3"/>
  <c r="AB466" i="3"/>
  <c r="AL466" i="3"/>
  <c r="AN466" i="3"/>
  <c r="AP466" i="3"/>
  <c r="AR466" i="3"/>
  <c r="AT466" i="3"/>
  <c r="AV466" i="3"/>
  <c r="AX466" i="3"/>
  <c r="AZ466" i="3"/>
  <c r="BB466" i="3"/>
  <c r="B467" i="3"/>
  <c r="D467" i="3"/>
  <c r="F467" i="3"/>
  <c r="H467" i="3"/>
  <c r="J467" i="3"/>
  <c r="L467" i="3"/>
  <c r="N467" i="3"/>
  <c r="P467" i="3"/>
  <c r="R467" i="3"/>
  <c r="T467" i="3"/>
  <c r="V467" i="3"/>
  <c r="X467" i="3"/>
  <c r="Z467" i="3"/>
  <c r="AB467" i="3"/>
  <c r="AL467" i="3"/>
  <c r="AN467" i="3"/>
  <c r="AP467" i="3"/>
  <c r="AR467" i="3"/>
  <c r="AT467" i="3"/>
  <c r="AV467" i="3"/>
  <c r="AX467" i="3"/>
  <c r="AZ467" i="3"/>
  <c r="BB467" i="3"/>
  <c r="B468" i="3"/>
  <c r="D468" i="3"/>
  <c r="F468" i="3"/>
  <c r="H468" i="3"/>
  <c r="J468" i="3"/>
  <c r="L468" i="3"/>
  <c r="N468" i="3"/>
  <c r="R468" i="3"/>
  <c r="V468" i="3"/>
  <c r="Z468" i="3"/>
  <c r="AL468" i="3"/>
  <c r="AP468" i="3"/>
  <c r="AT468" i="3"/>
  <c r="AX468" i="3"/>
  <c r="C417" i="3"/>
  <c r="E417" i="3"/>
  <c r="G417" i="3"/>
  <c r="I417" i="3"/>
  <c r="K417" i="3"/>
  <c r="M417" i="3"/>
  <c r="O417" i="3"/>
  <c r="Q417" i="3"/>
  <c r="S417" i="3"/>
  <c r="U417" i="3"/>
  <c r="W417" i="3"/>
  <c r="Y417" i="3"/>
  <c r="AA417" i="3"/>
  <c r="AK417" i="3"/>
  <c r="AM417" i="3"/>
  <c r="AO417" i="3"/>
  <c r="AQ417" i="3"/>
  <c r="AS417" i="3"/>
  <c r="AU417" i="3"/>
  <c r="AW417" i="3"/>
  <c r="AY417" i="3"/>
  <c r="C418" i="3"/>
  <c r="E418" i="3"/>
  <c r="G418" i="3"/>
  <c r="I418" i="3"/>
  <c r="K418" i="3"/>
  <c r="M418" i="3"/>
  <c r="O418" i="3"/>
  <c r="Q418" i="3"/>
  <c r="S418" i="3"/>
  <c r="U418" i="3"/>
  <c r="W418" i="3"/>
  <c r="Y418" i="3"/>
  <c r="AA418" i="3"/>
  <c r="AK418" i="3"/>
  <c r="AM418" i="3"/>
  <c r="AO418" i="3"/>
  <c r="AQ418" i="3"/>
  <c r="AS418" i="3"/>
  <c r="AU418" i="3"/>
  <c r="AW418" i="3"/>
  <c r="AY418" i="3"/>
  <c r="C419" i="3"/>
  <c r="E419" i="3"/>
  <c r="G419" i="3"/>
  <c r="I419" i="3"/>
  <c r="K419" i="3"/>
  <c r="M419" i="3"/>
  <c r="O419" i="3"/>
  <c r="Q419" i="3"/>
  <c r="S419" i="3"/>
  <c r="U419" i="3"/>
  <c r="W419" i="3"/>
  <c r="Y419" i="3"/>
  <c r="AA419" i="3"/>
  <c r="AK419" i="3"/>
  <c r="AM419" i="3"/>
  <c r="AO419" i="3"/>
  <c r="AQ419" i="3"/>
  <c r="AS419" i="3"/>
  <c r="AU419" i="3"/>
  <c r="AW419" i="3"/>
  <c r="AY419" i="3"/>
  <c r="C420" i="3"/>
  <c r="E420" i="3"/>
  <c r="G420" i="3"/>
  <c r="I420" i="3"/>
  <c r="K420" i="3"/>
  <c r="M420" i="3"/>
  <c r="O420" i="3"/>
  <c r="Q420" i="3"/>
  <c r="S420" i="3"/>
  <c r="U420" i="3"/>
  <c r="W420" i="3"/>
  <c r="Y420" i="3"/>
  <c r="AA420" i="3"/>
  <c r="AK420" i="3"/>
  <c r="AM420" i="3"/>
  <c r="AO420" i="3"/>
  <c r="AQ420" i="3"/>
  <c r="AS420" i="3"/>
  <c r="AU420" i="3"/>
  <c r="AW420" i="3"/>
  <c r="AY420" i="3"/>
  <c r="C421" i="3"/>
  <c r="E421" i="3"/>
  <c r="G421" i="3"/>
  <c r="I421" i="3"/>
  <c r="K421" i="3"/>
  <c r="M421" i="3"/>
  <c r="O421" i="3"/>
  <c r="Q421" i="3"/>
  <c r="S421" i="3"/>
  <c r="U421" i="3"/>
  <c r="W421" i="3"/>
  <c r="Y421" i="3"/>
  <c r="AA421" i="3"/>
  <c r="AK421" i="3"/>
  <c r="AM421" i="3"/>
  <c r="AO421" i="3"/>
  <c r="AQ421" i="3"/>
  <c r="AS421" i="3"/>
  <c r="AU421" i="3"/>
  <c r="AW421" i="3"/>
  <c r="AY421" i="3"/>
  <c r="C422" i="3"/>
  <c r="E422" i="3"/>
  <c r="G422" i="3"/>
  <c r="I422" i="3"/>
  <c r="K422" i="3"/>
  <c r="M422" i="3"/>
  <c r="O422" i="3"/>
  <c r="Q422" i="3"/>
  <c r="S422" i="3"/>
  <c r="U422" i="3"/>
  <c r="W422" i="3"/>
  <c r="Y422" i="3"/>
  <c r="AA422" i="3"/>
  <c r="AK422" i="3"/>
  <c r="AM422" i="3"/>
  <c r="AO422" i="3"/>
  <c r="AQ422" i="3"/>
  <c r="AS422" i="3"/>
  <c r="AU422" i="3"/>
  <c r="AW422" i="3"/>
  <c r="AY422" i="3"/>
  <c r="C423" i="3"/>
  <c r="E423" i="3"/>
  <c r="G423" i="3"/>
  <c r="I423" i="3"/>
  <c r="K423" i="3"/>
  <c r="M423" i="3"/>
  <c r="O423" i="3"/>
  <c r="Q423" i="3"/>
  <c r="S423" i="3"/>
  <c r="U423" i="3"/>
  <c r="W423" i="3"/>
  <c r="Y423" i="3"/>
  <c r="AA423" i="3"/>
  <c r="AK423" i="3"/>
  <c r="AM423" i="3"/>
  <c r="AO423" i="3"/>
  <c r="AQ423" i="3"/>
  <c r="AS423" i="3"/>
  <c r="AU423" i="3"/>
  <c r="AW423" i="3"/>
  <c r="AY423" i="3"/>
  <c r="C424" i="3"/>
  <c r="E424" i="3"/>
  <c r="G424" i="3"/>
  <c r="I424" i="3"/>
  <c r="K424" i="3"/>
  <c r="M424" i="3"/>
  <c r="O424" i="3"/>
  <c r="Q424" i="3"/>
  <c r="S424" i="3"/>
  <c r="U424" i="3"/>
  <c r="W424" i="3"/>
  <c r="Y424" i="3"/>
  <c r="AA424" i="3"/>
  <c r="AK424" i="3"/>
  <c r="AM424" i="3"/>
  <c r="AO424" i="3"/>
  <c r="AQ424" i="3"/>
  <c r="AS424" i="3"/>
  <c r="AU424" i="3"/>
  <c r="AW424" i="3"/>
  <c r="AY424" i="3"/>
  <c r="C425" i="3"/>
  <c r="E425" i="3"/>
  <c r="G425" i="3"/>
  <c r="I425" i="3"/>
  <c r="K425" i="3"/>
  <c r="M425" i="3"/>
  <c r="O425" i="3"/>
  <c r="Q425" i="3"/>
  <c r="S425" i="3"/>
  <c r="U425" i="3"/>
  <c r="W425" i="3"/>
  <c r="Y425" i="3"/>
  <c r="AA425" i="3"/>
  <c r="AK425" i="3"/>
  <c r="AM425" i="3"/>
  <c r="AO425" i="3"/>
  <c r="AQ425" i="3"/>
  <c r="AS425" i="3"/>
  <c r="AU425" i="3"/>
  <c r="AW425" i="3"/>
  <c r="AY425" i="3"/>
  <c r="C426" i="3"/>
  <c r="E426" i="3"/>
  <c r="G426" i="3"/>
  <c r="I426" i="3"/>
  <c r="K426" i="3"/>
  <c r="M426" i="3"/>
  <c r="O426" i="3"/>
  <c r="Q426" i="3"/>
  <c r="S426" i="3"/>
  <c r="U426" i="3"/>
  <c r="W426" i="3"/>
  <c r="Y426" i="3"/>
  <c r="AA426" i="3"/>
  <c r="AK426" i="3"/>
  <c r="AM426" i="3"/>
  <c r="AO426" i="3"/>
  <c r="AQ426" i="3"/>
  <c r="AS426" i="3"/>
  <c r="AU426" i="3"/>
  <c r="AW426" i="3"/>
  <c r="AY426" i="3"/>
  <c r="C427" i="3"/>
  <c r="E427" i="3"/>
  <c r="G427" i="3"/>
  <c r="I427" i="3"/>
  <c r="K427" i="3"/>
  <c r="M427" i="3"/>
  <c r="O427" i="3"/>
  <c r="Q427" i="3"/>
  <c r="S427" i="3"/>
  <c r="U427" i="3"/>
  <c r="W427" i="3"/>
  <c r="Y427" i="3"/>
  <c r="AA427" i="3"/>
  <c r="AK427" i="3"/>
  <c r="AM427" i="3"/>
  <c r="AO427" i="3"/>
  <c r="AQ427" i="3"/>
  <c r="AS427" i="3"/>
  <c r="AU427" i="3"/>
  <c r="AW427" i="3"/>
  <c r="AY427" i="3"/>
  <c r="C428" i="3"/>
  <c r="E428" i="3"/>
  <c r="G428" i="3"/>
  <c r="I428" i="3"/>
  <c r="K428" i="3"/>
  <c r="M428" i="3"/>
  <c r="O428" i="3"/>
  <c r="Q428" i="3"/>
  <c r="S428" i="3"/>
  <c r="U428" i="3"/>
  <c r="W428" i="3"/>
  <c r="Y428" i="3"/>
  <c r="AA428" i="3"/>
  <c r="AK428" i="3"/>
  <c r="AM428" i="3"/>
  <c r="AO428" i="3"/>
  <c r="AQ428" i="3"/>
  <c r="AS428" i="3"/>
  <c r="AU428" i="3"/>
  <c r="AW428" i="3"/>
  <c r="AY428" i="3"/>
  <c r="C429" i="3"/>
  <c r="E429" i="3"/>
  <c r="G429" i="3"/>
  <c r="I429" i="3"/>
  <c r="K429" i="3"/>
  <c r="M429" i="3"/>
  <c r="O429" i="3"/>
  <c r="Q429" i="3"/>
  <c r="S429" i="3"/>
  <c r="U429" i="3"/>
  <c r="W429" i="3"/>
  <c r="Y429" i="3"/>
  <c r="AA429" i="3"/>
  <c r="AK429" i="3"/>
  <c r="AM429" i="3"/>
  <c r="AO429" i="3"/>
  <c r="AQ429" i="3"/>
  <c r="AS429" i="3"/>
  <c r="AU429" i="3"/>
  <c r="AW429" i="3"/>
  <c r="AY429" i="3"/>
  <c r="C430" i="3"/>
  <c r="E430" i="3"/>
  <c r="G430" i="3"/>
  <c r="I430" i="3"/>
  <c r="K430" i="3"/>
  <c r="M430" i="3"/>
  <c r="O430" i="3"/>
  <c r="Q430" i="3"/>
  <c r="S430" i="3"/>
  <c r="U430" i="3"/>
  <c r="W430" i="3"/>
  <c r="Y430" i="3"/>
  <c r="AA430" i="3"/>
  <c r="AK430" i="3"/>
  <c r="AM430" i="3"/>
  <c r="AO430" i="3"/>
  <c r="AQ430" i="3"/>
  <c r="AS430" i="3"/>
  <c r="AU430" i="3"/>
  <c r="AW430" i="3"/>
  <c r="AY430" i="3"/>
  <c r="C431" i="3"/>
  <c r="E431" i="3"/>
  <c r="G431" i="3"/>
  <c r="I431" i="3"/>
  <c r="K431" i="3"/>
  <c r="M431" i="3"/>
  <c r="O431" i="3"/>
  <c r="Q431" i="3"/>
  <c r="S431" i="3"/>
  <c r="U431" i="3"/>
  <c r="W431" i="3"/>
  <c r="Y431" i="3"/>
  <c r="AA431" i="3"/>
  <c r="AK431" i="3"/>
  <c r="AM431" i="3"/>
  <c r="AO431" i="3"/>
  <c r="AQ431" i="3"/>
  <c r="AS431" i="3"/>
  <c r="AU431" i="3"/>
  <c r="AW431" i="3"/>
  <c r="AY431" i="3"/>
  <c r="C432" i="3"/>
  <c r="E432" i="3"/>
  <c r="G432" i="3"/>
  <c r="I432" i="3"/>
  <c r="K432" i="3"/>
  <c r="M432" i="3"/>
  <c r="O432" i="3"/>
  <c r="Q432" i="3"/>
  <c r="S432" i="3"/>
  <c r="U432" i="3"/>
  <c r="W432" i="3"/>
  <c r="Y432" i="3"/>
  <c r="AA432" i="3"/>
  <c r="AK432" i="3"/>
  <c r="AM432" i="3"/>
  <c r="AO432" i="3"/>
  <c r="AQ432" i="3"/>
  <c r="AS432" i="3"/>
  <c r="AU432" i="3"/>
  <c r="AW432" i="3"/>
  <c r="AY432" i="3"/>
  <c r="C433" i="3"/>
  <c r="E433" i="3"/>
  <c r="G433" i="3"/>
  <c r="I433" i="3"/>
  <c r="K433" i="3"/>
  <c r="M433" i="3"/>
  <c r="O433" i="3"/>
  <c r="Q433" i="3"/>
  <c r="S433" i="3"/>
  <c r="U433" i="3"/>
  <c r="W433" i="3"/>
  <c r="Y433" i="3"/>
  <c r="AA433" i="3"/>
  <c r="AK433" i="3"/>
  <c r="AM433" i="3"/>
  <c r="AO433" i="3"/>
  <c r="AQ433" i="3"/>
  <c r="AS433" i="3"/>
  <c r="AU433" i="3"/>
  <c r="AW433" i="3"/>
  <c r="AY433" i="3"/>
  <c r="C434" i="3"/>
  <c r="E434" i="3"/>
  <c r="G434" i="3"/>
  <c r="I434" i="3"/>
  <c r="K434" i="3"/>
  <c r="M434" i="3"/>
  <c r="O434" i="3"/>
  <c r="Q434" i="3"/>
  <c r="S434" i="3"/>
  <c r="U434" i="3"/>
  <c r="W434" i="3"/>
  <c r="Y434" i="3"/>
  <c r="AA434" i="3"/>
  <c r="AK434" i="3"/>
  <c r="AM434" i="3"/>
  <c r="AO434" i="3"/>
  <c r="AQ434" i="3"/>
  <c r="AS434" i="3"/>
  <c r="AU434" i="3"/>
  <c r="AW434" i="3"/>
  <c r="AY434" i="3"/>
  <c r="C435" i="3"/>
  <c r="E435" i="3"/>
  <c r="G435" i="3"/>
  <c r="I435" i="3"/>
  <c r="K435" i="3"/>
  <c r="M435" i="3"/>
  <c r="O435" i="3"/>
  <c r="Q435" i="3"/>
  <c r="S435" i="3"/>
  <c r="U435" i="3"/>
  <c r="W435" i="3"/>
  <c r="Y435" i="3"/>
  <c r="AA435" i="3"/>
  <c r="AK435" i="3"/>
  <c r="AM435" i="3"/>
  <c r="AO435" i="3"/>
  <c r="AQ435" i="3"/>
  <c r="AS435" i="3"/>
  <c r="AU435" i="3"/>
  <c r="AW435" i="3"/>
  <c r="AY435" i="3"/>
  <c r="C436" i="3"/>
  <c r="E436" i="3"/>
  <c r="G436" i="3"/>
  <c r="I436" i="3"/>
  <c r="K436" i="3"/>
  <c r="M436" i="3"/>
  <c r="O436" i="3"/>
  <c r="Q436" i="3"/>
  <c r="S436" i="3"/>
  <c r="U436" i="3"/>
  <c r="W436" i="3"/>
  <c r="Y436" i="3"/>
  <c r="AA436" i="3"/>
  <c r="AK436" i="3"/>
  <c r="AM436" i="3"/>
  <c r="AO436" i="3"/>
  <c r="AQ436" i="3"/>
  <c r="AS436" i="3"/>
  <c r="AU436" i="3"/>
  <c r="AW436" i="3"/>
  <c r="AY436" i="3"/>
  <c r="C437" i="3"/>
  <c r="E437" i="3"/>
  <c r="G437" i="3"/>
  <c r="I437" i="3"/>
  <c r="K437" i="3"/>
  <c r="M437" i="3"/>
  <c r="O437" i="3"/>
  <c r="Q437" i="3"/>
  <c r="S437" i="3"/>
  <c r="U437" i="3"/>
  <c r="W437" i="3"/>
  <c r="Y437" i="3"/>
  <c r="AA437" i="3"/>
  <c r="AK437" i="3"/>
  <c r="AM437" i="3"/>
  <c r="AO437" i="3"/>
  <c r="AQ437" i="3"/>
  <c r="AS437" i="3"/>
  <c r="AU437" i="3"/>
  <c r="AW437" i="3"/>
  <c r="AY437" i="3"/>
  <c r="C438" i="3"/>
  <c r="E438" i="3"/>
  <c r="G438" i="3"/>
  <c r="I438" i="3"/>
  <c r="K438" i="3"/>
  <c r="M438" i="3"/>
  <c r="O438" i="3"/>
  <c r="Q438" i="3"/>
  <c r="S438" i="3"/>
  <c r="U438" i="3"/>
  <c r="W438" i="3"/>
  <c r="Y438" i="3"/>
  <c r="AA438" i="3"/>
  <c r="AK438" i="3"/>
  <c r="AM438" i="3"/>
  <c r="AO438" i="3"/>
  <c r="AQ438" i="3"/>
  <c r="AS438" i="3"/>
  <c r="AU438" i="3"/>
  <c r="AW438" i="3"/>
  <c r="AY438" i="3"/>
  <c r="C439" i="3"/>
  <c r="E439" i="3"/>
  <c r="G439" i="3"/>
  <c r="I439" i="3"/>
  <c r="K439" i="3"/>
  <c r="M439" i="3"/>
  <c r="O439" i="3"/>
  <c r="Q439" i="3"/>
  <c r="S439" i="3"/>
  <c r="U439" i="3"/>
  <c r="W439" i="3"/>
  <c r="Y439" i="3"/>
  <c r="AA439" i="3"/>
  <c r="AK439" i="3"/>
  <c r="AM439" i="3"/>
  <c r="AO439" i="3"/>
  <c r="AQ439" i="3"/>
  <c r="AS439" i="3"/>
  <c r="AU439" i="3"/>
  <c r="AW439" i="3"/>
  <c r="AY439" i="3"/>
  <c r="C440" i="3"/>
  <c r="E440" i="3"/>
  <c r="G440" i="3"/>
  <c r="I440" i="3"/>
  <c r="K440" i="3"/>
  <c r="M440" i="3"/>
  <c r="O440" i="3"/>
  <c r="Q440" i="3"/>
  <c r="S440" i="3"/>
  <c r="U440" i="3"/>
  <c r="W440" i="3"/>
  <c r="Y440" i="3"/>
  <c r="AA440" i="3"/>
  <c r="AK440" i="3"/>
  <c r="AM440" i="3"/>
  <c r="AO440" i="3"/>
  <c r="AQ440" i="3"/>
  <c r="AS440" i="3"/>
  <c r="AU440" i="3"/>
  <c r="AW440" i="3"/>
  <c r="AY440" i="3"/>
  <c r="C441" i="3"/>
  <c r="E441" i="3"/>
  <c r="G441" i="3"/>
  <c r="I441" i="3"/>
  <c r="K441" i="3"/>
  <c r="M441" i="3"/>
  <c r="O441" i="3"/>
  <c r="Q441" i="3"/>
  <c r="S441" i="3"/>
  <c r="U441" i="3"/>
  <c r="W441" i="3"/>
  <c r="Y441" i="3"/>
  <c r="AA441" i="3"/>
  <c r="AK441" i="3"/>
  <c r="AM441" i="3"/>
  <c r="AO441" i="3"/>
  <c r="AQ441" i="3"/>
  <c r="AS441" i="3"/>
  <c r="AU441" i="3"/>
  <c r="AW441" i="3"/>
  <c r="AY441" i="3"/>
  <c r="C442" i="3"/>
  <c r="E442" i="3"/>
  <c r="G442" i="3"/>
  <c r="I442" i="3"/>
  <c r="K442" i="3"/>
  <c r="M442" i="3"/>
  <c r="O442" i="3"/>
  <c r="Q442" i="3"/>
  <c r="S442" i="3"/>
  <c r="U442" i="3"/>
  <c r="W442" i="3"/>
  <c r="Y442" i="3"/>
  <c r="AA442" i="3"/>
  <c r="AK442" i="3"/>
  <c r="AM442" i="3"/>
  <c r="AO442" i="3"/>
  <c r="AQ442" i="3"/>
  <c r="AS442" i="3"/>
  <c r="AU442" i="3"/>
  <c r="AW442" i="3"/>
  <c r="AY442" i="3"/>
  <c r="C443" i="3"/>
  <c r="E443" i="3"/>
  <c r="G443" i="3"/>
  <c r="I443" i="3"/>
  <c r="K443" i="3"/>
  <c r="M443" i="3"/>
  <c r="O443" i="3"/>
  <c r="Q443" i="3"/>
  <c r="S443" i="3"/>
  <c r="U443" i="3"/>
  <c r="W443" i="3"/>
  <c r="Y443" i="3"/>
  <c r="AA443" i="3"/>
  <c r="AK443" i="3"/>
  <c r="AM443" i="3"/>
  <c r="AO443" i="3"/>
  <c r="AQ443" i="3"/>
  <c r="AS443" i="3"/>
  <c r="AU443" i="3"/>
  <c r="AW443" i="3"/>
  <c r="AY443" i="3"/>
  <c r="C444" i="3"/>
  <c r="E444" i="3"/>
  <c r="G444" i="3"/>
  <c r="I444" i="3"/>
  <c r="K444" i="3"/>
  <c r="M444" i="3"/>
  <c r="O444" i="3"/>
  <c r="Q444" i="3"/>
  <c r="S444" i="3"/>
  <c r="U444" i="3"/>
  <c r="W444" i="3"/>
  <c r="Y444" i="3"/>
  <c r="AA444" i="3"/>
  <c r="AK444" i="3"/>
  <c r="AM444" i="3"/>
  <c r="AO444" i="3"/>
  <c r="AQ444" i="3"/>
  <c r="AS444" i="3"/>
  <c r="AU444" i="3"/>
  <c r="AW444" i="3"/>
  <c r="AY444" i="3"/>
  <c r="C445" i="3"/>
  <c r="E445" i="3"/>
  <c r="G445" i="3"/>
  <c r="I445" i="3"/>
  <c r="K445" i="3"/>
  <c r="M445" i="3"/>
  <c r="O445" i="3"/>
  <c r="Q445" i="3"/>
  <c r="S445" i="3"/>
  <c r="U445" i="3"/>
  <c r="W445" i="3"/>
  <c r="Y445" i="3"/>
  <c r="AA445" i="3"/>
  <c r="AK445" i="3"/>
  <c r="AM445" i="3"/>
  <c r="AO445" i="3"/>
  <c r="AQ445" i="3"/>
  <c r="AS445" i="3"/>
  <c r="AU445" i="3"/>
  <c r="AW445" i="3"/>
  <c r="AY445" i="3"/>
  <c r="C446" i="3"/>
  <c r="E446" i="3"/>
  <c r="G446" i="3"/>
  <c r="I446" i="3"/>
  <c r="K446" i="3"/>
  <c r="M446" i="3"/>
  <c r="O446" i="3"/>
  <c r="Q446" i="3"/>
  <c r="S446" i="3"/>
  <c r="U446" i="3"/>
  <c r="W446" i="3"/>
  <c r="Y446" i="3"/>
  <c r="AA446" i="3"/>
  <c r="AK446" i="3"/>
  <c r="AM446" i="3"/>
  <c r="AO446" i="3"/>
  <c r="AQ446" i="3"/>
  <c r="AS446" i="3"/>
  <c r="AU446" i="3"/>
  <c r="AW446" i="3"/>
  <c r="AY446" i="3"/>
  <c r="C447" i="3"/>
  <c r="E447" i="3"/>
  <c r="G447" i="3"/>
  <c r="I447" i="3"/>
  <c r="K447" i="3"/>
  <c r="M447" i="3"/>
  <c r="O447" i="3"/>
  <c r="Q447" i="3"/>
  <c r="S447" i="3"/>
  <c r="U447" i="3"/>
  <c r="W447" i="3"/>
  <c r="Y447" i="3"/>
  <c r="AA447" i="3"/>
  <c r="AK447" i="3"/>
  <c r="AM447" i="3"/>
  <c r="AO447" i="3"/>
  <c r="AQ447" i="3"/>
  <c r="AS447" i="3"/>
  <c r="AU447" i="3"/>
  <c r="AW447" i="3"/>
  <c r="AY447" i="3"/>
  <c r="C448" i="3"/>
  <c r="E448" i="3"/>
  <c r="G448" i="3"/>
  <c r="I448" i="3"/>
  <c r="K448" i="3"/>
  <c r="M448" i="3"/>
  <c r="O448" i="3"/>
  <c r="Q448" i="3"/>
  <c r="S448" i="3"/>
  <c r="U448" i="3"/>
  <c r="W448" i="3"/>
  <c r="Y448" i="3"/>
  <c r="AA448" i="3"/>
  <c r="AK448" i="3"/>
  <c r="AM448" i="3"/>
  <c r="AO448" i="3"/>
  <c r="AQ448" i="3"/>
  <c r="AS448" i="3"/>
  <c r="AU448" i="3"/>
  <c r="AW448" i="3"/>
  <c r="AY448" i="3"/>
  <c r="C449" i="3"/>
  <c r="E449" i="3"/>
  <c r="G449" i="3"/>
  <c r="I449" i="3"/>
  <c r="K449" i="3"/>
  <c r="M449" i="3"/>
  <c r="O449" i="3"/>
  <c r="Q449" i="3"/>
  <c r="S449" i="3"/>
  <c r="U449" i="3"/>
  <c r="W449" i="3"/>
  <c r="Y449" i="3"/>
  <c r="AA449" i="3"/>
  <c r="AK449" i="3"/>
  <c r="AM449" i="3"/>
  <c r="AO449" i="3"/>
  <c r="AQ449" i="3"/>
  <c r="AS449" i="3"/>
  <c r="AU449" i="3"/>
  <c r="AW449" i="3"/>
  <c r="AY449" i="3"/>
  <c r="C450" i="3"/>
  <c r="E450" i="3"/>
  <c r="G450" i="3"/>
  <c r="I450" i="3"/>
  <c r="K450" i="3"/>
  <c r="M450" i="3"/>
  <c r="O450" i="3"/>
  <c r="Q450" i="3"/>
  <c r="S450" i="3"/>
  <c r="U450" i="3"/>
  <c r="W450" i="3"/>
  <c r="Y450" i="3"/>
  <c r="AA450" i="3"/>
  <c r="AK450" i="3"/>
  <c r="AM450" i="3"/>
  <c r="AO450" i="3"/>
  <c r="AQ450" i="3"/>
  <c r="AS450" i="3"/>
  <c r="AU450" i="3"/>
  <c r="AW450" i="3"/>
  <c r="AY450" i="3"/>
  <c r="C451" i="3"/>
  <c r="E451" i="3"/>
  <c r="G451" i="3"/>
  <c r="I451" i="3"/>
  <c r="K451" i="3"/>
  <c r="M451" i="3"/>
  <c r="O451" i="3"/>
  <c r="Q451" i="3"/>
  <c r="S451" i="3"/>
  <c r="U451" i="3"/>
  <c r="W451" i="3"/>
  <c r="Y451" i="3"/>
  <c r="AA451" i="3"/>
  <c r="AK451" i="3"/>
  <c r="AM451" i="3"/>
  <c r="AO451" i="3"/>
  <c r="AQ451" i="3"/>
  <c r="AS451" i="3"/>
  <c r="AU451" i="3"/>
  <c r="AW451" i="3"/>
  <c r="AY451" i="3"/>
  <c r="C452" i="3"/>
  <c r="E452" i="3"/>
  <c r="G452" i="3"/>
  <c r="I452" i="3"/>
  <c r="K452" i="3"/>
  <c r="M452" i="3"/>
  <c r="O452" i="3"/>
  <c r="Q452" i="3"/>
  <c r="S452" i="3"/>
  <c r="U452" i="3"/>
  <c r="W452" i="3"/>
  <c r="Y452" i="3"/>
  <c r="AA452" i="3"/>
  <c r="AK452" i="3"/>
  <c r="AM452" i="3"/>
  <c r="AO452" i="3"/>
  <c r="AQ452" i="3"/>
  <c r="AS452" i="3"/>
  <c r="AU452" i="3"/>
  <c r="AW452" i="3"/>
  <c r="AY452" i="3"/>
  <c r="C453" i="3"/>
  <c r="E453" i="3"/>
  <c r="G453" i="3"/>
  <c r="I453" i="3"/>
  <c r="K453" i="3"/>
  <c r="M453" i="3"/>
  <c r="O453" i="3"/>
  <c r="Q453" i="3"/>
  <c r="S453" i="3"/>
  <c r="U453" i="3"/>
  <c r="W453" i="3"/>
  <c r="Y453" i="3"/>
  <c r="AA453" i="3"/>
  <c r="AK453" i="3"/>
  <c r="AM453" i="3"/>
  <c r="AO453" i="3"/>
  <c r="AQ453" i="3"/>
  <c r="AS453" i="3"/>
  <c r="AU453" i="3"/>
  <c r="AW453" i="3"/>
  <c r="AY453" i="3"/>
  <c r="C454" i="3"/>
  <c r="E454" i="3"/>
  <c r="G454" i="3"/>
  <c r="I454" i="3"/>
  <c r="K454" i="3"/>
  <c r="M454" i="3"/>
  <c r="O454" i="3"/>
  <c r="Q454" i="3"/>
  <c r="S454" i="3"/>
  <c r="U454" i="3"/>
  <c r="W454" i="3"/>
  <c r="Y454" i="3"/>
  <c r="AA454" i="3"/>
  <c r="AK454" i="3"/>
  <c r="AM454" i="3"/>
  <c r="AO454" i="3"/>
  <c r="AQ454" i="3"/>
  <c r="AS454" i="3"/>
  <c r="AU454" i="3"/>
  <c r="AW454" i="3"/>
  <c r="AY454" i="3"/>
  <c r="C455" i="3"/>
  <c r="E455" i="3"/>
  <c r="G455" i="3"/>
  <c r="I455" i="3"/>
  <c r="K455" i="3"/>
  <c r="M455" i="3"/>
  <c r="O455" i="3"/>
  <c r="Q455" i="3"/>
  <c r="S455" i="3"/>
  <c r="U455" i="3"/>
  <c r="W455" i="3"/>
  <c r="Y455" i="3"/>
  <c r="AA455" i="3"/>
  <c r="AK455" i="3"/>
  <c r="AM455" i="3"/>
  <c r="AO455" i="3"/>
  <c r="AQ455" i="3"/>
  <c r="AS455" i="3"/>
  <c r="AU455" i="3"/>
  <c r="AW455" i="3"/>
  <c r="AY455" i="3"/>
  <c r="C456" i="3"/>
  <c r="E456" i="3"/>
  <c r="G456" i="3"/>
  <c r="I456" i="3"/>
  <c r="K456" i="3"/>
  <c r="M456" i="3"/>
  <c r="O456" i="3"/>
  <c r="Q456" i="3"/>
  <c r="S456" i="3"/>
  <c r="U456" i="3"/>
  <c r="W456" i="3"/>
  <c r="Y456" i="3"/>
  <c r="AA456" i="3"/>
  <c r="AK456" i="3"/>
  <c r="AM456" i="3"/>
  <c r="AO456" i="3"/>
  <c r="AQ456" i="3"/>
  <c r="AS456" i="3"/>
  <c r="AU456" i="3"/>
  <c r="AW456" i="3"/>
  <c r="AY456" i="3"/>
  <c r="C457" i="3"/>
  <c r="E457" i="3"/>
  <c r="G457" i="3"/>
  <c r="I457" i="3"/>
  <c r="K457" i="3"/>
  <c r="M457" i="3"/>
  <c r="O457" i="3"/>
  <c r="Q457" i="3"/>
  <c r="S457" i="3"/>
  <c r="U457" i="3"/>
  <c r="W457" i="3"/>
  <c r="Y457" i="3"/>
  <c r="AA457" i="3"/>
  <c r="AK457" i="3"/>
  <c r="AM457" i="3"/>
  <c r="AO457" i="3"/>
  <c r="AQ457" i="3"/>
  <c r="AS457" i="3"/>
  <c r="AU457" i="3"/>
  <c r="AW457" i="3"/>
  <c r="AY457" i="3"/>
  <c r="C458" i="3"/>
  <c r="E458" i="3"/>
  <c r="G458" i="3"/>
  <c r="I458" i="3"/>
  <c r="K458" i="3"/>
  <c r="M458" i="3"/>
  <c r="O458" i="3"/>
  <c r="Q458" i="3"/>
  <c r="S458" i="3"/>
  <c r="U458" i="3"/>
  <c r="W458" i="3"/>
  <c r="Y458" i="3"/>
  <c r="AA458" i="3"/>
  <c r="AK458" i="3"/>
  <c r="AM458" i="3"/>
  <c r="AO458" i="3"/>
  <c r="AQ458" i="3"/>
  <c r="AS458" i="3"/>
  <c r="AU458" i="3"/>
  <c r="AW458" i="3"/>
  <c r="AY458" i="3"/>
  <c r="C459" i="3"/>
  <c r="E459" i="3"/>
  <c r="G459" i="3"/>
  <c r="I459" i="3"/>
  <c r="K459" i="3"/>
  <c r="M459" i="3"/>
  <c r="O459" i="3"/>
  <c r="Q459" i="3"/>
  <c r="S459" i="3"/>
  <c r="U459" i="3"/>
  <c r="W459" i="3"/>
  <c r="Y459" i="3"/>
  <c r="AA459" i="3"/>
  <c r="AK459" i="3"/>
  <c r="AM459" i="3"/>
  <c r="AO459" i="3"/>
  <c r="AQ459" i="3"/>
  <c r="AS459" i="3"/>
  <c r="AU459" i="3"/>
  <c r="AW459" i="3"/>
  <c r="AY459" i="3"/>
  <c r="C460" i="3"/>
  <c r="E460" i="3"/>
  <c r="G460" i="3"/>
  <c r="I460" i="3"/>
  <c r="K460" i="3"/>
  <c r="M460" i="3"/>
  <c r="O460" i="3"/>
  <c r="Q460" i="3"/>
  <c r="S460" i="3"/>
  <c r="U460" i="3"/>
  <c r="W460" i="3"/>
  <c r="Y460" i="3"/>
  <c r="AA460" i="3"/>
  <c r="AK460" i="3"/>
  <c r="AM460" i="3"/>
  <c r="AO460" i="3"/>
  <c r="AQ460" i="3"/>
  <c r="AS460" i="3"/>
  <c r="AU460" i="3"/>
  <c r="AW460" i="3"/>
  <c r="AY460" i="3"/>
  <c r="C461" i="3"/>
  <c r="E461" i="3"/>
  <c r="G461" i="3"/>
  <c r="I461" i="3"/>
  <c r="K461" i="3"/>
  <c r="M461" i="3"/>
  <c r="O461" i="3"/>
  <c r="Q461" i="3"/>
  <c r="S461" i="3"/>
  <c r="U461" i="3"/>
  <c r="W461" i="3"/>
  <c r="Y461" i="3"/>
  <c r="AA461" i="3"/>
  <c r="AK461" i="3"/>
  <c r="AM461" i="3"/>
  <c r="AO461" i="3"/>
  <c r="AQ461" i="3"/>
  <c r="AS461" i="3"/>
  <c r="AU461" i="3"/>
  <c r="AW461" i="3"/>
  <c r="AY461" i="3"/>
  <c r="C462" i="3"/>
  <c r="E462" i="3"/>
  <c r="G462" i="3"/>
  <c r="I462" i="3"/>
  <c r="K462" i="3"/>
  <c r="M462" i="3"/>
  <c r="O462" i="3"/>
  <c r="Q462" i="3"/>
  <c r="S462" i="3"/>
  <c r="U462" i="3"/>
  <c r="W462" i="3"/>
  <c r="Y462" i="3"/>
  <c r="AA462" i="3"/>
  <c r="AK462" i="3"/>
  <c r="AM462" i="3"/>
  <c r="AO462" i="3"/>
  <c r="AQ462" i="3"/>
  <c r="AS462" i="3"/>
  <c r="AU462" i="3"/>
  <c r="AW462" i="3"/>
  <c r="AY462" i="3"/>
  <c r="C463" i="3"/>
  <c r="E463" i="3"/>
  <c r="G463" i="3"/>
  <c r="I463" i="3"/>
  <c r="K463" i="3"/>
  <c r="M463" i="3"/>
  <c r="O463" i="3"/>
  <c r="Q463" i="3"/>
  <c r="S463" i="3"/>
  <c r="U463" i="3"/>
  <c r="W463" i="3"/>
  <c r="Y463" i="3"/>
  <c r="AA463" i="3"/>
  <c r="AK463" i="3"/>
  <c r="AM463" i="3"/>
  <c r="AO463" i="3"/>
  <c r="AQ463" i="3"/>
  <c r="AS463" i="3"/>
  <c r="AU463" i="3"/>
  <c r="AW463" i="3"/>
  <c r="AY463" i="3"/>
  <c r="C464" i="3"/>
  <c r="E464" i="3"/>
  <c r="G464" i="3"/>
  <c r="I464" i="3"/>
  <c r="K464" i="3"/>
  <c r="M464" i="3"/>
  <c r="O464" i="3"/>
  <c r="Q464" i="3"/>
  <c r="S464" i="3"/>
  <c r="U464" i="3"/>
  <c r="W464" i="3"/>
  <c r="Y464" i="3"/>
  <c r="AA464" i="3"/>
  <c r="AK464" i="3"/>
  <c r="AM464" i="3"/>
  <c r="AO464" i="3"/>
  <c r="AQ464" i="3"/>
  <c r="AS464" i="3"/>
  <c r="AU464" i="3"/>
  <c r="AW464" i="3"/>
  <c r="AY464" i="3"/>
  <c r="C465" i="3"/>
  <c r="E465" i="3"/>
  <c r="G465" i="3"/>
  <c r="I465" i="3"/>
  <c r="K465" i="3"/>
  <c r="M465" i="3"/>
  <c r="O465" i="3"/>
  <c r="Q465" i="3"/>
  <c r="S465" i="3"/>
  <c r="U465" i="3"/>
  <c r="W465" i="3"/>
  <c r="Y465" i="3"/>
  <c r="AA465" i="3"/>
  <c r="AK465" i="3"/>
  <c r="AM465" i="3"/>
  <c r="AO465" i="3"/>
  <c r="AQ465" i="3"/>
  <c r="AS465" i="3"/>
  <c r="AU465" i="3"/>
  <c r="AW465" i="3"/>
  <c r="AY465" i="3"/>
  <c r="C466" i="3"/>
  <c r="E466" i="3"/>
  <c r="G466" i="3"/>
  <c r="I466" i="3"/>
  <c r="K466" i="3"/>
  <c r="M466" i="3"/>
  <c r="O466" i="3"/>
  <c r="Q466" i="3"/>
  <c r="S466" i="3"/>
  <c r="U466" i="3"/>
  <c r="W466" i="3"/>
  <c r="Y466" i="3"/>
  <c r="AA466" i="3"/>
  <c r="AK466" i="3"/>
  <c r="AM466" i="3"/>
  <c r="AO466" i="3"/>
  <c r="AQ466" i="3"/>
  <c r="AS466" i="3"/>
  <c r="AU466" i="3"/>
  <c r="AW466" i="3"/>
  <c r="AY466" i="3"/>
  <c r="C467" i="3"/>
  <c r="E467" i="3"/>
  <c r="G467" i="3"/>
  <c r="I467" i="3"/>
  <c r="K467" i="3"/>
  <c r="M467" i="3"/>
  <c r="O467" i="3"/>
  <c r="Q467" i="3"/>
  <c r="S467" i="3"/>
  <c r="U467" i="3"/>
  <c r="W467" i="3"/>
  <c r="Y467" i="3"/>
  <c r="AA467" i="3"/>
  <c r="AK467" i="3"/>
  <c r="AM467" i="3"/>
  <c r="AO467" i="3"/>
  <c r="AQ467" i="3"/>
  <c r="AS467" i="3"/>
  <c r="AU467" i="3"/>
  <c r="AW467" i="3"/>
  <c r="AY467" i="3"/>
  <c r="BA468" i="3"/>
  <c r="AY468" i="3"/>
  <c r="AW468" i="3"/>
  <c r="AU468" i="3"/>
  <c r="AS468" i="3"/>
  <c r="AQ468" i="3"/>
  <c r="AO468" i="3"/>
  <c r="AM468" i="3"/>
  <c r="AK468" i="3"/>
  <c r="AA468" i="3"/>
  <c r="Y468" i="3"/>
  <c r="W468" i="3"/>
  <c r="U468" i="3"/>
  <c r="S468" i="3"/>
  <c r="Q468" i="3"/>
  <c r="O468" i="3"/>
  <c r="C468" i="3"/>
  <c r="E468" i="3"/>
  <c r="G468" i="3"/>
  <c r="I468" i="3"/>
  <c r="K468" i="3"/>
  <c r="M468" i="3"/>
  <c r="P468" i="3"/>
  <c r="T468" i="3"/>
  <c r="X468" i="3"/>
  <c r="AB468" i="3"/>
  <c r="AN468" i="3"/>
  <c r="AR468" i="3"/>
  <c r="AV468" i="3"/>
  <c r="AZ468" i="3"/>
  <c r="N675" i="3"/>
  <c r="P675" i="3"/>
  <c r="R675" i="3"/>
  <c r="T675" i="3"/>
  <c r="V675" i="3"/>
  <c r="X675" i="3"/>
  <c r="Z675" i="3"/>
  <c r="AB675" i="3"/>
  <c r="AL675" i="3"/>
  <c r="AN675" i="3"/>
  <c r="AP675" i="3"/>
  <c r="AR675" i="3"/>
  <c r="AT675" i="3"/>
  <c r="AV675" i="3"/>
  <c r="AX675" i="3"/>
  <c r="AZ675" i="3"/>
  <c r="BB675" i="3"/>
  <c r="B676" i="3"/>
  <c r="D676" i="3"/>
  <c r="F676" i="3"/>
  <c r="H676" i="3"/>
  <c r="J676" i="3"/>
  <c r="L676" i="3"/>
  <c r="N676" i="3"/>
  <c r="P676" i="3"/>
  <c r="R676" i="3"/>
  <c r="T676" i="3"/>
  <c r="V676" i="3"/>
  <c r="X676" i="3"/>
  <c r="Z676" i="3"/>
  <c r="AB676" i="3"/>
  <c r="AL676" i="3"/>
  <c r="AN676" i="3"/>
  <c r="AP676" i="3"/>
  <c r="AR676" i="3"/>
  <c r="AT676" i="3"/>
  <c r="AV676" i="3"/>
  <c r="AX676" i="3"/>
  <c r="AZ676" i="3"/>
  <c r="BB676" i="3"/>
  <c r="B677" i="3"/>
  <c r="D677" i="3"/>
  <c r="F677" i="3"/>
  <c r="H677" i="3"/>
  <c r="J677" i="3"/>
  <c r="L677" i="3"/>
  <c r="N677" i="3"/>
  <c r="P677" i="3"/>
  <c r="R677" i="3"/>
  <c r="T677" i="3"/>
  <c r="V677" i="3"/>
  <c r="X677" i="3"/>
  <c r="Z677" i="3"/>
  <c r="AB677" i="3"/>
  <c r="AL677" i="3"/>
  <c r="AN677" i="3"/>
  <c r="AP677" i="3"/>
  <c r="AR677" i="3"/>
  <c r="AT677" i="3"/>
  <c r="AV677" i="3"/>
  <c r="AX677" i="3"/>
  <c r="AZ677" i="3"/>
  <c r="BB677" i="3"/>
  <c r="B678" i="3"/>
  <c r="D678" i="3"/>
  <c r="F678" i="3"/>
  <c r="H678" i="3"/>
  <c r="J678" i="3"/>
  <c r="L678" i="3"/>
  <c r="N678" i="3"/>
  <c r="P678" i="3"/>
  <c r="R678" i="3"/>
  <c r="T678" i="3"/>
  <c r="V678" i="3"/>
  <c r="X678" i="3"/>
  <c r="Z678" i="3"/>
  <c r="AB678" i="3"/>
  <c r="AL678" i="3"/>
  <c r="AN678" i="3"/>
  <c r="AP678" i="3"/>
  <c r="AR678" i="3"/>
  <c r="AT678" i="3"/>
  <c r="AV678" i="3"/>
  <c r="AX678" i="3"/>
  <c r="AZ678" i="3"/>
  <c r="BB678" i="3"/>
  <c r="B679" i="3"/>
  <c r="D679" i="3"/>
  <c r="F679" i="3"/>
  <c r="H679" i="3"/>
  <c r="J679" i="3"/>
  <c r="L679" i="3"/>
  <c r="N679" i="3"/>
  <c r="P679" i="3"/>
  <c r="R679" i="3"/>
  <c r="T679" i="3"/>
  <c r="V679" i="3"/>
  <c r="X679" i="3"/>
  <c r="Z679" i="3"/>
  <c r="AB679" i="3"/>
  <c r="AL679" i="3"/>
  <c r="AN679" i="3"/>
  <c r="AP679" i="3"/>
  <c r="AR679" i="3"/>
  <c r="AT679" i="3"/>
  <c r="AV679" i="3"/>
  <c r="AX679" i="3"/>
  <c r="AZ679" i="3"/>
  <c r="BB679" i="3"/>
  <c r="B680" i="3"/>
  <c r="D680" i="3"/>
  <c r="F680" i="3"/>
  <c r="H680" i="3"/>
  <c r="J680" i="3"/>
  <c r="L680" i="3"/>
  <c r="N680" i="3"/>
  <c r="P680" i="3"/>
  <c r="R680" i="3"/>
  <c r="T680" i="3"/>
  <c r="V680" i="3"/>
  <c r="X680" i="3"/>
  <c r="Z680" i="3"/>
  <c r="AB680" i="3"/>
  <c r="AL680" i="3"/>
  <c r="AN680" i="3"/>
  <c r="AP680" i="3"/>
  <c r="AR680" i="3"/>
  <c r="AT680" i="3"/>
  <c r="AV680" i="3"/>
  <c r="AX680" i="3"/>
  <c r="AZ680" i="3"/>
  <c r="BB680" i="3"/>
  <c r="B681" i="3"/>
  <c r="D681" i="3"/>
  <c r="F681" i="3"/>
  <c r="H681" i="3"/>
  <c r="J681" i="3"/>
  <c r="L681" i="3"/>
  <c r="N681" i="3"/>
  <c r="P681" i="3"/>
  <c r="R681" i="3"/>
  <c r="T681" i="3"/>
  <c r="V681" i="3"/>
  <c r="X681" i="3"/>
  <c r="Z681" i="3"/>
  <c r="AB681" i="3"/>
  <c r="AL681" i="3"/>
  <c r="AN681" i="3"/>
  <c r="AP681" i="3"/>
  <c r="AR681" i="3"/>
  <c r="AT681" i="3"/>
  <c r="AV681" i="3"/>
  <c r="AX681" i="3"/>
  <c r="AZ681" i="3"/>
  <c r="BB681" i="3"/>
  <c r="B682" i="3"/>
  <c r="D682" i="3"/>
  <c r="F682" i="3"/>
  <c r="H682" i="3"/>
  <c r="J682" i="3"/>
  <c r="L682" i="3"/>
  <c r="N682" i="3"/>
  <c r="P682" i="3"/>
  <c r="R682" i="3"/>
  <c r="T682" i="3"/>
  <c r="V682" i="3"/>
  <c r="X682" i="3"/>
  <c r="Z682" i="3"/>
  <c r="AB682" i="3"/>
  <c r="AL682" i="3"/>
  <c r="AN682" i="3"/>
  <c r="AP682" i="3"/>
  <c r="AR682" i="3"/>
  <c r="AT682" i="3"/>
  <c r="AV682" i="3"/>
  <c r="AX682" i="3"/>
  <c r="AZ682" i="3"/>
  <c r="BB682" i="3"/>
  <c r="B683" i="3"/>
  <c r="D683" i="3"/>
  <c r="F683" i="3"/>
  <c r="H683" i="3"/>
  <c r="J683" i="3"/>
  <c r="L683" i="3"/>
  <c r="N683" i="3"/>
  <c r="P683" i="3"/>
  <c r="R683" i="3"/>
  <c r="T683" i="3"/>
  <c r="V683" i="3"/>
  <c r="X683" i="3"/>
  <c r="Z683" i="3"/>
  <c r="AB683" i="3"/>
  <c r="AL683" i="3"/>
  <c r="AN683" i="3"/>
  <c r="AP683" i="3"/>
  <c r="AR683" i="3"/>
  <c r="AT683" i="3"/>
  <c r="AV683" i="3"/>
  <c r="AX683" i="3"/>
  <c r="AZ683" i="3"/>
  <c r="BB683" i="3"/>
  <c r="B684" i="3"/>
  <c r="D684" i="3"/>
  <c r="F684" i="3"/>
  <c r="H684" i="3"/>
  <c r="J684" i="3"/>
  <c r="L684" i="3"/>
  <c r="N684" i="3"/>
  <c r="P684" i="3"/>
  <c r="R684" i="3"/>
  <c r="T684" i="3"/>
  <c r="V684" i="3"/>
  <c r="X684" i="3"/>
  <c r="Z684" i="3"/>
  <c r="AB684" i="3"/>
  <c r="AL684" i="3"/>
  <c r="AN684" i="3"/>
  <c r="AP684" i="3"/>
  <c r="AR684" i="3"/>
  <c r="AT684" i="3"/>
  <c r="AV684" i="3"/>
  <c r="AX684" i="3"/>
  <c r="AZ684" i="3"/>
  <c r="BB684" i="3"/>
  <c r="B685" i="3"/>
  <c r="D685" i="3"/>
  <c r="F685" i="3"/>
  <c r="H685" i="3"/>
  <c r="J685" i="3"/>
  <c r="L685" i="3"/>
  <c r="N685" i="3"/>
  <c r="P685" i="3"/>
  <c r="R685" i="3"/>
  <c r="T685" i="3"/>
  <c r="V685" i="3"/>
  <c r="X685" i="3"/>
  <c r="Z685" i="3"/>
  <c r="AB685" i="3"/>
  <c r="AL685" i="3"/>
  <c r="AN685" i="3"/>
  <c r="AP685" i="3"/>
  <c r="AR685" i="3"/>
  <c r="AT685" i="3"/>
  <c r="AV685" i="3"/>
  <c r="AX685" i="3"/>
  <c r="AZ685" i="3"/>
  <c r="BB685" i="3"/>
  <c r="B686" i="3"/>
  <c r="D686" i="3"/>
  <c r="F686" i="3"/>
  <c r="H686" i="3"/>
  <c r="J686" i="3"/>
  <c r="L686" i="3"/>
  <c r="N686" i="3"/>
  <c r="P686" i="3"/>
  <c r="R686" i="3"/>
  <c r="T686" i="3"/>
  <c r="V686" i="3"/>
  <c r="X686" i="3"/>
  <c r="Z686" i="3"/>
  <c r="AB686" i="3"/>
  <c r="AL686" i="3"/>
  <c r="AN686" i="3"/>
  <c r="AP686" i="3"/>
  <c r="AR686" i="3"/>
  <c r="AT686" i="3"/>
  <c r="AV686" i="3"/>
  <c r="AX686" i="3"/>
  <c r="AZ686" i="3"/>
  <c r="BB686" i="3"/>
  <c r="B687" i="3"/>
  <c r="D687" i="3"/>
  <c r="F687" i="3"/>
  <c r="H687" i="3"/>
  <c r="J687" i="3"/>
  <c r="L687" i="3"/>
  <c r="N687" i="3"/>
  <c r="P687" i="3"/>
  <c r="R687" i="3"/>
  <c r="T687" i="3"/>
  <c r="V687" i="3"/>
  <c r="X687" i="3"/>
  <c r="Z687" i="3"/>
  <c r="AB687" i="3"/>
  <c r="AL687" i="3"/>
  <c r="AN687" i="3"/>
  <c r="AP687" i="3"/>
  <c r="AR687" i="3"/>
  <c r="AT687" i="3"/>
  <c r="AV687" i="3"/>
  <c r="AX687" i="3"/>
  <c r="AZ687" i="3"/>
  <c r="BB687" i="3"/>
  <c r="B688" i="3"/>
  <c r="D688" i="3"/>
  <c r="F688" i="3"/>
  <c r="H688" i="3"/>
  <c r="J688" i="3"/>
  <c r="L688" i="3"/>
  <c r="N688" i="3"/>
  <c r="P688" i="3"/>
  <c r="R688" i="3"/>
  <c r="T688" i="3"/>
  <c r="V688" i="3"/>
  <c r="X688" i="3"/>
  <c r="Z688" i="3"/>
  <c r="AB688" i="3"/>
  <c r="AL688" i="3"/>
  <c r="AN688" i="3"/>
  <c r="AP688" i="3"/>
  <c r="AR688" i="3"/>
  <c r="AT688" i="3"/>
  <c r="AV688" i="3"/>
  <c r="AX688" i="3"/>
  <c r="AZ688" i="3"/>
  <c r="BB688" i="3"/>
  <c r="B689" i="3"/>
  <c r="D689" i="3"/>
  <c r="F689" i="3"/>
  <c r="H689" i="3"/>
  <c r="J689" i="3"/>
  <c r="L689" i="3"/>
  <c r="N689" i="3"/>
  <c r="P689" i="3"/>
  <c r="R689" i="3"/>
  <c r="T689" i="3"/>
  <c r="V689" i="3"/>
  <c r="X689" i="3"/>
  <c r="Z689" i="3"/>
  <c r="AB689" i="3"/>
  <c r="AL689" i="3"/>
  <c r="AN689" i="3"/>
  <c r="AP689" i="3"/>
  <c r="AR689" i="3"/>
  <c r="AT689" i="3"/>
  <c r="AV689" i="3"/>
  <c r="AX689" i="3"/>
  <c r="AZ689" i="3"/>
  <c r="BB689" i="3"/>
  <c r="B690" i="3"/>
  <c r="D690" i="3"/>
  <c r="F690" i="3"/>
  <c r="H690" i="3"/>
  <c r="J690" i="3"/>
  <c r="L690" i="3"/>
  <c r="N690" i="3"/>
  <c r="P690" i="3"/>
  <c r="R690" i="3"/>
  <c r="T690" i="3"/>
  <c r="V690" i="3"/>
  <c r="X690" i="3"/>
  <c r="Z690" i="3"/>
  <c r="AB690" i="3"/>
  <c r="AL690" i="3"/>
  <c r="AN690" i="3"/>
  <c r="AP690" i="3"/>
  <c r="AR690" i="3"/>
  <c r="AT690" i="3"/>
  <c r="AV690" i="3"/>
  <c r="AX690" i="3"/>
  <c r="AZ690" i="3"/>
  <c r="BB690" i="3"/>
  <c r="B691" i="3"/>
  <c r="D691" i="3"/>
  <c r="F691" i="3"/>
  <c r="H691" i="3"/>
  <c r="J691" i="3"/>
  <c r="L691" i="3"/>
  <c r="N691" i="3"/>
  <c r="P691" i="3"/>
  <c r="R691" i="3"/>
  <c r="T691" i="3"/>
  <c r="V691" i="3"/>
  <c r="X691" i="3"/>
  <c r="Z691" i="3"/>
  <c r="AB691" i="3"/>
  <c r="AL691" i="3"/>
  <c r="AN691" i="3"/>
  <c r="AP691" i="3"/>
  <c r="AR691" i="3"/>
  <c r="AT691" i="3"/>
  <c r="AV691" i="3"/>
  <c r="AX691" i="3"/>
  <c r="AZ691" i="3"/>
  <c r="BB691" i="3"/>
  <c r="B692" i="3"/>
  <c r="D692" i="3"/>
  <c r="F692" i="3"/>
  <c r="H692" i="3"/>
  <c r="J692" i="3"/>
  <c r="L692" i="3"/>
  <c r="N692" i="3"/>
  <c r="P692" i="3"/>
  <c r="R692" i="3"/>
  <c r="T692" i="3"/>
  <c r="V692" i="3"/>
  <c r="X692" i="3"/>
  <c r="Z692" i="3"/>
  <c r="AB692" i="3"/>
  <c r="AL692" i="3"/>
  <c r="AN692" i="3"/>
  <c r="AP692" i="3"/>
  <c r="AR692" i="3"/>
  <c r="AT692" i="3"/>
  <c r="AV692" i="3"/>
  <c r="AX692" i="3"/>
  <c r="AZ692" i="3"/>
  <c r="BB692" i="3"/>
  <c r="B693" i="3"/>
  <c r="D693" i="3"/>
  <c r="F693" i="3"/>
  <c r="H693" i="3"/>
  <c r="J693" i="3"/>
  <c r="L693" i="3"/>
  <c r="N693" i="3"/>
  <c r="P693" i="3"/>
  <c r="R693" i="3"/>
  <c r="T693" i="3"/>
  <c r="V693" i="3"/>
  <c r="X693" i="3"/>
  <c r="Z693" i="3"/>
  <c r="AB693" i="3"/>
  <c r="AL693" i="3"/>
  <c r="AN693" i="3"/>
  <c r="AP693" i="3"/>
  <c r="AR693" i="3"/>
  <c r="AT693" i="3"/>
  <c r="AV693" i="3"/>
  <c r="AX693" i="3"/>
  <c r="AZ693" i="3"/>
  <c r="BB693" i="3"/>
  <c r="B694" i="3"/>
  <c r="D694" i="3"/>
  <c r="F694" i="3"/>
  <c r="H694" i="3"/>
  <c r="J694" i="3"/>
  <c r="L694" i="3"/>
  <c r="N694" i="3"/>
  <c r="P694" i="3"/>
  <c r="R694" i="3"/>
  <c r="T694" i="3"/>
  <c r="V694" i="3"/>
  <c r="X694" i="3"/>
  <c r="Z694" i="3"/>
  <c r="AB694" i="3"/>
  <c r="AL694" i="3"/>
  <c r="AN694" i="3"/>
  <c r="AP694" i="3"/>
  <c r="AR694" i="3"/>
  <c r="AT694" i="3"/>
  <c r="AV694" i="3"/>
  <c r="AX694" i="3"/>
  <c r="AZ694" i="3"/>
  <c r="BB694" i="3"/>
  <c r="B695" i="3"/>
  <c r="D695" i="3"/>
  <c r="F695" i="3"/>
  <c r="H695" i="3"/>
  <c r="J695" i="3"/>
  <c r="L695" i="3"/>
  <c r="N695" i="3"/>
  <c r="P695" i="3"/>
  <c r="R695" i="3"/>
  <c r="T695" i="3"/>
  <c r="V695" i="3"/>
  <c r="X695" i="3"/>
  <c r="Z695" i="3"/>
  <c r="AB695" i="3"/>
  <c r="AL695" i="3"/>
  <c r="AN695" i="3"/>
  <c r="AP695" i="3"/>
  <c r="AR695" i="3"/>
  <c r="AT695" i="3"/>
  <c r="AV695" i="3"/>
  <c r="AX695" i="3"/>
  <c r="AZ695" i="3"/>
  <c r="BB695" i="3"/>
  <c r="B696" i="3"/>
  <c r="D696" i="3"/>
  <c r="F696" i="3"/>
  <c r="H696" i="3"/>
  <c r="J696" i="3"/>
  <c r="L696" i="3"/>
  <c r="N696" i="3"/>
  <c r="P696" i="3"/>
  <c r="R696" i="3"/>
  <c r="T696" i="3"/>
  <c r="V696" i="3"/>
  <c r="X696" i="3"/>
  <c r="Z696" i="3"/>
  <c r="AB696" i="3"/>
  <c r="AL696" i="3"/>
  <c r="AN696" i="3"/>
  <c r="AP696" i="3"/>
  <c r="AR696" i="3"/>
  <c r="AT696" i="3"/>
  <c r="AV696" i="3"/>
  <c r="AX696" i="3"/>
  <c r="AZ696" i="3"/>
  <c r="BB696" i="3"/>
  <c r="B697" i="3"/>
  <c r="D697" i="3"/>
  <c r="F697" i="3"/>
  <c r="H697" i="3"/>
  <c r="J697" i="3"/>
  <c r="L697" i="3"/>
  <c r="N697" i="3"/>
  <c r="P697" i="3"/>
  <c r="R697" i="3"/>
  <c r="T697" i="3"/>
  <c r="V697" i="3"/>
  <c r="X697" i="3"/>
  <c r="Z697" i="3"/>
  <c r="AB697" i="3"/>
  <c r="AL697" i="3"/>
  <c r="AN697" i="3"/>
  <c r="AP697" i="3"/>
  <c r="AR697" i="3"/>
  <c r="AT697" i="3"/>
  <c r="AV697" i="3"/>
  <c r="AX697" i="3"/>
  <c r="AZ697" i="3"/>
  <c r="BB697" i="3"/>
  <c r="B698" i="3"/>
  <c r="D698" i="3"/>
  <c r="F698" i="3"/>
  <c r="H698" i="3"/>
  <c r="J698" i="3"/>
  <c r="L698" i="3"/>
  <c r="N698" i="3"/>
  <c r="P698" i="3"/>
  <c r="R698" i="3"/>
  <c r="T698" i="3"/>
  <c r="V698" i="3"/>
  <c r="X698" i="3"/>
  <c r="Z698" i="3"/>
  <c r="AB698" i="3"/>
  <c r="AL698" i="3"/>
  <c r="AN698" i="3"/>
  <c r="AP698" i="3"/>
  <c r="AR698" i="3"/>
  <c r="AT698" i="3"/>
  <c r="AV698" i="3"/>
  <c r="AX698" i="3"/>
  <c r="AZ698" i="3"/>
  <c r="BB698" i="3"/>
  <c r="B699" i="3"/>
  <c r="D699" i="3"/>
  <c r="F699" i="3"/>
  <c r="H699" i="3"/>
  <c r="J699" i="3"/>
  <c r="L699" i="3"/>
  <c r="N699" i="3"/>
  <c r="P699" i="3"/>
  <c r="R699" i="3"/>
  <c r="T699" i="3"/>
  <c r="V699" i="3"/>
  <c r="X699" i="3"/>
  <c r="Z699" i="3"/>
  <c r="AB699" i="3"/>
  <c r="AL699" i="3"/>
  <c r="AN699" i="3"/>
  <c r="AP699" i="3"/>
  <c r="AR699" i="3"/>
  <c r="AT699" i="3"/>
  <c r="AV699" i="3"/>
  <c r="AX699" i="3"/>
  <c r="AZ699" i="3"/>
  <c r="BB699" i="3"/>
  <c r="B700" i="3"/>
  <c r="D700" i="3"/>
  <c r="F700" i="3"/>
  <c r="H700" i="3"/>
  <c r="J700" i="3"/>
  <c r="L700" i="3"/>
  <c r="N700" i="3"/>
  <c r="P700" i="3"/>
  <c r="R700" i="3"/>
  <c r="T700" i="3"/>
  <c r="V700" i="3"/>
  <c r="X700" i="3"/>
  <c r="Z700" i="3"/>
  <c r="AB700" i="3"/>
  <c r="AL700" i="3"/>
  <c r="AN700" i="3"/>
  <c r="AP700" i="3"/>
  <c r="AR700" i="3"/>
  <c r="AT700" i="3"/>
  <c r="AV700" i="3"/>
  <c r="AX700" i="3"/>
  <c r="AZ700" i="3"/>
  <c r="BB700" i="3"/>
  <c r="B701" i="3"/>
  <c r="D701" i="3"/>
  <c r="F701" i="3"/>
  <c r="H701" i="3"/>
  <c r="J701" i="3"/>
  <c r="L701" i="3"/>
  <c r="N701" i="3"/>
  <c r="P701" i="3"/>
  <c r="R701" i="3"/>
  <c r="T701" i="3"/>
  <c r="V701" i="3"/>
  <c r="X701" i="3"/>
  <c r="Z701" i="3"/>
  <c r="AB701" i="3"/>
  <c r="AL701" i="3"/>
  <c r="AN701" i="3"/>
  <c r="AP701" i="3"/>
  <c r="AR701" i="3"/>
  <c r="AT701" i="3"/>
  <c r="AV701" i="3"/>
  <c r="AX701" i="3"/>
  <c r="AZ701" i="3"/>
  <c r="BB701" i="3"/>
  <c r="B702" i="3"/>
  <c r="D702" i="3"/>
  <c r="F702" i="3"/>
  <c r="H702" i="3"/>
  <c r="J702" i="3"/>
  <c r="L702" i="3"/>
  <c r="N702" i="3"/>
  <c r="P702" i="3"/>
  <c r="R702" i="3"/>
  <c r="T702" i="3"/>
  <c r="V702" i="3"/>
  <c r="X702" i="3"/>
  <c r="Z702" i="3"/>
  <c r="AB702" i="3"/>
  <c r="AL702" i="3"/>
  <c r="AN702" i="3"/>
  <c r="AP702" i="3"/>
  <c r="AR702" i="3"/>
  <c r="AT702" i="3"/>
  <c r="AV702" i="3"/>
  <c r="AX702" i="3"/>
  <c r="AZ702" i="3"/>
  <c r="BB702" i="3"/>
  <c r="B703" i="3"/>
  <c r="D703" i="3"/>
  <c r="F703" i="3"/>
  <c r="H703" i="3"/>
  <c r="J703" i="3"/>
  <c r="L703" i="3"/>
  <c r="N703" i="3"/>
  <c r="P703" i="3"/>
  <c r="R703" i="3"/>
  <c r="T703" i="3"/>
  <c r="V703" i="3"/>
  <c r="X703" i="3"/>
  <c r="Z703" i="3"/>
  <c r="AB703" i="3"/>
  <c r="AL703" i="3"/>
  <c r="AN703" i="3"/>
  <c r="AP703" i="3"/>
  <c r="AR703" i="3"/>
  <c r="AT703" i="3"/>
  <c r="AV703" i="3"/>
  <c r="AX703" i="3"/>
  <c r="AZ703" i="3"/>
  <c r="BB703" i="3"/>
  <c r="B704" i="3"/>
  <c r="D704" i="3"/>
  <c r="F704" i="3"/>
  <c r="H704" i="3"/>
  <c r="J704" i="3"/>
  <c r="L704" i="3"/>
  <c r="N704" i="3"/>
  <c r="P704" i="3"/>
  <c r="R704" i="3"/>
  <c r="T704" i="3"/>
  <c r="V704" i="3"/>
  <c r="X704" i="3"/>
  <c r="Z704" i="3"/>
  <c r="AB704" i="3"/>
  <c r="AL704" i="3"/>
  <c r="AN704" i="3"/>
  <c r="AP704" i="3"/>
  <c r="AR704" i="3"/>
  <c r="AT704" i="3"/>
  <c r="AV704" i="3"/>
  <c r="AX704" i="3"/>
  <c r="AZ704" i="3"/>
  <c r="BB704" i="3"/>
  <c r="B705" i="3"/>
  <c r="D705" i="3"/>
  <c r="F705" i="3"/>
  <c r="H705" i="3"/>
  <c r="J705" i="3"/>
  <c r="L705" i="3"/>
  <c r="N705" i="3"/>
  <c r="P705" i="3"/>
  <c r="R705" i="3"/>
  <c r="T705" i="3"/>
  <c r="V705" i="3"/>
  <c r="X705" i="3"/>
  <c r="Z705" i="3"/>
  <c r="AB705" i="3"/>
  <c r="AL705" i="3"/>
  <c r="AN705" i="3"/>
  <c r="AP705" i="3"/>
  <c r="AR705" i="3"/>
  <c r="AT705" i="3"/>
  <c r="AV705" i="3"/>
  <c r="AX705" i="3"/>
  <c r="AZ705" i="3"/>
  <c r="BB705" i="3"/>
  <c r="B706" i="3"/>
  <c r="D706" i="3"/>
  <c r="F706" i="3"/>
  <c r="H706" i="3"/>
  <c r="J706" i="3"/>
  <c r="L706" i="3"/>
  <c r="N706" i="3"/>
  <c r="P706" i="3"/>
  <c r="R706" i="3"/>
  <c r="T706" i="3"/>
  <c r="V706" i="3"/>
  <c r="X706" i="3"/>
  <c r="Z706" i="3"/>
  <c r="AB706" i="3"/>
  <c r="AL706" i="3"/>
  <c r="AN706" i="3"/>
  <c r="AP706" i="3"/>
  <c r="AR706" i="3"/>
  <c r="AT706" i="3"/>
  <c r="AV706" i="3"/>
  <c r="AX706" i="3"/>
  <c r="AZ706" i="3"/>
  <c r="BB706" i="3"/>
  <c r="B707" i="3"/>
  <c r="D707" i="3"/>
  <c r="F707" i="3"/>
  <c r="H707" i="3"/>
  <c r="J707" i="3"/>
  <c r="L707" i="3"/>
  <c r="N707" i="3"/>
  <c r="P707" i="3"/>
  <c r="R707" i="3"/>
  <c r="T707" i="3"/>
  <c r="V707" i="3"/>
  <c r="X707" i="3"/>
  <c r="Z707" i="3"/>
  <c r="AB707" i="3"/>
  <c r="AL707" i="3"/>
  <c r="AN707" i="3"/>
  <c r="AP707" i="3"/>
  <c r="AR707" i="3"/>
  <c r="AT707" i="3"/>
  <c r="AV707" i="3"/>
  <c r="AX707" i="3"/>
  <c r="AZ707" i="3"/>
  <c r="BB707" i="3"/>
  <c r="B708" i="3"/>
  <c r="D708" i="3"/>
  <c r="F708" i="3"/>
  <c r="H708" i="3"/>
  <c r="J708" i="3"/>
  <c r="L708" i="3"/>
  <c r="N708" i="3"/>
  <c r="P708" i="3"/>
  <c r="R708" i="3"/>
  <c r="T708" i="3"/>
  <c r="V708" i="3"/>
  <c r="X708" i="3"/>
  <c r="Z708" i="3"/>
  <c r="AB708" i="3"/>
  <c r="AL708" i="3"/>
  <c r="AN708" i="3"/>
  <c r="AP708" i="3"/>
  <c r="AR708" i="3"/>
  <c r="AT708" i="3"/>
  <c r="AV708" i="3"/>
  <c r="AX708" i="3"/>
  <c r="AZ708" i="3"/>
  <c r="BB708" i="3"/>
  <c r="B709" i="3"/>
  <c r="D709" i="3"/>
  <c r="F709" i="3"/>
  <c r="H709" i="3"/>
  <c r="J709" i="3"/>
  <c r="L709" i="3"/>
  <c r="N709" i="3"/>
  <c r="P709" i="3"/>
  <c r="R709" i="3"/>
  <c r="T709" i="3"/>
  <c r="V709" i="3"/>
  <c r="X709" i="3"/>
  <c r="Z709" i="3"/>
  <c r="AB709" i="3"/>
  <c r="AL709" i="3"/>
  <c r="AN709" i="3"/>
  <c r="AP709" i="3"/>
  <c r="AR709" i="3"/>
  <c r="AT709" i="3"/>
  <c r="AV709" i="3"/>
  <c r="AX709" i="3"/>
  <c r="AZ709" i="3"/>
  <c r="BB709" i="3"/>
  <c r="B710" i="3"/>
  <c r="D710" i="3"/>
  <c r="F710" i="3"/>
  <c r="H710" i="3"/>
  <c r="J710" i="3"/>
  <c r="L710" i="3"/>
  <c r="N710" i="3"/>
  <c r="P710" i="3"/>
  <c r="R710" i="3"/>
  <c r="T710" i="3"/>
  <c r="V710" i="3"/>
  <c r="X710" i="3"/>
  <c r="Z710" i="3"/>
  <c r="AB710" i="3"/>
  <c r="AL710" i="3"/>
  <c r="AN710" i="3"/>
  <c r="AP710" i="3"/>
  <c r="AR710" i="3"/>
  <c r="AT710" i="3"/>
  <c r="AV710" i="3"/>
  <c r="AX710" i="3"/>
  <c r="AZ710" i="3"/>
  <c r="BB710" i="3"/>
  <c r="B711" i="3"/>
  <c r="D711" i="3"/>
  <c r="F711" i="3"/>
  <c r="H711" i="3"/>
  <c r="J711" i="3"/>
  <c r="L711" i="3"/>
  <c r="N711" i="3"/>
  <c r="P711" i="3"/>
  <c r="R711" i="3"/>
  <c r="T711" i="3"/>
  <c r="V711" i="3"/>
  <c r="X711" i="3"/>
  <c r="Z711" i="3"/>
  <c r="AB711" i="3"/>
  <c r="AL711" i="3"/>
  <c r="AN711" i="3"/>
  <c r="AP711" i="3"/>
  <c r="AR711" i="3"/>
  <c r="AT711" i="3"/>
  <c r="AV711" i="3"/>
  <c r="AX711" i="3"/>
  <c r="AZ711" i="3"/>
  <c r="BB711" i="3"/>
  <c r="B712" i="3"/>
  <c r="D712" i="3"/>
  <c r="F712" i="3"/>
  <c r="H712" i="3"/>
  <c r="J712" i="3"/>
  <c r="L712" i="3"/>
  <c r="N712" i="3"/>
  <c r="P712" i="3"/>
  <c r="R712" i="3"/>
  <c r="T712" i="3"/>
  <c r="V712" i="3"/>
  <c r="X712" i="3"/>
  <c r="Z712" i="3"/>
  <c r="AB712" i="3"/>
  <c r="AL712" i="3"/>
  <c r="AN712" i="3"/>
  <c r="AP712" i="3"/>
  <c r="AR712" i="3"/>
  <c r="AT712" i="3"/>
  <c r="AV712" i="3"/>
  <c r="AX712" i="3"/>
  <c r="AZ712" i="3"/>
  <c r="BB712" i="3"/>
  <c r="B713" i="3"/>
  <c r="D713" i="3"/>
  <c r="F713" i="3"/>
  <c r="H713" i="3"/>
  <c r="J713" i="3"/>
  <c r="L713" i="3"/>
  <c r="N713" i="3"/>
  <c r="P713" i="3"/>
  <c r="R713" i="3"/>
  <c r="T713" i="3"/>
  <c r="V713" i="3"/>
  <c r="X713" i="3"/>
  <c r="Z713" i="3"/>
  <c r="AB713" i="3"/>
  <c r="AL713" i="3"/>
  <c r="AN713" i="3"/>
  <c r="AP713" i="3"/>
  <c r="AR713" i="3"/>
  <c r="AT713" i="3"/>
  <c r="AV713" i="3"/>
  <c r="AX713" i="3"/>
  <c r="AZ713" i="3"/>
  <c r="BB713" i="3"/>
  <c r="B714" i="3"/>
  <c r="D714" i="3"/>
  <c r="F714" i="3"/>
  <c r="H714" i="3"/>
  <c r="J714" i="3"/>
  <c r="L714" i="3"/>
  <c r="N714" i="3"/>
  <c r="P714" i="3"/>
  <c r="R714" i="3"/>
  <c r="T714" i="3"/>
  <c r="V714" i="3"/>
  <c r="X714" i="3"/>
  <c r="Z714" i="3"/>
  <c r="AB714" i="3"/>
  <c r="AL714" i="3"/>
  <c r="AN714" i="3"/>
  <c r="AP714" i="3"/>
  <c r="AR714" i="3"/>
  <c r="AT714" i="3"/>
  <c r="AV714" i="3"/>
  <c r="AX714" i="3"/>
  <c r="AZ714" i="3"/>
  <c r="BB714" i="3"/>
  <c r="B715" i="3"/>
  <c r="D715" i="3"/>
  <c r="F715" i="3"/>
  <c r="H715" i="3"/>
  <c r="J715" i="3"/>
  <c r="L715" i="3"/>
  <c r="N715" i="3"/>
  <c r="P715" i="3"/>
  <c r="R715" i="3"/>
  <c r="T715" i="3"/>
  <c r="V715" i="3"/>
  <c r="X715" i="3"/>
  <c r="Z715" i="3"/>
  <c r="AB715" i="3"/>
  <c r="AL715" i="3"/>
  <c r="AN715" i="3"/>
  <c r="AP715" i="3"/>
  <c r="AR715" i="3"/>
  <c r="AT715" i="3"/>
  <c r="AV715" i="3"/>
  <c r="AX715" i="3"/>
  <c r="AZ715" i="3"/>
  <c r="BB715" i="3"/>
  <c r="B716" i="3"/>
  <c r="F716" i="3"/>
  <c r="J716" i="3"/>
  <c r="N716" i="3"/>
  <c r="R716" i="3"/>
  <c r="V716" i="3"/>
  <c r="Z716" i="3"/>
  <c r="AL716" i="3"/>
  <c r="AP716" i="3"/>
  <c r="AT716" i="3"/>
  <c r="AX716" i="3"/>
  <c r="C469" i="3"/>
  <c r="E469" i="3"/>
  <c r="G469" i="3"/>
  <c r="I469" i="3"/>
  <c r="K469" i="3"/>
  <c r="M469" i="3"/>
  <c r="O469" i="3"/>
  <c r="Q469" i="3"/>
  <c r="S469" i="3"/>
  <c r="U469" i="3"/>
  <c r="W469" i="3"/>
  <c r="Y469" i="3"/>
  <c r="AA469" i="3"/>
  <c r="AK469" i="3"/>
  <c r="AM469" i="3"/>
  <c r="AO469" i="3"/>
  <c r="AQ469" i="3"/>
  <c r="AS469" i="3"/>
  <c r="AU469" i="3"/>
  <c r="AW469" i="3"/>
  <c r="AY469" i="3"/>
  <c r="C470" i="3"/>
  <c r="E470" i="3"/>
  <c r="G470" i="3"/>
  <c r="I470" i="3"/>
  <c r="K470" i="3"/>
  <c r="M470" i="3"/>
  <c r="O470" i="3"/>
  <c r="Q470" i="3"/>
  <c r="S470" i="3"/>
  <c r="U470" i="3"/>
  <c r="W470" i="3"/>
  <c r="Y470" i="3"/>
  <c r="AA470" i="3"/>
  <c r="AK470" i="3"/>
  <c r="AM470" i="3"/>
  <c r="AO470" i="3"/>
  <c r="AQ470" i="3"/>
  <c r="AS470" i="3"/>
  <c r="AU470" i="3"/>
  <c r="AW470" i="3"/>
  <c r="AY470" i="3"/>
  <c r="C471" i="3"/>
  <c r="E471" i="3"/>
  <c r="G471" i="3"/>
  <c r="I471" i="3"/>
  <c r="K471" i="3"/>
  <c r="M471" i="3"/>
  <c r="O471" i="3"/>
  <c r="Q471" i="3"/>
  <c r="S471" i="3"/>
  <c r="U471" i="3"/>
  <c r="W471" i="3"/>
  <c r="Y471" i="3"/>
  <c r="AA471" i="3"/>
  <c r="AK471" i="3"/>
  <c r="AM471" i="3"/>
  <c r="AO471" i="3"/>
  <c r="AQ471" i="3"/>
  <c r="AS471" i="3"/>
  <c r="AU471" i="3"/>
  <c r="AW471" i="3"/>
  <c r="AY471" i="3"/>
  <c r="C472" i="3"/>
  <c r="E472" i="3"/>
  <c r="G472" i="3"/>
  <c r="I472" i="3"/>
  <c r="K472" i="3"/>
  <c r="M472" i="3"/>
  <c r="O472" i="3"/>
  <c r="Q472" i="3"/>
  <c r="S472" i="3"/>
  <c r="U472" i="3"/>
  <c r="W472" i="3"/>
  <c r="Y472" i="3"/>
  <c r="AA472" i="3"/>
  <c r="AK472" i="3"/>
  <c r="AM472" i="3"/>
  <c r="AO472" i="3"/>
  <c r="AQ472" i="3"/>
  <c r="AS472" i="3"/>
  <c r="AU472" i="3"/>
  <c r="AW472" i="3"/>
  <c r="AY472" i="3"/>
  <c r="C473" i="3"/>
  <c r="E473" i="3"/>
  <c r="G473" i="3"/>
  <c r="I473" i="3"/>
  <c r="K473" i="3"/>
  <c r="M473" i="3"/>
  <c r="O473" i="3"/>
  <c r="Q473" i="3"/>
  <c r="S473" i="3"/>
  <c r="U473" i="3"/>
  <c r="W473" i="3"/>
  <c r="Y473" i="3"/>
  <c r="AA473" i="3"/>
  <c r="AK473" i="3"/>
  <c r="AM473" i="3"/>
  <c r="AO473" i="3"/>
  <c r="AQ473" i="3"/>
  <c r="AS473" i="3"/>
  <c r="AU473" i="3"/>
  <c r="AW473" i="3"/>
  <c r="AY473" i="3"/>
  <c r="C474" i="3"/>
  <c r="E474" i="3"/>
  <c r="G474" i="3"/>
  <c r="I474" i="3"/>
  <c r="K474" i="3"/>
  <c r="M474" i="3"/>
  <c r="O474" i="3"/>
  <c r="Q474" i="3"/>
  <c r="S474" i="3"/>
  <c r="U474" i="3"/>
  <c r="W474" i="3"/>
  <c r="Y474" i="3"/>
  <c r="AA474" i="3"/>
  <c r="AK474" i="3"/>
  <c r="AM474" i="3"/>
  <c r="AO474" i="3"/>
  <c r="AQ474" i="3"/>
  <c r="AS474" i="3"/>
  <c r="AU474" i="3"/>
  <c r="AW474" i="3"/>
  <c r="AY474" i="3"/>
  <c r="C475" i="3"/>
  <c r="E475" i="3"/>
  <c r="G475" i="3"/>
  <c r="I475" i="3"/>
  <c r="K475" i="3"/>
  <c r="M475" i="3"/>
  <c r="O475" i="3"/>
  <c r="Q475" i="3"/>
  <c r="S475" i="3"/>
  <c r="U475" i="3"/>
  <c r="W475" i="3"/>
  <c r="Y475" i="3"/>
  <c r="AA475" i="3"/>
  <c r="AK475" i="3"/>
  <c r="AM475" i="3"/>
  <c r="AO475" i="3"/>
  <c r="AQ475" i="3"/>
  <c r="AS475" i="3"/>
  <c r="AU475" i="3"/>
  <c r="AW475" i="3"/>
  <c r="AY475" i="3"/>
  <c r="C476" i="3"/>
  <c r="E476" i="3"/>
  <c r="G476" i="3"/>
  <c r="I476" i="3"/>
  <c r="K476" i="3"/>
  <c r="M476" i="3"/>
  <c r="O476" i="3"/>
  <c r="Q476" i="3"/>
  <c r="S476" i="3"/>
  <c r="U476" i="3"/>
  <c r="W476" i="3"/>
  <c r="Y476" i="3"/>
  <c r="AA476" i="3"/>
  <c r="AK476" i="3"/>
  <c r="AM476" i="3"/>
  <c r="AO476" i="3"/>
  <c r="AQ476" i="3"/>
  <c r="AS476" i="3"/>
  <c r="AU476" i="3"/>
  <c r="AW476" i="3"/>
  <c r="AY476" i="3"/>
  <c r="C477" i="3"/>
  <c r="E477" i="3"/>
  <c r="G477" i="3"/>
  <c r="I477" i="3"/>
  <c r="K477" i="3"/>
  <c r="M477" i="3"/>
  <c r="O477" i="3"/>
  <c r="Q477" i="3"/>
  <c r="S477" i="3"/>
  <c r="U477" i="3"/>
  <c r="W477" i="3"/>
  <c r="Y477" i="3"/>
  <c r="AA477" i="3"/>
  <c r="AK477" i="3"/>
  <c r="AM477" i="3"/>
  <c r="AO477" i="3"/>
  <c r="AQ477" i="3"/>
  <c r="AS477" i="3"/>
  <c r="AU477" i="3"/>
  <c r="AW477" i="3"/>
  <c r="AY477" i="3"/>
  <c r="C478" i="3"/>
  <c r="E478" i="3"/>
  <c r="G478" i="3"/>
  <c r="I478" i="3"/>
  <c r="K478" i="3"/>
  <c r="M478" i="3"/>
  <c r="O478" i="3"/>
  <c r="Q478" i="3"/>
  <c r="S478" i="3"/>
  <c r="U478" i="3"/>
  <c r="W478" i="3"/>
  <c r="Y478" i="3"/>
  <c r="AA478" i="3"/>
  <c r="AK478" i="3"/>
  <c r="AM478" i="3"/>
  <c r="AO478" i="3"/>
  <c r="AQ478" i="3"/>
  <c r="AS478" i="3"/>
  <c r="AU478" i="3"/>
  <c r="AW478" i="3"/>
  <c r="AY478" i="3"/>
  <c r="C479" i="3"/>
  <c r="E479" i="3"/>
  <c r="G479" i="3"/>
  <c r="I479" i="3"/>
  <c r="K479" i="3"/>
  <c r="M479" i="3"/>
  <c r="O479" i="3"/>
  <c r="Q479" i="3"/>
  <c r="S479" i="3"/>
  <c r="U479" i="3"/>
  <c r="W479" i="3"/>
  <c r="Y479" i="3"/>
  <c r="AA479" i="3"/>
  <c r="AK479" i="3"/>
  <c r="AM479" i="3"/>
  <c r="AO479" i="3"/>
  <c r="AQ479" i="3"/>
  <c r="AS479" i="3"/>
  <c r="AU479" i="3"/>
  <c r="AW479" i="3"/>
  <c r="AY479" i="3"/>
  <c r="C480" i="3"/>
  <c r="E480" i="3"/>
  <c r="G480" i="3"/>
  <c r="I480" i="3"/>
  <c r="K480" i="3"/>
  <c r="M480" i="3"/>
  <c r="O480" i="3"/>
  <c r="Q480" i="3"/>
  <c r="S480" i="3"/>
  <c r="U480" i="3"/>
  <c r="W480" i="3"/>
  <c r="Y480" i="3"/>
  <c r="AA480" i="3"/>
  <c r="AK480" i="3"/>
  <c r="AM480" i="3"/>
  <c r="AO480" i="3"/>
  <c r="AQ480" i="3"/>
  <c r="AS480" i="3"/>
  <c r="AU480" i="3"/>
  <c r="AW480" i="3"/>
  <c r="AY480" i="3"/>
  <c r="C481" i="3"/>
  <c r="E481" i="3"/>
  <c r="G481" i="3"/>
  <c r="I481" i="3"/>
  <c r="K481" i="3"/>
  <c r="M481" i="3"/>
  <c r="O481" i="3"/>
  <c r="Q481" i="3"/>
  <c r="S481" i="3"/>
  <c r="U481" i="3"/>
  <c r="W481" i="3"/>
  <c r="Y481" i="3"/>
  <c r="AA481" i="3"/>
  <c r="AK481" i="3"/>
  <c r="AM481" i="3"/>
  <c r="AO481" i="3"/>
  <c r="AQ481" i="3"/>
  <c r="AS481" i="3"/>
  <c r="AU481" i="3"/>
  <c r="AW481" i="3"/>
  <c r="AY481" i="3"/>
  <c r="C482" i="3"/>
  <c r="E482" i="3"/>
  <c r="G482" i="3"/>
  <c r="I482" i="3"/>
  <c r="K482" i="3"/>
  <c r="M482" i="3"/>
  <c r="O482" i="3"/>
  <c r="Q482" i="3"/>
  <c r="S482" i="3"/>
  <c r="U482" i="3"/>
  <c r="W482" i="3"/>
  <c r="Y482" i="3"/>
  <c r="AA482" i="3"/>
  <c r="AK482" i="3"/>
  <c r="AM482" i="3"/>
  <c r="AO482" i="3"/>
  <c r="AQ482" i="3"/>
  <c r="AS482" i="3"/>
  <c r="AU482" i="3"/>
  <c r="AW482" i="3"/>
  <c r="AY482" i="3"/>
  <c r="C483" i="3"/>
  <c r="E483" i="3"/>
  <c r="G483" i="3"/>
  <c r="I483" i="3"/>
  <c r="K483" i="3"/>
  <c r="M483" i="3"/>
  <c r="O483" i="3"/>
  <c r="Q483" i="3"/>
  <c r="S483" i="3"/>
  <c r="U483" i="3"/>
  <c r="W483" i="3"/>
  <c r="Y483" i="3"/>
  <c r="AA483" i="3"/>
  <c r="AK483" i="3"/>
  <c r="AM483" i="3"/>
  <c r="AO483" i="3"/>
  <c r="AQ483" i="3"/>
  <c r="AS483" i="3"/>
  <c r="AU483" i="3"/>
  <c r="AW483" i="3"/>
  <c r="AY483" i="3"/>
  <c r="C484" i="3"/>
  <c r="E484" i="3"/>
  <c r="G484" i="3"/>
  <c r="I484" i="3"/>
  <c r="K484" i="3"/>
  <c r="M484" i="3"/>
  <c r="O484" i="3"/>
  <c r="Q484" i="3"/>
  <c r="S484" i="3"/>
  <c r="U484" i="3"/>
  <c r="W484" i="3"/>
  <c r="Y484" i="3"/>
  <c r="AA484" i="3"/>
  <c r="AK484" i="3"/>
  <c r="AM484" i="3"/>
  <c r="AO484" i="3"/>
  <c r="AQ484" i="3"/>
  <c r="AS484" i="3"/>
  <c r="AU484" i="3"/>
  <c r="AW484" i="3"/>
  <c r="AY484" i="3"/>
  <c r="C485" i="3"/>
  <c r="E485" i="3"/>
  <c r="G485" i="3"/>
  <c r="I485" i="3"/>
  <c r="K485" i="3"/>
  <c r="M485" i="3"/>
  <c r="O485" i="3"/>
  <c r="Q485" i="3"/>
  <c r="S485" i="3"/>
  <c r="U485" i="3"/>
  <c r="W485" i="3"/>
  <c r="Y485" i="3"/>
  <c r="AA485" i="3"/>
  <c r="AK485" i="3"/>
  <c r="AM485" i="3"/>
  <c r="AO485" i="3"/>
  <c r="AQ485" i="3"/>
  <c r="AS485" i="3"/>
  <c r="AU485" i="3"/>
  <c r="AW485" i="3"/>
  <c r="AY485" i="3"/>
  <c r="C486" i="3"/>
  <c r="E486" i="3"/>
  <c r="G486" i="3"/>
  <c r="I486" i="3"/>
  <c r="K486" i="3"/>
  <c r="M486" i="3"/>
  <c r="O486" i="3"/>
  <c r="Q486" i="3"/>
  <c r="S486" i="3"/>
  <c r="U486" i="3"/>
  <c r="W486" i="3"/>
  <c r="Y486" i="3"/>
  <c r="AA486" i="3"/>
  <c r="AK486" i="3"/>
  <c r="AM486" i="3"/>
  <c r="AO486" i="3"/>
  <c r="AQ486" i="3"/>
  <c r="AS486" i="3"/>
  <c r="AU486" i="3"/>
  <c r="AW486" i="3"/>
  <c r="AY486" i="3"/>
  <c r="C487" i="3"/>
  <c r="E487" i="3"/>
  <c r="G487" i="3"/>
  <c r="I487" i="3"/>
  <c r="K487" i="3"/>
  <c r="M487" i="3"/>
  <c r="O487" i="3"/>
  <c r="Q487" i="3"/>
  <c r="S487" i="3"/>
  <c r="U487" i="3"/>
  <c r="W487" i="3"/>
  <c r="Y487" i="3"/>
  <c r="AA487" i="3"/>
  <c r="AK487" i="3"/>
  <c r="AM487" i="3"/>
  <c r="AO487" i="3"/>
  <c r="AQ487" i="3"/>
  <c r="AS487" i="3"/>
  <c r="AU487" i="3"/>
  <c r="AW487" i="3"/>
  <c r="AY487" i="3"/>
  <c r="C488" i="3"/>
  <c r="E488" i="3"/>
  <c r="G488" i="3"/>
  <c r="I488" i="3"/>
  <c r="K488" i="3"/>
  <c r="M488" i="3"/>
  <c r="O488" i="3"/>
  <c r="Q488" i="3"/>
  <c r="S488" i="3"/>
  <c r="U488" i="3"/>
  <c r="W488" i="3"/>
  <c r="Y488" i="3"/>
  <c r="AA488" i="3"/>
  <c r="AK488" i="3"/>
  <c r="AM488" i="3"/>
  <c r="AO488" i="3"/>
  <c r="AQ488" i="3"/>
  <c r="AS488" i="3"/>
  <c r="AU488" i="3"/>
  <c r="AW488" i="3"/>
  <c r="AY488" i="3"/>
  <c r="C489" i="3"/>
  <c r="E489" i="3"/>
  <c r="G489" i="3"/>
  <c r="I489" i="3"/>
  <c r="K489" i="3"/>
  <c r="M489" i="3"/>
  <c r="O489" i="3"/>
  <c r="Q489" i="3"/>
  <c r="S489" i="3"/>
  <c r="U489" i="3"/>
  <c r="W489" i="3"/>
  <c r="Y489" i="3"/>
  <c r="AA489" i="3"/>
  <c r="AK489" i="3"/>
  <c r="AM489" i="3"/>
  <c r="AO489" i="3"/>
  <c r="AQ489" i="3"/>
  <c r="AS489" i="3"/>
  <c r="AU489" i="3"/>
  <c r="AW489" i="3"/>
  <c r="AY489" i="3"/>
  <c r="C490" i="3"/>
  <c r="E490" i="3"/>
  <c r="G490" i="3"/>
  <c r="I490" i="3"/>
  <c r="K490" i="3"/>
  <c r="M490" i="3"/>
  <c r="O490" i="3"/>
  <c r="Q490" i="3"/>
  <c r="S490" i="3"/>
  <c r="U490" i="3"/>
  <c r="W490" i="3"/>
  <c r="Y490" i="3"/>
  <c r="AA490" i="3"/>
  <c r="AK490" i="3"/>
  <c r="AM490" i="3"/>
  <c r="AO490" i="3"/>
  <c r="AQ490" i="3"/>
  <c r="AS490" i="3"/>
  <c r="AU490" i="3"/>
  <c r="AW490" i="3"/>
  <c r="AY490" i="3"/>
  <c r="C491" i="3"/>
  <c r="E491" i="3"/>
  <c r="G491" i="3"/>
  <c r="I491" i="3"/>
  <c r="K491" i="3"/>
  <c r="M491" i="3"/>
  <c r="O491" i="3"/>
  <c r="Q491" i="3"/>
  <c r="S491" i="3"/>
  <c r="U491" i="3"/>
  <c r="W491" i="3"/>
  <c r="Y491" i="3"/>
  <c r="AA491" i="3"/>
  <c r="AK491" i="3"/>
  <c r="AM491" i="3"/>
  <c r="AO491" i="3"/>
  <c r="AQ491" i="3"/>
  <c r="AS491" i="3"/>
  <c r="AU491" i="3"/>
  <c r="AW491" i="3"/>
  <c r="AY491" i="3"/>
  <c r="C492" i="3"/>
  <c r="E492" i="3"/>
  <c r="G492" i="3"/>
  <c r="I492" i="3"/>
  <c r="K492" i="3"/>
  <c r="M492" i="3"/>
  <c r="O492" i="3"/>
  <c r="Q492" i="3"/>
  <c r="S492" i="3"/>
  <c r="U492" i="3"/>
  <c r="W492" i="3"/>
  <c r="Y492" i="3"/>
  <c r="AA492" i="3"/>
  <c r="AK492" i="3"/>
  <c r="AM492" i="3"/>
  <c r="AO492" i="3"/>
  <c r="AQ492" i="3"/>
  <c r="AS492" i="3"/>
  <c r="AU492" i="3"/>
  <c r="AW492" i="3"/>
  <c r="AY492" i="3"/>
  <c r="C493" i="3"/>
  <c r="E493" i="3"/>
  <c r="G493" i="3"/>
  <c r="I493" i="3"/>
  <c r="K493" i="3"/>
  <c r="M493" i="3"/>
  <c r="O493" i="3"/>
  <c r="Q493" i="3"/>
  <c r="S493" i="3"/>
  <c r="U493" i="3"/>
  <c r="W493" i="3"/>
  <c r="Y493" i="3"/>
  <c r="AA493" i="3"/>
  <c r="AK493" i="3"/>
  <c r="AM493" i="3"/>
  <c r="AO493" i="3"/>
  <c r="AQ493" i="3"/>
  <c r="AS493" i="3"/>
  <c r="AU493" i="3"/>
  <c r="AW493" i="3"/>
  <c r="AY493" i="3"/>
  <c r="C494" i="3"/>
  <c r="E494" i="3"/>
  <c r="G494" i="3"/>
  <c r="I494" i="3"/>
  <c r="K494" i="3"/>
  <c r="M494" i="3"/>
  <c r="O494" i="3"/>
  <c r="Q494" i="3"/>
  <c r="S494" i="3"/>
  <c r="U494" i="3"/>
  <c r="W494" i="3"/>
  <c r="Y494" i="3"/>
  <c r="AA494" i="3"/>
  <c r="AK494" i="3"/>
  <c r="AM494" i="3"/>
  <c r="AO494" i="3"/>
  <c r="AQ494" i="3"/>
  <c r="AS494" i="3"/>
  <c r="AU494" i="3"/>
  <c r="AW494" i="3"/>
  <c r="AY494" i="3"/>
  <c r="C495" i="3"/>
  <c r="E495" i="3"/>
  <c r="G495" i="3"/>
  <c r="I495" i="3"/>
  <c r="K495" i="3"/>
  <c r="M495" i="3"/>
  <c r="O495" i="3"/>
  <c r="Q495" i="3"/>
  <c r="S495" i="3"/>
  <c r="U495" i="3"/>
  <c r="W495" i="3"/>
  <c r="Y495" i="3"/>
  <c r="AA495" i="3"/>
  <c r="AK495" i="3"/>
  <c r="AM495" i="3"/>
  <c r="AO495" i="3"/>
  <c r="AQ495" i="3"/>
  <c r="AS495" i="3"/>
  <c r="AU495" i="3"/>
  <c r="AW495" i="3"/>
  <c r="AY495" i="3"/>
  <c r="C496" i="3"/>
  <c r="E496" i="3"/>
  <c r="G496" i="3"/>
  <c r="I496" i="3"/>
  <c r="K496" i="3"/>
  <c r="M496" i="3"/>
  <c r="O496" i="3"/>
  <c r="Q496" i="3"/>
  <c r="S496" i="3"/>
  <c r="U496" i="3"/>
  <c r="W496" i="3"/>
  <c r="Y496" i="3"/>
  <c r="AA496" i="3"/>
  <c r="AK496" i="3"/>
  <c r="AM496" i="3"/>
  <c r="AO496" i="3"/>
  <c r="AQ496" i="3"/>
  <c r="AS496" i="3"/>
  <c r="AU496" i="3"/>
  <c r="AW496" i="3"/>
  <c r="AY496" i="3"/>
  <c r="C497" i="3"/>
  <c r="E497" i="3"/>
  <c r="G497" i="3"/>
  <c r="I497" i="3"/>
  <c r="K497" i="3"/>
  <c r="M497" i="3"/>
  <c r="O497" i="3"/>
  <c r="Q497" i="3"/>
  <c r="S497" i="3"/>
  <c r="U497" i="3"/>
  <c r="W497" i="3"/>
  <c r="Y497" i="3"/>
  <c r="AA497" i="3"/>
  <c r="AK497" i="3"/>
  <c r="AM497" i="3"/>
  <c r="AO497" i="3"/>
  <c r="AQ497" i="3"/>
  <c r="AS497" i="3"/>
  <c r="AU497" i="3"/>
  <c r="AW497" i="3"/>
  <c r="AY497" i="3"/>
  <c r="C498" i="3"/>
  <c r="E498" i="3"/>
  <c r="G498" i="3"/>
  <c r="I498" i="3"/>
  <c r="K498" i="3"/>
  <c r="M498" i="3"/>
  <c r="O498" i="3"/>
  <c r="Q498" i="3"/>
  <c r="S498" i="3"/>
  <c r="U498" i="3"/>
  <c r="W498" i="3"/>
  <c r="Y498" i="3"/>
  <c r="AA498" i="3"/>
  <c r="AK498" i="3"/>
  <c r="AM498" i="3"/>
  <c r="AO498" i="3"/>
  <c r="AQ498" i="3"/>
  <c r="AS498" i="3"/>
  <c r="AU498" i="3"/>
  <c r="AW498" i="3"/>
  <c r="AY498" i="3"/>
  <c r="C499" i="3"/>
  <c r="E499" i="3"/>
  <c r="G499" i="3"/>
  <c r="I499" i="3"/>
  <c r="K499" i="3"/>
  <c r="M499" i="3"/>
  <c r="O499" i="3"/>
  <c r="Q499" i="3"/>
  <c r="S499" i="3"/>
  <c r="U499" i="3"/>
  <c r="W499" i="3"/>
  <c r="Y499" i="3"/>
  <c r="AA499" i="3"/>
  <c r="AK499" i="3"/>
  <c r="AM499" i="3"/>
  <c r="AO499" i="3"/>
  <c r="AQ499" i="3"/>
  <c r="AS499" i="3"/>
  <c r="AU499" i="3"/>
  <c r="AW499" i="3"/>
  <c r="AY499" i="3"/>
  <c r="C500" i="3"/>
  <c r="E500" i="3"/>
  <c r="G500" i="3"/>
  <c r="I500" i="3"/>
  <c r="K500" i="3"/>
  <c r="M500" i="3"/>
  <c r="O500" i="3"/>
  <c r="Q500" i="3"/>
  <c r="S500" i="3"/>
  <c r="U500" i="3"/>
  <c r="W500" i="3"/>
  <c r="Y500" i="3"/>
  <c r="AA500" i="3"/>
  <c r="AK500" i="3"/>
  <c r="AM500" i="3"/>
  <c r="AO500" i="3"/>
  <c r="AQ500" i="3"/>
  <c r="AS500" i="3"/>
  <c r="AU500" i="3"/>
  <c r="AW500" i="3"/>
  <c r="AY500" i="3"/>
  <c r="C501" i="3"/>
  <c r="E501" i="3"/>
  <c r="G501" i="3"/>
  <c r="I501" i="3"/>
  <c r="K501" i="3"/>
  <c r="M501" i="3"/>
  <c r="O501" i="3"/>
  <c r="Q501" i="3"/>
  <c r="S501" i="3"/>
  <c r="U501" i="3"/>
  <c r="W501" i="3"/>
  <c r="Y501" i="3"/>
  <c r="AA501" i="3"/>
  <c r="AK501" i="3"/>
  <c r="AM501" i="3"/>
  <c r="AO501" i="3"/>
  <c r="AQ501" i="3"/>
  <c r="AS501" i="3"/>
  <c r="AU501" i="3"/>
  <c r="AW501" i="3"/>
  <c r="AY501" i="3"/>
  <c r="C502" i="3"/>
  <c r="E502" i="3"/>
  <c r="G502" i="3"/>
  <c r="I502" i="3"/>
  <c r="K502" i="3"/>
  <c r="M502" i="3"/>
  <c r="O502" i="3"/>
  <c r="Q502" i="3"/>
  <c r="S502" i="3"/>
  <c r="U502" i="3"/>
  <c r="W502" i="3"/>
  <c r="Y502" i="3"/>
  <c r="AA502" i="3"/>
  <c r="AK502" i="3"/>
  <c r="AM502" i="3"/>
  <c r="AO502" i="3"/>
  <c r="AQ502" i="3"/>
  <c r="AS502" i="3"/>
  <c r="AU502" i="3"/>
  <c r="AW502" i="3"/>
  <c r="AY502" i="3"/>
  <c r="C503" i="3"/>
  <c r="E503" i="3"/>
  <c r="G503" i="3"/>
  <c r="I503" i="3"/>
  <c r="K503" i="3"/>
  <c r="M503" i="3"/>
  <c r="O503" i="3"/>
  <c r="Q503" i="3"/>
  <c r="S503" i="3"/>
  <c r="U503" i="3"/>
  <c r="W503" i="3"/>
  <c r="Y503" i="3"/>
  <c r="AA503" i="3"/>
  <c r="AK503" i="3"/>
  <c r="AM503" i="3"/>
  <c r="AO503" i="3"/>
  <c r="AQ503" i="3"/>
  <c r="AS503" i="3"/>
  <c r="AU503" i="3"/>
  <c r="AW503" i="3"/>
  <c r="AY503" i="3"/>
  <c r="C504" i="3"/>
  <c r="E504" i="3"/>
  <c r="G504" i="3"/>
  <c r="I504" i="3"/>
  <c r="K504" i="3"/>
  <c r="M504" i="3"/>
  <c r="O504" i="3"/>
  <c r="Q504" i="3"/>
  <c r="S504" i="3"/>
  <c r="U504" i="3"/>
  <c r="W504" i="3"/>
  <c r="Y504" i="3"/>
  <c r="AA504" i="3"/>
  <c r="AK504" i="3"/>
  <c r="AM504" i="3"/>
  <c r="AO504" i="3"/>
  <c r="AQ504" i="3"/>
  <c r="AS504" i="3"/>
  <c r="AU504" i="3"/>
  <c r="AW504" i="3"/>
  <c r="AY504" i="3"/>
  <c r="C505" i="3"/>
  <c r="E505" i="3"/>
  <c r="G505" i="3"/>
  <c r="I505" i="3"/>
  <c r="K505" i="3"/>
  <c r="M505" i="3"/>
  <c r="O505" i="3"/>
  <c r="Q505" i="3"/>
  <c r="S505" i="3"/>
  <c r="U505" i="3"/>
  <c r="W505" i="3"/>
  <c r="Y505" i="3"/>
  <c r="AA505" i="3"/>
  <c r="AK505" i="3"/>
  <c r="AM505" i="3"/>
  <c r="AO505" i="3"/>
  <c r="AQ505" i="3"/>
  <c r="AS505" i="3"/>
  <c r="AU505" i="3"/>
  <c r="AW505" i="3"/>
  <c r="AY505" i="3"/>
  <c r="C506" i="3"/>
  <c r="E506" i="3"/>
  <c r="G506" i="3"/>
  <c r="I506" i="3"/>
  <c r="K506" i="3"/>
  <c r="M506" i="3"/>
  <c r="O506" i="3"/>
  <c r="Q506" i="3"/>
  <c r="S506" i="3"/>
  <c r="U506" i="3"/>
  <c r="W506" i="3"/>
  <c r="Y506" i="3"/>
  <c r="AA506" i="3"/>
  <c r="AK506" i="3"/>
  <c r="AM506" i="3"/>
  <c r="AO506" i="3"/>
  <c r="AQ506" i="3"/>
  <c r="AS506" i="3"/>
  <c r="AU506" i="3"/>
  <c r="AW506" i="3"/>
  <c r="AY506" i="3"/>
  <c r="C507" i="3"/>
  <c r="E507" i="3"/>
  <c r="G507" i="3"/>
  <c r="I507" i="3"/>
  <c r="K507" i="3"/>
  <c r="M507" i="3"/>
  <c r="O507" i="3"/>
  <c r="Q507" i="3"/>
  <c r="S507" i="3"/>
  <c r="U507" i="3"/>
  <c r="W507" i="3"/>
  <c r="Y507" i="3"/>
  <c r="AA507" i="3"/>
  <c r="AK507" i="3"/>
  <c r="AM507" i="3"/>
  <c r="AO507" i="3"/>
  <c r="AQ507" i="3"/>
  <c r="AS507" i="3"/>
  <c r="AU507" i="3"/>
  <c r="AW507" i="3"/>
  <c r="AY507" i="3"/>
  <c r="C508" i="3"/>
  <c r="E508" i="3"/>
  <c r="G508" i="3"/>
  <c r="I508" i="3"/>
  <c r="K508" i="3"/>
  <c r="M508" i="3"/>
  <c r="O508" i="3"/>
  <c r="Q508" i="3"/>
  <c r="S508" i="3"/>
  <c r="U508" i="3"/>
  <c r="W508" i="3"/>
  <c r="Y508" i="3"/>
  <c r="AA508" i="3"/>
  <c r="AK508" i="3"/>
  <c r="AM508" i="3"/>
  <c r="AO508" i="3"/>
  <c r="AQ508" i="3"/>
  <c r="AS508" i="3"/>
  <c r="AU508" i="3"/>
  <c r="AW508" i="3"/>
  <c r="AY508" i="3"/>
  <c r="C509" i="3"/>
  <c r="E509" i="3"/>
  <c r="G509" i="3"/>
  <c r="I509" i="3"/>
  <c r="K509" i="3"/>
  <c r="M509" i="3"/>
  <c r="O509" i="3"/>
  <c r="Q509" i="3"/>
  <c r="S509" i="3"/>
  <c r="U509" i="3"/>
  <c r="W509" i="3"/>
  <c r="Y509" i="3"/>
  <c r="AA509" i="3"/>
  <c r="AK509" i="3"/>
  <c r="AM509" i="3"/>
  <c r="AO509" i="3"/>
  <c r="AQ509" i="3"/>
  <c r="AS509" i="3"/>
  <c r="AU509" i="3"/>
  <c r="AW509" i="3"/>
  <c r="AY509" i="3"/>
  <c r="C510" i="3"/>
  <c r="E510" i="3"/>
  <c r="G510" i="3"/>
  <c r="I510" i="3"/>
  <c r="K510" i="3"/>
  <c r="M510" i="3"/>
  <c r="O510" i="3"/>
  <c r="Q510" i="3"/>
  <c r="S510" i="3"/>
  <c r="U510" i="3"/>
  <c r="W510" i="3"/>
  <c r="Y510" i="3"/>
  <c r="AA510" i="3"/>
  <c r="AK510" i="3"/>
  <c r="AM510" i="3"/>
  <c r="AO510" i="3"/>
  <c r="AQ510" i="3"/>
  <c r="AS510" i="3"/>
  <c r="AU510" i="3"/>
  <c r="AW510" i="3"/>
  <c r="AY510" i="3"/>
  <c r="C511" i="3"/>
  <c r="E511" i="3"/>
  <c r="G511" i="3"/>
  <c r="I511" i="3"/>
  <c r="K511" i="3"/>
  <c r="M511" i="3"/>
  <c r="O511" i="3"/>
  <c r="Q511" i="3"/>
  <c r="S511" i="3"/>
  <c r="U511" i="3"/>
  <c r="W511" i="3"/>
  <c r="Y511" i="3"/>
  <c r="AA511" i="3"/>
  <c r="AK511" i="3"/>
  <c r="AM511" i="3"/>
  <c r="AO511" i="3"/>
  <c r="AQ511" i="3"/>
  <c r="AS511" i="3"/>
  <c r="AU511" i="3"/>
  <c r="AW511" i="3"/>
  <c r="AY511" i="3"/>
  <c r="C512" i="3"/>
  <c r="E512" i="3"/>
  <c r="G512" i="3"/>
  <c r="I512" i="3"/>
  <c r="K512" i="3"/>
  <c r="M512" i="3"/>
  <c r="O512" i="3"/>
  <c r="Q512" i="3"/>
  <c r="S512" i="3"/>
  <c r="U512" i="3"/>
  <c r="W512" i="3"/>
  <c r="Y512" i="3"/>
  <c r="AA512" i="3"/>
  <c r="AK512" i="3"/>
  <c r="AM512" i="3"/>
  <c r="AO512" i="3"/>
  <c r="AQ512" i="3"/>
  <c r="AS512" i="3"/>
  <c r="AU512" i="3"/>
  <c r="AW512" i="3"/>
  <c r="AY512" i="3"/>
  <c r="C513" i="3"/>
  <c r="E513" i="3"/>
  <c r="G513" i="3"/>
  <c r="I513" i="3"/>
  <c r="K513" i="3"/>
  <c r="M513" i="3"/>
  <c r="O513" i="3"/>
  <c r="Q513" i="3"/>
  <c r="S513" i="3"/>
  <c r="U513" i="3"/>
  <c r="W513" i="3"/>
  <c r="Y513" i="3"/>
  <c r="AA513" i="3"/>
  <c r="AK513" i="3"/>
  <c r="AM513" i="3"/>
  <c r="AO513" i="3"/>
  <c r="AQ513" i="3"/>
  <c r="AS513" i="3"/>
  <c r="AU513" i="3"/>
  <c r="AW513" i="3"/>
  <c r="AY513" i="3"/>
  <c r="C514" i="3"/>
  <c r="E514" i="3"/>
  <c r="G514" i="3"/>
  <c r="I514" i="3"/>
  <c r="K514" i="3"/>
  <c r="M514" i="3"/>
  <c r="O514" i="3"/>
  <c r="Q514" i="3"/>
  <c r="S514" i="3"/>
  <c r="U514" i="3"/>
  <c r="W514" i="3"/>
  <c r="Y514" i="3"/>
  <c r="AA514" i="3"/>
  <c r="AK514" i="3"/>
  <c r="AM514" i="3"/>
  <c r="AO514" i="3"/>
  <c r="AQ514" i="3"/>
  <c r="AS514" i="3"/>
  <c r="AU514" i="3"/>
  <c r="AW514" i="3"/>
  <c r="AY514" i="3"/>
  <c r="C515" i="3"/>
  <c r="E515" i="3"/>
  <c r="G515" i="3"/>
  <c r="I515" i="3"/>
  <c r="K515" i="3"/>
  <c r="M515" i="3"/>
  <c r="O515" i="3"/>
  <c r="Q515" i="3"/>
  <c r="S515" i="3"/>
  <c r="U515" i="3"/>
  <c r="W515" i="3"/>
  <c r="Y515" i="3"/>
  <c r="AA515" i="3"/>
  <c r="AK515" i="3"/>
  <c r="AM515" i="3"/>
  <c r="AO515" i="3"/>
  <c r="AQ515" i="3"/>
  <c r="AS515" i="3"/>
  <c r="AU515" i="3"/>
  <c r="AW515" i="3"/>
  <c r="AY515" i="3"/>
  <c r="C516" i="3"/>
  <c r="E516" i="3"/>
  <c r="G516" i="3"/>
  <c r="I516" i="3"/>
  <c r="K516" i="3"/>
  <c r="M516" i="3"/>
  <c r="O516" i="3"/>
  <c r="Q516" i="3"/>
  <c r="S516" i="3"/>
  <c r="U516" i="3"/>
  <c r="W516" i="3"/>
  <c r="Y516" i="3"/>
  <c r="AA516" i="3"/>
  <c r="AK516" i="3"/>
  <c r="AM516" i="3"/>
  <c r="AO516" i="3"/>
  <c r="AQ516" i="3"/>
  <c r="AS516" i="3"/>
  <c r="AU516" i="3"/>
  <c r="AW516" i="3"/>
  <c r="AY516" i="3"/>
  <c r="C517" i="3"/>
  <c r="E517" i="3"/>
  <c r="G517" i="3"/>
  <c r="I517" i="3"/>
  <c r="K517" i="3"/>
  <c r="M517" i="3"/>
  <c r="O517" i="3"/>
  <c r="Q517" i="3"/>
  <c r="S517" i="3"/>
  <c r="U517" i="3"/>
  <c r="W517" i="3"/>
  <c r="Y517" i="3"/>
  <c r="AA517" i="3"/>
  <c r="AK517" i="3"/>
  <c r="AM517" i="3"/>
  <c r="AO517" i="3"/>
  <c r="AQ517" i="3"/>
  <c r="AS517" i="3"/>
  <c r="AU517" i="3"/>
  <c r="AW517" i="3"/>
  <c r="AY517" i="3"/>
  <c r="C518" i="3"/>
  <c r="E518" i="3"/>
  <c r="G518" i="3"/>
  <c r="I518" i="3"/>
  <c r="K518" i="3"/>
  <c r="M518" i="3"/>
  <c r="O518" i="3"/>
  <c r="Q518" i="3"/>
  <c r="S518" i="3"/>
  <c r="U518" i="3"/>
  <c r="W518" i="3"/>
  <c r="Y518" i="3"/>
  <c r="AA518" i="3"/>
  <c r="AK518" i="3"/>
  <c r="AM518" i="3"/>
  <c r="AO518" i="3"/>
  <c r="AQ518" i="3"/>
  <c r="AS518" i="3"/>
  <c r="AU518" i="3"/>
  <c r="AW518" i="3"/>
  <c r="AY518" i="3"/>
  <c r="C519" i="3"/>
  <c r="E519" i="3"/>
  <c r="G519" i="3"/>
  <c r="I519" i="3"/>
  <c r="K519" i="3"/>
  <c r="M519" i="3"/>
  <c r="O519" i="3"/>
  <c r="Q519" i="3"/>
  <c r="S519" i="3"/>
  <c r="U519" i="3"/>
  <c r="W519" i="3"/>
  <c r="Y519" i="3"/>
  <c r="AA519" i="3"/>
  <c r="AK519" i="3"/>
  <c r="AM519" i="3"/>
  <c r="AO519" i="3"/>
  <c r="AQ519" i="3"/>
  <c r="AS519" i="3"/>
  <c r="AU519" i="3"/>
  <c r="AW519" i="3"/>
  <c r="AY519" i="3"/>
  <c r="C520" i="3"/>
  <c r="E520" i="3"/>
  <c r="G520" i="3"/>
  <c r="I520" i="3"/>
  <c r="K520" i="3"/>
  <c r="M520" i="3"/>
  <c r="O520" i="3"/>
  <c r="Q520" i="3"/>
  <c r="S520" i="3"/>
  <c r="U520" i="3"/>
  <c r="W520" i="3"/>
  <c r="Y520" i="3"/>
  <c r="AA520" i="3"/>
  <c r="AK520" i="3"/>
  <c r="AM520" i="3"/>
  <c r="AO520" i="3"/>
  <c r="AQ520" i="3"/>
  <c r="AS520" i="3"/>
  <c r="AU520" i="3"/>
  <c r="AW520" i="3"/>
  <c r="AY520" i="3"/>
  <c r="C521" i="3"/>
  <c r="E521" i="3"/>
  <c r="G521" i="3"/>
  <c r="I521" i="3"/>
  <c r="K521" i="3"/>
  <c r="M521" i="3"/>
  <c r="O521" i="3"/>
  <c r="Q521" i="3"/>
  <c r="S521" i="3"/>
  <c r="U521" i="3"/>
  <c r="W521" i="3"/>
  <c r="Y521" i="3"/>
  <c r="AA521" i="3"/>
  <c r="AK521" i="3"/>
  <c r="AM521" i="3"/>
  <c r="AO521" i="3"/>
  <c r="AQ521" i="3"/>
  <c r="AS521" i="3"/>
  <c r="AU521" i="3"/>
  <c r="AW521" i="3"/>
  <c r="AY521" i="3"/>
  <c r="C522" i="3"/>
  <c r="E522" i="3"/>
  <c r="G522" i="3"/>
  <c r="I522" i="3"/>
  <c r="K522" i="3"/>
  <c r="M522" i="3"/>
  <c r="O522" i="3"/>
  <c r="Q522" i="3"/>
  <c r="S522" i="3"/>
  <c r="U522" i="3"/>
  <c r="W522" i="3"/>
  <c r="Y522" i="3"/>
  <c r="AA522" i="3"/>
  <c r="AK522" i="3"/>
  <c r="AM522" i="3"/>
  <c r="AO522" i="3"/>
  <c r="AQ522" i="3"/>
  <c r="AS522" i="3"/>
  <c r="AU522" i="3"/>
  <c r="AW522" i="3"/>
  <c r="AY522" i="3"/>
  <c r="C523" i="3"/>
  <c r="E523" i="3"/>
  <c r="G523" i="3"/>
  <c r="I523" i="3"/>
  <c r="K523" i="3"/>
  <c r="M523" i="3"/>
  <c r="O523" i="3"/>
  <c r="Q523" i="3"/>
  <c r="S523" i="3"/>
  <c r="U523" i="3"/>
  <c r="W523" i="3"/>
  <c r="Y523" i="3"/>
  <c r="AA523" i="3"/>
  <c r="AK523" i="3"/>
  <c r="AM523" i="3"/>
  <c r="AO523" i="3"/>
  <c r="AQ523" i="3"/>
  <c r="AS523" i="3"/>
  <c r="AU523" i="3"/>
  <c r="AW523" i="3"/>
  <c r="AY523" i="3"/>
  <c r="C524" i="3"/>
  <c r="E524" i="3"/>
  <c r="G524" i="3"/>
  <c r="I524" i="3"/>
  <c r="K524" i="3"/>
  <c r="M524" i="3"/>
  <c r="O524" i="3"/>
  <c r="Q524" i="3"/>
  <c r="S524" i="3"/>
  <c r="U524" i="3"/>
  <c r="W524" i="3"/>
  <c r="Y524" i="3"/>
  <c r="AA524" i="3"/>
  <c r="AK524" i="3"/>
  <c r="AM524" i="3"/>
  <c r="AO524" i="3"/>
  <c r="AQ524" i="3"/>
  <c r="AS524" i="3"/>
  <c r="AU524" i="3"/>
  <c r="AW524" i="3"/>
  <c r="AY524" i="3"/>
  <c r="C525" i="3"/>
  <c r="E525" i="3"/>
  <c r="G525" i="3"/>
  <c r="I525" i="3"/>
  <c r="K525" i="3"/>
  <c r="M525" i="3"/>
  <c r="O525" i="3"/>
  <c r="Q525" i="3"/>
  <c r="S525" i="3"/>
  <c r="U525" i="3"/>
  <c r="W525" i="3"/>
  <c r="Y525" i="3"/>
  <c r="AA525" i="3"/>
  <c r="AK525" i="3"/>
  <c r="AM525" i="3"/>
  <c r="AO525" i="3"/>
  <c r="AQ525" i="3"/>
  <c r="AS525" i="3"/>
  <c r="AU525" i="3"/>
  <c r="AW525" i="3"/>
  <c r="AY525" i="3"/>
  <c r="C526" i="3"/>
  <c r="E526" i="3"/>
  <c r="G526" i="3"/>
  <c r="I526" i="3"/>
  <c r="K526" i="3"/>
  <c r="M526" i="3"/>
  <c r="O526" i="3"/>
  <c r="Q526" i="3"/>
  <c r="S526" i="3"/>
  <c r="U526" i="3"/>
  <c r="W526" i="3"/>
  <c r="Y526" i="3"/>
  <c r="AA526" i="3"/>
  <c r="AK526" i="3"/>
  <c r="AM526" i="3"/>
  <c r="AO526" i="3"/>
  <c r="AQ526" i="3"/>
  <c r="AS526" i="3"/>
  <c r="AU526" i="3"/>
  <c r="AW526" i="3"/>
  <c r="AY526" i="3"/>
  <c r="C527" i="3"/>
  <c r="E527" i="3"/>
  <c r="G527" i="3"/>
  <c r="I527" i="3"/>
  <c r="K527" i="3"/>
  <c r="M527" i="3"/>
  <c r="O527" i="3"/>
  <c r="Q527" i="3"/>
  <c r="S527" i="3"/>
  <c r="U527" i="3"/>
  <c r="W527" i="3"/>
  <c r="Y527" i="3"/>
  <c r="AA527" i="3"/>
  <c r="AK527" i="3"/>
  <c r="AM527" i="3"/>
  <c r="AO527" i="3"/>
  <c r="AQ527" i="3"/>
  <c r="AS527" i="3"/>
  <c r="AU527" i="3"/>
  <c r="AW527" i="3"/>
  <c r="AY527" i="3"/>
  <c r="C528" i="3"/>
  <c r="E528" i="3"/>
  <c r="G528" i="3"/>
  <c r="I528" i="3"/>
  <c r="K528" i="3"/>
  <c r="M528" i="3"/>
  <c r="O528" i="3"/>
  <c r="Q528" i="3"/>
  <c r="S528" i="3"/>
  <c r="U528" i="3"/>
  <c r="W528" i="3"/>
  <c r="Y528" i="3"/>
  <c r="AA528" i="3"/>
  <c r="AK528" i="3"/>
  <c r="AM528" i="3"/>
  <c r="AO528" i="3"/>
  <c r="AQ528" i="3"/>
  <c r="AS528" i="3"/>
  <c r="AU528" i="3"/>
  <c r="AW528" i="3"/>
  <c r="AY528" i="3"/>
  <c r="C529" i="3"/>
  <c r="E529" i="3"/>
  <c r="G529" i="3"/>
  <c r="I529" i="3"/>
  <c r="K529" i="3"/>
  <c r="M529" i="3"/>
  <c r="O529" i="3"/>
  <c r="Q529" i="3"/>
  <c r="S529" i="3"/>
  <c r="U529" i="3"/>
  <c r="W529" i="3"/>
  <c r="Y529" i="3"/>
  <c r="AA529" i="3"/>
  <c r="AK529" i="3"/>
  <c r="AM529" i="3"/>
  <c r="AO529" i="3"/>
  <c r="AQ529" i="3"/>
  <c r="AS529" i="3"/>
  <c r="AU529" i="3"/>
  <c r="AW529" i="3"/>
  <c r="AY529" i="3"/>
  <c r="C530" i="3"/>
  <c r="E530" i="3"/>
  <c r="G530" i="3"/>
  <c r="I530" i="3"/>
  <c r="K530" i="3"/>
  <c r="M530" i="3"/>
  <c r="O530" i="3"/>
  <c r="Q530" i="3"/>
  <c r="S530" i="3"/>
  <c r="U530" i="3"/>
  <c r="W530" i="3"/>
  <c r="Y530" i="3"/>
  <c r="AA530" i="3"/>
  <c r="AK530" i="3"/>
  <c r="AM530" i="3"/>
  <c r="AO530" i="3"/>
  <c r="AQ530" i="3"/>
  <c r="AS530" i="3"/>
  <c r="AU530" i="3"/>
  <c r="AW530" i="3"/>
  <c r="AY530" i="3"/>
  <c r="C531" i="3"/>
  <c r="E531" i="3"/>
  <c r="G531" i="3"/>
  <c r="I531" i="3"/>
  <c r="K531" i="3"/>
  <c r="M531" i="3"/>
  <c r="O531" i="3"/>
  <c r="Q531" i="3"/>
  <c r="S531" i="3"/>
  <c r="U531" i="3"/>
  <c r="W531" i="3"/>
  <c r="Y531" i="3"/>
  <c r="AA531" i="3"/>
  <c r="AK531" i="3"/>
  <c r="AM531" i="3"/>
  <c r="AO531" i="3"/>
  <c r="AQ531" i="3"/>
  <c r="AS531" i="3"/>
  <c r="AU531" i="3"/>
  <c r="AW531" i="3"/>
  <c r="AY531" i="3"/>
  <c r="C532" i="3"/>
  <c r="E532" i="3"/>
  <c r="G532" i="3"/>
  <c r="I532" i="3"/>
  <c r="K532" i="3"/>
  <c r="M532" i="3"/>
  <c r="O532" i="3"/>
  <c r="Q532" i="3"/>
  <c r="S532" i="3"/>
  <c r="U532" i="3"/>
  <c r="W532" i="3"/>
  <c r="Y532" i="3"/>
  <c r="AA532" i="3"/>
  <c r="AK532" i="3"/>
  <c r="AM532" i="3"/>
  <c r="AO532" i="3"/>
  <c r="AQ532" i="3"/>
  <c r="AS532" i="3"/>
  <c r="AU532" i="3"/>
  <c r="AW532" i="3"/>
  <c r="AY532" i="3"/>
  <c r="C533" i="3"/>
  <c r="E533" i="3"/>
  <c r="G533" i="3"/>
  <c r="I533" i="3"/>
  <c r="K533" i="3"/>
  <c r="M533" i="3"/>
  <c r="O533" i="3"/>
  <c r="Q533" i="3"/>
  <c r="S533" i="3"/>
  <c r="U533" i="3"/>
  <c r="W533" i="3"/>
  <c r="Y533" i="3"/>
  <c r="AA533" i="3"/>
  <c r="AK533" i="3"/>
  <c r="AM533" i="3"/>
  <c r="AO533" i="3"/>
  <c r="AQ533" i="3"/>
  <c r="AS533" i="3"/>
  <c r="AU533" i="3"/>
  <c r="AW533" i="3"/>
  <c r="AY533" i="3"/>
  <c r="C534" i="3"/>
  <c r="E534" i="3"/>
  <c r="G534" i="3"/>
  <c r="I534" i="3"/>
  <c r="K534" i="3"/>
  <c r="M534" i="3"/>
  <c r="O534" i="3"/>
  <c r="Q534" i="3"/>
  <c r="S534" i="3"/>
  <c r="U534" i="3"/>
  <c r="W534" i="3"/>
  <c r="Y534" i="3"/>
  <c r="AA534" i="3"/>
  <c r="AK534" i="3"/>
  <c r="AM534" i="3"/>
  <c r="AO534" i="3"/>
  <c r="AQ534" i="3"/>
  <c r="AS534" i="3"/>
  <c r="AU534" i="3"/>
  <c r="AW534" i="3"/>
  <c r="AY534" i="3"/>
  <c r="C535" i="3"/>
  <c r="E535" i="3"/>
  <c r="G535" i="3"/>
  <c r="I535" i="3"/>
  <c r="K535" i="3"/>
  <c r="M535" i="3"/>
  <c r="O535" i="3"/>
  <c r="Q535" i="3"/>
  <c r="S535" i="3"/>
  <c r="U535" i="3"/>
  <c r="W535" i="3"/>
  <c r="Y535" i="3"/>
  <c r="AA535" i="3"/>
  <c r="AK535" i="3"/>
  <c r="AM535" i="3"/>
  <c r="AO535" i="3"/>
  <c r="AQ535" i="3"/>
  <c r="AS535" i="3"/>
  <c r="AU535" i="3"/>
  <c r="AW535" i="3"/>
  <c r="AY535" i="3"/>
  <c r="C536" i="3"/>
  <c r="E536" i="3"/>
  <c r="G536" i="3"/>
  <c r="I536" i="3"/>
  <c r="K536" i="3"/>
  <c r="M536" i="3"/>
  <c r="O536" i="3"/>
  <c r="Q536" i="3"/>
  <c r="S536" i="3"/>
  <c r="U536" i="3"/>
  <c r="W536" i="3"/>
  <c r="Y536" i="3"/>
  <c r="AA536" i="3"/>
  <c r="AK536" i="3"/>
  <c r="AM536" i="3"/>
  <c r="AO536" i="3"/>
  <c r="AQ536" i="3"/>
  <c r="AS536" i="3"/>
  <c r="AU536" i="3"/>
  <c r="AW536" i="3"/>
  <c r="AY536" i="3"/>
  <c r="C537" i="3"/>
  <c r="E537" i="3"/>
  <c r="G537" i="3"/>
  <c r="I537" i="3"/>
  <c r="K537" i="3"/>
  <c r="M537" i="3"/>
  <c r="O537" i="3"/>
  <c r="Q537" i="3"/>
  <c r="S537" i="3"/>
  <c r="U537" i="3"/>
  <c r="W537" i="3"/>
  <c r="Y537" i="3"/>
  <c r="AA537" i="3"/>
  <c r="AK537" i="3"/>
  <c r="AM537" i="3"/>
  <c r="AO537" i="3"/>
  <c r="AQ537" i="3"/>
  <c r="AS537" i="3"/>
  <c r="AU537" i="3"/>
  <c r="AW537" i="3"/>
  <c r="AY537" i="3"/>
  <c r="C538" i="3"/>
  <c r="E538" i="3"/>
  <c r="G538" i="3"/>
  <c r="I538" i="3"/>
  <c r="K538" i="3"/>
  <c r="M538" i="3"/>
  <c r="O538" i="3"/>
  <c r="Q538" i="3"/>
  <c r="S538" i="3"/>
  <c r="U538" i="3"/>
  <c r="W538" i="3"/>
  <c r="Y538" i="3"/>
  <c r="AA538" i="3"/>
  <c r="AK538" i="3"/>
  <c r="AM538" i="3"/>
  <c r="AO538" i="3"/>
  <c r="AQ538" i="3"/>
  <c r="AS538" i="3"/>
  <c r="AU538" i="3"/>
  <c r="AW538" i="3"/>
  <c r="AY538" i="3"/>
  <c r="C539" i="3"/>
  <c r="E539" i="3"/>
  <c r="G539" i="3"/>
  <c r="I539" i="3"/>
  <c r="K539" i="3"/>
  <c r="M539" i="3"/>
  <c r="O539" i="3"/>
  <c r="Q539" i="3"/>
  <c r="S539" i="3"/>
  <c r="U539" i="3"/>
  <c r="W539" i="3"/>
  <c r="Y539" i="3"/>
  <c r="AA539" i="3"/>
  <c r="AK539" i="3"/>
  <c r="AM539" i="3"/>
  <c r="AO539" i="3"/>
  <c r="AQ539" i="3"/>
  <c r="AS539" i="3"/>
  <c r="AU539" i="3"/>
  <c r="AW539" i="3"/>
  <c r="AY539" i="3"/>
  <c r="C540" i="3"/>
  <c r="E540" i="3"/>
  <c r="G540" i="3"/>
  <c r="I540" i="3"/>
  <c r="K540" i="3"/>
  <c r="M540" i="3"/>
  <c r="O540" i="3"/>
  <c r="Q540" i="3"/>
  <c r="S540" i="3"/>
  <c r="U540" i="3"/>
  <c r="W540" i="3"/>
  <c r="Y540" i="3"/>
  <c r="AA540" i="3"/>
  <c r="AK540" i="3"/>
  <c r="AM540" i="3"/>
  <c r="AO540" i="3"/>
  <c r="AQ540" i="3"/>
  <c r="AS540" i="3"/>
  <c r="AU540" i="3"/>
  <c r="AW540" i="3"/>
  <c r="AY540" i="3"/>
  <c r="C541" i="3"/>
  <c r="E541" i="3"/>
  <c r="G541" i="3"/>
  <c r="I541" i="3"/>
  <c r="K541" i="3"/>
  <c r="M541" i="3"/>
  <c r="O541" i="3"/>
  <c r="Q541" i="3"/>
  <c r="S541" i="3"/>
  <c r="U541" i="3"/>
  <c r="W541" i="3"/>
  <c r="Y541" i="3"/>
  <c r="AA541" i="3"/>
  <c r="AK541" i="3"/>
  <c r="AM541" i="3"/>
  <c r="AO541" i="3"/>
  <c r="AQ541" i="3"/>
  <c r="AS541" i="3"/>
  <c r="AU541" i="3"/>
  <c r="AW541" i="3"/>
  <c r="AY541" i="3"/>
  <c r="C542" i="3"/>
  <c r="E542" i="3"/>
  <c r="G542" i="3"/>
  <c r="I542" i="3"/>
  <c r="K542" i="3"/>
  <c r="M542" i="3"/>
  <c r="O542" i="3"/>
  <c r="Q542" i="3"/>
  <c r="S542" i="3"/>
  <c r="U542" i="3"/>
  <c r="W542" i="3"/>
  <c r="Y542" i="3"/>
  <c r="AA542" i="3"/>
  <c r="AK542" i="3"/>
  <c r="AM542" i="3"/>
  <c r="AO542" i="3"/>
  <c r="AQ542" i="3"/>
  <c r="AS542" i="3"/>
  <c r="AU542" i="3"/>
  <c r="AW542" i="3"/>
  <c r="AY542" i="3"/>
  <c r="C543" i="3"/>
  <c r="E543" i="3"/>
  <c r="G543" i="3"/>
  <c r="I543" i="3"/>
  <c r="K543" i="3"/>
  <c r="M543" i="3"/>
  <c r="O543" i="3"/>
  <c r="Q543" i="3"/>
  <c r="S543" i="3"/>
  <c r="U543" i="3"/>
  <c r="W543" i="3"/>
  <c r="Y543" i="3"/>
  <c r="AA543" i="3"/>
  <c r="AK543" i="3"/>
  <c r="AM543" i="3"/>
  <c r="AO543" i="3"/>
  <c r="AQ543" i="3"/>
  <c r="AS543" i="3"/>
  <c r="AU543" i="3"/>
  <c r="AW543" i="3"/>
  <c r="AY543" i="3"/>
  <c r="C544" i="3"/>
  <c r="E544" i="3"/>
  <c r="G544" i="3"/>
  <c r="I544" i="3"/>
  <c r="K544" i="3"/>
  <c r="M544" i="3"/>
  <c r="O544" i="3"/>
  <c r="Q544" i="3"/>
  <c r="S544" i="3"/>
  <c r="U544" i="3"/>
  <c r="W544" i="3"/>
  <c r="Y544" i="3"/>
  <c r="AA544" i="3"/>
  <c r="AK544" i="3"/>
  <c r="AM544" i="3"/>
  <c r="AO544" i="3"/>
  <c r="AQ544" i="3"/>
  <c r="AS544" i="3"/>
  <c r="AU544" i="3"/>
  <c r="AW544" i="3"/>
  <c r="AY544" i="3"/>
  <c r="C545" i="3"/>
  <c r="E545" i="3"/>
  <c r="G545" i="3"/>
  <c r="I545" i="3"/>
  <c r="K545" i="3"/>
  <c r="M545" i="3"/>
  <c r="O545" i="3"/>
  <c r="Q545" i="3"/>
  <c r="S545" i="3"/>
  <c r="U545" i="3"/>
  <c r="W545" i="3"/>
  <c r="Y545" i="3"/>
  <c r="AA545" i="3"/>
  <c r="AK545" i="3"/>
  <c r="AM545" i="3"/>
  <c r="AO545" i="3"/>
  <c r="AQ545" i="3"/>
  <c r="AS545" i="3"/>
  <c r="AU545" i="3"/>
  <c r="AW545" i="3"/>
  <c r="AY545" i="3"/>
  <c r="C546" i="3"/>
  <c r="E546" i="3"/>
  <c r="G546" i="3"/>
  <c r="I546" i="3"/>
  <c r="K546" i="3"/>
  <c r="M546" i="3"/>
  <c r="O546" i="3"/>
  <c r="Q546" i="3"/>
  <c r="S546" i="3"/>
  <c r="U546" i="3"/>
  <c r="W546" i="3"/>
  <c r="Y546" i="3"/>
  <c r="AA546" i="3"/>
  <c r="AK546" i="3"/>
  <c r="AM546" i="3"/>
  <c r="AO546" i="3"/>
  <c r="AQ546" i="3"/>
  <c r="AS546" i="3"/>
  <c r="AU546" i="3"/>
  <c r="AW546" i="3"/>
  <c r="AY546" i="3"/>
  <c r="C547" i="3"/>
  <c r="E547" i="3"/>
  <c r="G547" i="3"/>
  <c r="I547" i="3"/>
  <c r="K547" i="3"/>
  <c r="M547" i="3"/>
  <c r="O547" i="3"/>
  <c r="Q547" i="3"/>
  <c r="S547" i="3"/>
  <c r="U547" i="3"/>
  <c r="W547" i="3"/>
  <c r="Y547" i="3"/>
  <c r="AA547" i="3"/>
  <c r="AK547" i="3"/>
  <c r="AM547" i="3"/>
  <c r="AO547" i="3"/>
  <c r="AQ547" i="3"/>
  <c r="AS547" i="3"/>
  <c r="AU547" i="3"/>
  <c r="AW547" i="3"/>
  <c r="AY547" i="3"/>
  <c r="C548" i="3"/>
  <c r="E548" i="3"/>
  <c r="G548" i="3"/>
  <c r="I548" i="3"/>
  <c r="K548" i="3"/>
  <c r="M548" i="3"/>
  <c r="O548" i="3"/>
  <c r="Q548" i="3"/>
  <c r="S548" i="3"/>
  <c r="U548" i="3"/>
  <c r="W548" i="3"/>
  <c r="Y548" i="3"/>
  <c r="AA548" i="3"/>
  <c r="AK548" i="3"/>
  <c r="AM548" i="3"/>
  <c r="AO548" i="3"/>
  <c r="AQ548" i="3"/>
  <c r="AS548" i="3"/>
  <c r="AU548" i="3"/>
  <c r="AW548" i="3"/>
  <c r="AY548" i="3"/>
  <c r="C549" i="3"/>
  <c r="E549" i="3"/>
  <c r="G549" i="3"/>
  <c r="I549" i="3"/>
  <c r="K549" i="3"/>
  <c r="M549" i="3"/>
  <c r="O549" i="3"/>
  <c r="Q549" i="3"/>
  <c r="S549" i="3"/>
  <c r="U549" i="3"/>
  <c r="W549" i="3"/>
  <c r="Y549" i="3"/>
  <c r="AA549" i="3"/>
  <c r="AK549" i="3"/>
  <c r="AM549" i="3"/>
  <c r="AO549" i="3"/>
  <c r="AQ549" i="3"/>
  <c r="AS549" i="3"/>
  <c r="AU549" i="3"/>
  <c r="AW549" i="3"/>
  <c r="AY549" i="3"/>
  <c r="C550" i="3"/>
  <c r="E550" i="3"/>
  <c r="G550" i="3"/>
  <c r="I550" i="3"/>
  <c r="K550" i="3"/>
  <c r="M550" i="3"/>
  <c r="O550" i="3"/>
  <c r="Q550" i="3"/>
  <c r="S550" i="3"/>
  <c r="U550" i="3"/>
  <c r="W550" i="3"/>
  <c r="Y550" i="3"/>
  <c r="AA550" i="3"/>
  <c r="AK550" i="3"/>
  <c r="AM550" i="3"/>
  <c r="AO550" i="3"/>
  <c r="AQ550" i="3"/>
  <c r="AS550" i="3"/>
  <c r="AU550" i="3"/>
  <c r="AW550" i="3"/>
  <c r="AY550" i="3"/>
  <c r="C551" i="3"/>
  <c r="E551" i="3"/>
  <c r="G551" i="3"/>
  <c r="I551" i="3"/>
  <c r="K551" i="3"/>
  <c r="M551" i="3"/>
  <c r="O551" i="3"/>
  <c r="Q551" i="3"/>
  <c r="S551" i="3"/>
  <c r="U551" i="3"/>
  <c r="W551" i="3"/>
  <c r="Y551" i="3"/>
  <c r="AA551" i="3"/>
  <c r="AK551" i="3"/>
  <c r="AM551" i="3"/>
  <c r="AO551" i="3"/>
  <c r="AQ551" i="3"/>
  <c r="AS551" i="3"/>
  <c r="AU551" i="3"/>
  <c r="AW551" i="3"/>
  <c r="AY551" i="3"/>
  <c r="C552" i="3"/>
  <c r="E552" i="3"/>
  <c r="G552" i="3"/>
  <c r="I552" i="3"/>
  <c r="K552" i="3"/>
  <c r="M552" i="3"/>
  <c r="O552" i="3"/>
  <c r="Q552" i="3"/>
  <c r="S552" i="3"/>
  <c r="U552" i="3"/>
  <c r="W552" i="3"/>
  <c r="Y552" i="3"/>
  <c r="AA552" i="3"/>
  <c r="AK552" i="3"/>
  <c r="AM552" i="3"/>
  <c r="AO552" i="3"/>
  <c r="AQ552" i="3"/>
  <c r="AS552" i="3"/>
  <c r="AU552" i="3"/>
  <c r="AW552" i="3"/>
  <c r="AY552" i="3"/>
  <c r="C553" i="3"/>
  <c r="E553" i="3"/>
  <c r="G553" i="3"/>
  <c r="I553" i="3"/>
  <c r="K553" i="3"/>
  <c r="M553" i="3"/>
  <c r="O553" i="3"/>
  <c r="Q553" i="3"/>
  <c r="S553" i="3"/>
  <c r="U553" i="3"/>
  <c r="W553" i="3"/>
  <c r="Y553" i="3"/>
  <c r="AA553" i="3"/>
  <c r="AK553" i="3"/>
  <c r="AM553" i="3"/>
  <c r="AO553" i="3"/>
  <c r="AQ553" i="3"/>
  <c r="AS553" i="3"/>
  <c r="AU553" i="3"/>
  <c r="AW553" i="3"/>
  <c r="AY553" i="3"/>
  <c r="C554" i="3"/>
  <c r="E554" i="3"/>
  <c r="G554" i="3"/>
  <c r="I554" i="3"/>
  <c r="K554" i="3"/>
  <c r="M554" i="3"/>
  <c r="O554" i="3"/>
  <c r="Q554" i="3"/>
  <c r="S554" i="3"/>
  <c r="U554" i="3"/>
  <c r="W554" i="3"/>
  <c r="Y554" i="3"/>
  <c r="AA554" i="3"/>
  <c r="AK554" i="3"/>
  <c r="AM554" i="3"/>
  <c r="AO554" i="3"/>
  <c r="AQ554" i="3"/>
  <c r="AS554" i="3"/>
  <c r="AU554" i="3"/>
  <c r="AW554" i="3"/>
  <c r="AY554" i="3"/>
  <c r="C555" i="3"/>
  <c r="E555" i="3"/>
  <c r="G555" i="3"/>
  <c r="I555" i="3"/>
  <c r="K555" i="3"/>
  <c r="M555" i="3"/>
  <c r="O555" i="3"/>
  <c r="Q555" i="3"/>
  <c r="S555" i="3"/>
  <c r="U555" i="3"/>
  <c r="W555" i="3"/>
  <c r="Y555" i="3"/>
  <c r="AA555" i="3"/>
  <c r="AK555" i="3"/>
  <c r="AM555" i="3"/>
  <c r="AO555" i="3"/>
  <c r="AQ555" i="3"/>
  <c r="AS555" i="3"/>
  <c r="AU555" i="3"/>
  <c r="AW555" i="3"/>
  <c r="AY555" i="3"/>
  <c r="C556" i="3"/>
  <c r="E556" i="3"/>
  <c r="G556" i="3"/>
  <c r="I556" i="3"/>
  <c r="K556" i="3"/>
  <c r="M556" i="3"/>
  <c r="O556" i="3"/>
  <c r="Q556" i="3"/>
  <c r="S556" i="3"/>
  <c r="U556" i="3"/>
  <c r="W556" i="3"/>
  <c r="Y556" i="3"/>
  <c r="AA556" i="3"/>
  <c r="AK556" i="3"/>
  <c r="AM556" i="3"/>
  <c r="AO556" i="3"/>
  <c r="AQ556" i="3"/>
  <c r="AS556" i="3"/>
  <c r="AU556" i="3"/>
  <c r="AW556" i="3"/>
  <c r="AY556" i="3"/>
  <c r="C557" i="3"/>
  <c r="E557" i="3"/>
  <c r="G557" i="3"/>
  <c r="I557" i="3"/>
  <c r="K557" i="3"/>
  <c r="M557" i="3"/>
  <c r="O557" i="3"/>
  <c r="Q557" i="3"/>
  <c r="S557" i="3"/>
  <c r="U557" i="3"/>
  <c r="W557" i="3"/>
  <c r="Y557" i="3"/>
  <c r="AA557" i="3"/>
  <c r="AK557" i="3"/>
  <c r="AM557" i="3"/>
  <c r="AO557" i="3"/>
  <c r="AQ557" i="3"/>
  <c r="AS557" i="3"/>
  <c r="AU557" i="3"/>
  <c r="AW557" i="3"/>
  <c r="AY557" i="3"/>
  <c r="C558" i="3"/>
  <c r="E558" i="3"/>
  <c r="G558" i="3"/>
  <c r="I558" i="3"/>
  <c r="K558" i="3"/>
  <c r="M558" i="3"/>
  <c r="O558" i="3"/>
  <c r="Q558" i="3"/>
  <c r="S558" i="3"/>
  <c r="U558" i="3"/>
  <c r="W558" i="3"/>
  <c r="Y558" i="3"/>
  <c r="AA558" i="3"/>
  <c r="AK558" i="3"/>
  <c r="AM558" i="3"/>
  <c r="AO558" i="3"/>
  <c r="AQ558" i="3"/>
  <c r="AS558" i="3"/>
  <c r="AU558" i="3"/>
  <c r="AW558" i="3"/>
  <c r="AY558" i="3"/>
  <c r="C559" i="3"/>
  <c r="E559" i="3"/>
  <c r="G559" i="3"/>
  <c r="I559" i="3"/>
  <c r="K559" i="3"/>
  <c r="M559" i="3"/>
  <c r="O559" i="3"/>
  <c r="Q559" i="3"/>
  <c r="S559" i="3"/>
  <c r="U559" i="3"/>
  <c r="W559" i="3"/>
  <c r="Y559" i="3"/>
  <c r="AA559" i="3"/>
  <c r="AK559" i="3"/>
  <c r="AM559" i="3"/>
  <c r="AO559" i="3"/>
  <c r="AQ559" i="3"/>
  <c r="AS559" i="3"/>
  <c r="AU559" i="3"/>
  <c r="AW559" i="3"/>
  <c r="AY559" i="3"/>
  <c r="C560" i="3"/>
  <c r="E560" i="3"/>
  <c r="G560" i="3"/>
  <c r="I560" i="3"/>
  <c r="K560" i="3"/>
  <c r="M560" i="3"/>
  <c r="O560" i="3"/>
  <c r="Q560" i="3"/>
  <c r="S560" i="3"/>
  <c r="U560" i="3"/>
  <c r="W560" i="3"/>
  <c r="Y560" i="3"/>
  <c r="AA560" i="3"/>
  <c r="AK560" i="3"/>
  <c r="AM560" i="3"/>
  <c r="AO560" i="3"/>
  <c r="AQ560" i="3"/>
  <c r="AS560" i="3"/>
  <c r="AU560" i="3"/>
  <c r="AW560" i="3"/>
  <c r="AY560" i="3"/>
  <c r="C561" i="3"/>
  <c r="E561" i="3"/>
  <c r="G561" i="3"/>
  <c r="I561" i="3"/>
  <c r="K561" i="3"/>
  <c r="M561" i="3"/>
  <c r="O561" i="3"/>
  <c r="Q561" i="3"/>
  <c r="S561" i="3"/>
  <c r="U561" i="3"/>
  <c r="W561" i="3"/>
  <c r="Y561" i="3"/>
  <c r="AA561" i="3"/>
  <c r="AK561" i="3"/>
  <c r="AM561" i="3"/>
  <c r="AO561" i="3"/>
  <c r="AQ561" i="3"/>
  <c r="AS561" i="3"/>
  <c r="AU561" i="3"/>
  <c r="AW561" i="3"/>
  <c r="AY561" i="3"/>
  <c r="C562" i="3"/>
  <c r="E562" i="3"/>
  <c r="G562" i="3"/>
  <c r="I562" i="3"/>
  <c r="K562" i="3"/>
  <c r="M562" i="3"/>
  <c r="O562" i="3"/>
  <c r="Q562" i="3"/>
  <c r="S562" i="3"/>
  <c r="U562" i="3"/>
  <c r="W562" i="3"/>
  <c r="Y562" i="3"/>
  <c r="AA562" i="3"/>
  <c r="AK562" i="3"/>
  <c r="AM562" i="3"/>
  <c r="AO562" i="3"/>
  <c r="AQ562" i="3"/>
  <c r="AS562" i="3"/>
  <c r="AU562" i="3"/>
  <c r="AW562" i="3"/>
  <c r="AY562" i="3"/>
  <c r="C563" i="3"/>
  <c r="E563" i="3"/>
  <c r="G563" i="3"/>
  <c r="I563" i="3"/>
  <c r="K563" i="3"/>
  <c r="M563" i="3"/>
  <c r="O563" i="3"/>
  <c r="Q563" i="3"/>
  <c r="S563" i="3"/>
  <c r="U563" i="3"/>
  <c r="W563" i="3"/>
  <c r="Y563" i="3"/>
  <c r="AA563" i="3"/>
  <c r="AK563" i="3"/>
  <c r="AM563" i="3"/>
  <c r="AO563" i="3"/>
  <c r="AQ563" i="3"/>
  <c r="AS563" i="3"/>
  <c r="AU563" i="3"/>
  <c r="AW563" i="3"/>
  <c r="AY563" i="3"/>
  <c r="C564" i="3"/>
  <c r="E564" i="3"/>
  <c r="G564" i="3"/>
  <c r="I564" i="3"/>
  <c r="K564" i="3"/>
  <c r="M564" i="3"/>
  <c r="O564" i="3"/>
  <c r="Q564" i="3"/>
  <c r="S564" i="3"/>
  <c r="U564" i="3"/>
  <c r="W564" i="3"/>
  <c r="Y564" i="3"/>
  <c r="AA564" i="3"/>
  <c r="AK564" i="3"/>
  <c r="AM564" i="3"/>
  <c r="AO564" i="3"/>
  <c r="AQ564" i="3"/>
  <c r="AS564" i="3"/>
  <c r="AU564" i="3"/>
  <c r="AW564" i="3"/>
  <c r="AY564" i="3"/>
  <c r="C565" i="3"/>
  <c r="E565" i="3"/>
  <c r="G565" i="3"/>
  <c r="I565" i="3"/>
  <c r="K565" i="3"/>
  <c r="M565" i="3"/>
  <c r="O565" i="3"/>
  <c r="Q565" i="3"/>
  <c r="S565" i="3"/>
  <c r="U565" i="3"/>
  <c r="W565" i="3"/>
  <c r="Y565" i="3"/>
  <c r="AA565" i="3"/>
  <c r="AK565" i="3"/>
  <c r="AM565" i="3"/>
  <c r="AO565" i="3"/>
  <c r="AQ565" i="3"/>
  <c r="AS565" i="3"/>
  <c r="AU565" i="3"/>
  <c r="AW565" i="3"/>
  <c r="AY565" i="3"/>
  <c r="C566" i="3"/>
  <c r="E566" i="3"/>
  <c r="G566" i="3"/>
  <c r="I566" i="3"/>
  <c r="K566" i="3"/>
  <c r="M566" i="3"/>
  <c r="O566" i="3"/>
  <c r="Q566" i="3"/>
  <c r="S566" i="3"/>
  <c r="U566" i="3"/>
  <c r="W566" i="3"/>
  <c r="Y566" i="3"/>
  <c r="AA566" i="3"/>
  <c r="AK566" i="3"/>
  <c r="AM566" i="3"/>
  <c r="AO566" i="3"/>
  <c r="AQ566" i="3"/>
  <c r="AS566" i="3"/>
  <c r="AU566" i="3"/>
  <c r="AW566" i="3"/>
  <c r="AY566" i="3"/>
  <c r="C567" i="3"/>
  <c r="E567" i="3"/>
  <c r="G567" i="3"/>
  <c r="I567" i="3"/>
  <c r="K567" i="3"/>
  <c r="M567" i="3"/>
  <c r="O567" i="3"/>
  <c r="Q567" i="3"/>
  <c r="S567" i="3"/>
  <c r="U567" i="3"/>
  <c r="W567" i="3"/>
  <c r="Y567" i="3"/>
  <c r="AA567" i="3"/>
  <c r="AK567" i="3"/>
  <c r="AM567" i="3"/>
  <c r="AO567" i="3"/>
  <c r="AQ567" i="3"/>
  <c r="AS567" i="3"/>
  <c r="AU567" i="3"/>
  <c r="AW567" i="3"/>
  <c r="AY567" i="3"/>
  <c r="C568" i="3"/>
  <c r="E568" i="3"/>
  <c r="G568" i="3"/>
  <c r="I568" i="3"/>
  <c r="K568" i="3"/>
  <c r="M568" i="3"/>
  <c r="O568" i="3"/>
  <c r="Q568" i="3"/>
  <c r="S568" i="3"/>
  <c r="U568" i="3"/>
  <c r="W568" i="3"/>
  <c r="Y568" i="3"/>
  <c r="AA568" i="3"/>
  <c r="AK568" i="3"/>
  <c r="AM568" i="3"/>
  <c r="AO568" i="3"/>
  <c r="AQ568" i="3"/>
  <c r="AS568" i="3"/>
  <c r="AU568" i="3"/>
  <c r="AW568" i="3"/>
  <c r="AY568" i="3"/>
  <c r="C569" i="3"/>
  <c r="E569" i="3"/>
  <c r="G569" i="3"/>
  <c r="I569" i="3"/>
  <c r="K569" i="3"/>
  <c r="M569" i="3"/>
  <c r="O569" i="3"/>
  <c r="Q569" i="3"/>
  <c r="S569" i="3"/>
  <c r="U569" i="3"/>
  <c r="W569" i="3"/>
  <c r="Y569" i="3"/>
  <c r="AA569" i="3"/>
  <c r="AK569" i="3"/>
  <c r="AM569" i="3"/>
  <c r="AO569" i="3"/>
  <c r="AQ569" i="3"/>
  <c r="AS569" i="3"/>
  <c r="AU569" i="3"/>
  <c r="AW569" i="3"/>
  <c r="AY569" i="3"/>
  <c r="C570" i="3"/>
  <c r="E570" i="3"/>
  <c r="G570" i="3"/>
  <c r="I570" i="3"/>
  <c r="K570" i="3"/>
  <c r="M570" i="3"/>
  <c r="O570" i="3"/>
  <c r="Q570" i="3"/>
  <c r="S570" i="3"/>
  <c r="U570" i="3"/>
  <c r="W570" i="3"/>
  <c r="Y570" i="3"/>
  <c r="AA570" i="3"/>
  <c r="AK570" i="3"/>
  <c r="AM570" i="3"/>
  <c r="AO570" i="3"/>
  <c r="AQ570" i="3"/>
  <c r="AS570" i="3"/>
  <c r="AU570" i="3"/>
  <c r="AW570" i="3"/>
  <c r="AY570" i="3"/>
  <c r="C571" i="3"/>
  <c r="E571" i="3"/>
  <c r="G571" i="3"/>
  <c r="I571" i="3"/>
  <c r="K571" i="3"/>
  <c r="M571" i="3"/>
  <c r="O571" i="3"/>
  <c r="Q571" i="3"/>
  <c r="S571" i="3"/>
  <c r="U571" i="3"/>
  <c r="W571" i="3"/>
  <c r="Y571" i="3"/>
  <c r="AA571" i="3"/>
  <c r="AK571" i="3"/>
  <c r="AM571" i="3"/>
  <c r="AO571" i="3"/>
  <c r="AQ571" i="3"/>
  <c r="AS571" i="3"/>
  <c r="AU571" i="3"/>
  <c r="AW571" i="3"/>
  <c r="AY571" i="3"/>
  <c r="C572" i="3"/>
  <c r="E572" i="3"/>
  <c r="G572" i="3"/>
  <c r="I572" i="3"/>
  <c r="K572" i="3"/>
  <c r="M572" i="3"/>
  <c r="O572" i="3"/>
  <c r="Q572" i="3"/>
  <c r="S572" i="3"/>
  <c r="U572" i="3"/>
  <c r="W572" i="3"/>
  <c r="Y572" i="3"/>
  <c r="AA572" i="3"/>
  <c r="AK572" i="3"/>
  <c r="AM572" i="3"/>
  <c r="AO572" i="3"/>
  <c r="AQ572" i="3"/>
  <c r="AS572" i="3"/>
  <c r="AU572" i="3"/>
  <c r="AW572" i="3"/>
  <c r="AY572" i="3"/>
  <c r="C573" i="3"/>
  <c r="E573" i="3"/>
  <c r="G573" i="3"/>
  <c r="I573" i="3"/>
  <c r="K573" i="3"/>
  <c r="M573" i="3"/>
  <c r="O573" i="3"/>
  <c r="Q573" i="3"/>
  <c r="S573" i="3"/>
  <c r="U573" i="3"/>
  <c r="W573" i="3"/>
  <c r="Y573" i="3"/>
  <c r="AA573" i="3"/>
  <c r="AK573" i="3"/>
  <c r="AM573" i="3"/>
  <c r="AO573" i="3"/>
  <c r="AQ573" i="3"/>
  <c r="AS573" i="3"/>
  <c r="AU573" i="3"/>
  <c r="AW573" i="3"/>
  <c r="AY573" i="3"/>
  <c r="C574" i="3"/>
  <c r="E574" i="3"/>
  <c r="G574" i="3"/>
  <c r="I574" i="3"/>
  <c r="K574" i="3"/>
  <c r="M574" i="3"/>
  <c r="O574" i="3"/>
  <c r="Q574" i="3"/>
  <c r="S574" i="3"/>
  <c r="U574" i="3"/>
  <c r="W574" i="3"/>
  <c r="Y574" i="3"/>
  <c r="AA574" i="3"/>
  <c r="AK574" i="3"/>
  <c r="AM574" i="3"/>
  <c r="AO574" i="3"/>
  <c r="AQ574" i="3"/>
  <c r="AS574" i="3"/>
  <c r="AU574" i="3"/>
  <c r="AW574" i="3"/>
  <c r="AY574" i="3"/>
  <c r="C575" i="3"/>
  <c r="E575" i="3"/>
  <c r="G575" i="3"/>
  <c r="I575" i="3"/>
  <c r="K575" i="3"/>
  <c r="M575" i="3"/>
  <c r="O575" i="3"/>
  <c r="Q575" i="3"/>
  <c r="S575" i="3"/>
  <c r="U575" i="3"/>
  <c r="W575" i="3"/>
  <c r="Y575" i="3"/>
  <c r="AA575" i="3"/>
  <c r="AK575" i="3"/>
  <c r="AM575" i="3"/>
  <c r="AO575" i="3"/>
  <c r="AQ575" i="3"/>
  <c r="AS575" i="3"/>
  <c r="AU575" i="3"/>
  <c r="AW575" i="3"/>
  <c r="AY575" i="3"/>
  <c r="C576" i="3"/>
  <c r="E576" i="3"/>
  <c r="G576" i="3"/>
  <c r="I576" i="3"/>
  <c r="K576" i="3"/>
  <c r="M576" i="3"/>
  <c r="O576" i="3"/>
  <c r="Q576" i="3"/>
  <c r="S576" i="3"/>
  <c r="U576" i="3"/>
  <c r="W576" i="3"/>
  <c r="Y576" i="3"/>
  <c r="AA576" i="3"/>
  <c r="AK576" i="3"/>
  <c r="AM576" i="3"/>
  <c r="AO576" i="3"/>
  <c r="AQ576" i="3"/>
  <c r="AS576" i="3"/>
  <c r="AU576" i="3"/>
  <c r="AW576" i="3"/>
  <c r="AY576" i="3"/>
  <c r="C577" i="3"/>
  <c r="E577" i="3"/>
  <c r="G577" i="3"/>
  <c r="I577" i="3"/>
  <c r="K577" i="3"/>
  <c r="M577" i="3"/>
  <c r="O577" i="3"/>
  <c r="Q577" i="3"/>
  <c r="S577" i="3"/>
  <c r="U577" i="3"/>
  <c r="W577" i="3"/>
  <c r="Y577" i="3"/>
  <c r="AA577" i="3"/>
  <c r="AK577" i="3"/>
  <c r="AM577" i="3"/>
  <c r="AO577" i="3"/>
  <c r="AQ577" i="3"/>
  <c r="AS577" i="3"/>
  <c r="AU577" i="3"/>
  <c r="AW577" i="3"/>
  <c r="AY577" i="3"/>
  <c r="C578" i="3"/>
  <c r="E578" i="3"/>
  <c r="G578" i="3"/>
  <c r="I578" i="3"/>
  <c r="K578" i="3"/>
  <c r="M578" i="3"/>
  <c r="O578" i="3"/>
  <c r="Q578" i="3"/>
  <c r="S578" i="3"/>
  <c r="U578" i="3"/>
  <c r="W578" i="3"/>
  <c r="Y578" i="3"/>
  <c r="AA578" i="3"/>
  <c r="AK578" i="3"/>
  <c r="AM578" i="3"/>
  <c r="AO578" i="3"/>
  <c r="AQ578" i="3"/>
  <c r="AS578" i="3"/>
  <c r="AU578" i="3"/>
  <c r="AW578" i="3"/>
  <c r="AY578" i="3"/>
  <c r="C579" i="3"/>
  <c r="E579" i="3"/>
  <c r="G579" i="3"/>
  <c r="I579" i="3"/>
  <c r="K579" i="3"/>
  <c r="M579" i="3"/>
  <c r="O579" i="3"/>
  <c r="Q579" i="3"/>
  <c r="S579" i="3"/>
  <c r="U579" i="3"/>
  <c r="W579" i="3"/>
  <c r="Y579" i="3"/>
  <c r="AA579" i="3"/>
  <c r="AK579" i="3"/>
  <c r="AM579" i="3"/>
  <c r="AO579" i="3"/>
  <c r="AQ579" i="3"/>
  <c r="AS579" i="3"/>
  <c r="AU579" i="3"/>
  <c r="AW579" i="3"/>
  <c r="AY579" i="3"/>
  <c r="C580" i="3"/>
  <c r="E580" i="3"/>
  <c r="G580" i="3"/>
  <c r="I580" i="3"/>
  <c r="K580" i="3"/>
  <c r="M580" i="3"/>
  <c r="O580" i="3"/>
  <c r="Q580" i="3"/>
  <c r="S580" i="3"/>
  <c r="U580" i="3"/>
  <c r="W580" i="3"/>
  <c r="Y580" i="3"/>
  <c r="AA580" i="3"/>
  <c r="AK580" i="3"/>
  <c r="AM580" i="3"/>
  <c r="AO580" i="3"/>
  <c r="AQ580" i="3"/>
  <c r="AS580" i="3"/>
  <c r="AU580" i="3"/>
  <c r="AW580" i="3"/>
  <c r="AY580" i="3"/>
  <c r="C581" i="3"/>
  <c r="E581" i="3"/>
  <c r="G581" i="3"/>
  <c r="I581" i="3"/>
  <c r="K581" i="3"/>
  <c r="M581" i="3"/>
  <c r="O581" i="3"/>
  <c r="Q581" i="3"/>
  <c r="S581" i="3"/>
  <c r="U581" i="3"/>
  <c r="W581" i="3"/>
  <c r="Y581" i="3"/>
  <c r="AA581" i="3"/>
  <c r="AK581" i="3"/>
  <c r="AM581" i="3"/>
  <c r="AO581" i="3"/>
  <c r="AQ581" i="3"/>
  <c r="AS581" i="3"/>
  <c r="AU581" i="3"/>
  <c r="AW581" i="3"/>
  <c r="AY581" i="3"/>
  <c r="C582" i="3"/>
  <c r="E582" i="3"/>
  <c r="G582" i="3"/>
  <c r="I582" i="3"/>
  <c r="K582" i="3"/>
  <c r="M582" i="3"/>
  <c r="O582" i="3"/>
  <c r="Q582" i="3"/>
  <c r="S582" i="3"/>
  <c r="U582" i="3"/>
  <c r="W582" i="3"/>
  <c r="Y582" i="3"/>
  <c r="AA582" i="3"/>
  <c r="AK582" i="3"/>
  <c r="AM582" i="3"/>
  <c r="AO582" i="3"/>
  <c r="AQ582" i="3"/>
  <c r="AS582" i="3"/>
  <c r="AU582" i="3"/>
  <c r="AW582" i="3"/>
  <c r="AY582" i="3"/>
  <c r="C583" i="3"/>
  <c r="E583" i="3"/>
  <c r="G583" i="3"/>
  <c r="I583" i="3"/>
  <c r="K583" i="3"/>
  <c r="M583" i="3"/>
  <c r="O583" i="3"/>
  <c r="Q583" i="3"/>
  <c r="S583" i="3"/>
  <c r="U583" i="3"/>
  <c r="W583" i="3"/>
  <c r="Y583" i="3"/>
  <c r="AA583" i="3"/>
  <c r="AK583" i="3"/>
  <c r="AM583" i="3"/>
  <c r="AO583" i="3"/>
  <c r="AQ583" i="3"/>
  <c r="AS583" i="3"/>
  <c r="AU583" i="3"/>
  <c r="AW583" i="3"/>
  <c r="AY583" i="3"/>
  <c r="C584" i="3"/>
  <c r="E584" i="3"/>
  <c r="G584" i="3"/>
  <c r="I584" i="3"/>
  <c r="K584" i="3"/>
  <c r="M584" i="3"/>
  <c r="O584" i="3"/>
  <c r="Q584" i="3"/>
  <c r="S584" i="3"/>
  <c r="U584" i="3"/>
  <c r="W584" i="3"/>
  <c r="Y584" i="3"/>
  <c r="AA584" i="3"/>
  <c r="AK584" i="3"/>
  <c r="AM584" i="3"/>
  <c r="AO584" i="3"/>
  <c r="AQ584" i="3"/>
  <c r="AS584" i="3"/>
  <c r="AU584" i="3"/>
  <c r="AW584" i="3"/>
  <c r="AY584" i="3"/>
  <c r="C585" i="3"/>
  <c r="E585" i="3"/>
  <c r="G585" i="3"/>
  <c r="I585" i="3"/>
  <c r="K585" i="3"/>
  <c r="M585" i="3"/>
  <c r="O585" i="3"/>
  <c r="Q585" i="3"/>
  <c r="S585" i="3"/>
  <c r="U585" i="3"/>
  <c r="W585" i="3"/>
  <c r="Y585" i="3"/>
  <c r="AA585" i="3"/>
  <c r="AK585" i="3"/>
  <c r="AM585" i="3"/>
  <c r="AO585" i="3"/>
  <c r="AQ585" i="3"/>
  <c r="AS585" i="3"/>
  <c r="AU585" i="3"/>
  <c r="AW585" i="3"/>
  <c r="AY585" i="3"/>
  <c r="C586" i="3"/>
  <c r="E586" i="3"/>
  <c r="G586" i="3"/>
  <c r="I586" i="3"/>
  <c r="K586" i="3"/>
  <c r="M586" i="3"/>
  <c r="O586" i="3"/>
  <c r="Q586" i="3"/>
  <c r="S586" i="3"/>
  <c r="U586" i="3"/>
  <c r="W586" i="3"/>
  <c r="Y586" i="3"/>
  <c r="AA586" i="3"/>
  <c r="AK586" i="3"/>
  <c r="AM586" i="3"/>
  <c r="AO586" i="3"/>
  <c r="AQ586" i="3"/>
  <c r="AS586" i="3"/>
  <c r="AU586" i="3"/>
  <c r="AW586" i="3"/>
  <c r="AY586" i="3"/>
  <c r="C587" i="3"/>
  <c r="E587" i="3"/>
  <c r="G587" i="3"/>
  <c r="I587" i="3"/>
  <c r="K587" i="3"/>
  <c r="M587" i="3"/>
  <c r="O587" i="3"/>
  <c r="Q587" i="3"/>
  <c r="S587" i="3"/>
  <c r="U587" i="3"/>
  <c r="W587" i="3"/>
  <c r="Y587" i="3"/>
  <c r="AA587" i="3"/>
  <c r="AK587" i="3"/>
  <c r="AM587" i="3"/>
  <c r="AO587" i="3"/>
  <c r="AQ587" i="3"/>
  <c r="AS587" i="3"/>
  <c r="AU587" i="3"/>
  <c r="AW587" i="3"/>
  <c r="AY587" i="3"/>
  <c r="C588" i="3"/>
  <c r="E588" i="3"/>
  <c r="G588" i="3"/>
  <c r="I588" i="3"/>
  <c r="K588" i="3"/>
  <c r="M588" i="3"/>
  <c r="O588" i="3"/>
  <c r="Q588" i="3"/>
  <c r="S588" i="3"/>
  <c r="U588" i="3"/>
  <c r="W588" i="3"/>
  <c r="Y588" i="3"/>
  <c r="AA588" i="3"/>
  <c r="AK588" i="3"/>
  <c r="AM588" i="3"/>
  <c r="AO588" i="3"/>
  <c r="AQ588" i="3"/>
  <c r="AS588" i="3"/>
  <c r="AU588" i="3"/>
  <c r="AW588" i="3"/>
  <c r="AY588" i="3"/>
  <c r="C589" i="3"/>
  <c r="E589" i="3"/>
  <c r="G589" i="3"/>
  <c r="I589" i="3"/>
  <c r="K589" i="3"/>
  <c r="M589" i="3"/>
  <c r="O589" i="3"/>
  <c r="Q589" i="3"/>
  <c r="S589" i="3"/>
  <c r="U589" i="3"/>
  <c r="W589" i="3"/>
  <c r="Y589" i="3"/>
  <c r="AA589" i="3"/>
  <c r="AK589" i="3"/>
  <c r="AM589" i="3"/>
  <c r="AO589" i="3"/>
  <c r="AQ589" i="3"/>
  <c r="AS589" i="3"/>
  <c r="AU589" i="3"/>
  <c r="AW589" i="3"/>
  <c r="AY589" i="3"/>
  <c r="C590" i="3"/>
  <c r="E590" i="3"/>
  <c r="G590" i="3"/>
  <c r="I590" i="3"/>
  <c r="K590" i="3"/>
  <c r="M590" i="3"/>
  <c r="O590" i="3"/>
  <c r="Q590" i="3"/>
  <c r="S590" i="3"/>
  <c r="U590" i="3"/>
  <c r="W590" i="3"/>
  <c r="Y590" i="3"/>
  <c r="AA590" i="3"/>
  <c r="AK590" i="3"/>
  <c r="AM590" i="3"/>
  <c r="AO590" i="3"/>
  <c r="AQ590" i="3"/>
  <c r="AS590" i="3"/>
  <c r="AU590" i="3"/>
  <c r="AW590" i="3"/>
  <c r="AY590" i="3"/>
  <c r="C591" i="3"/>
  <c r="E591" i="3"/>
  <c r="G591" i="3"/>
  <c r="I591" i="3"/>
  <c r="K591" i="3"/>
  <c r="M591" i="3"/>
  <c r="O591" i="3"/>
  <c r="Q591" i="3"/>
  <c r="S591" i="3"/>
  <c r="U591" i="3"/>
  <c r="W591" i="3"/>
  <c r="Y591" i="3"/>
  <c r="AA591" i="3"/>
  <c r="AK591" i="3"/>
  <c r="AM591" i="3"/>
  <c r="AO591" i="3"/>
  <c r="AQ591" i="3"/>
  <c r="AS591" i="3"/>
  <c r="AU591" i="3"/>
  <c r="AW591" i="3"/>
  <c r="AY591" i="3"/>
  <c r="C592" i="3"/>
  <c r="E592" i="3"/>
  <c r="G592" i="3"/>
  <c r="I592" i="3"/>
  <c r="K592" i="3"/>
  <c r="M592" i="3"/>
  <c r="O592" i="3"/>
  <c r="Q592" i="3"/>
  <c r="S592" i="3"/>
  <c r="U592" i="3"/>
  <c r="W592" i="3"/>
  <c r="Y592" i="3"/>
  <c r="AA592" i="3"/>
  <c r="AK592" i="3"/>
  <c r="AM592" i="3"/>
  <c r="AO592" i="3"/>
  <c r="AQ592" i="3"/>
  <c r="AS592" i="3"/>
  <c r="AU592" i="3"/>
  <c r="AW592" i="3"/>
  <c r="AY592" i="3"/>
  <c r="C593" i="3"/>
  <c r="E593" i="3"/>
  <c r="G593" i="3"/>
  <c r="I593" i="3"/>
  <c r="K593" i="3"/>
  <c r="M593" i="3"/>
  <c r="O593" i="3"/>
  <c r="Q593" i="3"/>
  <c r="S593" i="3"/>
  <c r="U593" i="3"/>
  <c r="W593" i="3"/>
  <c r="Y593" i="3"/>
  <c r="AA593" i="3"/>
  <c r="AK593" i="3"/>
  <c r="AM593" i="3"/>
  <c r="AO593" i="3"/>
  <c r="AQ593" i="3"/>
  <c r="AS593" i="3"/>
  <c r="AU593" i="3"/>
  <c r="AW593" i="3"/>
  <c r="AY593" i="3"/>
  <c r="C594" i="3"/>
  <c r="E594" i="3"/>
  <c r="G594" i="3"/>
  <c r="I594" i="3"/>
  <c r="K594" i="3"/>
  <c r="M594" i="3"/>
  <c r="O594" i="3"/>
  <c r="Q594" i="3"/>
  <c r="S594" i="3"/>
  <c r="U594" i="3"/>
  <c r="W594" i="3"/>
  <c r="Y594" i="3"/>
  <c r="AA594" i="3"/>
  <c r="AK594" i="3"/>
  <c r="AM594" i="3"/>
  <c r="AO594" i="3"/>
  <c r="AQ594" i="3"/>
  <c r="AS594" i="3"/>
  <c r="AU594" i="3"/>
  <c r="AW594" i="3"/>
  <c r="AY594" i="3"/>
  <c r="C595" i="3"/>
  <c r="E595" i="3"/>
  <c r="G595" i="3"/>
  <c r="I595" i="3"/>
  <c r="K595" i="3"/>
  <c r="M595" i="3"/>
  <c r="O595" i="3"/>
  <c r="Q595" i="3"/>
  <c r="S595" i="3"/>
  <c r="U595" i="3"/>
  <c r="W595" i="3"/>
  <c r="Y595" i="3"/>
  <c r="AA595" i="3"/>
  <c r="AK595" i="3"/>
  <c r="AM595" i="3"/>
  <c r="AO595" i="3"/>
  <c r="AQ595" i="3"/>
  <c r="AS595" i="3"/>
  <c r="AU595" i="3"/>
  <c r="AW595" i="3"/>
  <c r="AY595" i="3"/>
  <c r="C596" i="3"/>
  <c r="E596" i="3"/>
  <c r="G596" i="3"/>
  <c r="I596" i="3"/>
  <c r="K596" i="3"/>
  <c r="M596" i="3"/>
  <c r="O596" i="3"/>
  <c r="Q596" i="3"/>
  <c r="S596" i="3"/>
  <c r="U596" i="3"/>
  <c r="W596" i="3"/>
  <c r="Y596" i="3"/>
  <c r="AA596" i="3"/>
  <c r="AK596" i="3"/>
  <c r="AM596" i="3"/>
  <c r="AO596" i="3"/>
  <c r="AQ596" i="3"/>
  <c r="AS596" i="3"/>
  <c r="AU596" i="3"/>
  <c r="AW596" i="3"/>
  <c r="AY596" i="3"/>
  <c r="C597" i="3"/>
  <c r="E597" i="3"/>
  <c r="G597" i="3"/>
  <c r="I597" i="3"/>
  <c r="K597" i="3"/>
  <c r="M597" i="3"/>
  <c r="O597" i="3"/>
  <c r="Q597" i="3"/>
  <c r="S597" i="3"/>
  <c r="U597" i="3"/>
  <c r="W597" i="3"/>
  <c r="Y597" i="3"/>
  <c r="AA597" i="3"/>
  <c r="AK597" i="3"/>
  <c r="AM597" i="3"/>
  <c r="AO597" i="3"/>
  <c r="AQ597" i="3"/>
  <c r="AS597" i="3"/>
  <c r="AU597" i="3"/>
  <c r="AW597" i="3"/>
  <c r="AY597" i="3"/>
  <c r="C598" i="3"/>
  <c r="E598" i="3"/>
  <c r="G598" i="3"/>
  <c r="I598" i="3"/>
  <c r="K598" i="3"/>
  <c r="M598" i="3"/>
  <c r="O598" i="3"/>
  <c r="Q598" i="3"/>
  <c r="S598" i="3"/>
  <c r="U598" i="3"/>
  <c r="W598" i="3"/>
  <c r="Y598" i="3"/>
  <c r="AA598" i="3"/>
  <c r="AK598" i="3"/>
  <c r="AM598" i="3"/>
  <c r="AO598" i="3"/>
  <c r="AQ598" i="3"/>
  <c r="AS598" i="3"/>
  <c r="AU598" i="3"/>
  <c r="AW598" i="3"/>
  <c r="AY598" i="3"/>
  <c r="C599" i="3"/>
  <c r="E599" i="3"/>
  <c r="G599" i="3"/>
  <c r="I599" i="3"/>
  <c r="K599" i="3"/>
  <c r="M599" i="3"/>
  <c r="O599" i="3"/>
  <c r="Q599" i="3"/>
  <c r="S599" i="3"/>
  <c r="U599" i="3"/>
  <c r="W599" i="3"/>
  <c r="Y599" i="3"/>
  <c r="AA599" i="3"/>
  <c r="AK599" i="3"/>
  <c r="AM599" i="3"/>
  <c r="AO599" i="3"/>
  <c r="AQ599" i="3"/>
  <c r="AS599" i="3"/>
  <c r="AU599" i="3"/>
  <c r="AW599" i="3"/>
  <c r="AY599" i="3"/>
  <c r="C600" i="3"/>
  <c r="E600" i="3"/>
  <c r="G600" i="3"/>
  <c r="I600" i="3"/>
  <c r="K600" i="3"/>
  <c r="M600" i="3"/>
  <c r="O600" i="3"/>
  <c r="Q600" i="3"/>
  <c r="S600" i="3"/>
  <c r="U600" i="3"/>
  <c r="W600" i="3"/>
  <c r="Y600" i="3"/>
  <c r="AA600" i="3"/>
  <c r="AK600" i="3"/>
  <c r="AM600" i="3"/>
  <c r="AO600" i="3"/>
  <c r="AQ600" i="3"/>
  <c r="AS600" i="3"/>
  <c r="AU600" i="3"/>
  <c r="AW600" i="3"/>
  <c r="AY600" i="3"/>
  <c r="C601" i="3"/>
  <c r="E601" i="3"/>
  <c r="G601" i="3"/>
  <c r="I601" i="3"/>
  <c r="K601" i="3"/>
  <c r="M601" i="3"/>
  <c r="O601" i="3"/>
  <c r="Q601" i="3"/>
  <c r="S601" i="3"/>
  <c r="U601" i="3"/>
  <c r="W601" i="3"/>
  <c r="Y601" i="3"/>
  <c r="AA601" i="3"/>
  <c r="AK601" i="3"/>
  <c r="AM601" i="3"/>
  <c r="AO601" i="3"/>
  <c r="AQ601" i="3"/>
  <c r="AS601" i="3"/>
  <c r="AU601" i="3"/>
  <c r="AW601" i="3"/>
  <c r="AY601" i="3"/>
  <c r="C602" i="3"/>
  <c r="E602" i="3"/>
  <c r="G602" i="3"/>
  <c r="I602" i="3"/>
  <c r="K602" i="3"/>
  <c r="M602" i="3"/>
  <c r="O602" i="3"/>
  <c r="Q602" i="3"/>
  <c r="S602" i="3"/>
  <c r="U602" i="3"/>
  <c r="W602" i="3"/>
  <c r="Y602" i="3"/>
  <c r="AA602" i="3"/>
  <c r="AK602" i="3"/>
  <c r="AM602" i="3"/>
  <c r="AO602" i="3"/>
  <c r="AQ602" i="3"/>
  <c r="AS602" i="3"/>
  <c r="AU602" i="3"/>
  <c r="AW602" i="3"/>
  <c r="AY602" i="3"/>
  <c r="C603" i="3"/>
  <c r="E603" i="3"/>
  <c r="G603" i="3"/>
  <c r="I603" i="3"/>
  <c r="K603" i="3"/>
  <c r="M603" i="3"/>
  <c r="O603" i="3"/>
  <c r="Q603" i="3"/>
  <c r="S603" i="3"/>
  <c r="U603" i="3"/>
  <c r="W603" i="3"/>
  <c r="Y603" i="3"/>
  <c r="AA603" i="3"/>
  <c r="AK603" i="3"/>
  <c r="AM603" i="3"/>
  <c r="AO603" i="3"/>
  <c r="AQ603" i="3"/>
  <c r="AS603" i="3"/>
  <c r="AU603" i="3"/>
  <c r="AW603" i="3"/>
  <c r="AY603" i="3"/>
  <c r="C604" i="3"/>
  <c r="E604" i="3"/>
  <c r="G604" i="3"/>
  <c r="I604" i="3"/>
  <c r="K604" i="3"/>
  <c r="M604" i="3"/>
  <c r="O604" i="3"/>
  <c r="Q604" i="3"/>
  <c r="S604" i="3"/>
  <c r="U604" i="3"/>
  <c r="W604" i="3"/>
  <c r="Y604" i="3"/>
  <c r="AA604" i="3"/>
  <c r="AK604" i="3"/>
  <c r="AM604" i="3"/>
  <c r="AO604" i="3"/>
  <c r="AQ604" i="3"/>
  <c r="AS604" i="3"/>
  <c r="AU604" i="3"/>
  <c r="AW604" i="3"/>
  <c r="AY604" i="3"/>
  <c r="C605" i="3"/>
  <c r="E605" i="3"/>
  <c r="G605" i="3"/>
  <c r="I605" i="3"/>
  <c r="K605" i="3"/>
  <c r="M605" i="3"/>
  <c r="O605" i="3"/>
  <c r="Q605" i="3"/>
  <c r="S605" i="3"/>
  <c r="U605" i="3"/>
  <c r="W605" i="3"/>
  <c r="Y605" i="3"/>
  <c r="AA605" i="3"/>
  <c r="AK605" i="3"/>
  <c r="AM605" i="3"/>
  <c r="AO605" i="3"/>
  <c r="AQ605" i="3"/>
  <c r="AS605" i="3"/>
  <c r="AU605" i="3"/>
  <c r="AW605" i="3"/>
  <c r="AY605" i="3"/>
  <c r="C606" i="3"/>
  <c r="E606" i="3"/>
  <c r="G606" i="3"/>
  <c r="I606" i="3"/>
  <c r="K606" i="3"/>
  <c r="M606" i="3"/>
  <c r="O606" i="3"/>
  <c r="Q606" i="3"/>
  <c r="S606" i="3"/>
  <c r="U606" i="3"/>
  <c r="W606" i="3"/>
  <c r="Y606" i="3"/>
  <c r="AA606" i="3"/>
  <c r="AK606" i="3"/>
  <c r="AM606" i="3"/>
  <c r="AO606" i="3"/>
  <c r="AQ606" i="3"/>
  <c r="AS606" i="3"/>
  <c r="AU606" i="3"/>
  <c r="AW606" i="3"/>
  <c r="AY606" i="3"/>
  <c r="C607" i="3"/>
  <c r="E607" i="3"/>
  <c r="G607" i="3"/>
  <c r="I607" i="3"/>
  <c r="K607" i="3"/>
  <c r="M607" i="3"/>
  <c r="O607" i="3"/>
  <c r="Q607" i="3"/>
  <c r="S607" i="3"/>
  <c r="U607" i="3"/>
  <c r="W607" i="3"/>
  <c r="Y607" i="3"/>
  <c r="AA607" i="3"/>
  <c r="AK607" i="3"/>
  <c r="AM607" i="3"/>
  <c r="AO607" i="3"/>
  <c r="AQ607" i="3"/>
  <c r="AS607" i="3"/>
  <c r="AU607" i="3"/>
  <c r="AW607" i="3"/>
  <c r="AY607" i="3"/>
  <c r="C608" i="3"/>
  <c r="E608" i="3"/>
  <c r="G608" i="3"/>
  <c r="I608" i="3"/>
  <c r="K608" i="3"/>
  <c r="M608" i="3"/>
  <c r="O608" i="3"/>
  <c r="Q608" i="3"/>
  <c r="S608" i="3"/>
  <c r="U608" i="3"/>
  <c r="W608" i="3"/>
  <c r="Y608" i="3"/>
  <c r="AA608" i="3"/>
  <c r="AK608" i="3"/>
  <c r="AM608" i="3"/>
  <c r="AO608" i="3"/>
  <c r="AQ608" i="3"/>
  <c r="AS608" i="3"/>
  <c r="AU608" i="3"/>
  <c r="AW608" i="3"/>
  <c r="AY608" i="3"/>
  <c r="C609" i="3"/>
  <c r="E609" i="3"/>
  <c r="G609" i="3"/>
  <c r="I609" i="3"/>
  <c r="K609" i="3"/>
  <c r="M609" i="3"/>
  <c r="O609" i="3"/>
  <c r="Q609" i="3"/>
  <c r="S609" i="3"/>
  <c r="U609" i="3"/>
  <c r="W609" i="3"/>
  <c r="Y609" i="3"/>
  <c r="AA609" i="3"/>
  <c r="AK609" i="3"/>
  <c r="AM609" i="3"/>
  <c r="AO609" i="3"/>
  <c r="AQ609" i="3"/>
  <c r="AS609" i="3"/>
  <c r="AU609" i="3"/>
  <c r="AW609" i="3"/>
  <c r="AY609" i="3"/>
  <c r="C610" i="3"/>
  <c r="E610" i="3"/>
  <c r="G610" i="3"/>
  <c r="I610" i="3"/>
  <c r="K610" i="3"/>
  <c r="M610" i="3"/>
  <c r="O610" i="3"/>
  <c r="Q610" i="3"/>
  <c r="S610" i="3"/>
  <c r="U610" i="3"/>
  <c r="W610" i="3"/>
  <c r="Y610" i="3"/>
  <c r="AA610" i="3"/>
  <c r="AK610" i="3"/>
  <c r="AM610" i="3"/>
  <c r="AO610" i="3"/>
  <c r="AQ610" i="3"/>
  <c r="AS610" i="3"/>
  <c r="AU610" i="3"/>
  <c r="AW610" i="3"/>
  <c r="AY610" i="3"/>
  <c r="C611" i="3"/>
  <c r="E611" i="3"/>
  <c r="G611" i="3"/>
  <c r="I611" i="3"/>
  <c r="K611" i="3"/>
  <c r="M611" i="3"/>
  <c r="O611" i="3"/>
  <c r="Q611" i="3"/>
  <c r="S611" i="3"/>
  <c r="U611" i="3"/>
  <c r="W611" i="3"/>
  <c r="Y611" i="3"/>
  <c r="AA611" i="3"/>
  <c r="AK611" i="3"/>
  <c r="AM611" i="3"/>
  <c r="AO611" i="3"/>
  <c r="AQ611" i="3"/>
  <c r="AS611" i="3"/>
  <c r="AU611" i="3"/>
  <c r="AW611" i="3"/>
  <c r="AY611" i="3"/>
  <c r="C612" i="3"/>
  <c r="E612" i="3"/>
  <c r="G612" i="3"/>
  <c r="I612" i="3"/>
  <c r="K612" i="3"/>
  <c r="M612" i="3"/>
  <c r="O612" i="3"/>
  <c r="Q612" i="3"/>
  <c r="S612" i="3"/>
  <c r="U612" i="3"/>
  <c r="W612" i="3"/>
  <c r="Y612" i="3"/>
  <c r="AA612" i="3"/>
  <c r="AK612" i="3"/>
  <c r="AM612" i="3"/>
  <c r="AO612" i="3"/>
  <c r="AQ612" i="3"/>
  <c r="AS612" i="3"/>
  <c r="AU612" i="3"/>
  <c r="AW612" i="3"/>
  <c r="AY612" i="3"/>
  <c r="C613" i="3"/>
  <c r="E613" i="3"/>
  <c r="G613" i="3"/>
  <c r="I613" i="3"/>
  <c r="K613" i="3"/>
  <c r="M613" i="3"/>
  <c r="O613" i="3"/>
  <c r="Q613" i="3"/>
  <c r="S613" i="3"/>
  <c r="U613" i="3"/>
  <c r="W613" i="3"/>
  <c r="Y613" i="3"/>
  <c r="AA613" i="3"/>
  <c r="AK613" i="3"/>
  <c r="AM613" i="3"/>
  <c r="AO613" i="3"/>
  <c r="AQ613" i="3"/>
  <c r="AS613" i="3"/>
  <c r="AU613" i="3"/>
  <c r="AW613" i="3"/>
  <c r="AY613" i="3"/>
  <c r="C614" i="3"/>
  <c r="E614" i="3"/>
  <c r="G614" i="3"/>
  <c r="I614" i="3"/>
  <c r="K614" i="3"/>
  <c r="M614" i="3"/>
  <c r="O614" i="3"/>
  <c r="Q614" i="3"/>
  <c r="S614" i="3"/>
  <c r="U614" i="3"/>
  <c r="W614" i="3"/>
  <c r="Y614" i="3"/>
  <c r="AA614" i="3"/>
  <c r="AK614" i="3"/>
  <c r="AM614" i="3"/>
  <c r="AO614" i="3"/>
  <c r="AQ614" i="3"/>
  <c r="AS614" i="3"/>
  <c r="AU614" i="3"/>
  <c r="AW614" i="3"/>
  <c r="AY614" i="3"/>
  <c r="C615" i="3"/>
  <c r="E615" i="3"/>
  <c r="G615" i="3"/>
  <c r="I615" i="3"/>
  <c r="K615" i="3"/>
  <c r="M615" i="3"/>
  <c r="O615" i="3"/>
  <c r="Q615" i="3"/>
  <c r="S615" i="3"/>
  <c r="U615" i="3"/>
  <c r="W615" i="3"/>
  <c r="Y615" i="3"/>
  <c r="AA615" i="3"/>
  <c r="AK615" i="3"/>
  <c r="AM615" i="3"/>
  <c r="AO615" i="3"/>
  <c r="AQ615" i="3"/>
  <c r="AS615" i="3"/>
  <c r="AU615" i="3"/>
  <c r="AW615" i="3"/>
  <c r="AY615" i="3"/>
  <c r="C616" i="3"/>
  <c r="E616" i="3"/>
  <c r="G616" i="3"/>
  <c r="I616" i="3"/>
  <c r="K616" i="3"/>
  <c r="M616" i="3"/>
  <c r="O616" i="3"/>
  <c r="Q616" i="3"/>
  <c r="S616" i="3"/>
  <c r="U616" i="3"/>
  <c r="W616" i="3"/>
  <c r="Y616" i="3"/>
  <c r="AA616" i="3"/>
  <c r="AK616" i="3"/>
  <c r="AM616" i="3"/>
  <c r="AO616" i="3"/>
  <c r="AQ616" i="3"/>
  <c r="AS616" i="3"/>
  <c r="AU616" i="3"/>
  <c r="AW616" i="3"/>
  <c r="AY616" i="3"/>
  <c r="C617" i="3"/>
  <c r="E617" i="3"/>
  <c r="G617" i="3"/>
  <c r="I617" i="3"/>
  <c r="K617" i="3"/>
  <c r="M617" i="3"/>
  <c r="O617" i="3"/>
  <c r="Q617" i="3"/>
  <c r="S617" i="3"/>
  <c r="U617" i="3"/>
  <c r="W617" i="3"/>
  <c r="Y617" i="3"/>
  <c r="AA617" i="3"/>
  <c r="AK617" i="3"/>
  <c r="AM617" i="3"/>
  <c r="AO617" i="3"/>
  <c r="AQ617" i="3"/>
  <c r="AS617" i="3"/>
  <c r="AU617" i="3"/>
  <c r="AW617" i="3"/>
  <c r="AY617" i="3"/>
  <c r="C618" i="3"/>
  <c r="E618" i="3"/>
  <c r="G618" i="3"/>
  <c r="I618" i="3"/>
  <c r="K618" i="3"/>
  <c r="M618" i="3"/>
  <c r="O618" i="3"/>
  <c r="Q618" i="3"/>
  <c r="S618" i="3"/>
  <c r="U618" i="3"/>
  <c r="W618" i="3"/>
  <c r="Y618" i="3"/>
  <c r="AA618" i="3"/>
  <c r="AK618" i="3"/>
  <c r="AM618" i="3"/>
  <c r="AO618" i="3"/>
  <c r="AQ618" i="3"/>
  <c r="AS618" i="3"/>
  <c r="AU618" i="3"/>
  <c r="AW618" i="3"/>
  <c r="AY618" i="3"/>
  <c r="C619" i="3"/>
  <c r="E619" i="3"/>
  <c r="G619" i="3"/>
  <c r="I619" i="3"/>
  <c r="K619" i="3"/>
  <c r="M619" i="3"/>
  <c r="O619" i="3"/>
  <c r="Q619" i="3"/>
  <c r="S619" i="3"/>
  <c r="U619" i="3"/>
  <c r="W619" i="3"/>
  <c r="Y619" i="3"/>
  <c r="AA619" i="3"/>
  <c r="AK619" i="3"/>
  <c r="AM619" i="3"/>
  <c r="AO619" i="3"/>
  <c r="AQ619" i="3"/>
  <c r="AS619" i="3"/>
  <c r="AU619" i="3"/>
  <c r="AW619" i="3"/>
  <c r="AY619" i="3"/>
  <c r="C620" i="3"/>
  <c r="E620" i="3"/>
  <c r="G620" i="3"/>
  <c r="I620" i="3"/>
  <c r="K620" i="3"/>
  <c r="M620" i="3"/>
  <c r="O620" i="3"/>
  <c r="Q620" i="3"/>
  <c r="S620" i="3"/>
  <c r="U620" i="3"/>
  <c r="W620" i="3"/>
  <c r="Y620" i="3"/>
  <c r="AA620" i="3"/>
  <c r="AK620" i="3"/>
  <c r="AM620" i="3"/>
  <c r="AO620" i="3"/>
  <c r="AQ620" i="3"/>
  <c r="AS620" i="3"/>
  <c r="AU620" i="3"/>
  <c r="AW620" i="3"/>
  <c r="AY620" i="3"/>
  <c r="C621" i="3"/>
  <c r="E621" i="3"/>
  <c r="G621" i="3"/>
  <c r="I621" i="3"/>
  <c r="K621" i="3"/>
  <c r="M621" i="3"/>
  <c r="O621" i="3"/>
  <c r="Q621" i="3"/>
  <c r="S621" i="3"/>
  <c r="U621" i="3"/>
  <c r="W621" i="3"/>
  <c r="Y621" i="3"/>
  <c r="AA621" i="3"/>
  <c r="AK621" i="3"/>
  <c r="AM621" i="3"/>
  <c r="AO621" i="3"/>
  <c r="AQ621" i="3"/>
  <c r="AS621" i="3"/>
  <c r="AU621" i="3"/>
  <c r="AW621" i="3"/>
  <c r="AY621" i="3"/>
  <c r="C622" i="3"/>
  <c r="E622" i="3"/>
  <c r="G622" i="3"/>
  <c r="I622" i="3"/>
  <c r="K622" i="3"/>
  <c r="M622" i="3"/>
  <c r="O622" i="3"/>
  <c r="Q622" i="3"/>
  <c r="S622" i="3"/>
  <c r="U622" i="3"/>
  <c r="W622" i="3"/>
  <c r="Y622" i="3"/>
  <c r="AA622" i="3"/>
  <c r="AK622" i="3"/>
  <c r="AM622" i="3"/>
  <c r="AO622" i="3"/>
  <c r="AQ622" i="3"/>
  <c r="AS622" i="3"/>
  <c r="AU622" i="3"/>
  <c r="AW622" i="3"/>
  <c r="AY622" i="3"/>
  <c r="C623" i="3"/>
  <c r="E623" i="3"/>
  <c r="G623" i="3"/>
  <c r="I623" i="3"/>
  <c r="K623" i="3"/>
  <c r="M623" i="3"/>
  <c r="O623" i="3"/>
  <c r="Q623" i="3"/>
  <c r="S623" i="3"/>
  <c r="U623" i="3"/>
  <c r="W623" i="3"/>
  <c r="Y623" i="3"/>
  <c r="AA623" i="3"/>
  <c r="AK623" i="3"/>
  <c r="AM623" i="3"/>
  <c r="AO623" i="3"/>
  <c r="AQ623" i="3"/>
  <c r="AS623" i="3"/>
  <c r="AU623" i="3"/>
  <c r="AW623" i="3"/>
  <c r="AY623" i="3"/>
  <c r="C624" i="3"/>
  <c r="E624" i="3"/>
  <c r="G624" i="3"/>
  <c r="I624" i="3"/>
  <c r="K624" i="3"/>
  <c r="M624" i="3"/>
  <c r="O624" i="3"/>
  <c r="Q624" i="3"/>
  <c r="S624" i="3"/>
  <c r="U624" i="3"/>
  <c r="W624" i="3"/>
  <c r="Y624" i="3"/>
  <c r="AA624" i="3"/>
  <c r="AK624" i="3"/>
  <c r="AM624" i="3"/>
  <c r="AO624" i="3"/>
  <c r="AQ624" i="3"/>
  <c r="AS624" i="3"/>
  <c r="AU624" i="3"/>
  <c r="AW624" i="3"/>
  <c r="AY624" i="3"/>
  <c r="C625" i="3"/>
  <c r="E625" i="3"/>
  <c r="G625" i="3"/>
  <c r="I625" i="3"/>
  <c r="K625" i="3"/>
  <c r="M625" i="3"/>
  <c r="O625" i="3"/>
  <c r="Q625" i="3"/>
  <c r="S625" i="3"/>
  <c r="U625" i="3"/>
  <c r="W625" i="3"/>
  <c r="Y625" i="3"/>
  <c r="AA625" i="3"/>
  <c r="AK625" i="3"/>
  <c r="AM625" i="3"/>
  <c r="AO625" i="3"/>
  <c r="AQ625" i="3"/>
  <c r="AS625" i="3"/>
  <c r="AU625" i="3"/>
  <c r="AW625" i="3"/>
  <c r="AY625" i="3"/>
  <c r="C626" i="3"/>
  <c r="E626" i="3"/>
  <c r="G626" i="3"/>
  <c r="I626" i="3"/>
  <c r="K626" i="3"/>
  <c r="M626" i="3"/>
  <c r="O626" i="3"/>
  <c r="Q626" i="3"/>
  <c r="S626" i="3"/>
  <c r="U626" i="3"/>
  <c r="W626" i="3"/>
  <c r="Y626" i="3"/>
  <c r="AA626" i="3"/>
  <c r="AK626" i="3"/>
  <c r="AM626" i="3"/>
  <c r="AO626" i="3"/>
  <c r="AQ626" i="3"/>
  <c r="AS626" i="3"/>
  <c r="AU626" i="3"/>
  <c r="AW626" i="3"/>
  <c r="AY626" i="3"/>
  <c r="C627" i="3"/>
  <c r="E627" i="3"/>
  <c r="G627" i="3"/>
  <c r="I627" i="3"/>
  <c r="K627" i="3"/>
  <c r="M627" i="3"/>
  <c r="O627" i="3"/>
  <c r="Q627" i="3"/>
  <c r="S627" i="3"/>
  <c r="U627" i="3"/>
  <c r="W627" i="3"/>
  <c r="Y627" i="3"/>
  <c r="AA627" i="3"/>
  <c r="AK627" i="3"/>
  <c r="AM627" i="3"/>
  <c r="AO627" i="3"/>
  <c r="AQ627" i="3"/>
  <c r="AS627" i="3"/>
  <c r="AU627" i="3"/>
  <c r="AW627" i="3"/>
  <c r="AY627" i="3"/>
  <c r="C628" i="3"/>
  <c r="E628" i="3"/>
  <c r="G628" i="3"/>
  <c r="I628" i="3"/>
  <c r="K628" i="3"/>
  <c r="M628" i="3"/>
  <c r="O628" i="3"/>
  <c r="Q628" i="3"/>
  <c r="S628" i="3"/>
  <c r="U628" i="3"/>
  <c r="W628" i="3"/>
  <c r="Y628" i="3"/>
  <c r="AA628" i="3"/>
  <c r="AK628" i="3"/>
  <c r="AM628" i="3"/>
  <c r="AO628" i="3"/>
  <c r="AQ628" i="3"/>
  <c r="AS628" i="3"/>
  <c r="AU628" i="3"/>
  <c r="AW628" i="3"/>
  <c r="AY628" i="3"/>
  <c r="C629" i="3"/>
  <c r="E629" i="3"/>
  <c r="G629" i="3"/>
  <c r="I629" i="3"/>
  <c r="K629" i="3"/>
  <c r="M629" i="3"/>
  <c r="O629" i="3"/>
  <c r="Q629" i="3"/>
  <c r="S629" i="3"/>
  <c r="U629" i="3"/>
  <c r="W629" i="3"/>
  <c r="Y629" i="3"/>
  <c r="AA629" i="3"/>
  <c r="AK629" i="3"/>
  <c r="AM629" i="3"/>
  <c r="AO629" i="3"/>
  <c r="AQ629" i="3"/>
  <c r="AS629" i="3"/>
  <c r="AU629" i="3"/>
  <c r="AW629" i="3"/>
  <c r="AY629" i="3"/>
  <c r="C630" i="3"/>
  <c r="E630" i="3"/>
  <c r="G630" i="3"/>
  <c r="I630" i="3"/>
  <c r="K630" i="3"/>
  <c r="M630" i="3"/>
  <c r="O630" i="3"/>
  <c r="Q630" i="3"/>
  <c r="S630" i="3"/>
  <c r="U630" i="3"/>
  <c r="W630" i="3"/>
  <c r="Y630" i="3"/>
  <c r="AA630" i="3"/>
  <c r="AK630" i="3"/>
  <c r="AM630" i="3"/>
  <c r="AO630" i="3"/>
  <c r="AQ630" i="3"/>
  <c r="AS630" i="3"/>
  <c r="AU630" i="3"/>
  <c r="AW630" i="3"/>
  <c r="AY630" i="3"/>
  <c r="C631" i="3"/>
  <c r="E631" i="3"/>
  <c r="G631" i="3"/>
  <c r="I631" i="3"/>
  <c r="K631" i="3"/>
  <c r="M631" i="3"/>
  <c r="O631" i="3"/>
  <c r="Q631" i="3"/>
  <c r="S631" i="3"/>
  <c r="U631" i="3"/>
  <c r="W631" i="3"/>
  <c r="Y631" i="3"/>
  <c r="AA631" i="3"/>
  <c r="AK631" i="3"/>
  <c r="AM631" i="3"/>
  <c r="AO631" i="3"/>
  <c r="AQ631" i="3"/>
  <c r="AS631" i="3"/>
  <c r="AU631" i="3"/>
  <c r="AW631" i="3"/>
  <c r="AY631" i="3"/>
  <c r="C632" i="3"/>
  <c r="E632" i="3"/>
  <c r="G632" i="3"/>
  <c r="I632" i="3"/>
  <c r="K632" i="3"/>
  <c r="M632" i="3"/>
  <c r="O632" i="3"/>
  <c r="Q632" i="3"/>
  <c r="S632" i="3"/>
  <c r="U632" i="3"/>
  <c r="W632" i="3"/>
  <c r="Y632" i="3"/>
  <c r="AA632" i="3"/>
  <c r="AK632" i="3"/>
  <c r="AM632" i="3"/>
  <c r="AO632" i="3"/>
  <c r="AQ632" i="3"/>
  <c r="AS632" i="3"/>
  <c r="AU632" i="3"/>
  <c r="AW632" i="3"/>
  <c r="AY632" i="3"/>
  <c r="C633" i="3"/>
  <c r="E633" i="3"/>
  <c r="G633" i="3"/>
  <c r="I633" i="3"/>
  <c r="K633" i="3"/>
  <c r="M633" i="3"/>
  <c r="O633" i="3"/>
  <c r="Q633" i="3"/>
  <c r="S633" i="3"/>
  <c r="U633" i="3"/>
  <c r="W633" i="3"/>
  <c r="Y633" i="3"/>
  <c r="AA633" i="3"/>
  <c r="AK633" i="3"/>
  <c r="AM633" i="3"/>
  <c r="AO633" i="3"/>
  <c r="AQ633" i="3"/>
  <c r="AS633" i="3"/>
  <c r="AU633" i="3"/>
  <c r="AW633" i="3"/>
  <c r="AY633" i="3"/>
  <c r="C634" i="3"/>
  <c r="E634" i="3"/>
  <c r="G634" i="3"/>
  <c r="I634" i="3"/>
  <c r="K634" i="3"/>
  <c r="M634" i="3"/>
  <c r="O634" i="3"/>
  <c r="Q634" i="3"/>
  <c r="S634" i="3"/>
  <c r="U634" i="3"/>
  <c r="W634" i="3"/>
  <c r="Y634" i="3"/>
  <c r="AA634" i="3"/>
  <c r="AK634" i="3"/>
  <c r="AM634" i="3"/>
  <c r="AO634" i="3"/>
  <c r="AQ634" i="3"/>
  <c r="AS634" i="3"/>
  <c r="AU634" i="3"/>
  <c r="AW634" i="3"/>
  <c r="AY634" i="3"/>
  <c r="C635" i="3"/>
  <c r="E635" i="3"/>
  <c r="G635" i="3"/>
  <c r="I635" i="3"/>
  <c r="K635" i="3"/>
  <c r="M635" i="3"/>
  <c r="O635" i="3"/>
  <c r="Q635" i="3"/>
  <c r="S635" i="3"/>
  <c r="U635" i="3"/>
  <c r="W635" i="3"/>
  <c r="Y635" i="3"/>
  <c r="AA635" i="3"/>
  <c r="AK635" i="3"/>
  <c r="AM635" i="3"/>
  <c r="AO635" i="3"/>
  <c r="AQ635" i="3"/>
  <c r="AS635" i="3"/>
  <c r="AU635" i="3"/>
  <c r="AW635" i="3"/>
  <c r="AY635" i="3"/>
  <c r="C636" i="3"/>
  <c r="E636" i="3"/>
  <c r="G636" i="3"/>
  <c r="I636" i="3"/>
  <c r="K636" i="3"/>
  <c r="M636" i="3"/>
  <c r="O636" i="3"/>
  <c r="Q636" i="3"/>
  <c r="S636" i="3"/>
  <c r="U636" i="3"/>
  <c r="W636" i="3"/>
  <c r="Y636" i="3"/>
  <c r="AA636" i="3"/>
  <c r="AK636" i="3"/>
  <c r="AM636" i="3"/>
  <c r="AO636" i="3"/>
  <c r="AQ636" i="3"/>
  <c r="AS636" i="3"/>
  <c r="AU636" i="3"/>
  <c r="AW636" i="3"/>
  <c r="AY636" i="3"/>
  <c r="C637" i="3"/>
  <c r="E637" i="3"/>
  <c r="G637" i="3"/>
  <c r="I637" i="3"/>
  <c r="K637" i="3"/>
  <c r="M637" i="3"/>
  <c r="O637" i="3"/>
  <c r="Q637" i="3"/>
  <c r="S637" i="3"/>
  <c r="U637" i="3"/>
  <c r="W637" i="3"/>
  <c r="Y637" i="3"/>
  <c r="AA637" i="3"/>
  <c r="AK637" i="3"/>
  <c r="AM637" i="3"/>
  <c r="AO637" i="3"/>
  <c r="AQ637" i="3"/>
  <c r="AS637" i="3"/>
  <c r="AU637" i="3"/>
  <c r="AW637" i="3"/>
  <c r="AY637" i="3"/>
  <c r="C638" i="3"/>
  <c r="E638" i="3"/>
  <c r="G638" i="3"/>
  <c r="I638" i="3"/>
  <c r="K638" i="3"/>
  <c r="M638" i="3"/>
  <c r="O638" i="3"/>
  <c r="Q638" i="3"/>
  <c r="S638" i="3"/>
  <c r="U638" i="3"/>
  <c r="W638" i="3"/>
  <c r="Y638" i="3"/>
  <c r="AA638" i="3"/>
  <c r="AK638" i="3"/>
  <c r="AM638" i="3"/>
  <c r="AO638" i="3"/>
  <c r="AQ638" i="3"/>
  <c r="AS638" i="3"/>
  <c r="AU638" i="3"/>
  <c r="AW638" i="3"/>
  <c r="AY638" i="3"/>
  <c r="C639" i="3"/>
  <c r="E639" i="3"/>
  <c r="G639" i="3"/>
  <c r="I639" i="3"/>
  <c r="K639" i="3"/>
  <c r="M639" i="3"/>
  <c r="O639" i="3"/>
  <c r="Q639" i="3"/>
  <c r="S639" i="3"/>
  <c r="U639" i="3"/>
  <c r="W639" i="3"/>
  <c r="Y639" i="3"/>
  <c r="AA639" i="3"/>
  <c r="AK639" i="3"/>
  <c r="AM639" i="3"/>
  <c r="AO639" i="3"/>
  <c r="AQ639" i="3"/>
  <c r="AS639" i="3"/>
  <c r="AU639" i="3"/>
  <c r="AW639" i="3"/>
  <c r="AY639" i="3"/>
  <c r="C640" i="3"/>
  <c r="E640" i="3"/>
  <c r="G640" i="3"/>
  <c r="I640" i="3"/>
  <c r="K640" i="3"/>
  <c r="M640" i="3"/>
  <c r="O640" i="3"/>
  <c r="Q640" i="3"/>
  <c r="S640" i="3"/>
  <c r="U640" i="3"/>
  <c r="W640" i="3"/>
  <c r="Y640" i="3"/>
  <c r="AA640" i="3"/>
  <c r="AK640" i="3"/>
  <c r="AM640" i="3"/>
  <c r="AO640" i="3"/>
  <c r="AQ640" i="3"/>
  <c r="AS640" i="3"/>
  <c r="AU640" i="3"/>
  <c r="AW640" i="3"/>
  <c r="AY640" i="3"/>
  <c r="C641" i="3"/>
  <c r="E641" i="3"/>
  <c r="G641" i="3"/>
  <c r="I641" i="3"/>
  <c r="K641" i="3"/>
  <c r="M641" i="3"/>
  <c r="O641" i="3"/>
  <c r="Q641" i="3"/>
  <c r="S641" i="3"/>
  <c r="U641" i="3"/>
  <c r="W641" i="3"/>
  <c r="Y641" i="3"/>
  <c r="AA641" i="3"/>
  <c r="AK641" i="3"/>
  <c r="AM641" i="3"/>
  <c r="AO641" i="3"/>
  <c r="AQ641" i="3"/>
  <c r="AS641" i="3"/>
  <c r="AU641" i="3"/>
  <c r="AW641" i="3"/>
  <c r="AY641" i="3"/>
  <c r="C642" i="3"/>
  <c r="E642" i="3"/>
  <c r="G642" i="3"/>
  <c r="I642" i="3"/>
  <c r="K642" i="3"/>
  <c r="M642" i="3"/>
  <c r="O642" i="3"/>
  <c r="Q642" i="3"/>
  <c r="S642" i="3"/>
  <c r="U642" i="3"/>
  <c r="W642" i="3"/>
  <c r="Y642" i="3"/>
  <c r="AA642" i="3"/>
  <c r="AK642" i="3"/>
  <c r="AM642" i="3"/>
  <c r="AO642" i="3"/>
  <c r="AQ642" i="3"/>
  <c r="AS642" i="3"/>
  <c r="AU642" i="3"/>
  <c r="AW642" i="3"/>
  <c r="AY642" i="3"/>
  <c r="C643" i="3"/>
  <c r="E643" i="3"/>
  <c r="G643" i="3"/>
  <c r="I643" i="3"/>
  <c r="K643" i="3"/>
  <c r="M643" i="3"/>
  <c r="O643" i="3"/>
  <c r="Q643" i="3"/>
  <c r="S643" i="3"/>
  <c r="U643" i="3"/>
  <c r="W643" i="3"/>
  <c r="Y643" i="3"/>
  <c r="AA643" i="3"/>
  <c r="AK643" i="3"/>
  <c r="AM643" i="3"/>
  <c r="AO643" i="3"/>
  <c r="AQ643" i="3"/>
  <c r="AS643" i="3"/>
  <c r="AU643" i="3"/>
  <c r="AW643" i="3"/>
  <c r="AY643" i="3"/>
  <c r="C644" i="3"/>
  <c r="E644" i="3"/>
  <c r="G644" i="3"/>
  <c r="I644" i="3"/>
  <c r="K644" i="3"/>
  <c r="M644" i="3"/>
  <c r="O644" i="3"/>
  <c r="Q644" i="3"/>
  <c r="S644" i="3"/>
  <c r="U644" i="3"/>
  <c r="W644" i="3"/>
  <c r="Y644" i="3"/>
  <c r="AA644" i="3"/>
  <c r="AK644" i="3"/>
  <c r="AM644" i="3"/>
  <c r="AO644" i="3"/>
  <c r="AQ644" i="3"/>
  <c r="AS644" i="3"/>
  <c r="AU644" i="3"/>
  <c r="AW644" i="3"/>
  <c r="AY644" i="3"/>
  <c r="C645" i="3"/>
  <c r="E645" i="3"/>
  <c r="G645" i="3"/>
  <c r="I645" i="3"/>
  <c r="K645" i="3"/>
  <c r="M645" i="3"/>
  <c r="O645" i="3"/>
  <c r="Q645" i="3"/>
  <c r="S645" i="3"/>
  <c r="U645" i="3"/>
  <c r="W645" i="3"/>
  <c r="Y645" i="3"/>
  <c r="AA645" i="3"/>
  <c r="AK645" i="3"/>
  <c r="AM645" i="3"/>
  <c r="AO645" i="3"/>
  <c r="AQ645" i="3"/>
  <c r="AS645" i="3"/>
  <c r="AU645" i="3"/>
  <c r="AW645" i="3"/>
  <c r="AY645" i="3"/>
  <c r="C646" i="3"/>
  <c r="E646" i="3"/>
  <c r="G646" i="3"/>
  <c r="I646" i="3"/>
  <c r="K646" i="3"/>
  <c r="M646" i="3"/>
  <c r="O646" i="3"/>
  <c r="Q646" i="3"/>
  <c r="S646" i="3"/>
  <c r="U646" i="3"/>
  <c r="W646" i="3"/>
  <c r="Y646" i="3"/>
  <c r="AA646" i="3"/>
  <c r="AK646" i="3"/>
  <c r="AM646" i="3"/>
  <c r="AO646" i="3"/>
  <c r="AQ646" i="3"/>
  <c r="AS646" i="3"/>
  <c r="AU646" i="3"/>
  <c r="AW646" i="3"/>
  <c r="AY646" i="3"/>
  <c r="C647" i="3"/>
  <c r="E647" i="3"/>
  <c r="G647" i="3"/>
  <c r="I647" i="3"/>
  <c r="K647" i="3"/>
  <c r="M647" i="3"/>
  <c r="O647" i="3"/>
  <c r="Q647" i="3"/>
  <c r="S647" i="3"/>
  <c r="U647" i="3"/>
  <c r="W647" i="3"/>
  <c r="Y647" i="3"/>
  <c r="AA647" i="3"/>
  <c r="AK647" i="3"/>
  <c r="AM647" i="3"/>
  <c r="AO647" i="3"/>
  <c r="AQ647" i="3"/>
  <c r="AS647" i="3"/>
  <c r="AU647" i="3"/>
  <c r="AW647" i="3"/>
  <c r="AY647" i="3"/>
  <c r="C648" i="3"/>
  <c r="E648" i="3"/>
  <c r="G648" i="3"/>
  <c r="I648" i="3"/>
  <c r="K648" i="3"/>
  <c r="M648" i="3"/>
  <c r="O648" i="3"/>
  <c r="Q648" i="3"/>
  <c r="S648" i="3"/>
  <c r="U648" i="3"/>
  <c r="W648" i="3"/>
  <c r="Y648" i="3"/>
  <c r="AA648" i="3"/>
  <c r="AK648" i="3"/>
  <c r="AM648" i="3"/>
  <c r="AO648" i="3"/>
  <c r="AQ648" i="3"/>
  <c r="AS648" i="3"/>
  <c r="AU648" i="3"/>
  <c r="AW648" i="3"/>
  <c r="AY648" i="3"/>
  <c r="C649" i="3"/>
  <c r="E649" i="3"/>
  <c r="G649" i="3"/>
  <c r="I649" i="3"/>
  <c r="K649" i="3"/>
  <c r="M649" i="3"/>
  <c r="O649" i="3"/>
  <c r="Q649" i="3"/>
  <c r="S649" i="3"/>
  <c r="U649" i="3"/>
  <c r="W649" i="3"/>
  <c r="Y649" i="3"/>
  <c r="AA649" i="3"/>
  <c r="AK649" i="3"/>
  <c r="AM649" i="3"/>
  <c r="AO649" i="3"/>
  <c r="AQ649" i="3"/>
  <c r="AS649" i="3"/>
  <c r="AU649" i="3"/>
  <c r="AW649" i="3"/>
  <c r="AY649" i="3"/>
  <c r="C650" i="3"/>
  <c r="E650" i="3"/>
  <c r="G650" i="3"/>
  <c r="I650" i="3"/>
  <c r="K650" i="3"/>
  <c r="M650" i="3"/>
  <c r="O650" i="3"/>
  <c r="Q650" i="3"/>
  <c r="S650" i="3"/>
  <c r="U650" i="3"/>
  <c r="W650" i="3"/>
  <c r="Y650" i="3"/>
  <c r="AA650" i="3"/>
  <c r="AK650" i="3"/>
  <c r="AM650" i="3"/>
  <c r="AO650" i="3"/>
  <c r="AQ650" i="3"/>
  <c r="AS650" i="3"/>
  <c r="AU650" i="3"/>
  <c r="AW650" i="3"/>
  <c r="AY650" i="3"/>
  <c r="C651" i="3"/>
  <c r="E651" i="3"/>
  <c r="G651" i="3"/>
  <c r="I651" i="3"/>
  <c r="K651" i="3"/>
  <c r="M651" i="3"/>
  <c r="O651" i="3"/>
  <c r="Q651" i="3"/>
  <c r="S651" i="3"/>
  <c r="U651" i="3"/>
  <c r="W651" i="3"/>
  <c r="Y651" i="3"/>
  <c r="AA651" i="3"/>
  <c r="AK651" i="3"/>
  <c r="AM651" i="3"/>
  <c r="AO651" i="3"/>
  <c r="AQ651" i="3"/>
  <c r="AS651" i="3"/>
  <c r="AU651" i="3"/>
  <c r="AW651" i="3"/>
  <c r="AY651" i="3"/>
  <c r="C652" i="3"/>
  <c r="E652" i="3"/>
  <c r="G652" i="3"/>
  <c r="I652" i="3"/>
  <c r="K652" i="3"/>
  <c r="M652" i="3"/>
  <c r="O652" i="3"/>
  <c r="Q652" i="3"/>
  <c r="S652" i="3"/>
  <c r="U652" i="3"/>
  <c r="W652" i="3"/>
  <c r="Y652" i="3"/>
  <c r="AA652" i="3"/>
  <c r="AK652" i="3"/>
  <c r="AM652" i="3"/>
  <c r="AO652" i="3"/>
  <c r="AQ652" i="3"/>
  <c r="AS652" i="3"/>
  <c r="AU652" i="3"/>
  <c r="AW652" i="3"/>
  <c r="AY652" i="3"/>
  <c r="C653" i="3"/>
  <c r="E653" i="3"/>
  <c r="G653" i="3"/>
  <c r="I653" i="3"/>
  <c r="K653" i="3"/>
  <c r="M653" i="3"/>
  <c r="O653" i="3"/>
  <c r="Q653" i="3"/>
  <c r="S653" i="3"/>
  <c r="U653" i="3"/>
  <c r="W653" i="3"/>
  <c r="Y653" i="3"/>
  <c r="AA653" i="3"/>
  <c r="AK653" i="3"/>
  <c r="AM653" i="3"/>
  <c r="AO653" i="3"/>
  <c r="AQ653" i="3"/>
  <c r="AS653" i="3"/>
  <c r="AU653" i="3"/>
  <c r="AW653" i="3"/>
  <c r="AY653" i="3"/>
  <c r="C654" i="3"/>
  <c r="E654" i="3"/>
  <c r="G654" i="3"/>
  <c r="I654" i="3"/>
  <c r="K654" i="3"/>
  <c r="M654" i="3"/>
  <c r="O654" i="3"/>
  <c r="Q654" i="3"/>
  <c r="S654" i="3"/>
  <c r="U654" i="3"/>
  <c r="W654" i="3"/>
  <c r="Y654" i="3"/>
  <c r="AA654" i="3"/>
  <c r="AK654" i="3"/>
  <c r="AM654" i="3"/>
  <c r="AO654" i="3"/>
  <c r="AQ654" i="3"/>
  <c r="AS654" i="3"/>
  <c r="AU654" i="3"/>
  <c r="AW654" i="3"/>
  <c r="AY654" i="3"/>
  <c r="C655" i="3"/>
  <c r="E655" i="3"/>
  <c r="G655" i="3"/>
  <c r="I655" i="3"/>
  <c r="K655" i="3"/>
  <c r="M655" i="3"/>
  <c r="O655" i="3"/>
  <c r="Q655" i="3"/>
  <c r="S655" i="3"/>
  <c r="U655" i="3"/>
  <c r="W655" i="3"/>
  <c r="Y655" i="3"/>
  <c r="AA655" i="3"/>
  <c r="AK655" i="3"/>
  <c r="AM655" i="3"/>
  <c r="AO655" i="3"/>
  <c r="AQ655" i="3"/>
  <c r="AS655" i="3"/>
  <c r="AU655" i="3"/>
  <c r="AW655" i="3"/>
  <c r="AY655" i="3"/>
  <c r="C656" i="3"/>
  <c r="E656" i="3"/>
  <c r="G656" i="3"/>
  <c r="I656" i="3"/>
  <c r="K656" i="3"/>
  <c r="M656" i="3"/>
  <c r="O656" i="3"/>
  <c r="Q656" i="3"/>
  <c r="S656" i="3"/>
  <c r="U656" i="3"/>
  <c r="W656" i="3"/>
  <c r="Y656" i="3"/>
  <c r="AA656" i="3"/>
  <c r="AK656" i="3"/>
  <c r="AM656" i="3"/>
  <c r="AO656" i="3"/>
  <c r="AQ656" i="3"/>
  <c r="AS656" i="3"/>
  <c r="AU656" i="3"/>
  <c r="AW656" i="3"/>
  <c r="AY656" i="3"/>
  <c r="C657" i="3"/>
  <c r="E657" i="3"/>
  <c r="G657" i="3"/>
  <c r="I657" i="3"/>
  <c r="K657" i="3"/>
  <c r="M657" i="3"/>
  <c r="O657" i="3"/>
  <c r="Q657" i="3"/>
  <c r="S657" i="3"/>
  <c r="U657" i="3"/>
  <c r="W657" i="3"/>
  <c r="Y657" i="3"/>
  <c r="AA657" i="3"/>
  <c r="AK657" i="3"/>
  <c r="AM657" i="3"/>
  <c r="AO657" i="3"/>
  <c r="AQ657" i="3"/>
  <c r="AS657" i="3"/>
  <c r="AU657" i="3"/>
  <c r="AW657" i="3"/>
  <c r="AY657" i="3"/>
  <c r="C658" i="3"/>
  <c r="E658" i="3"/>
  <c r="G658" i="3"/>
  <c r="I658" i="3"/>
  <c r="K658" i="3"/>
  <c r="M658" i="3"/>
  <c r="O658" i="3"/>
  <c r="Q658" i="3"/>
  <c r="S658" i="3"/>
  <c r="U658" i="3"/>
  <c r="W658" i="3"/>
  <c r="Y658" i="3"/>
  <c r="AA658" i="3"/>
  <c r="AK658" i="3"/>
  <c r="AM658" i="3"/>
  <c r="AO658" i="3"/>
  <c r="AQ658" i="3"/>
  <c r="AS658" i="3"/>
  <c r="AU658" i="3"/>
  <c r="AW658" i="3"/>
  <c r="AY658" i="3"/>
  <c r="C659" i="3"/>
  <c r="E659" i="3"/>
  <c r="G659" i="3"/>
  <c r="I659" i="3"/>
  <c r="K659" i="3"/>
  <c r="M659" i="3"/>
  <c r="O659" i="3"/>
  <c r="Q659" i="3"/>
  <c r="S659" i="3"/>
  <c r="U659" i="3"/>
  <c r="W659" i="3"/>
  <c r="Y659" i="3"/>
  <c r="AA659" i="3"/>
  <c r="AK659" i="3"/>
  <c r="AM659" i="3"/>
  <c r="AO659" i="3"/>
  <c r="AQ659" i="3"/>
  <c r="AS659" i="3"/>
  <c r="AU659" i="3"/>
  <c r="AW659" i="3"/>
  <c r="AY659" i="3"/>
  <c r="C660" i="3"/>
  <c r="E660" i="3"/>
  <c r="G660" i="3"/>
  <c r="I660" i="3"/>
  <c r="K660" i="3"/>
  <c r="M660" i="3"/>
  <c r="O660" i="3"/>
  <c r="Q660" i="3"/>
  <c r="S660" i="3"/>
  <c r="U660" i="3"/>
  <c r="W660" i="3"/>
  <c r="Y660" i="3"/>
  <c r="AA660" i="3"/>
  <c r="AK660" i="3"/>
  <c r="AM660" i="3"/>
  <c r="AO660" i="3"/>
  <c r="AQ660" i="3"/>
  <c r="AS660" i="3"/>
  <c r="AU660" i="3"/>
  <c r="AW660" i="3"/>
  <c r="AY660" i="3"/>
  <c r="C661" i="3"/>
  <c r="E661" i="3"/>
  <c r="G661" i="3"/>
  <c r="I661" i="3"/>
  <c r="K661" i="3"/>
  <c r="M661" i="3"/>
  <c r="O661" i="3"/>
  <c r="Q661" i="3"/>
  <c r="S661" i="3"/>
  <c r="U661" i="3"/>
  <c r="W661" i="3"/>
  <c r="Y661" i="3"/>
  <c r="AA661" i="3"/>
  <c r="AK661" i="3"/>
  <c r="AM661" i="3"/>
  <c r="AO661" i="3"/>
  <c r="AQ661" i="3"/>
  <c r="AS661" i="3"/>
  <c r="AU661" i="3"/>
  <c r="AW661" i="3"/>
  <c r="AY661" i="3"/>
  <c r="C662" i="3"/>
  <c r="E662" i="3"/>
  <c r="G662" i="3"/>
  <c r="I662" i="3"/>
  <c r="K662" i="3"/>
  <c r="M662" i="3"/>
  <c r="O662" i="3"/>
  <c r="Q662" i="3"/>
  <c r="S662" i="3"/>
  <c r="U662" i="3"/>
  <c r="W662" i="3"/>
  <c r="Y662" i="3"/>
  <c r="AA662" i="3"/>
  <c r="AK662" i="3"/>
  <c r="AM662" i="3"/>
  <c r="AO662" i="3"/>
  <c r="AQ662" i="3"/>
  <c r="AS662" i="3"/>
  <c r="AU662" i="3"/>
  <c r="AW662" i="3"/>
  <c r="AY662" i="3"/>
  <c r="C663" i="3"/>
  <c r="E663" i="3"/>
  <c r="G663" i="3"/>
  <c r="I663" i="3"/>
  <c r="K663" i="3"/>
  <c r="M663" i="3"/>
  <c r="O663" i="3"/>
  <c r="Q663" i="3"/>
  <c r="S663" i="3"/>
  <c r="U663" i="3"/>
  <c r="W663" i="3"/>
  <c r="Y663" i="3"/>
  <c r="AA663" i="3"/>
  <c r="AK663" i="3"/>
  <c r="AM663" i="3"/>
  <c r="AO663" i="3"/>
  <c r="AQ663" i="3"/>
  <c r="AS663" i="3"/>
  <c r="AU663" i="3"/>
  <c r="AW663" i="3"/>
  <c r="AY663" i="3"/>
  <c r="C664" i="3"/>
  <c r="E664" i="3"/>
  <c r="G664" i="3"/>
  <c r="I664" i="3"/>
  <c r="K664" i="3"/>
  <c r="M664" i="3"/>
  <c r="O664" i="3"/>
  <c r="Q664" i="3"/>
  <c r="S664" i="3"/>
  <c r="U664" i="3"/>
  <c r="W664" i="3"/>
  <c r="Y664" i="3"/>
  <c r="AA664" i="3"/>
  <c r="AK664" i="3"/>
  <c r="AM664" i="3"/>
  <c r="AO664" i="3"/>
  <c r="AQ664" i="3"/>
  <c r="AS664" i="3"/>
  <c r="AU664" i="3"/>
  <c r="AW664" i="3"/>
  <c r="AY664" i="3"/>
  <c r="C665" i="3"/>
  <c r="E665" i="3"/>
  <c r="G665" i="3"/>
  <c r="I665" i="3"/>
  <c r="K665" i="3"/>
  <c r="M665" i="3"/>
  <c r="O665" i="3"/>
  <c r="Q665" i="3"/>
  <c r="S665" i="3"/>
  <c r="U665" i="3"/>
  <c r="W665" i="3"/>
  <c r="Y665" i="3"/>
  <c r="AA665" i="3"/>
  <c r="AK665" i="3"/>
  <c r="AM665" i="3"/>
  <c r="AO665" i="3"/>
  <c r="AQ665" i="3"/>
  <c r="AS665" i="3"/>
  <c r="AU665" i="3"/>
  <c r="AW665" i="3"/>
  <c r="AY665" i="3"/>
  <c r="C666" i="3"/>
  <c r="E666" i="3"/>
  <c r="G666" i="3"/>
  <c r="I666" i="3"/>
  <c r="K666" i="3"/>
  <c r="M666" i="3"/>
  <c r="O666" i="3"/>
  <c r="Q666" i="3"/>
  <c r="S666" i="3"/>
  <c r="U666" i="3"/>
  <c r="W666" i="3"/>
  <c r="Y666" i="3"/>
  <c r="AA666" i="3"/>
  <c r="AK666" i="3"/>
  <c r="AM666" i="3"/>
  <c r="AO666" i="3"/>
  <c r="AQ666" i="3"/>
  <c r="AS666" i="3"/>
  <c r="AU666" i="3"/>
  <c r="AW666" i="3"/>
  <c r="AY666" i="3"/>
  <c r="C667" i="3"/>
  <c r="E667" i="3"/>
  <c r="G667" i="3"/>
  <c r="I667" i="3"/>
  <c r="K667" i="3"/>
  <c r="M667" i="3"/>
  <c r="O667" i="3"/>
  <c r="Q667" i="3"/>
  <c r="S667" i="3"/>
  <c r="U667" i="3"/>
  <c r="W667" i="3"/>
  <c r="Y667" i="3"/>
  <c r="AA667" i="3"/>
  <c r="AK667" i="3"/>
  <c r="AM667" i="3"/>
  <c r="AO667" i="3"/>
  <c r="AQ667" i="3"/>
  <c r="AS667" i="3"/>
  <c r="AU667" i="3"/>
  <c r="AW667" i="3"/>
  <c r="AY667" i="3"/>
  <c r="C668" i="3"/>
  <c r="E668" i="3"/>
  <c r="G668" i="3"/>
  <c r="I668" i="3"/>
  <c r="K668" i="3"/>
  <c r="M668" i="3"/>
  <c r="O668" i="3"/>
  <c r="Q668" i="3"/>
  <c r="S668" i="3"/>
  <c r="U668" i="3"/>
  <c r="W668" i="3"/>
  <c r="Y668" i="3"/>
  <c r="AA668" i="3"/>
  <c r="AK668" i="3"/>
  <c r="AM668" i="3"/>
  <c r="AO668" i="3"/>
  <c r="AQ668" i="3"/>
  <c r="AS668" i="3"/>
  <c r="AU668" i="3"/>
  <c r="AW668" i="3"/>
  <c r="AY668" i="3"/>
  <c r="C669" i="3"/>
  <c r="E669" i="3"/>
  <c r="G669" i="3"/>
  <c r="I669" i="3"/>
  <c r="K669" i="3"/>
  <c r="M669" i="3"/>
  <c r="O669" i="3"/>
  <c r="Q669" i="3"/>
  <c r="S669" i="3"/>
  <c r="U669" i="3"/>
  <c r="W669" i="3"/>
  <c r="Y669" i="3"/>
  <c r="AA669" i="3"/>
  <c r="AK669" i="3"/>
  <c r="AM669" i="3"/>
  <c r="AO669" i="3"/>
  <c r="AQ669" i="3"/>
  <c r="AS669" i="3"/>
  <c r="AU669" i="3"/>
  <c r="AW669" i="3"/>
  <c r="AY669" i="3"/>
  <c r="C670" i="3"/>
  <c r="E670" i="3"/>
  <c r="G670" i="3"/>
  <c r="I670" i="3"/>
  <c r="K670" i="3"/>
  <c r="M670" i="3"/>
  <c r="O670" i="3"/>
  <c r="Q670" i="3"/>
  <c r="S670" i="3"/>
  <c r="U670" i="3"/>
  <c r="W670" i="3"/>
  <c r="Y670" i="3"/>
  <c r="AA670" i="3"/>
  <c r="AK670" i="3"/>
  <c r="AM670" i="3"/>
  <c r="AO670" i="3"/>
  <c r="AQ670" i="3"/>
  <c r="AS670" i="3"/>
  <c r="AU670" i="3"/>
  <c r="AW670" i="3"/>
  <c r="AY670" i="3"/>
  <c r="C671" i="3"/>
  <c r="E671" i="3"/>
  <c r="G671" i="3"/>
  <c r="I671" i="3"/>
  <c r="K671" i="3"/>
  <c r="M671" i="3"/>
  <c r="O671" i="3"/>
  <c r="Q671" i="3"/>
  <c r="S671" i="3"/>
  <c r="U671" i="3"/>
  <c r="W671" i="3"/>
  <c r="Y671" i="3"/>
  <c r="AA671" i="3"/>
  <c r="AK671" i="3"/>
  <c r="AM671" i="3"/>
  <c r="AO671" i="3"/>
  <c r="AQ671" i="3"/>
  <c r="AS671" i="3"/>
  <c r="AU671" i="3"/>
  <c r="AW671" i="3"/>
  <c r="AY671" i="3"/>
  <c r="C672" i="3"/>
  <c r="E672" i="3"/>
  <c r="G672" i="3"/>
  <c r="I672" i="3"/>
  <c r="K672" i="3"/>
  <c r="M672" i="3"/>
  <c r="O672" i="3"/>
  <c r="Q672" i="3"/>
  <c r="S672" i="3"/>
  <c r="U672" i="3"/>
  <c r="W672" i="3"/>
  <c r="Y672" i="3"/>
  <c r="AA672" i="3"/>
  <c r="AK672" i="3"/>
  <c r="AM672" i="3"/>
  <c r="AO672" i="3"/>
  <c r="AQ672" i="3"/>
  <c r="AS672" i="3"/>
  <c r="AU672" i="3"/>
  <c r="AW672" i="3"/>
  <c r="AY672" i="3"/>
  <c r="C673" i="3"/>
  <c r="E673" i="3"/>
  <c r="G673" i="3"/>
  <c r="I673" i="3"/>
  <c r="K673" i="3"/>
  <c r="M673" i="3"/>
  <c r="O673" i="3"/>
  <c r="Q673" i="3"/>
  <c r="S673" i="3"/>
  <c r="U673" i="3"/>
  <c r="W673" i="3"/>
  <c r="Y673" i="3"/>
  <c r="AA673" i="3"/>
  <c r="AK673" i="3"/>
  <c r="AM673" i="3"/>
  <c r="AO673" i="3"/>
  <c r="AQ673" i="3"/>
  <c r="AS673" i="3"/>
  <c r="AU673" i="3"/>
  <c r="AW673" i="3"/>
  <c r="AY673" i="3"/>
  <c r="C674" i="3"/>
  <c r="E674" i="3"/>
  <c r="G674" i="3"/>
  <c r="I674" i="3"/>
  <c r="K674" i="3"/>
  <c r="M674" i="3"/>
  <c r="O674" i="3"/>
  <c r="Q674" i="3"/>
  <c r="S674" i="3"/>
  <c r="U674" i="3"/>
  <c r="W674" i="3"/>
  <c r="Y674" i="3"/>
  <c r="AA674" i="3"/>
  <c r="AK674" i="3"/>
  <c r="AM674" i="3"/>
  <c r="AO674" i="3"/>
  <c r="AQ674" i="3"/>
  <c r="AS674" i="3"/>
  <c r="AU674" i="3"/>
  <c r="AW674" i="3"/>
  <c r="AY674" i="3"/>
  <c r="C675" i="3"/>
  <c r="E675" i="3"/>
  <c r="G675" i="3"/>
  <c r="I675" i="3"/>
  <c r="K675" i="3"/>
  <c r="M675" i="3"/>
  <c r="O675" i="3"/>
  <c r="Q675" i="3"/>
  <c r="S675" i="3"/>
  <c r="U675" i="3"/>
  <c r="W675" i="3"/>
  <c r="Y675" i="3"/>
  <c r="AA675" i="3"/>
  <c r="AK675" i="3"/>
  <c r="AM675" i="3"/>
  <c r="AO675" i="3"/>
  <c r="AQ675" i="3"/>
  <c r="AS675" i="3"/>
  <c r="AU675" i="3"/>
  <c r="AW675" i="3"/>
  <c r="AY675" i="3"/>
  <c r="C676" i="3"/>
  <c r="E676" i="3"/>
  <c r="G676" i="3"/>
  <c r="I676" i="3"/>
  <c r="K676" i="3"/>
  <c r="M676" i="3"/>
  <c r="O676" i="3"/>
  <c r="Q676" i="3"/>
  <c r="S676" i="3"/>
  <c r="U676" i="3"/>
  <c r="W676" i="3"/>
  <c r="Y676" i="3"/>
  <c r="AA676" i="3"/>
  <c r="AK676" i="3"/>
  <c r="AM676" i="3"/>
  <c r="AO676" i="3"/>
  <c r="AQ676" i="3"/>
  <c r="AS676" i="3"/>
  <c r="AU676" i="3"/>
  <c r="AW676" i="3"/>
  <c r="AY676" i="3"/>
  <c r="C677" i="3"/>
  <c r="E677" i="3"/>
  <c r="G677" i="3"/>
  <c r="I677" i="3"/>
  <c r="K677" i="3"/>
  <c r="M677" i="3"/>
  <c r="O677" i="3"/>
  <c r="Q677" i="3"/>
  <c r="S677" i="3"/>
  <c r="U677" i="3"/>
  <c r="W677" i="3"/>
  <c r="Y677" i="3"/>
  <c r="AA677" i="3"/>
  <c r="AK677" i="3"/>
  <c r="AM677" i="3"/>
  <c r="AO677" i="3"/>
  <c r="AQ677" i="3"/>
  <c r="AS677" i="3"/>
  <c r="AU677" i="3"/>
  <c r="AW677" i="3"/>
  <c r="AY677" i="3"/>
  <c r="C678" i="3"/>
  <c r="E678" i="3"/>
  <c r="G678" i="3"/>
  <c r="I678" i="3"/>
  <c r="K678" i="3"/>
  <c r="M678" i="3"/>
  <c r="O678" i="3"/>
  <c r="Q678" i="3"/>
  <c r="S678" i="3"/>
  <c r="U678" i="3"/>
  <c r="W678" i="3"/>
  <c r="Y678" i="3"/>
  <c r="AA678" i="3"/>
  <c r="AK678" i="3"/>
  <c r="AM678" i="3"/>
  <c r="AO678" i="3"/>
  <c r="AQ678" i="3"/>
  <c r="AS678" i="3"/>
  <c r="AU678" i="3"/>
  <c r="AW678" i="3"/>
  <c r="AY678" i="3"/>
  <c r="C679" i="3"/>
  <c r="E679" i="3"/>
  <c r="G679" i="3"/>
  <c r="I679" i="3"/>
  <c r="K679" i="3"/>
  <c r="M679" i="3"/>
  <c r="O679" i="3"/>
  <c r="Q679" i="3"/>
  <c r="S679" i="3"/>
  <c r="U679" i="3"/>
  <c r="W679" i="3"/>
  <c r="Y679" i="3"/>
  <c r="AA679" i="3"/>
  <c r="AK679" i="3"/>
  <c r="AM679" i="3"/>
  <c r="AO679" i="3"/>
  <c r="AQ679" i="3"/>
  <c r="AS679" i="3"/>
  <c r="AU679" i="3"/>
  <c r="AW679" i="3"/>
  <c r="AY679" i="3"/>
  <c r="C680" i="3"/>
  <c r="E680" i="3"/>
  <c r="G680" i="3"/>
  <c r="I680" i="3"/>
  <c r="K680" i="3"/>
  <c r="M680" i="3"/>
  <c r="O680" i="3"/>
  <c r="Q680" i="3"/>
  <c r="S680" i="3"/>
  <c r="U680" i="3"/>
  <c r="W680" i="3"/>
  <c r="Y680" i="3"/>
  <c r="AA680" i="3"/>
  <c r="AK680" i="3"/>
  <c r="AM680" i="3"/>
  <c r="AO680" i="3"/>
  <c r="AQ680" i="3"/>
  <c r="AS680" i="3"/>
  <c r="AU680" i="3"/>
  <c r="AW680" i="3"/>
  <c r="AY680" i="3"/>
  <c r="C681" i="3"/>
  <c r="E681" i="3"/>
  <c r="G681" i="3"/>
  <c r="I681" i="3"/>
  <c r="K681" i="3"/>
  <c r="M681" i="3"/>
  <c r="O681" i="3"/>
  <c r="Q681" i="3"/>
  <c r="S681" i="3"/>
  <c r="U681" i="3"/>
  <c r="W681" i="3"/>
  <c r="Y681" i="3"/>
  <c r="AA681" i="3"/>
  <c r="AK681" i="3"/>
  <c r="AM681" i="3"/>
  <c r="AO681" i="3"/>
  <c r="AQ681" i="3"/>
  <c r="AS681" i="3"/>
  <c r="AU681" i="3"/>
  <c r="AW681" i="3"/>
  <c r="AY681" i="3"/>
  <c r="C682" i="3"/>
  <c r="E682" i="3"/>
  <c r="G682" i="3"/>
  <c r="I682" i="3"/>
  <c r="K682" i="3"/>
  <c r="M682" i="3"/>
  <c r="O682" i="3"/>
  <c r="Q682" i="3"/>
  <c r="S682" i="3"/>
  <c r="U682" i="3"/>
  <c r="W682" i="3"/>
  <c r="Y682" i="3"/>
  <c r="AA682" i="3"/>
  <c r="AK682" i="3"/>
  <c r="AM682" i="3"/>
  <c r="AO682" i="3"/>
  <c r="AQ682" i="3"/>
  <c r="AS682" i="3"/>
  <c r="AU682" i="3"/>
  <c r="AW682" i="3"/>
  <c r="AY682" i="3"/>
  <c r="C683" i="3"/>
  <c r="E683" i="3"/>
  <c r="G683" i="3"/>
  <c r="I683" i="3"/>
  <c r="K683" i="3"/>
  <c r="M683" i="3"/>
  <c r="O683" i="3"/>
  <c r="Q683" i="3"/>
  <c r="S683" i="3"/>
  <c r="U683" i="3"/>
  <c r="W683" i="3"/>
  <c r="Y683" i="3"/>
  <c r="AA683" i="3"/>
  <c r="AK683" i="3"/>
  <c r="AM683" i="3"/>
  <c r="AO683" i="3"/>
  <c r="AQ683" i="3"/>
  <c r="AS683" i="3"/>
  <c r="AU683" i="3"/>
  <c r="AW683" i="3"/>
  <c r="AY683" i="3"/>
  <c r="C684" i="3"/>
  <c r="E684" i="3"/>
  <c r="G684" i="3"/>
  <c r="I684" i="3"/>
  <c r="K684" i="3"/>
  <c r="M684" i="3"/>
  <c r="O684" i="3"/>
  <c r="Q684" i="3"/>
  <c r="S684" i="3"/>
  <c r="U684" i="3"/>
  <c r="W684" i="3"/>
  <c r="Y684" i="3"/>
  <c r="AA684" i="3"/>
  <c r="AK684" i="3"/>
  <c r="AM684" i="3"/>
  <c r="AO684" i="3"/>
  <c r="AQ684" i="3"/>
  <c r="AS684" i="3"/>
  <c r="AU684" i="3"/>
  <c r="AW684" i="3"/>
  <c r="AY684" i="3"/>
  <c r="C685" i="3"/>
  <c r="E685" i="3"/>
  <c r="G685" i="3"/>
  <c r="I685" i="3"/>
  <c r="K685" i="3"/>
  <c r="M685" i="3"/>
  <c r="O685" i="3"/>
  <c r="Q685" i="3"/>
  <c r="S685" i="3"/>
  <c r="U685" i="3"/>
  <c r="W685" i="3"/>
  <c r="Y685" i="3"/>
  <c r="AA685" i="3"/>
  <c r="AK685" i="3"/>
  <c r="AM685" i="3"/>
  <c r="AO685" i="3"/>
  <c r="AQ685" i="3"/>
  <c r="AS685" i="3"/>
  <c r="AU685" i="3"/>
  <c r="AW685" i="3"/>
  <c r="AY685" i="3"/>
  <c r="C686" i="3"/>
  <c r="E686" i="3"/>
  <c r="G686" i="3"/>
  <c r="I686" i="3"/>
  <c r="K686" i="3"/>
  <c r="M686" i="3"/>
  <c r="O686" i="3"/>
  <c r="Q686" i="3"/>
  <c r="S686" i="3"/>
  <c r="U686" i="3"/>
  <c r="W686" i="3"/>
  <c r="Y686" i="3"/>
  <c r="AA686" i="3"/>
  <c r="AK686" i="3"/>
  <c r="AM686" i="3"/>
  <c r="AO686" i="3"/>
  <c r="AQ686" i="3"/>
  <c r="AS686" i="3"/>
  <c r="AU686" i="3"/>
  <c r="AW686" i="3"/>
  <c r="AY686" i="3"/>
  <c r="C687" i="3"/>
  <c r="E687" i="3"/>
  <c r="G687" i="3"/>
  <c r="I687" i="3"/>
  <c r="K687" i="3"/>
  <c r="M687" i="3"/>
  <c r="O687" i="3"/>
  <c r="Q687" i="3"/>
  <c r="S687" i="3"/>
  <c r="U687" i="3"/>
  <c r="W687" i="3"/>
  <c r="Y687" i="3"/>
  <c r="AA687" i="3"/>
  <c r="AK687" i="3"/>
  <c r="AM687" i="3"/>
  <c r="AO687" i="3"/>
  <c r="AQ687" i="3"/>
  <c r="AS687" i="3"/>
  <c r="AU687" i="3"/>
  <c r="AW687" i="3"/>
  <c r="AY687" i="3"/>
  <c r="C688" i="3"/>
  <c r="E688" i="3"/>
  <c r="G688" i="3"/>
  <c r="I688" i="3"/>
  <c r="K688" i="3"/>
  <c r="M688" i="3"/>
  <c r="O688" i="3"/>
  <c r="Q688" i="3"/>
  <c r="S688" i="3"/>
  <c r="U688" i="3"/>
  <c r="W688" i="3"/>
  <c r="Y688" i="3"/>
  <c r="AA688" i="3"/>
  <c r="AK688" i="3"/>
  <c r="AM688" i="3"/>
  <c r="AO688" i="3"/>
  <c r="AQ688" i="3"/>
  <c r="AS688" i="3"/>
  <c r="AU688" i="3"/>
  <c r="AW688" i="3"/>
  <c r="AY688" i="3"/>
  <c r="C689" i="3"/>
  <c r="E689" i="3"/>
  <c r="G689" i="3"/>
  <c r="I689" i="3"/>
  <c r="K689" i="3"/>
  <c r="M689" i="3"/>
  <c r="O689" i="3"/>
  <c r="Q689" i="3"/>
  <c r="S689" i="3"/>
  <c r="U689" i="3"/>
  <c r="W689" i="3"/>
  <c r="Y689" i="3"/>
  <c r="AA689" i="3"/>
  <c r="AK689" i="3"/>
  <c r="AM689" i="3"/>
  <c r="AO689" i="3"/>
  <c r="AQ689" i="3"/>
  <c r="AS689" i="3"/>
  <c r="AU689" i="3"/>
  <c r="AW689" i="3"/>
  <c r="AY689" i="3"/>
  <c r="C690" i="3"/>
  <c r="E690" i="3"/>
  <c r="G690" i="3"/>
  <c r="I690" i="3"/>
  <c r="K690" i="3"/>
  <c r="M690" i="3"/>
  <c r="O690" i="3"/>
  <c r="Q690" i="3"/>
  <c r="S690" i="3"/>
  <c r="U690" i="3"/>
  <c r="W690" i="3"/>
  <c r="Y690" i="3"/>
  <c r="AA690" i="3"/>
  <c r="AK690" i="3"/>
  <c r="AM690" i="3"/>
  <c r="AO690" i="3"/>
  <c r="AQ690" i="3"/>
  <c r="AS690" i="3"/>
  <c r="AU690" i="3"/>
  <c r="AW690" i="3"/>
  <c r="AY690" i="3"/>
  <c r="C691" i="3"/>
  <c r="E691" i="3"/>
  <c r="G691" i="3"/>
  <c r="I691" i="3"/>
  <c r="K691" i="3"/>
  <c r="M691" i="3"/>
  <c r="O691" i="3"/>
  <c r="Q691" i="3"/>
  <c r="S691" i="3"/>
  <c r="U691" i="3"/>
  <c r="W691" i="3"/>
  <c r="Y691" i="3"/>
  <c r="AA691" i="3"/>
  <c r="AK691" i="3"/>
  <c r="AM691" i="3"/>
  <c r="AO691" i="3"/>
  <c r="AQ691" i="3"/>
  <c r="AS691" i="3"/>
  <c r="AU691" i="3"/>
  <c r="AW691" i="3"/>
  <c r="AY691" i="3"/>
  <c r="C692" i="3"/>
  <c r="E692" i="3"/>
  <c r="G692" i="3"/>
  <c r="I692" i="3"/>
  <c r="K692" i="3"/>
  <c r="M692" i="3"/>
  <c r="O692" i="3"/>
  <c r="Q692" i="3"/>
  <c r="S692" i="3"/>
  <c r="U692" i="3"/>
  <c r="W692" i="3"/>
  <c r="Y692" i="3"/>
  <c r="AA692" i="3"/>
  <c r="AK692" i="3"/>
  <c r="AM692" i="3"/>
  <c r="AO692" i="3"/>
  <c r="AQ692" i="3"/>
  <c r="AS692" i="3"/>
  <c r="AU692" i="3"/>
  <c r="AW692" i="3"/>
  <c r="AY692" i="3"/>
  <c r="C693" i="3"/>
  <c r="E693" i="3"/>
  <c r="G693" i="3"/>
  <c r="I693" i="3"/>
  <c r="K693" i="3"/>
  <c r="M693" i="3"/>
  <c r="O693" i="3"/>
  <c r="Q693" i="3"/>
  <c r="S693" i="3"/>
  <c r="U693" i="3"/>
  <c r="W693" i="3"/>
  <c r="Y693" i="3"/>
  <c r="AA693" i="3"/>
  <c r="AK693" i="3"/>
  <c r="AM693" i="3"/>
  <c r="AO693" i="3"/>
  <c r="AQ693" i="3"/>
  <c r="AS693" i="3"/>
  <c r="AU693" i="3"/>
  <c r="AW693" i="3"/>
  <c r="AY693" i="3"/>
  <c r="C694" i="3"/>
  <c r="E694" i="3"/>
  <c r="G694" i="3"/>
  <c r="I694" i="3"/>
  <c r="K694" i="3"/>
  <c r="M694" i="3"/>
  <c r="O694" i="3"/>
  <c r="Q694" i="3"/>
  <c r="S694" i="3"/>
  <c r="U694" i="3"/>
  <c r="W694" i="3"/>
  <c r="Y694" i="3"/>
  <c r="AA694" i="3"/>
  <c r="AK694" i="3"/>
  <c r="AM694" i="3"/>
  <c r="AO694" i="3"/>
  <c r="AQ694" i="3"/>
  <c r="AS694" i="3"/>
  <c r="AU694" i="3"/>
  <c r="AW694" i="3"/>
  <c r="AY694" i="3"/>
  <c r="C695" i="3"/>
  <c r="E695" i="3"/>
  <c r="G695" i="3"/>
  <c r="I695" i="3"/>
  <c r="K695" i="3"/>
  <c r="M695" i="3"/>
  <c r="O695" i="3"/>
  <c r="Q695" i="3"/>
  <c r="S695" i="3"/>
  <c r="U695" i="3"/>
  <c r="W695" i="3"/>
  <c r="Y695" i="3"/>
  <c r="AA695" i="3"/>
  <c r="AK695" i="3"/>
  <c r="AM695" i="3"/>
  <c r="AO695" i="3"/>
  <c r="AQ695" i="3"/>
  <c r="AS695" i="3"/>
  <c r="AU695" i="3"/>
  <c r="AW695" i="3"/>
  <c r="AY695" i="3"/>
  <c r="C696" i="3"/>
  <c r="E696" i="3"/>
  <c r="G696" i="3"/>
  <c r="I696" i="3"/>
  <c r="K696" i="3"/>
  <c r="M696" i="3"/>
  <c r="O696" i="3"/>
  <c r="Q696" i="3"/>
  <c r="S696" i="3"/>
  <c r="U696" i="3"/>
  <c r="W696" i="3"/>
  <c r="Y696" i="3"/>
  <c r="AA696" i="3"/>
  <c r="AK696" i="3"/>
  <c r="AM696" i="3"/>
  <c r="AO696" i="3"/>
  <c r="AQ696" i="3"/>
  <c r="AS696" i="3"/>
  <c r="AU696" i="3"/>
  <c r="AW696" i="3"/>
  <c r="AY696" i="3"/>
  <c r="C697" i="3"/>
  <c r="E697" i="3"/>
  <c r="G697" i="3"/>
  <c r="I697" i="3"/>
  <c r="K697" i="3"/>
  <c r="M697" i="3"/>
  <c r="O697" i="3"/>
  <c r="Q697" i="3"/>
  <c r="S697" i="3"/>
  <c r="U697" i="3"/>
  <c r="W697" i="3"/>
  <c r="Y697" i="3"/>
  <c r="AA697" i="3"/>
  <c r="AK697" i="3"/>
  <c r="AM697" i="3"/>
  <c r="AO697" i="3"/>
  <c r="AQ697" i="3"/>
  <c r="AS697" i="3"/>
  <c r="AU697" i="3"/>
  <c r="AW697" i="3"/>
  <c r="AY697" i="3"/>
  <c r="C698" i="3"/>
  <c r="E698" i="3"/>
  <c r="G698" i="3"/>
  <c r="I698" i="3"/>
  <c r="K698" i="3"/>
  <c r="M698" i="3"/>
  <c r="O698" i="3"/>
  <c r="Q698" i="3"/>
  <c r="S698" i="3"/>
  <c r="U698" i="3"/>
  <c r="W698" i="3"/>
  <c r="Y698" i="3"/>
  <c r="AA698" i="3"/>
  <c r="AK698" i="3"/>
  <c r="AM698" i="3"/>
  <c r="AO698" i="3"/>
  <c r="AQ698" i="3"/>
  <c r="AS698" i="3"/>
  <c r="AU698" i="3"/>
  <c r="AW698" i="3"/>
  <c r="AY698" i="3"/>
  <c r="C699" i="3"/>
  <c r="E699" i="3"/>
  <c r="G699" i="3"/>
  <c r="I699" i="3"/>
  <c r="K699" i="3"/>
  <c r="M699" i="3"/>
  <c r="O699" i="3"/>
  <c r="Q699" i="3"/>
  <c r="S699" i="3"/>
  <c r="U699" i="3"/>
  <c r="W699" i="3"/>
  <c r="Y699" i="3"/>
  <c r="AA699" i="3"/>
  <c r="AK699" i="3"/>
  <c r="AM699" i="3"/>
  <c r="AO699" i="3"/>
  <c r="AQ699" i="3"/>
  <c r="AS699" i="3"/>
  <c r="AU699" i="3"/>
  <c r="AW699" i="3"/>
  <c r="AY699" i="3"/>
  <c r="C700" i="3"/>
  <c r="E700" i="3"/>
  <c r="G700" i="3"/>
  <c r="I700" i="3"/>
  <c r="K700" i="3"/>
  <c r="M700" i="3"/>
  <c r="O700" i="3"/>
  <c r="Q700" i="3"/>
  <c r="S700" i="3"/>
  <c r="U700" i="3"/>
  <c r="W700" i="3"/>
  <c r="Y700" i="3"/>
  <c r="AA700" i="3"/>
  <c r="AK700" i="3"/>
  <c r="AM700" i="3"/>
  <c r="AO700" i="3"/>
  <c r="AQ700" i="3"/>
  <c r="AS700" i="3"/>
  <c r="AU700" i="3"/>
  <c r="AW700" i="3"/>
  <c r="AY700" i="3"/>
  <c r="C701" i="3"/>
  <c r="E701" i="3"/>
  <c r="G701" i="3"/>
  <c r="I701" i="3"/>
  <c r="K701" i="3"/>
  <c r="M701" i="3"/>
  <c r="O701" i="3"/>
  <c r="Q701" i="3"/>
  <c r="S701" i="3"/>
  <c r="U701" i="3"/>
  <c r="W701" i="3"/>
  <c r="Y701" i="3"/>
  <c r="AA701" i="3"/>
  <c r="AK701" i="3"/>
  <c r="AM701" i="3"/>
  <c r="AO701" i="3"/>
  <c r="AQ701" i="3"/>
  <c r="AS701" i="3"/>
  <c r="AU701" i="3"/>
  <c r="AW701" i="3"/>
  <c r="AY701" i="3"/>
  <c r="C702" i="3"/>
  <c r="E702" i="3"/>
  <c r="G702" i="3"/>
  <c r="I702" i="3"/>
  <c r="K702" i="3"/>
  <c r="M702" i="3"/>
  <c r="O702" i="3"/>
  <c r="Q702" i="3"/>
  <c r="S702" i="3"/>
  <c r="U702" i="3"/>
  <c r="W702" i="3"/>
  <c r="Y702" i="3"/>
  <c r="AA702" i="3"/>
  <c r="AK702" i="3"/>
  <c r="AM702" i="3"/>
  <c r="AO702" i="3"/>
  <c r="AQ702" i="3"/>
  <c r="AS702" i="3"/>
  <c r="AU702" i="3"/>
  <c r="AW702" i="3"/>
  <c r="AY702" i="3"/>
  <c r="C703" i="3"/>
  <c r="E703" i="3"/>
  <c r="G703" i="3"/>
  <c r="I703" i="3"/>
  <c r="K703" i="3"/>
  <c r="M703" i="3"/>
  <c r="O703" i="3"/>
  <c r="Q703" i="3"/>
  <c r="S703" i="3"/>
  <c r="U703" i="3"/>
  <c r="W703" i="3"/>
  <c r="Y703" i="3"/>
  <c r="AA703" i="3"/>
  <c r="AK703" i="3"/>
  <c r="AM703" i="3"/>
  <c r="AO703" i="3"/>
  <c r="AQ703" i="3"/>
  <c r="AS703" i="3"/>
  <c r="AU703" i="3"/>
  <c r="AW703" i="3"/>
  <c r="AY703" i="3"/>
  <c r="C704" i="3"/>
  <c r="E704" i="3"/>
  <c r="G704" i="3"/>
  <c r="I704" i="3"/>
  <c r="K704" i="3"/>
  <c r="M704" i="3"/>
  <c r="O704" i="3"/>
  <c r="Q704" i="3"/>
  <c r="S704" i="3"/>
  <c r="U704" i="3"/>
  <c r="W704" i="3"/>
  <c r="Y704" i="3"/>
  <c r="AA704" i="3"/>
  <c r="AK704" i="3"/>
  <c r="AM704" i="3"/>
  <c r="AO704" i="3"/>
  <c r="AQ704" i="3"/>
  <c r="AS704" i="3"/>
  <c r="AU704" i="3"/>
  <c r="AW704" i="3"/>
  <c r="AY704" i="3"/>
  <c r="C705" i="3"/>
  <c r="E705" i="3"/>
  <c r="G705" i="3"/>
  <c r="I705" i="3"/>
  <c r="K705" i="3"/>
  <c r="M705" i="3"/>
  <c r="O705" i="3"/>
  <c r="Q705" i="3"/>
  <c r="S705" i="3"/>
  <c r="U705" i="3"/>
  <c r="W705" i="3"/>
  <c r="Y705" i="3"/>
  <c r="AA705" i="3"/>
  <c r="AK705" i="3"/>
  <c r="AM705" i="3"/>
  <c r="AO705" i="3"/>
  <c r="AQ705" i="3"/>
  <c r="AS705" i="3"/>
  <c r="AU705" i="3"/>
  <c r="AW705" i="3"/>
  <c r="AY705" i="3"/>
  <c r="C706" i="3"/>
  <c r="E706" i="3"/>
  <c r="G706" i="3"/>
  <c r="I706" i="3"/>
  <c r="K706" i="3"/>
  <c r="M706" i="3"/>
  <c r="O706" i="3"/>
  <c r="Q706" i="3"/>
  <c r="S706" i="3"/>
  <c r="U706" i="3"/>
  <c r="W706" i="3"/>
  <c r="Y706" i="3"/>
  <c r="AA706" i="3"/>
  <c r="AK706" i="3"/>
  <c r="AM706" i="3"/>
  <c r="AO706" i="3"/>
  <c r="AQ706" i="3"/>
  <c r="AS706" i="3"/>
  <c r="AU706" i="3"/>
  <c r="AW706" i="3"/>
  <c r="AY706" i="3"/>
  <c r="C707" i="3"/>
  <c r="E707" i="3"/>
  <c r="G707" i="3"/>
  <c r="I707" i="3"/>
  <c r="K707" i="3"/>
  <c r="M707" i="3"/>
  <c r="O707" i="3"/>
  <c r="Q707" i="3"/>
  <c r="S707" i="3"/>
  <c r="U707" i="3"/>
  <c r="W707" i="3"/>
  <c r="Y707" i="3"/>
  <c r="AA707" i="3"/>
  <c r="AK707" i="3"/>
  <c r="AM707" i="3"/>
  <c r="AO707" i="3"/>
  <c r="AQ707" i="3"/>
  <c r="AS707" i="3"/>
  <c r="AU707" i="3"/>
  <c r="AW707" i="3"/>
  <c r="AY707" i="3"/>
  <c r="C708" i="3"/>
  <c r="E708" i="3"/>
  <c r="G708" i="3"/>
  <c r="I708" i="3"/>
  <c r="K708" i="3"/>
  <c r="M708" i="3"/>
  <c r="O708" i="3"/>
  <c r="Q708" i="3"/>
  <c r="S708" i="3"/>
  <c r="U708" i="3"/>
  <c r="W708" i="3"/>
  <c r="Y708" i="3"/>
  <c r="AA708" i="3"/>
  <c r="AK708" i="3"/>
  <c r="AM708" i="3"/>
  <c r="AO708" i="3"/>
  <c r="AQ708" i="3"/>
  <c r="AS708" i="3"/>
  <c r="AU708" i="3"/>
  <c r="AW708" i="3"/>
  <c r="AY708" i="3"/>
  <c r="C709" i="3"/>
  <c r="E709" i="3"/>
  <c r="G709" i="3"/>
  <c r="I709" i="3"/>
  <c r="K709" i="3"/>
  <c r="M709" i="3"/>
  <c r="O709" i="3"/>
  <c r="Q709" i="3"/>
  <c r="S709" i="3"/>
  <c r="U709" i="3"/>
  <c r="W709" i="3"/>
  <c r="Y709" i="3"/>
  <c r="AA709" i="3"/>
  <c r="AK709" i="3"/>
  <c r="AM709" i="3"/>
  <c r="AO709" i="3"/>
  <c r="AQ709" i="3"/>
  <c r="AS709" i="3"/>
  <c r="AU709" i="3"/>
  <c r="AW709" i="3"/>
  <c r="AY709" i="3"/>
  <c r="C710" i="3"/>
  <c r="E710" i="3"/>
  <c r="G710" i="3"/>
  <c r="I710" i="3"/>
  <c r="K710" i="3"/>
  <c r="M710" i="3"/>
  <c r="O710" i="3"/>
  <c r="Q710" i="3"/>
  <c r="S710" i="3"/>
  <c r="U710" i="3"/>
  <c r="W710" i="3"/>
  <c r="Y710" i="3"/>
  <c r="AA710" i="3"/>
  <c r="AK710" i="3"/>
  <c r="AM710" i="3"/>
  <c r="AO710" i="3"/>
  <c r="AQ710" i="3"/>
  <c r="AS710" i="3"/>
  <c r="AU710" i="3"/>
  <c r="AW710" i="3"/>
  <c r="AY710" i="3"/>
  <c r="C711" i="3"/>
  <c r="E711" i="3"/>
  <c r="G711" i="3"/>
  <c r="I711" i="3"/>
  <c r="K711" i="3"/>
  <c r="M711" i="3"/>
  <c r="O711" i="3"/>
  <c r="Q711" i="3"/>
  <c r="S711" i="3"/>
  <c r="U711" i="3"/>
  <c r="W711" i="3"/>
  <c r="Y711" i="3"/>
  <c r="AA711" i="3"/>
  <c r="AK711" i="3"/>
  <c r="AM711" i="3"/>
  <c r="AO711" i="3"/>
  <c r="AQ711" i="3"/>
  <c r="AS711" i="3"/>
  <c r="AU711" i="3"/>
  <c r="AW711" i="3"/>
  <c r="AY711" i="3"/>
  <c r="C712" i="3"/>
  <c r="E712" i="3"/>
  <c r="G712" i="3"/>
  <c r="I712" i="3"/>
  <c r="K712" i="3"/>
  <c r="M712" i="3"/>
  <c r="O712" i="3"/>
  <c r="Q712" i="3"/>
  <c r="S712" i="3"/>
  <c r="U712" i="3"/>
  <c r="W712" i="3"/>
  <c r="Y712" i="3"/>
  <c r="AA712" i="3"/>
  <c r="AK712" i="3"/>
  <c r="AM712" i="3"/>
  <c r="AO712" i="3"/>
  <c r="AQ712" i="3"/>
  <c r="AS712" i="3"/>
  <c r="AU712" i="3"/>
  <c r="AW712" i="3"/>
  <c r="AY712" i="3"/>
  <c r="C713" i="3"/>
  <c r="E713" i="3"/>
  <c r="G713" i="3"/>
  <c r="I713" i="3"/>
  <c r="K713" i="3"/>
  <c r="M713" i="3"/>
  <c r="O713" i="3"/>
  <c r="Q713" i="3"/>
  <c r="S713" i="3"/>
  <c r="U713" i="3"/>
  <c r="W713" i="3"/>
  <c r="Y713" i="3"/>
  <c r="AA713" i="3"/>
  <c r="AK713" i="3"/>
  <c r="AM713" i="3"/>
  <c r="AO713" i="3"/>
  <c r="AQ713" i="3"/>
  <c r="AS713" i="3"/>
  <c r="AU713" i="3"/>
  <c r="AW713" i="3"/>
  <c r="AY713" i="3"/>
  <c r="C714" i="3"/>
  <c r="E714" i="3"/>
  <c r="G714" i="3"/>
  <c r="I714" i="3"/>
  <c r="K714" i="3"/>
  <c r="M714" i="3"/>
  <c r="O714" i="3"/>
  <c r="Q714" i="3"/>
  <c r="S714" i="3"/>
  <c r="U714" i="3"/>
  <c r="W714" i="3"/>
  <c r="Y714" i="3"/>
  <c r="AA714" i="3"/>
  <c r="AK714" i="3"/>
  <c r="AM714" i="3"/>
  <c r="AO714" i="3"/>
  <c r="AQ714" i="3"/>
  <c r="AS714" i="3"/>
  <c r="AU714" i="3"/>
  <c r="AW714" i="3"/>
  <c r="AY714" i="3"/>
  <c r="C715" i="3"/>
  <c r="E715" i="3"/>
  <c r="G715" i="3"/>
  <c r="I715" i="3"/>
  <c r="K715" i="3"/>
  <c r="M715" i="3"/>
  <c r="O715" i="3"/>
  <c r="Q715" i="3"/>
  <c r="S715" i="3"/>
  <c r="U715" i="3"/>
  <c r="W715" i="3"/>
  <c r="Y715" i="3"/>
  <c r="AA715" i="3"/>
  <c r="AK715" i="3"/>
  <c r="AM715" i="3"/>
  <c r="AO715" i="3"/>
  <c r="AQ715" i="3"/>
  <c r="AS715" i="3"/>
  <c r="AU715" i="3"/>
  <c r="AW715" i="3"/>
  <c r="AY715" i="3"/>
  <c r="BA716" i="3"/>
  <c r="AY716" i="3"/>
  <c r="AW716" i="3"/>
  <c r="AU716" i="3"/>
  <c r="AS716" i="3"/>
  <c r="AQ716" i="3"/>
  <c r="AO716" i="3"/>
  <c r="AM716" i="3"/>
  <c r="AK716" i="3"/>
  <c r="AA716" i="3"/>
  <c r="Y716" i="3"/>
  <c r="W716" i="3"/>
  <c r="U716" i="3"/>
  <c r="S716" i="3"/>
  <c r="Q716" i="3"/>
  <c r="O716" i="3"/>
  <c r="M716" i="3"/>
  <c r="K716" i="3"/>
  <c r="I716" i="3"/>
  <c r="G716" i="3"/>
  <c r="E716" i="3"/>
  <c r="C716" i="3"/>
  <c r="D716" i="3"/>
  <c r="H716" i="3"/>
  <c r="L716" i="3"/>
  <c r="P716" i="3"/>
  <c r="T716" i="3"/>
  <c r="X716" i="3"/>
  <c r="AB716" i="3"/>
  <c r="AN716" i="3"/>
  <c r="AR716" i="3"/>
  <c r="AV716" i="3"/>
  <c r="AZ716" i="3"/>
  <c r="BB829" i="3"/>
  <c r="AZ829" i="3"/>
  <c r="AX829" i="3"/>
  <c r="AV829" i="3"/>
  <c r="AT829" i="3"/>
  <c r="AR829" i="3"/>
  <c r="AP829" i="3"/>
  <c r="AN829" i="3"/>
  <c r="AL829" i="3"/>
  <c r="AB829" i="3"/>
  <c r="Z829" i="3"/>
  <c r="X829" i="3"/>
  <c r="V829" i="3"/>
  <c r="T829" i="3"/>
  <c r="R829" i="3"/>
  <c r="P829" i="3"/>
  <c r="N829" i="3"/>
  <c r="L829" i="3"/>
  <c r="J829" i="3"/>
  <c r="H829" i="3"/>
  <c r="F829" i="3"/>
  <c r="D829" i="3"/>
  <c r="B829" i="3"/>
  <c r="E829" i="3"/>
  <c r="I829" i="3"/>
  <c r="M829" i="3"/>
  <c r="Q829" i="3"/>
  <c r="U829" i="3"/>
  <c r="Y829" i="3"/>
  <c r="AK829" i="3"/>
  <c r="AO829" i="3"/>
  <c r="AS829" i="3"/>
  <c r="AW829" i="3"/>
  <c r="BA829" i="3"/>
  <c r="BB831" i="3"/>
  <c r="AZ831" i="3"/>
  <c r="AX831" i="3"/>
  <c r="AV831" i="3"/>
  <c r="AT831" i="3"/>
  <c r="AR831" i="3"/>
  <c r="AP831" i="3"/>
  <c r="AN831" i="3"/>
  <c r="AL831" i="3"/>
  <c r="AB831" i="3"/>
  <c r="Z831" i="3"/>
  <c r="X831" i="3"/>
  <c r="V831" i="3"/>
  <c r="T831" i="3"/>
  <c r="R831" i="3"/>
  <c r="P831" i="3"/>
  <c r="N831" i="3"/>
  <c r="L831" i="3"/>
  <c r="J831" i="3"/>
  <c r="H831" i="3"/>
  <c r="F831" i="3"/>
  <c r="D831" i="3"/>
  <c r="B831" i="3"/>
  <c r="E831" i="3"/>
  <c r="I831" i="3"/>
  <c r="M831" i="3"/>
  <c r="Q831" i="3"/>
  <c r="U831" i="3"/>
  <c r="Y831" i="3"/>
  <c r="AK831" i="3"/>
  <c r="AO831" i="3"/>
  <c r="AS831" i="3"/>
  <c r="AW831" i="3"/>
  <c r="BA831" i="3"/>
  <c r="BB833" i="3"/>
  <c r="AZ833" i="3"/>
  <c r="AX833" i="3"/>
  <c r="AV833" i="3"/>
  <c r="AT833" i="3"/>
  <c r="AR833" i="3"/>
  <c r="AP833" i="3"/>
  <c r="AN833" i="3"/>
  <c r="AL833" i="3"/>
  <c r="AB833" i="3"/>
  <c r="Z833" i="3"/>
  <c r="X833" i="3"/>
  <c r="V833" i="3"/>
  <c r="T833" i="3"/>
  <c r="R833" i="3"/>
  <c r="P833" i="3"/>
  <c r="N833" i="3"/>
  <c r="L833" i="3"/>
  <c r="J833" i="3"/>
  <c r="H833" i="3"/>
  <c r="F833" i="3"/>
  <c r="D833" i="3"/>
  <c r="B833" i="3"/>
  <c r="E833" i="3"/>
  <c r="I833" i="3"/>
  <c r="M833" i="3"/>
  <c r="Q833" i="3"/>
  <c r="U833" i="3"/>
  <c r="Y833" i="3"/>
  <c r="AK833" i="3"/>
  <c r="AO833" i="3"/>
  <c r="AS833" i="3"/>
  <c r="AW833" i="3"/>
  <c r="BA833" i="3"/>
  <c r="BB835" i="3"/>
  <c r="AZ835" i="3"/>
  <c r="AX835" i="3"/>
  <c r="AV835" i="3"/>
  <c r="AT835" i="3"/>
  <c r="AR835" i="3"/>
  <c r="AP835" i="3"/>
  <c r="AN835" i="3"/>
  <c r="AL835" i="3"/>
  <c r="AB835" i="3"/>
  <c r="Z835" i="3"/>
  <c r="X835" i="3"/>
  <c r="V835" i="3"/>
  <c r="T835" i="3"/>
  <c r="R835" i="3"/>
  <c r="P835" i="3"/>
  <c r="N835" i="3"/>
  <c r="L835" i="3"/>
  <c r="J835" i="3"/>
  <c r="H835" i="3"/>
  <c r="F835" i="3"/>
  <c r="D835" i="3"/>
  <c r="B835" i="3"/>
  <c r="E835" i="3"/>
  <c r="I835" i="3"/>
  <c r="M835" i="3"/>
  <c r="Q835" i="3"/>
  <c r="U835" i="3"/>
  <c r="Y835" i="3"/>
  <c r="AK835" i="3"/>
  <c r="AO835" i="3"/>
  <c r="AS835" i="3"/>
  <c r="AW835" i="3"/>
  <c r="BA835" i="3"/>
  <c r="BB837" i="3"/>
  <c r="AZ837" i="3"/>
  <c r="AX837" i="3"/>
  <c r="AV837" i="3"/>
  <c r="AT837" i="3"/>
  <c r="AR837" i="3"/>
  <c r="AP837" i="3"/>
  <c r="AN837" i="3"/>
  <c r="AL837" i="3"/>
  <c r="AB837" i="3"/>
  <c r="Z837" i="3"/>
  <c r="X837" i="3"/>
  <c r="V837" i="3"/>
  <c r="T837" i="3"/>
  <c r="R837" i="3"/>
  <c r="P837" i="3"/>
  <c r="N837" i="3"/>
  <c r="L837" i="3"/>
  <c r="J837" i="3"/>
  <c r="H837" i="3"/>
  <c r="F837" i="3"/>
  <c r="D837" i="3"/>
  <c r="B837" i="3"/>
  <c r="E837" i="3"/>
  <c r="I837" i="3"/>
  <c r="M837" i="3"/>
  <c r="Q837" i="3"/>
  <c r="U837" i="3"/>
  <c r="Y837" i="3"/>
  <c r="AK837" i="3"/>
  <c r="AO837" i="3"/>
  <c r="AS837" i="3"/>
  <c r="AW837" i="3"/>
  <c r="BA837" i="3"/>
  <c r="BB839" i="3"/>
  <c r="AZ839" i="3"/>
  <c r="AX839" i="3"/>
  <c r="AV839" i="3"/>
  <c r="AT839" i="3"/>
  <c r="AR839" i="3"/>
  <c r="AP839" i="3"/>
  <c r="AN839" i="3"/>
  <c r="AL839" i="3"/>
  <c r="AB839" i="3"/>
  <c r="Z839" i="3"/>
  <c r="X839" i="3"/>
  <c r="V839" i="3"/>
  <c r="T839" i="3"/>
  <c r="R839" i="3"/>
  <c r="P839" i="3"/>
  <c r="N839" i="3"/>
  <c r="L839" i="3"/>
  <c r="J839" i="3"/>
  <c r="H839" i="3"/>
  <c r="F839" i="3"/>
  <c r="D839" i="3"/>
  <c r="B839" i="3"/>
  <c r="E839" i="3"/>
  <c r="I839" i="3"/>
  <c r="M839" i="3"/>
  <c r="Q839" i="3"/>
  <c r="U839" i="3"/>
  <c r="Y839" i="3"/>
  <c r="AK839" i="3"/>
  <c r="AO839" i="3"/>
  <c r="AS839" i="3"/>
  <c r="AW839" i="3"/>
  <c r="BA839" i="3"/>
  <c r="BB841" i="3"/>
  <c r="AZ841" i="3"/>
  <c r="AX841" i="3"/>
  <c r="AV841" i="3"/>
  <c r="AT841" i="3"/>
  <c r="AR841" i="3"/>
  <c r="AP841" i="3"/>
  <c r="AN841" i="3"/>
  <c r="AL841" i="3"/>
  <c r="AB841" i="3"/>
  <c r="Z841" i="3"/>
  <c r="X841" i="3"/>
  <c r="V841" i="3"/>
  <c r="T841" i="3"/>
  <c r="R841" i="3"/>
  <c r="P841" i="3"/>
  <c r="N841" i="3"/>
  <c r="L841" i="3"/>
  <c r="J841" i="3"/>
  <c r="H841" i="3"/>
  <c r="F841" i="3"/>
  <c r="D841" i="3"/>
  <c r="B841" i="3"/>
  <c r="E841" i="3"/>
  <c r="I841" i="3"/>
  <c r="M841" i="3"/>
  <c r="Q841" i="3"/>
  <c r="U841" i="3"/>
  <c r="Y841" i="3"/>
  <c r="AK841" i="3"/>
  <c r="AO841" i="3"/>
  <c r="AS841" i="3"/>
  <c r="AW841" i="3"/>
  <c r="BA841" i="3"/>
  <c r="BB843" i="3"/>
  <c r="AZ843" i="3"/>
  <c r="AX843" i="3"/>
  <c r="AV843" i="3"/>
  <c r="AT843" i="3"/>
  <c r="AR843" i="3"/>
  <c r="AP843" i="3"/>
  <c r="AN843" i="3"/>
  <c r="AL843" i="3"/>
  <c r="AB843" i="3"/>
  <c r="Z843" i="3"/>
  <c r="X843" i="3"/>
  <c r="V843" i="3"/>
  <c r="T843" i="3"/>
  <c r="R843" i="3"/>
  <c r="P843" i="3"/>
  <c r="N843" i="3"/>
  <c r="L843" i="3"/>
  <c r="J843" i="3"/>
  <c r="H843" i="3"/>
  <c r="F843" i="3"/>
  <c r="D843" i="3"/>
  <c r="B843" i="3"/>
  <c r="E843" i="3"/>
  <c r="I843" i="3"/>
  <c r="M843" i="3"/>
  <c r="Q843" i="3"/>
  <c r="U843" i="3"/>
  <c r="Y843" i="3"/>
  <c r="AK843" i="3"/>
  <c r="AO843" i="3"/>
  <c r="AS843" i="3"/>
  <c r="AW843" i="3"/>
  <c r="BA843" i="3"/>
  <c r="BB845" i="3"/>
  <c r="AZ845" i="3"/>
  <c r="AX845" i="3"/>
  <c r="AV845" i="3"/>
  <c r="AT845" i="3"/>
  <c r="AR845" i="3"/>
  <c r="AP845" i="3"/>
  <c r="AN845" i="3"/>
  <c r="AL845" i="3"/>
  <c r="AB845" i="3"/>
  <c r="Z845" i="3"/>
  <c r="X845" i="3"/>
  <c r="V845" i="3"/>
  <c r="T845" i="3"/>
  <c r="R845" i="3"/>
  <c r="P845" i="3"/>
  <c r="N845" i="3"/>
  <c r="L845" i="3"/>
  <c r="J845" i="3"/>
  <c r="H845" i="3"/>
  <c r="F845" i="3"/>
  <c r="D845" i="3"/>
  <c r="B845" i="3"/>
  <c r="E845" i="3"/>
  <c r="I845" i="3"/>
  <c r="M845" i="3"/>
  <c r="Q845" i="3"/>
  <c r="U845" i="3"/>
  <c r="Y845" i="3"/>
  <c r="AK845" i="3"/>
  <c r="AO845" i="3"/>
  <c r="AS845" i="3"/>
  <c r="AW845" i="3"/>
  <c r="BA845" i="3"/>
  <c r="BB847" i="3"/>
  <c r="AZ847" i="3"/>
  <c r="AX847" i="3"/>
  <c r="AV847" i="3"/>
  <c r="AT847" i="3"/>
  <c r="AR847" i="3"/>
  <c r="AP847" i="3"/>
  <c r="AN847" i="3"/>
  <c r="AL847" i="3"/>
  <c r="AB847" i="3"/>
  <c r="Z847" i="3"/>
  <c r="X847" i="3"/>
  <c r="V847" i="3"/>
  <c r="T847" i="3"/>
  <c r="R847" i="3"/>
  <c r="P847" i="3"/>
  <c r="N847" i="3"/>
  <c r="L847" i="3"/>
  <c r="J847" i="3"/>
  <c r="H847" i="3"/>
  <c r="F847" i="3"/>
  <c r="D847" i="3"/>
  <c r="B847" i="3"/>
  <c r="E847" i="3"/>
  <c r="I847" i="3"/>
  <c r="M847" i="3"/>
  <c r="Q847" i="3"/>
  <c r="U847" i="3"/>
  <c r="Y847" i="3"/>
  <c r="AK847" i="3"/>
  <c r="AO847" i="3"/>
  <c r="AS847" i="3"/>
  <c r="AW847" i="3"/>
  <c r="BA847" i="3"/>
  <c r="BB849" i="3"/>
  <c r="AZ849" i="3"/>
  <c r="AX849" i="3"/>
  <c r="AV849" i="3"/>
  <c r="AT849" i="3"/>
  <c r="AR849" i="3"/>
  <c r="AP849" i="3"/>
  <c r="AN849" i="3"/>
  <c r="AL849" i="3"/>
  <c r="AB849" i="3"/>
  <c r="Z849" i="3"/>
  <c r="X849" i="3"/>
  <c r="V849" i="3"/>
  <c r="T849" i="3"/>
  <c r="R849" i="3"/>
  <c r="P849" i="3"/>
  <c r="N849" i="3"/>
  <c r="L849" i="3"/>
  <c r="J849" i="3"/>
  <c r="H849" i="3"/>
  <c r="F849" i="3"/>
  <c r="D849" i="3"/>
  <c r="B849" i="3"/>
  <c r="E849" i="3"/>
  <c r="I849" i="3"/>
  <c r="M849" i="3"/>
  <c r="Q849" i="3"/>
  <c r="U849" i="3"/>
  <c r="Y849" i="3"/>
  <c r="AK849" i="3"/>
  <c r="AO849" i="3"/>
  <c r="AS849" i="3"/>
  <c r="AW849" i="3"/>
  <c r="BA849" i="3"/>
  <c r="BB851" i="3"/>
  <c r="AZ851" i="3"/>
  <c r="AX851" i="3"/>
  <c r="AV851" i="3"/>
  <c r="AT851" i="3"/>
  <c r="AR851" i="3"/>
  <c r="AP851" i="3"/>
  <c r="AN851" i="3"/>
  <c r="AL851" i="3"/>
  <c r="AB851" i="3"/>
  <c r="Z851" i="3"/>
  <c r="X851" i="3"/>
  <c r="V851" i="3"/>
  <c r="T851" i="3"/>
  <c r="R851" i="3"/>
  <c r="P851" i="3"/>
  <c r="N851" i="3"/>
  <c r="L851" i="3"/>
  <c r="J851" i="3"/>
  <c r="H851" i="3"/>
  <c r="F851" i="3"/>
  <c r="D851" i="3"/>
  <c r="B851" i="3"/>
  <c r="E851" i="3"/>
  <c r="I851" i="3"/>
  <c r="M851" i="3"/>
  <c r="Q851" i="3"/>
  <c r="U851" i="3"/>
  <c r="Y851" i="3"/>
  <c r="AK851" i="3"/>
  <c r="AO851" i="3"/>
  <c r="AS851" i="3"/>
  <c r="AW851" i="3"/>
  <c r="BA851" i="3"/>
  <c r="C717" i="3"/>
  <c r="E717" i="3"/>
  <c r="G717" i="3"/>
  <c r="I717" i="3"/>
  <c r="K717" i="3"/>
  <c r="M717" i="3"/>
  <c r="O717" i="3"/>
  <c r="Q717" i="3"/>
  <c r="S717" i="3"/>
  <c r="U717" i="3"/>
  <c r="W717" i="3"/>
  <c r="Y717" i="3"/>
  <c r="AA717" i="3"/>
  <c r="AK717" i="3"/>
  <c r="AM717" i="3"/>
  <c r="AO717" i="3"/>
  <c r="AQ717" i="3"/>
  <c r="AS717" i="3"/>
  <c r="AU717" i="3"/>
  <c r="AW717" i="3"/>
  <c r="AY717" i="3"/>
  <c r="C718" i="3"/>
  <c r="E718" i="3"/>
  <c r="G718" i="3"/>
  <c r="I718" i="3"/>
  <c r="K718" i="3"/>
  <c r="M718" i="3"/>
  <c r="O718" i="3"/>
  <c r="Q718" i="3"/>
  <c r="S718" i="3"/>
  <c r="U718" i="3"/>
  <c r="W718" i="3"/>
  <c r="Y718" i="3"/>
  <c r="AA718" i="3"/>
  <c r="AK718" i="3"/>
  <c r="AM718" i="3"/>
  <c r="AO718" i="3"/>
  <c r="AQ718" i="3"/>
  <c r="AS718" i="3"/>
  <c r="AU718" i="3"/>
  <c r="AW718" i="3"/>
  <c r="AY718" i="3"/>
  <c r="C719" i="3"/>
  <c r="E719" i="3"/>
  <c r="G719" i="3"/>
  <c r="I719" i="3"/>
  <c r="K719" i="3"/>
  <c r="M719" i="3"/>
  <c r="O719" i="3"/>
  <c r="Q719" i="3"/>
  <c r="S719" i="3"/>
  <c r="U719" i="3"/>
  <c r="W719" i="3"/>
  <c r="Y719" i="3"/>
  <c r="AA719" i="3"/>
  <c r="AK719" i="3"/>
  <c r="AM719" i="3"/>
  <c r="AO719" i="3"/>
  <c r="AQ719" i="3"/>
  <c r="AS719" i="3"/>
  <c r="AU719" i="3"/>
  <c r="AW719" i="3"/>
  <c r="AY719" i="3"/>
  <c r="C720" i="3"/>
  <c r="E720" i="3"/>
  <c r="G720" i="3"/>
  <c r="I720" i="3"/>
  <c r="K720" i="3"/>
  <c r="M720" i="3"/>
  <c r="O720" i="3"/>
  <c r="Q720" i="3"/>
  <c r="S720" i="3"/>
  <c r="U720" i="3"/>
  <c r="W720" i="3"/>
  <c r="Y720" i="3"/>
  <c r="AA720" i="3"/>
  <c r="AK720" i="3"/>
  <c r="AM720" i="3"/>
  <c r="AO720" i="3"/>
  <c r="AQ720" i="3"/>
  <c r="AS720" i="3"/>
  <c r="AU720" i="3"/>
  <c r="AW720" i="3"/>
  <c r="AY720" i="3"/>
  <c r="C721" i="3"/>
  <c r="E721" i="3"/>
  <c r="G721" i="3"/>
  <c r="I721" i="3"/>
  <c r="K721" i="3"/>
  <c r="M721" i="3"/>
  <c r="O721" i="3"/>
  <c r="Q721" i="3"/>
  <c r="S721" i="3"/>
  <c r="U721" i="3"/>
  <c r="W721" i="3"/>
  <c r="Y721" i="3"/>
  <c r="AA721" i="3"/>
  <c r="AK721" i="3"/>
  <c r="AM721" i="3"/>
  <c r="AO721" i="3"/>
  <c r="AQ721" i="3"/>
  <c r="AS721" i="3"/>
  <c r="AU721" i="3"/>
  <c r="AW721" i="3"/>
  <c r="AY721" i="3"/>
  <c r="C722" i="3"/>
  <c r="E722" i="3"/>
  <c r="G722" i="3"/>
  <c r="I722" i="3"/>
  <c r="K722" i="3"/>
  <c r="M722" i="3"/>
  <c r="O722" i="3"/>
  <c r="Q722" i="3"/>
  <c r="S722" i="3"/>
  <c r="U722" i="3"/>
  <c r="W722" i="3"/>
  <c r="Y722" i="3"/>
  <c r="AA722" i="3"/>
  <c r="AK722" i="3"/>
  <c r="AM722" i="3"/>
  <c r="AO722" i="3"/>
  <c r="AQ722" i="3"/>
  <c r="AS722" i="3"/>
  <c r="AU722" i="3"/>
  <c r="AW722" i="3"/>
  <c r="AY722" i="3"/>
  <c r="C723" i="3"/>
  <c r="E723" i="3"/>
  <c r="G723" i="3"/>
  <c r="I723" i="3"/>
  <c r="K723" i="3"/>
  <c r="M723" i="3"/>
  <c r="O723" i="3"/>
  <c r="Q723" i="3"/>
  <c r="S723" i="3"/>
  <c r="U723" i="3"/>
  <c r="W723" i="3"/>
  <c r="Y723" i="3"/>
  <c r="AA723" i="3"/>
  <c r="AK723" i="3"/>
  <c r="AM723" i="3"/>
  <c r="AO723" i="3"/>
  <c r="AQ723" i="3"/>
  <c r="AS723" i="3"/>
  <c r="AU723" i="3"/>
  <c r="AW723" i="3"/>
  <c r="AY723" i="3"/>
  <c r="C724" i="3"/>
  <c r="E724" i="3"/>
  <c r="G724" i="3"/>
  <c r="I724" i="3"/>
  <c r="K724" i="3"/>
  <c r="M724" i="3"/>
  <c r="O724" i="3"/>
  <c r="Q724" i="3"/>
  <c r="S724" i="3"/>
  <c r="U724" i="3"/>
  <c r="W724" i="3"/>
  <c r="Y724" i="3"/>
  <c r="AA724" i="3"/>
  <c r="AK724" i="3"/>
  <c r="AM724" i="3"/>
  <c r="AO724" i="3"/>
  <c r="AQ724" i="3"/>
  <c r="AS724" i="3"/>
  <c r="AU724" i="3"/>
  <c r="AW724" i="3"/>
  <c r="AY724" i="3"/>
  <c r="C725" i="3"/>
  <c r="E725" i="3"/>
  <c r="G725" i="3"/>
  <c r="I725" i="3"/>
  <c r="K725" i="3"/>
  <c r="M725" i="3"/>
  <c r="O725" i="3"/>
  <c r="Q725" i="3"/>
  <c r="S725" i="3"/>
  <c r="U725" i="3"/>
  <c r="W725" i="3"/>
  <c r="Y725" i="3"/>
  <c r="AA725" i="3"/>
  <c r="AK725" i="3"/>
  <c r="AM725" i="3"/>
  <c r="AO725" i="3"/>
  <c r="AQ725" i="3"/>
  <c r="AS725" i="3"/>
  <c r="AU725" i="3"/>
  <c r="AW725" i="3"/>
  <c r="AY725" i="3"/>
  <c r="C726" i="3"/>
  <c r="E726" i="3"/>
  <c r="G726" i="3"/>
  <c r="I726" i="3"/>
  <c r="K726" i="3"/>
  <c r="M726" i="3"/>
  <c r="O726" i="3"/>
  <c r="Q726" i="3"/>
  <c r="S726" i="3"/>
  <c r="U726" i="3"/>
  <c r="W726" i="3"/>
  <c r="Y726" i="3"/>
  <c r="AA726" i="3"/>
  <c r="AK726" i="3"/>
  <c r="AM726" i="3"/>
  <c r="AO726" i="3"/>
  <c r="AQ726" i="3"/>
  <c r="AS726" i="3"/>
  <c r="AU726" i="3"/>
  <c r="AW726" i="3"/>
  <c r="AY726" i="3"/>
  <c r="C727" i="3"/>
  <c r="E727" i="3"/>
  <c r="G727" i="3"/>
  <c r="I727" i="3"/>
  <c r="K727" i="3"/>
  <c r="M727" i="3"/>
  <c r="O727" i="3"/>
  <c r="Q727" i="3"/>
  <c r="S727" i="3"/>
  <c r="U727" i="3"/>
  <c r="W727" i="3"/>
  <c r="Y727" i="3"/>
  <c r="AA727" i="3"/>
  <c r="AK727" i="3"/>
  <c r="AM727" i="3"/>
  <c r="AO727" i="3"/>
  <c r="AQ727" i="3"/>
  <c r="AS727" i="3"/>
  <c r="AU727" i="3"/>
  <c r="AW727" i="3"/>
  <c r="AY727" i="3"/>
  <c r="C728" i="3"/>
  <c r="E728" i="3"/>
  <c r="G728" i="3"/>
  <c r="I728" i="3"/>
  <c r="K728" i="3"/>
  <c r="M728" i="3"/>
  <c r="O728" i="3"/>
  <c r="Q728" i="3"/>
  <c r="S728" i="3"/>
  <c r="U728" i="3"/>
  <c r="W728" i="3"/>
  <c r="Y728" i="3"/>
  <c r="AA728" i="3"/>
  <c r="AK728" i="3"/>
  <c r="AM728" i="3"/>
  <c r="AO728" i="3"/>
  <c r="AQ728" i="3"/>
  <c r="AS728" i="3"/>
  <c r="AU728" i="3"/>
  <c r="AW728" i="3"/>
  <c r="AY728" i="3"/>
  <c r="C729" i="3"/>
  <c r="E729" i="3"/>
  <c r="G729" i="3"/>
  <c r="I729" i="3"/>
  <c r="K729" i="3"/>
  <c r="M729" i="3"/>
  <c r="O729" i="3"/>
  <c r="Q729" i="3"/>
  <c r="S729" i="3"/>
  <c r="U729" i="3"/>
  <c r="W729" i="3"/>
  <c r="Y729" i="3"/>
  <c r="AA729" i="3"/>
  <c r="AK729" i="3"/>
  <c r="AM729" i="3"/>
  <c r="AO729" i="3"/>
  <c r="AQ729" i="3"/>
  <c r="AS729" i="3"/>
  <c r="AU729" i="3"/>
  <c r="AW729" i="3"/>
  <c r="AY729" i="3"/>
  <c r="C730" i="3"/>
  <c r="E730" i="3"/>
  <c r="G730" i="3"/>
  <c r="I730" i="3"/>
  <c r="K730" i="3"/>
  <c r="M730" i="3"/>
  <c r="O730" i="3"/>
  <c r="Q730" i="3"/>
  <c r="S730" i="3"/>
  <c r="U730" i="3"/>
  <c r="W730" i="3"/>
  <c r="Y730" i="3"/>
  <c r="AA730" i="3"/>
  <c r="AK730" i="3"/>
  <c r="AM730" i="3"/>
  <c r="AO730" i="3"/>
  <c r="AQ730" i="3"/>
  <c r="AS730" i="3"/>
  <c r="AU730" i="3"/>
  <c r="AW730" i="3"/>
  <c r="AY730" i="3"/>
  <c r="C731" i="3"/>
  <c r="E731" i="3"/>
  <c r="G731" i="3"/>
  <c r="I731" i="3"/>
  <c r="K731" i="3"/>
  <c r="M731" i="3"/>
  <c r="O731" i="3"/>
  <c r="Q731" i="3"/>
  <c r="S731" i="3"/>
  <c r="U731" i="3"/>
  <c r="W731" i="3"/>
  <c r="Y731" i="3"/>
  <c r="AA731" i="3"/>
  <c r="AK731" i="3"/>
  <c r="AM731" i="3"/>
  <c r="AO731" i="3"/>
  <c r="AQ731" i="3"/>
  <c r="AS731" i="3"/>
  <c r="AU731" i="3"/>
  <c r="AW731" i="3"/>
  <c r="AY731" i="3"/>
  <c r="C732" i="3"/>
  <c r="E732" i="3"/>
  <c r="G732" i="3"/>
  <c r="I732" i="3"/>
  <c r="K732" i="3"/>
  <c r="M732" i="3"/>
  <c r="O732" i="3"/>
  <c r="Q732" i="3"/>
  <c r="S732" i="3"/>
  <c r="U732" i="3"/>
  <c r="W732" i="3"/>
  <c r="Y732" i="3"/>
  <c r="AA732" i="3"/>
  <c r="AK732" i="3"/>
  <c r="AM732" i="3"/>
  <c r="AO732" i="3"/>
  <c r="AQ732" i="3"/>
  <c r="AS732" i="3"/>
  <c r="AU732" i="3"/>
  <c r="AW732" i="3"/>
  <c r="AY732" i="3"/>
  <c r="C733" i="3"/>
  <c r="E733" i="3"/>
  <c r="G733" i="3"/>
  <c r="I733" i="3"/>
  <c r="K733" i="3"/>
  <c r="M733" i="3"/>
  <c r="O733" i="3"/>
  <c r="Q733" i="3"/>
  <c r="S733" i="3"/>
  <c r="U733" i="3"/>
  <c r="W733" i="3"/>
  <c r="Y733" i="3"/>
  <c r="AA733" i="3"/>
  <c r="AK733" i="3"/>
  <c r="AM733" i="3"/>
  <c r="AO733" i="3"/>
  <c r="AQ733" i="3"/>
  <c r="AS733" i="3"/>
  <c r="AU733" i="3"/>
  <c r="AW733" i="3"/>
  <c r="AY733" i="3"/>
  <c r="C734" i="3"/>
  <c r="E734" i="3"/>
  <c r="G734" i="3"/>
  <c r="I734" i="3"/>
  <c r="K734" i="3"/>
  <c r="M734" i="3"/>
  <c r="O734" i="3"/>
  <c r="Q734" i="3"/>
  <c r="S734" i="3"/>
  <c r="U734" i="3"/>
  <c r="W734" i="3"/>
  <c r="Y734" i="3"/>
  <c r="AA734" i="3"/>
  <c r="AK734" i="3"/>
  <c r="AM734" i="3"/>
  <c r="AO734" i="3"/>
  <c r="AQ734" i="3"/>
  <c r="AS734" i="3"/>
  <c r="AU734" i="3"/>
  <c r="AW734" i="3"/>
  <c r="AY734" i="3"/>
  <c r="C735" i="3"/>
  <c r="E735" i="3"/>
  <c r="G735" i="3"/>
  <c r="I735" i="3"/>
  <c r="K735" i="3"/>
  <c r="M735" i="3"/>
  <c r="O735" i="3"/>
  <c r="Q735" i="3"/>
  <c r="S735" i="3"/>
  <c r="U735" i="3"/>
  <c r="W735" i="3"/>
  <c r="Y735" i="3"/>
  <c r="AA735" i="3"/>
  <c r="AK735" i="3"/>
  <c r="AM735" i="3"/>
  <c r="AO735" i="3"/>
  <c r="AQ735" i="3"/>
  <c r="AS735" i="3"/>
  <c r="AU735" i="3"/>
  <c r="AW735" i="3"/>
  <c r="AY735" i="3"/>
  <c r="C736" i="3"/>
  <c r="E736" i="3"/>
  <c r="G736" i="3"/>
  <c r="I736" i="3"/>
  <c r="K736" i="3"/>
  <c r="M736" i="3"/>
  <c r="O736" i="3"/>
  <c r="Q736" i="3"/>
  <c r="S736" i="3"/>
  <c r="U736" i="3"/>
  <c r="W736" i="3"/>
  <c r="Y736" i="3"/>
  <c r="AA736" i="3"/>
  <c r="AK736" i="3"/>
  <c r="AM736" i="3"/>
  <c r="AO736" i="3"/>
  <c r="AQ736" i="3"/>
  <c r="AS736" i="3"/>
  <c r="AU736" i="3"/>
  <c r="AW736" i="3"/>
  <c r="AY736" i="3"/>
  <c r="C737" i="3"/>
  <c r="E737" i="3"/>
  <c r="G737" i="3"/>
  <c r="I737" i="3"/>
  <c r="K737" i="3"/>
  <c r="M737" i="3"/>
  <c r="O737" i="3"/>
  <c r="Q737" i="3"/>
  <c r="S737" i="3"/>
  <c r="U737" i="3"/>
  <c r="W737" i="3"/>
  <c r="Y737" i="3"/>
  <c r="AA737" i="3"/>
  <c r="AK737" i="3"/>
  <c r="AM737" i="3"/>
  <c r="AO737" i="3"/>
  <c r="AQ737" i="3"/>
  <c r="AS737" i="3"/>
  <c r="AU737" i="3"/>
  <c r="AW737" i="3"/>
  <c r="AY737" i="3"/>
  <c r="C738" i="3"/>
  <c r="E738" i="3"/>
  <c r="G738" i="3"/>
  <c r="I738" i="3"/>
  <c r="K738" i="3"/>
  <c r="M738" i="3"/>
  <c r="O738" i="3"/>
  <c r="Q738" i="3"/>
  <c r="S738" i="3"/>
  <c r="U738" i="3"/>
  <c r="W738" i="3"/>
  <c r="Y738" i="3"/>
  <c r="AA738" i="3"/>
  <c r="AK738" i="3"/>
  <c r="AM738" i="3"/>
  <c r="AO738" i="3"/>
  <c r="AQ738" i="3"/>
  <c r="AS738" i="3"/>
  <c r="AU738" i="3"/>
  <c r="AW738" i="3"/>
  <c r="AY738" i="3"/>
  <c r="C739" i="3"/>
  <c r="E739" i="3"/>
  <c r="G739" i="3"/>
  <c r="I739" i="3"/>
  <c r="K739" i="3"/>
  <c r="M739" i="3"/>
  <c r="O739" i="3"/>
  <c r="Q739" i="3"/>
  <c r="S739" i="3"/>
  <c r="U739" i="3"/>
  <c r="W739" i="3"/>
  <c r="Y739" i="3"/>
  <c r="AA739" i="3"/>
  <c r="AK739" i="3"/>
  <c r="AM739" i="3"/>
  <c r="AO739" i="3"/>
  <c r="AQ739" i="3"/>
  <c r="AS739" i="3"/>
  <c r="AU739" i="3"/>
  <c r="AW739" i="3"/>
  <c r="AY739" i="3"/>
  <c r="C740" i="3"/>
  <c r="E740" i="3"/>
  <c r="G740" i="3"/>
  <c r="I740" i="3"/>
  <c r="K740" i="3"/>
  <c r="M740" i="3"/>
  <c r="O740" i="3"/>
  <c r="Q740" i="3"/>
  <c r="S740" i="3"/>
  <c r="U740" i="3"/>
  <c r="W740" i="3"/>
  <c r="Y740" i="3"/>
  <c r="AA740" i="3"/>
  <c r="AK740" i="3"/>
  <c r="AM740" i="3"/>
  <c r="AO740" i="3"/>
  <c r="AQ740" i="3"/>
  <c r="AS740" i="3"/>
  <c r="AU740" i="3"/>
  <c r="AW740" i="3"/>
  <c r="AY740" i="3"/>
  <c r="C741" i="3"/>
  <c r="E741" i="3"/>
  <c r="G741" i="3"/>
  <c r="I741" i="3"/>
  <c r="K741" i="3"/>
  <c r="M741" i="3"/>
  <c r="O741" i="3"/>
  <c r="Q741" i="3"/>
  <c r="S741" i="3"/>
  <c r="U741" i="3"/>
  <c r="W741" i="3"/>
  <c r="Y741" i="3"/>
  <c r="AA741" i="3"/>
  <c r="AK741" i="3"/>
  <c r="AM741" i="3"/>
  <c r="AO741" i="3"/>
  <c r="AQ741" i="3"/>
  <c r="AS741" i="3"/>
  <c r="AU741" i="3"/>
  <c r="AW741" i="3"/>
  <c r="AY741" i="3"/>
  <c r="C742" i="3"/>
  <c r="E742" i="3"/>
  <c r="G742" i="3"/>
  <c r="I742" i="3"/>
  <c r="K742" i="3"/>
  <c r="M742" i="3"/>
  <c r="O742" i="3"/>
  <c r="Q742" i="3"/>
  <c r="S742" i="3"/>
  <c r="U742" i="3"/>
  <c r="W742" i="3"/>
  <c r="Y742" i="3"/>
  <c r="AA742" i="3"/>
  <c r="AK742" i="3"/>
  <c r="AM742" i="3"/>
  <c r="AO742" i="3"/>
  <c r="AQ742" i="3"/>
  <c r="AS742" i="3"/>
  <c r="AU742" i="3"/>
  <c r="AW742" i="3"/>
  <c r="AY742" i="3"/>
  <c r="C743" i="3"/>
  <c r="E743" i="3"/>
  <c r="G743" i="3"/>
  <c r="I743" i="3"/>
  <c r="K743" i="3"/>
  <c r="M743" i="3"/>
  <c r="O743" i="3"/>
  <c r="Q743" i="3"/>
  <c r="S743" i="3"/>
  <c r="U743" i="3"/>
  <c r="W743" i="3"/>
  <c r="Y743" i="3"/>
  <c r="AA743" i="3"/>
  <c r="AK743" i="3"/>
  <c r="AM743" i="3"/>
  <c r="AO743" i="3"/>
  <c r="AQ743" i="3"/>
  <c r="AS743" i="3"/>
  <c r="AU743" i="3"/>
  <c r="AW743" i="3"/>
  <c r="AY743" i="3"/>
  <c r="C744" i="3"/>
  <c r="E744" i="3"/>
  <c r="G744" i="3"/>
  <c r="I744" i="3"/>
  <c r="K744" i="3"/>
  <c r="M744" i="3"/>
  <c r="O744" i="3"/>
  <c r="Q744" i="3"/>
  <c r="S744" i="3"/>
  <c r="U744" i="3"/>
  <c r="W744" i="3"/>
  <c r="Y744" i="3"/>
  <c r="AA744" i="3"/>
  <c r="AK744" i="3"/>
  <c r="AM744" i="3"/>
  <c r="AO744" i="3"/>
  <c r="AQ744" i="3"/>
  <c r="AS744" i="3"/>
  <c r="AU744" i="3"/>
  <c r="AW744" i="3"/>
  <c r="AY744" i="3"/>
  <c r="C745" i="3"/>
  <c r="E745" i="3"/>
  <c r="G745" i="3"/>
  <c r="I745" i="3"/>
  <c r="K745" i="3"/>
  <c r="M745" i="3"/>
  <c r="O745" i="3"/>
  <c r="Q745" i="3"/>
  <c r="S745" i="3"/>
  <c r="U745" i="3"/>
  <c r="W745" i="3"/>
  <c r="Y745" i="3"/>
  <c r="AA745" i="3"/>
  <c r="AK745" i="3"/>
  <c r="AM745" i="3"/>
  <c r="AO745" i="3"/>
  <c r="AQ745" i="3"/>
  <c r="AS745" i="3"/>
  <c r="AU745" i="3"/>
  <c r="AW745" i="3"/>
  <c r="AY745" i="3"/>
  <c r="C746" i="3"/>
  <c r="E746" i="3"/>
  <c r="G746" i="3"/>
  <c r="I746" i="3"/>
  <c r="K746" i="3"/>
  <c r="M746" i="3"/>
  <c r="O746" i="3"/>
  <c r="Q746" i="3"/>
  <c r="S746" i="3"/>
  <c r="U746" i="3"/>
  <c r="W746" i="3"/>
  <c r="Y746" i="3"/>
  <c r="AA746" i="3"/>
  <c r="AK746" i="3"/>
  <c r="AM746" i="3"/>
  <c r="AO746" i="3"/>
  <c r="AQ746" i="3"/>
  <c r="AS746" i="3"/>
  <c r="AU746" i="3"/>
  <c r="AW746" i="3"/>
  <c r="AY746" i="3"/>
  <c r="C747" i="3"/>
  <c r="E747" i="3"/>
  <c r="G747" i="3"/>
  <c r="I747" i="3"/>
  <c r="K747" i="3"/>
  <c r="M747" i="3"/>
  <c r="O747" i="3"/>
  <c r="Q747" i="3"/>
  <c r="S747" i="3"/>
  <c r="U747" i="3"/>
  <c r="W747" i="3"/>
  <c r="Y747" i="3"/>
  <c r="AA747" i="3"/>
  <c r="AK747" i="3"/>
  <c r="AM747" i="3"/>
  <c r="AO747" i="3"/>
  <c r="AQ747" i="3"/>
  <c r="AS747" i="3"/>
  <c r="AU747" i="3"/>
  <c r="AW747" i="3"/>
  <c r="AY747" i="3"/>
  <c r="C748" i="3"/>
  <c r="E748" i="3"/>
  <c r="G748" i="3"/>
  <c r="I748" i="3"/>
  <c r="K748" i="3"/>
  <c r="M748" i="3"/>
  <c r="O748" i="3"/>
  <c r="Q748" i="3"/>
  <c r="S748" i="3"/>
  <c r="U748" i="3"/>
  <c r="W748" i="3"/>
  <c r="Y748" i="3"/>
  <c r="AA748" i="3"/>
  <c r="AK748" i="3"/>
  <c r="AM748" i="3"/>
  <c r="AO748" i="3"/>
  <c r="AQ748" i="3"/>
  <c r="AS748" i="3"/>
  <c r="AU748" i="3"/>
  <c r="AW748" i="3"/>
  <c r="AY748" i="3"/>
  <c r="C749" i="3"/>
  <c r="E749" i="3"/>
  <c r="G749" i="3"/>
  <c r="I749" i="3"/>
  <c r="K749" i="3"/>
  <c r="M749" i="3"/>
  <c r="O749" i="3"/>
  <c r="Q749" i="3"/>
  <c r="S749" i="3"/>
  <c r="U749" i="3"/>
  <c r="W749" i="3"/>
  <c r="Y749" i="3"/>
  <c r="AA749" i="3"/>
  <c r="AK749" i="3"/>
  <c r="AM749" i="3"/>
  <c r="AO749" i="3"/>
  <c r="AQ749" i="3"/>
  <c r="AS749" i="3"/>
  <c r="AU749" i="3"/>
  <c r="AW749" i="3"/>
  <c r="AY749" i="3"/>
  <c r="C750" i="3"/>
  <c r="E750" i="3"/>
  <c r="G750" i="3"/>
  <c r="I750" i="3"/>
  <c r="K750" i="3"/>
  <c r="M750" i="3"/>
  <c r="O750" i="3"/>
  <c r="Q750" i="3"/>
  <c r="S750" i="3"/>
  <c r="U750" i="3"/>
  <c r="W750" i="3"/>
  <c r="Y750" i="3"/>
  <c r="AA750" i="3"/>
  <c r="AK750" i="3"/>
  <c r="AM750" i="3"/>
  <c r="AO750" i="3"/>
  <c r="AQ750" i="3"/>
  <c r="AS750" i="3"/>
  <c r="AU750" i="3"/>
  <c r="AW750" i="3"/>
  <c r="AY750" i="3"/>
  <c r="C751" i="3"/>
  <c r="E751" i="3"/>
  <c r="G751" i="3"/>
  <c r="I751" i="3"/>
  <c r="K751" i="3"/>
  <c r="M751" i="3"/>
  <c r="O751" i="3"/>
  <c r="Q751" i="3"/>
  <c r="S751" i="3"/>
  <c r="U751" i="3"/>
  <c r="W751" i="3"/>
  <c r="Y751" i="3"/>
  <c r="AA751" i="3"/>
  <c r="AK751" i="3"/>
  <c r="AM751" i="3"/>
  <c r="AO751" i="3"/>
  <c r="AQ751" i="3"/>
  <c r="AS751" i="3"/>
  <c r="AU751" i="3"/>
  <c r="AW751" i="3"/>
  <c r="AY751" i="3"/>
  <c r="C752" i="3"/>
  <c r="E752" i="3"/>
  <c r="G752" i="3"/>
  <c r="I752" i="3"/>
  <c r="K752" i="3"/>
  <c r="M752" i="3"/>
  <c r="O752" i="3"/>
  <c r="Q752" i="3"/>
  <c r="S752" i="3"/>
  <c r="U752" i="3"/>
  <c r="W752" i="3"/>
  <c r="Y752" i="3"/>
  <c r="AA752" i="3"/>
  <c r="AK752" i="3"/>
  <c r="AM752" i="3"/>
  <c r="AO752" i="3"/>
  <c r="AQ752" i="3"/>
  <c r="AS752" i="3"/>
  <c r="AU752" i="3"/>
  <c r="AW752" i="3"/>
  <c r="AY752" i="3"/>
  <c r="C753" i="3"/>
  <c r="E753" i="3"/>
  <c r="G753" i="3"/>
  <c r="I753" i="3"/>
  <c r="K753" i="3"/>
  <c r="M753" i="3"/>
  <c r="O753" i="3"/>
  <c r="Q753" i="3"/>
  <c r="S753" i="3"/>
  <c r="U753" i="3"/>
  <c r="W753" i="3"/>
  <c r="Y753" i="3"/>
  <c r="AA753" i="3"/>
  <c r="AK753" i="3"/>
  <c r="AM753" i="3"/>
  <c r="AO753" i="3"/>
  <c r="AQ753" i="3"/>
  <c r="AS753" i="3"/>
  <c r="AU753" i="3"/>
  <c r="AW753" i="3"/>
  <c r="AY753" i="3"/>
  <c r="C754" i="3"/>
  <c r="E754" i="3"/>
  <c r="G754" i="3"/>
  <c r="I754" i="3"/>
  <c r="K754" i="3"/>
  <c r="M754" i="3"/>
  <c r="O754" i="3"/>
  <c r="Q754" i="3"/>
  <c r="S754" i="3"/>
  <c r="U754" i="3"/>
  <c r="W754" i="3"/>
  <c r="Y754" i="3"/>
  <c r="AA754" i="3"/>
  <c r="AK754" i="3"/>
  <c r="AM754" i="3"/>
  <c r="AO754" i="3"/>
  <c r="AQ754" i="3"/>
  <c r="AS754" i="3"/>
  <c r="AU754" i="3"/>
  <c r="AW754" i="3"/>
  <c r="AY754" i="3"/>
  <c r="C755" i="3"/>
  <c r="E755" i="3"/>
  <c r="G755" i="3"/>
  <c r="I755" i="3"/>
  <c r="K755" i="3"/>
  <c r="M755" i="3"/>
  <c r="O755" i="3"/>
  <c r="Q755" i="3"/>
  <c r="S755" i="3"/>
  <c r="U755" i="3"/>
  <c r="W755" i="3"/>
  <c r="Y755" i="3"/>
  <c r="AA755" i="3"/>
  <c r="AK755" i="3"/>
  <c r="AM755" i="3"/>
  <c r="AO755" i="3"/>
  <c r="AQ755" i="3"/>
  <c r="AS755" i="3"/>
  <c r="AU755" i="3"/>
  <c r="AW755" i="3"/>
  <c r="AY755" i="3"/>
  <c r="C756" i="3"/>
  <c r="E756" i="3"/>
  <c r="G756" i="3"/>
  <c r="I756" i="3"/>
  <c r="K756" i="3"/>
  <c r="M756" i="3"/>
  <c r="O756" i="3"/>
  <c r="Q756" i="3"/>
  <c r="S756" i="3"/>
  <c r="U756" i="3"/>
  <c r="W756" i="3"/>
  <c r="Y756" i="3"/>
  <c r="AA756" i="3"/>
  <c r="AK756" i="3"/>
  <c r="AM756" i="3"/>
  <c r="AO756" i="3"/>
  <c r="AQ756" i="3"/>
  <c r="AS756" i="3"/>
  <c r="AU756" i="3"/>
  <c r="AW756" i="3"/>
  <c r="AY756" i="3"/>
  <c r="C757" i="3"/>
  <c r="E757" i="3"/>
  <c r="G757" i="3"/>
  <c r="I757" i="3"/>
  <c r="K757" i="3"/>
  <c r="M757" i="3"/>
  <c r="O757" i="3"/>
  <c r="Q757" i="3"/>
  <c r="S757" i="3"/>
  <c r="U757" i="3"/>
  <c r="W757" i="3"/>
  <c r="Y757" i="3"/>
  <c r="AA757" i="3"/>
  <c r="AK757" i="3"/>
  <c r="AM757" i="3"/>
  <c r="AO757" i="3"/>
  <c r="AQ757" i="3"/>
  <c r="AS757" i="3"/>
  <c r="AU757" i="3"/>
  <c r="AW757" i="3"/>
  <c r="AY757" i="3"/>
  <c r="C758" i="3"/>
  <c r="E758" i="3"/>
  <c r="G758" i="3"/>
  <c r="I758" i="3"/>
  <c r="K758" i="3"/>
  <c r="M758" i="3"/>
  <c r="O758" i="3"/>
  <c r="Q758" i="3"/>
  <c r="S758" i="3"/>
  <c r="U758" i="3"/>
  <c r="W758" i="3"/>
  <c r="Y758" i="3"/>
  <c r="AA758" i="3"/>
  <c r="AK758" i="3"/>
  <c r="AM758" i="3"/>
  <c r="AO758" i="3"/>
  <c r="AQ758" i="3"/>
  <c r="AS758" i="3"/>
  <c r="AU758" i="3"/>
  <c r="AW758" i="3"/>
  <c r="AY758" i="3"/>
  <c r="C759" i="3"/>
  <c r="E759" i="3"/>
  <c r="G759" i="3"/>
  <c r="I759" i="3"/>
  <c r="K759" i="3"/>
  <c r="M759" i="3"/>
  <c r="O759" i="3"/>
  <c r="Q759" i="3"/>
  <c r="S759" i="3"/>
  <c r="U759" i="3"/>
  <c r="W759" i="3"/>
  <c r="Y759" i="3"/>
  <c r="AA759" i="3"/>
  <c r="AK759" i="3"/>
  <c r="AM759" i="3"/>
  <c r="AO759" i="3"/>
  <c r="AQ759" i="3"/>
  <c r="AS759" i="3"/>
  <c r="AU759" i="3"/>
  <c r="AW759" i="3"/>
  <c r="AY759" i="3"/>
  <c r="C760" i="3"/>
  <c r="E760" i="3"/>
  <c r="G760" i="3"/>
  <c r="I760" i="3"/>
  <c r="K760" i="3"/>
  <c r="M760" i="3"/>
  <c r="O760" i="3"/>
  <c r="Q760" i="3"/>
  <c r="S760" i="3"/>
  <c r="U760" i="3"/>
  <c r="W760" i="3"/>
  <c r="Y760" i="3"/>
  <c r="AA760" i="3"/>
  <c r="AK760" i="3"/>
  <c r="AM760" i="3"/>
  <c r="AO760" i="3"/>
  <c r="AQ760" i="3"/>
  <c r="AS760" i="3"/>
  <c r="AU760" i="3"/>
  <c r="AW760" i="3"/>
  <c r="AY760" i="3"/>
  <c r="C761" i="3"/>
  <c r="E761" i="3"/>
  <c r="G761" i="3"/>
  <c r="I761" i="3"/>
  <c r="K761" i="3"/>
  <c r="M761" i="3"/>
  <c r="O761" i="3"/>
  <c r="Q761" i="3"/>
  <c r="S761" i="3"/>
  <c r="U761" i="3"/>
  <c r="W761" i="3"/>
  <c r="Y761" i="3"/>
  <c r="AA761" i="3"/>
  <c r="AK761" i="3"/>
  <c r="AM761" i="3"/>
  <c r="AO761" i="3"/>
  <c r="AQ761" i="3"/>
  <c r="AS761" i="3"/>
  <c r="AU761" i="3"/>
  <c r="AW761" i="3"/>
  <c r="AY761" i="3"/>
  <c r="C762" i="3"/>
  <c r="E762" i="3"/>
  <c r="G762" i="3"/>
  <c r="I762" i="3"/>
  <c r="K762" i="3"/>
  <c r="M762" i="3"/>
  <c r="O762" i="3"/>
  <c r="Q762" i="3"/>
  <c r="S762" i="3"/>
  <c r="U762" i="3"/>
  <c r="W762" i="3"/>
  <c r="Y762" i="3"/>
  <c r="AA762" i="3"/>
  <c r="AK762" i="3"/>
  <c r="AM762" i="3"/>
  <c r="AO762" i="3"/>
  <c r="AQ762" i="3"/>
  <c r="AS762" i="3"/>
  <c r="AU762" i="3"/>
  <c r="AW762" i="3"/>
  <c r="AY762" i="3"/>
  <c r="C763" i="3"/>
  <c r="E763" i="3"/>
  <c r="G763" i="3"/>
  <c r="I763" i="3"/>
  <c r="K763" i="3"/>
  <c r="M763" i="3"/>
  <c r="O763" i="3"/>
  <c r="Q763" i="3"/>
  <c r="S763" i="3"/>
  <c r="U763" i="3"/>
  <c r="W763" i="3"/>
  <c r="Y763" i="3"/>
  <c r="AA763" i="3"/>
  <c r="AK763" i="3"/>
  <c r="AM763" i="3"/>
  <c r="AO763" i="3"/>
  <c r="AQ763" i="3"/>
  <c r="AS763" i="3"/>
  <c r="AU763" i="3"/>
  <c r="AW763" i="3"/>
  <c r="AY763" i="3"/>
  <c r="C764" i="3"/>
  <c r="E764" i="3"/>
  <c r="G764" i="3"/>
  <c r="I764" i="3"/>
  <c r="K764" i="3"/>
  <c r="M764" i="3"/>
  <c r="O764" i="3"/>
  <c r="Q764" i="3"/>
  <c r="S764" i="3"/>
  <c r="U764" i="3"/>
  <c r="W764" i="3"/>
  <c r="Y764" i="3"/>
  <c r="AA764" i="3"/>
  <c r="AK764" i="3"/>
  <c r="AM764" i="3"/>
  <c r="AO764" i="3"/>
  <c r="AQ764" i="3"/>
  <c r="AS764" i="3"/>
  <c r="AU764" i="3"/>
  <c r="AW764" i="3"/>
  <c r="AY764" i="3"/>
  <c r="C765" i="3"/>
  <c r="E765" i="3"/>
  <c r="G765" i="3"/>
  <c r="I765" i="3"/>
  <c r="K765" i="3"/>
  <c r="M765" i="3"/>
  <c r="O765" i="3"/>
  <c r="Q765" i="3"/>
  <c r="S765" i="3"/>
  <c r="U765" i="3"/>
  <c r="W765" i="3"/>
  <c r="Y765" i="3"/>
  <c r="AA765" i="3"/>
  <c r="AK765" i="3"/>
  <c r="AM765" i="3"/>
  <c r="AO765" i="3"/>
  <c r="AQ765" i="3"/>
  <c r="AS765" i="3"/>
  <c r="AU765" i="3"/>
  <c r="AW765" i="3"/>
  <c r="AY765" i="3"/>
  <c r="C766" i="3"/>
  <c r="E766" i="3"/>
  <c r="G766" i="3"/>
  <c r="I766" i="3"/>
  <c r="K766" i="3"/>
  <c r="M766" i="3"/>
  <c r="O766" i="3"/>
  <c r="Q766" i="3"/>
  <c r="S766" i="3"/>
  <c r="U766" i="3"/>
  <c r="W766" i="3"/>
  <c r="Y766" i="3"/>
  <c r="AA766" i="3"/>
  <c r="AK766" i="3"/>
  <c r="AM766" i="3"/>
  <c r="AO766" i="3"/>
  <c r="AQ766" i="3"/>
  <c r="AS766" i="3"/>
  <c r="AU766" i="3"/>
  <c r="AW766" i="3"/>
  <c r="AY766" i="3"/>
  <c r="C767" i="3"/>
  <c r="E767" i="3"/>
  <c r="G767" i="3"/>
  <c r="I767" i="3"/>
  <c r="K767" i="3"/>
  <c r="M767" i="3"/>
  <c r="O767" i="3"/>
  <c r="Q767" i="3"/>
  <c r="S767" i="3"/>
  <c r="U767" i="3"/>
  <c r="W767" i="3"/>
  <c r="Y767" i="3"/>
  <c r="AA767" i="3"/>
  <c r="AK767" i="3"/>
  <c r="AM767" i="3"/>
  <c r="AO767" i="3"/>
  <c r="AQ767" i="3"/>
  <c r="AS767" i="3"/>
  <c r="AU767" i="3"/>
  <c r="AW767" i="3"/>
  <c r="AY767" i="3"/>
  <c r="C768" i="3"/>
  <c r="E768" i="3"/>
  <c r="G768" i="3"/>
  <c r="I768" i="3"/>
  <c r="K768" i="3"/>
  <c r="M768" i="3"/>
  <c r="O768" i="3"/>
  <c r="Q768" i="3"/>
  <c r="S768" i="3"/>
  <c r="U768" i="3"/>
  <c r="W768" i="3"/>
  <c r="Y768" i="3"/>
  <c r="AA768" i="3"/>
  <c r="AK768" i="3"/>
  <c r="AM768" i="3"/>
  <c r="AO768" i="3"/>
  <c r="AQ768" i="3"/>
  <c r="AS768" i="3"/>
  <c r="AU768" i="3"/>
  <c r="AW768" i="3"/>
  <c r="AY768" i="3"/>
  <c r="C769" i="3"/>
  <c r="E769" i="3"/>
  <c r="G769" i="3"/>
  <c r="I769" i="3"/>
  <c r="K769" i="3"/>
  <c r="M769" i="3"/>
  <c r="O769" i="3"/>
  <c r="Q769" i="3"/>
  <c r="S769" i="3"/>
  <c r="U769" i="3"/>
  <c r="W769" i="3"/>
  <c r="Y769" i="3"/>
  <c r="AA769" i="3"/>
  <c r="AK769" i="3"/>
  <c r="AM769" i="3"/>
  <c r="AO769" i="3"/>
  <c r="AQ769" i="3"/>
  <c r="AS769" i="3"/>
  <c r="AU769" i="3"/>
  <c r="AW769" i="3"/>
  <c r="AY769" i="3"/>
  <c r="C770" i="3"/>
  <c r="E770" i="3"/>
  <c r="G770" i="3"/>
  <c r="I770" i="3"/>
  <c r="K770" i="3"/>
  <c r="M770" i="3"/>
  <c r="O770" i="3"/>
  <c r="Q770" i="3"/>
  <c r="S770" i="3"/>
  <c r="U770" i="3"/>
  <c r="W770" i="3"/>
  <c r="Y770" i="3"/>
  <c r="AA770" i="3"/>
  <c r="AK770" i="3"/>
  <c r="AM770" i="3"/>
  <c r="AO770" i="3"/>
  <c r="AQ770" i="3"/>
  <c r="AS770" i="3"/>
  <c r="AU770" i="3"/>
  <c r="AW770" i="3"/>
  <c r="AY770" i="3"/>
  <c r="C771" i="3"/>
  <c r="E771" i="3"/>
  <c r="G771" i="3"/>
  <c r="I771" i="3"/>
  <c r="K771" i="3"/>
  <c r="M771" i="3"/>
  <c r="O771" i="3"/>
  <c r="Q771" i="3"/>
  <c r="S771" i="3"/>
  <c r="U771" i="3"/>
  <c r="W771" i="3"/>
  <c r="Y771" i="3"/>
  <c r="AA771" i="3"/>
  <c r="AK771" i="3"/>
  <c r="AM771" i="3"/>
  <c r="AO771" i="3"/>
  <c r="AQ771" i="3"/>
  <c r="AS771" i="3"/>
  <c r="AU771" i="3"/>
  <c r="AW771" i="3"/>
  <c r="AY771" i="3"/>
  <c r="C772" i="3"/>
  <c r="E772" i="3"/>
  <c r="G772" i="3"/>
  <c r="I772" i="3"/>
  <c r="K772" i="3"/>
  <c r="M772" i="3"/>
  <c r="O772" i="3"/>
  <c r="Q772" i="3"/>
  <c r="S772" i="3"/>
  <c r="U772" i="3"/>
  <c r="W772" i="3"/>
  <c r="Y772" i="3"/>
  <c r="AA772" i="3"/>
  <c r="AK772" i="3"/>
  <c r="AM772" i="3"/>
  <c r="AO772" i="3"/>
  <c r="AQ772" i="3"/>
  <c r="AS772" i="3"/>
  <c r="AU772" i="3"/>
  <c r="AW772" i="3"/>
  <c r="AY772" i="3"/>
  <c r="C773" i="3"/>
  <c r="E773" i="3"/>
  <c r="G773" i="3"/>
  <c r="I773" i="3"/>
  <c r="K773" i="3"/>
  <c r="M773" i="3"/>
  <c r="O773" i="3"/>
  <c r="Q773" i="3"/>
  <c r="S773" i="3"/>
  <c r="U773" i="3"/>
  <c r="W773" i="3"/>
  <c r="Y773" i="3"/>
  <c r="AA773" i="3"/>
  <c r="AK773" i="3"/>
  <c r="AM773" i="3"/>
  <c r="AO773" i="3"/>
  <c r="AQ773" i="3"/>
  <c r="AS773" i="3"/>
  <c r="AU773" i="3"/>
  <c r="AW773" i="3"/>
  <c r="AY773" i="3"/>
  <c r="C774" i="3"/>
  <c r="E774" i="3"/>
  <c r="G774" i="3"/>
  <c r="I774" i="3"/>
  <c r="K774" i="3"/>
  <c r="M774" i="3"/>
  <c r="O774" i="3"/>
  <c r="Q774" i="3"/>
  <c r="S774" i="3"/>
  <c r="U774" i="3"/>
  <c r="W774" i="3"/>
  <c r="Y774" i="3"/>
  <c r="AA774" i="3"/>
  <c r="AK774" i="3"/>
  <c r="AM774" i="3"/>
  <c r="AO774" i="3"/>
  <c r="AQ774" i="3"/>
  <c r="AS774" i="3"/>
  <c r="AU774" i="3"/>
  <c r="AW774" i="3"/>
  <c r="AY774" i="3"/>
  <c r="C775" i="3"/>
  <c r="E775" i="3"/>
  <c r="G775" i="3"/>
  <c r="I775" i="3"/>
  <c r="K775" i="3"/>
  <c r="M775" i="3"/>
  <c r="O775" i="3"/>
  <c r="Q775" i="3"/>
  <c r="S775" i="3"/>
  <c r="U775" i="3"/>
  <c r="W775" i="3"/>
  <c r="Y775" i="3"/>
  <c r="AA775" i="3"/>
  <c r="AK775" i="3"/>
  <c r="AM775" i="3"/>
  <c r="AO775" i="3"/>
  <c r="AQ775" i="3"/>
  <c r="AS775" i="3"/>
  <c r="AU775" i="3"/>
  <c r="AW775" i="3"/>
  <c r="AY775" i="3"/>
  <c r="C776" i="3"/>
  <c r="E776" i="3"/>
  <c r="G776" i="3"/>
  <c r="I776" i="3"/>
  <c r="K776" i="3"/>
  <c r="M776" i="3"/>
  <c r="O776" i="3"/>
  <c r="Q776" i="3"/>
  <c r="S776" i="3"/>
  <c r="U776" i="3"/>
  <c r="W776" i="3"/>
  <c r="Y776" i="3"/>
  <c r="AA776" i="3"/>
  <c r="AK776" i="3"/>
  <c r="AM776" i="3"/>
  <c r="AO776" i="3"/>
  <c r="AQ776" i="3"/>
  <c r="AS776" i="3"/>
  <c r="AU776" i="3"/>
  <c r="AW776" i="3"/>
  <c r="AY776" i="3"/>
  <c r="C777" i="3"/>
  <c r="E777" i="3"/>
  <c r="G777" i="3"/>
  <c r="I777" i="3"/>
  <c r="K777" i="3"/>
  <c r="M777" i="3"/>
  <c r="O777" i="3"/>
  <c r="Q777" i="3"/>
  <c r="S777" i="3"/>
  <c r="U777" i="3"/>
  <c r="W777" i="3"/>
  <c r="Y777" i="3"/>
  <c r="AA777" i="3"/>
  <c r="AK777" i="3"/>
  <c r="AM777" i="3"/>
  <c r="AO777" i="3"/>
  <c r="AQ777" i="3"/>
  <c r="AS777" i="3"/>
  <c r="AU777" i="3"/>
  <c r="AW777" i="3"/>
  <c r="AY777" i="3"/>
  <c r="C778" i="3"/>
  <c r="E778" i="3"/>
  <c r="G778" i="3"/>
  <c r="I778" i="3"/>
  <c r="K778" i="3"/>
  <c r="M778" i="3"/>
  <c r="O778" i="3"/>
  <c r="Q778" i="3"/>
  <c r="S778" i="3"/>
  <c r="U778" i="3"/>
  <c r="W778" i="3"/>
  <c r="Y778" i="3"/>
  <c r="AA778" i="3"/>
  <c r="AK778" i="3"/>
  <c r="AM778" i="3"/>
  <c r="AO778" i="3"/>
  <c r="AQ778" i="3"/>
  <c r="AS778" i="3"/>
  <c r="AU778" i="3"/>
  <c r="AW778" i="3"/>
  <c r="AY778" i="3"/>
  <c r="C779" i="3"/>
  <c r="E779" i="3"/>
  <c r="G779" i="3"/>
  <c r="I779" i="3"/>
  <c r="K779" i="3"/>
  <c r="M779" i="3"/>
  <c r="O779" i="3"/>
  <c r="Q779" i="3"/>
  <c r="S779" i="3"/>
  <c r="U779" i="3"/>
  <c r="W779" i="3"/>
  <c r="Y779" i="3"/>
  <c r="AA779" i="3"/>
  <c r="AK779" i="3"/>
  <c r="AM779" i="3"/>
  <c r="AO779" i="3"/>
  <c r="AQ779" i="3"/>
  <c r="AS779" i="3"/>
  <c r="AU779" i="3"/>
  <c r="AW779" i="3"/>
  <c r="AY779" i="3"/>
  <c r="C780" i="3"/>
  <c r="E780" i="3"/>
  <c r="G780" i="3"/>
  <c r="I780" i="3"/>
  <c r="K780" i="3"/>
  <c r="M780" i="3"/>
  <c r="O780" i="3"/>
  <c r="Q780" i="3"/>
  <c r="S780" i="3"/>
  <c r="U780" i="3"/>
  <c r="W780" i="3"/>
  <c r="Y780" i="3"/>
  <c r="AA780" i="3"/>
  <c r="AK780" i="3"/>
  <c r="AM780" i="3"/>
  <c r="AO780" i="3"/>
  <c r="AQ780" i="3"/>
  <c r="AS780" i="3"/>
  <c r="AU780" i="3"/>
  <c r="AW780" i="3"/>
  <c r="AY780" i="3"/>
  <c r="C781" i="3"/>
  <c r="E781" i="3"/>
  <c r="G781" i="3"/>
  <c r="I781" i="3"/>
  <c r="K781" i="3"/>
  <c r="M781" i="3"/>
  <c r="O781" i="3"/>
  <c r="Q781" i="3"/>
  <c r="S781" i="3"/>
  <c r="U781" i="3"/>
  <c r="W781" i="3"/>
  <c r="Y781" i="3"/>
  <c r="AA781" i="3"/>
  <c r="AK781" i="3"/>
  <c r="AM781" i="3"/>
  <c r="AO781" i="3"/>
  <c r="AQ781" i="3"/>
  <c r="AS781" i="3"/>
  <c r="AU781" i="3"/>
  <c r="AW781" i="3"/>
  <c r="AY781" i="3"/>
  <c r="C782" i="3"/>
  <c r="E782" i="3"/>
  <c r="G782" i="3"/>
  <c r="I782" i="3"/>
  <c r="K782" i="3"/>
  <c r="M782" i="3"/>
  <c r="O782" i="3"/>
  <c r="Q782" i="3"/>
  <c r="S782" i="3"/>
  <c r="U782" i="3"/>
  <c r="W782" i="3"/>
  <c r="Y782" i="3"/>
  <c r="AA782" i="3"/>
  <c r="AK782" i="3"/>
  <c r="AM782" i="3"/>
  <c r="AO782" i="3"/>
  <c r="AQ782" i="3"/>
  <c r="AS782" i="3"/>
  <c r="AU782" i="3"/>
  <c r="AW782" i="3"/>
  <c r="AY782" i="3"/>
  <c r="C783" i="3"/>
  <c r="E783" i="3"/>
  <c r="G783" i="3"/>
  <c r="I783" i="3"/>
  <c r="K783" i="3"/>
  <c r="M783" i="3"/>
  <c r="O783" i="3"/>
  <c r="Q783" i="3"/>
  <c r="S783" i="3"/>
  <c r="U783" i="3"/>
  <c r="W783" i="3"/>
  <c r="Y783" i="3"/>
  <c r="AA783" i="3"/>
  <c r="AK783" i="3"/>
  <c r="AM783" i="3"/>
  <c r="AO783" i="3"/>
  <c r="AQ783" i="3"/>
  <c r="AS783" i="3"/>
  <c r="AU783" i="3"/>
  <c r="AW783" i="3"/>
  <c r="AY783" i="3"/>
  <c r="C784" i="3"/>
  <c r="E784" i="3"/>
  <c r="G784" i="3"/>
  <c r="I784" i="3"/>
  <c r="K784" i="3"/>
  <c r="M784" i="3"/>
  <c r="O784" i="3"/>
  <c r="Q784" i="3"/>
  <c r="S784" i="3"/>
  <c r="U784" i="3"/>
  <c r="W784" i="3"/>
  <c r="Y784" i="3"/>
  <c r="AA784" i="3"/>
  <c r="AK784" i="3"/>
  <c r="AM784" i="3"/>
  <c r="AO784" i="3"/>
  <c r="AQ784" i="3"/>
  <c r="AS784" i="3"/>
  <c r="AU784" i="3"/>
  <c r="AW784" i="3"/>
  <c r="AY784" i="3"/>
  <c r="C785" i="3"/>
  <c r="E785" i="3"/>
  <c r="G785" i="3"/>
  <c r="I785" i="3"/>
  <c r="K785" i="3"/>
  <c r="M785" i="3"/>
  <c r="O785" i="3"/>
  <c r="Q785" i="3"/>
  <c r="S785" i="3"/>
  <c r="U785" i="3"/>
  <c r="W785" i="3"/>
  <c r="Y785" i="3"/>
  <c r="AA785" i="3"/>
  <c r="AK785" i="3"/>
  <c r="AM785" i="3"/>
  <c r="AO785" i="3"/>
  <c r="AQ785" i="3"/>
  <c r="AS785" i="3"/>
  <c r="AU785" i="3"/>
  <c r="AW785" i="3"/>
  <c r="AY785" i="3"/>
  <c r="C786" i="3"/>
  <c r="E786" i="3"/>
  <c r="G786" i="3"/>
  <c r="I786" i="3"/>
  <c r="K786" i="3"/>
  <c r="M786" i="3"/>
  <c r="O786" i="3"/>
  <c r="Q786" i="3"/>
  <c r="S786" i="3"/>
  <c r="U786" i="3"/>
  <c r="W786" i="3"/>
  <c r="Y786" i="3"/>
  <c r="AA786" i="3"/>
  <c r="AK786" i="3"/>
  <c r="AM786" i="3"/>
  <c r="AO786" i="3"/>
  <c r="AQ786" i="3"/>
  <c r="AS786" i="3"/>
  <c r="AU786" i="3"/>
  <c r="AW786" i="3"/>
  <c r="AY786" i="3"/>
  <c r="C787" i="3"/>
  <c r="E787" i="3"/>
  <c r="G787" i="3"/>
  <c r="I787" i="3"/>
  <c r="K787" i="3"/>
  <c r="M787" i="3"/>
  <c r="O787" i="3"/>
  <c r="Q787" i="3"/>
  <c r="S787" i="3"/>
  <c r="U787" i="3"/>
  <c r="W787" i="3"/>
  <c r="Y787" i="3"/>
  <c r="AA787" i="3"/>
  <c r="AK787" i="3"/>
  <c r="AM787" i="3"/>
  <c r="AO787" i="3"/>
  <c r="AQ787" i="3"/>
  <c r="AS787" i="3"/>
  <c r="AU787" i="3"/>
  <c r="AW787" i="3"/>
  <c r="AY787" i="3"/>
  <c r="C788" i="3"/>
  <c r="E788" i="3"/>
  <c r="G788" i="3"/>
  <c r="I788" i="3"/>
  <c r="K788" i="3"/>
  <c r="M788" i="3"/>
  <c r="O788" i="3"/>
  <c r="Q788" i="3"/>
  <c r="S788" i="3"/>
  <c r="U788" i="3"/>
  <c r="W788" i="3"/>
  <c r="Y788" i="3"/>
  <c r="AA788" i="3"/>
  <c r="AK788" i="3"/>
  <c r="AM788" i="3"/>
  <c r="AO788" i="3"/>
  <c r="AQ788" i="3"/>
  <c r="AS788" i="3"/>
  <c r="AU788" i="3"/>
  <c r="AW788" i="3"/>
  <c r="AY788" i="3"/>
  <c r="C789" i="3"/>
  <c r="E789" i="3"/>
  <c r="G789" i="3"/>
  <c r="I789" i="3"/>
  <c r="K789" i="3"/>
  <c r="M789" i="3"/>
  <c r="O789" i="3"/>
  <c r="Q789" i="3"/>
  <c r="S789" i="3"/>
  <c r="U789" i="3"/>
  <c r="W789" i="3"/>
  <c r="Y789" i="3"/>
  <c r="AA789" i="3"/>
  <c r="AK789" i="3"/>
  <c r="AM789" i="3"/>
  <c r="AO789" i="3"/>
  <c r="AQ789" i="3"/>
  <c r="AS789" i="3"/>
  <c r="AU789" i="3"/>
  <c r="AW789" i="3"/>
  <c r="AY789" i="3"/>
  <c r="C790" i="3"/>
  <c r="E790" i="3"/>
  <c r="G790" i="3"/>
  <c r="I790" i="3"/>
  <c r="K790" i="3"/>
  <c r="M790" i="3"/>
  <c r="O790" i="3"/>
  <c r="Q790" i="3"/>
  <c r="S790" i="3"/>
  <c r="U790" i="3"/>
  <c r="W790" i="3"/>
  <c r="Y790" i="3"/>
  <c r="AA790" i="3"/>
  <c r="AK790" i="3"/>
  <c r="AM790" i="3"/>
  <c r="AO790" i="3"/>
  <c r="AQ790" i="3"/>
  <c r="AS790" i="3"/>
  <c r="AU790" i="3"/>
  <c r="AW790" i="3"/>
  <c r="AY790" i="3"/>
  <c r="C791" i="3"/>
  <c r="E791" i="3"/>
  <c r="G791" i="3"/>
  <c r="I791" i="3"/>
  <c r="K791" i="3"/>
  <c r="M791" i="3"/>
  <c r="O791" i="3"/>
  <c r="Q791" i="3"/>
  <c r="S791" i="3"/>
  <c r="U791" i="3"/>
  <c r="W791" i="3"/>
  <c r="Y791" i="3"/>
  <c r="AA791" i="3"/>
  <c r="AK791" i="3"/>
  <c r="AM791" i="3"/>
  <c r="AO791" i="3"/>
  <c r="AQ791" i="3"/>
  <c r="AS791" i="3"/>
  <c r="AU791" i="3"/>
  <c r="AW791" i="3"/>
  <c r="AY791" i="3"/>
  <c r="C792" i="3"/>
  <c r="E792" i="3"/>
  <c r="G792" i="3"/>
  <c r="I792" i="3"/>
  <c r="K792" i="3"/>
  <c r="M792" i="3"/>
  <c r="O792" i="3"/>
  <c r="Q792" i="3"/>
  <c r="S792" i="3"/>
  <c r="U792" i="3"/>
  <c r="W792" i="3"/>
  <c r="Y792" i="3"/>
  <c r="AA792" i="3"/>
  <c r="AK792" i="3"/>
  <c r="AM792" i="3"/>
  <c r="AO792" i="3"/>
  <c r="AQ792" i="3"/>
  <c r="AS792" i="3"/>
  <c r="AU792" i="3"/>
  <c r="AW792" i="3"/>
  <c r="AY792" i="3"/>
  <c r="C793" i="3"/>
  <c r="E793" i="3"/>
  <c r="G793" i="3"/>
  <c r="I793" i="3"/>
  <c r="K793" i="3"/>
  <c r="M793" i="3"/>
  <c r="O793" i="3"/>
  <c r="Q793" i="3"/>
  <c r="S793" i="3"/>
  <c r="U793" i="3"/>
  <c r="W793" i="3"/>
  <c r="Y793" i="3"/>
  <c r="AA793" i="3"/>
  <c r="AK793" i="3"/>
  <c r="AM793" i="3"/>
  <c r="AO793" i="3"/>
  <c r="AQ793" i="3"/>
  <c r="AS793" i="3"/>
  <c r="AU793" i="3"/>
  <c r="AW793" i="3"/>
  <c r="AY793" i="3"/>
  <c r="C794" i="3"/>
  <c r="E794" i="3"/>
  <c r="G794" i="3"/>
  <c r="I794" i="3"/>
  <c r="K794" i="3"/>
  <c r="M794" i="3"/>
  <c r="O794" i="3"/>
  <c r="Q794" i="3"/>
  <c r="S794" i="3"/>
  <c r="U794" i="3"/>
  <c r="W794" i="3"/>
  <c r="Y794" i="3"/>
  <c r="AA794" i="3"/>
  <c r="AK794" i="3"/>
  <c r="AM794" i="3"/>
  <c r="AO794" i="3"/>
  <c r="AQ794" i="3"/>
  <c r="AS794" i="3"/>
  <c r="AU794" i="3"/>
  <c r="AW794" i="3"/>
  <c r="AY794" i="3"/>
  <c r="C795" i="3"/>
  <c r="E795" i="3"/>
  <c r="G795" i="3"/>
  <c r="I795" i="3"/>
  <c r="K795" i="3"/>
  <c r="M795" i="3"/>
  <c r="O795" i="3"/>
  <c r="Q795" i="3"/>
  <c r="S795" i="3"/>
  <c r="U795" i="3"/>
  <c r="W795" i="3"/>
  <c r="Y795" i="3"/>
  <c r="AA795" i="3"/>
  <c r="AK795" i="3"/>
  <c r="AM795" i="3"/>
  <c r="AO795" i="3"/>
  <c r="AQ795" i="3"/>
  <c r="AS795" i="3"/>
  <c r="AU795" i="3"/>
  <c r="AW795" i="3"/>
  <c r="AY795" i="3"/>
  <c r="C796" i="3"/>
  <c r="E796" i="3"/>
  <c r="G796" i="3"/>
  <c r="I796" i="3"/>
  <c r="K796" i="3"/>
  <c r="M796" i="3"/>
  <c r="O796" i="3"/>
  <c r="Q796" i="3"/>
  <c r="S796" i="3"/>
  <c r="U796" i="3"/>
  <c r="W796" i="3"/>
  <c r="Y796" i="3"/>
  <c r="AA796" i="3"/>
  <c r="AK796" i="3"/>
  <c r="AM796" i="3"/>
  <c r="AO796" i="3"/>
  <c r="AQ796" i="3"/>
  <c r="AS796" i="3"/>
  <c r="AU796" i="3"/>
  <c r="AW796" i="3"/>
  <c r="AY796" i="3"/>
  <c r="C797" i="3"/>
  <c r="E797" i="3"/>
  <c r="G797" i="3"/>
  <c r="I797" i="3"/>
  <c r="K797" i="3"/>
  <c r="M797" i="3"/>
  <c r="O797" i="3"/>
  <c r="Q797" i="3"/>
  <c r="S797" i="3"/>
  <c r="U797" i="3"/>
  <c r="W797" i="3"/>
  <c r="Y797" i="3"/>
  <c r="AA797" i="3"/>
  <c r="AK797" i="3"/>
  <c r="AM797" i="3"/>
  <c r="AO797" i="3"/>
  <c r="AQ797" i="3"/>
  <c r="AS797" i="3"/>
  <c r="AU797" i="3"/>
  <c r="AW797" i="3"/>
  <c r="AY797" i="3"/>
  <c r="C798" i="3"/>
  <c r="E798" i="3"/>
  <c r="G798" i="3"/>
  <c r="I798" i="3"/>
  <c r="K798" i="3"/>
  <c r="M798" i="3"/>
  <c r="O798" i="3"/>
  <c r="Q798" i="3"/>
  <c r="S798" i="3"/>
  <c r="U798" i="3"/>
  <c r="W798" i="3"/>
  <c r="Y798" i="3"/>
  <c r="AA798" i="3"/>
  <c r="AK798" i="3"/>
  <c r="AM798" i="3"/>
  <c r="AO798" i="3"/>
  <c r="AQ798" i="3"/>
  <c r="AS798" i="3"/>
  <c r="AU798" i="3"/>
  <c r="AW798" i="3"/>
  <c r="AY798" i="3"/>
  <c r="C799" i="3"/>
  <c r="E799" i="3"/>
  <c r="G799" i="3"/>
  <c r="I799" i="3"/>
  <c r="K799" i="3"/>
  <c r="M799" i="3"/>
  <c r="O799" i="3"/>
  <c r="Q799" i="3"/>
  <c r="S799" i="3"/>
  <c r="U799" i="3"/>
  <c r="W799" i="3"/>
  <c r="Y799" i="3"/>
  <c r="AA799" i="3"/>
  <c r="AK799" i="3"/>
  <c r="AM799" i="3"/>
  <c r="AO799" i="3"/>
  <c r="AQ799" i="3"/>
  <c r="AS799" i="3"/>
  <c r="AU799" i="3"/>
  <c r="AW799" i="3"/>
  <c r="AY799" i="3"/>
  <c r="C800" i="3"/>
  <c r="E800" i="3"/>
  <c r="G800" i="3"/>
  <c r="I800" i="3"/>
  <c r="K800" i="3"/>
  <c r="M800" i="3"/>
  <c r="O800" i="3"/>
  <c r="Q800" i="3"/>
  <c r="S800" i="3"/>
  <c r="U800" i="3"/>
  <c r="W800" i="3"/>
  <c r="Y800" i="3"/>
  <c r="AA800" i="3"/>
  <c r="AK800" i="3"/>
  <c r="AM800" i="3"/>
  <c r="AO800" i="3"/>
  <c r="AQ800" i="3"/>
  <c r="AS800" i="3"/>
  <c r="AU800" i="3"/>
  <c r="AW800" i="3"/>
  <c r="AY800" i="3"/>
  <c r="C801" i="3"/>
  <c r="E801" i="3"/>
  <c r="G801" i="3"/>
  <c r="I801" i="3"/>
  <c r="K801" i="3"/>
  <c r="M801" i="3"/>
  <c r="O801" i="3"/>
  <c r="Q801" i="3"/>
  <c r="S801" i="3"/>
  <c r="U801" i="3"/>
  <c r="W801" i="3"/>
  <c r="Y801" i="3"/>
  <c r="AA801" i="3"/>
  <c r="AK801" i="3"/>
  <c r="AM801" i="3"/>
  <c r="AO801" i="3"/>
  <c r="AQ801" i="3"/>
  <c r="AS801" i="3"/>
  <c r="AU801" i="3"/>
  <c r="AW801" i="3"/>
  <c r="AY801" i="3"/>
  <c r="C802" i="3"/>
  <c r="E802" i="3"/>
  <c r="G802" i="3"/>
  <c r="I802" i="3"/>
  <c r="K802" i="3"/>
  <c r="M802" i="3"/>
  <c r="O802" i="3"/>
  <c r="Q802" i="3"/>
  <c r="S802" i="3"/>
  <c r="U802" i="3"/>
  <c r="W802" i="3"/>
  <c r="Y802" i="3"/>
  <c r="AA802" i="3"/>
  <c r="AK802" i="3"/>
  <c r="AM802" i="3"/>
  <c r="AO802" i="3"/>
  <c r="AQ802" i="3"/>
  <c r="AS802" i="3"/>
  <c r="AU802" i="3"/>
  <c r="AW802" i="3"/>
  <c r="AY802" i="3"/>
  <c r="C803" i="3"/>
  <c r="E803" i="3"/>
  <c r="G803" i="3"/>
  <c r="I803" i="3"/>
  <c r="K803" i="3"/>
  <c r="M803" i="3"/>
  <c r="O803" i="3"/>
  <c r="Q803" i="3"/>
  <c r="S803" i="3"/>
  <c r="U803" i="3"/>
  <c r="W803" i="3"/>
  <c r="Y803" i="3"/>
  <c r="AA803" i="3"/>
  <c r="AK803" i="3"/>
  <c r="AM803" i="3"/>
  <c r="AO803" i="3"/>
  <c r="AQ803" i="3"/>
  <c r="AS803" i="3"/>
  <c r="AU803" i="3"/>
  <c r="AW803" i="3"/>
  <c r="AY803" i="3"/>
  <c r="C804" i="3"/>
  <c r="E804" i="3"/>
  <c r="G804" i="3"/>
  <c r="I804" i="3"/>
  <c r="K804" i="3"/>
  <c r="M804" i="3"/>
  <c r="O804" i="3"/>
  <c r="Q804" i="3"/>
  <c r="S804" i="3"/>
  <c r="U804" i="3"/>
  <c r="W804" i="3"/>
  <c r="Y804" i="3"/>
  <c r="AA804" i="3"/>
  <c r="AK804" i="3"/>
  <c r="AM804" i="3"/>
  <c r="AO804" i="3"/>
  <c r="AQ804" i="3"/>
  <c r="AS804" i="3"/>
  <c r="AU804" i="3"/>
  <c r="AW804" i="3"/>
  <c r="AY804" i="3"/>
  <c r="C805" i="3"/>
  <c r="E805" i="3"/>
  <c r="G805" i="3"/>
  <c r="I805" i="3"/>
  <c r="K805" i="3"/>
  <c r="M805" i="3"/>
  <c r="O805" i="3"/>
  <c r="Q805" i="3"/>
  <c r="S805" i="3"/>
  <c r="U805" i="3"/>
  <c r="W805" i="3"/>
  <c r="Y805" i="3"/>
  <c r="AA805" i="3"/>
  <c r="AK805" i="3"/>
  <c r="AM805" i="3"/>
  <c r="AO805" i="3"/>
  <c r="AQ805" i="3"/>
  <c r="AS805" i="3"/>
  <c r="AU805" i="3"/>
  <c r="AW805" i="3"/>
  <c r="AY805" i="3"/>
  <c r="C806" i="3"/>
  <c r="E806" i="3"/>
  <c r="G806" i="3"/>
  <c r="I806" i="3"/>
  <c r="K806" i="3"/>
  <c r="M806" i="3"/>
  <c r="O806" i="3"/>
  <c r="Q806" i="3"/>
  <c r="S806" i="3"/>
  <c r="U806" i="3"/>
  <c r="W806" i="3"/>
  <c r="Y806" i="3"/>
  <c r="AA806" i="3"/>
  <c r="AK806" i="3"/>
  <c r="AM806" i="3"/>
  <c r="AO806" i="3"/>
  <c r="AQ806" i="3"/>
  <c r="AS806" i="3"/>
  <c r="AU806" i="3"/>
  <c r="AW806" i="3"/>
  <c r="AY806" i="3"/>
  <c r="C807" i="3"/>
  <c r="E807" i="3"/>
  <c r="G807" i="3"/>
  <c r="I807" i="3"/>
  <c r="K807" i="3"/>
  <c r="M807" i="3"/>
  <c r="O807" i="3"/>
  <c r="Q807" i="3"/>
  <c r="S807" i="3"/>
  <c r="U807" i="3"/>
  <c r="W807" i="3"/>
  <c r="Y807" i="3"/>
  <c r="AA807" i="3"/>
  <c r="AK807" i="3"/>
  <c r="AM807" i="3"/>
  <c r="AO807" i="3"/>
  <c r="AQ807" i="3"/>
  <c r="AS807" i="3"/>
  <c r="AU807" i="3"/>
  <c r="AW807" i="3"/>
  <c r="AY807" i="3"/>
  <c r="C808" i="3"/>
  <c r="E808" i="3"/>
  <c r="G808" i="3"/>
  <c r="I808" i="3"/>
  <c r="K808" i="3"/>
  <c r="M808" i="3"/>
  <c r="O808" i="3"/>
  <c r="Q808" i="3"/>
  <c r="S808" i="3"/>
  <c r="U808" i="3"/>
  <c r="W808" i="3"/>
  <c r="Y808" i="3"/>
  <c r="AA808" i="3"/>
  <c r="AK808" i="3"/>
  <c r="AM808" i="3"/>
  <c r="AO808" i="3"/>
  <c r="AQ808" i="3"/>
  <c r="AS808" i="3"/>
  <c r="AU808" i="3"/>
  <c r="AW808" i="3"/>
  <c r="AY808" i="3"/>
  <c r="C809" i="3"/>
  <c r="E809" i="3"/>
  <c r="G809" i="3"/>
  <c r="I809" i="3"/>
  <c r="K809" i="3"/>
  <c r="M809" i="3"/>
  <c r="O809" i="3"/>
  <c r="Q809" i="3"/>
  <c r="S809" i="3"/>
  <c r="U809" i="3"/>
  <c r="W809" i="3"/>
  <c r="Y809" i="3"/>
  <c r="AA809" i="3"/>
  <c r="AK809" i="3"/>
  <c r="AM809" i="3"/>
  <c r="AO809" i="3"/>
  <c r="AQ809" i="3"/>
  <c r="AS809" i="3"/>
  <c r="AU809" i="3"/>
  <c r="AW809" i="3"/>
  <c r="AY809" i="3"/>
  <c r="C810" i="3"/>
  <c r="E810" i="3"/>
  <c r="G810" i="3"/>
  <c r="I810" i="3"/>
  <c r="K810" i="3"/>
  <c r="M810" i="3"/>
  <c r="O810" i="3"/>
  <c r="Q810" i="3"/>
  <c r="S810" i="3"/>
  <c r="U810" i="3"/>
  <c r="W810" i="3"/>
  <c r="Y810" i="3"/>
  <c r="AA810" i="3"/>
  <c r="AK810" i="3"/>
  <c r="AM810" i="3"/>
  <c r="AO810" i="3"/>
  <c r="AQ810" i="3"/>
  <c r="AS810" i="3"/>
  <c r="AU810" i="3"/>
  <c r="AW810" i="3"/>
  <c r="AY810" i="3"/>
  <c r="C811" i="3"/>
  <c r="E811" i="3"/>
  <c r="G811" i="3"/>
  <c r="I811" i="3"/>
  <c r="K811" i="3"/>
  <c r="M811" i="3"/>
  <c r="O811" i="3"/>
  <c r="Q811" i="3"/>
  <c r="S811" i="3"/>
  <c r="U811" i="3"/>
  <c r="W811" i="3"/>
  <c r="Y811" i="3"/>
  <c r="AA811" i="3"/>
  <c r="AK811" i="3"/>
  <c r="AM811" i="3"/>
  <c r="AO811" i="3"/>
  <c r="AQ811" i="3"/>
  <c r="AS811" i="3"/>
  <c r="AU811" i="3"/>
  <c r="AW811" i="3"/>
  <c r="AY811" i="3"/>
  <c r="C812" i="3"/>
  <c r="E812" i="3"/>
  <c r="G812" i="3"/>
  <c r="I812" i="3"/>
  <c r="K812" i="3"/>
  <c r="M812" i="3"/>
  <c r="O812" i="3"/>
  <c r="Q812" i="3"/>
  <c r="S812" i="3"/>
  <c r="U812" i="3"/>
  <c r="W812" i="3"/>
  <c r="Y812" i="3"/>
  <c r="AA812" i="3"/>
  <c r="AK812" i="3"/>
  <c r="AM812" i="3"/>
  <c r="AO812" i="3"/>
  <c r="AQ812" i="3"/>
  <c r="AS812" i="3"/>
  <c r="AU812" i="3"/>
  <c r="AW812" i="3"/>
  <c r="AY812" i="3"/>
  <c r="C813" i="3"/>
  <c r="E813" i="3"/>
  <c r="G813" i="3"/>
  <c r="I813" i="3"/>
  <c r="K813" i="3"/>
  <c r="M813" i="3"/>
  <c r="O813" i="3"/>
  <c r="Q813" i="3"/>
  <c r="S813" i="3"/>
  <c r="U813" i="3"/>
  <c r="W813" i="3"/>
  <c r="Y813" i="3"/>
  <c r="AA813" i="3"/>
  <c r="AK813" i="3"/>
  <c r="AM813" i="3"/>
  <c r="AO813" i="3"/>
  <c r="AQ813" i="3"/>
  <c r="AS813" i="3"/>
  <c r="AU813" i="3"/>
  <c r="AW813" i="3"/>
  <c r="AY813" i="3"/>
  <c r="C814" i="3"/>
  <c r="E814" i="3"/>
  <c r="G814" i="3"/>
  <c r="I814" i="3"/>
  <c r="K814" i="3"/>
  <c r="M814" i="3"/>
  <c r="O814" i="3"/>
  <c r="Q814" i="3"/>
  <c r="S814" i="3"/>
  <c r="U814" i="3"/>
  <c r="W814" i="3"/>
  <c r="Y814" i="3"/>
  <c r="AA814" i="3"/>
  <c r="AK814" i="3"/>
  <c r="AM814" i="3"/>
  <c r="AO814" i="3"/>
  <c r="AQ814" i="3"/>
  <c r="AS814" i="3"/>
  <c r="AU814" i="3"/>
  <c r="AW814" i="3"/>
  <c r="AY814" i="3"/>
  <c r="C815" i="3"/>
  <c r="E815" i="3"/>
  <c r="G815" i="3"/>
  <c r="I815" i="3"/>
  <c r="K815" i="3"/>
  <c r="M815" i="3"/>
  <c r="O815" i="3"/>
  <c r="Q815" i="3"/>
  <c r="S815" i="3"/>
  <c r="U815" i="3"/>
  <c r="W815" i="3"/>
  <c r="Y815" i="3"/>
  <c r="AA815" i="3"/>
  <c r="AK815" i="3"/>
  <c r="AM815" i="3"/>
  <c r="AO815" i="3"/>
  <c r="AQ815" i="3"/>
  <c r="AS815" i="3"/>
  <c r="AU815" i="3"/>
  <c r="AW815" i="3"/>
  <c r="AY815" i="3"/>
  <c r="C816" i="3"/>
  <c r="E816" i="3"/>
  <c r="G816" i="3"/>
  <c r="I816" i="3"/>
  <c r="K816" i="3"/>
  <c r="M816" i="3"/>
  <c r="O816" i="3"/>
  <c r="Q816" i="3"/>
  <c r="S816" i="3"/>
  <c r="U816" i="3"/>
  <c r="W816" i="3"/>
  <c r="Y816" i="3"/>
  <c r="AA816" i="3"/>
  <c r="AK816" i="3"/>
  <c r="AM816" i="3"/>
  <c r="AO816" i="3"/>
  <c r="AQ816" i="3"/>
  <c r="AS816" i="3"/>
  <c r="AU816" i="3"/>
  <c r="AW816" i="3"/>
  <c r="AY816" i="3"/>
  <c r="C817" i="3"/>
  <c r="E817" i="3"/>
  <c r="G817" i="3"/>
  <c r="I817" i="3"/>
  <c r="K817" i="3"/>
  <c r="M817" i="3"/>
  <c r="O817" i="3"/>
  <c r="Q817" i="3"/>
  <c r="S817" i="3"/>
  <c r="U817" i="3"/>
  <c r="W817" i="3"/>
  <c r="Y817" i="3"/>
  <c r="AA817" i="3"/>
  <c r="AK817" i="3"/>
  <c r="AM817" i="3"/>
  <c r="AO817" i="3"/>
  <c r="AQ817" i="3"/>
  <c r="AS817" i="3"/>
  <c r="AU817" i="3"/>
  <c r="AW817" i="3"/>
  <c r="AY817" i="3"/>
  <c r="C818" i="3"/>
  <c r="E818" i="3"/>
  <c r="G818" i="3"/>
  <c r="I818" i="3"/>
  <c r="K818" i="3"/>
  <c r="M818" i="3"/>
  <c r="O818" i="3"/>
  <c r="Q818" i="3"/>
  <c r="S818" i="3"/>
  <c r="U818" i="3"/>
  <c r="W818" i="3"/>
  <c r="Y818" i="3"/>
  <c r="AA818" i="3"/>
  <c r="AK818" i="3"/>
  <c r="AM818" i="3"/>
  <c r="AO818" i="3"/>
  <c r="AQ818" i="3"/>
  <c r="AS818" i="3"/>
  <c r="AU818" i="3"/>
  <c r="AW818" i="3"/>
  <c r="AY818" i="3"/>
  <c r="C819" i="3"/>
  <c r="E819" i="3"/>
  <c r="G819" i="3"/>
  <c r="I819" i="3"/>
  <c r="K819" i="3"/>
  <c r="M819" i="3"/>
  <c r="O819" i="3"/>
  <c r="Q819" i="3"/>
  <c r="S819" i="3"/>
  <c r="U819" i="3"/>
  <c r="W819" i="3"/>
  <c r="Y819" i="3"/>
  <c r="AA819" i="3"/>
  <c r="AK819" i="3"/>
  <c r="AM819" i="3"/>
  <c r="AO819" i="3"/>
  <c r="AQ819" i="3"/>
  <c r="AS819" i="3"/>
  <c r="AU819" i="3"/>
  <c r="AW819" i="3"/>
  <c r="AY819" i="3"/>
  <c r="C820" i="3"/>
  <c r="E820" i="3"/>
  <c r="G820" i="3"/>
  <c r="I820" i="3"/>
  <c r="K820" i="3"/>
  <c r="M820" i="3"/>
  <c r="O820" i="3"/>
  <c r="Q820" i="3"/>
  <c r="S820" i="3"/>
  <c r="U820" i="3"/>
  <c r="W820" i="3"/>
  <c r="Y820" i="3"/>
  <c r="AA820" i="3"/>
  <c r="AK820" i="3"/>
  <c r="AM820" i="3"/>
  <c r="AO820" i="3"/>
  <c r="AQ820" i="3"/>
  <c r="AS820" i="3"/>
  <c r="AU820" i="3"/>
  <c r="AW820" i="3"/>
  <c r="AY820" i="3"/>
  <c r="C821" i="3"/>
  <c r="E821" i="3"/>
  <c r="G821" i="3"/>
  <c r="I821" i="3"/>
  <c r="K821" i="3"/>
  <c r="M821" i="3"/>
  <c r="O821" i="3"/>
  <c r="Q821" i="3"/>
  <c r="S821" i="3"/>
  <c r="U821" i="3"/>
  <c r="W821" i="3"/>
  <c r="Y821" i="3"/>
  <c r="AA821" i="3"/>
  <c r="AK821" i="3"/>
  <c r="AM821" i="3"/>
  <c r="AO821" i="3"/>
  <c r="AQ821" i="3"/>
  <c r="AS821" i="3"/>
  <c r="AU821" i="3"/>
  <c r="AW821" i="3"/>
  <c r="AY821" i="3"/>
  <c r="C822" i="3"/>
  <c r="E822" i="3"/>
  <c r="G822" i="3"/>
  <c r="I822" i="3"/>
  <c r="K822" i="3"/>
  <c r="M822" i="3"/>
  <c r="O822" i="3"/>
  <c r="Q822" i="3"/>
  <c r="S822" i="3"/>
  <c r="U822" i="3"/>
  <c r="W822" i="3"/>
  <c r="Y822" i="3"/>
  <c r="AA822" i="3"/>
  <c r="AK822" i="3"/>
  <c r="AM822" i="3"/>
  <c r="AO822" i="3"/>
  <c r="AQ822" i="3"/>
  <c r="AS822" i="3"/>
  <c r="AU822" i="3"/>
  <c r="AW822" i="3"/>
  <c r="AY822" i="3"/>
  <c r="C823" i="3"/>
  <c r="E823" i="3"/>
  <c r="G823" i="3"/>
  <c r="I823" i="3"/>
  <c r="K823" i="3"/>
  <c r="M823" i="3"/>
  <c r="O823" i="3"/>
  <c r="Q823" i="3"/>
  <c r="S823" i="3"/>
  <c r="U823" i="3"/>
  <c r="W823" i="3"/>
  <c r="Y823" i="3"/>
  <c r="AA823" i="3"/>
  <c r="AK823" i="3"/>
  <c r="AM823" i="3"/>
  <c r="AO823" i="3"/>
  <c r="AQ823" i="3"/>
  <c r="AS823" i="3"/>
  <c r="AU823" i="3"/>
  <c r="AW823" i="3"/>
  <c r="AY823" i="3"/>
  <c r="C824" i="3"/>
  <c r="E824" i="3"/>
  <c r="G824" i="3"/>
  <c r="I824" i="3"/>
  <c r="K824" i="3"/>
  <c r="M824" i="3"/>
  <c r="O824" i="3"/>
  <c r="Q824" i="3"/>
  <c r="S824" i="3"/>
  <c r="U824" i="3"/>
  <c r="W824" i="3"/>
  <c r="Y824" i="3"/>
  <c r="AA824" i="3"/>
  <c r="AK824" i="3"/>
  <c r="AM824" i="3"/>
  <c r="AO824" i="3"/>
  <c r="AQ824" i="3"/>
  <c r="AS824" i="3"/>
  <c r="AU824" i="3"/>
  <c r="AW824" i="3"/>
  <c r="AY824" i="3"/>
  <c r="C825" i="3"/>
  <c r="E825" i="3"/>
  <c r="G825" i="3"/>
  <c r="I825" i="3"/>
  <c r="K825" i="3"/>
  <c r="M825" i="3"/>
  <c r="O825" i="3"/>
  <c r="Q825" i="3"/>
  <c r="S825" i="3"/>
  <c r="U825" i="3"/>
  <c r="W825" i="3"/>
  <c r="Y825" i="3"/>
  <c r="AA825" i="3"/>
  <c r="AK825" i="3"/>
  <c r="AM825" i="3"/>
  <c r="AO825" i="3"/>
  <c r="AQ825" i="3"/>
  <c r="AS825" i="3"/>
  <c r="AU825" i="3"/>
  <c r="AW825" i="3"/>
  <c r="AY825" i="3"/>
  <c r="C826" i="3"/>
  <c r="E826" i="3"/>
  <c r="G826" i="3"/>
  <c r="I826" i="3"/>
  <c r="K826" i="3"/>
  <c r="M826" i="3"/>
  <c r="O826" i="3"/>
  <c r="Q826" i="3"/>
  <c r="S826" i="3"/>
  <c r="U826" i="3"/>
  <c r="W826" i="3"/>
  <c r="Y826" i="3"/>
  <c r="AA826" i="3"/>
  <c r="AK826" i="3"/>
  <c r="AM826" i="3"/>
  <c r="AO826" i="3"/>
  <c r="AQ826" i="3"/>
  <c r="AS826" i="3"/>
  <c r="AU826" i="3"/>
  <c r="AW826" i="3"/>
  <c r="AY826" i="3"/>
  <c r="BB827" i="3"/>
  <c r="AZ827" i="3"/>
  <c r="AX827" i="3"/>
  <c r="AV827" i="3"/>
  <c r="AT827" i="3"/>
  <c r="AR827" i="3"/>
  <c r="AP827" i="3"/>
  <c r="AN827" i="3"/>
  <c r="AL827" i="3"/>
  <c r="AB827" i="3"/>
  <c r="Z827" i="3"/>
  <c r="X827" i="3"/>
  <c r="V827" i="3"/>
  <c r="T827" i="3"/>
  <c r="R827" i="3"/>
  <c r="P827" i="3"/>
  <c r="N827" i="3"/>
  <c r="L827" i="3"/>
  <c r="J827" i="3"/>
  <c r="H827" i="3"/>
  <c r="F827" i="3"/>
  <c r="D827" i="3"/>
  <c r="C827" i="3"/>
  <c r="G827" i="3"/>
  <c r="K827" i="3"/>
  <c r="O827" i="3"/>
  <c r="S827" i="3"/>
  <c r="W827" i="3"/>
  <c r="AA827" i="3"/>
  <c r="AM827" i="3"/>
  <c r="AQ827" i="3"/>
  <c r="AU827" i="3"/>
  <c r="AY827" i="3"/>
  <c r="BB828" i="3"/>
  <c r="AZ828" i="3"/>
  <c r="AX828" i="3"/>
  <c r="AV828" i="3"/>
  <c r="AT828" i="3"/>
  <c r="AR828" i="3"/>
  <c r="AP828" i="3"/>
  <c r="AN828" i="3"/>
  <c r="AL828" i="3"/>
  <c r="AB828" i="3"/>
  <c r="Z828" i="3"/>
  <c r="X828" i="3"/>
  <c r="V828" i="3"/>
  <c r="T828" i="3"/>
  <c r="R828" i="3"/>
  <c r="P828" i="3"/>
  <c r="N828" i="3"/>
  <c r="L828" i="3"/>
  <c r="J828" i="3"/>
  <c r="H828" i="3"/>
  <c r="F828" i="3"/>
  <c r="D828" i="3"/>
  <c r="B828" i="3"/>
  <c r="E828" i="3"/>
  <c r="I828" i="3"/>
  <c r="M828" i="3"/>
  <c r="Q828" i="3"/>
  <c r="U828" i="3"/>
  <c r="Y828" i="3"/>
  <c r="AK828" i="3"/>
  <c r="AO828" i="3"/>
  <c r="AS828" i="3"/>
  <c r="AW828" i="3"/>
  <c r="BA828" i="3"/>
  <c r="C829" i="3"/>
  <c r="G829" i="3"/>
  <c r="K829" i="3"/>
  <c r="O829" i="3"/>
  <c r="S829" i="3"/>
  <c r="W829" i="3"/>
  <c r="AA829" i="3"/>
  <c r="AM829" i="3"/>
  <c r="AQ829" i="3"/>
  <c r="AU829" i="3"/>
  <c r="AY829" i="3"/>
  <c r="BB830" i="3"/>
  <c r="AZ830" i="3"/>
  <c r="AX830" i="3"/>
  <c r="AV830" i="3"/>
  <c r="AT830" i="3"/>
  <c r="AR830" i="3"/>
  <c r="AP830" i="3"/>
  <c r="AN830" i="3"/>
  <c r="AL830" i="3"/>
  <c r="AB830" i="3"/>
  <c r="Z830" i="3"/>
  <c r="X830" i="3"/>
  <c r="V830" i="3"/>
  <c r="T830" i="3"/>
  <c r="R830" i="3"/>
  <c r="P830" i="3"/>
  <c r="N830" i="3"/>
  <c r="L830" i="3"/>
  <c r="J830" i="3"/>
  <c r="H830" i="3"/>
  <c r="F830" i="3"/>
  <c r="D830" i="3"/>
  <c r="B830" i="3"/>
  <c r="E830" i="3"/>
  <c r="I830" i="3"/>
  <c r="M830" i="3"/>
  <c r="Q830" i="3"/>
  <c r="U830" i="3"/>
  <c r="Y830" i="3"/>
  <c r="AK830" i="3"/>
  <c r="AO830" i="3"/>
  <c r="AS830" i="3"/>
  <c r="AW830" i="3"/>
  <c r="BA830" i="3"/>
  <c r="C831" i="3"/>
  <c r="G831" i="3"/>
  <c r="K831" i="3"/>
  <c r="O831" i="3"/>
  <c r="S831" i="3"/>
  <c r="W831" i="3"/>
  <c r="AA831" i="3"/>
  <c r="AM831" i="3"/>
  <c r="AQ831" i="3"/>
  <c r="AU831" i="3"/>
  <c r="AY831" i="3"/>
  <c r="BB832" i="3"/>
  <c r="AZ832" i="3"/>
  <c r="AX832" i="3"/>
  <c r="AV832" i="3"/>
  <c r="AT832" i="3"/>
  <c r="AR832" i="3"/>
  <c r="AP832" i="3"/>
  <c r="AN832" i="3"/>
  <c r="AL832" i="3"/>
  <c r="AB832" i="3"/>
  <c r="Z832" i="3"/>
  <c r="X832" i="3"/>
  <c r="V832" i="3"/>
  <c r="T832" i="3"/>
  <c r="R832" i="3"/>
  <c r="P832" i="3"/>
  <c r="N832" i="3"/>
  <c r="L832" i="3"/>
  <c r="J832" i="3"/>
  <c r="H832" i="3"/>
  <c r="F832" i="3"/>
  <c r="D832" i="3"/>
  <c r="B832" i="3"/>
  <c r="E832" i="3"/>
  <c r="I832" i="3"/>
  <c r="M832" i="3"/>
  <c r="Q832" i="3"/>
  <c r="U832" i="3"/>
  <c r="Y832" i="3"/>
  <c r="AK832" i="3"/>
  <c r="AO832" i="3"/>
  <c r="AS832" i="3"/>
  <c r="AW832" i="3"/>
  <c r="BA832" i="3"/>
  <c r="C833" i="3"/>
  <c r="G833" i="3"/>
  <c r="K833" i="3"/>
  <c r="O833" i="3"/>
  <c r="S833" i="3"/>
  <c r="W833" i="3"/>
  <c r="AA833" i="3"/>
  <c r="AM833" i="3"/>
  <c r="AQ833" i="3"/>
  <c r="AU833" i="3"/>
  <c r="AY833" i="3"/>
  <c r="BB834" i="3"/>
  <c r="AZ834" i="3"/>
  <c r="AX834" i="3"/>
  <c r="AV834" i="3"/>
  <c r="AT834" i="3"/>
  <c r="AR834" i="3"/>
  <c r="AP834" i="3"/>
  <c r="AN834" i="3"/>
  <c r="AL834" i="3"/>
  <c r="AB834" i="3"/>
  <c r="Z834" i="3"/>
  <c r="X834" i="3"/>
  <c r="V834" i="3"/>
  <c r="T834" i="3"/>
  <c r="R834" i="3"/>
  <c r="P834" i="3"/>
  <c r="N834" i="3"/>
  <c r="L834" i="3"/>
  <c r="J834" i="3"/>
  <c r="H834" i="3"/>
  <c r="F834" i="3"/>
  <c r="D834" i="3"/>
  <c r="B834" i="3"/>
  <c r="E834" i="3"/>
  <c r="I834" i="3"/>
  <c r="M834" i="3"/>
  <c r="Q834" i="3"/>
  <c r="U834" i="3"/>
  <c r="Y834" i="3"/>
  <c r="AK834" i="3"/>
  <c r="AO834" i="3"/>
  <c r="AS834" i="3"/>
  <c r="AW834" i="3"/>
  <c r="BA834" i="3"/>
  <c r="C835" i="3"/>
  <c r="G835" i="3"/>
  <c r="K835" i="3"/>
  <c r="O835" i="3"/>
  <c r="S835" i="3"/>
  <c r="W835" i="3"/>
  <c r="AA835" i="3"/>
  <c r="AM835" i="3"/>
  <c r="AQ835" i="3"/>
  <c r="AU835" i="3"/>
  <c r="AY835" i="3"/>
  <c r="BB836" i="3"/>
  <c r="AZ836" i="3"/>
  <c r="AX836" i="3"/>
  <c r="AV836" i="3"/>
  <c r="AT836" i="3"/>
  <c r="AR836" i="3"/>
  <c r="AP836" i="3"/>
  <c r="AN836" i="3"/>
  <c r="AL836" i="3"/>
  <c r="AB836" i="3"/>
  <c r="Z836" i="3"/>
  <c r="X836" i="3"/>
  <c r="V836" i="3"/>
  <c r="T836" i="3"/>
  <c r="R836" i="3"/>
  <c r="P836" i="3"/>
  <c r="N836" i="3"/>
  <c r="L836" i="3"/>
  <c r="J836" i="3"/>
  <c r="H836" i="3"/>
  <c r="F836" i="3"/>
  <c r="D836" i="3"/>
  <c r="B836" i="3"/>
  <c r="E836" i="3"/>
  <c r="I836" i="3"/>
  <c r="M836" i="3"/>
  <c r="Q836" i="3"/>
  <c r="U836" i="3"/>
  <c r="Y836" i="3"/>
  <c r="AK836" i="3"/>
  <c r="AO836" i="3"/>
  <c r="AS836" i="3"/>
  <c r="AW836" i="3"/>
  <c r="BA836" i="3"/>
  <c r="C837" i="3"/>
  <c r="G837" i="3"/>
  <c r="K837" i="3"/>
  <c r="O837" i="3"/>
  <c r="S837" i="3"/>
  <c r="W837" i="3"/>
  <c r="AA837" i="3"/>
  <c r="AM837" i="3"/>
  <c r="AQ837" i="3"/>
  <c r="AU837" i="3"/>
  <c r="AY837" i="3"/>
  <c r="BB838" i="3"/>
  <c r="AZ838" i="3"/>
  <c r="AX838" i="3"/>
  <c r="AV838" i="3"/>
  <c r="AT838" i="3"/>
  <c r="AR838" i="3"/>
  <c r="AP838" i="3"/>
  <c r="AN838" i="3"/>
  <c r="AL838" i="3"/>
  <c r="AB838" i="3"/>
  <c r="Z838" i="3"/>
  <c r="X838" i="3"/>
  <c r="V838" i="3"/>
  <c r="T838" i="3"/>
  <c r="R838" i="3"/>
  <c r="P838" i="3"/>
  <c r="N838" i="3"/>
  <c r="L838" i="3"/>
  <c r="J838" i="3"/>
  <c r="H838" i="3"/>
  <c r="F838" i="3"/>
  <c r="D838" i="3"/>
  <c r="B838" i="3"/>
  <c r="E838" i="3"/>
  <c r="I838" i="3"/>
  <c r="M838" i="3"/>
  <c r="Q838" i="3"/>
  <c r="U838" i="3"/>
  <c r="Y838" i="3"/>
  <c r="AK838" i="3"/>
  <c r="AO838" i="3"/>
  <c r="AS838" i="3"/>
  <c r="AW838" i="3"/>
  <c r="BA838" i="3"/>
  <c r="C839" i="3"/>
  <c r="G839" i="3"/>
  <c r="K839" i="3"/>
  <c r="O839" i="3"/>
  <c r="S839" i="3"/>
  <c r="W839" i="3"/>
  <c r="AA839" i="3"/>
  <c r="AM839" i="3"/>
  <c r="AQ839" i="3"/>
  <c r="AU839" i="3"/>
  <c r="AY839" i="3"/>
  <c r="BB840" i="3"/>
  <c r="AZ840" i="3"/>
  <c r="AX840" i="3"/>
  <c r="AV840" i="3"/>
  <c r="AT840" i="3"/>
  <c r="AR840" i="3"/>
  <c r="AP840" i="3"/>
  <c r="AN840" i="3"/>
  <c r="AL840" i="3"/>
  <c r="AB840" i="3"/>
  <c r="Z840" i="3"/>
  <c r="X840" i="3"/>
  <c r="V840" i="3"/>
  <c r="T840" i="3"/>
  <c r="R840" i="3"/>
  <c r="P840" i="3"/>
  <c r="N840" i="3"/>
  <c r="L840" i="3"/>
  <c r="J840" i="3"/>
  <c r="H840" i="3"/>
  <c r="F840" i="3"/>
  <c r="D840" i="3"/>
  <c r="B840" i="3"/>
  <c r="E840" i="3"/>
  <c r="I840" i="3"/>
  <c r="M840" i="3"/>
  <c r="Q840" i="3"/>
  <c r="U840" i="3"/>
  <c r="Y840" i="3"/>
  <c r="AK840" i="3"/>
  <c r="AO840" i="3"/>
  <c r="AS840" i="3"/>
  <c r="AW840" i="3"/>
  <c r="BA840" i="3"/>
  <c r="C841" i="3"/>
  <c r="G841" i="3"/>
  <c r="K841" i="3"/>
  <c r="O841" i="3"/>
  <c r="S841" i="3"/>
  <c r="W841" i="3"/>
  <c r="AA841" i="3"/>
  <c r="AM841" i="3"/>
  <c r="AQ841" i="3"/>
  <c r="AU841" i="3"/>
  <c r="AY841" i="3"/>
  <c r="BB842" i="3"/>
  <c r="AZ842" i="3"/>
  <c r="AX842" i="3"/>
  <c r="AV842" i="3"/>
  <c r="AT842" i="3"/>
  <c r="AR842" i="3"/>
  <c r="AP842" i="3"/>
  <c r="AN842" i="3"/>
  <c r="AL842" i="3"/>
  <c r="AB842" i="3"/>
  <c r="Z842" i="3"/>
  <c r="X842" i="3"/>
  <c r="V842" i="3"/>
  <c r="T842" i="3"/>
  <c r="R842" i="3"/>
  <c r="P842" i="3"/>
  <c r="N842" i="3"/>
  <c r="L842" i="3"/>
  <c r="J842" i="3"/>
  <c r="H842" i="3"/>
  <c r="F842" i="3"/>
  <c r="D842" i="3"/>
  <c r="B842" i="3"/>
  <c r="E842" i="3"/>
  <c r="I842" i="3"/>
  <c r="M842" i="3"/>
  <c r="Q842" i="3"/>
  <c r="U842" i="3"/>
  <c r="Y842" i="3"/>
  <c r="AK842" i="3"/>
  <c r="AO842" i="3"/>
  <c r="AS842" i="3"/>
  <c r="AW842" i="3"/>
  <c r="BA842" i="3"/>
  <c r="C843" i="3"/>
  <c r="G843" i="3"/>
  <c r="K843" i="3"/>
  <c r="O843" i="3"/>
  <c r="S843" i="3"/>
  <c r="W843" i="3"/>
  <c r="AA843" i="3"/>
  <c r="AM843" i="3"/>
  <c r="AQ843" i="3"/>
  <c r="AU843" i="3"/>
  <c r="AY843" i="3"/>
  <c r="BB844" i="3"/>
  <c r="AZ844" i="3"/>
  <c r="AX844" i="3"/>
  <c r="AV844" i="3"/>
  <c r="AT844" i="3"/>
  <c r="AR844" i="3"/>
  <c r="AP844" i="3"/>
  <c r="AN844" i="3"/>
  <c r="AL844" i="3"/>
  <c r="AB844" i="3"/>
  <c r="Z844" i="3"/>
  <c r="X844" i="3"/>
  <c r="V844" i="3"/>
  <c r="T844" i="3"/>
  <c r="R844" i="3"/>
  <c r="P844" i="3"/>
  <c r="N844" i="3"/>
  <c r="L844" i="3"/>
  <c r="J844" i="3"/>
  <c r="H844" i="3"/>
  <c r="F844" i="3"/>
  <c r="D844" i="3"/>
  <c r="B844" i="3"/>
  <c r="E844" i="3"/>
  <c r="I844" i="3"/>
  <c r="M844" i="3"/>
  <c r="Q844" i="3"/>
  <c r="U844" i="3"/>
  <c r="Y844" i="3"/>
  <c r="AK844" i="3"/>
  <c r="AO844" i="3"/>
  <c r="AS844" i="3"/>
  <c r="AW844" i="3"/>
  <c r="BA844" i="3"/>
  <c r="C845" i="3"/>
  <c r="G845" i="3"/>
  <c r="K845" i="3"/>
  <c r="O845" i="3"/>
  <c r="S845" i="3"/>
  <c r="W845" i="3"/>
  <c r="AA845" i="3"/>
  <c r="AM845" i="3"/>
  <c r="AQ845" i="3"/>
  <c r="AU845" i="3"/>
  <c r="AY845" i="3"/>
  <c r="BB846" i="3"/>
  <c r="AZ846" i="3"/>
  <c r="AX846" i="3"/>
  <c r="AV846" i="3"/>
  <c r="AT846" i="3"/>
  <c r="AR846" i="3"/>
  <c r="AP846" i="3"/>
  <c r="AN846" i="3"/>
  <c r="AL846" i="3"/>
  <c r="AB846" i="3"/>
  <c r="Z846" i="3"/>
  <c r="X846" i="3"/>
  <c r="V846" i="3"/>
  <c r="T846" i="3"/>
  <c r="R846" i="3"/>
  <c r="P846" i="3"/>
  <c r="N846" i="3"/>
  <c r="L846" i="3"/>
  <c r="J846" i="3"/>
  <c r="H846" i="3"/>
  <c r="F846" i="3"/>
  <c r="D846" i="3"/>
  <c r="B846" i="3"/>
  <c r="E846" i="3"/>
  <c r="I846" i="3"/>
  <c r="M846" i="3"/>
  <c r="Q846" i="3"/>
  <c r="U846" i="3"/>
  <c r="Y846" i="3"/>
  <c r="AK846" i="3"/>
  <c r="AO846" i="3"/>
  <c r="AS846" i="3"/>
  <c r="AW846" i="3"/>
  <c r="BA846" i="3"/>
  <c r="C847" i="3"/>
  <c r="G847" i="3"/>
  <c r="K847" i="3"/>
  <c r="O847" i="3"/>
  <c r="S847" i="3"/>
  <c r="W847" i="3"/>
  <c r="AA847" i="3"/>
  <c r="AM847" i="3"/>
  <c r="AQ847" i="3"/>
  <c r="AU847" i="3"/>
  <c r="AY847" i="3"/>
  <c r="BB848" i="3"/>
  <c r="AZ848" i="3"/>
  <c r="AX848" i="3"/>
  <c r="AV848" i="3"/>
  <c r="AT848" i="3"/>
  <c r="AR848" i="3"/>
  <c r="AP848" i="3"/>
  <c r="AN848" i="3"/>
  <c r="AL848" i="3"/>
  <c r="AB848" i="3"/>
  <c r="Z848" i="3"/>
  <c r="X848" i="3"/>
  <c r="V848" i="3"/>
  <c r="T848" i="3"/>
  <c r="R848" i="3"/>
  <c r="P848" i="3"/>
  <c r="N848" i="3"/>
  <c r="L848" i="3"/>
  <c r="J848" i="3"/>
  <c r="H848" i="3"/>
  <c r="F848" i="3"/>
  <c r="D848" i="3"/>
  <c r="B848" i="3"/>
  <c r="E848" i="3"/>
  <c r="I848" i="3"/>
  <c r="M848" i="3"/>
  <c r="Q848" i="3"/>
  <c r="U848" i="3"/>
  <c r="Y848" i="3"/>
  <c r="AK848" i="3"/>
  <c r="AO848" i="3"/>
  <c r="AS848" i="3"/>
  <c r="AW848" i="3"/>
  <c r="BA848" i="3"/>
  <c r="C849" i="3"/>
  <c r="G849" i="3"/>
  <c r="K849" i="3"/>
  <c r="O849" i="3"/>
  <c r="S849" i="3"/>
  <c r="W849" i="3"/>
  <c r="AA849" i="3"/>
  <c r="AM849" i="3"/>
  <c r="AQ849" i="3"/>
  <c r="AU849" i="3"/>
  <c r="AY849" i="3"/>
  <c r="BB850" i="3"/>
  <c r="AZ850" i="3"/>
  <c r="AX850" i="3"/>
  <c r="AV850" i="3"/>
  <c r="AT850" i="3"/>
  <c r="AR850" i="3"/>
  <c r="AP850" i="3"/>
  <c r="AN850" i="3"/>
  <c r="AL850" i="3"/>
  <c r="AB850" i="3"/>
  <c r="Z850" i="3"/>
  <c r="X850" i="3"/>
  <c r="V850" i="3"/>
  <c r="T850" i="3"/>
  <c r="R850" i="3"/>
  <c r="P850" i="3"/>
  <c r="N850" i="3"/>
  <c r="L850" i="3"/>
  <c r="J850" i="3"/>
  <c r="H850" i="3"/>
  <c r="F850" i="3"/>
  <c r="D850" i="3"/>
  <c r="B850" i="3"/>
  <c r="E850" i="3"/>
  <c r="I850" i="3"/>
  <c r="M850" i="3"/>
  <c r="Q850" i="3"/>
  <c r="U850" i="3"/>
  <c r="Y850" i="3"/>
  <c r="AK850" i="3"/>
  <c r="AO850" i="3"/>
  <c r="AS850" i="3"/>
  <c r="AW850" i="3"/>
  <c r="BA850" i="3"/>
  <c r="C851" i="3"/>
  <c r="G851" i="3"/>
  <c r="K851" i="3"/>
  <c r="O851" i="3"/>
  <c r="S851" i="3"/>
  <c r="W851" i="3"/>
  <c r="AA851" i="3"/>
  <c r="AM851" i="3"/>
  <c r="AQ851" i="3"/>
  <c r="AU851" i="3"/>
  <c r="AY851" i="3"/>
  <c r="BB852" i="3"/>
  <c r="AZ852" i="3"/>
  <c r="AX852" i="3"/>
  <c r="AV852" i="3"/>
  <c r="AT852" i="3"/>
  <c r="AR852" i="3"/>
  <c r="AP852" i="3"/>
  <c r="AN852" i="3"/>
  <c r="AL852" i="3"/>
  <c r="AB852" i="3"/>
  <c r="Z852" i="3"/>
  <c r="X852" i="3"/>
  <c r="V852" i="3"/>
  <c r="T852" i="3"/>
  <c r="R852" i="3"/>
  <c r="P852" i="3"/>
  <c r="N852" i="3"/>
  <c r="L852" i="3"/>
  <c r="J852" i="3"/>
  <c r="H852" i="3"/>
  <c r="F852" i="3"/>
  <c r="D852" i="3"/>
  <c r="B852" i="3"/>
  <c r="BA852" i="3"/>
  <c r="AY852" i="3"/>
  <c r="AW852" i="3"/>
  <c r="E852" i="3"/>
  <c r="I852" i="3"/>
  <c r="M852" i="3"/>
  <c r="Q852" i="3"/>
  <c r="U852" i="3"/>
  <c r="Y852" i="3"/>
  <c r="AK852" i="3"/>
  <c r="AO852" i="3"/>
  <c r="AS852" i="3"/>
  <c r="C853" i="3"/>
  <c r="E853" i="3"/>
  <c r="G853" i="3"/>
  <c r="I853" i="3"/>
  <c r="K853" i="3"/>
  <c r="M853" i="3"/>
  <c r="O853" i="3"/>
  <c r="Q853" i="3"/>
  <c r="S853" i="3"/>
  <c r="U853" i="3"/>
  <c r="W853" i="3"/>
  <c r="Y853" i="3"/>
  <c r="AA853" i="3"/>
  <c r="AK853" i="3"/>
  <c r="AM853" i="3"/>
  <c r="AO853" i="3"/>
  <c r="AQ853" i="3"/>
  <c r="AS853" i="3"/>
  <c r="AU853" i="3"/>
  <c r="AW853" i="3"/>
  <c r="AY853" i="3"/>
  <c r="BA853" i="3"/>
  <c r="C854" i="3"/>
  <c r="E854" i="3"/>
  <c r="G854" i="3"/>
  <c r="I854" i="3"/>
  <c r="K854" i="3"/>
  <c r="M854" i="3"/>
  <c r="O854" i="3"/>
  <c r="Q854" i="3"/>
  <c r="S854" i="3"/>
  <c r="U854" i="3"/>
  <c r="W854" i="3"/>
  <c r="Y854" i="3"/>
  <c r="AA854" i="3"/>
  <c r="AK854" i="3"/>
  <c r="AM854" i="3"/>
  <c r="AO854" i="3"/>
  <c r="AQ854" i="3"/>
  <c r="AS854" i="3"/>
  <c r="AU854" i="3"/>
  <c r="AW854" i="3"/>
  <c r="AY854" i="3"/>
  <c r="BA854" i="3"/>
  <c r="C855" i="3"/>
  <c r="E855" i="3"/>
  <c r="G855" i="3"/>
  <c r="I855" i="3"/>
  <c r="K855" i="3"/>
  <c r="M855" i="3"/>
  <c r="O855" i="3"/>
  <c r="Q855" i="3"/>
  <c r="S855" i="3"/>
  <c r="U855" i="3"/>
  <c r="W855" i="3"/>
  <c r="Y855" i="3"/>
  <c r="AA855" i="3"/>
  <c r="AK855" i="3"/>
  <c r="AM855" i="3"/>
  <c r="AO855" i="3"/>
  <c r="AQ855" i="3"/>
  <c r="AS855" i="3"/>
  <c r="AU855" i="3"/>
  <c r="AW855" i="3"/>
  <c r="AY855" i="3"/>
  <c r="BA855" i="3"/>
  <c r="C856" i="3"/>
  <c r="E856" i="3"/>
  <c r="G856" i="3"/>
  <c r="I856" i="3"/>
  <c r="K856" i="3"/>
  <c r="M856" i="3"/>
  <c r="O856" i="3"/>
  <c r="Q856" i="3"/>
  <c r="S856" i="3"/>
  <c r="U856" i="3"/>
  <c r="W856" i="3"/>
  <c r="Y856" i="3"/>
  <c r="AA856" i="3"/>
  <c r="AK856" i="3"/>
  <c r="AM856" i="3"/>
  <c r="AO856" i="3"/>
  <c r="AQ856" i="3"/>
  <c r="AS856" i="3"/>
  <c r="AU856" i="3"/>
  <c r="AW856" i="3"/>
  <c r="AY856" i="3"/>
  <c r="BA856" i="3"/>
  <c r="C857" i="3"/>
  <c r="E857" i="3"/>
  <c r="G857" i="3"/>
  <c r="I857" i="3"/>
  <c r="K857" i="3"/>
  <c r="M857" i="3"/>
  <c r="O857" i="3"/>
  <c r="Q857" i="3"/>
  <c r="S857" i="3"/>
  <c r="U857" i="3"/>
  <c r="W857" i="3"/>
  <c r="Y857" i="3"/>
  <c r="AA857" i="3"/>
  <c r="AK857" i="3"/>
  <c r="AM857" i="3"/>
  <c r="AO857" i="3"/>
  <c r="AQ857" i="3"/>
  <c r="AS857" i="3"/>
  <c r="AU857" i="3"/>
  <c r="AW857" i="3"/>
  <c r="AY857" i="3"/>
  <c r="BA857" i="3"/>
  <c r="C858" i="3"/>
  <c r="E858" i="3"/>
  <c r="G858" i="3"/>
  <c r="I858" i="3"/>
  <c r="K858" i="3"/>
  <c r="M858" i="3"/>
  <c r="O858" i="3"/>
  <c r="Q858" i="3"/>
  <c r="S858" i="3"/>
  <c r="U858" i="3"/>
  <c r="W858" i="3"/>
  <c r="Y858" i="3"/>
  <c r="AA858" i="3"/>
  <c r="AK858" i="3"/>
  <c r="AM858" i="3"/>
  <c r="AO858" i="3"/>
  <c r="AQ858" i="3"/>
  <c r="AS858" i="3"/>
  <c r="AU858" i="3"/>
  <c r="AW858" i="3"/>
  <c r="AY858" i="3"/>
  <c r="BA858" i="3"/>
  <c r="C859" i="3"/>
  <c r="E859" i="3"/>
  <c r="G859" i="3"/>
  <c r="I859" i="3"/>
  <c r="K859" i="3"/>
  <c r="M859" i="3"/>
  <c r="O859" i="3"/>
  <c r="Q859" i="3"/>
  <c r="S859" i="3"/>
  <c r="U859" i="3"/>
  <c r="W859" i="3"/>
  <c r="Y859" i="3"/>
  <c r="AA859" i="3"/>
  <c r="AK859" i="3"/>
  <c r="AM859" i="3"/>
  <c r="AO859" i="3"/>
  <c r="AQ859" i="3"/>
  <c r="AS859" i="3"/>
  <c r="AU859" i="3"/>
  <c r="AW859" i="3"/>
  <c r="AY859" i="3"/>
  <c r="BA859" i="3"/>
  <c r="C860" i="3"/>
  <c r="E860" i="3"/>
  <c r="G860" i="3"/>
  <c r="I860" i="3"/>
  <c r="K860" i="3"/>
  <c r="M860" i="3"/>
  <c r="O860" i="3"/>
  <c r="Q860" i="3"/>
  <c r="S860" i="3"/>
  <c r="U860" i="3"/>
  <c r="W860" i="3"/>
  <c r="Y860" i="3"/>
  <c r="AA860" i="3"/>
  <c r="AK860" i="3"/>
  <c r="AM860" i="3"/>
  <c r="AO860" i="3"/>
  <c r="AQ860" i="3"/>
  <c r="AS860" i="3"/>
  <c r="AU860" i="3"/>
  <c r="AW860" i="3"/>
  <c r="AY860" i="3"/>
  <c r="BA860" i="3"/>
  <c r="C861" i="3"/>
  <c r="E861" i="3"/>
  <c r="G861" i="3"/>
  <c r="I861" i="3"/>
  <c r="K861" i="3"/>
  <c r="M861" i="3"/>
  <c r="O861" i="3"/>
  <c r="Q861" i="3"/>
  <c r="S861" i="3"/>
  <c r="U861" i="3"/>
  <c r="W861" i="3"/>
  <c r="Y861" i="3"/>
  <c r="AA861" i="3"/>
  <c r="AK861" i="3"/>
  <c r="AM861" i="3"/>
  <c r="AO861" i="3"/>
  <c r="AQ861" i="3"/>
  <c r="AS861" i="3"/>
  <c r="AU861" i="3"/>
  <c r="AW861" i="3"/>
  <c r="AY861" i="3"/>
  <c r="BA861" i="3"/>
  <c r="C862" i="3"/>
  <c r="E862" i="3"/>
  <c r="G862" i="3"/>
  <c r="I862" i="3"/>
  <c r="K862" i="3"/>
  <c r="M862" i="3"/>
  <c r="O862" i="3"/>
  <c r="Q862" i="3"/>
  <c r="S862" i="3"/>
  <c r="U862" i="3"/>
  <c r="W862" i="3"/>
  <c r="Y862" i="3"/>
  <c r="AA862" i="3"/>
  <c r="AK862" i="3"/>
  <c r="AM862" i="3"/>
  <c r="AO862" i="3"/>
  <c r="AQ862" i="3"/>
  <c r="AS862" i="3"/>
  <c r="AU862" i="3"/>
  <c r="AW862" i="3"/>
  <c r="AY862" i="3"/>
  <c r="BA862" i="3"/>
  <c r="C863" i="3"/>
  <c r="E863" i="3"/>
  <c r="G863" i="3"/>
  <c r="I863" i="3"/>
  <c r="K863" i="3"/>
  <c r="M863" i="3"/>
  <c r="O863" i="3"/>
  <c r="Q863" i="3"/>
  <c r="S863" i="3"/>
  <c r="U863" i="3"/>
  <c r="W863" i="3"/>
  <c r="Y863" i="3"/>
  <c r="AA863" i="3"/>
  <c r="AK863" i="3"/>
  <c r="AM863" i="3"/>
  <c r="AO863" i="3"/>
  <c r="AQ863" i="3"/>
  <c r="AS863" i="3"/>
  <c r="AU863" i="3"/>
  <c r="AW863" i="3"/>
  <c r="AY863" i="3"/>
  <c r="BA863" i="3"/>
  <c r="C864" i="3"/>
  <c r="E864" i="3"/>
  <c r="G864" i="3"/>
  <c r="I864" i="3"/>
  <c r="K864" i="3"/>
  <c r="M864" i="3"/>
  <c r="O864" i="3"/>
  <c r="Q864" i="3"/>
  <c r="S864" i="3"/>
  <c r="U864" i="3"/>
  <c r="W864" i="3"/>
  <c r="Y864" i="3"/>
  <c r="AA864" i="3"/>
  <c r="AK864" i="3"/>
  <c r="AM864" i="3"/>
  <c r="AO864" i="3"/>
  <c r="AQ864" i="3"/>
  <c r="AS864" i="3"/>
  <c r="AU864" i="3"/>
  <c r="AW864" i="3"/>
  <c r="AY864" i="3"/>
  <c r="BA864" i="3"/>
  <c r="C865" i="3"/>
  <c r="E865" i="3"/>
  <c r="G865" i="3"/>
  <c r="I865" i="3"/>
  <c r="K865" i="3"/>
  <c r="M865" i="3"/>
  <c r="O865" i="3"/>
  <c r="Q865" i="3"/>
  <c r="S865" i="3"/>
  <c r="U865" i="3"/>
  <c r="W865" i="3"/>
  <c r="Y865" i="3"/>
  <c r="AA865" i="3"/>
  <c r="AK865" i="3"/>
  <c r="AM865" i="3"/>
  <c r="AO865" i="3"/>
  <c r="AQ865" i="3"/>
  <c r="AS865" i="3"/>
  <c r="AU865" i="3"/>
  <c r="AW865" i="3"/>
  <c r="AY865" i="3"/>
  <c r="BA865" i="3"/>
  <c r="C866" i="3"/>
  <c r="E866" i="3"/>
  <c r="G866" i="3"/>
  <c r="I866" i="3"/>
  <c r="K866" i="3"/>
  <c r="M866" i="3"/>
  <c r="O866" i="3"/>
  <c r="Q866" i="3"/>
  <c r="S866" i="3"/>
  <c r="U866" i="3"/>
  <c r="W866" i="3"/>
  <c r="Y866" i="3"/>
  <c r="AA866" i="3"/>
  <c r="AK866" i="3"/>
  <c r="AM866" i="3"/>
  <c r="AO866" i="3"/>
  <c r="AQ866" i="3"/>
  <c r="AS866" i="3"/>
  <c r="AU866" i="3"/>
  <c r="AW866" i="3"/>
  <c r="AY866" i="3"/>
  <c r="BA866" i="3"/>
  <c r="C867" i="3"/>
  <c r="E867" i="3"/>
  <c r="G867" i="3"/>
  <c r="I867" i="3"/>
  <c r="K867" i="3"/>
  <c r="M867" i="3"/>
  <c r="O867" i="3"/>
  <c r="Q867" i="3"/>
  <c r="S867" i="3"/>
  <c r="U867" i="3"/>
  <c r="W867" i="3"/>
  <c r="Y867" i="3"/>
  <c r="AA867" i="3"/>
  <c r="AK867" i="3"/>
  <c r="AM867" i="3"/>
  <c r="AO867" i="3"/>
  <c r="AQ867" i="3"/>
  <c r="AS867" i="3"/>
  <c r="AU867" i="3"/>
  <c r="AW867" i="3"/>
  <c r="AY867" i="3"/>
  <c r="BA867" i="3"/>
  <c r="C868" i="3"/>
  <c r="E868" i="3"/>
  <c r="G868" i="3"/>
  <c r="I868" i="3"/>
  <c r="K868" i="3"/>
  <c r="M868" i="3"/>
  <c r="O868" i="3"/>
  <c r="Q868" i="3"/>
  <c r="S868" i="3"/>
  <c r="U868" i="3"/>
  <c r="W868" i="3"/>
  <c r="Y868" i="3"/>
  <c r="AA868" i="3"/>
  <c r="AK868" i="3"/>
  <c r="AM868" i="3"/>
  <c r="AO868" i="3"/>
  <c r="AQ868" i="3"/>
  <c r="AS868" i="3"/>
  <c r="AU868" i="3"/>
  <c r="AW868" i="3"/>
  <c r="AY868" i="3"/>
  <c r="BA868" i="3"/>
  <c r="C869" i="3"/>
  <c r="E869" i="3"/>
  <c r="G869" i="3"/>
  <c r="I869" i="3"/>
  <c r="K869" i="3"/>
  <c r="M869" i="3"/>
  <c r="O869" i="3"/>
  <c r="Q869" i="3"/>
  <c r="S869" i="3"/>
  <c r="U869" i="3"/>
  <c r="W869" i="3"/>
  <c r="Y869" i="3"/>
  <c r="AA869" i="3"/>
  <c r="AK869" i="3"/>
  <c r="AM869" i="3"/>
  <c r="AO869" i="3"/>
  <c r="AQ869" i="3"/>
  <c r="AS869" i="3"/>
  <c r="AU869" i="3"/>
  <c r="AW869" i="3"/>
  <c r="AY869" i="3"/>
  <c r="BA869" i="3"/>
  <c r="C870" i="3"/>
  <c r="E870" i="3"/>
  <c r="G870" i="3"/>
  <c r="I870" i="3"/>
  <c r="K870" i="3"/>
  <c r="M870" i="3"/>
  <c r="O870" i="3"/>
  <c r="Q870" i="3"/>
  <c r="S870" i="3"/>
  <c r="U870" i="3"/>
  <c r="W870" i="3"/>
  <c r="Y870" i="3"/>
  <c r="AA870" i="3"/>
  <c r="AK870" i="3"/>
  <c r="AM870" i="3"/>
  <c r="AO870" i="3"/>
  <c r="AQ870" i="3"/>
  <c r="AS870" i="3"/>
  <c r="AU870" i="3"/>
  <c r="AW870" i="3"/>
  <c r="AY870" i="3"/>
  <c r="BA870" i="3"/>
  <c r="C871" i="3"/>
  <c r="E871" i="3"/>
  <c r="G871" i="3"/>
  <c r="I871" i="3"/>
  <c r="K871" i="3"/>
  <c r="M871" i="3"/>
  <c r="O871" i="3"/>
  <c r="Q871" i="3"/>
  <c r="S871" i="3"/>
  <c r="U871" i="3"/>
  <c r="W871" i="3"/>
  <c r="Y871" i="3"/>
  <c r="AA871" i="3"/>
  <c r="AK871" i="3"/>
  <c r="AM871" i="3"/>
  <c r="AO871" i="3"/>
  <c r="AQ871" i="3"/>
  <c r="AS871" i="3"/>
  <c r="AU871" i="3"/>
  <c r="AW871" i="3"/>
  <c r="AY871" i="3"/>
  <c r="BA871" i="3"/>
  <c r="C872" i="3"/>
  <c r="E872" i="3"/>
  <c r="G872" i="3"/>
  <c r="I872" i="3"/>
  <c r="K872" i="3"/>
  <c r="M872" i="3"/>
  <c r="O872" i="3"/>
  <c r="Q872" i="3"/>
  <c r="S872" i="3"/>
  <c r="U872" i="3"/>
  <c r="W872" i="3"/>
  <c r="Y872" i="3"/>
  <c r="AA872" i="3"/>
  <c r="AK872" i="3"/>
  <c r="AM872" i="3"/>
  <c r="AO872" i="3"/>
  <c r="AQ872" i="3"/>
  <c r="AS872" i="3"/>
  <c r="AU872" i="3"/>
  <c r="AW872" i="3"/>
  <c r="AY872" i="3"/>
  <c r="BA872" i="3"/>
  <c r="C873" i="3"/>
  <c r="E873" i="3"/>
  <c r="G873" i="3"/>
  <c r="I873" i="3"/>
  <c r="K873" i="3"/>
  <c r="M873" i="3"/>
  <c r="O873" i="3"/>
  <c r="Q873" i="3"/>
  <c r="S873" i="3"/>
  <c r="U873" i="3"/>
  <c r="W873" i="3"/>
  <c r="Y873" i="3"/>
  <c r="AA873" i="3"/>
  <c r="AK873" i="3"/>
  <c r="AM873" i="3"/>
  <c r="AO873" i="3"/>
  <c r="AQ873" i="3"/>
  <c r="AS873" i="3"/>
  <c r="AU873" i="3"/>
  <c r="AW873" i="3"/>
  <c r="AY873" i="3"/>
  <c r="BA873" i="3"/>
  <c r="C874" i="3"/>
  <c r="E874" i="3"/>
  <c r="G874" i="3"/>
  <c r="I874" i="3"/>
  <c r="K874" i="3"/>
  <c r="M874" i="3"/>
  <c r="O874" i="3"/>
  <c r="Q874" i="3"/>
  <c r="S874" i="3"/>
  <c r="U874" i="3"/>
  <c r="W874" i="3"/>
  <c r="Y874" i="3"/>
  <c r="AA874" i="3"/>
  <c r="AK874" i="3"/>
  <c r="AM874" i="3"/>
  <c r="AO874" i="3"/>
  <c r="AQ874" i="3"/>
  <c r="AS874" i="3"/>
  <c r="AU874" i="3"/>
  <c r="AW874" i="3"/>
  <c r="AY874" i="3"/>
  <c r="BA874" i="3"/>
  <c r="C875" i="3"/>
  <c r="E875" i="3"/>
  <c r="G875" i="3"/>
  <c r="I875" i="3"/>
  <c r="K875" i="3"/>
  <c r="M875" i="3"/>
  <c r="O875" i="3"/>
  <c r="Q875" i="3"/>
  <c r="S875" i="3"/>
  <c r="U875" i="3"/>
  <c r="W875" i="3"/>
  <c r="Y875" i="3"/>
  <c r="AA875" i="3"/>
  <c r="AK875" i="3"/>
  <c r="AM875" i="3"/>
  <c r="AO875" i="3"/>
  <c r="AQ875" i="3"/>
  <c r="AS875" i="3"/>
  <c r="AU875" i="3"/>
  <c r="AW875" i="3"/>
  <c r="AY875" i="3"/>
  <c r="BA875" i="3"/>
  <c r="C876" i="3"/>
  <c r="E876" i="3"/>
  <c r="G876" i="3"/>
  <c r="I876" i="3"/>
  <c r="K876" i="3"/>
  <c r="M876" i="3"/>
  <c r="O876" i="3"/>
  <c r="Q876" i="3"/>
  <c r="S876" i="3"/>
  <c r="U876" i="3"/>
  <c r="W876" i="3"/>
  <c r="Y876" i="3"/>
  <c r="AA876" i="3"/>
  <c r="AK876" i="3"/>
  <c r="AM876" i="3"/>
  <c r="AO876" i="3"/>
  <c r="AQ876" i="3"/>
  <c r="AS876" i="3"/>
  <c r="AU876" i="3"/>
  <c r="AW876" i="3"/>
  <c r="AY876" i="3"/>
  <c r="BA876" i="3"/>
  <c r="C877" i="3"/>
  <c r="E877" i="3"/>
  <c r="G877" i="3"/>
  <c r="I877" i="3"/>
  <c r="K877" i="3"/>
  <c r="M877" i="3"/>
  <c r="O877" i="3"/>
  <c r="Q877" i="3"/>
  <c r="S877" i="3"/>
  <c r="U877" i="3"/>
  <c r="W877" i="3"/>
  <c r="Y877" i="3"/>
  <c r="AA877" i="3"/>
  <c r="AK877" i="3"/>
  <c r="AM877" i="3"/>
  <c r="AO877" i="3"/>
  <c r="AQ877" i="3"/>
  <c r="AS877" i="3"/>
  <c r="AU877" i="3"/>
  <c r="AW877" i="3"/>
  <c r="AY877" i="3"/>
  <c r="BA877" i="3"/>
  <c r="C878" i="3"/>
  <c r="E878" i="3"/>
  <c r="G878" i="3"/>
  <c r="I878" i="3"/>
  <c r="K878" i="3"/>
  <c r="M878" i="3"/>
  <c r="O878" i="3"/>
  <c r="Q878" i="3"/>
  <c r="S878" i="3"/>
  <c r="U878" i="3"/>
  <c r="W878" i="3"/>
  <c r="Y878" i="3"/>
  <c r="AA878" i="3"/>
  <c r="AK878" i="3"/>
  <c r="AM878" i="3"/>
  <c r="AO878" i="3"/>
  <c r="AQ878" i="3"/>
  <c r="AS878" i="3"/>
  <c r="AU878" i="3"/>
  <c r="AW878" i="3"/>
  <c r="AY878" i="3"/>
  <c r="BA878" i="3"/>
  <c r="C879" i="3"/>
  <c r="E879" i="3"/>
  <c r="G879" i="3"/>
  <c r="I879" i="3"/>
  <c r="K879" i="3"/>
  <c r="M879" i="3"/>
  <c r="O879" i="3"/>
  <c r="Q879" i="3"/>
  <c r="S879" i="3"/>
  <c r="U879" i="3"/>
  <c r="W879" i="3"/>
  <c r="Y879" i="3"/>
  <c r="AA879" i="3"/>
  <c r="AK879" i="3"/>
  <c r="AM879" i="3"/>
  <c r="AO879" i="3"/>
  <c r="AQ879" i="3"/>
  <c r="AS879" i="3"/>
  <c r="AU879" i="3"/>
  <c r="AW879" i="3"/>
  <c r="AY879" i="3"/>
  <c r="BA879" i="3"/>
  <c r="C880" i="3"/>
  <c r="E880" i="3"/>
  <c r="G880" i="3"/>
  <c r="I880" i="3"/>
  <c r="K880" i="3"/>
  <c r="M880" i="3"/>
  <c r="O880" i="3"/>
  <c r="Q880" i="3"/>
  <c r="S880" i="3"/>
  <c r="U880" i="3"/>
  <c r="W880" i="3"/>
  <c r="Y880" i="3"/>
  <c r="AA880" i="3"/>
  <c r="AK880" i="3"/>
  <c r="AM880" i="3"/>
  <c r="AO880" i="3"/>
  <c r="AQ880" i="3"/>
  <c r="AS880" i="3"/>
  <c r="AU880" i="3"/>
  <c r="AW880" i="3"/>
  <c r="AY880" i="3"/>
  <c r="BA880" i="3"/>
  <c r="C881" i="3"/>
  <c r="E881" i="3"/>
  <c r="G881" i="3"/>
  <c r="I881" i="3"/>
  <c r="K881" i="3"/>
  <c r="M881" i="3"/>
  <c r="O881" i="3"/>
  <c r="Q881" i="3"/>
  <c r="S881" i="3"/>
  <c r="U881" i="3"/>
  <c r="W881" i="3"/>
  <c r="Y881" i="3"/>
  <c r="AA881" i="3"/>
  <c r="AK881" i="3"/>
  <c r="AM881" i="3"/>
  <c r="AO881" i="3"/>
  <c r="AQ881" i="3"/>
  <c r="AS881" i="3"/>
  <c r="AU881" i="3"/>
  <c r="AW881" i="3"/>
  <c r="AY881" i="3"/>
  <c r="BA881" i="3"/>
  <c r="C882" i="3"/>
  <c r="E882" i="3"/>
  <c r="G882" i="3"/>
  <c r="I882" i="3"/>
  <c r="K882" i="3"/>
  <c r="M882" i="3"/>
  <c r="O882" i="3"/>
  <c r="Q882" i="3"/>
  <c r="S882" i="3"/>
  <c r="U882" i="3"/>
  <c r="W882" i="3"/>
  <c r="Y882" i="3"/>
  <c r="AA882" i="3"/>
  <c r="AK882" i="3"/>
  <c r="AM882" i="3"/>
  <c r="AO882" i="3"/>
  <c r="AQ882" i="3"/>
  <c r="AS882" i="3"/>
  <c r="AU882" i="3"/>
  <c r="AW882" i="3"/>
  <c r="AY882" i="3"/>
  <c r="BA882" i="3"/>
  <c r="BA883" i="3"/>
  <c r="AY883" i="3"/>
  <c r="AW883" i="3"/>
  <c r="AU883" i="3"/>
  <c r="AS883" i="3"/>
  <c r="AQ883" i="3"/>
  <c r="AO883" i="3"/>
  <c r="AM883" i="3"/>
  <c r="C883" i="3"/>
  <c r="E883" i="3"/>
  <c r="G883" i="3"/>
  <c r="I883" i="3"/>
  <c r="K883" i="3"/>
  <c r="M883" i="3"/>
  <c r="O883" i="3"/>
  <c r="Q883" i="3"/>
  <c r="S883" i="3"/>
  <c r="U883" i="3"/>
  <c r="W883" i="3"/>
  <c r="Y883" i="3"/>
  <c r="AA883" i="3"/>
  <c r="AK883" i="3"/>
  <c r="AN883" i="3"/>
  <c r="AR883" i="3"/>
  <c r="AV883" i="3"/>
  <c r="AZ883" i="3"/>
  <c r="BB985" i="3"/>
  <c r="AZ985" i="3"/>
  <c r="AX985" i="3"/>
  <c r="AV985" i="3"/>
  <c r="AT985" i="3"/>
  <c r="AR985" i="3"/>
  <c r="AP985" i="3"/>
  <c r="AN985" i="3"/>
  <c r="AL985" i="3"/>
  <c r="AB985" i="3"/>
  <c r="Z985" i="3"/>
  <c r="X985" i="3"/>
  <c r="V985" i="3"/>
  <c r="T985" i="3"/>
  <c r="R985" i="3"/>
  <c r="P985" i="3"/>
  <c r="N985" i="3"/>
  <c r="L985" i="3"/>
  <c r="J985" i="3"/>
  <c r="H985" i="3"/>
  <c r="F985" i="3"/>
  <c r="D985" i="3"/>
  <c r="B985" i="3"/>
  <c r="AY985" i="3"/>
  <c r="AU985" i="3"/>
  <c r="AQ985" i="3"/>
  <c r="AM985" i="3"/>
  <c r="AA985" i="3"/>
  <c r="W985" i="3"/>
  <c r="S985" i="3"/>
  <c r="O985" i="3"/>
  <c r="K985" i="3"/>
  <c r="G985" i="3"/>
  <c r="C985" i="3"/>
  <c r="BA985" i="3"/>
  <c r="AS985" i="3"/>
  <c r="AK985" i="3"/>
  <c r="U985" i="3"/>
  <c r="M985" i="3"/>
  <c r="E985" i="3"/>
  <c r="AW985" i="3"/>
  <c r="Y985" i="3"/>
  <c r="I985" i="3"/>
  <c r="Q985" i="3"/>
  <c r="BB989" i="3"/>
  <c r="AZ989" i="3"/>
  <c r="AX989" i="3"/>
  <c r="AV989" i="3"/>
  <c r="AT989" i="3"/>
  <c r="AR989" i="3"/>
  <c r="AP989" i="3"/>
  <c r="AN989" i="3"/>
  <c r="AL989" i="3"/>
  <c r="AB989" i="3"/>
  <c r="Z989" i="3"/>
  <c r="X989" i="3"/>
  <c r="V989" i="3"/>
  <c r="T989" i="3"/>
  <c r="R989" i="3"/>
  <c r="P989" i="3"/>
  <c r="N989" i="3"/>
  <c r="L989" i="3"/>
  <c r="J989" i="3"/>
  <c r="H989" i="3"/>
  <c r="F989" i="3"/>
  <c r="D989" i="3"/>
  <c r="B989" i="3"/>
  <c r="AY989" i="3"/>
  <c r="AU989" i="3"/>
  <c r="AQ989" i="3"/>
  <c r="AM989" i="3"/>
  <c r="AA989" i="3"/>
  <c r="W989" i="3"/>
  <c r="S989" i="3"/>
  <c r="O989" i="3"/>
  <c r="K989" i="3"/>
  <c r="G989" i="3"/>
  <c r="C989" i="3"/>
  <c r="BA989" i="3"/>
  <c r="AS989" i="3"/>
  <c r="AK989" i="3"/>
  <c r="U989" i="3"/>
  <c r="M989" i="3"/>
  <c r="E989" i="3"/>
  <c r="AW989" i="3"/>
  <c r="Y989" i="3"/>
  <c r="I989" i="3"/>
  <c r="Q989" i="3"/>
  <c r="B853" i="3"/>
  <c r="D853" i="3"/>
  <c r="F853" i="3"/>
  <c r="H853" i="3"/>
  <c r="J853" i="3"/>
  <c r="L853" i="3"/>
  <c r="N853" i="3"/>
  <c r="P853" i="3"/>
  <c r="R853" i="3"/>
  <c r="T853" i="3"/>
  <c r="V853" i="3"/>
  <c r="X853" i="3"/>
  <c r="Z853" i="3"/>
  <c r="AB853" i="3"/>
  <c r="AL853" i="3"/>
  <c r="AN853" i="3"/>
  <c r="AP853" i="3"/>
  <c r="AR853" i="3"/>
  <c r="AT853" i="3"/>
  <c r="AV853" i="3"/>
  <c r="AX853" i="3"/>
  <c r="AZ853" i="3"/>
  <c r="B854" i="3"/>
  <c r="D854" i="3"/>
  <c r="F854" i="3"/>
  <c r="H854" i="3"/>
  <c r="J854" i="3"/>
  <c r="L854" i="3"/>
  <c r="N854" i="3"/>
  <c r="P854" i="3"/>
  <c r="R854" i="3"/>
  <c r="T854" i="3"/>
  <c r="V854" i="3"/>
  <c r="X854" i="3"/>
  <c r="Z854" i="3"/>
  <c r="AB854" i="3"/>
  <c r="AL854" i="3"/>
  <c r="AN854" i="3"/>
  <c r="AP854" i="3"/>
  <c r="AR854" i="3"/>
  <c r="AT854" i="3"/>
  <c r="AV854" i="3"/>
  <c r="AX854" i="3"/>
  <c r="AZ854" i="3"/>
  <c r="B855" i="3"/>
  <c r="D855" i="3"/>
  <c r="F855" i="3"/>
  <c r="H855" i="3"/>
  <c r="J855" i="3"/>
  <c r="L855" i="3"/>
  <c r="N855" i="3"/>
  <c r="P855" i="3"/>
  <c r="R855" i="3"/>
  <c r="T855" i="3"/>
  <c r="V855" i="3"/>
  <c r="X855" i="3"/>
  <c r="Z855" i="3"/>
  <c r="AB855" i="3"/>
  <c r="AL855" i="3"/>
  <c r="AN855" i="3"/>
  <c r="AP855" i="3"/>
  <c r="AR855" i="3"/>
  <c r="AT855" i="3"/>
  <c r="AV855" i="3"/>
  <c r="AX855" i="3"/>
  <c r="AZ855" i="3"/>
  <c r="B856" i="3"/>
  <c r="D856" i="3"/>
  <c r="F856" i="3"/>
  <c r="H856" i="3"/>
  <c r="J856" i="3"/>
  <c r="L856" i="3"/>
  <c r="N856" i="3"/>
  <c r="P856" i="3"/>
  <c r="R856" i="3"/>
  <c r="T856" i="3"/>
  <c r="V856" i="3"/>
  <c r="X856" i="3"/>
  <c r="Z856" i="3"/>
  <c r="AB856" i="3"/>
  <c r="AL856" i="3"/>
  <c r="AN856" i="3"/>
  <c r="AP856" i="3"/>
  <c r="AR856" i="3"/>
  <c r="AT856" i="3"/>
  <c r="AV856" i="3"/>
  <c r="AX856" i="3"/>
  <c r="AZ856" i="3"/>
  <c r="B857" i="3"/>
  <c r="D857" i="3"/>
  <c r="F857" i="3"/>
  <c r="H857" i="3"/>
  <c r="J857" i="3"/>
  <c r="L857" i="3"/>
  <c r="N857" i="3"/>
  <c r="P857" i="3"/>
  <c r="R857" i="3"/>
  <c r="T857" i="3"/>
  <c r="V857" i="3"/>
  <c r="X857" i="3"/>
  <c r="Z857" i="3"/>
  <c r="AB857" i="3"/>
  <c r="AL857" i="3"/>
  <c r="AN857" i="3"/>
  <c r="AP857" i="3"/>
  <c r="AR857" i="3"/>
  <c r="AT857" i="3"/>
  <c r="AV857" i="3"/>
  <c r="AX857" i="3"/>
  <c r="AZ857" i="3"/>
  <c r="B858" i="3"/>
  <c r="D858" i="3"/>
  <c r="F858" i="3"/>
  <c r="H858" i="3"/>
  <c r="J858" i="3"/>
  <c r="L858" i="3"/>
  <c r="N858" i="3"/>
  <c r="P858" i="3"/>
  <c r="R858" i="3"/>
  <c r="T858" i="3"/>
  <c r="V858" i="3"/>
  <c r="X858" i="3"/>
  <c r="Z858" i="3"/>
  <c r="AB858" i="3"/>
  <c r="AL858" i="3"/>
  <c r="AN858" i="3"/>
  <c r="AP858" i="3"/>
  <c r="AR858" i="3"/>
  <c r="AT858" i="3"/>
  <c r="AV858" i="3"/>
  <c r="AX858" i="3"/>
  <c r="AZ858" i="3"/>
  <c r="B859" i="3"/>
  <c r="D859" i="3"/>
  <c r="F859" i="3"/>
  <c r="H859" i="3"/>
  <c r="J859" i="3"/>
  <c r="L859" i="3"/>
  <c r="N859" i="3"/>
  <c r="P859" i="3"/>
  <c r="R859" i="3"/>
  <c r="T859" i="3"/>
  <c r="V859" i="3"/>
  <c r="X859" i="3"/>
  <c r="Z859" i="3"/>
  <c r="AB859" i="3"/>
  <c r="AL859" i="3"/>
  <c r="AN859" i="3"/>
  <c r="AP859" i="3"/>
  <c r="AR859" i="3"/>
  <c r="AT859" i="3"/>
  <c r="AV859" i="3"/>
  <c r="AX859" i="3"/>
  <c r="AZ859" i="3"/>
  <c r="B860" i="3"/>
  <c r="D860" i="3"/>
  <c r="F860" i="3"/>
  <c r="H860" i="3"/>
  <c r="J860" i="3"/>
  <c r="L860" i="3"/>
  <c r="N860" i="3"/>
  <c r="P860" i="3"/>
  <c r="R860" i="3"/>
  <c r="T860" i="3"/>
  <c r="V860" i="3"/>
  <c r="X860" i="3"/>
  <c r="Z860" i="3"/>
  <c r="AB860" i="3"/>
  <c r="AL860" i="3"/>
  <c r="AN860" i="3"/>
  <c r="AP860" i="3"/>
  <c r="AR860" i="3"/>
  <c r="AT860" i="3"/>
  <c r="AV860" i="3"/>
  <c r="AX860" i="3"/>
  <c r="AZ860" i="3"/>
  <c r="B861" i="3"/>
  <c r="D861" i="3"/>
  <c r="F861" i="3"/>
  <c r="H861" i="3"/>
  <c r="J861" i="3"/>
  <c r="L861" i="3"/>
  <c r="N861" i="3"/>
  <c r="P861" i="3"/>
  <c r="R861" i="3"/>
  <c r="T861" i="3"/>
  <c r="V861" i="3"/>
  <c r="X861" i="3"/>
  <c r="Z861" i="3"/>
  <c r="AB861" i="3"/>
  <c r="AL861" i="3"/>
  <c r="AN861" i="3"/>
  <c r="AP861" i="3"/>
  <c r="AR861" i="3"/>
  <c r="AT861" i="3"/>
  <c r="AV861" i="3"/>
  <c r="AX861" i="3"/>
  <c r="AZ861" i="3"/>
  <c r="B862" i="3"/>
  <c r="D862" i="3"/>
  <c r="F862" i="3"/>
  <c r="H862" i="3"/>
  <c r="J862" i="3"/>
  <c r="L862" i="3"/>
  <c r="N862" i="3"/>
  <c r="P862" i="3"/>
  <c r="R862" i="3"/>
  <c r="T862" i="3"/>
  <c r="V862" i="3"/>
  <c r="X862" i="3"/>
  <c r="Z862" i="3"/>
  <c r="AB862" i="3"/>
  <c r="AL862" i="3"/>
  <c r="AN862" i="3"/>
  <c r="AP862" i="3"/>
  <c r="AR862" i="3"/>
  <c r="AT862" i="3"/>
  <c r="AV862" i="3"/>
  <c r="AX862" i="3"/>
  <c r="AZ862" i="3"/>
  <c r="B863" i="3"/>
  <c r="D863" i="3"/>
  <c r="F863" i="3"/>
  <c r="H863" i="3"/>
  <c r="J863" i="3"/>
  <c r="L863" i="3"/>
  <c r="N863" i="3"/>
  <c r="P863" i="3"/>
  <c r="R863" i="3"/>
  <c r="T863" i="3"/>
  <c r="V863" i="3"/>
  <c r="X863" i="3"/>
  <c r="Z863" i="3"/>
  <c r="AB863" i="3"/>
  <c r="AL863" i="3"/>
  <c r="AN863" i="3"/>
  <c r="AP863" i="3"/>
  <c r="AR863" i="3"/>
  <c r="AT863" i="3"/>
  <c r="AV863" i="3"/>
  <c r="AX863" i="3"/>
  <c r="AZ863" i="3"/>
  <c r="B864" i="3"/>
  <c r="D864" i="3"/>
  <c r="F864" i="3"/>
  <c r="H864" i="3"/>
  <c r="J864" i="3"/>
  <c r="L864" i="3"/>
  <c r="N864" i="3"/>
  <c r="P864" i="3"/>
  <c r="R864" i="3"/>
  <c r="T864" i="3"/>
  <c r="V864" i="3"/>
  <c r="X864" i="3"/>
  <c r="Z864" i="3"/>
  <c r="AB864" i="3"/>
  <c r="AL864" i="3"/>
  <c r="AN864" i="3"/>
  <c r="AP864" i="3"/>
  <c r="AR864" i="3"/>
  <c r="AT864" i="3"/>
  <c r="AV864" i="3"/>
  <c r="AX864" i="3"/>
  <c r="AZ864" i="3"/>
  <c r="B865" i="3"/>
  <c r="D865" i="3"/>
  <c r="F865" i="3"/>
  <c r="H865" i="3"/>
  <c r="J865" i="3"/>
  <c r="L865" i="3"/>
  <c r="N865" i="3"/>
  <c r="P865" i="3"/>
  <c r="R865" i="3"/>
  <c r="T865" i="3"/>
  <c r="V865" i="3"/>
  <c r="X865" i="3"/>
  <c r="Z865" i="3"/>
  <c r="AB865" i="3"/>
  <c r="AL865" i="3"/>
  <c r="AN865" i="3"/>
  <c r="AP865" i="3"/>
  <c r="AR865" i="3"/>
  <c r="AT865" i="3"/>
  <c r="AV865" i="3"/>
  <c r="AX865" i="3"/>
  <c r="AZ865" i="3"/>
  <c r="B866" i="3"/>
  <c r="D866" i="3"/>
  <c r="F866" i="3"/>
  <c r="H866" i="3"/>
  <c r="J866" i="3"/>
  <c r="L866" i="3"/>
  <c r="N866" i="3"/>
  <c r="P866" i="3"/>
  <c r="R866" i="3"/>
  <c r="T866" i="3"/>
  <c r="V866" i="3"/>
  <c r="X866" i="3"/>
  <c r="Z866" i="3"/>
  <c r="AB866" i="3"/>
  <c r="AL866" i="3"/>
  <c r="AN866" i="3"/>
  <c r="AP866" i="3"/>
  <c r="AR866" i="3"/>
  <c r="AT866" i="3"/>
  <c r="AV866" i="3"/>
  <c r="AX866" i="3"/>
  <c r="AZ866" i="3"/>
  <c r="B867" i="3"/>
  <c r="D867" i="3"/>
  <c r="F867" i="3"/>
  <c r="H867" i="3"/>
  <c r="J867" i="3"/>
  <c r="L867" i="3"/>
  <c r="N867" i="3"/>
  <c r="P867" i="3"/>
  <c r="R867" i="3"/>
  <c r="T867" i="3"/>
  <c r="V867" i="3"/>
  <c r="X867" i="3"/>
  <c r="Z867" i="3"/>
  <c r="AB867" i="3"/>
  <c r="AL867" i="3"/>
  <c r="AN867" i="3"/>
  <c r="AP867" i="3"/>
  <c r="AR867" i="3"/>
  <c r="AT867" i="3"/>
  <c r="AV867" i="3"/>
  <c r="AX867" i="3"/>
  <c r="AZ867" i="3"/>
  <c r="B868" i="3"/>
  <c r="D868" i="3"/>
  <c r="F868" i="3"/>
  <c r="H868" i="3"/>
  <c r="J868" i="3"/>
  <c r="L868" i="3"/>
  <c r="N868" i="3"/>
  <c r="P868" i="3"/>
  <c r="R868" i="3"/>
  <c r="T868" i="3"/>
  <c r="V868" i="3"/>
  <c r="X868" i="3"/>
  <c r="Z868" i="3"/>
  <c r="AB868" i="3"/>
  <c r="AL868" i="3"/>
  <c r="AN868" i="3"/>
  <c r="AP868" i="3"/>
  <c r="AR868" i="3"/>
  <c r="AT868" i="3"/>
  <c r="AV868" i="3"/>
  <c r="AX868" i="3"/>
  <c r="AZ868" i="3"/>
  <c r="B869" i="3"/>
  <c r="D869" i="3"/>
  <c r="F869" i="3"/>
  <c r="H869" i="3"/>
  <c r="J869" i="3"/>
  <c r="L869" i="3"/>
  <c r="N869" i="3"/>
  <c r="P869" i="3"/>
  <c r="R869" i="3"/>
  <c r="T869" i="3"/>
  <c r="V869" i="3"/>
  <c r="X869" i="3"/>
  <c r="Z869" i="3"/>
  <c r="AB869" i="3"/>
  <c r="AL869" i="3"/>
  <c r="AN869" i="3"/>
  <c r="AP869" i="3"/>
  <c r="AR869" i="3"/>
  <c r="AT869" i="3"/>
  <c r="AV869" i="3"/>
  <c r="AX869" i="3"/>
  <c r="AZ869" i="3"/>
  <c r="B870" i="3"/>
  <c r="D870" i="3"/>
  <c r="F870" i="3"/>
  <c r="H870" i="3"/>
  <c r="J870" i="3"/>
  <c r="L870" i="3"/>
  <c r="N870" i="3"/>
  <c r="P870" i="3"/>
  <c r="R870" i="3"/>
  <c r="T870" i="3"/>
  <c r="V870" i="3"/>
  <c r="X870" i="3"/>
  <c r="Z870" i="3"/>
  <c r="AB870" i="3"/>
  <c r="AL870" i="3"/>
  <c r="AN870" i="3"/>
  <c r="AP870" i="3"/>
  <c r="AR870" i="3"/>
  <c r="AT870" i="3"/>
  <c r="AV870" i="3"/>
  <c r="AX870" i="3"/>
  <c r="AZ870" i="3"/>
  <c r="B871" i="3"/>
  <c r="D871" i="3"/>
  <c r="F871" i="3"/>
  <c r="H871" i="3"/>
  <c r="J871" i="3"/>
  <c r="L871" i="3"/>
  <c r="N871" i="3"/>
  <c r="P871" i="3"/>
  <c r="R871" i="3"/>
  <c r="T871" i="3"/>
  <c r="V871" i="3"/>
  <c r="X871" i="3"/>
  <c r="Z871" i="3"/>
  <c r="AB871" i="3"/>
  <c r="AL871" i="3"/>
  <c r="AN871" i="3"/>
  <c r="AP871" i="3"/>
  <c r="AR871" i="3"/>
  <c r="AT871" i="3"/>
  <c r="AV871" i="3"/>
  <c r="AX871" i="3"/>
  <c r="AZ871" i="3"/>
  <c r="B872" i="3"/>
  <c r="D872" i="3"/>
  <c r="F872" i="3"/>
  <c r="H872" i="3"/>
  <c r="J872" i="3"/>
  <c r="L872" i="3"/>
  <c r="N872" i="3"/>
  <c r="P872" i="3"/>
  <c r="R872" i="3"/>
  <c r="T872" i="3"/>
  <c r="V872" i="3"/>
  <c r="X872" i="3"/>
  <c r="Z872" i="3"/>
  <c r="AB872" i="3"/>
  <c r="AL872" i="3"/>
  <c r="AN872" i="3"/>
  <c r="AP872" i="3"/>
  <c r="AR872" i="3"/>
  <c r="AT872" i="3"/>
  <c r="AV872" i="3"/>
  <c r="AX872" i="3"/>
  <c r="AZ872" i="3"/>
  <c r="B873" i="3"/>
  <c r="D873" i="3"/>
  <c r="F873" i="3"/>
  <c r="H873" i="3"/>
  <c r="J873" i="3"/>
  <c r="L873" i="3"/>
  <c r="N873" i="3"/>
  <c r="P873" i="3"/>
  <c r="R873" i="3"/>
  <c r="T873" i="3"/>
  <c r="V873" i="3"/>
  <c r="X873" i="3"/>
  <c r="Z873" i="3"/>
  <c r="AB873" i="3"/>
  <c r="AL873" i="3"/>
  <c r="AN873" i="3"/>
  <c r="AP873" i="3"/>
  <c r="AR873" i="3"/>
  <c r="AT873" i="3"/>
  <c r="AV873" i="3"/>
  <c r="AX873" i="3"/>
  <c r="AZ873" i="3"/>
  <c r="B874" i="3"/>
  <c r="D874" i="3"/>
  <c r="F874" i="3"/>
  <c r="H874" i="3"/>
  <c r="J874" i="3"/>
  <c r="L874" i="3"/>
  <c r="N874" i="3"/>
  <c r="P874" i="3"/>
  <c r="R874" i="3"/>
  <c r="T874" i="3"/>
  <c r="V874" i="3"/>
  <c r="X874" i="3"/>
  <c r="Z874" i="3"/>
  <c r="AB874" i="3"/>
  <c r="AL874" i="3"/>
  <c r="AN874" i="3"/>
  <c r="AP874" i="3"/>
  <c r="AR874" i="3"/>
  <c r="AT874" i="3"/>
  <c r="AV874" i="3"/>
  <c r="AX874" i="3"/>
  <c r="AZ874" i="3"/>
  <c r="B875" i="3"/>
  <c r="D875" i="3"/>
  <c r="F875" i="3"/>
  <c r="H875" i="3"/>
  <c r="J875" i="3"/>
  <c r="L875" i="3"/>
  <c r="N875" i="3"/>
  <c r="P875" i="3"/>
  <c r="R875" i="3"/>
  <c r="T875" i="3"/>
  <c r="V875" i="3"/>
  <c r="X875" i="3"/>
  <c r="Z875" i="3"/>
  <c r="AB875" i="3"/>
  <c r="AL875" i="3"/>
  <c r="AN875" i="3"/>
  <c r="AP875" i="3"/>
  <c r="AR875" i="3"/>
  <c r="AT875" i="3"/>
  <c r="AV875" i="3"/>
  <c r="AX875" i="3"/>
  <c r="AZ875" i="3"/>
  <c r="B876" i="3"/>
  <c r="D876" i="3"/>
  <c r="F876" i="3"/>
  <c r="H876" i="3"/>
  <c r="J876" i="3"/>
  <c r="L876" i="3"/>
  <c r="N876" i="3"/>
  <c r="P876" i="3"/>
  <c r="R876" i="3"/>
  <c r="T876" i="3"/>
  <c r="V876" i="3"/>
  <c r="X876" i="3"/>
  <c r="Z876" i="3"/>
  <c r="AB876" i="3"/>
  <c r="AL876" i="3"/>
  <c r="AN876" i="3"/>
  <c r="AP876" i="3"/>
  <c r="AR876" i="3"/>
  <c r="AT876" i="3"/>
  <c r="AV876" i="3"/>
  <c r="AX876" i="3"/>
  <c r="AZ876" i="3"/>
  <c r="B877" i="3"/>
  <c r="D877" i="3"/>
  <c r="F877" i="3"/>
  <c r="H877" i="3"/>
  <c r="J877" i="3"/>
  <c r="L877" i="3"/>
  <c r="N877" i="3"/>
  <c r="P877" i="3"/>
  <c r="R877" i="3"/>
  <c r="T877" i="3"/>
  <c r="V877" i="3"/>
  <c r="X877" i="3"/>
  <c r="Z877" i="3"/>
  <c r="AB877" i="3"/>
  <c r="AL877" i="3"/>
  <c r="AN877" i="3"/>
  <c r="AP877" i="3"/>
  <c r="AR877" i="3"/>
  <c r="AT877" i="3"/>
  <c r="AV877" i="3"/>
  <c r="AX877" i="3"/>
  <c r="AZ877" i="3"/>
  <c r="B878" i="3"/>
  <c r="D878" i="3"/>
  <c r="F878" i="3"/>
  <c r="H878" i="3"/>
  <c r="J878" i="3"/>
  <c r="L878" i="3"/>
  <c r="N878" i="3"/>
  <c r="P878" i="3"/>
  <c r="R878" i="3"/>
  <c r="T878" i="3"/>
  <c r="V878" i="3"/>
  <c r="X878" i="3"/>
  <c r="Z878" i="3"/>
  <c r="AB878" i="3"/>
  <c r="AL878" i="3"/>
  <c r="AN878" i="3"/>
  <c r="AP878" i="3"/>
  <c r="AR878" i="3"/>
  <c r="AT878" i="3"/>
  <c r="AV878" i="3"/>
  <c r="AX878" i="3"/>
  <c r="AZ878" i="3"/>
  <c r="B879" i="3"/>
  <c r="D879" i="3"/>
  <c r="F879" i="3"/>
  <c r="H879" i="3"/>
  <c r="J879" i="3"/>
  <c r="L879" i="3"/>
  <c r="N879" i="3"/>
  <c r="P879" i="3"/>
  <c r="R879" i="3"/>
  <c r="T879" i="3"/>
  <c r="V879" i="3"/>
  <c r="X879" i="3"/>
  <c r="Z879" i="3"/>
  <c r="AB879" i="3"/>
  <c r="AL879" i="3"/>
  <c r="AN879" i="3"/>
  <c r="AP879" i="3"/>
  <c r="AR879" i="3"/>
  <c r="AT879" i="3"/>
  <c r="AV879" i="3"/>
  <c r="AX879" i="3"/>
  <c r="AZ879" i="3"/>
  <c r="B880" i="3"/>
  <c r="D880" i="3"/>
  <c r="F880" i="3"/>
  <c r="H880" i="3"/>
  <c r="J880" i="3"/>
  <c r="L880" i="3"/>
  <c r="N880" i="3"/>
  <c r="P880" i="3"/>
  <c r="R880" i="3"/>
  <c r="T880" i="3"/>
  <c r="V880" i="3"/>
  <c r="X880" i="3"/>
  <c r="Z880" i="3"/>
  <c r="AB880" i="3"/>
  <c r="AL880" i="3"/>
  <c r="AN880" i="3"/>
  <c r="AP880" i="3"/>
  <c r="AR880" i="3"/>
  <c r="AT880" i="3"/>
  <c r="AV880" i="3"/>
  <c r="AX880" i="3"/>
  <c r="AZ880" i="3"/>
  <c r="B881" i="3"/>
  <c r="D881" i="3"/>
  <c r="F881" i="3"/>
  <c r="H881" i="3"/>
  <c r="J881" i="3"/>
  <c r="L881" i="3"/>
  <c r="N881" i="3"/>
  <c r="P881" i="3"/>
  <c r="R881" i="3"/>
  <c r="T881" i="3"/>
  <c r="V881" i="3"/>
  <c r="X881" i="3"/>
  <c r="Z881" i="3"/>
  <c r="AB881" i="3"/>
  <c r="AL881" i="3"/>
  <c r="AN881" i="3"/>
  <c r="AP881" i="3"/>
  <c r="AR881" i="3"/>
  <c r="AT881" i="3"/>
  <c r="AV881" i="3"/>
  <c r="AX881" i="3"/>
  <c r="AZ881" i="3"/>
  <c r="B882" i="3"/>
  <c r="D882" i="3"/>
  <c r="F882" i="3"/>
  <c r="H882" i="3"/>
  <c r="J882" i="3"/>
  <c r="L882" i="3"/>
  <c r="N882" i="3"/>
  <c r="P882" i="3"/>
  <c r="R882" i="3"/>
  <c r="T882" i="3"/>
  <c r="V882" i="3"/>
  <c r="X882" i="3"/>
  <c r="Z882" i="3"/>
  <c r="AB882" i="3"/>
  <c r="AL882" i="3"/>
  <c r="AN882" i="3"/>
  <c r="AP882" i="3"/>
  <c r="AR882" i="3"/>
  <c r="AT882" i="3"/>
  <c r="AV882" i="3"/>
  <c r="AX882" i="3"/>
  <c r="AZ882" i="3"/>
  <c r="B883" i="3"/>
  <c r="D883" i="3"/>
  <c r="F883" i="3"/>
  <c r="H883" i="3"/>
  <c r="J883" i="3"/>
  <c r="L883" i="3"/>
  <c r="N883" i="3"/>
  <c r="P883" i="3"/>
  <c r="R883" i="3"/>
  <c r="T883" i="3"/>
  <c r="V883" i="3"/>
  <c r="X883" i="3"/>
  <c r="Z883" i="3"/>
  <c r="AB883" i="3"/>
  <c r="AL883" i="3"/>
  <c r="AP883" i="3"/>
  <c r="AT883" i="3"/>
  <c r="AX883" i="3"/>
  <c r="BB883" i="3"/>
  <c r="AO985" i="3"/>
  <c r="AO989" i="3"/>
  <c r="C884" i="3"/>
  <c r="E884" i="3"/>
  <c r="G884" i="3"/>
  <c r="I884" i="3"/>
  <c r="K884" i="3"/>
  <c r="M884" i="3"/>
  <c r="O884" i="3"/>
  <c r="Q884" i="3"/>
  <c r="S884" i="3"/>
  <c r="U884" i="3"/>
  <c r="W884" i="3"/>
  <c r="Y884" i="3"/>
  <c r="AA884" i="3"/>
  <c r="AK884" i="3"/>
  <c r="AM884" i="3"/>
  <c r="AO884" i="3"/>
  <c r="AQ884" i="3"/>
  <c r="AS884" i="3"/>
  <c r="AU884" i="3"/>
  <c r="AW884" i="3"/>
  <c r="AY884" i="3"/>
  <c r="C885" i="3"/>
  <c r="E885" i="3"/>
  <c r="G885" i="3"/>
  <c r="I885" i="3"/>
  <c r="K885" i="3"/>
  <c r="M885" i="3"/>
  <c r="O885" i="3"/>
  <c r="Q885" i="3"/>
  <c r="S885" i="3"/>
  <c r="U885" i="3"/>
  <c r="W885" i="3"/>
  <c r="Y885" i="3"/>
  <c r="AA885" i="3"/>
  <c r="AK885" i="3"/>
  <c r="AM885" i="3"/>
  <c r="AO885" i="3"/>
  <c r="AQ885" i="3"/>
  <c r="AS885" i="3"/>
  <c r="AU885" i="3"/>
  <c r="AW885" i="3"/>
  <c r="AY885" i="3"/>
  <c r="C886" i="3"/>
  <c r="E886" i="3"/>
  <c r="G886" i="3"/>
  <c r="I886" i="3"/>
  <c r="K886" i="3"/>
  <c r="M886" i="3"/>
  <c r="O886" i="3"/>
  <c r="Q886" i="3"/>
  <c r="S886" i="3"/>
  <c r="U886" i="3"/>
  <c r="W886" i="3"/>
  <c r="Y886" i="3"/>
  <c r="AA886" i="3"/>
  <c r="AK886" i="3"/>
  <c r="AM886" i="3"/>
  <c r="AO886" i="3"/>
  <c r="AQ886" i="3"/>
  <c r="AS886" i="3"/>
  <c r="AU886" i="3"/>
  <c r="AW886" i="3"/>
  <c r="AY886" i="3"/>
  <c r="C887" i="3"/>
  <c r="E887" i="3"/>
  <c r="G887" i="3"/>
  <c r="I887" i="3"/>
  <c r="K887" i="3"/>
  <c r="M887" i="3"/>
  <c r="O887" i="3"/>
  <c r="Q887" i="3"/>
  <c r="S887" i="3"/>
  <c r="U887" i="3"/>
  <c r="W887" i="3"/>
  <c r="Y887" i="3"/>
  <c r="AA887" i="3"/>
  <c r="AK887" i="3"/>
  <c r="AM887" i="3"/>
  <c r="AO887" i="3"/>
  <c r="AQ887" i="3"/>
  <c r="AS887" i="3"/>
  <c r="AU887" i="3"/>
  <c r="AW887" i="3"/>
  <c r="AY887" i="3"/>
  <c r="C888" i="3"/>
  <c r="E888" i="3"/>
  <c r="G888" i="3"/>
  <c r="I888" i="3"/>
  <c r="K888" i="3"/>
  <c r="M888" i="3"/>
  <c r="O888" i="3"/>
  <c r="Q888" i="3"/>
  <c r="S888" i="3"/>
  <c r="U888" i="3"/>
  <c r="W888" i="3"/>
  <c r="Y888" i="3"/>
  <c r="AA888" i="3"/>
  <c r="AK888" i="3"/>
  <c r="AM888" i="3"/>
  <c r="AO888" i="3"/>
  <c r="AQ888" i="3"/>
  <c r="AS888" i="3"/>
  <c r="AU888" i="3"/>
  <c r="AW888" i="3"/>
  <c r="AY888" i="3"/>
  <c r="C889" i="3"/>
  <c r="E889" i="3"/>
  <c r="G889" i="3"/>
  <c r="I889" i="3"/>
  <c r="K889" i="3"/>
  <c r="M889" i="3"/>
  <c r="O889" i="3"/>
  <c r="Q889" i="3"/>
  <c r="S889" i="3"/>
  <c r="U889" i="3"/>
  <c r="W889" i="3"/>
  <c r="Y889" i="3"/>
  <c r="AA889" i="3"/>
  <c r="AK889" i="3"/>
  <c r="AM889" i="3"/>
  <c r="AO889" i="3"/>
  <c r="AQ889" i="3"/>
  <c r="AS889" i="3"/>
  <c r="AU889" i="3"/>
  <c r="AW889" i="3"/>
  <c r="AY889" i="3"/>
  <c r="C890" i="3"/>
  <c r="E890" i="3"/>
  <c r="G890" i="3"/>
  <c r="I890" i="3"/>
  <c r="K890" i="3"/>
  <c r="M890" i="3"/>
  <c r="O890" i="3"/>
  <c r="Q890" i="3"/>
  <c r="S890" i="3"/>
  <c r="U890" i="3"/>
  <c r="W890" i="3"/>
  <c r="Y890" i="3"/>
  <c r="AA890" i="3"/>
  <c r="AK890" i="3"/>
  <c r="AM890" i="3"/>
  <c r="AO890" i="3"/>
  <c r="AQ890" i="3"/>
  <c r="AS890" i="3"/>
  <c r="AU890" i="3"/>
  <c r="AW890" i="3"/>
  <c r="AY890" i="3"/>
  <c r="C891" i="3"/>
  <c r="E891" i="3"/>
  <c r="G891" i="3"/>
  <c r="I891" i="3"/>
  <c r="K891" i="3"/>
  <c r="M891" i="3"/>
  <c r="O891" i="3"/>
  <c r="Q891" i="3"/>
  <c r="S891" i="3"/>
  <c r="U891" i="3"/>
  <c r="W891" i="3"/>
  <c r="Y891" i="3"/>
  <c r="AA891" i="3"/>
  <c r="AK891" i="3"/>
  <c r="AM891" i="3"/>
  <c r="AO891" i="3"/>
  <c r="AQ891" i="3"/>
  <c r="AS891" i="3"/>
  <c r="AU891" i="3"/>
  <c r="AW891" i="3"/>
  <c r="AY891" i="3"/>
  <c r="C892" i="3"/>
  <c r="E892" i="3"/>
  <c r="G892" i="3"/>
  <c r="I892" i="3"/>
  <c r="K892" i="3"/>
  <c r="M892" i="3"/>
  <c r="O892" i="3"/>
  <c r="Q892" i="3"/>
  <c r="S892" i="3"/>
  <c r="U892" i="3"/>
  <c r="W892" i="3"/>
  <c r="Y892" i="3"/>
  <c r="AA892" i="3"/>
  <c r="AK892" i="3"/>
  <c r="AM892" i="3"/>
  <c r="AO892" i="3"/>
  <c r="AQ892" i="3"/>
  <c r="AS892" i="3"/>
  <c r="AU892" i="3"/>
  <c r="AW892" i="3"/>
  <c r="AY892" i="3"/>
  <c r="C893" i="3"/>
  <c r="E893" i="3"/>
  <c r="G893" i="3"/>
  <c r="I893" i="3"/>
  <c r="K893" i="3"/>
  <c r="M893" i="3"/>
  <c r="O893" i="3"/>
  <c r="Q893" i="3"/>
  <c r="S893" i="3"/>
  <c r="U893" i="3"/>
  <c r="W893" i="3"/>
  <c r="Y893" i="3"/>
  <c r="AA893" i="3"/>
  <c r="AK893" i="3"/>
  <c r="AM893" i="3"/>
  <c r="AO893" i="3"/>
  <c r="AQ893" i="3"/>
  <c r="AS893" i="3"/>
  <c r="AU893" i="3"/>
  <c r="AW893" i="3"/>
  <c r="AY893" i="3"/>
  <c r="C894" i="3"/>
  <c r="E894" i="3"/>
  <c r="G894" i="3"/>
  <c r="I894" i="3"/>
  <c r="K894" i="3"/>
  <c r="M894" i="3"/>
  <c r="O894" i="3"/>
  <c r="Q894" i="3"/>
  <c r="S894" i="3"/>
  <c r="U894" i="3"/>
  <c r="W894" i="3"/>
  <c r="Y894" i="3"/>
  <c r="AA894" i="3"/>
  <c r="AK894" i="3"/>
  <c r="AM894" i="3"/>
  <c r="AO894" i="3"/>
  <c r="AQ894" i="3"/>
  <c r="AS894" i="3"/>
  <c r="AU894" i="3"/>
  <c r="AW894" i="3"/>
  <c r="AY894" i="3"/>
  <c r="C895" i="3"/>
  <c r="E895" i="3"/>
  <c r="G895" i="3"/>
  <c r="I895" i="3"/>
  <c r="K895" i="3"/>
  <c r="M895" i="3"/>
  <c r="O895" i="3"/>
  <c r="Q895" i="3"/>
  <c r="S895" i="3"/>
  <c r="U895" i="3"/>
  <c r="W895" i="3"/>
  <c r="Y895" i="3"/>
  <c r="AA895" i="3"/>
  <c r="AK895" i="3"/>
  <c r="AM895" i="3"/>
  <c r="AO895" i="3"/>
  <c r="AQ895" i="3"/>
  <c r="AS895" i="3"/>
  <c r="AU895" i="3"/>
  <c r="AW895" i="3"/>
  <c r="AY895" i="3"/>
  <c r="C896" i="3"/>
  <c r="E896" i="3"/>
  <c r="G896" i="3"/>
  <c r="I896" i="3"/>
  <c r="K896" i="3"/>
  <c r="M896" i="3"/>
  <c r="O896" i="3"/>
  <c r="Q896" i="3"/>
  <c r="S896" i="3"/>
  <c r="U896" i="3"/>
  <c r="W896" i="3"/>
  <c r="Y896" i="3"/>
  <c r="AA896" i="3"/>
  <c r="AK896" i="3"/>
  <c r="AM896" i="3"/>
  <c r="AO896" i="3"/>
  <c r="AQ896" i="3"/>
  <c r="AS896" i="3"/>
  <c r="AU896" i="3"/>
  <c r="AW896" i="3"/>
  <c r="AY896" i="3"/>
  <c r="C897" i="3"/>
  <c r="E897" i="3"/>
  <c r="G897" i="3"/>
  <c r="I897" i="3"/>
  <c r="K897" i="3"/>
  <c r="M897" i="3"/>
  <c r="O897" i="3"/>
  <c r="Q897" i="3"/>
  <c r="S897" i="3"/>
  <c r="U897" i="3"/>
  <c r="W897" i="3"/>
  <c r="Y897" i="3"/>
  <c r="AA897" i="3"/>
  <c r="AK897" i="3"/>
  <c r="AM897" i="3"/>
  <c r="AO897" i="3"/>
  <c r="AQ897" i="3"/>
  <c r="AS897" i="3"/>
  <c r="AU897" i="3"/>
  <c r="AW897" i="3"/>
  <c r="AY897" i="3"/>
  <c r="C898" i="3"/>
  <c r="E898" i="3"/>
  <c r="G898" i="3"/>
  <c r="I898" i="3"/>
  <c r="K898" i="3"/>
  <c r="M898" i="3"/>
  <c r="O898" i="3"/>
  <c r="Q898" i="3"/>
  <c r="S898" i="3"/>
  <c r="U898" i="3"/>
  <c r="W898" i="3"/>
  <c r="Y898" i="3"/>
  <c r="AA898" i="3"/>
  <c r="AK898" i="3"/>
  <c r="AM898" i="3"/>
  <c r="AO898" i="3"/>
  <c r="AQ898" i="3"/>
  <c r="AS898" i="3"/>
  <c r="AU898" i="3"/>
  <c r="AW898" i="3"/>
  <c r="AY898" i="3"/>
  <c r="C899" i="3"/>
  <c r="E899" i="3"/>
  <c r="G899" i="3"/>
  <c r="I899" i="3"/>
  <c r="K899" i="3"/>
  <c r="M899" i="3"/>
  <c r="O899" i="3"/>
  <c r="Q899" i="3"/>
  <c r="S899" i="3"/>
  <c r="U899" i="3"/>
  <c r="W899" i="3"/>
  <c r="Y899" i="3"/>
  <c r="AA899" i="3"/>
  <c r="AK899" i="3"/>
  <c r="AM899" i="3"/>
  <c r="AO899" i="3"/>
  <c r="AQ899" i="3"/>
  <c r="AS899" i="3"/>
  <c r="AU899" i="3"/>
  <c r="AW899" i="3"/>
  <c r="AY899" i="3"/>
  <c r="C900" i="3"/>
  <c r="E900" i="3"/>
  <c r="G900" i="3"/>
  <c r="I900" i="3"/>
  <c r="K900" i="3"/>
  <c r="M900" i="3"/>
  <c r="O900" i="3"/>
  <c r="Q900" i="3"/>
  <c r="S900" i="3"/>
  <c r="U900" i="3"/>
  <c r="W900" i="3"/>
  <c r="Y900" i="3"/>
  <c r="AA900" i="3"/>
  <c r="AK900" i="3"/>
  <c r="AM900" i="3"/>
  <c r="AO900" i="3"/>
  <c r="AQ900" i="3"/>
  <c r="AS900" i="3"/>
  <c r="AU900" i="3"/>
  <c r="AW900" i="3"/>
  <c r="AY900" i="3"/>
  <c r="C901" i="3"/>
  <c r="E901" i="3"/>
  <c r="G901" i="3"/>
  <c r="I901" i="3"/>
  <c r="K901" i="3"/>
  <c r="M901" i="3"/>
  <c r="O901" i="3"/>
  <c r="Q901" i="3"/>
  <c r="S901" i="3"/>
  <c r="U901" i="3"/>
  <c r="W901" i="3"/>
  <c r="Y901" i="3"/>
  <c r="AA901" i="3"/>
  <c r="AK901" i="3"/>
  <c r="AM901" i="3"/>
  <c r="AO901" i="3"/>
  <c r="AQ901" i="3"/>
  <c r="AS901" i="3"/>
  <c r="AU901" i="3"/>
  <c r="AW901" i="3"/>
  <c r="AY901" i="3"/>
  <c r="C902" i="3"/>
  <c r="E902" i="3"/>
  <c r="G902" i="3"/>
  <c r="I902" i="3"/>
  <c r="K902" i="3"/>
  <c r="M902" i="3"/>
  <c r="O902" i="3"/>
  <c r="Q902" i="3"/>
  <c r="S902" i="3"/>
  <c r="U902" i="3"/>
  <c r="W902" i="3"/>
  <c r="Y902" i="3"/>
  <c r="AA902" i="3"/>
  <c r="AK902" i="3"/>
  <c r="AM902" i="3"/>
  <c r="AO902" i="3"/>
  <c r="AQ902" i="3"/>
  <c r="AS902" i="3"/>
  <c r="AU902" i="3"/>
  <c r="AW902" i="3"/>
  <c r="AY902" i="3"/>
  <c r="C903" i="3"/>
  <c r="E903" i="3"/>
  <c r="G903" i="3"/>
  <c r="I903" i="3"/>
  <c r="K903" i="3"/>
  <c r="M903" i="3"/>
  <c r="O903" i="3"/>
  <c r="Q903" i="3"/>
  <c r="S903" i="3"/>
  <c r="U903" i="3"/>
  <c r="W903" i="3"/>
  <c r="Y903" i="3"/>
  <c r="AA903" i="3"/>
  <c r="AK903" i="3"/>
  <c r="AM903" i="3"/>
  <c r="AO903" i="3"/>
  <c r="AQ903" i="3"/>
  <c r="AS903" i="3"/>
  <c r="AU903" i="3"/>
  <c r="AW903" i="3"/>
  <c r="AY903" i="3"/>
  <c r="C904" i="3"/>
  <c r="E904" i="3"/>
  <c r="G904" i="3"/>
  <c r="I904" i="3"/>
  <c r="K904" i="3"/>
  <c r="M904" i="3"/>
  <c r="O904" i="3"/>
  <c r="Q904" i="3"/>
  <c r="S904" i="3"/>
  <c r="U904" i="3"/>
  <c r="W904" i="3"/>
  <c r="Y904" i="3"/>
  <c r="AA904" i="3"/>
  <c r="AK904" i="3"/>
  <c r="AM904" i="3"/>
  <c r="AO904" i="3"/>
  <c r="AQ904" i="3"/>
  <c r="AS904" i="3"/>
  <c r="AU904" i="3"/>
  <c r="AW904" i="3"/>
  <c r="AY904" i="3"/>
  <c r="C905" i="3"/>
  <c r="E905" i="3"/>
  <c r="G905" i="3"/>
  <c r="I905" i="3"/>
  <c r="K905" i="3"/>
  <c r="M905" i="3"/>
  <c r="O905" i="3"/>
  <c r="Q905" i="3"/>
  <c r="S905" i="3"/>
  <c r="U905" i="3"/>
  <c r="W905" i="3"/>
  <c r="Y905" i="3"/>
  <c r="AA905" i="3"/>
  <c r="AK905" i="3"/>
  <c r="AM905" i="3"/>
  <c r="AO905" i="3"/>
  <c r="AQ905" i="3"/>
  <c r="AS905" i="3"/>
  <c r="AU905" i="3"/>
  <c r="AW905" i="3"/>
  <c r="AY905" i="3"/>
  <c r="C906" i="3"/>
  <c r="E906" i="3"/>
  <c r="G906" i="3"/>
  <c r="I906" i="3"/>
  <c r="K906" i="3"/>
  <c r="M906" i="3"/>
  <c r="O906" i="3"/>
  <c r="Q906" i="3"/>
  <c r="S906" i="3"/>
  <c r="U906" i="3"/>
  <c r="W906" i="3"/>
  <c r="Y906" i="3"/>
  <c r="AA906" i="3"/>
  <c r="AK906" i="3"/>
  <c r="AM906" i="3"/>
  <c r="AO906" i="3"/>
  <c r="AQ906" i="3"/>
  <c r="AS906" i="3"/>
  <c r="AU906" i="3"/>
  <c r="AW906" i="3"/>
  <c r="AY906" i="3"/>
  <c r="C907" i="3"/>
  <c r="E907" i="3"/>
  <c r="G907" i="3"/>
  <c r="I907" i="3"/>
  <c r="K907" i="3"/>
  <c r="M907" i="3"/>
  <c r="O907" i="3"/>
  <c r="Q907" i="3"/>
  <c r="S907" i="3"/>
  <c r="U907" i="3"/>
  <c r="W907" i="3"/>
  <c r="Y907" i="3"/>
  <c r="AA907" i="3"/>
  <c r="AK907" i="3"/>
  <c r="AM907" i="3"/>
  <c r="AO907" i="3"/>
  <c r="AQ907" i="3"/>
  <c r="AS907" i="3"/>
  <c r="AU907" i="3"/>
  <c r="AW907" i="3"/>
  <c r="AY907" i="3"/>
  <c r="C908" i="3"/>
  <c r="E908" i="3"/>
  <c r="G908" i="3"/>
  <c r="I908" i="3"/>
  <c r="K908" i="3"/>
  <c r="M908" i="3"/>
  <c r="O908" i="3"/>
  <c r="Q908" i="3"/>
  <c r="S908" i="3"/>
  <c r="U908" i="3"/>
  <c r="W908" i="3"/>
  <c r="Y908" i="3"/>
  <c r="AA908" i="3"/>
  <c r="AK908" i="3"/>
  <c r="AM908" i="3"/>
  <c r="AO908" i="3"/>
  <c r="AQ908" i="3"/>
  <c r="AS908" i="3"/>
  <c r="AU908" i="3"/>
  <c r="AW908" i="3"/>
  <c r="AY908" i="3"/>
  <c r="C909" i="3"/>
  <c r="E909" i="3"/>
  <c r="G909" i="3"/>
  <c r="I909" i="3"/>
  <c r="K909" i="3"/>
  <c r="M909" i="3"/>
  <c r="O909" i="3"/>
  <c r="Q909" i="3"/>
  <c r="S909" i="3"/>
  <c r="U909" i="3"/>
  <c r="W909" i="3"/>
  <c r="Y909" i="3"/>
  <c r="AA909" i="3"/>
  <c r="AK909" i="3"/>
  <c r="AM909" i="3"/>
  <c r="AO909" i="3"/>
  <c r="AQ909" i="3"/>
  <c r="AS909" i="3"/>
  <c r="AU909" i="3"/>
  <c r="AW909" i="3"/>
  <c r="AY909" i="3"/>
  <c r="C910" i="3"/>
  <c r="E910" i="3"/>
  <c r="G910" i="3"/>
  <c r="I910" i="3"/>
  <c r="K910" i="3"/>
  <c r="M910" i="3"/>
  <c r="O910" i="3"/>
  <c r="Q910" i="3"/>
  <c r="S910" i="3"/>
  <c r="U910" i="3"/>
  <c r="W910" i="3"/>
  <c r="Y910" i="3"/>
  <c r="AA910" i="3"/>
  <c r="AK910" i="3"/>
  <c r="AM910" i="3"/>
  <c r="AO910" i="3"/>
  <c r="AQ910" i="3"/>
  <c r="AS910" i="3"/>
  <c r="AU910" i="3"/>
  <c r="AW910" i="3"/>
  <c r="AY910" i="3"/>
  <c r="C911" i="3"/>
  <c r="E911" i="3"/>
  <c r="G911" i="3"/>
  <c r="I911" i="3"/>
  <c r="K911" i="3"/>
  <c r="M911" i="3"/>
  <c r="O911" i="3"/>
  <c r="Q911" i="3"/>
  <c r="S911" i="3"/>
  <c r="U911" i="3"/>
  <c r="W911" i="3"/>
  <c r="Y911" i="3"/>
  <c r="AA911" i="3"/>
  <c r="AK911" i="3"/>
  <c r="AM911" i="3"/>
  <c r="AO911" i="3"/>
  <c r="AQ911" i="3"/>
  <c r="AS911" i="3"/>
  <c r="AU911" i="3"/>
  <c r="AW911" i="3"/>
  <c r="AY911" i="3"/>
  <c r="C912" i="3"/>
  <c r="E912" i="3"/>
  <c r="G912" i="3"/>
  <c r="I912" i="3"/>
  <c r="K912" i="3"/>
  <c r="M912" i="3"/>
  <c r="O912" i="3"/>
  <c r="Q912" i="3"/>
  <c r="S912" i="3"/>
  <c r="U912" i="3"/>
  <c r="W912" i="3"/>
  <c r="Y912" i="3"/>
  <c r="AA912" i="3"/>
  <c r="AK912" i="3"/>
  <c r="AM912" i="3"/>
  <c r="AO912" i="3"/>
  <c r="AQ912" i="3"/>
  <c r="AS912" i="3"/>
  <c r="AU912" i="3"/>
  <c r="AW912" i="3"/>
  <c r="AY912" i="3"/>
  <c r="C913" i="3"/>
  <c r="E913" i="3"/>
  <c r="G913" i="3"/>
  <c r="I913" i="3"/>
  <c r="K913" i="3"/>
  <c r="M913" i="3"/>
  <c r="O913" i="3"/>
  <c r="Q913" i="3"/>
  <c r="S913" i="3"/>
  <c r="U913" i="3"/>
  <c r="W913" i="3"/>
  <c r="Y913" i="3"/>
  <c r="AA913" i="3"/>
  <c r="AK913" i="3"/>
  <c r="AM913" i="3"/>
  <c r="AO913" i="3"/>
  <c r="AQ913" i="3"/>
  <c r="AS913" i="3"/>
  <c r="AU913" i="3"/>
  <c r="AW913" i="3"/>
  <c r="AY913" i="3"/>
  <c r="C914" i="3"/>
  <c r="E914" i="3"/>
  <c r="G914" i="3"/>
  <c r="I914" i="3"/>
  <c r="K914" i="3"/>
  <c r="M914" i="3"/>
  <c r="O914" i="3"/>
  <c r="Q914" i="3"/>
  <c r="S914" i="3"/>
  <c r="U914" i="3"/>
  <c r="W914" i="3"/>
  <c r="Y914" i="3"/>
  <c r="AA914" i="3"/>
  <c r="AK914" i="3"/>
  <c r="AM914" i="3"/>
  <c r="AO914" i="3"/>
  <c r="AQ914" i="3"/>
  <c r="AS914" i="3"/>
  <c r="AU914" i="3"/>
  <c r="AW914" i="3"/>
  <c r="AY914" i="3"/>
  <c r="C915" i="3"/>
  <c r="E915" i="3"/>
  <c r="G915" i="3"/>
  <c r="I915" i="3"/>
  <c r="K915" i="3"/>
  <c r="M915" i="3"/>
  <c r="O915" i="3"/>
  <c r="Q915" i="3"/>
  <c r="S915" i="3"/>
  <c r="U915" i="3"/>
  <c r="W915" i="3"/>
  <c r="Y915" i="3"/>
  <c r="AA915" i="3"/>
  <c r="AK915" i="3"/>
  <c r="AM915" i="3"/>
  <c r="AO915" i="3"/>
  <c r="AQ915" i="3"/>
  <c r="AS915" i="3"/>
  <c r="AU915" i="3"/>
  <c r="AW915" i="3"/>
  <c r="AY915" i="3"/>
  <c r="C916" i="3"/>
  <c r="E916" i="3"/>
  <c r="G916" i="3"/>
  <c r="I916" i="3"/>
  <c r="K916" i="3"/>
  <c r="M916" i="3"/>
  <c r="O916" i="3"/>
  <c r="Q916" i="3"/>
  <c r="S916" i="3"/>
  <c r="U916" i="3"/>
  <c r="W916" i="3"/>
  <c r="Y916" i="3"/>
  <c r="AA916" i="3"/>
  <c r="AK916" i="3"/>
  <c r="AM916" i="3"/>
  <c r="AO916" i="3"/>
  <c r="AQ916" i="3"/>
  <c r="AS916" i="3"/>
  <c r="AU916" i="3"/>
  <c r="AW916" i="3"/>
  <c r="AY916" i="3"/>
  <c r="C917" i="3"/>
  <c r="E917" i="3"/>
  <c r="G917" i="3"/>
  <c r="I917" i="3"/>
  <c r="K917" i="3"/>
  <c r="M917" i="3"/>
  <c r="O917" i="3"/>
  <c r="Q917" i="3"/>
  <c r="S917" i="3"/>
  <c r="U917" i="3"/>
  <c r="W917" i="3"/>
  <c r="Y917" i="3"/>
  <c r="AA917" i="3"/>
  <c r="AK917" i="3"/>
  <c r="AM917" i="3"/>
  <c r="AO917" i="3"/>
  <c r="AQ917" i="3"/>
  <c r="AS917" i="3"/>
  <c r="AU917" i="3"/>
  <c r="AW917" i="3"/>
  <c r="AY917" i="3"/>
  <c r="C918" i="3"/>
  <c r="E918" i="3"/>
  <c r="G918" i="3"/>
  <c r="I918" i="3"/>
  <c r="K918" i="3"/>
  <c r="M918" i="3"/>
  <c r="O918" i="3"/>
  <c r="Q918" i="3"/>
  <c r="S918" i="3"/>
  <c r="U918" i="3"/>
  <c r="W918" i="3"/>
  <c r="Y918" i="3"/>
  <c r="AA918" i="3"/>
  <c r="AK918" i="3"/>
  <c r="AM918" i="3"/>
  <c r="AO918" i="3"/>
  <c r="AQ918" i="3"/>
  <c r="AS918" i="3"/>
  <c r="AU918" i="3"/>
  <c r="AW918" i="3"/>
  <c r="AY918" i="3"/>
  <c r="C919" i="3"/>
  <c r="E919" i="3"/>
  <c r="G919" i="3"/>
  <c r="I919" i="3"/>
  <c r="K919" i="3"/>
  <c r="M919" i="3"/>
  <c r="O919" i="3"/>
  <c r="Q919" i="3"/>
  <c r="S919" i="3"/>
  <c r="U919" i="3"/>
  <c r="W919" i="3"/>
  <c r="Y919" i="3"/>
  <c r="AA919" i="3"/>
  <c r="AK919" i="3"/>
  <c r="AM919" i="3"/>
  <c r="AO919" i="3"/>
  <c r="AQ919" i="3"/>
  <c r="AS919" i="3"/>
  <c r="AU919" i="3"/>
  <c r="AW919" i="3"/>
  <c r="AY919" i="3"/>
  <c r="C920" i="3"/>
  <c r="E920" i="3"/>
  <c r="G920" i="3"/>
  <c r="I920" i="3"/>
  <c r="K920" i="3"/>
  <c r="M920" i="3"/>
  <c r="O920" i="3"/>
  <c r="Q920" i="3"/>
  <c r="S920" i="3"/>
  <c r="U920" i="3"/>
  <c r="W920" i="3"/>
  <c r="Y920" i="3"/>
  <c r="AA920" i="3"/>
  <c r="AK920" i="3"/>
  <c r="AM920" i="3"/>
  <c r="AO920" i="3"/>
  <c r="AQ920" i="3"/>
  <c r="AS920" i="3"/>
  <c r="AU920" i="3"/>
  <c r="AW920" i="3"/>
  <c r="AY920" i="3"/>
  <c r="C921" i="3"/>
  <c r="E921" i="3"/>
  <c r="G921" i="3"/>
  <c r="I921" i="3"/>
  <c r="K921" i="3"/>
  <c r="M921" i="3"/>
  <c r="O921" i="3"/>
  <c r="Q921" i="3"/>
  <c r="S921" i="3"/>
  <c r="U921" i="3"/>
  <c r="W921" i="3"/>
  <c r="Y921" i="3"/>
  <c r="AA921" i="3"/>
  <c r="AK921" i="3"/>
  <c r="AM921" i="3"/>
  <c r="AO921" i="3"/>
  <c r="AQ921" i="3"/>
  <c r="AS921" i="3"/>
  <c r="AU921" i="3"/>
  <c r="AW921" i="3"/>
  <c r="AY921" i="3"/>
  <c r="C922" i="3"/>
  <c r="E922" i="3"/>
  <c r="G922" i="3"/>
  <c r="I922" i="3"/>
  <c r="K922" i="3"/>
  <c r="M922" i="3"/>
  <c r="O922" i="3"/>
  <c r="Q922" i="3"/>
  <c r="S922" i="3"/>
  <c r="U922" i="3"/>
  <c r="W922" i="3"/>
  <c r="Y922" i="3"/>
  <c r="AA922" i="3"/>
  <c r="AK922" i="3"/>
  <c r="AM922" i="3"/>
  <c r="AO922" i="3"/>
  <c r="AQ922" i="3"/>
  <c r="AS922" i="3"/>
  <c r="AU922" i="3"/>
  <c r="AW922" i="3"/>
  <c r="AY922" i="3"/>
  <c r="C923" i="3"/>
  <c r="E923" i="3"/>
  <c r="G923" i="3"/>
  <c r="I923" i="3"/>
  <c r="K923" i="3"/>
  <c r="M923" i="3"/>
  <c r="O923" i="3"/>
  <c r="Q923" i="3"/>
  <c r="S923" i="3"/>
  <c r="U923" i="3"/>
  <c r="W923" i="3"/>
  <c r="Y923" i="3"/>
  <c r="AA923" i="3"/>
  <c r="AK923" i="3"/>
  <c r="AM923" i="3"/>
  <c r="AO923" i="3"/>
  <c r="AQ923" i="3"/>
  <c r="AS923" i="3"/>
  <c r="AU923" i="3"/>
  <c r="AW923" i="3"/>
  <c r="AY923" i="3"/>
  <c r="C924" i="3"/>
  <c r="E924" i="3"/>
  <c r="G924" i="3"/>
  <c r="I924" i="3"/>
  <c r="K924" i="3"/>
  <c r="M924" i="3"/>
  <c r="O924" i="3"/>
  <c r="Q924" i="3"/>
  <c r="S924" i="3"/>
  <c r="U924" i="3"/>
  <c r="W924" i="3"/>
  <c r="Y924" i="3"/>
  <c r="AA924" i="3"/>
  <c r="AK924" i="3"/>
  <c r="AM924" i="3"/>
  <c r="AO924" i="3"/>
  <c r="AQ924" i="3"/>
  <c r="AS924" i="3"/>
  <c r="AU924" i="3"/>
  <c r="AW924" i="3"/>
  <c r="AY924" i="3"/>
  <c r="C925" i="3"/>
  <c r="E925" i="3"/>
  <c r="G925" i="3"/>
  <c r="I925" i="3"/>
  <c r="K925" i="3"/>
  <c r="M925" i="3"/>
  <c r="O925" i="3"/>
  <c r="Q925" i="3"/>
  <c r="S925" i="3"/>
  <c r="U925" i="3"/>
  <c r="W925" i="3"/>
  <c r="Y925" i="3"/>
  <c r="AA925" i="3"/>
  <c r="AK925" i="3"/>
  <c r="AM925" i="3"/>
  <c r="AO925" i="3"/>
  <c r="AQ925" i="3"/>
  <c r="AS925" i="3"/>
  <c r="AU925" i="3"/>
  <c r="AW925" i="3"/>
  <c r="AY925" i="3"/>
  <c r="C926" i="3"/>
  <c r="E926" i="3"/>
  <c r="G926" i="3"/>
  <c r="I926" i="3"/>
  <c r="K926" i="3"/>
  <c r="M926" i="3"/>
  <c r="O926" i="3"/>
  <c r="Q926" i="3"/>
  <c r="S926" i="3"/>
  <c r="U926" i="3"/>
  <c r="W926" i="3"/>
  <c r="Y926" i="3"/>
  <c r="AA926" i="3"/>
  <c r="AK926" i="3"/>
  <c r="AM926" i="3"/>
  <c r="AO926" i="3"/>
  <c r="AQ926" i="3"/>
  <c r="AS926" i="3"/>
  <c r="AU926" i="3"/>
  <c r="AW926" i="3"/>
  <c r="AY926" i="3"/>
  <c r="C927" i="3"/>
  <c r="E927" i="3"/>
  <c r="G927" i="3"/>
  <c r="I927" i="3"/>
  <c r="K927" i="3"/>
  <c r="M927" i="3"/>
  <c r="O927" i="3"/>
  <c r="Q927" i="3"/>
  <c r="S927" i="3"/>
  <c r="U927" i="3"/>
  <c r="W927" i="3"/>
  <c r="Y927" i="3"/>
  <c r="AA927" i="3"/>
  <c r="AK927" i="3"/>
  <c r="AM927" i="3"/>
  <c r="AO927" i="3"/>
  <c r="AQ927" i="3"/>
  <c r="AS927" i="3"/>
  <c r="AU927" i="3"/>
  <c r="AW927" i="3"/>
  <c r="AY927" i="3"/>
  <c r="C928" i="3"/>
  <c r="E928" i="3"/>
  <c r="G928" i="3"/>
  <c r="I928" i="3"/>
  <c r="K928" i="3"/>
  <c r="M928" i="3"/>
  <c r="O928" i="3"/>
  <c r="Q928" i="3"/>
  <c r="S928" i="3"/>
  <c r="U928" i="3"/>
  <c r="W928" i="3"/>
  <c r="Y928" i="3"/>
  <c r="AA928" i="3"/>
  <c r="AK928" i="3"/>
  <c r="AM928" i="3"/>
  <c r="AO928" i="3"/>
  <c r="AQ928" i="3"/>
  <c r="AS928" i="3"/>
  <c r="AU928" i="3"/>
  <c r="AW928" i="3"/>
  <c r="AY928" i="3"/>
  <c r="C929" i="3"/>
  <c r="E929" i="3"/>
  <c r="G929" i="3"/>
  <c r="I929" i="3"/>
  <c r="K929" i="3"/>
  <c r="M929" i="3"/>
  <c r="O929" i="3"/>
  <c r="Q929" i="3"/>
  <c r="S929" i="3"/>
  <c r="U929" i="3"/>
  <c r="W929" i="3"/>
  <c r="Y929" i="3"/>
  <c r="AA929" i="3"/>
  <c r="AK929" i="3"/>
  <c r="AM929" i="3"/>
  <c r="AO929" i="3"/>
  <c r="AQ929" i="3"/>
  <c r="AS929" i="3"/>
  <c r="AU929" i="3"/>
  <c r="AW929" i="3"/>
  <c r="AY929" i="3"/>
  <c r="C930" i="3"/>
  <c r="E930" i="3"/>
  <c r="G930" i="3"/>
  <c r="I930" i="3"/>
  <c r="K930" i="3"/>
  <c r="M930" i="3"/>
  <c r="O930" i="3"/>
  <c r="Q930" i="3"/>
  <c r="S930" i="3"/>
  <c r="U930" i="3"/>
  <c r="W930" i="3"/>
  <c r="Y930" i="3"/>
  <c r="AA930" i="3"/>
  <c r="AK930" i="3"/>
  <c r="AM930" i="3"/>
  <c r="AO930" i="3"/>
  <c r="AQ930" i="3"/>
  <c r="AS930" i="3"/>
  <c r="AU930" i="3"/>
  <c r="AW930" i="3"/>
  <c r="AY930" i="3"/>
  <c r="C931" i="3"/>
  <c r="E931" i="3"/>
  <c r="G931" i="3"/>
  <c r="I931" i="3"/>
  <c r="K931" i="3"/>
  <c r="M931" i="3"/>
  <c r="O931" i="3"/>
  <c r="Q931" i="3"/>
  <c r="S931" i="3"/>
  <c r="U931" i="3"/>
  <c r="W931" i="3"/>
  <c r="Y931" i="3"/>
  <c r="AA931" i="3"/>
  <c r="AK931" i="3"/>
  <c r="AM931" i="3"/>
  <c r="AO931" i="3"/>
  <c r="AQ931" i="3"/>
  <c r="AS931" i="3"/>
  <c r="AU931" i="3"/>
  <c r="AW931" i="3"/>
  <c r="AY931" i="3"/>
  <c r="C932" i="3"/>
  <c r="E932" i="3"/>
  <c r="G932" i="3"/>
  <c r="I932" i="3"/>
  <c r="K932" i="3"/>
  <c r="M932" i="3"/>
  <c r="O932" i="3"/>
  <c r="Q932" i="3"/>
  <c r="S932" i="3"/>
  <c r="U932" i="3"/>
  <c r="W932" i="3"/>
  <c r="Y932" i="3"/>
  <c r="AA932" i="3"/>
  <c r="AK932" i="3"/>
  <c r="AM932" i="3"/>
  <c r="AO932" i="3"/>
  <c r="AQ932" i="3"/>
  <c r="AS932" i="3"/>
  <c r="AU932" i="3"/>
  <c r="AW932" i="3"/>
  <c r="AY932" i="3"/>
  <c r="C933" i="3"/>
  <c r="E933" i="3"/>
  <c r="G933" i="3"/>
  <c r="I933" i="3"/>
  <c r="K933" i="3"/>
  <c r="M933" i="3"/>
  <c r="O933" i="3"/>
  <c r="Q933" i="3"/>
  <c r="S933" i="3"/>
  <c r="U933" i="3"/>
  <c r="W933" i="3"/>
  <c r="Y933" i="3"/>
  <c r="AA933" i="3"/>
  <c r="AK933" i="3"/>
  <c r="AM933" i="3"/>
  <c r="AO933" i="3"/>
  <c r="AQ933" i="3"/>
  <c r="AS933" i="3"/>
  <c r="AU933" i="3"/>
  <c r="AW933" i="3"/>
  <c r="AY933" i="3"/>
  <c r="C934" i="3"/>
  <c r="E934" i="3"/>
  <c r="G934" i="3"/>
  <c r="I934" i="3"/>
  <c r="K934" i="3"/>
  <c r="M934" i="3"/>
  <c r="O934" i="3"/>
  <c r="Q934" i="3"/>
  <c r="S934" i="3"/>
  <c r="U934" i="3"/>
  <c r="W934" i="3"/>
  <c r="Y934" i="3"/>
  <c r="AA934" i="3"/>
  <c r="AK934" i="3"/>
  <c r="AM934" i="3"/>
  <c r="AO934" i="3"/>
  <c r="AQ934" i="3"/>
  <c r="AS934" i="3"/>
  <c r="AU934" i="3"/>
  <c r="AW934" i="3"/>
  <c r="AY934" i="3"/>
  <c r="C935" i="3"/>
  <c r="E935" i="3"/>
  <c r="G935" i="3"/>
  <c r="I935" i="3"/>
  <c r="K935" i="3"/>
  <c r="M935" i="3"/>
  <c r="O935" i="3"/>
  <c r="Q935" i="3"/>
  <c r="S935" i="3"/>
  <c r="U935" i="3"/>
  <c r="W935" i="3"/>
  <c r="Y935" i="3"/>
  <c r="AA935" i="3"/>
  <c r="AK935" i="3"/>
  <c r="AM935" i="3"/>
  <c r="AO935" i="3"/>
  <c r="AQ935" i="3"/>
  <c r="AS935" i="3"/>
  <c r="AU935" i="3"/>
  <c r="AW935" i="3"/>
  <c r="AY935" i="3"/>
  <c r="C936" i="3"/>
  <c r="E936" i="3"/>
  <c r="G936" i="3"/>
  <c r="I936" i="3"/>
  <c r="K936" i="3"/>
  <c r="M936" i="3"/>
  <c r="O936" i="3"/>
  <c r="Q936" i="3"/>
  <c r="S936" i="3"/>
  <c r="U936" i="3"/>
  <c r="W936" i="3"/>
  <c r="Y936" i="3"/>
  <c r="AA936" i="3"/>
  <c r="AK936" i="3"/>
  <c r="AM936" i="3"/>
  <c r="AO936" i="3"/>
  <c r="AQ936" i="3"/>
  <c r="AS936" i="3"/>
  <c r="AU936" i="3"/>
  <c r="AW936" i="3"/>
  <c r="AY936" i="3"/>
  <c r="C937" i="3"/>
  <c r="E937" i="3"/>
  <c r="G937" i="3"/>
  <c r="I937" i="3"/>
  <c r="K937" i="3"/>
  <c r="M937" i="3"/>
  <c r="O937" i="3"/>
  <c r="Q937" i="3"/>
  <c r="S937" i="3"/>
  <c r="U937" i="3"/>
  <c r="W937" i="3"/>
  <c r="Y937" i="3"/>
  <c r="AA937" i="3"/>
  <c r="AK937" i="3"/>
  <c r="AM937" i="3"/>
  <c r="AO937" i="3"/>
  <c r="AQ937" i="3"/>
  <c r="AS937" i="3"/>
  <c r="AU937" i="3"/>
  <c r="AW937" i="3"/>
  <c r="AY937" i="3"/>
  <c r="C938" i="3"/>
  <c r="E938" i="3"/>
  <c r="G938" i="3"/>
  <c r="I938" i="3"/>
  <c r="K938" i="3"/>
  <c r="M938" i="3"/>
  <c r="O938" i="3"/>
  <c r="Q938" i="3"/>
  <c r="S938" i="3"/>
  <c r="U938" i="3"/>
  <c r="W938" i="3"/>
  <c r="Y938" i="3"/>
  <c r="AA938" i="3"/>
  <c r="AK938" i="3"/>
  <c r="AM938" i="3"/>
  <c r="AO938" i="3"/>
  <c r="AQ938" i="3"/>
  <c r="AS938" i="3"/>
  <c r="AU938" i="3"/>
  <c r="AW938" i="3"/>
  <c r="AY938" i="3"/>
  <c r="C939" i="3"/>
  <c r="E939" i="3"/>
  <c r="G939" i="3"/>
  <c r="I939" i="3"/>
  <c r="K939" i="3"/>
  <c r="M939" i="3"/>
  <c r="O939" i="3"/>
  <c r="Q939" i="3"/>
  <c r="S939" i="3"/>
  <c r="U939" i="3"/>
  <c r="W939" i="3"/>
  <c r="Y939" i="3"/>
  <c r="AA939" i="3"/>
  <c r="AK939" i="3"/>
  <c r="AM939" i="3"/>
  <c r="AO939" i="3"/>
  <c r="AQ939" i="3"/>
  <c r="AS939" i="3"/>
  <c r="AU939" i="3"/>
  <c r="AW939" i="3"/>
  <c r="AY939" i="3"/>
  <c r="C940" i="3"/>
  <c r="E940" i="3"/>
  <c r="G940" i="3"/>
  <c r="I940" i="3"/>
  <c r="K940" i="3"/>
  <c r="M940" i="3"/>
  <c r="O940" i="3"/>
  <c r="Q940" i="3"/>
  <c r="S940" i="3"/>
  <c r="U940" i="3"/>
  <c r="W940" i="3"/>
  <c r="Y940" i="3"/>
  <c r="AA940" i="3"/>
  <c r="AK940" i="3"/>
  <c r="AM940" i="3"/>
  <c r="AO940" i="3"/>
  <c r="AQ940" i="3"/>
  <c r="AS940" i="3"/>
  <c r="AU940" i="3"/>
  <c r="AW940" i="3"/>
  <c r="AY940" i="3"/>
  <c r="C941" i="3"/>
  <c r="E941" i="3"/>
  <c r="G941" i="3"/>
  <c r="I941" i="3"/>
  <c r="K941" i="3"/>
  <c r="M941" i="3"/>
  <c r="O941" i="3"/>
  <c r="Q941" i="3"/>
  <c r="S941" i="3"/>
  <c r="U941" i="3"/>
  <c r="W941" i="3"/>
  <c r="Y941" i="3"/>
  <c r="AA941" i="3"/>
  <c r="AK941" i="3"/>
  <c r="AM941" i="3"/>
  <c r="AO941" i="3"/>
  <c r="AQ941" i="3"/>
  <c r="AS941" i="3"/>
  <c r="AU941" i="3"/>
  <c r="AW941" i="3"/>
  <c r="AY941" i="3"/>
  <c r="C942" i="3"/>
  <c r="E942" i="3"/>
  <c r="G942" i="3"/>
  <c r="I942" i="3"/>
  <c r="K942" i="3"/>
  <c r="M942" i="3"/>
  <c r="O942" i="3"/>
  <c r="Q942" i="3"/>
  <c r="S942" i="3"/>
  <c r="U942" i="3"/>
  <c r="W942" i="3"/>
  <c r="Y942" i="3"/>
  <c r="AA942" i="3"/>
  <c r="AK942" i="3"/>
  <c r="AM942" i="3"/>
  <c r="AO942" i="3"/>
  <c r="AQ942" i="3"/>
  <c r="AS942" i="3"/>
  <c r="AU942" i="3"/>
  <c r="AW942" i="3"/>
  <c r="AY942" i="3"/>
  <c r="BA943" i="3"/>
  <c r="AY943" i="3"/>
  <c r="AW943" i="3"/>
  <c r="AU943" i="3"/>
  <c r="AS943" i="3"/>
  <c r="AQ943" i="3"/>
  <c r="AO943" i="3"/>
  <c r="AM943" i="3"/>
  <c r="AK943" i="3"/>
  <c r="AA943" i="3"/>
  <c r="C943" i="3"/>
  <c r="E943" i="3"/>
  <c r="G943" i="3"/>
  <c r="I943" i="3"/>
  <c r="K943" i="3"/>
  <c r="M943" i="3"/>
  <c r="O943" i="3"/>
  <c r="Q943" i="3"/>
  <c r="S943" i="3"/>
  <c r="U943" i="3"/>
  <c r="W943" i="3"/>
  <c r="Y943" i="3"/>
  <c r="AB943" i="3"/>
  <c r="AN943" i="3"/>
  <c r="AR943" i="3"/>
  <c r="AV943" i="3"/>
  <c r="AZ943" i="3"/>
  <c r="BB968" i="3"/>
  <c r="AZ968" i="3"/>
  <c r="AX968" i="3"/>
  <c r="AV968" i="3"/>
  <c r="AT968" i="3"/>
  <c r="AR968" i="3"/>
  <c r="AP968" i="3"/>
  <c r="AN968" i="3"/>
  <c r="AL968" i="3"/>
  <c r="AB968" i="3"/>
  <c r="Z968" i="3"/>
  <c r="X968" i="3"/>
  <c r="V968" i="3"/>
  <c r="T968" i="3"/>
  <c r="R968" i="3"/>
  <c r="P968" i="3"/>
  <c r="N968" i="3"/>
  <c r="L968" i="3"/>
  <c r="J968" i="3"/>
  <c r="H968" i="3"/>
  <c r="F968" i="3"/>
  <c r="D968" i="3"/>
  <c r="B968" i="3"/>
  <c r="AY968" i="3"/>
  <c r="AU968" i="3"/>
  <c r="AQ968" i="3"/>
  <c r="AM968" i="3"/>
  <c r="AA968" i="3"/>
  <c r="W968" i="3"/>
  <c r="S968" i="3"/>
  <c r="O968" i="3"/>
  <c r="K968" i="3"/>
  <c r="G968" i="3"/>
  <c r="C968" i="3"/>
  <c r="I968" i="3"/>
  <c r="Q968" i="3"/>
  <c r="Y968" i="3"/>
  <c r="AO968" i="3"/>
  <c r="AW968" i="3"/>
  <c r="BB970" i="3"/>
  <c r="AZ970" i="3"/>
  <c r="AX970" i="3"/>
  <c r="AV970" i="3"/>
  <c r="AT970" i="3"/>
  <c r="AR970" i="3"/>
  <c r="AP970" i="3"/>
  <c r="AN970" i="3"/>
  <c r="AL970" i="3"/>
  <c r="AB970" i="3"/>
  <c r="Z970" i="3"/>
  <c r="X970" i="3"/>
  <c r="V970" i="3"/>
  <c r="T970" i="3"/>
  <c r="R970" i="3"/>
  <c r="P970" i="3"/>
  <c r="N970" i="3"/>
  <c r="L970" i="3"/>
  <c r="J970" i="3"/>
  <c r="H970" i="3"/>
  <c r="F970" i="3"/>
  <c r="D970" i="3"/>
  <c r="B970" i="3"/>
  <c r="AY970" i="3"/>
  <c r="AU970" i="3"/>
  <c r="AQ970" i="3"/>
  <c r="AM970" i="3"/>
  <c r="AA970" i="3"/>
  <c r="W970" i="3"/>
  <c r="S970" i="3"/>
  <c r="O970" i="3"/>
  <c r="K970" i="3"/>
  <c r="G970" i="3"/>
  <c r="C970" i="3"/>
  <c r="I970" i="3"/>
  <c r="Q970" i="3"/>
  <c r="Y970" i="3"/>
  <c r="AO970" i="3"/>
  <c r="AW970" i="3"/>
  <c r="BB972" i="3"/>
  <c r="AZ972" i="3"/>
  <c r="AX972" i="3"/>
  <c r="AV972" i="3"/>
  <c r="AT972" i="3"/>
  <c r="AR972" i="3"/>
  <c r="AP972" i="3"/>
  <c r="AN972" i="3"/>
  <c r="AL972" i="3"/>
  <c r="AB972" i="3"/>
  <c r="Z972" i="3"/>
  <c r="X972" i="3"/>
  <c r="V972" i="3"/>
  <c r="T972" i="3"/>
  <c r="R972" i="3"/>
  <c r="P972" i="3"/>
  <c r="N972" i="3"/>
  <c r="L972" i="3"/>
  <c r="J972" i="3"/>
  <c r="H972" i="3"/>
  <c r="F972" i="3"/>
  <c r="D972" i="3"/>
  <c r="B972" i="3"/>
  <c r="AY972" i="3"/>
  <c r="AU972" i="3"/>
  <c r="AQ972" i="3"/>
  <c r="AM972" i="3"/>
  <c r="AA972" i="3"/>
  <c r="W972" i="3"/>
  <c r="S972" i="3"/>
  <c r="O972" i="3"/>
  <c r="K972" i="3"/>
  <c r="G972" i="3"/>
  <c r="C972" i="3"/>
  <c r="I972" i="3"/>
  <c r="Q972" i="3"/>
  <c r="Y972" i="3"/>
  <c r="AO972" i="3"/>
  <c r="AW972" i="3"/>
  <c r="BB974" i="3"/>
  <c r="AZ974" i="3"/>
  <c r="AX974" i="3"/>
  <c r="AV974" i="3"/>
  <c r="AT974" i="3"/>
  <c r="AR974" i="3"/>
  <c r="AP974" i="3"/>
  <c r="AN974" i="3"/>
  <c r="AL974" i="3"/>
  <c r="AB974" i="3"/>
  <c r="Z974" i="3"/>
  <c r="X974" i="3"/>
  <c r="V974" i="3"/>
  <c r="T974" i="3"/>
  <c r="R974" i="3"/>
  <c r="P974" i="3"/>
  <c r="N974" i="3"/>
  <c r="L974" i="3"/>
  <c r="J974" i="3"/>
  <c r="H974" i="3"/>
  <c r="F974" i="3"/>
  <c r="D974" i="3"/>
  <c r="B974" i="3"/>
  <c r="AY974" i="3"/>
  <c r="AU974" i="3"/>
  <c r="AQ974" i="3"/>
  <c r="AM974" i="3"/>
  <c r="AA974" i="3"/>
  <c r="W974" i="3"/>
  <c r="S974" i="3"/>
  <c r="O974" i="3"/>
  <c r="K974" i="3"/>
  <c r="G974" i="3"/>
  <c r="C974" i="3"/>
  <c r="I974" i="3"/>
  <c r="Q974" i="3"/>
  <c r="Y974" i="3"/>
  <c r="AO974" i="3"/>
  <c r="AW974" i="3"/>
  <c r="BB976" i="3"/>
  <c r="AZ976" i="3"/>
  <c r="AX976" i="3"/>
  <c r="AV976" i="3"/>
  <c r="AT976" i="3"/>
  <c r="AR976" i="3"/>
  <c r="AP976" i="3"/>
  <c r="AN976" i="3"/>
  <c r="AL976" i="3"/>
  <c r="AB976" i="3"/>
  <c r="Z976" i="3"/>
  <c r="X976" i="3"/>
  <c r="V976" i="3"/>
  <c r="T976" i="3"/>
  <c r="R976" i="3"/>
  <c r="P976" i="3"/>
  <c r="N976" i="3"/>
  <c r="L976" i="3"/>
  <c r="J976" i="3"/>
  <c r="H976" i="3"/>
  <c r="F976" i="3"/>
  <c r="D976" i="3"/>
  <c r="B976" i="3"/>
  <c r="AY976" i="3"/>
  <c r="AU976" i="3"/>
  <c r="AQ976" i="3"/>
  <c r="AM976" i="3"/>
  <c r="AA976" i="3"/>
  <c r="W976" i="3"/>
  <c r="S976" i="3"/>
  <c r="O976" i="3"/>
  <c r="K976" i="3"/>
  <c r="G976" i="3"/>
  <c r="C976" i="3"/>
  <c r="I976" i="3"/>
  <c r="Q976" i="3"/>
  <c r="Y976" i="3"/>
  <c r="AO976" i="3"/>
  <c r="AW976" i="3"/>
  <c r="BB978" i="3"/>
  <c r="AZ978" i="3"/>
  <c r="AX978" i="3"/>
  <c r="AV978" i="3"/>
  <c r="AT978" i="3"/>
  <c r="AR978" i="3"/>
  <c r="AP978" i="3"/>
  <c r="AN978" i="3"/>
  <c r="AL978" i="3"/>
  <c r="AB978" i="3"/>
  <c r="Z978" i="3"/>
  <c r="X978" i="3"/>
  <c r="V978" i="3"/>
  <c r="T978" i="3"/>
  <c r="R978" i="3"/>
  <c r="P978" i="3"/>
  <c r="N978" i="3"/>
  <c r="L978" i="3"/>
  <c r="J978" i="3"/>
  <c r="H978" i="3"/>
  <c r="F978" i="3"/>
  <c r="D978" i="3"/>
  <c r="B978" i="3"/>
  <c r="AY978" i="3"/>
  <c r="AU978" i="3"/>
  <c r="AQ978" i="3"/>
  <c r="AM978" i="3"/>
  <c r="AA978" i="3"/>
  <c r="W978" i="3"/>
  <c r="S978" i="3"/>
  <c r="O978" i="3"/>
  <c r="K978" i="3"/>
  <c r="G978" i="3"/>
  <c r="C978" i="3"/>
  <c r="I978" i="3"/>
  <c r="Q978" i="3"/>
  <c r="Y978" i="3"/>
  <c r="AO978" i="3"/>
  <c r="AW978" i="3"/>
  <c r="BA980" i="3"/>
  <c r="AY980" i="3"/>
  <c r="AW980" i="3"/>
  <c r="AU980" i="3"/>
  <c r="AS980" i="3"/>
  <c r="AQ980" i="3"/>
  <c r="AO980" i="3"/>
  <c r="AM980" i="3"/>
  <c r="AK980" i="3"/>
  <c r="AA980" i="3"/>
  <c r="Y980" i="3"/>
  <c r="W980" i="3"/>
  <c r="U980" i="3"/>
  <c r="S980" i="3"/>
  <c r="Q980" i="3"/>
  <c r="O980" i="3"/>
  <c r="M980" i="3"/>
  <c r="K980" i="3"/>
  <c r="I980" i="3"/>
  <c r="G980" i="3"/>
  <c r="E980" i="3"/>
  <c r="AZ980" i="3"/>
  <c r="AV980" i="3"/>
  <c r="AR980" i="3"/>
  <c r="AN980" i="3"/>
  <c r="AB980" i="3"/>
  <c r="X980" i="3"/>
  <c r="T980" i="3"/>
  <c r="P980" i="3"/>
  <c r="L980" i="3"/>
  <c r="H980" i="3"/>
  <c r="D980" i="3"/>
  <c r="B980" i="3"/>
  <c r="AX980" i="3"/>
  <c r="AP980" i="3"/>
  <c r="Z980" i="3"/>
  <c r="R980" i="3"/>
  <c r="J980" i="3"/>
  <c r="C980" i="3"/>
  <c r="N980" i="3"/>
  <c r="AL980" i="3"/>
  <c r="BB980" i="3"/>
  <c r="BB983" i="3"/>
  <c r="AZ983" i="3"/>
  <c r="AX983" i="3"/>
  <c r="AV983" i="3"/>
  <c r="AT983" i="3"/>
  <c r="AR983" i="3"/>
  <c r="AP983" i="3"/>
  <c r="AN983" i="3"/>
  <c r="AL983" i="3"/>
  <c r="AB983" i="3"/>
  <c r="Z983" i="3"/>
  <c r="X983" i="3"/>
  <c r="V983" i="3"/>
  <c r="T983" i="3"/>
  <c r="R983" i="3"/>
  <c r="P983" i="3"/>
  <c r="N983" i="3"/>
  <c r="L983" i="3"/>
  <c r="J983" i="3"/>
  <c r="H983" i="3"/>
  <c r="F983" i="3"/>
  <c r="D983" i="3"/>
  <c r="B983" i="3"/>
  <c r="AY983" i="3"/>
  <c r="AU983" i="3"/>
  <c r="AQ983" i="3"/>
  <c r="AM983" i="3"/>
  <c r="AA983" i="3"/>
  <c r="W983" i="3"/>
  <c r="S983" i="3"/>
  <c r="O983" i="3"/>
  <c r="K983" i="3"/>
  <c r="G983" i="3"/>
  <c r="C983" i="3"/>
  <c r="BA983" i="3"/>
  <c r="AS983" i="3"/>
  <c r="AK983" i="3"/>
  <c r="U983" i="3"/>
  <c r="M983" i="3"/>
  <c r="E983" i="3"/>
  <c r="AW983" i="3"/>
  <c r="Y983" i="3"/>
  <c r="I983" i="3"/>
  <c r="AO983" i="3"/>
  <c r="BB987" i="3"/>
  <c r="AZ987" i="3"/>
  <c r="AX987" i="3"/>
  <c r="AV987" i="3"/>
  <c r="AT987" i="3"/>
  <c r="AR987" i="3"/>
  <c r="AP987" i="3"/>
  <c r="AN987" i="3"/>
  <c r="AL987" i="3"/>
  <c r="AB987" i="3"/>
  <c r="Z987" i="3"/>
  <c r="X987" i="3"/>
  <c r="V987" i="3"/>
  <c r="T987" i="3"/>
  <c r="R987" i="3"/>
  <c r="P987" i="3"/>
  <c r="N987" i="3"/>
  <c r="L987" i="3"/>
  <c r="J987" i="3"/>
  <c r="H987" i="3"/>
  <c r="F987" i="3"/>
  <c r="D987" i="3"/>
  <c r="B987" i="3"/>
  <c r="AY987" i="3"/>
  <c r="AU987" i="3"/>
  <c r="AQ987" i="3"/>
  <c r="AM987" i="3"/>
  <c r="AA987" i="3"/>
  <c r="W987" i="3"/>
  <c r="S987" i="3"/>
  <c r="O987" i="3"/>
  <c r="K987" i="3"/>
  <c r="G987" i="3"/>
  <c r="C987" i="3"/>
  <c r="BA987" i="3"/>
  <c r="AS987" i="3"/>
  <c r="AK987" i="3"/>
  <c r="U987" i="3"/>
  <c r="M987" i="3"/>
  <c r="E987" i="3"/>
  <c r="AW987" i="3"/>
  <c r="Y987" i="3"/>
  <c r="I987" i="3"/>
  <c r="AO987" i="3"/>
  <c r="BB991" i="3"/>
  <c r="AZ991" i="3"/>
  <c r="AX991" i="3"/>
  <c r="AV991" i="3"/>
  <c r="AT991" i="3"/>
  <c r="AR991" i="3"/>
  <c r="AP991" i="3"/>
  <c r="AN991" i="3"/>
  <c r="AL991" i="3"/>
  <c r="AB991" i="3"/>
  <c r="Z991" i="3"/>
  <c r="X991" i="3"/>
  <c r="V991" i="3"/>
  <c r="T991" i="3"/>
  <c r="R991" i="3"/>
  <c r="P991" i="3"/>
  <c r="N991" i="3"/>
  <c r="L991" i="3"/>
  <c r="J991" i="3"/>
  <c r="H991" i="3"/>
  <c r="F991" i="3"/>
  <c r="D991" i="3"/>
  <c r="B991" i="3"/>
  <c r="AY991" i="3"/>
  <c r="AU991" i="3"/>
  <c r="AQ991" i="3"/>
  <c r="AM991" i="3"/>
  <c r="AA991" i="3"/>
  <c r="W991" i="3"/>
  <c r="S991" i="3"/>
  <c r="O991" i="3"/>
  <c r="K991" i="3"/>
  <c r="G991" i="3"/>
  <c r="C991" i="3"/>
  <c r="BA991" i="3"/>
  <c r="AS991" i="3"/>
  <c r="AK991" i="3"/>
  <c r="U991" i="3"/>
  <c r="M991" i="3"/>
  <c r="E991" i="3"/>
  <c r="AW991" i="3"/>
  <c r="Y991" i="3"/>
  <c r="I991" i="3"/>
  <c r="AO991" i="3"/>
  <c r="C944" i="3"/>
  <c r="E944" i="3"/>
  <c r="G944" i="3"/>
  <c r="I944" i="3"/>
  <c r="K944" i="3"/>
  <c r="M944" i="3"/>
  <c r="O944" i="3"/>
  <c r="Q944" i="3"/>
  <c r="S944" i="3"/>
  <c r="U944" i="3"/>
  <c r="W944" i="3"/>
  <c r="Y944" i="3"/>
  <c r="AA944" i="3"/>
  <c r="AK944" i="3"/>
  <c r="AM944" i="3"/>
  <c r="AO944" i="3"/>
  <c r="AQ944" i="3"/>
  <c r="AS944" i="3"/>
  <c r="AU944" i="3"/>
  <c r="AW944" i="3"/>
  <c r="AY944" i="3"/>
  <c r="C945" i="3"/>
  <c r="E945" i="3"/>
  <c r="G945" i="3"/>
  <c r="I945" i="3"/>
  <c r="K945" i="3"/>
  <c r="M945" i="3"/>
  <c r="O945" i="3"/>
  <c r="Q945" i="3"/>
  <c r="S945" i="3"/>
  <c r="U945" i="3"/>
  <c r="W945" i="3"/>
  <c r="Y945" i="3"/>
  <c r="AA945" i="3"/>
  <c r="AK945" i="3"/>
  <c r="AM945" i="3"/>
  <c r="AO945" i="3"/>
  <c r="AQ945" i="3"/>
  <c r="AS945" i="3"/>
  <c r="AU945" i="3"/>
  <c r="AW945" i="3"/>
  <c r="AY945" i="3"/>
  <c r="C946" i="3"/>
  <c r="E946" i="3"/>
  <c r="G946" i="3"/>
  <c r="I946" i="3"/>
  <c r="K946" i="3"/>
  <c r="M946" i="3"/>
  <c r="O946" i="3"/>
  <c r="Q946" i="3"/>
  <c r="S946" i="3"/>
  <c r="U946" i="3"/>
  <c r="W946" i="3"/>
  <c r="Y946" i="3"/>
  <c r="AA946" i="3"/>
  <c r="AK946" i="3"/>
  <c r="AM946" i="3"/>
  <c r="AO946" i="3"/>
  <c r="AQ946" i="3"/>
  <c r="AS946" i="3"/>
  <c r="AU946" i="3"/>
  <c r="AW946" i="3"/>
  <c r="AY946" i="3"/>
  <c r="C947" i="3"/>
  <c r="E947" i="3"/>
  <c r="G947" i="3"/>
  <c r="I947" i="3"/>
  <c r="K947" i="3"/>
  <c r="M947" i="3"/>
  <c r="O947" i="3"/>
  <c r="Q947" i="3"/>
  <c r="S947" i="3"/>
  <c r="U947" i="3"/>
  <c r="W947" i="3"/>
  <c r="Y947" i="3"/>
  <c r="AA947" i="3"/>
  <c r="AK947" i="3"/>
  <c r="AM947" i="3"/>
  <c r="AO947" i="3"/>
  <c r="AQ947" i="3"/>
  <c r="AS947" i="3"/>
  <c r="AU947" i="3"/>
  <c r="AW947" i="3"/>
  <c r="AY947" i="3"/>
  <c r="C948" i="3"/>
  <c r="E948" i="3"/>
  <c r="G948" i="3"/>
  <c r="I948" i="3"/>
  <c r="K948" i="3"/>
  <c r="M948" i="3"/>
  <c r="O948" i="3"/>
  <c r="Q948" i="3"/>
  <c r="S948" i="3"/>
  <c r="U948" i="3"/>
  <c r="W948" i="3"/>
  <c r="Y948" i="3"/>
  <c r="AA948" i="3"/>
  <c r="AK948" i="3"/>
  <c r="AM948" i="3"/>
  <c r="AO948" i="3"/>
  <c r="AQ948" i="3"/>
  <c r="AS948" i="3"/>
  <c r="AU948" i="3"/>
  <c r="AW948" i="3"/>
  <c r="AY948" i="3"/>
  <c r="C949" i="3"/>
  <c r="E949" i="3"/>
  <c r="G949" i="3"/>
  <c r="I949" i="3"/>
  <c r="K949" i="3"/>
  <c r="M949" i="3"/>
  <c r="O949" i="3"/>
  <c r="Q949" i="3"/>
  <c r="S949" i="3"/>
  <c r="U949" i="3"/>
  <c r="W949" i="3"/>
  <c r="Y949" i="3"/>
  <c r="AA949" i="3"/>
  <c r="AK949" i="3"/>
  <c r="AM949" i="3"/>
  <c r="AO949" i="3"/>
  <c r="AQ949" i="3"/>
  <c r="AS949" i="3"/>
  <c r="AU949" i="3"/>
  <c r="AW949" i="3"/>
  <c r="AY949" i="3"/>
  <c r="C950" i="3"/>
  <c r="E950" i="3"/>
  <c r="G950" i="3"/>
  <c r="I950" i="3"/>
  <c r="K950" i="3"/>
  <c r="M950" i="3"/>
  <c r="O950" i="3"/>
  <c r="Q950" i="3"/>
  <c r="S950" i="3"/>
  <c r="U950" i="3"/>
  <c r="W950" i="3"/>
  <c r="Y950" i="3"/>
  <c r="AA950" i="3"/>
  <c r="AK950" i="3"/>
  <c r="AM950" i="3"/>
  <c r="AO950" i="3"/>
  <c r="AQ950" i="3"/>
  <c r="AS950" i="3"/>
  <c r="AU950" i="3"/>
  <c r="AW950" i="3"/>
  <c r="AY950" i="3"/>
  <c r="C951" i="3"/>
  <c r="E951" i="3"/>
  <c r="G951" i="3"/>
  <c r="I951" i="3"/>
  <c r="K951" i="3"/>
  <c r="M951" i="3"/>
  <c r="O951" i="3"/>
  <c r="Q951" i="3"/>
  <c r="S951" i="3"/>
  <c r="U951" i="3"/>
  <c r="W951" i="3"/>
  <c r="Y951" i="3"/>
  <c r="AA951" i="3"/>
  <c r="AK951" i="3"/>
  <c r="AM951" i="3"/>
  <c r="AO951" i="3"/>
  <c r="AQ951" i="3"/>
  <c r="AS951" i="3"/>
  <c r="AU951" i="3"/>
  <c r="AW951" i="3"/>
  <c r="AY951" i="3"/>
  <c r="C952" i="3"/>
  <c r="E952" i="3"/>
  <c r="G952" i="3"/>
  <c r="I952" i="3"/>
  <c r="K952" i="3"/>
  <c r="M952" i="3"/>
  <c r="O952" i="3"/>
  <c r="Q952" i="3"/>
  <c r="S952" i="3"/>
  <c r="U952" i="3"/>
  <c r="W952" i="3"/>
  <c r="Y952" i="3"/>
  <c r="AA952" i="3"/>
  <c r="AK952" i="3"/>
  <c r="AM952" i="3"/>
  <c r="AO952" i="3"/>
  <c r="AQ952" i="3"/>
  <c r="AS952" i="3"/>
  <c r="AU952" i="3"/>
  <c r="AW952" i="3"/>
  <c r="AY952" i="3"/>
  <c r="C953" i="3"/>
  <c r="E953" i="3"/>
  <c r="G953" i="3"/>
  <c r="I953" i="3"/>
  <c r="K953" i="3"/>
  <c r="M953" i="3"/>
  <c r="O953" i="3"/>
  <c r="Q953" i="3"/>
  <c r="S953" i="3"/>
  <c r="U953" i="3"/>
  <c r="W953" i="3"/>
  <c r="Y953" i="3"/>
  <c r="AA953" i="3"/>
  <c r="AK953" i="3"/>
  <c r="AM953" i="3"/>
  <c r="AO953" i="3"/>
  <c r="AQ953" i="3"/>
  <c r="AS953" i="3"/>
  <c r="AU953" i="3"/>
  <c r="AW953" i="3"/>
  <c r="AY953" i="3"/>
  <c r="C954" i="3"/>
  <c r="E954" i="3"/>
  <c r="G954" i="3"/>
  <c r="I954" i="3"/>
  <c r="K954" i="3"/>
  <c r="M954" i="3"/>
  <c r="O954" i="3"/>
  <c r="Q954" i="3"/>
  <c r="S954" i="3"/>
  <c r="U954" i="3"/>
  <c r="W954" i="3"/>
  <c r="Y954" i="3"/>
  <c r="AA954" i="3"/>
  <c r="AK954" i="3"/>
  <c r="AM954" i="3"/>
  <c r="AO954" i="3"/>
  <c r="AQ954" i="3"/>
  <c r="AS954" i="3"/>
  <c r="AU954" i="3"/>
  <c r="AW954" i="3"/>
  <c r="AY954" i="3"/>
  <c r="C955" i="3"/>
  <c r="E955" i="3"/>
  <c r="G955" i="3"/>
  <c r="I955" i="3"/>
  <c r="K955" i="3"/>
  <c r="M955" i="3"/>
  <c r="O955" i="3"/>
  <c r="Q955" i="3"/>
  <c r="S955" i="3"/>
  <c r="U955" i="3"/>
  <c r="W955" i="3"/>
  <c r="Y955" i="3"/>
  <c r="AA955" i="3"/>
  <c r="AK955" i="3"/>
  <c r="AM955" i="3"/>
  <c r="AO955" i="3"/>
  <c r="AQ955" i="3"/>
  <c r="AS955" i="3"/>
  <c r="AU955" i="3"/>
  <c r="AW955" i="3"/>
  <c r="AY955" i="3"/>
  <c r="C956" i="3"/>
  <c r="E956" i="3"/>
  <c r="G956" i="3"/>
  <c r="I956" i="3"/>
  <c r="K956" i="3"/>
  <c r="M956" i="3"/>
  <c r="O956" i="3"/>
  <c r="Q956" i="3"/>
  <c r="S956" i="3"/>
  <c r="U956" i="3"/>
  <c r="W956" i="3"/>
  <c r="Y956" i="3"/>
  <c r="AA956" i="3"/>
  <c r="AK956" i="3"/>
  <c r="AM956" i="3"/>
  <c r="AO956" i="3"/>
  <c r="AQ956" i="3"/>
  <c r="AS956" i="3"/>
  <c r="AU956" i="3"/>
  <c r="AW956" i="3"/>
  <c r="AY956" i="3"/>
  <c r="C957" i="3"/>
  <c r="E957" i="3"/>
  <c r="G957" i="3"/>
  <c r="I957" i="3"/>
  <c r="K957" i="3"/>
  <c r="M957" i="3"/>
  <c r="O957" i="3"/>
  <c r="Q957" i="3"/>
  <c r="S957" i="3"/>
  <c r="U957" i="3"/>
  <c r="W957" i="3"/>
  <c r="Y957" i="3"/>
  <c r="AA957" i="3"/>
  <c r="AK957" i="3"/>
  <c r="AM957" i="3"/>
  <c r="AO957" i="3"/>
  <c r="AQ957" i="3"/>
  <c r="AS957" i="3"/>
  <c r="AU957" i="3"/>
  <c r="AW957" i="3"/>
  <c r="AY957" i="3"/>
  <c r="C958" i="3"/>
  <c r="E958" i="3"/>
  <c r="G958" i="3"/>
  <c r="I958" i="3"/>
  <c r="K958" i="3"/>
  <c r="M958" i="3"/>
  <c r="O958" i="3"/>
  <c r="Q958" i="3"/>
  <c r="S958" i="3"/>
  <c r="U958" i="3"/>
  <c r="W958" i="3"/>
  <c r="Y958" i="3"/>
  <c r="AA958" i="3"/>
  <c r="AK958" i="3"/>
  <c r="AM958" i="3"/>
  <c r="AO958" i="3"/>
  <c r="AQ958" i="3"/>
  <c r="AS958" i="3"/>
  <c r="AU958" i="3"/>
  <c r="AW958" i="3"/>
  <c r="AY958" i="3"/>
  <c r="C959" i="3"/>
  <c r="E959" i="3"/>
  <c r="G959" i="3"/>
  <c r="I959" i="3"/>
  <c r="K959" i="3"/>
  <c r="M959" i="3"/>
  <c r="O959" i="3"/>
  <c r="Q959" i="3"/>
  <c r="S959" i="3"/>
  <c r="U959" i="3"/>
  <c r="W959" i="3"/>
  <c r="Y959" i="3"/>
  <c r="AA959" i="3"/>
  <c r="AK959" i="3"/>
  <c r="AM959" i="3"/>
  <c r="AO959" i="3"/>
  <c r="AQ959" i="3"/>
  <c r="AS959" i="3"/>
  <c r="AU959" i="3"/>
  <c r="AW959" i="3"/>
  <c r="AY959" i="3"/>
  <c r="C960" i="3"/>
  <c r="E960" i="3"/>
  <c r="G960" i="3"/>
  <c r="I960" i="3"/>
  <c r="K960" i="3"/>
  <c r="M960" i="3"/>
  <c r="O960" i="3"/>
  <c r="Q960" i="3"/>
  <c r="S960" i="3"/>
  <c r="U960" i="3"/>
  <c r="W960" i="3"/>
  <c r="Y960" i="3"/>
  <c r="AA960" i="3"/>
  <c r="AK960" i="3"/>
  <c r="AM960" i="3"/>
  <c r="AO960" i="3"/>
  <c r="AQ960" i="3"/>
  <c r="AS960" i="3"/>
  <c r="AU960" i="3"/>
  <c r="AW960" i="3"/>
  <c r="AY960" i="3"/>
  <c r="C961" i="3"/>
  <c r="E961" i="3"/>
  <c r="G961" i="3"/>
  <c r="I961" i="3"/>
  <c r="K961" i="3"/>
  <c r="M961" i="3"/>
  <c r="O961" i="3"/>
  <c r="Q961" i="3"/>
  <c r="S961" i="3"/>
  <c r="U961" i="3"/>
  <c r="W961" i="3"/>
  <c r="Y961" i="3"/>
  <c r="AA961" i="3"/>
  <c r="AK961" i="3"/>
  <c r="AM961" i="3"/>
  <c r="AO961" i="3"/>
  <c r="AQ961" i="3"/>
  <c r="AS961" i="3"/>
  <c r="AU961" i="3"/>
  <c r="AW961" i="3"/>
  <c r="AY961" i="3"/>
  <c r="C962" i="3"/>
  <c r="E962" i="3"/>
  <c r="G962" i="3"/>
  <c r="I962" i="3"/>
  <c r="K962" i="3"/>
  <c r="M962" i="3"/>
  <c r="O962" i="3"/>
  <c r="Q962" i="3"/>
  <c r="S962" i="3"/>
  <c r="U962" i="3"/>
  <c r="W962" i="3"/>
  <c r="Y962" i="3"/>
  <c r="AA962" i="3"/>
  <c r="AK962" i="3"/>
  <c r="AM962" i="3"/>
  <c r="AO962" i="3"/>
  <c r="AQ962" i="3"/>
  <c r="AS962" i="3"/>
  <c r="AU962" i="3"/>
  <c r="AW962" i="3"/>
  <c r="AY962" i="3"/>
  <c r="C963" i="3"/>
  <c r="E963" i="3"/>
  <c r="G963" i="3"/>
  <c r="I963" i="3"/>
  <c r="K963" i="3"/>
  <c r="M963" i="3"/>
  <c r="O963" i="3"/>
  <c r="Q963" i="3"/>
  <c r="S963" i="3"/>
  <c r="U963" i="3"/>
  <c r="W963" i="3"/>
  <c r="Y963" i="3"/>
  <c r="AA963" i="3"/>
  <c r="AK963" i="3"/>
  <c r="AM963" i="3"/>
  <c r="AO963" i="3"/>
  <c r="AQ963" i="3"/>
  <c r="AS963" i="3"/>
  <c r="AU963" i="3"/>
  <c r="AW963" i="3"/>
  <c r="AY963" i="3"/>
  <c r="C964" i="3"/>
  <c r="E964" i="3"/>
  <c r="G964" i="3"/>
  <c r="I964" i="3"/>
  <c r="K964" i="3"/>
  <c r="M964" i="3"/>
  <c r="O964" i="3"/>
  <c r="Q964" i="3"/>
  <c r="S964" i="3"/>
  <c r="U964" i="3"/>
  <c r="W964" i="3"/>
  <c r="Y964" i="3"/>
  <c r="AA964" i="3"/>
  <c r="AK964" i="3"/>
  <c r="AM964" i="3"/>
  <c r="AO964" i="3"/>
  <c r="AQ964" i="3"/>
  <c r="AS964" i="3"/>
  <c r="AU964" i="3"/>
  <c r="AW964" i="3"/>
  <c r="AY964" i="3"/>
  <c r="C965" i="3"/>
  <c r="E965" i="3"/>
  <c r="G965" i="3"/>
  <c r="I965" i="3"/>
  <c r="K965" i="3"/>
  <c r="M965" i="3"/>
  <c r="O965" i="3"/>
  <c r="Q965" i="3"/>
  <c r="S965" i="3"/>
  <c r="U965" i="3"/>
  <c r="W965" i="3"/>
  <c r="Y965" i="3"/>
  <c r="AA965" i="3"/>
  <c r="AK965" i="3"/>
  <c r="AM965" i="3"/>
  <c r="AO965" i="3"/>
  <c r="AQ965" i="3"/>
  <c r="AS965" i="3"/>
  <c r="AU965" i="3"/>
  <c r="AW965" i="3"/>
  <c r="AY965" i="3"/>
  <c r="C966" i="3"/>
  <c r="E966" i="3"/>
  <c r="G966" i="3"/>
  <c r="I966" i="3"/>
  <c r="K966" i="3"/>
  <c r="M966" i="3"/>
  <c r="O966" i="3"/>
  <c r="Q966" i="3"/>
  <c r="S966" i="3"/>
  <c r="U966" i="3"/>
  <c r="W966" i="3"/>
  <c r="Y966" i="3"/>
  <c r="AA966" i="3"/>
  <c r="AK966" i="3"/>
  <c r="AM966" i="3"/>
  <c r="AO966" i="3"/>
  <c r="AQ966" i="3"/>
  <c r="AS966" i="3"/>
  <c r="AU966" i="3"/>
  <c r="AW966" i="3"/>
  <c r="AY966" i="3"/>
  <c r="BB967" i="3"/>
  <c r="AZ967" i="3"/>
  <c r="AX967" i="3"/>
  <c r="AV967" i="3"/>
  <c r="AT967" i="3"/>
  <c r="AR967" i="3"/>
  <c r="AP967" i="3"/>
  <c r="AN967" i="3"/>
  <c r="AL967" i="3"/>
  <c r="AB967" i="3"/>
  <c r="Z967" i="3"/>
  <c r="X967" i="3"/>
  <c r="V967" i="3"/>
  <c r="T967" i="3"/>
  <c r="R967" i="3"/>
  <c r="P967" i="3"/>
  <c r="N967" i="3"/>
  <c r="L967" i="3"/>
  <c r="J967" i="3"/>
  <c r="H967" i="3"/>
  <c r="F967" i="3"/>
  <c r="D967" i="3"/>
  <c r="B967" i="3"/>
  <c r="E967" i="3"/>
  <c r="I967" i="3"/>
  <c r="M967" i="3"/>
  <c r="Q967" i="3"/>
  <c r="U967" i="3"/>
  <c r="Y967" i="3"/>
  <c r="AK967" i="3"/>
  <c r="AO967" i="3"/>
  <c r="AS967" i="3"/>
  <c r="AW967" i="3"/>
  <c r="BA967" i="3"/>
  <c r="BB969" i="3"/>
  <c r="AZ969" i="3"/>
  <c r="AX969" i="3"/>
  <c r="AV969" i="3"/>
  <c r="AT969" i="3"/>
  <c r="AR969" i="3"/>
  <c r="AP969" i="3"/>
  <c r="AN969" i="3"/>
  <c r="AL969" i="3"/>
  <c r="AB969" i="3"/>
  <c r="Z969" i="3"/>
  <c r="X969" i="3"/>
  <c r="V969" i="3"/>
  <c r="T969" i="3"/>
  <c r="R969" i="3"/>
  <c r="P969" i="3"/>
  <c r="N969" i="3"/>
  <c r="L969" i="3"/>
  <c r="J969" i="3"/>
  <c r="H969" i="3"/>
  <c r="F969" i="3"/>
  <c r="D969" i="3"/>
  <c r="B969" i="3"/>
  <c r="E969" i="3"/>
  <c r="I969" i="3"/>
  <c r="M969" i="3"/>
  <c r="Q969" i="3"/>
  <c r="U969" i="3"/>
  <c r="Y969" i="3"/>
  <c r="AK969" i="3"/>
  <c r="AO969" i="3"/>
  <c r="AS969" i="3"/>
  <c r="AW969" i="3"/>
  <c r="BA969" i="3"/>
  <c r="BB971" i="3"/>
  <c r="AZ971" i="3"/>
  <c r="AX971" i="3"/>
  <c r="AV971" i="3"/>
  <c r="AT971" i="3"/>
  <c r="AR971" i="3"/>
  <c r="AP971" i="3"/>
  <c r="AN971" i="3"/>
  <c r="AL971" i="3"/>
  <c r="AB971" i="3"/>
  <c r="Z971" i="3"/>
  <c r="X971" i="3"/>
  <c r="V971" i="3"/>
  <c r="T971" i="3"/>
  <c r="R971" i="3"/>
  <c r="P971" i="3"/>
  <c r="N971" i="3"/>
  <c r="L971" i="3"/>
  <c r="J971" i="3"/>
  <c r="H971" i="3"/>
  <c r="F971" i="3"/>
  <c r="D971" i="3"/>
  <c r="B971" i="3"/>
  <c r="E971" i="3"/>
  <c r="I971" i="3"/>
  <c r="M971" i="3"/>
  <c r="Q971" i="3"/>
  <c r="U971" i="3"/>
  <c r="Y971" i="3"/>
  <c r="AK971" i="3"/>
  <c r="AO971" i="3"/>
  <c r="AS971" i="3"/>
  <c r="AW971" i="3"/>
  <c r="BA971" i="3"/>
  <c r="BB973" i="3"/>
  <c r="AZ973" i="3"/>
  <c r="AX973" i="3"/>
  <c r="AV973" i="3"/>
  <c r="AT973" i="3"/>
  <c r="AR973" i="3"/>
  <c r="AP973" i="3"/>
  <c r="AN973" i="3"/>
  <c r="AL973" i="3"/>
  <c r="AB973" i="3"/>
  <c r="Z973" i="3"/>
  <c r="X973" i="3"/>
  <c r="V973" i="3"/>
  <c r="T973" i="3"/>
  <c r="R973" i="3"/>
  <c r="P973" i="3"/>
  <c r="N973" i="3"/>
  <c r="L973" i="3"/>
  <c r="J973" i="3"/>
  <c r="H973" i="3"/>
  <c r="F973" i="3"/>
  <c r="D973" i="3"/>
  <c r="B973" i="3"/>
  <c r="E973" i="3"/>
  <c r="I973" i="3"/>
  <c r="M973" i="3"/>
  <c r="Q973" i="3"/>
  <c r="U973" i="3"/>
  <c r="Y973" i="3"/>
  <c r="AK973" i="3"/>
  <c r="AO973" i="3"/>
  <c r="AS973" i="3"/>
  <c r="AW973" i="3"/>
  <c r="BA973" i="3"/>
  <c r="BB975" i="3"/>
  <c r="AZ975" i="3"/>
  <c r="AX975" i="3"/>
  <c r="AV975" i="3"/>
  <c r="AT975" i="3"/>
  <c r="AR975" i="3"/>
  <c r="AP975" i="3"/>
  <c r="AN975" i="3"/>
  <c r="AL975" i="3"/>
  <c r="AB975" i="3"/>
  <c r="Z975" i="3"/>
  <c r="X975" i="3"/>
  <c r="V975" i="3"/>
  <c r="T975" i="3"/>
  <c r="R975" i="3"/>
  <c r="P975" i="3"/>
  <c r="N975" i="3"/>
  <c r="L975" i="3"/>
  <c r="J975" i="3"/>
  <c r="H975" i="3"/>
  <c r="F975" i="3"/>
  <c r="D975" i="3"/>
  <c r="B975" i="3"/>
  <c r="E975" i="3"/>
  <c r="I975" i="3"/>
  <c r="M975" i="3"/>
  <c r="Q975" i="3"/>
  <c r="U975" i="3"/>
  <c r="Y975" i="3"/>
  <c r="AK975" i="3"/>
  <c r="AO975" i="3"/>
  <c r="AS975" i="3"/>
  <c r="AW975" i="3"/>
  <c r="BA975" i="3"/>
  <c r="BB977" i="3"/>
  <c r="AZ977" i="3"/>
  <c r="AX977" i="3"/>
  <c r="AV977" i="3"/>
  <c r="AT977" i="3"/>
  <c r="AR977" i="3"/>
  <c r="AP977" i="3"/>
  <c r="AN977" i="3"/>
  <c r="AL977" i="3"/>
  <c r="AB977" i="3"/>
  <c r="Z977" i="3"/>
  <c r="X977" i="3"/>
  <c r="V977" i="3"/>
  <c r="T977" i="3"/>
  <c r="R977" i="3"/>
  <c r="P977" i="3"/>
  <c r="N977" i="3"/>
  <c r="L977" i="3"/>
  <c r="J977" i="3"/>
  <c r="H977" i="3"/>
  <c r="F977" i="3"/>
  <c r="D977" i="3"/>
  <c r="B977" i="3"/>
  <c r="E977" i="3"/>
  <c r="I977" i="3"/>
  <c r="M977" i="3"/>
  <c r="Q977" i="3"/>
  <c r="U977" i="3"/>
  <c r="Y977" i="3"/>
  <c r="AK977" i="3"/>
  <c r="AO977" i="3"/>
  <c r="AS977" i="3"/>
  <c r="AW977" i="3"/>
  <c r="BA977" i="3"/>
  <c r="BB979" i="3"/>
  <c r="AZ979" i="3"/>
  <c r="AX979" i="3"/>
  <c r="AV979" i="3"/>
  <c r="AT979" i="3"/>
  <c r="AR979" i="3"/>
  <c r="AP979" i="3"/>
  <c r="AN979" i="3"/>
  <c r="AL979" i="3"/>
  <c r="AB979" i="3"/>
  <c r="Z979" i="3"/>
  <c r="X979" i="3"/>
  <c r="V979" i="3"/>
  <c r="T979" i="3"/>
  <c r="R979" i="3"/>
  <c r="P979" i="3"/>
  <c r="N979" i="3"/>
  <c r="L979" i="3"/>
  <c r="J979" i="3"/>
  <c r="H979" i="3"/>
  <c r="F979" i="3"/>
  <c r="D979" i="3"/>
  <c r="B979" i="3"/>
  <c r="E979" i="3"/>
  <c r="I979" i="3"/>
  <c r="M979" i="3"/>
  <c r="Q979" i="3"/>
  <c r="U979" i="3"/>
  <c r="Y979" i="3"/>
  <c r="AK979" i="3"/>
  <c r="AO979" i="3"/>
  <c r="AS979" i="3"/>
  <c r="AW979" i="3"/>
  <c r="BA979" i="3"/>
  <c r="BB981" i="3"/>
  <c r="AZ981" i="3"/>
  <c r="AX981" i="3"/>
  <c r="AV981" i="3"/>
  <c r="AT981" i="3"/>
  <c r="AR981" i="3"/>
  <c r="AP981" i="3"/>
  <c r="AN981" i="3"/>
  <c r="AL981" i="3"/>
  <c r="AB981" i="3"/>
  <c r="Z981" i="3"/>
  <c r="X981" i="3"/>
  <c r="V981" i="3"/>
  <c r="T981" i="3"/>
  <c r="R981" i="3"/>
  <c r="P981" i="3"/>
  <c r="N981" i="3"/>
  <c r="L981" i="3"/>
  <c r="C981" i="3"/>
  <c r="E981" i="3"/>
  <c r="G981" i="3"/>
  <c r="I981" i="3"/>
  <c r="K981" i="3"/>
  <c r="O981" i="3"/>
  <c r="S981" i="3"/>
  <c r="W981" i="3"/>
  <c r="AA981" i="3"/>
  <c r="AM981" i="3"/>
  <c r="AQ981" i="3"/>
  <c r="AU981" i="3"/>
  <c r="AY981" i="3"/>
  <c r="BB982" i="3"/>
  <c r="AZ982" i="3"/>
  <c r="AX982" i="3"/>
  <c r="AV982" i="3"/>
  <c r="AT982" i="3"/>
  <c r="AR982" i="3"/>
  <c r="AP982" i="3"/>
  <c r="AN982" i="3"/>
  <c r="AL982" i="3"/>
  <c r="AB982" i="3"/>
  <c r="Z982" i="3"/>
  <c r="X982" i="3"/>
  <c r="V982" i="3"/>
  <c r="T982" i="3"/>
  <c r="R982" i="3"/>
  <c r="P982" i="3"/>
  <c r="N982" i="3"/>
  <c r="L982" i="3"/>
  <c r="J982" i="3"/>
  <c r="H982" i="3"/>
  <c r="F982" i="3"/>
  <c r="D982" i="3"/>
  <c r="B982" i="3"/>
  <c r="E982" i="3"/>
  <c r="I982" i="3"/>
  <c r="M982" i="3"/>
  <c r="Q982" i="3"/>
  <c r="U982" i="3"/>
  <c r="Y982" i="3"/>
  <c r="AK982" i="3"/>
  <c r="AO982" i="3"/>
  <c r="AS982" i="3"/>
  <c r="AW982" i="3"/>
  <c r="BA982" i="3"/>
  <c r="BB984" i="3"/>
  <c r="AZ984" i="3"/>
  <c r="AX984" i="3"/>
  <c r="AV984" i="3"/>
  <c r="AT984" i="3"/>
  <c r="AR984" i="3"/>
  <c r="AP984" i="3"/>
  <c r="AN984" i="3"/>
  <c r="AL984" i="3"/>
  <c r="AB984" i="3"/>
  <c r="Z984" i="3"/>
  <c r="X984" i="3"/>
  <c r="V984" i="3"/>
  <c r="T984" i="3"/>
  <c r="R984" i="3"/>
  <c r="P984" i="3"/>
  <c r="N984" i="3"/>
  <c r="L984" i="3"/>
  <c r="J984" i="3"/>
  <c r="H984" i="3"/>
  <c r="F984" i="3"/>
  <c r="D984" i="3"/>
  <c r="B984" i="3"/>
  <c r="E984" i="3"/>
  <c r="I984" i="3"/>
  <c r="M984" i="3"/>
  <c r="Q984" i="3"/>
  <c r="U984" i="3"/>
  <c r="Y984" i="3"/>
  <c r="AK984" i="3"/>
  <c r="AO984" i="3"/>
  <c r="AS984" i="3"/>
  <c r="AW984" i="3"/>
  <c r="BA984" i="3"/>
  <c r="BB986" i="3"/>
  <c r="AZ986" i="3"/>
  <c r="AX986" i="3"/>
  <c r="AV986" i="3"/>
  <c r="AT986" i="3"/>
  <c r="AR986" i="3"/>
  <c r="AP986" i="3"/>
  <c r="AN986" i="3"/>
  <c r="AL986" i="3"/>
  <c r="AB986" i="3"/>
  <c r="Z986" i="3"/>
  <c r="X986" i="3"/>
  <c r="V986" i="3"/>
  <c r="T986" i="3"/>
  <c r="R986" i="3"/>
  <c r="P986" i="3"/>
  <c r="N986" i="3"/>
  <c r="L986" i="3"/>
  <c r="J986" i="3"/>
  <c r="H986" i="3"/>
  <c r="F986" i="3"/>
  <c r="D986" i="3"/>
  <c r="B986" i="3"/>
  <c r="E986" i="3"/>
  <c r="I986" i="3"/>
  <c r="M986" i="3"/>
  <c r="Q986" i="3"/>
  <c r="U986" i="3"/>
  <c r="Y986" i="3"/>
  <c r="AK986" i="3"/>
  <c r="AO986" i="3"/>
  <c r="AS986" i="3"/>
  <c r="AW986" i="3"/>
  <c r="BA986" i="3"/>
  <c r="BB988" i="3"/>
  <c r="AZ988" i="3"/>
  <c r="AX988" i="3"/>
  <c r="AV988" i="3"/>
  <c r="AT988" i="3"/>
  <c r="AR988" i="3"/>
  <c r="AP988" i="3"/>
  <c r="AN988" i="3"/>
  <c r="AL988" i="3"/>
  <c r="AB988" i="3"/>
  <c r="Z988" i="3"/>
  <c r="X988" i="3"/>
  <c r="V988" i="3"/>
  <c r="T988" i="3"/>
  <c r="R988" i="3"/>
  <c r="P988" i="3"/>
  <c r="N988" i="3"/>
  <c r="L988" i="3"/>
  <c r="J988" i="3"/>
  <c r="H988" i="3"/>
  <c r="F988" i="3"/>
  <c r="D988" i="3"/>
  <c r="B988" i="3"/>
  <c r="E988" i="3"/>
  <c r="I988" i="3"/>
  <c r="M988" i="3"/>
  <c r="Q988" i="3"/>
  <c r="U988" i="3"/>
  <c r="Y988" i="3"/>
  <c r="AK988" i="3"/>
  <c r="AO988" i="3"/>
  <c r="AS988" i="3"/>
  <c r="AW988" i="3"/>
  <c r="BA988" i="3"/>
  <c r="BB990" i="3"/>
  <c r="AZ990" i="3"/>
  <c r="AX990" i="3"/>
  <c r="AV990" i="3"/>
  <c r="AT990" i="3"/>
  <c r="AR990" i="3"/>
  <c r="AP990" i="3"/>
  <c r="AN990" i="3"/>
  <c r="AL990" i="3"/>
  <c r="AB990" i="3"/>
  <c r="Z990" i="3"/>
  <c r="X990" i="3"/>
  <c r="V990" i="3"/>
  <c r="T990" i="3"/>
  <c r="R990" i="3"/>
  <c r="P990" i="3"/>
  <c r="N990" i="3"/>
  <c r="L990" i="3"/>
  <c r="J990" i="3"/>
  <c r="H990" i="3"/>
  <c r="F990" i="3"/>
  <c r="D990" i="3"/>
  <c r="B990" i="3"/>
  <c r="E990" i="3"/>
  <c r="I990" i="3"/>
  <c r="M990" i="3"/>
  <c r="Q990" i="3"/>
  <c r="U990" i="3"/>
  <c r="Y990" i="3"/>
  <c r="AK990" i="3"/>
  <c r="AO990" i="3"/>
  <c r="AS990" i="3"/>
  <c r="AW990" i="3"/>
  <c r="BA990" i="3"/>
  <c r="BB992" i="3"/>
  <c r="AZ992" i="3"/>
  <c r="AX992" i="3"/>
  <c r="AV992" i="3"/>
  <c r="AT992" i="3"/>
  <c r="AR992" i="3"/>
  <c r="AP992" i="3"/>
  <c r="AN992" i="3"/>
  <c r="AL992" i="3"/>
  <c r="AB992" i="3"/>
  <c r="Z992" i="3"/>
  <c r="AY992" i="3"/>
  <c r="AU992" i="3"/>
  <c r="AQ992" i="3"/>
  <c r="AM992" i="3"/>
  <c r="AA992" i="3"/>
  <c r="X992" i="3"/>
  <c r="V992" i="3"/>
  <c r="T992" i="3"/>
  <c r="R992" i="3"/>
  <c r="P992" i="3"/>
  <c r="N992" i="3"/>
  <c r="L992" i="3"/>
  <c r="J992" i="3"/>
  <c r="H992" i="3"/>
  <c r="F992" i="3"/>
  <c r="D992" i="3"/>
  <c r="B992" i="3"/>
  <c r="E992" i="3"/>
  <c r="I992" i="3"/>
  <c r="M992" i="3"/>
  <c r="Q992" i="3"/>
  <c r="U992" i="3"/>
  <c r="Y992" i="3"/>
  <c r="AO992" i="3"/>
  <c r="AW992" i="3"/>
  <c r="BB994" i="3"/>
  <c r="AZ994" i="3"/>
  <c r="AX994" i="3"/>
  <c r="AV994" i="3"/>
  <c r="AT994" i="3"/>
  <c r="AR994" i="3"/>
  <c r="AP994" i="3"/>
  <c r="AN994" i="3"/>
  <c r="AL994" i="3"/>
  <c r="AB994" i="3"/>
  <c r="Z994" i="3"/>
  <c r="X994" i="3"/>
  <c r="V994" i="3"/>
  <c r="T994" i="3"/>
  <c r="R994" i="3"/>
  <c r="P994" i="3"/>
  <c r="N994" i="3"/>
  <c r="L994" i="3"/>
  <c r="J994" i="3"/>
  <c r="H994" i="3"/>
  <c r="F994" i="3"/>
  <c r="D994" i="3"/>
  <c r="B994" i="3"/>
  <c r="AY994" i="3"/>
  <c r="AU994" i="3"/>
  <c r="AQ994" i="3"/>
  <c r="AM994" i="3"/>
  <c r="AA994" i="3"/>
  <c r="W994" i="3"/>
  <c r="S994" i="3"/>
  <c r="O994" i="3"/>
  <c r="K994" i="3"/>
  <c r="G994" i="3"/>
  <c r="C994" i="3"/>
  <c r="I994" i="3"/>
  <c r="Q994" i="3"/>
  <c r="Y994" i="3"/>
  <c r="AO994" i="3"/>
  <c r="AW994" i="3"/>
  <c r="BB996" i="3"/>
  <c r="AZ996" i="3"/>
  <c r="AX996" i="3"/>
  <c r="AV996" i="3"/>
  <c r="AT996" i="3"/>
  <c r="AR996" i="3"/>
  <c r="AP996" i="3"/>
  <c r="AN996" i="3"/>
  <c r="AL996" i="3"/>
  <c r="AB996" i="3"/>
  <c r="Z996" i="3"/>
  <c r="X996" i="3"/>
  <c r="V996" i="3"/>
  <c r="T996" i="3"/>
  <c r="R996" i="3"/>
  <c r="P996" i="3"/>
  <c r="N996" i="3"/>
  <c r="L996" i="3"/>
  <c r="J996" i="3"/>
  <c r="H996" i="3"/>
  <c r="F996" i="3"/>
  <c r="D996" i="3"/>
  <c r="B996" i="3"/>
  <c r="AY996" i="3"/>
  <c r="AU996" i="3"/>
  <c r="AQ996" i="3"/>
  <c r="AM996" i="3"/>
  <c r="AA996" i="3"/>
  <c r="W996" i="3"/>
  <c r="S996" i="3"/>
  <c r="O996" i="3"/>
  <c r="K996" i="3"/>
  <c r="G996" i="3"/>
  <c r="C996" i="3"/>
  <c r="I996" i="3"/>
  <c r="Q996" i="3"/>
  <c r="Y996" i="3"/>
  <c r="AO996" i="3"/>
  <c r="AW996" i="3"/>
  <c r="BB998" i="3"/>
  <c r="AZ998" i="3"/>
  <c r="AX998" i="3"/>
  <c r="AV998" i="3"/>
  <c r="AT998" i="3"/>
  <c r="AR998" i="3"/>
  <c r="AP998" i="3"/>
  <c r="AN998" i="3"/>
  <c r="AL998" i="3"/>
  <c r="AB998" i="3"/>
  <c r="Z998" i="3"/>
  <c r="X998" i="3"/>
  <c r="V998" i="3"/>
  <c r="T998" i="3"/>
  <c r="R998" i="3"/>
  <c r="P998" i="3"/>
  <c r="N998" i="3"/>
  <c r="L998" i="3"/>
  <c r="J998" i="3"/>
  <c r="H998" i="3"/>
  <c r="F998" i="3"/>
  <c r="D998" i="3"/>
  <c r="B998" i="3"/>
  <c r="AY998" i="3"/>
  <c r="AU998" i="3"/>
  <c r="AQ998" i="3"/>
  <c r="AM998" i="3"/>
  <c r="AA998" i="3"/>
  <c r="W998" i="3"/>
  <c r="S998" i="3"/>
  <c r="O998" i="3"/>
  <c r="K998" i="3"/>
  <c r="G998" i="3"/>
  <c r="C998" i="3"/>
  <c r="I998" i="3"/>
  <c r="Q998" i="3"/>
  <c r="Y998" i="3"/>
  <c r="AO998" i="3"/>
  <c r="AW998" i="3"/>
  <c r="BB993" i="3"/>
  <c r="AZ993" i="3"/>
  <c r="AX993" i="3"/>
  <c r="AV993" i="3"/>
  <c r="AT993" i="3"/>
  <c r="AR993" i="3"/>
  <c r="AP993" i="3"/>
  <c r="AN993" i="3"/>
  <c r="AL993" i="3"/>
  <c r="AB993" i="3"/>
  <c r="Z993" i="3"/>
  <c r="X993" i="3"/>
  <c r="V993" i="3"/>
  <c r="T993" i="3"/>
  <c r="R993" i="3"/>
  <c r="P993" i="3"/>
  <c r="N993" i="3"/>
  <c r="L993" i="3"/>
  <c r="J993" i="3"/>
  <c r="H993" i="3"/>
  <c r="F993" i="3"/>
  <c r="D993" i="3"/>
  <c r="B993" i="3"/>
  <c r="E993" i="3"/>
  <c r="I993" i="3"/>
  <c r="M993" i="3"/>
  <c r="Q993" i="3"/>
  <c r="U993" i="3"/>
  <c r="Y993" i="3"/>
  <c r="AK993" i="3"/>
  <c r="AO993" i="3"/>
  <c r="AS993" i="3"/>
  <c r="AW993" i="3"/>
  <c r="BA993" i="3"/>
  <c r="BB995" i="3"/>
  <c r="AZ995" i="3"/>
  <c r="AX995" i="3"/>
  <c r="AV995" i="3"/>
  <c r="AT995" i="3"/>
  <c r="AR995" i="3"/>
  <c r="AP995" i="3"/>
  <c r="AN995" i="3"/>
  <c r="AL995" i="3"/>
  <c r="AB995" i="3"/>
  <c r="Z995" i="3"/>
  <c r="X995" i="3"/>
  <c r="V995" i="3"/>
  <c r="T995" i="3"/>
  <c r="R995" i="3"/>
  <c r="P995" i="3"/>
  <c r="N995" i="3"/>
  <c r="L995" i="3"/>
  <c r="J995" i="3"/>
  <c r="H995" i="3"/>
  <c r="F995" i="3"/>
  <c r="D995" i="3"/>
  <c r="B995" i="3"/>
  <c r="E995" i="3"/>
  <c r="I995" i="3"/>
  <c r="M995" i="3"/>
  <c r="Q995" i="3"/>
  <c r="U995" i="3"/>
  <c r="Y995" i="3"/>
  <c r="AK995" i="3"/>
  <c r="AO995" i="3"/>
  <c r="AS995" i="3"/>
  <c r="AW995" i="3"/>
  <c r="BA995" i="3"/>
  <c r="BB997" i="3"/>
  <c r="AZ997" i="3"/>
  <c r="AX997" i="3"/>
  <c r="AV997" i="3"/>
  <c r="AT997" i="3"/>
  <c r="AR997" i="3"/>
  <c r="AP997" i="3"/>
  <c r="AN997" i="3"/>
  <c r="AL997" i="3"/>
  <c r="AB997" i="3"/>
  <c r="Z997" i="3"/>
  <c r="X997" i="3"/>
  <c r="V997" i="3"/>
  <c r="T997" i="3"/>
  <c r="R997" i="3"/>
  <c r="P997" i="3"/>
  <c r="N997" i="3"/>
  <c r="L997" i="3"/>
  <c r="J997" i="3"/>
  <c r="H997" i="3"/>
  <c r="F997" i="3"/>
  <c r="D997" i="3"/>
  <c r="B997" i="3"/>
  <c r="E997" i="3"/>
  <c r="I997" i="3"/>
  <c r="M997" i="3"/>
  <c r="Q997" i="3"/>
  <c r="U997" i="3"/>
  <c r="Y997" i="3"/>
  <c r="AK997" i="3"/>
  <c r="AO997" i="3"/>
  <c r="AS997" i="3"/>
  <c r="AW997" i="3"/>
  <c r="BA997" i="3"/>
  <c r="BA999" i="3"/>
  <c r="AY999" i="3"/>
  <c r="AW999" i="3"/>
  <c r="AU999" i="3"/>
  <c r="AS999" i="3"/>
  <c r="AQ999" i="3"/>
  <c r="AO999" i="3"/>
  <c r="AZ999" i="3"/>
  <c r="AV999" i="3"/>
  <c r="AR999" i="3"/>
  <c r="AN999" i="3"/>
  <c r="AL999" i="3"/>
  <c r="AB999" i="3"/>
  <c r="Z999" i="3"/>
  <c r="X999" i="3"/>
  <c r="V999" i="3"/>
  <c r="T999" i="3"/>
  <c r="R999" i="3"/>
  <c r="P999" i="3"/>
  <c r="N999" i="3"/>
  <c r="L999" i="3"/>
  <c r="J999" i="3"/>
  <c r="H999" i="3"/>
  <c r="F999" i="3"/>
  <c r="D999" i="3"/>
  <c r="B999" i="3"/>
  <c r="E999" i="3"/>
  <c r="I999" i="3"/>
  <c r="M999" i="3"/>
  <c r="Q999" i="3"/>
  <c r="U999" i="3"/>
  <c r="Y999" i="3"/>
  <c r="AK999" i="3"/>
  <c r="AP999" i="3"/>
  <c r="AX999" i="3"/>
  <c r="O6" i="5"/>
  <c r="C1000" i="3"/>
  <c r="E1000" i="3"/>
  <c r="G1000" i="3"/>
  <c r="I1000" i="3"/>
  <c r="K1000" i="3"/>
  <c r="M1000" i="3"/>
  <c r="O1000" i="3"/>
  <c r="Q1000" i="3"/>
  <c r="S1000" i="3"/>
  <c r="U1000" i="3"/>
  <c r="W1000" i="3"/>
  <c r="Y1000" i="3"/>
  <c r="AA1000" i="3"/>
  <c r="AK1000" i="3"/>
  <c r="AM1000" i="3"/>
  <c r="AO1000" i="3"/>
  <c r="AQ1000" i="3"/>
  <c r="AS1000" i="3"/>
  <c r="AU1000" i="3"/>
  <c r="AW1000" i="3"/>
  <c r="AY1000" i="3"/>
  <c r="C1001" i="3"/>
  <c r="E1001" i="3"/>
  <c r="G1001" i="3"/>
  <c r="I1001" i="3"/>
  <c r="K1001" i="3"/>
  <c r="M1001" i="3"/>
  <c r="O1001" i="3"/>
  <c r="Q1001" i="3"/>
  <c r="S1001" i="3"/>
  <c r="U1001" i="3"/>
  <c r="W1001" i="3"/>
  <c r="Y1001" i="3"/>
  <c r="AA1001" i="3"/>
  <c r="AK1001" i="3"/>
  <c r="AM1001" i="3"/>
  <c r="AO1001" i="3"/>
  <c r="AQ1001" i="3"/>
  <c r="AS1001" i="3"/>
  <c r="AU1001" i="3"/>
  <c r="AW1001" i="3"/>
  <c r="AY1001" i="3"/>
  <c r="H2" i="5"/>
  <c r="M4" i="5"/>
  <c r="M6" i="5" s="1"/>
  <c r="O4" i="5"/>
  <c r="I2" i="5"/>
  <c r="I93" i="5" s="1"/>
  <c r="L4" i="5"/>
  <c r="L6" i="5" s="1"/>
  <c r="N4" i="5"/>
  <c r="N6" i="5" s="1"/>
  <c r="J8" i="5"/>
  <c r="M42" i="1" l="1"/>
  <c r="AX243" i="3"/>
  <c r="AV243" i="3"/>
  <c r="AX241" i="3"/>
  <c r="AV241" i="3"/>
  <c r="AX239" i="3"/>
  <c r="AV239" i="3"/>
  <c r="AX237" i="3"/>
  <c r="AV237" i="3"/>
  <c r="AX235" i="3"/>
  <c r="AV235" i="3"/>
  <c r="AX233" i="3"/>
  <c r="AV233" i="3"/>
  <c r="AX231" i="3"/>
  <c r="AV231" i="3"/>
  <c r="AX229" i="3"/>
  <c r="AV229" i="3"/>
  <c r="AX227" i="3"/>
  <c r="AV227" i="3"/>
  <c r="AX225" i="3"/>
  <c r="AV225" i="3"/>
  <c r="AX223" i="3"/>
  <c r="AV223" i="3"/>
  <c r="AX221" i="3"/>
  <c r="AV221" i="3"/>
  <c r="AX219" i="3"/>
  <c r="AV219" i="3"/>
  <c r="AX217" i="3"/>
  <c r="AV217" i="3"/>
  <c r="AX215" i="3"/>
  <c r="AV215" i="3"/>
  <c r="AX213" i="3"/>
  <c r="AV213" i="3"/>
  <c r="AX211" i="3"/>
  <c r="AV211" i="3"/>
  <c r="AV209" i="3"/>
  <c r="AX209" i="3"/>
  <c r="AX207" i="3"/>
  <c r="AV207" i="3"/>
  <c r="AV205" i="3"/>
  <c r="AX205" i="3"/>
  <c r="AX203" i="3"/>
  <c r="AV203" i="3"/>
  <c r="AV201" i="3"/>
  <c r="AX201" i="3"/>
  <c r="AX199" i="3"/>
  <c r="AV199" i="3"/>
  <c r="AX197" i="3"/>
  <c r="AV197" i="3"/>
  <c r="AX195" i="3"/>
  <c r="AV195" i="3"/>
  <c r="AV193" i="3"/>
  <c r="AX193" i="3"/>
  <c r="AX191" i="3"/>
  <c r="AV191" i="3"/>
  <c r="AX189" i="3"/>
  <c r="AV189" i="3"/>
  <c r="AX187" i="3"/>
  <c r="AV187" i="3"/>
  <c r="AV185" i="3"/>
  <c r="AX185" i="3"/>
  <c r="AV183" i="3"/>
  <c r="AX183" i="3"/>
  <c r="AX181" i="3"/>
  <c r="AV181" i="3"/>
  <c r="AV179" i="3"/>
  <c r="AX179" i="3"/>
  <c r="AX177" i="3"/>
  <c r="AV177" i="3"/>
  <c r="AX175" i="3"/>
  <c r="AV175" i="3"/>
  <c r="AX173" i="3"/>
  <c r="AV173" i="3"/>
  <c r="AV171" i="3"/>
  <c r="AX171" i="3"/>
  <c r="AX169" i="3"/>
  <c r="AV169" i="3"/>
  <c r="AV167" i="3"/>
  <c r="AX167" i="3"/>
  <c r="AX165" i="3"/>
  <c r="AV165" i="3"/>
  <c r="AX163" i="3"/>
  <c r="AV163" i="3"/>
  <c r="AV161" i="3"/>
  <c r="AX161" i="3"/>
  <c r="AV159" i="3"/>
  <c r="AX159" i="3"/>
  <c r="AW158" i="3"/>
  <c r="AK158" i="3"/>
  <c r="AX157" i="3"/>
  <c r="AV157" i="3"/>
  <c r="AW156" i="3"/>
  <c r="AK156" i="3"/>
  <c r="AX155" i="3"/>
  <c r="AV155" i="3"/>
  <c r="AW154" i="3"/>
  <c r="AK154" i="3"/>
  <c r="AX153" i="3"/>
  <c r="AV153" i="3"/>
  <c r="AW152" i="3"/>
  <c r="AK152" i="3"/>
  <c r="AX151" i="3"/>
  <c r="AV151" i="3"/>
  <c r="AW150" i="3"/>
  <c r="AK150" i="3"/>
  <c r="AX149" i="3"/>
  <c r="AV149" i="3"/>
  <c r="AW148" i="3"/>
  <c r="AK148" i="3"/>
  <c r="AX147" i="3"/>
  <c r="AV147" i="3"/>
  <c r="AW146" i="3"/>
  <c r="AK146" i="3"/>
  <c r="AX145" i="3"/>
  <c r="AV145" i="3"/>
  <c r="AW144" i="3"/>
  <c r="AK144" i="3"/>
  <c r="AV143" i="3"/>
  <c r="AX143" i="3"/>
  <c r="AW142" i="3"/>
  <c r="AK142" i="3"/>
  <c r="AX141" i="3"/>
  <c r="AV141" i="3"/>
  <c r="AX139" i="3"/>
  <c r="AV139" i="3"/>
  <c r="AX137" i="3"/>
  <c r="AV137" i="3"/>
  <c r="AX135" i="3"/>
  <c r="AV135" i="3"/>
  <c r="AX133" i="3"/>
  <c r="AV133" i="3"/>
  <c r="AX131" i="3"/>
  <c r="AV131" i="3"/>
  <c r="AV129" i="3"/>
  <c r="AX129" i="3"/>
  <c r="AX127" i="3"/>
  <c r="AV127" i="3"/>
  <c r="AX125" i="3"/>
  <c r="AV125" i="3"/>
  <c r="AX123" i="3"/>
  <c r="AV123" i="3"/>
  <c r="AX121" i="3"/>
  <c r="AV121" i="3"/>
  <c r="AX119" i="3"/>
  <c r="AV119" i="3"/>
  <c r="AV117" i="3"/>
  <c r="AX117" i="3"/>
  <c r="AX115" i="3"/>
  <c r="AV115" i="3"/>
  <c r="AX113" i="3"/>
  <c r="AV113" i="3"/>
  <c r="AX111" i="3"/>
  <c r="AV111" i="3"/>
  <c r="AV109" i="3"/>
  <c r="AX109" i="3"/>
  <c r="AX107" i="3"/>
  <c r="AV107" i="3"/>
  <c r="AX105" i="3"/>
  <c r="AV105" i="3"/>
  <c r="AX103" i="3"/>
  <c r="AV103" i="3"/>
  <c r="AX101" i="3"/>
  <c r="AV101" i="3"/>
  <c r="AX99" i="3"/>
  <c r="AV99" i="3"/>
  <c r="AV97" i="3"/>
  <c r="AX97" i="3"/>
  <c r="AX95" i="3"/>
  <c r="AV95" i="3"/>
  <c r="AX93" i="3"/>
  <c r="AV93" i="3"/>
  <c r="AX91" i="3"/>
  <c r="AV91" i="3"/>
  <c r="AX89" i="3"/>
  <c r="AV89" i="3"/>
  <c r="AX87" i="3"/>
  <c r="AV87" i="3"/>
  <c r="AX85" i="3"/>
  <c r="AV85" i="3"/>
  <c r="AX83" i="3"/>
  <c r="AV83" i="3"/>
  <c r="AX81" i="3"/>
  <c r="AV81" i="3"/>
  <c r="AX79" i="3"/>
  <c r="AV79" i="3"/>
  <c r="AV77" i="3"/>
  <c r="AX77" i="3"/>
  <c r="AX75" i="3"/>
  <c r="AV75" i="3"/>
  <c r="AX73" i="3"/>
  <c r="AV73" i="3"/>
  <c r="AX71" i="3"/>
  <c r="AV71" i="3"/>
  <c r="AX69" i="3"/>
  <c r="AV69" i="3"/>
  <c r="AX67" i="3"/>
  <c r="AV67" i="3"/>
  <c r="AX65" i="3"/>
  <c r="AV65" i="3"/>
  <c r="AX63" i="3"/>
  <c r="AV63" i="3"/>
  <c r="AX61" i="3"/>
  <c r="AV61" i="3"/>
  <c r="AX59" i="3"/>
  <c r="AV59" i="3"/>
  <c r="AX57" i="3"/>
  <c r="AV57" i="3"/>
  <c r="AX55" i="3"/>
  <c r="AV55" i="3"/>
  <c r="AX53" i="3"/>
  <c r="AV53" i="3"/>
  <c r="AX51" i="3"/>
  <c r="AV51" i="3"/>
  <c r="AX49" i="3"/>
  <c r="AV49" i="3"/>
  <c r="AX47" i="3"/>
  <c r="AV47" i="3"/>
  <c r="AX45" i="3"/>
  <c r="AV45" i="3"/>
  <c r="AX43" i="3"/>
  <c r="AV43" i="3"/>
  <c r="AX41" i="3"/>
  <c r="AV41" i="3"/>
  <c r="AX39" i="3"/>
  <c r="AV39" i="3"/>
  <c r="AX37" i="3"/>
  <c r="AV37" i="3"/>
  <c r="AX35" i="3"/>
  <c r="AV35" i="3"/>
  <c r="AX33" i="3"/>
  <c r="AV33" i="3"/>
  <c r="AX31" i="3"/>
  <c r="AV31" i="3"/>
  <c r="AX29" i="3"/>
  <c r="AV29" i="3"/>
  <c r="AX27" i="3"/>
  <c r="AV27" i="3"/>
  <c r="AW26" i="3"/>
  <c r="AK26" i="3"/>
  <c r="AX25" i="3"/>
  <c r="AV25" i="3"/>
  <c r="AW24" i="3"/>
  <c r="AK24" i="3"/>
  <c r="AX23" i="3"/>
  <c r="AV23" i="3"/>
  <c r="AW22" i="3"/>
  <c r="AK22" i="3"/>
  <c r="AX21" i="3"/>
  <c r="AV21" i="3"/>
  <c r="AW20" i="3"/>
  <c r="AK20" i="3"/>
  <c r="AX19" i="3"/>
  <c r="AV19" i="3"/>
  <c r="AW18" i="3"/>
  <c r="AK18" i="3"/>
  <c r="AX17" i="3"/>
  <c r="AV17" i="3"/>
  <c r="AW16" i="3"/>
  <c r="AK16" i="3"/>
  <c r="AX15" i="3"/>
  <c r="AV15" i="3"/>
  <c r="AW14" i="3"/>
  <c r="AK14" i="3"/>
  <c r="AX13" i="3"/>
  <c r="AV13" i="3"/>
  <c r="AW12" i="3"/>
  <c r="AK12" i="3"/>
  <c r="AX11" i="3"/>
  <c r="AV11" i="3"/>
  <c r="AW10" i="3"/>
  <c r="AK10" i="3"/>
  <c r="AX9" i="3"/>
  <c r="AV9" i="3"/>
  <c r="AW8" i="3"/>
  <c r="AK8" i="3"/>
  <c r="AX7" i="3"/>
  <c r="AV7" i="3"/>
  <c r="AW6" i="3"/>
  <c r="AK6" i="3"/>
  <c r="AX5" i="3"/>
  <c r="AV5" i="3"/>
  <c r="AW4" i="3"/>
  <c r="AK4" i="3"/>
  <c r="AX3" i="3"/>
  <c r="AV3" i="3"/>
  <c r="AW2" i="3"/>
  <c r="G46" i="1"/>
  <c r="G41" i="1"/>
  <c r="AK2" i="3"/>
  <c r="G32" i="1"/>
  <c r="G27" i="1"/>
  <c r="M27" i="1" s="1"/>
  <c r="G16" i="1"/>
  <c r="M16" i="1" s="1"/>
  <c r="G15" i="1"/>
  <c r="M15" i="1" s="1"/>
  <c r="G14" i="1"/>
  <c r="M14" i="1" s="1"/>
  <c r="P2" i="3"/>
  <c r="I107" i="2"/>
  <c r="G103" i="2"/>
  <c r="G101" i="2"/>
  <c r="G99" i="2"/>
  <c r="G97" i="2"/>
  <c r="G56" i="2"/>
  <c r="G54" i="2"/>
  <c r="G52" i="2"/>
  <c r="G50" i="2"/>
  <c r="G48" i="2"/>
  <c r="G46" i="2"/>
  <c r="G44" i="2"/>
  <c r="G42" i="2"/>
  <c r="G40" i="2"/>
  <c r="G38" i="2"/>
  <c r="G36" i="2"/>
  <c r="G34" i="2"/>
  <c r="G32" i="2"/>
  <c r="G30" i="2"/>
  <c r="F2" i="3"/>
  <c r="G104" i="2"/>
  <c r="G102" i="2"/>
  <c r="G100" i="2"/>
  <c r="G98" i="2"/>
  <c r="G96" i="2"/>
  <c r="G105" i="2" s="1"/>
  <c r="F91" i="2"/>
  <c r="F89" i="2"/>
  <c r="F87" i="2"/>
  <c r="F85" i="2"/>
  <c r="F83" i="2"/>
  <c r="F81" i="2"/>
  <c r="F79" i="2"/>
  <c r="F77" i="2"/>
  <c r="F75" i="2"/>
  <c r="F73" i="2"/>
  <c r="F71" i="2"/>
  <c r="F69" i="2"/>
  <c r="F67" i="2"/>
  <c r="F65" i="2"/>
  <c r="F63" i="2"/>
  <c r="F61" i="2"/>
  <c r="G55" i="2"/>
  <c r="G53" i="2"/>
  <c r="G51" i="2"/>
  <c r="G49" i="2"/>
  <c r="G47" i="2"/>
  <c r="G45" i="2"/>
  <c r="G43" i="2"/>
  <c r="G41" i="2"/>
  <c r="G39" i="2"/>
  <c r="G37" i="2"/>
  <c r="G35" i="2"/>
  <c r="G33" i="2"/>
  <c r="G31" i="2"/>
  <c r="G29" i="2"/>
  <c r="G57" i="2" s="1"/>
  <c r="F24" i="2"/>
  <c r="F22" i="2"/>
  <c r="F20" i="2"/>
  <c r="F18" i="2"/>
  <c r="F16" i="2"/>
  <c r="F14" i="2"/>
  <c r="F12" i="2"/>
  <c r="F10" i="2"/>
  <c r="F8" i="2"/>
  <c r="F6" i="2"/>
  <c r="H104" i="2"/>
  <c r="D104" i="2"/>
  <c r="F103" i="2"/>
  <c r="H102" i="2"/>
  <c r="D102" i="2"/>
  <c r="F101" i="2"/>
  <c r="H100" i="2"/>
  <c r="D100" i="2"/>
  <c r="F99" i="2"/>
  <c r="H98" i="2"/>
  <c r="D98" i="2"/>
  <c r="F97" i="2"/>
  <c r="H96" i="2"/>
  <c r="D96" i="2"/>
  <c r="F56" i="2"/>
  <c r="H55" i="2"/>
  <c r="D55" i="2"/>
  <c r="F54" i="2"/>
  <c r="H53" i="2"/>
  <c r="D53" i="2"/>
  <c r="F52" i="2"/>
  <c r="H51" i="2"/>
  <c r="D51" i="2"/>
  <c r="F50" i="2"/>
  <c r="H49" i="2"/>
  <c r="D49" i="2"/>
  <c r="F48" i="2"/>
  <c r="H47" i="2"/>
  <c r="D47" i="2"/>
  <c r="F46" i="2"/>
  <c r="H45" i="2"/>
  <c r="D45" i="2"/>
  <c r="F44" i="2"/>
  <c r="H43" i="2"/>
  <c r="D43" i="2"/>
  <c r="F42" i="2"/>
  <c r="H41" i="2"/>
  <c r="D41" i="2"/>
  <c r="F40" i="2"/>
  <c r="H39" i="2"/>
  <c r="D39" i="2"/>
  <c r="F38" i="2"/>
  <c r="H37" i="2"/>
  <c r="D37" i="2"/>
  <c r="F36" i="2"/>
  <c r="H35" i="2"/>
  <c r="D35" i="2"/>
  <c r="F34" i="2"/>
  <c r="H33" i="2"/>
  <c r="D33" i="2"/>
  <c r="F32" i="2"/>
  <c r="H31" i="2"/>
  <c r="D31" i="2"/>
  <c r="F30" i="2"/>
  <c r="H29" i="2"/>
  <c r="D29" i="2"/>
  <c r="AT243" i="3"/>
  <c r="BB243" i="3"/>
  <c r="AT241" i="3"/>
  <c r="BB241" i="3"/>
  <c r="AT239" i="3"/>
  <c r="BB239" i="3"/>
  <c r="AT237" i="3"/>
  <c r="BB237" i="3"/>
  <c r="AT235" i="3"/>
  <c r="BB235" i="3"/>
  <c r="AT233" i="3"/>
  <c r="BB233" i="3"/>
  <c r="AT231" i="3"/>
  <c r="BB231" i="3"/>
  <c r="AT229" i="3"/>
  <c r="BB229" i="3"/>
  <c r="AT227" i="3"/>
  <c r="BB227" i="3"/>
  <c r="BA226" i="3"/>
  <c r="AT225" i="3"/>
  <c r="BB225" i="3"/>
  <c r="BA224" i="3"/>
  <c r="BA222" i="3"/>
  <c r="AT221" i="3"/>
  <c r="BB221" i="3"/>
  <c r="AT219" i="3"/>
  <c r="BB219" i="3"/>
  <c r="BA218" i="3"/>
  <c r="AT217" i="3"/>
  <c r="BB217" i="3"/>
  <c r="BA216" i="3"/>
  <c r="BA214" i="3"/>
  <c r="AT213" i="3"/>
  <c r="BB213" i="3"/>
  <c r="AT209" i="3"/>
  <c r="BB209" i="3"/>
  <c r="BA206" i="3"/>
  <c r="AT205" i="3"/>
  <c r="AT203" i="3"/>
  <c r="BB203" i="3"/>
  <c r="BA202" i="3"/>
  <c r="AT201" i="3"/>
  <c r="BB201" i="3"/>
  <c r="BA198" i="3"/>
  <c r="AT197" i="3"/>
  <c r="BB197" i="3"/>
  <c r="BB195" i="3"/>
  <c r="AT193" i="3"/>
  <c r="BA192" i="3"/>
  <c r="AT189" i="3"/>
  <c r="BB189" i="3"/>
  <c r="BA188" i="3"/>
  <c r="AT187" i="3"/>
  <c r="BB187" i="3"/>
  <c r="BA186" i="3"/>
  <c r="AT185" i="3"/>
  <c r="BB185" i="3"/>
  <c r="AT183" i="3"/>
  <c r="BB183" i="3"/>
  <c r="AT181" i="3"/>
  <c r="BB181" i="3"/>
  <c r="AT179" i="3"/>
  <c r="BA178" i="3"/>
  <c r="AT177" i="3"/>
  <c r="BB177" i="3"/>
  <c r="BB175" i="3"/>
  <c r="BA174" i="3"/>
  <c r="AT173" i="3"/>
  <c r="BB173" i="3"/>
  <c r="BA172" i="3"/>
  <c r="AT171" i="3"/>
  <c r="BB171" i="3"/>
  <c r="BA170" i="3"/>
  <c r="AT169" i="3"/>
  <c r="BB169" i="3"/>
  <c r="BA168" i="3"/>
  <c r="AT167" i="3"/>
  <c r="BB167" i="3"/>
  <c r="BA166" i="3"/>
  <c r="BB165" i="3"/>
  <c r="AT165" i="3"/>
  <c r="BA164" i="3"/>
  <c r="AT163" i="3"/>
  <c r="BA162" i="3"/>
  <c r="AT161" i="3"/>
  <c r="BB161" i="3"/>
  <c r="AT159" i="3"/>
  <c r="AT157" i="3"/>
  <c r="BB157" i="3"/>
  <c r="BA156" i="3"/>
  <c r="AT155" i="3"/>
  <c r="BB155" i="3"/>
  <c r="BA154" i="3"/>
  <c r="BB153" i="3"/>
  <c r="BA152" i="3"/>
  <c r="AT151" i="3"/>
  <c r="BB151" i="3"/>
  <c r="AT149" i="3"/>
  <c r="BB149" i="3"/>
  <c r="BA148" i="3"/>
  <c r="AT147" i="3"/>
  <c r="BB147" i="3"/>
  <c r="BA146" i="3"/>
  <c r="AT145" i="3"/>
  <c r="BB145" i="3"/>
  <c r="BB143" i="3"/>
  <c r="AT141" i="3"/>
  <c r="BB141" i="3"/>
  <c r="BA140" i="3"/>
  <c r="AT139" i="3"/>
  <c r="BB139" i="3"/>
  <c r="AT137" i="3"/>
  <c r="BB137" i="3"/>
  <c r="BA134" i="3"/>
  <c r="BB133" i="3"/>
  <c r="BA132" i="3"/>
  <c r="AT129" i="3"/>
  <c r="BA128" i="3"/>
  <c r="AT127" i="3"/>
  <c r="BB127" i="3"/>
  <c r="BA126" i="3"/>
  <c r="AT125" i="3"/>
  <c r="BB125" i="3"/>
  <c r="BA124" i="3"/>
  <c r="AT121" i="3"/>
  <c r="BB121" i="3"/>
  <c r="AT119" i="3"/>
  <c r="BB119" i="3"/>
  <c r="AT117" i="3"/>
  <c r="BB117" i="3"/>
  <c r="BA116" i="3"/>
  <c r="BB115" i="3"/>
  <c r="BB113" i="3"/>
  <c r="BA112" i="3"/>
  <c r="BB111" i="3"/>
  <c r="AT111" i="3"/>
  <c r="BA110" i="3"/>
  <c r="AT109" i="3"/>
  <c r="BB109" i="3"/>
  <c r="AT107" i="3"/>
  <c r="BB107" i="3"/>
  <c r="BA106" i="3"/>
  <c r="BB105" i="3"/>
  <c r="AT105" i="3"/>
  <c r="AT103" i="3"/>
  <c r="BB103" i="3"/>
  <c r="BA102" i="3"/>
  <c r="AT101" i="3"/>
  <c r="BB101" i="3"/>
  <c r="BA100" i="3"/>
  <c r="BB99" i="3"/>
  <c r="AT99" i="3"/>
  <c r="AT97" i="3"/>
  <c r="BB97" i="3"/>
  <c r="AT95" i="3"/>
  <c r="BB95" i="3"/>
  <c r="AT93" i="3"/>
  <c r="BB93" i="3"/>
  <c r="BA92" i="3"/>
  <c r="AT91" i="3"/>
  <c r="BB91" i="3"/>
  <c r="AT89" i="3"/>
  <c r="BB89" i="3"/>
  <c r="BA88" i="3"/>
  <c r="AT87" i="3"/>
  <c r="BB87" i="3"/>
  <c r="BA86" i="3"/>
  <c r="BB85" i="3"/>
  <c r="BA80" i="3"/>
  <c r="BB79" i="3"/>
  <c r="AT77" i="3"/>
  <c r="BB77" i="3"/>
  <c r="BB75" i="3"/>
  <c r="BA74" i="3"/>
  <c r="AT73" i="3"/>
  <c r="AT71" i="3"/>
  <c r="BB71" i="3"/>
  <c r="BA70" i="3"/>
  <c r="BB222" i="3"/>
  <c r="AT216" i="3"/>
  <c r="BB214" i="3"/>
  <c r="AT198" i="3"/>
  <c r="AT188" i="3"/>
  <c r="BB168" i="3"/>
  <c r="AT166" i="3"/>
  <c r="BB162" i="3"/>
  <c r="BB152" i="3"/>
  <c r="AT140" i="3"/>
  <c r="BB132" i="3"/>
  <c r="BB128" i="3"/>
  <c r="BB126" i="3"/>
  <c r="BB100" i="3"/>
  <c r="AT86" i="3"/>
  <c r="BB80" i="3"/>
  <c r="BB70" i="3"/>
  <c r="BA67" i="3"/>
  <c r="BA65" i="3"/>
  <c r="BA63" i="3"/>
  <c r="BA61" i="3"/>
  <c r="BA59" i="3"/>
  <c r="BA57" i="3"/>
  <c r="BA55" i="3"/>
  <c r="BA53" i="3"/>
  <c r="BA51" i="3"/>
  <c r="BA49" i="3"/>
  <c r="BA47" i="3"/>
  <c r="BA45" i="3"/>
  <c r="BA43" i="3"/>
  <c r="BA41" i="3"/>
  <c r="BA39" i="3"/>
  <c r="BA37" i="3"/>
  <c r="BA35" i="3"/>
  <c r="BA33" i="3"/>
  <c r="BA31" i="3"/>
  <c r="BA29" i="3"/>
  <c r="BA27" i="3"/>
  <c r="BA25" i="3"/>
  <c r="BA23" i="3"/>
  <c r="BA21" i="3"/>
  <c r="BA19" i="3"/>
  <c r="BA17" i="3"/>
  <c r="BA15" i="3"/>
  <c r="BA13" i="3"/>
  <c r="BA11" i="3"/>
  <c r="BA9" i="3"/>
  <c r="BA7" i="3"/>
  <c r="BA5" i="3"/>
  <c r="BA3" i="3"/>
  <c r="G10" i="1"/>
  <c r="M10" i="1" s="1"/>
  <c r="G12" i="1"/>
  <c r="M12" i="1" s="1"/>
  <c r="L104" i="2"/>
  <c r="L100" i="2"/>
  <c r="L96" i="2"/>
  <c r="L91" i="2"/>
  <c r="D91" i="2"/>
  <c r="F90" i="2"/>
  <c r="H89" i="2"/>
  <c r="G89" i="2"/>
  <c r="L87" i="2"/>
  <c r="D87" i="2"/>
  <c r="F86" i="2"/>
  <c r="H85" i="2"/>
  <c r="G85" i="2"/>
  <c r="L83" i="2"/>
  <c r="D83" i="2"/>
  <c r="F82" i="2"/>
  <c r="H81" i="2"/>
  <c r="G81" i="2"/>
  <c r="L79" i="2"/>
  <c r="D79" i="2"/>
  <c r="F78" i="2"/>
  <c r="H77" i="2"/>
  <c r="G77" i="2"/>
  <c r="D75" i="2"/>
  <c r="F74" i="2"/>
  <c r="H73" i="2"/>
  <c r="G73" i="2"/>
  <c r="L71" i="2"/>
  <c r="D71" i="2"/>
  <c r="F70" i="2"/>
  <c r="H69" i="2"/>
  <c r="G69" i="2"/>
  <c r="L67" i="2"/>
  <c r="D67" i="2"/>
  <c r="F66" i="2"/>
  <c r="H65" i="2"/>
  <c r="G65" i="2"/>
  <c r="L63" i="2"/>
  <c r="D63" i="2"/>
  <c r="F62" i="2"/>
  <c r="H61" i="2"/>
  <c r="G61" i="2"/>
  <c r="L55" i="2"/>
  <c r="L51" i="2"/>
  <c r="L47" i="2"/>
  <c r="L43" i="2"/>
  <c r="L39" i="2"/>
  <c r="L35" i="2"/>
  <c r="L31" i="2"/>
  <c r="F25" i="2"/>
  <c r="H24" i="2"/>
  <c r="G24" i="2"/>
  <c r="L22" i="2"/>
  <c r="D22" i="2"/>
  <c r="F21" i="2"/>
  <c r="H20" i="2"/>
  <c r="G20" i="2"/>
  <c r="L18" i="2"/>
  <c r="D18" i="2"/>
  <c r="F17" i="2"/>
  <c r="H16" i="2"/>
  <c r="G16" i="2"/>
  <c r="L14" i="2"/>
  <c r="D14" i="2"/>
  <c r="F13" i="2"/>
  <c r="H12" i="2"/>
  <c r="G12" i="2"/>
  <c r="L10" i="2"/>
  <c r="D10" i="2"/>
  <c r="F9" i="2"/>
  <c r="H8" i="2"/>
  <c r="G8" i="2"/>
  <c r="L6" i="2"/>
  <c r="D6" i="2"/>
  <c r="F5" i="2"/>
  <c r="G18" i="1"/>
  <c r="M18" i="1" s="1"/>
  <c r="G20" i="1"/>
  <c r="M20" i="1" s="1"/>
  <c r="L103" i="2"/>
  <c r="L99" i="2"/>
  <c r="L92" i="2"/>
  <c r="D92" i="2"/>
  <c r="L90" i="2"/>
  <c r="D90" i="2"/>
  <c r="L88" i="2"/>
  <c r="D88" i="2"/>
  <c r="L86" i="2"/>
  <c r="D86" i="2"/>
  <c r="L84" i="2"/>
  <c r="D84" i="2"/>
  <c r="L82" i="2"/>
  <c r="D82" i="2"/>
  <c r="L80" i="2"/>
  <c r="D80" i="2"/>
  <c r="L78" i="2"/>
  <c r="D78" i="2"/>
  <c r="L76" i="2"/>
  <c r="D76" i="2"/>
  <c r="L74" i="2"/>
  <c r="D74" i="2"/>
  <c r="L72" i="2"/>
  <c r="D72" i="2"/>
  <c r="L70" i="2"/>
  <c r="D70" i="2"/>
  <c r="L68" i="2"/>
  <c r="D68" i="2"/>
  <c r="L66" i="2"/>
  <c r="D66" i="2"/>
  <c r="L64" i="2"/>
  <c r="D64" i="2"/>
  <c r="L62" i="2"/>
  <c r="D62" i="2"/>
  <c r="L60" i="2"/>
  <c r="D60" i="2"/>
  <c r="L56" i="2"/>
  <c r="L52" i="2"/>
  <c r="L48" i="2"/>
  <c r="L44" i="2"/>
  <c r="L40" i="2"/>
  <c r="L36" i="2"/>
  <c r="L32" i="2"/>
  <c r="L25" i="2"/>
  <c r="D25" i="2"/>
  <c r="L23" i="2"/>
  <c r="D23" i="2"/>
  <c r="L21" i="2"/>
  <c r="D21" i="2"/>
  <c r="L19" i="2"/>
  <c r="D19" i="2"/>
  <c r="L17" i="2"/>
  <c r="D17" i="2"/>
  <c r="L15" i="2"/>
  <c r="D15" i="2"/>
  <c r="L13" i="2"/>
  <c r="D13" i="2"/>
  <c r="L11" i="2"/>
  <c r="D11" i="2"/>
  <c r="L9" i="2"/>
  <c r="D9" i="2"/>
  <c r="L7" i="2"/>
  <c r="D7" i="2"/>
  <c r="L5" i="2"/>
  <c r="D5" i="2"/>
  <c r="AT67" i="3"/>
  <c r="BB67" i="3"/>
  <c r="BB65" i="3"/>
  <c r="BB63" i="3"/>
  <c r="BB61" i="3"/>
  <c r="BB59" i="3"/>
  <c r="BB57" i="3"/>
  <c r="BB55" i="3"/>
  <c r="BB53" i="3"/>
  <c r="BB51" i="3"/>
  <c r="BB49" i="3"/>
  <c r="BB47" i="3"/>
  <c r="BB45" i="3"/>
  <c r="BB43" i="3"/>
  <c r="BB41" i="3"/>
  <c r="BB39" i="3"/>
  <c r="BB37" i="3"/>
  <c r="BB35" i="3"/>
  <c r="BB33" i="3"/>
  <c r="BB31" i="3"/>
  <c r="BB29" i="3"/>
  <c r="BB27" i="3"/>
  <c r="BB25" i="3"/>
  <c r="BB23" i="3"/>
  <c r="BB21" i="3"/>
  <c r="BB19" i="3"/>
  <c r="BB17" i="3"/>
  <c r="BB15" i="3"/>
  <c r="BB13" i="3"/>
  <c r="BB11" i="3"/>
  <c r="BB9" i="3"/>
  <c r="BB7" i="3"/>
  <c r="BB5" i="3"/>
  <c r="BB3" i="3"/>
  <c r="G40" i="1"/>
  <c r="G55" i="1"/>
  <c r="M55" i="1" s="1"/>
  <c r="AW243" i="3"/>
  <c r="AK243" i="3"/>
  <c r="AX242" i="3"/>
  <c r="AV242" i="3"/>
  <c r="AW241" i="3"/>
  <c r="AK241" i="3"/>
  <c r="AX240" i="3"/>
  <c r="AV240" i="3"/>
  <c r="AW239" i="3"/>
  <c r="AK239" i="3"/>
  <c r="AX238" i="3"/>
  <c r="AV238" i="3"/>
  <c r="AW237" i="3"/>
  <c r="AK237" i="3"/>
  <c r="AX236" i="3"/>
  <c r="AV236" i="3"/>
  <c r="AW235" i="3"/>
  <c r="AK235" i="3"/>
  <c r="AX234" i="3"/>
  <c r="AV234" i="3"/>
  <c r="AW233" i="3"/>
  <c r="AK233" i="3"/>
  <c r="AX232" i="3"/>
  <c r="AV232" i="3"/>
  <c r="AW231" i="3"/>
  <c r="AK231" i="3"/>
  <c r="AX230" i="3"/>
  <c r="AV230" i="3"/>
  <c r="AW229" i="3"/>
  <c r="AK229" i="3"/>
  <c r="AX228" i="3"/>
  <c r="AV228" i="3"/>
  <c r="AW227" i="3"/>
  <c r="AK227" i="3"/>
  <c r="AX226" i="3"/>
  <c r="AV226" i="3"/>
  <c r="AW225" i="3"/>
  <c r="AK225" i="3"/>
  <c r="AV224" i="3"/>
  <c r="AX224" i="3"/>
  <c r="AW223" i="3"/>
  <c r="AK223" i="3"/>
  <c r="AX222" i="3"/>
  <c r="AV222" i="3"/>
  <c r="AW221" i="3"/>
  <c r="AK221" i="3"/>
  <c r="AX220" i="3"/>
  <c r="AV220" i="3"/>
  <c r="AW219" i="3"/>
  <c r="AK219" i="3"/>
  <c r="AX218" i="3"/>
  <c r="AV218" i="3"/>
  <c r="AW217" i="3"/>
  <c r="AK217" i="3"/>
  <c r="AX216" i="3"/>
  <c r="AV216" i="3"/>
  <c r="AW215" i="3"/>
  <c r="AK215" i="3"/>
  <c r="AX214" i="3"/>
  <c r="AV214" i="3"/>
  <c r="AW213" i="3"/>
  <c r="AK213" i="3"/>
  <c r="AV212" i="3"/>
  <c r="AX212" i="3"/>
  <c r="AW211" i="3"/>
  <c r="AK211" i="3"/>
  <c r="AX210" i="3"/>
  <c r="AV210" i="3"/>
  <c r="AW209" i="3"/>
  <c r="AK209" i="3"/>
  <c r="AV208" i="3"/>
  <c r="AX208" i="3"/>
  <c r="AW207" i="3"/>
  <c r="AK207" i="3"/>
  <c r="AV206" i="3"/>
  <c r="AX206" i="3"/>
  <c r="AW205" i="3"/>
  <c r="AK205" i="3"/>
  <c r="AX204" i="3"/>
  <c r="AV204" i="3"/>
  <c r="AW203" i="3"/>
  <c r="AK203" i="3"/>
  <c r="AX202" i="3"/>
  <c r="AV202" i="3"/>
  <c r="AW201" i="3"/>
  <c r="AK201" i="3"/>
  <c r="AX200" i="3"/>
  <c r="AV200" i="3"/>
  <c r="AW199" i="3"/>
  <c r="AK199" i="3"/>
  <c r="AX198" i="3"/>
  <c r="AV198" i="3"/>
  <c r="AW197" i="3"/>
  <c r="AK197" i="3"/>
  <c r="AX196" i="3"/>
  <c r="AV196" i="3"/>
  <c r="AW195" i="3"/>
  <c r="AK195" i="3"/>
  <c r="AX194" i="3"/>
  <c r="AV194" i="3"/>
  <c r="AW193" i="3"/>
  <c r="AK193" i="3"/>
  <c r="AV192" i="3"/>
  <c r="AX192" i="3"/>
  <c r="AW191" i="3"/>
  <c r="AK191" i="3"/>
  <c r="AX190" i="3"/>
  <c r="AV190" i="3"/>
  <c r="AW189" i="3"/>
  <c r="AK189" i="3"/>
  <c r="AV188" i="3"/>
  <c r="AX188" i="3"/>
  <c r="AW187" i="3"/>
  <c r="AK187" i="3"/>
  <c r="AX186" i="3"/>
  <c r="AV186" i="3"/>
  <c r="AW185" i="3"/>
  <c r="AK185" i="3"/>
  <c r="AX184" i="3"/>
  <c r="AV184" i="3"/>
  <c r="AW183" i="3"/>
  <c r="AK183" i="3"/>
  <c r="AX182" i="3"/>
  <c r="AV182" i="3"/>
  <c r="AW181" i="3"/>
  <c r="AK181" i="3"/>
  <c r="AX180" i="3"/>
  <c r="AV180" i="3"/>
  <c r="AW179" i="3"/>
  <c r="AK179" i="3"/>
  <c r="AX178" i="3"/>
  <c r="AV178" i="3"/>
  <c r="AW177" i="3"/>
  <c r="AK177" i="3"/>
  <c r="AX176" i="3"/>
  <c r="AV176" i="3"/>
  <c r="AW175" i="3"/>
  <c r="AK175" i="3"/>
  <c r="AV174" i="3"/>
  <c r="AX174" i="3"/>
  <c r="AW173" i="3"/>
  <c r="AK173" i="3"/>
  <c r="AX172" i="3"/>
  <c r="AV172" i="3"/>
  <c r="AW171" i="3"/>
  <c r="AK171" i="3"/>
  <c r="AX170" i="3"/>
  <c r="AV170" i="3"/>
  <c r="AW169" i="3"/>
  <c r="AK169" i="3"/>
  <c r="AX168" i="3"/>
  <c r="AV168" i="3"/>
  <c r="AW167" i="3"/>
  <c r="AK167" i="3"/>
  <c r="AX166" i="3"/>
  <c r="AV166" i="3"/>
  <c r="AW165" i="3"/>
  <c r="AK165" i="3"/>
  <c r="AX164" i="3"/>
  <c r="AV164" i="3"/>
  <c r="AW163" i="3"/>
  <c r="AK163" i="3"/>
  <c r="AX162" i="3"/>
  <c r="AV162" i="3"/>
  <c r="AW161" i="3"/>
  <c r="AK161" i="3"/>
  <c r="AV160" i="3"/>
  <c r="AX160" i="3"/>
  <c r="AW159" i="3"/>
  <c r="AK159" i="3"/>
  <c r="AX158" i="3"/>
  <c r="AV158" i="3"/>
  <c r="AV156" i="3"/>
  <c r="AX156" i="3"/>
  <c r="AV154" i="3"/>
  <c r="AX154" i="3"/>
  <c r="AX152" i="3"/>
  <c r="AV152" i="3"/>
  <c r="AW151" i="3"/>
  <c r="AK151" i="3"/>
  <c r="AX150" i="3"/>
  <c r="AV150" i="3"/>
  <c r="AW149" i="3"/>
  <c r="AK149" i="3"/>
  <c r="AV148" i="3"/>
  <c r="AX148" i="3"/>
  <c r="AV146" i="3"/>
  <c r="AX146" i="3"/>
  <c r="AW145" i="3"/>
  <c r="AK145" i="3"/>
  <c r="AV144" i="3"/>
  <c r="AX144" i="3"/>
  <c r="AW143" i="3"/>
  <c r="AK143" i="3"/>
  <c r="AX142" i="3"/>
  <c r="AV142" i="3"/>
  <c r="AW141" i="3"/>
  <c r="AK141" i="3"/>
  <c r="AX140" i="3"/>
  <c r="AV140" i="3"/>
  <c r="AW139" i="3"/>
  <c r="AK139" i="3"/>
  <c r="AX138" i="3"/>
  <c r="AV138" i="3"/>
  <c r="AW137" i="3"/>
  <c r="AK137" i="3"/>
  <c r="AV136" i="3"/>
  <c r="AX136" i="3"/>
  <c r="AW135" i="3"/>
  <c r="AK135" i="3"/>
  <c r="AV134" i="3"/>
  <c r="AX134" i="3"/>
  <c r="AW133" i="3"/>
  <c r="AK133" i="3"/>
  <c r="AX132" i="3"/>
  <c r="AV132" i="3"/>
  <c r="AW131" i="3"/>
  <c r="AK131" i="3"/>
  <c r="AV130" i="3"/>
  <c r="AX130" i="3"/>
  <c r="AW129" i="3"/>
  <c r="AK129" i="3"/>
  <c r="AX128" i="3"/>
  <c r="AV128" i="3"/>
  <c r="AW127" i="3"/>
  <c r="AK127" i="3"/>
  <c r="AX126" i="3"/>
  <c r="AV126" i="3"/>
  <c r="AW125" i="3"/>
  <c r="AK125" i="3"/>
  <c r="AV124" i="3"/>
  <c r="AX124" i="3"/>
  <c r="AW123" i="3"/>
  <c r="AK123" i="3"/>
  <c r="AV122" i="3"/>
  <c r="AX122" i="3"/>
  <c r="AW121" i="3"/>
  <c r="AK121" i="3"/>
  <c r="AX120" i="3"/>
  <c r="AV120" i="3"/>
  <c r="AW119" i="3"/>
  <c r="AK119" i="3"/>
  <c r="AV118" i="3"/>
  <c r="AX118" i="3"/>
  <c r="AW117" i="3"/>
  <c r="AK117" i="3"/>
  <c r="AX116" i="3"/>
  <c r="AV116" i="3"/>
  <c r="AW115" i="3"/>
  <c r="AK115" i="3"/>
  <c r="AX114" i="3"/>
  <c r="AV114" i="3"/>
  <c r="AW113" i="3"/>
  <c r="AK113" i="3"/>
  <c r="AX112" i="3"/>
  <c r="AV112" i="3"/>
  <c r="AW111" i="3"/>
  <c r="AK111" i="3"/>
  <c r="AV110" i="3"/>
  <c r="AX110" i="3"/>
  <c r="AW109" i="3"/>
  <c r="AK109" i="3"/>
  <c r="AX108" i="3"/>
  <c r="AV108" i="3"/>
  <c r="AW107" i="3"/>
  <c r="AK107" i="3"/>
  <c r="AX106" i="3"/>
  <c r="AV106" i="3"/>
  <c r="AW105" i="3"/>
  <c r="AK105" i="3"/>
  <c r="AV104" i="3"/>
  <c r="AX104" i="3"/>
  <c r="AW103" i="3"/>
  <c r="AK103" i="3"/>
  <c r="AX102" i="3"/>
  <c r="AV102" i="3"/>
  <c r="AW101" i="3"/>
  <c r="AK101" i="3"/>
  <c r="AX100" i="3"/>
  <c r="AV100" i="3"/>
  <c r="AW99" i="3"/>
  <c r="AK99" i="3"/>
  <c r="AX98" i="3"/>
  <c r="AV98" i="3"/>
  <c r="AW97" i="3"/>
  <c r="AK97" i="3"/>
  <c r="AX96" i="3"/>
  <c r="AV96" i="3"/>
  <c r="AW95" i="3"/>
  <c r="AK95" i="3"/>
  <c r="AV94" i="3"/>
  <c r="AX94" i="3"/>
  <c r="AW93" i="3"/>
  <c r="AK93" i="3"/>
  <c r="AX92" i="3"/>
  <c r="AV92" i="3"/>
  <c r="AW91" i="3"/>
  <c r="AK91" i="3"/>
  <c r="AX90" i="3"/>
  <c r="AV90" i="3"/>
  <c r="AW89" i="3"/>
  <c r="AK89" i="3"/>
  <c r="AV88" i="3"/>
  <c r="AX88" i="3"/>
  <c r="AW87" i="3"/>
  <c r="AK87" i="3"/>
  <c r="AV86" i="3"/>
  <c r="AX86" i="3"/>
  <c r="AW85" i="3"/>
  <c r="AK85" i="3"/>
  <c r="AV84" i="3"/>
  <c r="AX84" i="3"/>
  <c r="AW83" i="3"/>
  <c r="AK83" i="3"/>
  <c r="AX82" i="3"/>
  <c r="AV82" i="3"/>
  <c r="AW81" i="3"/>
  <c r="AK81" i="3"/>
  <c r="AV80" i="3"/>
  <c r="AX80" i="3"/>
  <c r="AW79" i="3"/>
  <c r="AK79" i="3"/>
  <c r="AV78" i="3"/>
  <c r="AX78" i="3"/>
  <c r="AW77" i="3"/>
  <c r="AK77" i="3"/>
  <c r="AX76" i="3"/>
  <c r="AV76" i="3"/>
  <c r="AW75" i="3"/>
  <c r="AK75" i="3"/>
  <c r="AV74" i="3"/>
  <c r="AX74" i="3"/>
  <c r="AW73" i="3"/>
  <c r="AK73" i="3"/>
  <c r="AX72" i="3"/>
  <c r="AV72" i="3"/>
  <c r="AW71" i="3"/>
  <c r="AK71" i="3"/>
  <c r="AX70" i="3"/>
  <c r="AV70" i="3"/>
  <c r="AW69" i="3"/>
  <c r="AK69" i="3"/>
  <c r="AX68" i="3"/>
  <c r="AV68" i="3"/>
  <c r="AW67" i="3"/>
  <c r="AK67" i="3"/>
  <c r="AX66" i="3"/>
  <c r="AV66" i="3"/>
  <c r="AW65" i="3"/>
  <c r="AK65" i="3"/>
  <c r="AX64" i="3"/>
  <c r="AV64" i="3"/>
  <c r="AW63" i="3"/>
  <c r="AK63" i="3"/>
  <c r="AX62" i="3"/>
  <c r="AV62" i="3"/>
  <c r="AW61" i="3"/>
  <c r="AK61" i="3"/>
  <c r="AX60" i="3"/>
  <c r="AV60" i="3"/>
  <c r="AW59" i="3"/>
  <c r="AK59" i="3"/>
  <c r="AX58" i="3"/>
  <c r="AV58" i="3"/>
  <c r="AW57" i="3"/>
  <c r="AK57" i="3"/>
  <c r="AX56" i="3"/>
  <c r="AV56" i="3"/>
  <c r="AW55" i="3"/>
  <c r="AK55" i="3"/>
  <c r="AX54" i="3"/>
  <c r="AV54" i="3"/>
  <c r="AW53" i="3"/>
  <c r="AK53" i="3"/>
  <c r="AX52" i="3"/>
  <c r="AV52" i="3"/>
  <c r="AW51" i="3"/>
  <c r="AK51" i="3"/>
  <c r="AX50" i="3"/>
  <c r="AV50" i="3"/>
  <c r="AW49" i="3"/>
  <c r="AK49" i="3"/>
  <c r="AX48" i="3"/>
  <c r="AV48" i="3"/>
  <c r="AW47" i="3"/>
  <c r="AK47" i="3"/>
  <c r="AX46" i="3"/>
  <c r="AV46" i="3"/>
  <c r="AW45" i="3"/>
  <c r="AK45" i="3"/>
  <c r="AX44" i="3"/>
  <c r="AV44" i="3"/>
  <c r="AW43" i="3"/>
  <c r="AK43" i="3"/>
  <c r="AX42" i="3"/>
  <c r="AV42" i="3"/>
  <c r="AW41" i="3"/>
  <c r="AK41" i="3"/>
  <c r="AX40" i="3"/>
  <c r="AV40" i="3"/>
  <c r="AW39" i="3"/>
  <c r="AK39" i="3"/>
  <c r="AX38" i="3"/>
  <c r="AV38" i="3"/>
  <c r="AW37" i="3"/>
  <c r="AK37" i="3"/>
  <c r="AX36" i="3"/>
  <c r="AV36" i="3"/>
  <c r="AW35" i="3"/>
  <c r="AK35" i="3"/>
  <c r="AX34" i="3"/>
  <c r="AV34" i="3"/>
  <c r="AW33" i="3"/>
  <c r="AK33" i="3"/>
  <c r="AX32" i="3"/>
  <c r="AV32" i="3"/>
  <c r="AW31" i="3"/>
  <c r="AK31" i="3"/>
  <c r="AX30" i="3"/>
  <c r="AV30" i="3"/>
  <c r="AW29" i="3"/>
  <c r="AK29" i="3"/>
  <c r="AX28" i="3"/>
  <c r="AV28" i="3"/>
  <c r="AW27" i="3"/>
  <c r="AK27" i="3"/>
  <c r="AX26" i="3"/>
  <c r="AV26" i="3"/>
  <c r="AX24" i="3"/>
  <c r="AV24" i="3"/>
  <c r="AX22" i="3"/>
  <c r="AV22" i="3"/>
  <c r="AX20" i="3"/>
  <c r="AV20" i="3"/>
  <c r="AX18" i="3"/>
  <c r="AV18" i="3"/>
  <c r="AX16" i="3"/>
  <c r="AV16" i="3"/>
  <c r="AX14" i="3"/>
  <c r="AV14" i="3"/>
  <c r="AX12" i="3"/>
  <c r="AV12" i="3"/>
  <c r="AX10" i="3"/>
  <c r="AV10" i="3"/>
  <c r="AX8" i="3"/>
  <c r="AV8" i="3"/>
  <c r="AX6" i="3"/>
  <c r="AV6" i="3"/>
  <c r="AX4" i="3"/>
  <c r="AV4" i="3"/>
  <c r="G53" i="1"/>
  <c r="G48" i="1"/>
  <c r="G44" i="1"/>
  <c r="G39" i="1"/>
  <c r="AX2" i="3"/>
  <c r="AV2" i="3"/>
  <c r="G50" i="1" s="1"/>
  <c r="G29" i="1"/>
  <c r="M29" i="1" s="1"/>
  <c r="G24" i="1"/>
  <c r="M24" i="1" s="1"/>
  <c r="G23" i="1"/>
  <c r="M23" i="1" s="1"/>
  <c r="G22" i="1"/>
  <c r="M22" i="1" s="1"/>
  <c r="R2" i="3"/>
  <c r="G33" i="1" s="1"/>
  <c r="K107" i="2"/>
  <c r="F104" i="2"/>
  <c r="H103" i="2"/>
  <c r="D103" i="2"/>
  <c r="F102" i="2"/>
  <c r="H101" i="2"/>
  <c r="D101" i="2"/>
  <c r="F100" i="2"/>
  <c r="H99" i="2"/>
  <c r="D99" i="2"/>
  <c r="F98" i="2"/>
  <c r="H97" i="2"/>
  <c r="D97" i="2"/>
  <c r="F96" i="2"/>
  <c r="H56" i="2"/>
  <c r="D56" i="2"/>
  <c r="F55" i="2"/>
  <c r="H54" i="2"/>
  <c r="D54" i="2"/>
  <c r="F53" i="2"/>
  <c r="H52" i="2"/>
  <c r="D52" i="2"/>
  <c r="F51" i="2"/>
  <c r="H50" i="2"/>
  <c r="D50" i="2"/>
  <c r="F49" i="2"/>
  <c r="H48" i="2"/>
  <c r="D48" i="2"/>
  <c r="F47" i="2"/>
  <c r="H46" i="2"/>
  <c r="D46" i="2"/>
  <c r="F45" i="2"/>
  <c r="H44" i="2"/>
  <c r="D44" i="2"/>
  <c r="F43" i="2"/>
  <c r="H42" i="2"/>
  <c r="D42" i="2"/>
  <c r="F41" i="2"/>
  <c r="H40" i="2"/>
  <c r="D40" i="2"/>
  <c r="F39" i="2"/>
  <c r="H38" i="2"/>
  <c r="D38" i="2"/>
  <c r="F37" i="2"/>
  <c r="H36" i="2"/>
  <c r="D36" i="2"/>
  <c r="F35" i="2"/>
  <c r="H34" i="2"/>
  <c r="D34" i="2"/>
  <c r="F33" i="2"/>
  <c r="H32" i="2"/>
  <c r="D32" i="2"/>
  <c r="F31" i="2"/>
  <c r="H30" i="2"/>
  <c r="D30" i="2"/>
  <c r="F29" i="2"/>
  <c r="AT223" i="3"/>
  <c r="BB223" i="3"/>
  <c r="AT215" i="3"/>
  <c r="BB215" i="3"/>
  <c r="BB211" i="3"/>
  <c r="AT211" i="3"/>
  <c r="BB207" i="3"/>
  <c r="AT207" i="3"/>
  <c r="BB205" i="3"/>
  <c r="BB199" i="3"/>
  <c r="AT199" i="3"/>
  <c r="AT195" i="3"/>
  <c r="BB193" i="3"/>
  <c r="AT191" i="3"/>
  <c r="BB191" i="3"/>
  <c r="BB179" i="3"/>
  <c r="AT175" i="3"/>
  <c r="BB163" i="3"/>
  <c r="BB159" i="3"/>
  <c r="AT153" i="3"/>
  <c r="AT143" i="3"/>
  <c r="BB135" i="3"/>
  <c r="AT135" i="3"/>
  <c r="AT133" i="3"/>
  <c r="AT131" i="3"/>
  <c r="BB131" i="3"/>
  <c r="BB129" i="3"/>
  <c r="BB123" i="3"/>
  <c r="AT123" i="3"/>
  <c r="AT115" i="3"/>
  <c r="AT113" i="3"/>
  <c r="AT85" i="3"/>
  <c r="BB83" i="3"/>
  <c r="AT83" i="3"/>
  <c r="AT81" i="3"/>
  <c r="BB81" i="3"/>
  <c r="AT79" i="3"/>
  <c r="AT75" i="3"/>
  <c r="BB73" i="3"/>
  <c r="BB69" i="3"/>
  <c r="AT69" i="3"/>
  <c r="BA243" i="3"/>
  <c r="AT242" i="3"/>
  <c r="BB242" i="3"/>
  <c r="BA241" i="3"/>
  <c r="AT240" i="3"/>
  <c r="BB240" i="3"/>
  <c r="BA239" i="3"/>
  <c r="AT238" i="3"/>
  <c r="BB238" i="3"/>
  <c r="BA237" i="3"/>
  <c r="AT236" i="3"/>
  <c r="BB236" i="3"/>
  <c r="BA235" i="3"/>
  <c r="AT234" i="3"/>
  <c r="BB234" i="3"/>
  <c r="BA233" i="3"/>
  <c r="AT232" i="3"/>
  <c r="BB232" i="3"/>
  <c r="BA231" i="3"/>
  <c r="AT230" i="3"/>
  <c r="BB230" i="3"/>
  <c r="BA229" i="3"/>
  <c r="AT228" i="3"/>
  <c r="BB228" i="3"/>
  <c r="BA227" i="3"/>
  <c r="AT226" i="3"/>
  <c r="BA225" i="3"/>
  <c r="AT224" i="3"/>
  <c r="BA223" i="3"/>
  <c r="BA221" i="3"/>
  <c r="AT220" i="3"/>
  <c r="BB220" i="3"/>
  <c r="BA219" i="3"/>
  <c r="BB218" i="3"/>
  <c r="BA217" i="3"/>
  <c r="BA215" i="3"/>
  <c r="BA213" i="3"/>
  <c r="AT212" i="3"/>
  <c r="BB212" i="3"/>
  <c r="BA211" i="3"/>
  <c r="AT210" i="3"/>
  <c r="BB210" i="3"/>
  <c r="BA209" i="3"/>
  <c r="AT208" i="3"/>
  <c r="BB208" i="3"/>
  <c r="BA207" i="3"/>
  <c r="AT206" i="3"/>
  <c r="BA205" i="3"/>
  <c r="AT204" i="3"/>
  <c r="BB204" i="3"/>
  <c r="BA203" i="3"/>
  <c r="BB202" i="3"/>
  <c r="BA201" i="3"/>
  <c r="AT200" i="3"/>
  <c r="BB200" i="3"/>
  <c r="BA199" i="3"/>
  <c r="BA197" i="3"/>
  <c r="AT196" i="3"/>
  <c r="BB196" i="3"/>
  <c r="BA195" i="3"/>
  <c r="AT194" i="3"/>
  <c r="BB194" i="3"/>
  <c r="BA193" i="3"/>
  <c r="AT192" i="3"/>
  <c r="BA191" i="3"/>
  <c r="AT190" i="3"/>
  <c r="BB190" i="3"/>
  <c r="BA189" i="3"/>
  <c r="BA187" i="3"/>
  <c r="BB186" i="3"/>
  <c r="BA185" i="3"/>
  <c r="AT184" i="3"/>
  <c r="BB184" i="3"/>
  <c r="BA183" i="3"/>
  <c r="AT182" i="3"/>
  <c r="BB182" i="3"/>
  <c r="BA181" i="3"/>
  <c r="AT180" i="3"/>
  <c r="BB180" i="3"/>
  <c r="BA179" i="3"/>
  <c r="AT178" i="3"/>
  <c r="BA177" i="3"/>
  <c r="AT176" i="3"/>
  <c r="BB176" i="3"/>
  <c r="BA175" i="3"/>
  <c r="AT174" i="3"/>
  <c r="BA173" i="3"/>
  <c r="AT172" i="3"/>
  <c r="BA171" i="3"/>
  <c r="BB170" i="3"/>
  <c r="BA169" i="3"/>
  <c r="BA167" i="3"/>
  <c r="BA165" i="3"/>
  <c r="BB164" i="3"/>
  <c r="BA163" i="3"/>
  <c r="BA161" i="3"/>
  <c r="AT160" i="3"/>
  <c r="BB160" i="3"/>
  <c r="BA159" i="3"/>
  <c r="AT158" i="3"/>
  <c r="BB158" i="3"/>
  <c r="BA157" i="3"/>
  <c r="AT156" i="3"/>
  <c r="BA155" i="3"/>
  <c r="AT154" i="3"/>
  <c r="BA153" i="3"/>
  <c r="BA151" i="3"/>
  <c r="AT150" i="3"/>
  <c r="BB150" i="3"/>
  <c r="BA149" i="3"/>
  <c r="AT148" i="3"/>
  <c r="BA147" i="3"/>
  <c r="AT146" i="3"/>
  <c r="BA145" i="3"/>
  <c r="AT144" i="3"/>
  <c r="BB144" i="3"/>
  <c r="BA143" i="3"/>
  <c r="AT142" i="3"/>
  <c r="BB142" i="3"/>
  <c r="BA141" i="3"/>
  <c r="BA139" i="3"/>
  <c r="AT138" i="3"/>
  <c r="BB138" i="3"/>
  <c r="BA137" i="3"/>
  <c r="AT136" i="3"/>
  <c r="BB136" i="3"/>
  <c r="BA135" i="3"/>
  <c r="AT134" i="3"/>
  <c r="BA133" i="3"/>
  <c r="BA131" i="3"/>
  <c r="AT130" i="3"/>
  <c r="BB130" i="3"/>
  <c r="BA129" i="3"/>
  <c r="BA127" i="3"/>
  <c r="BA125" i="3"/>
  <c r="AT124" i="3"/>
  <c r="BA123" i="3"/>
  <c r="AT122" i="3"/>
  <c r="BB122" i="3"/>
  <c r="BA121" i="3"/>
  <c r="AT120" i="3"/>
  <c r="BB120" i="3"/>
  <c r="BA119" i="3"/>
  <c r="AT118" i="3"/>
  <c r="BB118" i="3"/>
  <c r="BA117" i="3"/>
  <c r="BB116" i="3"/>
  <c r="BA115" i="3"/>
  <c r="AT114" i="3"/>
  <c r="BB114" i="3"/>
  <c r="BA113" i="3"/>
  <c r="BB112" i="3"/>
  <c r="BA111" i="3"/>
  <c r="AT110" i="3"/>
  <c r="BA109" i="3"/>
  <c r="AT108" i="3"/>
  <c r="BB108" i="3"/>
  <c r="BA107" i="3"/>
  <c r="BB106" i="3"/>
  <c r="BA105" i="3"/>
  <c r="AT104" i="3"/>
  <c r="BB104" i="3"/>
  <c r="BA103" i="3"/>
  <c r="BB102" i="3"/>
  <c r="BA101" i="3"/>
  <c r="BA99" i="3"/>
  <c r="AT98" i="3"/>
  <c r="BB98" i="3"/>
  <c r="BA97" i="3"/>
  <c r="AT96" i="3"/>
  <c r="BB96" i="3"/>
  <c r="BA95" i="3"/>
  <c r="AT94" i="3"/>
  <c r="BB94" i="3"/>
  <c r="BA93" i="3"/>
  <c r="BB92" i="3"/>
  <c r="BA91" i="3"/>
  <c r="AT90" i="3"/>
  <c r="BB90" i="3"/>
  <c r="BA89" i="3"/>
  <c r="AT88" i="3"/>
  <c r="BA87" i="3"/>
  <c r="BA85" i="3"/>
  <c r="AT84" i="3"/>
  <c r="BB84" i="3"/>
  <c r="BA83" i="3"/>
  <c r="AT82" i="3"/>
  <c r="BB82" i="3"/>
  <c r="BA81" i="3"/>
  <c r="BA79" i="3"/>
  <c r="AT78" i="3"/>
  <c r="BB78" i="3"/>
  <c r="BA77" i="3"/>
  <c r="AT76" i="3"/>
  <c r="BB76" i="3"/>
  <c r="BA75" i="3"/>
  <c r="AT74" i="3"/>
  <c r="BA73" i="3"/>
  <c r="AT72" i="3"/>
  <c r="BB72" i="3"/>
  <c r="BA71" i="3"/>
  <c r="BA69" i="3"/>
  <c r="AT68" i="3"/>
  <c r="BB68" i="3"/>
  <c r="BA66" i="3"/>
  <c r="BA64" i="3"/>
  <c r="BA62" i="3"/>
  <c r="BA60" i="3"/>
  <c r="BA58" i="3"/>
  <c r="BA56" i="3"/>
  <c r="BA54" i="3"/>
  <c r="BA52" i="3"/>
  <c r="BA50" i="3"/>
  <c r="BA48" i="3"/>
  <c r="BA46" i="3"/>
  <c r="BA44" i="3"/>
  <c r="BA42" i="3"/>
  <c r="BA40" i="3"/>
  <c r="BA38" i="3"/>
  <c r="BA36" i="3"/>
  <c r="BA34" i="3"/>
  <c r="BA32" i="3"/>
  <c r="BA30" i="3"/>
  <c r="BA28" i="3"/>
  <c r="BA26" i="3"/>
  <c r="BA24" i="3"/>
  <c r="BA22" i="3"/>
  <c r="BA20" i="3"/>
  <c r="BA18" i="3"/>
  <c r="BA16" i="3"/>
  <c r="BA14" i="3"/>
  <c r="BA12" i="3"/>
  <c r="BA10" i="3"/>
  <c r="BA8" i="3"/>
  <c r="BA6" i="3"/>
  <c r="BA4" i="3"/>
  <c r="BA2" i="3"/>
  <c r="L102" i="2"/>
  <c r="L98" i="2"/>
  <c r="F92" i="2"/>
  <c r="H91" i="2"/>
  <c r="G91" i="2"/>
  <c r="L89" i="2"/>
  <c r="D89" i="2"/>
  <c r="F88" i="2"/>
  <c r="H87" i="2"/>
  <c r="G87" i="2"/>
  <c r="L85" i="2"/>
  <c r="D85" i="2"/>
  <c r="F84" i="2"/>
  <c r="H83" i="2"/>
  <c r="G83" i="2"/>
  <c r="L81" i="2"/>
  <c r="D81" i="2"/>
  <c r="F80" i="2"/>
  <c r="H79" i="2"/>
  <c r="G79" i="2"/>
  <c r="L77" i="2"/>
  <c r="D77" i="2"/>
  <c r="F76" i="2"/>
  <c r="H75" i="2"/>
  <c r="G75" i="2"/>
  <c r="L73" i="2"/>
  <c r="D73" i="2"/>
  <c r="F72" i="2"/>
  <c r="H71" i="2"/>
  <c r="G71" i="2"/>
  <c r="L69" i="2"/>
  <c r="D69" i="2"/>
  <c r="F68" i="2"/>
  <c r="H67" i="2"/>
  <c r="G67" i="2"/>
  <c r="L65" i="2"/>
  <c r="D65" i="2"/>
  <c r="F64" i="2"/>
  <c r="H63" i="2"/>
  <c r="G63" i="2"/>
  <c r="L61" i="2"/>
  <c r="D61" i="2"/>
  <c r="F60" i="2"/>
  <c r="F93" i="2" s="1"/>
  <c r="L53" i="2"/>
  <c r="L49" i="2"/>
  <c r="L45" i="2"/>
  <c r="L41" i="2"/>
  <c r="L37" i="2"/>
  <c r="L33" i="2"/>
  <c r="L29" i="2"/>
  <c r="L24" i="2"/>
  <c r="D24" i="2"/>
  <c r="F23" i="2"/>
  <c r="H22" i="2"/>
  <c r="G22" i="2"/>
  <c r="L20" i="2"/>
  <c r="D20" i="2"/>
  <c r="F19" i="2"/>
  <c r="H18" i="2"/>
  <c r="G18" i="2"/>
  <c r="L16" i="2"/>
  <c r="D16" i="2"/>
  <c r="F15" i="2"/>
  <c r="H14" i="2"/>
  <c r="G14" i="2"/>
  <c r="L12" i="2"/>
  <c r="D12" i="2"/>
  <c r="F11" i="2"/>
  <c r="H10" i="2"/>
  <c r="G10" i="2"/>
  <c r="L8" i="2"/>
  <c r="D8" i="2"/>
  <c r="F7" i="2"/>
  <c r="H6" i="2"/>
  <c r="G6" i="2"/>
  <c r="G19" i="1"/>
  <c r="M19" i="1" s="1"/>
  <c r="L101" i="2"/>
  <c r="L97" i="2"/>
  <c r="H92" i="2"/>
  <c r="G92" i="2"/>
  <c r="H90" i="2"/>
  <c r="G90" i="2"/>
  <c r="H88" i="2"/>
  <c r="G88" i="2"/>
  <c r="H86" i="2"/>
  <c r="G86" i="2"/>
  <c r="H84" i="2"/>
  <c r="G84" i="2"/>
  <c r="H82" i="2"/>
  <c r="G82" i="2"/>
  <c r="H80" i="2"/>
  <c r="G80" i="2"/>
  <c r="H78" i="2"/>
  <c r="G78" i="2"/>
  <c r="H76" i="2"/>
  <c r="G76" i="2"/>
  <c r="H74" i="2"/>
  <c r="G74" i="2"/>
  <c r="H72" i="2"/>
  <c r="G72" i="2"/>
  <c r="H70" i="2"/>
  <c r="G70" i="2"/>
  <c r="H68" i="2"/>
  <c r="G68" i="2"/>
  <c r="H66" i="2"/>
  <c r="G66" i="2"/>
  <c r="H64" i="2"/>
  <c r="G64" i="2"/>
  <c r="H62" i="2"/>
  <c r="G62" i="2"/>
  <c r="H60" i="2"/>
  <c r="G60" i="2"/>
  <c r="G93" i="2" s="1"/>
  <c r="L54" i="2"/>
  <c r="L50" i="2"/>
  <c r="L46" i="2"/>
  <c r="L42" i="2"/>
  <c r="L38" i="2"/>
  <c r="L34" i="2"/>
  <c r="L30" i="2"/>
  <c r="H25" i="2"/>
  <c r="G25" i="2"/>
  <c r="H23" i="2"/>
  <c r="G23" i="2"/>
  <c r="H21" i="2"/>
  <c r="G21" i="2"/>
  <c r="H19" i="2"/>
  <c r="G19" i="2"/>
  <c r="H17" i="2"/>
  <c r="G17" i="2"/>
  <c r="H15" i="2"/>
  <c r="G15" i="2"/>
  <c r="H13" i="2"/>
  <c r="G13" i="2"/>
  <c r="H11" i="2"/>
  <c r="G11" i="2"/>
  <c r="H9" i="2"/>
  <c r="G9" i="2"/>
  <c r="H7" i="2"/>
  <c r="G7" i="2"/>
  <c r="H5" i="2"/>
  <c r="H26" i="2" s="1"/>
  <c r="G5" i="2"/>
  <c r="G26" i="2" s="1"/>
  <c r="G107" i="2" s="1"/>
  <c r="AT65" i="3"/>
  <c r="AT63" i="3"/>
  <c r="AT61" i="3"/>
  <c r="AT59" i="3"/>
  <c r="AT57" i="3"/>
  <c r="AT55" i="3"/>
  <c r="AT53" i="3"/>
  <c r="AT51" i="3"/>
  <c r="AT49" i="3"/>
  <c r="AT47" i="3"/>
  <c r="AT45" i="3"/>
  <c r="AT43" i="3"/>
  <c r="AT41" i="3"/>
  <c r="AT39" i="3"/>
  <c r="AT37" i="3"/>
  <c r="AT35" i="3"/>
  <c r="AT33" i="3"/>
  <c r="AT31" i="3"/>
  <c r="AT29" i="3"/>
  <c r="AT27" i="3"/>
  <c r="AT25" i="3"/>
  <c r="AT23" i="3"/>
  <c r="AT21" i="3"/>
  <c r="AT19" i="3"/>
  <c r="AT17" i="3"/>
  <c r="AT15" i="3"/>
  <c r="AT13" i="3"/>
  <c r="AT11" i="3"/>
  <c r="AT9" i="3"/>
  <c r="AT7" i="3"/>
  <c r="AT5" i="3"/>
  <c r="AT3" i="3"/>
  <c r="G47" i="1" s="1"/>
  <c r="AT8" i="3"/>
  <c r="AT6" i="3"/>
  <c r="AT4" i="3"/>
  <c r="BB66" i="3"/>
  <c r="BB64" i="3"/>
  <c r="BB62" i="3"/>
  <c r="BB60" i="3"/>
  <c r="BB58" i="3"/>
  <c r="BB56" i="3"/>
  <c r="BB54" i="3"/>
  <c r="BB52" i="3"/>
  <c r="BB50" i="3"/>
  <c r="BB48" i="3"/>
  <c r="BB46" i="3"/>
  <c r="BB44" i="3"/>
  <c r="BB42" i="3"/>
  <c r="BB40" i="3"/>
  <c r="BB38" i="3"/>
  <c r="BB36" i="3"/>
  <c r="BB34" i="3"/>
  <c r="BB32" i="3"/>
  <c r="BB30" i="3"/>
  <c r="BB28" i="3"/>
  <c r="BB26" i="3"/>
  <c r="BB24" i="3"/>
  <c r="BB22" i="3"/>
  <c r="BB20" i="3"/>
  <c r="BB18" i="3"/>
  <c r="BB16" i="3"/>
  <c r="BB14" i="3"/>
  <c r="BB12" i="3"/>
  <c r="BB10" i="3"/>
  <c r="G45" i="1"/>
  <c r="G38" i="1"/>
  <c r="BB2" i="3"/>
  <c r="M47" i="1" l="1"/>
  <c r="H93" i="2"/>
  <c r="G57" i="1"/>
  <c r="M45" i="1"/>
  <c r="N45" i="1"/>
  <c r="M8" i="2"/>
  <c r="K8" i="2"/>
  <c r="I8" i="2"/>
  <c r="E8" i="2"/>
  <c r="J8" i="2"/>
  <c r="M16" i="2"/>
  <c r="K16" i="2"/>
  <c r="I16" i="2"/>
  <c r="E16" i="2"/>
  <c r="J16" i="2"/>
  <c r="M24" i="2"/>
  <c r="K24" i="2"/>
  <c r="I24" i="2"/>
  <c r="E24" i="2"/>
  <c r="J24" i="2"/>
  <c r="M61" i="2"/>
  <c r="K61" i="2"/>
  <c r="I61" i="2"/>
  <c r="E61" i="2"/>
  <c r="J61" i="2"/>
  <c r="M69" i="2"/>
  <c r="K69" i="2"/>
  <c r="I69" i="2"/>
  <c r="E69" i="2"/>
  <c r="J69" i="2"/>
  <c r="M77" i="2"/>
  <c r="K77" i="2"/>
  <c r="I77" i="2"/>
  <c r="E77" i="2"/>
  <c r="J77" i="2"/>
  <c r="M85" i="2"/>
  <c r="K85" i="2"/>
  <c r="I85" i="2"/>
  <c r="E85" i="2"/>
  <c r="J85" i="2"/>
  <c r="G56" i="1"/>
  <c r="M56" i="1" s="1"/>
  <c r="F57" i="2"/>
  <c r="J32" i="2"/>
  <c r="K32" i="2"/>
  <c r="M32" i="2"/>
  <c r="I32" i="2"/>
  <c r="E32" i="2"/>
  <c r="J36" i="2"/>
  <c r="K36" i="2"/>
  <c r="M36" i="2"/>
  <c r="I36" i="2"/>
  <c r="E36" i="2"/>
  <c r="J40" i="2"/>
  <c r="K40" i="2"/>
  <c r="M40" i="2"/>
  <c r="I40" i="2"/>
  <c r="E40" i="2"/>
  <c r="J44" i="2"/>
  <c r="K44" i="2"/>
  <c r="M44" i="2"/>
  <c r="I44" i="2"/>
  <c r="E44" i="2"/>
  <c r="J48" i="2"/>
  <c r="K48" i="2"/>
  <c r="M48" i="2"/>
  <c r="I48" i="2"/>
  <c r="E48" i="2"/>
  <c r="J52" i="2"/>
  <c r="K52" i="2"/>
  <c r="M52" i="2"/>
  <c r="I52" i="2"/>
  <c r="E52" i="2"/>
  <c r="J56" i="2"/>
  <c r="K56" i="2"/>
  <c r="M56" i="2"/>
  <c r="I56" i="2"/>
  <c r="E56" i="2"/>
  <c r="F105" i="2"/>
  <c r="J99" i="2"/>
  <c r="K99" i="2"/>
  <c r="M99" i="2"/>
  <c r="I99" i="2"/>
  <c r="E99" i="2"/>
  <c r="J103" i="2"/>
  <c r="K103" i="2"/>
  <c r="M103" i="2"/>
  <c r="I103" i="2"/>
  <c r="E103" i="2"/>
  <c r="G52" i="1"/>
  <c r="N44" i="1"/>
  <c r="M44" i="1"/>
  <c r="N53" i="1"/>
  <c r="M53" i="1"/>
  <c r="M40" i="1"/>
  <c r="N40" i="1"/>
  <c r="D93" i="2"/>
  <c r="M60" i="2"/>
  <c r="K60" i="2"/>
  <c r="I60" i="2"/>
  <c r="E60" i="2"/>
  <c r="J60" i="2"/>
  <c r="M62" i="2"/>
  <c r="K62" i="2"/>
  <c r="I62" i="2"/>
  <c r="E62" i="2"/>
  <c r="J62" i="2"/>
  <c r="M64" i="2"/>
  <c r="K64" i="2"/>
  <c r="I64" i="2"/>
  <c r="E64" i="2"/>
  <c r="J64" i="2"/>
  <c r="M66" i="2"/>
  <c r="K66" i="2"/>
  <c r="I66" i="2"/>
  <c r="E66" i="2"/>
  <c r="J66" i="2"/>
  <c r="M68" i="2"/>
  <c r="K68" i="2"/>
  <c r="I68" i="2"/>
  <c r="E68" i="2"/>
  <c r="J68" i="2"/>
  <c r="M70" i="2"/>
  <c r="K70" i="2"/>
  <c r="I70" i="2"/>
  <c r="E70" i="2"/>
  <c r="J70" i="2"/>
  <c r="M72" i="2"/>
  <c r="K72" i="2"/>
  <c r="I72" i="2"/>
  <c r="E72" i="2"/>
  <c r="J72" i="2"/>
  <c r="M74" i="2"/>
  <c r="K74" i="2"/>
  <c r="I74" i="2"/>
  <c r="E74" i="2"/>
  <c r="J74" i="2"/>
  <c r="M76" i="2"/>
  <c r="K76" i="2"/>
  <c r="I76" i="2"/>
  <c r="E76" i="2"/>
  <c r="J76" i="2"/>
  <c r="M78" i="2"/>
  <c r="K78" i="2"/>
  <c r="I78" i="2"/>
  <c r="E78" i="2"/>
  <c r="J78" i="2"/>
  <c r="M80" i="2"/>
  <c r="K80" i="2"/>
  <c r="I80" i="2"/>
  <c r="E80" i="2"/>
  <c r="J80" i="2"/>
  <c r="M82" i="2"/>
  <c r="K82" i="2"/>
  <c r="I82" i="2"/>
  <c r="E82" i="2"/>
  <c r="J82" i="2"/>
  <c r="M84" i="2"/>
  <c r="K84" i="2"/>
  <c r="I84" i="2"/>
  <c r="E84" i="2"/>
  <c r="J84" i="2"/>
  <c r="M86" i="2"/>
  <c r="K86" i="2"/>
  <c r="I86" i="2"/>
  <c r="E86" i="2"/>
  <c r="J86" i="2"/>
  <c r="M88" i="2"/>
  <c r="K88" i="2"/>
  <c r="I88" i="2"/>
  <c r="E88" i="2"/>
  <c r="J88" i="2"/>
  <c r="M90" i="2"/>
  <c r="K90" i="2"/>
  <c r="I90" i="2"/>
  <c r="E90" i="2"/>
  <c r="J90" i="2"/>
  <c r="M92" i="2"/>
  <c r="K92" i="2"/>
  <c r="I92" i="2"/>
  <c r="E92" i="2"/>
  <c r="J92" i="2"/>
  <c r="F26" i="2"/>
  <c r="F107" i="2" s="1"/>
  <c r="M10" i="2"/>
  <c r="K10" i="2"/>
  <c r="I10" i="2"/>
  <c r="E10" i="2"/>
  <c r="J10" i="2"/>
  <c r="M18" i="2"/>
  <c r="K18" i="2"/>
  <c r="I18" i="2"/>
  <c r="E18" i="2"/>
  <c r="J18" i="2"/>
  <c r="M63" i="2"/>
  <c r="K63" i="2"/>
  <c r="I63" i="2"/>
  <c r="E63" i="2"/>
  <c r="J63" i="2"/>
  <c r="M71" i="2"/>
  <c r="K71" i="2"/>
  <c r="I71" i="2"/>
  <c r="E71" i="2"/>
  <c r="J71" i="2"/>
  <c r="M79" i="2"/>
  <c r="K79" i="2"/>
  <c r="I79" i="2"/>
  <c r="E79" i="2"/>
  <c r="J79" i="2"/>
  <c r="M87" i="2"/>
  <c r="K87" i="2"/>
  <c r="I87" i="2"/>
  <c r="E87" i="2"/>
  <c r="J87" i="2"/>
  <c r="J29" i="2"/>
  <c r="D57" i="2"/>
  <c r="M29" i="2"/>
  <c r="I29" i="2"/>
  <c r="E29" i="2"/>
  <c r="K29" i="2"/>
  <c r="J33" i="2"/>
  <c r="M33" i="2"/>
  <c r="I33" i="2"/>
  <c r="E33" i="2"/>
  <c r="K33" i="2"/>
  <c r="J37" i="2"/>
  <c r="M37" i="2"/>
  <c r="I37" i="2"/>
  <c r="E37" i="2"/>
  <c r="K37" i="2"/>
  <c r="J41" i="2"/>
  <c r="M41" i="2"/>
  <c r="I41" i="2"/>
  <c r="E41" i="2"/>
  <c r="K41" i="2"/>
  <c r="J45" i="2"/>
  <c r="M45" i="2"/>
  <c r="I45" i="2"/>
  <c r="E45" i="2"/>
  <c r="K45" i="2"/>
  <c r="J49" i="2"/>
  <c r="M49" i="2"/>
  <c r="I49" i="2"/>
  <c r="E49" i="2"/>
  <c r="K49" i="2"/>
  <c r="J53" i="2"/>
  <c r="M53" i="2"/>
  <c r="I53" i="2"/>
  <c r="E53" i="2"/>
  <c r="K53" i="2"/>
  <c r="J96" i="2"/>
  <c r="M96" i="2"/>
  <c r="I96" i="2"/>
  <c r="E96" i="2"/>
  <c r="D105" i="2"/>
  <c r="K96" i="2"/>
  <c r="J100" i="2"/>
  <c r="M100" i="2"/>
  <c r="I100" i="2"/>
  <c r="E100" i="2"/>
  <c r="K100" i="2"/>
  <c r="J104" i="2"/>
  <c r="M104" i="2"/>
  <c r="I104" i="2"/>
  <c r="E104" i="2"/>
  <c r="K104" i="2"/>
  <c r="N41" i="1"/>
  <c r="M41" i="1"/>
  <c r="G51" i="1"/>
  <c r="M38" i="1"/>
  <c r="N38" i="1"/>
  <c r="M12" i="2"/>
  <c r="K12" i="2"/>
  <c r="I12" i="2"/>
  <c r="E12" i="2"/>
  <c r="J12" i="2"/>
  <c r="M20" i="2"/>
  <c r="K20" i="2"/>
  <c r="I20" i="2"/>
  <c r="E20" i="2"/>
  <c r="J20" i="2"/>
  <c r="M65" i="2"/>
  <c r="K65" i="2"/>
  <c r="I65" i="2"/>
  <c r="E65" i="2"/>
  <c r="J65" i="2"/>
  <c r="M73" i="2"/>
  <c r="K73" i="2"/>
  <c r="I73" i="2"/>
  <c r="E73" i="2"/>
  <c r="J73" i="2"/>
  <c r="M81" i="2"/>
  <c r="K81" i="2"/>
  <c r="I81" i="2"/>
  <c r="E81" i="2"/>
  <c r="J81" i="2"/>
  <c r="M89" i="2"/>
  <c r="K89" i="2"/>
  <c r="I89" i="2"/>
  <c r="E89" i="2"/>
  <c r="J89" i="2"/>
  <c r="J30" i="2"/>
  <c r="K30" i="2"/>
  <c r="M30" i="2"/>
  <c r="I30" i="2"/>
  <c r="E30" i="2"/>
  <c r="J34" i="2"/>
  <c r="K34" i="2"/>
  <c r="M34" i="2"/>
  <c r="I34" i="2"/>
  <c r="E34" i="2"/>
  <c r="J38" i="2"/>
  <c r="K38" i="2"/>
  <c r="M38" i="2"/>
  <c r="I38" i="2"/>
  <c r="E38" i="2"/>
  <c r="J42" i="2"/>
  <c r="K42" i="2"/>
  <c r="M42" i="2"/>
  <c r="I42" i="2"/>
  <c r="E42" i="2"/>
  <c r="J46" i="2"/>
  <c r="K46" i="2"/>
  <c r="M46" i="2"/>
  <c r="I46" i="2"/>
  <c r="E46" i="2"/>
  <c r="J50" i="2"/>
  <c r="K50" i="2"/>
  <c r="M50" i="2"/>
  <c r="I50" i="2"/>
  <c r="E50" i="2"/>
  <c r="J54" i="2"/>
  <c r="K54" i="2"/>
  <c r="M54" i="2"/>
  <c r="I54" i="2"/>
  <c r="E54" i="2"/>
  <c r="J97" i="2"/>
  <c r="K97" i="2"/>
  <c r="M97" i="2"/>
  <c r="I97" i="2"/>
  <c r="E97" i="2"/>
  <c r="J101" i="2"/>
  <c r="K101" i="2"/>
  <c r="M101" i="2"/>
  <c r="I101" i="2"/>
  <c r="E101" i="2"/>
  <c r="M50" i="1"/>
  <c r="N50" i="1"/>
  <c r="N39" i="1"/>
  <c r="M39" i="1"/>
  <c r="N48" i="1"/>
  <c r="M48" i="1"/>
  <c r="D26" i="2"/>
  <c r="M5" i="2"/>
  <c r="K5" i="2"/>
  <c r="I5" i="2"/>
  <c r="E5" i="2"/>
  <c r="J5" i="2"/>
  <c r="M7" i="2"/>
  <c r="K7" i="2"/>
  <c r="I7" i="2"/>
  <c r="E7" i="2"/>
  <c r="J7" i="2"/>
  <c r="M9" i="2"/>
  <c r="K9" i="2"/>
  <c r="I9" i="2"/>
  <c r="E9" i="2"/>
  <c r="J9" i="2"/>
  <c r="M11" i="2"/>
  <c r="K11" i="2"/>
  <c r="I11" i="2"/>
  <c r="E11" i="2"/>
  <c r="J11" i="2"/>
  <c r="M13" i="2"/>
  <c r="K13" i="2"/>
  <c r="I13" i="2"/>
  <c r="E13" i="2"/>
  <c r="J13" i="2"/>
  <c r="M15" i="2"/>
  <c r="K15" i="2"/>
  <c r="I15" i="2"/>
  <c r="E15" i="2"/>
  <c r="J15" i="2"/>
  <c r="M17" i="2"/>
  <c r="K17" i="2"/>
  <c r="I17" i="2"/>
  <c r="E17" i="2"/>
  <c r="J17" i="2"/>
  <c r="M19" i="2"/>
  <c r="K19" i="2"/>
  <c r="I19" i="2"/>
  <c r="E19" i="2"/>
  <c r="J19" i="2"/>
  <c r="M21" i="2"/>
  <c r="K21" i="2"/>
  <c r="I21" i="2"/>
  <c r="E21" i="2"/>
  <c r="J21" i="2"/>
  <c r="M23" i="2"/>
  <c r="K23" i="2"/>
  <c r="I23" i="2"/>
  <c r="E23" i="2"/>
  <c r="J23" i="2"/>
  <c r="M25" i="2"/>
  <c r="K25" i="2"/>
  <c r="I25" i="2"/>
  <c r="E25" i="2"/>
  <c r="J25" i="2"/>
  <c r="M6" i="2"/>
  <c r="K6" i="2"/>
  <c r="I6" i="2"/>
  <c r="E6" i="2"/>
  <c r="J6" i="2"/>
  <c r="M14" i="2"/>
  <c r="K14" i="2"/>
  <c r="I14" i="2"/>
  <c r="E14" i="2"/>
  <c r="J14" i="2"/>
  <c r="M22" i="2"/>
  <c r="K22" i="2"/>
  <c r="I22" i="2"/>
  <c r="E22" i="2"/>
  <c r="J22" i="2"/>
  <c r="M67" i="2"/>
  <c r="K67" i="2"/>
  <c r="I67" i="2"/>
  <c r="E67" i="2"/>
  <c r="J67" i="2"/>
  <c r="M75" i="2"/>
  <c r="K75" i="2"/>
  <c r="I75" i="2"/>
  <c r="E75" i="2"/>
  <c r="J75" i="2"/>
  <c r="M83" i="2"/>
  <c r="K83" i="2"/>
  <c r="I83" i="2"/>
  <c r="E83" i="2"/>
  <c r="J83" i="2"/>
  <c r="M91" i="2"/>
  <c r="K91" i="2"/>
  <c r="I91" i="2"/>
  <c r="E91" i="2"/>
  <c r="J91" i="2"/>
  <c r="H57" i="2"/>
  <c r="H107" i="2" s="1"/>
  <c r="J31" i="2"/>
  <c r="M31" i="2"/>
  <c r="I31" i="2"/>
  <c r="E31" i="2"/>
  <c r="K31" i="2"/>
  <c r="J35" i="2"/>
  <c r="M35" i="2"/>
  <c r="I35" i="2"/>
  <c r="E35" i="2"/>
  <c r="K35" i="2"/>
  <c r="J39" i="2"/>
  <c r="M39" i="2"/>
  <c r="I39" i="2"/>
  <c r="E39" i="2"/>
  <c r="K39" i="2"/>
  <c r="J43" i="2"/>
  <c r="M43" i="2"/>
  <c r="I43" i="2"/>
  <c r="E43" i="2"/>
  <c r="K43" i="2"/>
  <c r="J47" i="2"/>
  <c r="M47" i="2"/>
  <c r="I47" i="2"/>
  <c r="E47" i="2"/>
  <c r="K47" i="2"/>
  <c r="J51" i="2"/>
  <c r="M51" i="2"/>
  <c r="I51" i="2"/>
  <c r="E51" i="2"/>
  <c r="K51" i="2"/>
  <c r="J55" i="2"/>
  <c r="M55" i="2"/>
  <c r="I55" i="2"/>
  <c r="E55" i="2"/>
  <c r="K55" i="2"/>
  <c r="H105" i="2"/>
  <c r="J98" i="2"/>
  <c r="M98" i="2"/>
  <c r="I98" i="2"/>
  <c r="E98" i="2"/>
  <c r="K98" i="2"/>
  <c r="J102" i="2"/>
  <c r="M102" i="2"/>
  <c r="I102" i="2"/>
  <c r="E102" i="2"/>
  <c r="K102" i="2"/>
  <c r="L26" i="2"/>
  <c r="F57" i="1"/>
  <c r="D57" i="1"/>
  <c r="F56" i="1"/>
  <c r="D56" i="1"/>
  <c r="F55" i="1"/>
  <c r="D55" i="1"/>
  <c r="E53" i="1"/>
  <c r="C53" i="1"/>
  <c r="F52" i="1"/>
  <c r="D52" i="1"/>
  <c r="E51" i="1"/>
  <c r="C51" i="1"/>
  <c r="F50" i="1"/>
  <c r="D50" i="1"/>
  <c r="E48" i="1"/>
  <c r="C48" i="1"/>
  <c r="F47" i="1"/>
  <c r="D47" i="1"/>
  <c r="E46" i="1"/>
  <c r="C46" i="1"/>
  <c r="F45" i="1"/>
  <c r="D45" i="1"/>
  <c r="E44" i="1"/>
  <c r="C44" i="1"/>
  <c r="F42" i="1"/>
  <c r="D42" i="1"/>
  <c r="E41" i="1"/>
  <c r="C41" i="1"/>
  <c r="F40" i="1"/>
  <c r="D40" i="1"/>
  <c r="E39" i="1"/>
  <c r="C39" i="1"/>
  <c r="F38" i="1"/>
  <c r="D38" i="1"/>
  <c r="E37" i="1"/>
  <c r="C37" i="1"/>
  <c r="F34" i="1"/>
  <c r="D34" i="1"/>
  <c r="E33" i="1"/>
  <c r="C33" i="1"/>
  <c r="F32" i="1"/>
  <c r="D32" i="1"/>
  <c r="E31" i="1"/>
  <c r="C31" i="1"/>
  <c r="E29" i="1"/>
  <c r="C29" i="1"/>
  <c r="E28" i="1"/>
  <c r="C28" i="1"/>
  <c r="E27" i="1"/>
  <c r="C27" i="1"/>
  <c r="E26" i="1"/>
  <c r="C26" i="1"/>
  <c r="E24" i="1"/>
  <c r="C24" i="1"/>
  <c r="E23" i="1"/>
  <c r="C23" i="1"/>
  <c r="E22" i="1"/>
  <c r="C22" i="1"/>
  <c r="E20" i="1"/>
  <c r="C20" i="1"/>
  <c r="E19" i="1"/>
  <c r="C19" i="1"/>
  <c r="E18" i="1"/>
  <c r="C18" i="1"/>
  <c r="E16" i="1"/>
  <c r="C16" i="1"/>
  <c r="C15" i="1"/>
  <c r="E14" i="1"/>
  <c r="C14" i="1"/>
  <c r="E12" i="1"/>
  <c r="C12" i="1"/>
  <c r="E11" i="1"/>
  <c r="C11" i="1"/>
  <c r="E10" i="1"/>
  <c r="C10" i="1"/>
  <c r="F9" i="1"/>
  <c r="D9" i="1"/>
  <c r="F8" i="1"/>
  <c r="D8" i="1"/>
  <c r="L57" i="2"/>
  <c r="E57" i="1"/>
  <c r="K57" i="1" s="1"/>
  <c r="C56" i="1"/>
  <c r="E55" i="1"/>
  <c r="K55" i="1" s="1"/>
  <c r="D53" i="1"/>
  <c r="C52" i="1"/>
  <c r="F51" i="1"/>
  <c r="L51" i="1" s="1"/>
  <c r="E50" i="1"/>
  <c r="K50" i="1" s="1"/>
  <c r="D48" i="1"/>
  <c r="C47" i="1"/>
  <c r="F46" i="1"/>
  <c r="L46" i="1" s="1"/>
  <c r="E45" i="1"/>
  <c r="K45" i="1" s="1"/>
  <c r="D44" i="1"/>
  <c r="C42" i="1"/>
  <c r="F41" i="1"/>
  <c r="L41" i="1" s="1"/>
  <c r="E40" i="1"/>
  <c r="K40" i="1" s="1"/>
  <c r="D39" i="1"/>
  <c r="C38" i="1"/>
  <c r="F37" i="1"/>
  <c r="L37" i="1" s="1"/>
  <c r="C34" i="1"/>
  <c r="D33" i="1"/>
  <c r="E32" i="1"/>
  <c r="F31" i="1"/>
  <c r="D29" i="1"/>
  <c r="J29" i="1" s="1"/>
  <c r="F28" i="1"/>
  <c r="L28" i="1" s="1"/>
  <c r="D27" i="1"/>
  <c r="J27" i="1" s="1"/>
  <c r="F26" i="1"/>
  <c r="L26" i="1" s="1"/>
  <c r="D24" i="1"/>
  <c r="J24" i="1" s="1"/>
  <c r="F23" i="1"/>
  <c r="L23" i="1" s="1"/>
  <c r="D22" i="1"/>
  <c r="J22" i="1" s="1"/>
  <c r="F20" i="1"/>
  <c r="L20" i="1" s="1"/>
  <c r="D19" i="1"/>
  <c r="J19" i="1" s="1"/>
  <c r="F18" i="1"/>
  <c r="L18" i="1" s="1"/>
  <c r="D16" i="1"/>
  <c r="J16" i="1" s="1"/>
  <c r="F15" i="1"/>
  <c r="L15" i="1" s="1"/>
  <c r="D14" i="1"/>
  <c r="J14" i="1" s="1"/>
  <c r="F12" i="1"/>
  <c r="L12" i="1" s="1"/>
  <c r="D11" i="1"/>
  <c r="J11" i="1" s="1"/>
  <c r="F10" i="1"/>
  <c r="L10" i="1" s="1"/>
  <c r="C9" i="1"/>
  <c r="E8" i="1"/>
  <c r="L105" i="2"/>
  <c r="C57" i="1"/>
  <c r="E56" i="1"/>
  <c r="K56" i="1" s="1"/>
  <c r="C55" i="1"/>
  <c r="F53" i="1"/>
  <c r="L53" i="1" s="1"/>
  <c r="E52" i="1"/>
  <c r="K52" i="1" s="1"/>
  <c r="D51" i="1"/>
  <c r="J51" i="1" s="1"/>
  <c r="C50" i="1"/>
  <c r="F48" i="1"/>
  <c r="L48" i="1" s="1"/>
  <c r="E47" i="1"/>
  <c r="K47" i="1" s="1"/>
  <c r="D46" i="1"/>
  <c r="J46" i="1" s="1"/>
  <c r="C45" i="1"/>
  <c r="F44" i="1"/>
  <c r="L44" i="1" s="1"/>
  <c r="E42" i="1"/>
  <c r="K42" i="1" s="1"/>
  <c r="D41" i="1"/>
  <c r="J41" i="1" s="1"/>
  <c r="C40" i="1"/>
  <c r="F39" i="1"/>
  <c r="L39" i="1" s="1"/>
  <c r="E38" i="1"/>
  <c r="K38" i="1" s="1"/>
  <c r="D37" i="1"/>
  <c r="J37" i="1" s="1"/>
  <c r="F33" i="1"/>
  <c r="C32" i="1"/>
  <c r="D31" i="1"/>
  <c r="F29" i="1"/>
  <c r="L29" i="1" s="1"/>
  <c r="D28" i="1"/>
  <c r="J28" i="1" s="1"/>
  <c r="F27" i="1"/>
  <c r="L27" i="1" s="1"/>
  <c r="D26" i="1"/>
  <c r="J26" i="1" s="1"/>
  <c r="F24" i="1"/>
  <c r="L24" i="1" s="1"/>
  <c r="D23" i="1"/>
  <c r="J23" i="1" s="1"/>
  <c r="F22" i="1"/>
  <c r="L22" i="1" s="1"/>
  <c r="D20" i="1"/>
  <c r="J20" i="1" s="1"/>
  <c r="F19" i="1"/>
  <c r="L19" i="1" s="1"/>
  <c r="D18" i="1"/>
  <c r="J18" i="1" s="1"/>
  <c r="F16" i="1"/>
  <c r="L16" i="1" s="1"/>
  <c r="D15" i="1"/>
  <c r="J15" i="1" s="1"/>
  <c r="F14" i="1"/>
  <c r="L14" i="1" s="1"/>
  <c r="D12" i="1"/>
  <c r="J12" i="1" s="1"/>
  <c r="F11" i="1"/>
  <c r="L11" i="1" s="1"/>
  <c r="D10" i="1"/>
  <c r="J10" i="1" s="1"/>
  <c r="E9" i="1"/>
  <c r="C8" i="1"/>
  <c r="U2" i="3"/>
  <c r="Y2" i="3"/>
  <c r="G31" i="1"/>
  <c r="S2" i="3"/>
  <c r="G37" i="1"/>
  <c r="N46" i="1"/>
  <c r="M46" i="1"/>
  <c r="I8" i="1" l="1"/>
  <c r="C58" i="1"/>
  <c r="I58" i="1" s="1"/>
  <c r="I38" i="1"/>
  <c r="I42" i="1"/>
  <c r="I47" i="1"/>
  <c r="I52" i="1"/>
  <c r="D58" i="1"/>
  <c r="J58" i="1" s="1"/>
  <c r="J8" i="1"/>
  <c r="I10" i="1"/>
  <c r="I11" i="1"/>
  <c r="I12" i="1"/>
  <c r="I14" i="1"/>
  <c r="I15" i="1"/>
  <c r="I16" i="1"/>
  <c r="I18" i="1"/>
  <c r="I19" i="1"/>
  <c r="I20" i="1"/>
  <c r="I22" i="1"/>
  <c r="I23" i="1"/>
  <c r="I24" i="1"/>
  <c r="I26" i="1"/>
  <c r="I27" i="1"/>
  <c r="I28" i="1"/>
  <c r="I29" i="1"/>
  <c r="I37" i="1"/>
  <c r="J38" i="1"/>
  <c r="I39" i="1"/>
  <c r="J40" i="1"/>
  <c r="I41" i="1"/>
  <c r="J42" i="1"/>
  <c r="I44" i="1"/>
  <c r="J45" i="1"/>
  <c r="I46" i="1"/>
  <c r="J47" i="1"/>
  <c r="I48" i="1"/>
  <c r="J50" i="1"/>
  <c r="I51" i="1"/>
  <c r="J52" i="1"/>
  <c r="I53" i="1"/>
  <c r="J55" i="1"/>
  <c r="J56" i="1"/>
  <c r="J57" i="1"/>
  <c r="M26" i="2"/>
  <c r="M107" i="2" s="1"/>
  <c r="M105" i="2"/>
  <c r="K57" i="2"/>
  <c r="I57" i="2"/>
  <c r="E57" i="2"/>
  <c r="J57" i="2"/>
  <c r="J93" i="2"/>
  <c r="K93" i="2"/>
  <c r="I93" i="2"/>
  <c r="E93" i="2"/>
  <c r="M57" i="1"/>
  <c r="G58" i="1"/>
  <c r="M58" i="1" s="1"/>
  <c r="N42" i="1"/>
  <c r="N47" i="1"/>
  <c r="L107" i="2"/>
  <c r="G34" i="1"/>
  <c r="L75" i="2"/>
  <c r="N37" i="1"/>
  <c r="M37" i="1"/>
  <c r="E34" i="1"/>
  <c r="I40" i="1"/>
  <c r="I45" i="1"/>
  <c r="I50" i="1"/>
  <c r="I55" i="1"/>
  <c r="I57" i="1"/>
  <c r="K8" i="1"/>
  <c r="E58" i="1"/>
  <c r="K58" i="1" s="1"/>
  <c r="J39" i="1"/>
  <c r="J44" i="1"/>
  <c r="J48" i="1"/>
  <c r="J53" i="1"/>
  <c r="I56" i="1"/>
  <c r="F58" i="1"/>
  <c r="L58" i="1" s="1"/>
  <c r="L8" i="1"/>
  <c r="K10" i="1"/>
  <c r="K11" i="1"/>
  <c r="K12" i="1"/>
  <c r="K14" i="1"/>
  <c r="K15" i="1"/>
  <c r="K16" i="1"/>
  <c r="K18" i="1"/>
  <c r="K19" i="1"/>
  <c r="K20" i="1"/>
  <c r="K22" i="1"/>
  <c r="K23" i="1"/>
  <c r="K24" i="1"/>
  <c r="K26" i="1"/>
  <c r="K27" i="1"/>
  <c r="K28" i="1"/>
  <c r="K29" i="1"/>
  <c r="K37" i="1"/>
  <c r="L38" i="1"/>
  <c r="K39" i="1"/>
  <c r="L40" i="1"/>
  <c r="K41" i="1"/>
  <c r="L42" i="1"/>
  <c r="K44" i="1"/>
  <c r="L45" i="1"/>
  <c r="K46" i="1"/>
  <c r="L47" i="1"/>
  <c r="K48" i="1"/>
  <c r="L50" i="1"/>
  <c r="K51" i="1"/>
  <c r="L52" i="1"/>
  <c r="K53" i="1"/>
  <c r="L55" i="1"/>
  <c r="L56" i="1"/>
  <c r="L57" i="1"/>
  <c r="L93" i="2"/>
  <c r="D107" i="2"/>
  <c r="E107" i="2" s="1"/>
  <c r="J26" i="2"/>
  <c r="K26" i="2"/>
  <c r="I26" i="2"/>
  <c r="E26" i="2"/>
  <c r="N51" i="1"/>
  <c r="M51" i="1"/>
  <c r="K105" i="2"/>
  <c r="I105" i="2"/>
  <c r="E105" i="2"/>
  <c r="J105" i="2"/>
  <c r="M57" i="2"/>
  <c r="M93" i="2"/>
  <c r="M52" i="1"/>
  <c r="N52" i="1"/>
</calcChain>
</file>

<file path=xl/sharedStrings.xml><?xml version="1.0" encoding="utf-8"?>
<sst xmlns="http://schemas.openxmlformats.org/spreadsheetml/2006/main" count="3063" uniqueCount="1006">
  <si>
    <t>REKAP EVALUASI HANDBOOK OPERASIONAL SID PER WILAYAH</t>
  </si>
  <si>
    <t>Data per tanggal</t>
  </si>
  <si>
    <t>No</t>
  </si>
  <si>
    <t>Uraian</t>
  </si>
  <si>
    <t>Jumlah</t>
  </si>
  <si>
    <t>Persentase</t>
  </si>
  <si>
    <t>Prioritas</t>
  </si>
  <si>
    <t>Tindak Lanjut</t>
  </si>
  <si>
    <t>Jawa Barat</t>
  </si>
  <si>
    <t>Jawa Tengah</t>
  </si>
  <si>
    <t>Jawa Timur</t>
  </si>
  <si>
    <t>Luar Pulau</t>
  </si>
  <si>
    <t>Total</t>
  </si>
  <si>
    <t>Partisipasi</t>
  </si>
  <si>
    <t>Jumlah pegawai</t>
  </si>
  <si>
    <t>Jumlah yang mengisi</t>
  </si>
  <si>
    <t>Jumlah orang (NIK unik)</t>
  </si>
  <si>
    <t>BM</t>
  </si>
  <si>
    <t>CRO</t>
  </si>
  <si>
    <t>BAO</t>
  </si>
  <si>
    <t>Navigasi &amp; struktur menu</t>
  </si>
  <si>
    <t>Mudah</t>
  </si>
  <si>
    <t>Cukup</t>
  </si>
  <si>
    <t>Sulit</t>
  </si>
  <si>
    <t>Tampilan di HP</t>
  </si>
  <si>
    <t>Ya, responsif</t>
  </si>
  <si>
    <t>Kurang</t>
  </si>
  <si>
    <t>Kejelasan materi / SOP</t>
  </si>
  <si>
    <t>Materi paling membantu</t>
  </si>
  <si>
    <t>Aktivitas Harian</t>
  </si>
  <si>
    <t>Aktivitas Mingguan</t>
  </si>
  <si>
    <t>Aktivitas Bulanan</t>
  </si>
  <si>
    <t>Overview Cabang / Prinsip Kerja</t>
  </si>
  <si>
    <t>Skor rata-rata (1 - 3)</t>
  </si>
  <si>
    <t>Navigasi</t>
  </si>
  <si>
    <t>Tampilan HP</t>
  </si>
  <si>
    <t>Materi / SOP</t>
  </si>
  <si>
    <t>Rata-rata keseluruhan</t>
  </si>
  <si>
    <t>Masukan &amp; Saran (gabungan 3 pertanyaan saran - 1 orang dihitung 1x per topik)</t>
  </si>
  <si>
    <t>A. Tampilan &amp; Akses Website</t>
  </si>
  <si>
    <t>Kecepatan &amp; Akses Website</t>
  </si>
  <si>
    <t>Optimasi kecepatan muat halaman (kompres gambar, cache), tingkatkan kapasitas server/hosting saat banyak pengguna, uji di area sinyal lemah.</t>
  </si>
  <si>
    <t>Tampilan di HP (Responsif)</t>
  </si>
  <si>
    <t>Perbaiki tampilan mobile: lebar halaman menyesuaikan layar HP, tidak perlu geser ke samping.</t>
  </si>
  <si>
    <t>Desain, Warna &amp; Font</t>
  </si>
  <si>
    <t>Perbarui desain agar lebih menarik dan tidak kaku: kontras warna teks (hindari abu-abu), font nyaman dibaca, tambah logo SID.</t>
  </si>
  <si>
    <t>Menu per Jabatan / Navigasi</t>
  </si>
  <si>
    <t>Buat menu/jalur terpisah untuk BM, CRO, dan BAO di halaman awal.</t>
  </si>
  <si>
    <t>Integrasi dengan SACS / Aplikasi Kerja</t>
  </si>
  <si>
    <t>Pasang link/menu handbook di SACS atau aplikasi kerja agar bisa diakses tanpa buka website terpisah.</t>
  </si>
  <si>
    <t>Fitur Baru (Dashboard / KPI / Database)</t>
  </si>
  <si>
    <t>Kaji kebutuhan fitur dashboard/KPI/database cabang sebagai pengembangan tahap berikutnya.</t>
  </si>
  <si>
    <t>B. Isi / Materi Handbook</t>
  </si>
  <si>
    <t>Penyederhanaan &amp; Ringkas Isi</t>
  </si>
  <si>
    <t>Ringkas teks menjadi poin-poin, bahasa lebih sederhana, langsung ke inti, rapikan tata letak.</t>
  </si>
  <si>
    <t>Penambahan Isi, Materi &amp; Template</t>
  </si>
  <si>
    <t>Lengkapi materi (jobdesk &amp; langkah kerja harian/mingguan/bulanan lebih rinci, prosedur pengajuan), tambah template surat (korin) dan materi posisi lain (ARO, RAO, AR, HSE).</t>
  </si>
  <si>
    <t>Tambah Video / Gambar / Flowchart</t>
  </si>
  <si>
    <t>Tambahkan infografis, bagan/flowchart, dan video tutorial singkat untuk materi utama.</t>
  </si>
  <si>
    <t>Kontak PIC, Struktur Organisasi &amp; Eskalasi</t>
  </si>
  <si>
    <t>Tambah halaman struktur organisasi terbaru, PIC divisi pusat + kontak/helpdesk SACS, PIC per kendala, dan alur eskalasi sampai kantor pusat.</t>
  </si>
  <si>
    <t>Update &amp; Notifikasi Perubahan SOP</t>
  </si>
  <si>
    <t>Tetapkan PIC &amp; jadwal update konten, tampilkan tanggal update terakhir dan notifikasi/log setiap ada perubahan SOP.</t>
  </si>
  <si>
    <t>C. SOP yang Belum Ada di Handbook</t>
  </si>
  <si>
    <t>Sanksi &amp; Pelanggaran SOP</t>
  </si>
  <si>
    <t>Buat bab sanksi/larangan dan alur pelaporan pelanggaran SOP (termasuk pembayaran ke rekening pribadi).</t>
  </si>
  <si>
    <t>Piutang &amp; Pelanggan Bermasalah</t>
  </si>
  <si>
    <t>Tambah SOP penanganan pelanggan NPL/overdue/restrukturisasi dan rekonsiliasi piutang (masukkan ke jobdesk).</t>
  </si>
  <si>
    <t>Pengiriman, Retur &amp; Logistik</t>
  </si>
  <si>
    <t>Tambah SOP pengiriman manual, histori kiriman semen &amp; non semen, dan penanganan barang retur.</t>
  </si>
  <si>
    <t>Panduan Laporan &amp; Alur Kerja</t>
  </si>
  <si>
    <t>Tambah panduan laporan evaluasi harian (aplikasi CP), flowchart aktivitas harian BAO, dan acuan kerja bila cabang belum punya POA.</t>
  </si>
  <si>
    <t>D. Lainnya</t>
  </si>
  <si>
    <t>Saran Umum Peningkatan</t>
  </si>
  <si>
    <t>-</t>
  </si>
  <si>
    <t>Masukan umum tanpa poin spesifik, cukup dipantau.</t>
  </si>
  <si>
    <t>Lainnya (perlu dibaca manual)</t>
  </si>
  <si>
    <t>Perlu dibaca manual (kolom V, W, X di sheet DATA).</t>
  </si>
  <si>
    <t>Jumlah responden yang memberi masukan</t>
  </si>
  <si>
    <t>Tidak ada masukan / sudah baik (di ketiga pertanyaan)</t>
  </si>
  <si>
    <t>Ket: skor Mudah/Ya = 3, Cukup = 2, Sulit/Kurang = 1</t>
  </si>
  <si>
    <t>Ket: masukan dari 3 pertanyaan (Kritik/Saran Tampilan, SOP yang Belum Ada, Saran Lainnya) digabung per topik. Jika 1 orang menyebut topik yang sama di lebih dari 1 pertanyaan, tetap dihitung 1 kali.</t>
  </si>
  <si>
    <t>Ket: 1 orang bisa menyebut beberapa topik berbeda, sehingga jumlah per topik tidak harus sama dengan jumlah responden yang memberi masukan.</t>
  </si>
  <si>
    <t>Ket: prioritas = jumlah per topik dibanding jumlah responden yang memberi masukan (Tinggi &gt;= 15%, Sedang 8% - 14%, Rendah &lt; 8%). Rincian per responden ada di sheet DATA kolom AK:BB.</t>
  </si>
  <si>
    <t>REKAP PENGISIAN PER CABANG</t>
  </si>
  <si>
    <t>Cabang</t>
  </si>
  <si>
    <t>Jml Pegawai</t>
  </si>
  <si>
    <t>Sudah Isi</t>
  </si>
  <si>
    <t>%</t>
  </si>
  <si>
    <t>Navigasi Mudah</t>
  </si>
  <si>
    <t>HP Responsif</t>
  </si>
  <si>
    <t>SOP Mudah</t>
  </si>
  <si>
    <t>Skor</t>
  </si>
  <si>
    <t>Keterangan</t>
  </si>
  <si>
    <t>JAWA BARAT</t>
  </si>
  <si>
    <t>Subtotal Jawa Barat</t>
  </si>
  <si>
    <t>JAWA TENGAH</t>
  </si>
  <si>
    <t>Subtotal Jawa Tengah</t>
  </si>
  <si>
    <t>JAWA TIMUR</t>
  </si>
  <si>
    <t>Subtotal Jawa Timur</t>
  </si>
  <si>
    <t>LUAR PULAU</t>
  </si>
  <si>
    <t>Subtotal Luar Pulau</t>
  </si>
  <si>
    <t>TOTAL</t>
  </si>
  <si>
    <t>Tanggal</t>
  </si>
  <si>
    <t>Nama</t>
  </si>
  <si>
    <t>NIK</t>
  </si>
  <si>
    <t>Wilayah</t>
  </si>
  <si>
    <t>Wilayah (Form)</t>
  </si>
  <si>
    <t>Jabatan</t>
  </si>
  <si>
    <t>Materi SOP</t>
  </si>
  <si>
    <t>Harian</t>
  </si>
  <si>
    <t>Mingguan</t>
  </si>
  <si>
    <t>Bulanan</t>
  </si>
  <si>
    <t>Overview</t>
  </si>
  <si>
    <t>Skor Navigasi</t>
  </si>
  <si>
    <t>Skor HP</t>
  </si>
  <si>
    <t>Skor SOP</t>
  </si>
  <si>
    <t>Rata-rata</t>
  </si>
  <si>
    <t>Unik</t>
  </si>
  <si>
    <t>Cek</t>
  </si>
  <si>
    <t>Kritik/Saran Tampilan</t>
  </si>
  <si>
    <t>SOP Belum Ada</t>
  </si>
  <si>
    <t>Saran Lainnya</t>
  </si>
  <si>
    <t>urut</t>
  </si>
  <si>
    <t>Kategori Tampilan</t>
  </si>
  <si>
    <t>Kategori SOP</t>
  </si>
  <si>
    <t>Kategori Saran</t>
  </si>
  <si>
    <t>Wilayah di Form</t>
  </si>
  <si>
    <t>Gab: Kecepatan &amp; Akses Website</t>
  </si>
  <si>
    <t>Gab: Tampilan di HP (Responsif)</t>
  </si>
  <si>
    <t>Gab: Desain, Warna &amp; Font</t>
  </si>
  <si>
    <t>Gab: Menu per Jabatan / Navigasi</t>
  </si>
  <si>
    <t>Gab: Integrasi dengan SACS / Aplikasi Kerja</t>
  </si>
  <si>
    <t>Gab: Fitur Baru (Dashboard / KPI / Database)</t>
  </si>
  <si>
    <t>Gab: Penyederhanaan &amp; Ringkas Isi</t>
  </si>
  <si>
    <t>Gab: Penambahan Isi, Materi &amp; Template</t>
  </si>
  <si>
    <t>Gab: Tambah Video / Gambar / Flowchart</t>
  </si>
  <si>
    <t>Gab: Kontak PIC, Struktur Organisasi &amp; Eskalasi</t>
  </si>
  <si>
    <t>Gab: Update &amp; Notifikasi Perubahan SOP</t>
  </si>
  <si>
    <t>Gab: Sanksi &amp; Pelanggaran SOP</t>
  </si>
  <si>
    <t>Gab: Piutang &amp; Pelanggan Bermasalah</t>
  </si>
  <si>
    <t>Gab: Pengiriman, Retur &amp; Logistik</t>
  </si>
  <si>
    <t>Gab: Panduan Laporan &amp; Alur Kerja</t>
  </si>
  <si>
    <t>Gab: Saran Umum Peningkatan</t>
  </si>
  <si>
    <t>Gab: Lainnya (perlu dibaca manual)</t>
  </si>
  <si>
    <t>Gab: Ada Masukan</t>
  </si>
  <si>
    <t>JABAR DKI BANTEN</t>
  </si>
  <si>
    <t>JATENG DIY</t>
  </si>
  <si>
    <t>JATIM</t>
  </si>
  <si>
    <t>Jawaban</t>
  </si>
  <si>
    <t>MUDAH</t>
  </si>
  <si>
    <t>YA</t>
  </si>
  <si>
    <t>CUKUP</t>
  </si>
  <si>
    <t>SULIT</t>
  </si>
  <si>
    <t>KURANG</t>
  </si>
  <si>
    <t>Timestamp</t>
  </si>
  <si>
    <t>Nama lengkap</t>
  </si>
  <si>
    <t>NIK Pegawai</t>
  </si>
  <si>
    <t>Cabang / Unit Kerja</t>
  </si>
  <si>
    <t>Peran / Jabatan Anda saat ini</t>
  </si>
  <si>
    <t>Wilayah / Regional</t>
  </si>
  <si>
    <t>Seberapa mudah navigasi dan struktur menu di website Handbook Operasional ini diakses?</t>
  </si>
  <si>
    <t>Apakah tampilan website sudah cukup nyaman diakses melalui perangkat seluler/smartphone saat Anda bertugas di lapangan?</t>
  </si>
  <si>
    <t>Kritik/Saran terkait Tampilan &amp; Aksesibilitas Website:</t>
  </si>
  <si>
    <t>Menurut Anda, apakah materi/SOP yang disajikan di dalam handbook untuk peran Anda sudah cukup jelas dan dapat diterapkan langsung dalam pekerjaan sehari-hari?</t>
  </si>
  <si>
    <t xml:space="preserve">Bagian aktivitas manakah (Harian / Mingguan / Bulanan) yang menurut Anda materinya paling membantu pekerjaan Anda?  </t>
  </si>
  <si>
    <t xml:space="preserve">Adakah bagian atau SOP penting di operasional cabang yang belum tercakup atau terlewat di dalam handbook ini? Jika ada, mohon sebutkan:  </t>
  </si>
  <si>
    <t xml:space="preserve">Saran atau masukan konstruktif lainnya untuk pengembangan website Handbook Operasional PT Semen Indonesia Distributor ke depan:  </t>
  </si>
  <si>
    <t>CEK</t>
  </si>
  <si>
    <t>Pradana Rifti Meidiansyah</t>
  </si>
  <si>
    <t>MAGETAN</t>
  </si>
  <si>
    <t>[ ] Ya, sangat responsif dan mudah dibaca</t>
  </si>
  <si>
    <t>Sudah cukup baik untuk tampilan</t>
  </si>
  <si>
    <t>[ ] Overview Cabang / Prinsip Kerja</t>
  </si>
  <si>
    <t>Semua sudah di terapkan sesuai SOP yang ada</t>
  </si>
  <si>
    <t xml:space="preserve">Sudah sangat mudah untuk diakses dan dipahami </t>
  </si>
  <si>
    <t>SENDY MARTIN</t>
  </si>
  <si>
    <t>BLORA</t>
  </si>
  <si>
    <t>[ ] Cukup, tetapi masih ada beberapa bagian yang kurang pas</t>
  </si>
  <si>
    <t>[ ] Aktivitas Harian, [ ] Overview Cabang / Prinsip Kerja</t>
  </si>
  <si>
    <t>Tidak ada</t>
  </si>
  <si>
    <t>Di linkn dengan sacs agarvlebih mudahbuntuk aksesnya</t>
  </si>
  <si>
    <t>RIZKY SATYA PUTRA</t>
  </si>
  <si>
    <t>SAYUNG</t>
  </si>
  <si>
    <t>Mungkin dijelaskan lebih ringkas saja, dan ditampilkan pada aplikasi SACS sehingga setiap user bisa mengakses</t>
  </si>
  <si>
    <t>[ ] Aktivitas Harian</t>
  </si>
  <si>
    <t>tidak ada</t>
  </si>
  <si>
    <t>Iman Suratman</t>
  </si>
  <si>
    <t>Cilacap</t>
  </si>
  <si>
    <t>Sudah baik</t>
  </si>
  <si>
    <t>[ ] Aktivitas Mingguan</t>
  </si>
  <si>
    <t>Sudah cukup baik</t>
  </si>
  <si>
    <t>Ariya Fatwa Ramadhi Baskara</t>
  </si>
  <si>
    <t>Perlengkap informasi kontak darurat,misalnya apabila mengalami kesulitan dalam mengakses SACS atau mengalami force closed berkali kali khususnya untuk CRO yang bersinggungan langsung dengan calon customer / NOO</t>
  </si>
  <si>
    <t>Maulana Saputra</t>
  </si>
  <si>
    <t>Cirebon</t>
  </si>
  <si>
    <t>Mohon dibuat agar lebih mudah dipahami lagi</t>
  </si>
  <si>
    <t>????</t>
  </si>
  <si>
    <t>Nugroho adi saputro</t>
  </si>
  <si>
    <t>Purworejo</t>
  </si>
  <si>
    <t>Cukup baik</t>
  </si>
  <si>
    <t>Lebih lengkap lagi</t>
  </si>
  <si>
    <t>MUHAMMAD RIZKI KURNIAWAN</t>
  </si>
  <si>
    <t>BANJARMASIN</t>
  </si>
  <si>
    <t>SEMOGA LEBIH BAIK LAGI</t>
  </si>
  <si>
    <t>[ ] Aktivitas Harian, [ ] Aktivitas Mingguan, [ ] Aktivitas Bulanan, [ ] Overview Cabang / Prinsip Kerja</t>
  </si>
  <si>
    <t>TIDAK ADA</t>
  </si>
  <si>
    <t>UNTUK SAAT INI BELUM ADA, DAN HANDBOOK MUDAH DIPAHAMI OLEH PEMBACA</t>
  </si>
  <si>
    <t>ADIMAS RULIYANSYAH</t>
  </si>
  <si>
    <t>Sragen</t>
  </si>
  <si>
    <t>Tampilan dibuat lebih baik lagi</t>
  </si>
  <si>
    <t xml:space="preserve">Sudah bagus, di buat tampilan lagi yang lebih menarik </t>
  </si>
  <si>
    <t>DANANG FENDY PRADANA</t>
  </si>
  <si>
    <t>02030</t>
  </si>
  <si>
    <t>KLATEN</t>
  </si>
  <si>
    <t>PENANGANAN PELANGGAN NPL</t>
  </si>
  <si>
    <t>ALUR ESKALASI LAPORAN SAMPAI DENGAN KANPUS</t>
  </si>
  <si>
    <t>KULONPROGO</t>
  </si>
  <si>
    <t>Achmad Fachri</t>
  </si>
  <si>
    <t>Tangerang</t>
  </si>
  <si>
    <t>Lanjutkan</t>
  </si>
  <si>
    <t>[ ] Aktivitas Harian, [ ] Aktivitas Mingguan</t>
  </si>
  <si>
    <t>maintance barang retur</t>
  </si>
  <si>
    <t>lanjutkan</t>
  </si>
  <si>
    <t>David febrianto</t>
  </si>
  <si>
    <t>[ ] Aktivitas Harian, [ ] Aktivitas Mingguan, [ ] Aktivitas Bulanan</t>
  </si>
  <si>
    <t>TAUFIK KUROHMAN</t>
  </si>
  <si>
    <t xml:space="preserve">Cukup baik.tingkatkan bila di perlukan </t>
  </si>
  <si>
    <t>Sudah cukup lengkap</t>
  </si>
  <si>
    <t>Sudah cukup baik. Kembangkan bila memang ada yang di perlukam dan di update</t>
  </si>
  <si>
    <t xml:space="preserve">Khalifa ade andreanto </t>
  </si>
  <si>
    <t>klaten</t>
  </si>
  <si>
    <t>Dibuat bentuk vidio mungkin lebih bisa memahami</t>
  </si>
  <si>
    <t>Belum</t>
  </si>
  <si>
    <t>Belum ada</t>
  </si>
  <si>
    <t>Dhita egans</t>
  </si>
  <si>
    <t>Sayung</t>
  </si>
  <si>
    <t>Website friendly mobile web</t>
  </si>
  <si>
    <t>Tercakup semua</t>
  </si>
  <si>
    <t>Dean iogia ananda pratama</t>
  </si>
  <si>
    <t>Kulonprogo</t>
  </si>
  <si>
    <t>Lebih di simpel kan lagi tidak perlu banyak penjelasan langaung ke intinya saja</t>
  </si>
  <si>
    <t xml:space="preserve">Terkait pelaporan tindakan pelanggaran sop </t>
  </si>
  <si>
    <t>Bisa dijadikan aplikasi jadi tidak perlu masuk website</t>
  </si>
  <si>
    <t>Bartolomeus Yama Risky A</t>
  </si>
  <si>
    <t>Grafis dan visual dibikin lebih enak dilihat</t>
  </si>
  <si>
    <t>Sudah cukup</t>
  </si>
  <si>
    <t>Bikin aplikasi biar lebih mudah diakses</t>
  </si>
  <si>
    <t>Nanang Agus Saputro</t>
  </si>
  <si>
    <t>Cukup mudah dibaca, link dibuat pilihan antara BM , CRO , dan BAO</t>
  </si>
  <si>
    <t>Sudah tercakup</t>
  </si>
  <si>
    <t>Informasi terkini selalu diupdate</t>
  </si>
  <si>
    <t>Galih satriyo bekti</t>
  </si>
  <si>
    <t>Blora</t>
  </si>
  <si>
    <t>Sudah bagus, tinggal eksekusinya</t>
  </si>
  <si>
    <t>[ ] Aktivitas Bulanan</t>
  </si>
  <si>
    <t>Belum ada, semuanya sudah benar</t>
  </si>
  <si>
    <t>Sudah bagus dan di jalankan</t>
  </si>
  <si>
    <t>RM Ariawan Risprasetya Erlangga</t>
  </si>
  <si>
    <t>Klaten</t>
  </si>
  <si>
    <t>Bagus</t>
  </si>
  <si>
    <t>Proses History kiriman semen dan non semen yang sudah dan belum terkirim</t>
  </si>
  <si>
    <t>Sudah aman</t>
  </si>
  <si>
    <t xml:space="preserve">MUHAMMAD ARIF SETIAWAN </t>
  </si>
  <si>
    <t>SLEMAN</t>
  </si>
  <si>
    <t>AKBAR WICAKSONO</t>
  </si>
  <si>
    <t>LOMBOK</t>
  </si>
  <si>
    <t>Tidak ada, tampilah dan aksesibilitas sudah responsif dan mudah dibaca</t>
  </si>
  <si>
    <t>fajar hariyanto</t>
  </si>
  <si>
    <t>klungkung</t>
  </si>
  <si>
    <t>ok</t>
  </si>
  <si>
    <t>sudah bagus</t>
  </si>
  <si>
    <t>singaraja</t>
  </si>
  <si>
    <t>MASYKUR</t>
  </si>
  <si>
    <t>00866</t>
  </si>
  <si>
    <t>Materi dan SOP operasional cabang yang disajikan dalam Handbook saat ini sudah cukup mencakup kebutuhan pekerjaan. Selain itu, apabila terdapat perubahan atau pembaruan SOP, kebijakan, maupun prosedur kerja, diharapkan tersedia fitur notifikasi atau pemberitahuan kepada karyawan agar informasi terbaru dapat diketahui dengan cepat dan diterapkan secara seragam di seluruh cabang.</t>
  </si>
  <si>
    <t>Mohon dilengkapi dengan struktur organisasi PT Semen Indonesia Distributor (SID) terbaru yang diperbarui secara berkala apabila terdapat perubahan jabatan, penempatan, maupun wilayah kerja. Informasi ini penting agar seluruh karyawan dapat memahami susunan organisasi, jalur koordinasi, hubungan pelaporan, serta PIC yang berwenang dalam pengambilan keputusan dan penyelesaian permasalahan operasional. Dengan demikian, koordinasi antara cabang, regional, dan kantor pusat dapat berjalan lebih efektif, terarah, dan sesuai dengan kewenangan masing-masing.</t>
  </si>
  <si>
    <t>AYU WULANDARI OKTAVIA</t>
  </si>
  <si>
    <t>KLUNGKUNG</t>
  </si>
  <si>
    <t>cukup mudah d pahami</t>
  </si>
  <si>
    <t>contact person kendala / pihak yang berwenang bila terjadi kendala atau follow up progress</t>
  </si>
  <si>
    <t>list personil, CP dan struktur organisasi</t>
  </si>
  <si>
    <t>Fajar Agung Arianto</t>
  </si>
  <si>
    <t>Sdh berjalan</t>
  </si>
  <si>
    <t>Faisal Arrahman</t>
  </si>
  <si>
    <t>Denpasar</t>
  </si>
  <si>
    <t>sudah bagus dan mudah dipahami</t>
  </si>
  <si>
    <t>Tidak Ada</t>
  </si>
  <si>
    <t>tidak ada saran, saat ini menurut saya sudah sesuai</t>
  </si>
  <si>
    <t>Ricky Dwi WIjaya</t>
  </si>
  <si>
    <t>Tabanan</t>
  </si>
  <si>
    <t>sudah cukup baik</t>
  </si>
  <si>
    <t>Sudah cukup bagus dan sangat membantu terutama untuk karyawan yang baru bergabung, sangat mudah dipahami</t>
  </si>
  <si>
    <t>Jembrana</t>
  </si>
  <si>
    <t>RULLY KHOIRUDDIN</t>
  </si>
  <si>
    <t>SRAGEN</t>
  </si>
  <si>
    <t>MOHON UNTUK LEBIH DITINGKATKAN TAMPILANNYA</t>
  </si>
  <si>
    <t>SEMOGA SEMAKIN MENARIK.</t>
  </si>
  <si>
    <t>Alpine Mandala Putra</t>
  </si>
  <si>
    <t>Samarinda</t>
  </si>
  <si>
    <t>Indra Juniarto Kaban</t>
  </si>
  <si>
    <t>Tidak</t>
  </si>
  <si>
    <t>TITO ABDILLA</t>
  </si>
  <si>
    <t xml:space="preserve">Miftahul Hidayat </t>
  </si>
  <si>
    <t>SAMARINDA</t>
  </si>
  <si>
    <t xml:space="preserve">Tidak ada </t>
  </si>
  <si>
    <t>Cukup Membantu</t>
  </si>
  <si>
    <t>wahyu ari setiawan</t>
  </si>
  <si>
    <t xml:space="preserve">perlu penikatan lai .. apalagi kalau di pakai di area persawahan pas eroro 
</t>
  </si>
  <si>
    <t>Habib surya</t>
  </si>
  <si>
    <t>Bogor</t>
  </si>
  <si>
    <t>Kembangkan dan maksimalkan dan buat QnA tentang SACS</t>
  </si>
  <si>
    <t>Indra gunawan</t>
  </si>
  <si>
    <t>Cianjur</t>
  </si>
  <si>
    <t xml:space="preserve">Sudah kucup bagus </t>
  </si>
  <si>
    <t>Sudah ada</t>
  </si>
  <si>
    <t xml:space="preserve">Tsmbah muka temen temen sales biar tau </t>
  </si>
  <si>
    <t>RISMAN HILMI</t>
  </si>
  <si>
    <t xml:space="preserve">Sudah cukup </t>
  </si>
  <si>
    <t>Mohon untuk menampilkan team sales</t>
  </si>
  <si>
    <t>Khalid Al Faiz</t>
  </si>
  <si>
    <t>[ ] Kurang, teks/tampilan sulit diakses via HP</t>
  </si>
  <si>
    <t>Bikin lebih sederhana user interface</t>
  </si>
  <si>
    <t>Handbook dirasa tdk trlalu urgent  karena proses pedoman operasional sid akan lebih efektif di laksanakan oleh manager operasional</t>
  </si>
  <si>
    <t>Moh.Izdadul Ibdad</t>
  </si>
  <si>
    <t>Majalengka</t>
  </si>
  <si>
    <t>Sudah cukup, untuk handbook memang harus simple dan ringan tampilannya supaya ketika dibuka lewat hp tetap lancar</t>
  </si>
  <si>
    <t>Rekon piutang</t>
  </si>
  <si>
    <t>Sudah cukup bagus</t>
  </si>
  <si>
    <t>MOH KOSIM</t>
  </si>
  <si>
    <t>CIANJUR</t>
  </si>
  <si>
    <t>CUKUP BAGUS</t>
  </si>
  <si>
    <t>aman</t>
  </si>
  <si>
    <t>sediakan template untuk surat menyurat seperti korin dll</t>
  </si>
  <si>
    <t xml:space="preserve">Agus Rahman </t>
  </si>
  <si>
    <t xml:space="preserve">Mungkin bisa lebih jelas menu untuk tiap posisi karyawan </t>
  </si>
  <si>
    <t>[ ] Aktivitas Harian, [ ] Aktivitas Mingguan, [ ] Overview Cabang / Prinsip Kerja</t>
  </si>
  <si>
    <t xml:space="preserve">Mungkin lebih ringkas jika panduan handbook ini ada pada 1 aplikasi kerja dan tidak perlu lewat website. </t>
  </si>
  <si>
    <t>Mohammad hafid</t>
  </si>
  <si>
    <t>Lumayan baik</t>
  </si>
  <si>
    <t>Terus berinovasi</t>
  </si>
  <si>
    <t>DENI NURBAYA</t>
  </si>
  <si>
    <t>Cukup bagus,tinggal tambah beberafa tamoilan saja agar lebih menarik.</t>
  </si>
  <si>
    <t>sudah pas dan sangat membantu.</t>
  </si>
  <si>
    <t>belum ada.</t>
  </si>
  <si>
    <t>Baihaki</t>
  </si>
  <si>
    <t>Sudah lumayan bagus</t>
  </si>
  <si>
    <t>Tri Cahyono</t>
  </si>
  <si>
    <t>Semoga lebih user friendly</t>
  </si>
  <si>
    <t>Lebih baik hanbok ada dalam 1 aplikasi kerja</t>
  </si>
  <si>
    <t>Dirga Rusdiansyah Pradana</t>
  </si>
  <si>
    <t>Banjarmasin</t>
  </si>
  <si>
    <t>Mungkin bisa di tambahkan dan selalu diupdate di handbook BM terkait PIC divisi yang di pusat, karena terkadang cabang minim info terkait PIC. (Ex : logistik untuk produk Tripilar, logistik besi, logistik semen perekat, dll)</t>
  </si>
  <si>
    <t>Rekonsiliasi piutang pelanggan belum ada di jobdesk</t>
  </si>
  <si>
    <t>Bisa di tambahkan PIC divisi lain yang ada di pusat beserta CPnnya, agar memudahkan BM yang ada di cabang untuk komunikasi.</t>
  </si>
  <si>
    <t>DWIEYOGA ANDREY SUKAMTO</t>
  </si>
  <si>
    <t>BOGOR</t>
  </si>
  <si>
    <t>Sudah bagus</t>
  </si>
  <si>
    <t>Sudah</t>
  </si>
  <si>
    <t>Joko Raharjo</t>
  </si>
  <si>
    <t>Salatiga</t>
  </si>
  <si>
    <t>Sudah bagus mudah dipahami</t>
  </si>
  <si>
    <t>sudah masuk semua lengkap</t>
  </si>
  <si>
    <t>lebih dibuatka sesimple mungkin terkait penataan katanya</t>
  </si>
  <si>
    <t>Muhammad Koharuddin</t>
  </si>
  <si>
    <t>Pekalongan</t>
  </si>
  <si>
    <t>Ditingkatkan dan dikembangkan lebih baik lagi</t>
  </si>
  <si>
    <t>Hampir semua sudah</t>
  </si>
  <si>
    <t>Dikembangkan dan ditingkatkan lagi</t>
  </si>
  <si>
    <t xml:space="preserve">Agus Nurohmad </t>
  </si>
  <si>
    <t>Cukup mudah</t>
  </si>
  <si>
    <t>Bisa lebih mudah diakses dan simple</t>
  </si>
  <si>
    <t>Ghulam nahar adiba karim</t>
  </si>
  <si>
    <t>Lebih meringkas materi karena dalam suatu website penjelasan panjang lebar terlalu membuat malas pembacanya</t>
  </si>
  <si>
    <t>Acuan sistem kerja</t>
  </si>
  <si>
    <t>Lebih baik dibuat jpg rinciannya tidak terlalu banyak ketikan</t>
  </si>
  <si>
    <t>Heksa Indra P</t>
  </si>
  <si>
    <t>Sudah sangat baik untuk tampilan dan aksesubilitasnya</t>
  </si>
  <si>
    <t>[ ] Aktivitas Bulanan, [ ] Overview Cabang / Prinsip Kerja</t>
  </si>
  <si>
    <t>Sudah tercakup semuanya</t>
  </si>
  <si>
    <t>Sudah cukup baik dan sangat membantu</t>
  </si>
  <si>
    <t xml:space="preserve">Zein nur roziqin </t>
  </si>
  <si>
    <t xml:space="preserve">Lumayan bagus tampilan tetapi kecepatan akses ditingkatkan </t>
  </si>
  <si>
    <t>Penting sekali</t>
  </si>
  <si>
    <t>Belum ada saran</t>
  </si>
  <si>
    <t>ZANU ADHI PUTRA</t>
  </si>
  <si>
    <t>SINGARAJA</t>
  </si>
  <si>
    <t>.</t>
  </si>
  <si>
    <t>BAGUS</t>
  </si>
  <si>
    <t>GOOD</t>
  </si>
  <si>
    <t>RACHMAD INDRA KUNTJORO</t>
  </si>
  <si>
    <t>SUBANG</t>
  </si>
  <si>
    <t>Untuk wilayah Jabar DKI Banten agar di tampilkan juga panduan/cara membuat laporan evaluasi melalui Aplikasi CP setiap harinya. Bisa melalui link Youtube, atau diagram, atau lainnya.</t>
  </si>
  <si>
    <t>Bisa lebih di berikan secara detail perihal step langkah yang harus dilakukan setiap harinya, mingguan dan bulanan</t>
  </si>
  <si>
    <t>Budi yulianto</t>
  </si>
  <si>
    <t>Agar selalu ditingkatkan</t>
  </si>
  <si>
    <t>Agar selalu di tingkatkan</t>
  </si>
  <si>
    <t>AHMAD URIL SHOFANI</t>
  </si>
  <si>
    <t>SALATIGA</t>
  </si>
  <si>
    <t>sudah cukup bagus, mungkin bisa dibuat lebih menarik lagi design nya</t>
  </si>
  <si>
    <t>mungkin bisa ditambah untuk posisi lain, Misal ARO, RAO, AR, HSE DLL</t>
  </si>
  <si>
    <t>NANANG PURWOKO</t>
  </si>
  <si>
    <t>LEBIH SOFT LAGI</t>
  </si>
  <si>
    <t>SUDAH</t>
  </si>
  <si>
    <t>SUDAH JOSJIS</t>
  </si>
  <si>
    <t>Hendri permana putra</t>
  </si>
  <si>
    <t>banjarmasin</t>
  </si>
  <si>
    <t>Ni kadek Cinta S</t>
  </si>
  <si>
    <t>Cukup mudah diakses</t>
  </si>
  <si>
    <t>Rahmat Hidayat Iskandar</t>
  </si>
  <si>
    <t>Tampilan cukup baik dan mudah untuk dipahami</t>
  </si>
  <si>
    <t>Handbook sudah cukup baik</t>
  </si>
  <si>
    <t>Ayu Lendyana</t>
  </si>
  <si>
    <t>Rudiana</t>
  </si>
  <si>
    <t>Subang</t>
  </si>
  <si>
    <t>Lebih di perbanyak lagi i formasinya</t>
  </si>
  <si>
    <t>[ ] Aktivitas Harian, [ ] Aktivitas Bulanan</t>
  </si>
  <si>
    <t>Priyadi prasetyo</t>
  </si>
  <si>
    <t>Buat lebih ringkas agar tidak terlalu monoton</t>
  </si>
  <si>
    <t>UMAR HADID SETIANTO</t>
  </si>
  <si>
    <t>Dimohon aplikasi dibuat simple lagi dan utk koneksi akses nya jangan lemot</t>
  </si>
  <si>
    <t>Saya rasa sudah semua , cuman terkadang lemot sekali</t>
  </si>
  <si>
    <t xml:space="preserve">Lebih dibuat sesimple mungkin dan koneksinya jangan lemot </t>
  </si>
  <si>
    <t>Slamet budi laksono</t>
  </si>
  <si>
    <t>Singaraja</t>
  </si>
  <si>
    <t>Sudah semua tercakup</t>
  </si>
  <si>
    <t>Mungkin bisa nanti dijadikan dashboard CRO utk pencapaian penjualan, penagihan, dll yg bisa berguna utk kita memonitoring kerja kita</t>
  </si>
  <si>
    <t>SUNARYO</t>
  </si>
  <si>
    <t>Tampilannya kurang melebar jadi harus di scroll ke samping</t>
  </si>
  <si>
    <t>CEPU</t>
  </si>
  <si>
    <t>Diatmika Wanda Prayoga</t>
  </si>
  <si>
    <t>Serang</t>
  </si>
  <si>
    <t>Menampilkan update tips-tips kerja efektif terkini sesuai jobdesk</t>
  </si>
  <si>
    <t>RANIAH TASYA NUGRAHA</t>
  </si>
  <si>
    <t>DENPASAR</t>
  </si>
  <si>
    <t>tidak</t>
  </si>
  <si>
    <t>Rama Rezka Ramdhana</t>
  </si>
  <si>
    <t>Maintenance yang perlu dijaga</t>
  </si>
  <si>
    <t>Bagus Suryo Fitrianto</t>
  </si>
  <si>
    <t>Sudah Cukup Bagus</t>
  </si>
  <si>
    <t>Sudah Cukup Baik</t>
  </si>
  <si>
    <t xml:space="preserve">Miftahul farid </t>
  </si>
  <si>
    <t>SERANG</t>
  </si>
  <si>
    <t xml:space="preserve">Sudah bagus dan support hp Android </t>
  </si>
  <si>
    <t xml:space="preserve">Tidak ada saran, karena selebihnya sudah cukup bagus </t>
  </si>
  <si>
    <t>PANDU ESA PRATAMA</t>
  </si>
  <si>
    <t>Tidak ada kritik</t>
  </si>
  <si>
    <t>Tdk ada</t>
  </si>
  <si>
    <t>Tdk ada saran</t>
  </si>
  <si>
    <t>Aditya Dwi Setianto</t>
  </si>
  <si>
    <t>Karawang</t>
  </si>
  <si>
    <t>Sudah lengkap</t>
  </si>
  <si>
    <t>Lebih simpel dan dibuat lebih ringkas dengan gambar</t>
  </si>
  <si>
    <t xml:space="preserve">Angga tristriawan </t>
  </si>
  <si>
    <t>Mudah di akses</t>
  </si>
  <si>
    <t>NOVIANTI. P</t>
  </si>
  <si>
    <t>TAMPILAN SANGAT MUDAH DIBACA DAN DIMENGERTI</t>
  </si>
  <si>
    <t>SUDAH MENCAKUP SEMUA</t>
  </si>
  <si>
    <t>MUH. ALFAN MASYKUR KURNIAWAN</t>
  </si>
  <si>
    <t>Kebumen</t>
  </si>
  <si>
    <t xml:space="preserve">Lebih bagus jika dalam bentuk bagan bagan supaya lebih mudah untuk dipahami </t>
  </si>
  <si>
    <t>Semua SOP sudah tercantum dalam e book yang dibagikan</t>
  </si>
  <si>
    <t>Lebih diperbanyak untuk gambar agar lebih menarik</t>
  </si>
  <si>
    <t>ACHMAD NAHYA FILLAH</t>
  </si>
  <si>
    <t>Sudah sangat baik</t>
  </si>
  <si>
    <t>Sudah terangkum semua</t>
  </si>
  <si>
    <t>Sejauh ini sudah sangat bagus</t>
  </si>
  <si>
    <t>ARIF MUTTAQIN</t>
  </si>
  <si>
    <t>Untuk webnya tulisan materinya bisa dibuat font yang lebih menarik</t>
  </si>
  <si>
    <t>Sudah tercakup lengkap</t>
  </si>
  <si>
    <t>Untuk tampilan webnya bisa dibuat lebih menarik lagi agar menarik untuk dibaca dan lebih cepat untuk memuat halaman website ketika diakses</t>
  </si>
  <si>
    <t>ADE SUPRAYOGI</t>
  </si>
  <si>
    <t>TIDAK ADA LOGO SID</t>
  </si>
  <si>
    <t>KONDISI DIMANA CABANG TIDAK ADA POA. FLOWCHART GAMBARAN BESAR AKTIFITAS HARIAN BAO</t>
  </si>
  <si>
    <t>WEB HANYA MENAMPILKAN FLOWCHART GAMBARAN BESARNYA, UNTUK LEBIH DETAL BARU BERALIH LINK KE GOOGLE DOCUMENT</t>
  </si>
  <si>
    <t xml:space="preserve">Ita Miptahudin </t>
  </si>
  <si>
    <t>Tampilan Cukup user friendly</t>
  </si>
  <si>
    <t>Mungkin bisa dibuatkan video tutorial/panduan atau video pelatihan lainnya untuk pengembangan skill CrO</t>
  </si>
  <si>
    <t>Andreas Indardianto</t>
  </si>
  <si>
    <t>sudah cukup baik.</t>
  </si>
  <si>
    <t>Arif tri sugiartono</t>
  </si>
  <si>
    <t>Di beberapa menu ada yg masih lama untuk loadingnya</t>
  </si>
  <si>
    <t>Lebih di buat simple untuk di beberapa menu</t>
  </si>
  <si>
    <t>Muhammad riyanto</t>
  </si>
  <si>
    <t xml:space="preserve">Teguh Aditya Arisusila </t>
  </si>
  <si>
    <t>Rachmad Fajar Ramadhan</t>
  </si>
  <si>
    <t>Wonogiri</t>
  </si>
  <si>
    <t>ADITYA MAHENDRA</t>
  </si>
  <si>
    <t>02303</t>
  </si>
  <si>
    <t>WONOGIRI</t>
  </si>
  <si>
    <t>design dan kerapian fontnya lebih diperbagus</t>
  </si>
  <si>
    <t>kedepannya handbook ini juga bisa mengakses untuk KPI dari BM, BAO &amp; CRO</t>
  </si>
  <si>
    <t xml:space="preserve">Zakaria </t>
  </si>
  <si>
    <t xml:space="preserve">Baik </t>
  </si>
  <si>
    <t>Lanjutkan ,bagus</t>
  </si>
  <si>
    <t>Muhammad Zainul</t>
  </si>
  <si>
    <t>UNGARAN</t>
  </si>
  <si>
    <t>sudah cukup bagus, tinggal design atau tampilan dibuat lebih soft / tidak kaku</t>
  </si>
  <si>
    <t>cukup</t>
  </si>
  <si>
    <t>design / tampilan dibuat agar tidak kaku</t>
  </si>
  <si>
    <t>Setya adde christiyanto</t>
  </si>
  <si>
    <t>Ungaran</t>
  </si>
  <si>
    <t>Kurang ringkas tata letaknya dan harus mencari</t>
  </si>
  <si>
    <t>Dibuat lebih user friendly lagi dan kemungkinan bisa simpan data database pelanggan</t>
  </si>
  <si>
    <t>Gilang sukma prastya jati</t>
  </si>
  <si>
    <t>ungaran</t>
  </si>
  <si>
    <t>tidak ad</t>
  </si>
  <si>
    <t xml:space="preserve">tidak ada </t>
  </si>
  <si>
    <t>Fariz iman teguh rahardjo</t>
  </si>
  <si>
    <t>Trenggalek</t>
  </si>
  <si>
    <t>Lebih elegan dan simple</t>
  </si>
  <si>
    <t>Memaksimalkan jobdisk sesuai handbook</t>
  </si>
  <si>
    <t>wahyu prasetyo wibowo</t>
  </si>
  <si>
    <t>ponorogo</t>
  </si>
  <si>
    <t>sistem masih lambat, jika buka dengan hp sering ketutup perintah lain</t>
  </si>
  <si>
    <t>sudah</t>
  </si>
  <si>
    <t>KURNILA INUNG SAFITRI AL KHOIR</t>
  </si>
  <si>
    <t>lebih di jabarkan lagi jobdesknya</t>
  </si>
  <si>
    <t>BAGOSA MAYRENO PUTRA</t>
  </si>
  <si>
    <t>NGAWI</t>
  </si>
  <si>
    <t>Wildan Mawardi</t>
  </si>
  <si>
    <t>No comment</t>
  </si>
  <si>
    <t>Tidak aada</t>
  </si>
  <si>
    <t>Riza saikholis lami</t>
  </si>
  <si>
    <t>Bojonegoro</t>
  </si>
  <si>
    <t xml:space="preserve">Website sudah bagus </t>
  </si>
  <si>
    <t>Agar di tingkatkan lagi website terkadang masih lemot ke tika di akses banyak user</t>
  </si>
  <si>
    <t>muhamad alfaian jauhari</t>
  </si>
  <si>
    <t>semua sudah tercakup dalam handbook</t>
  </si>
  <si>
    <t>untuk tampilan bisa lebih simple</t>
  </si>
  <si>
    <t>Rizki Wakid Khasbulloh</t>
  </si>
  <si>
    <t>Tulungagung</t>
  </si>
  <si>
    <t>Tambahkan menu seluruh cabang, termasuk kinerja kantor pusat</t>
  </si>
  <si>
    <t>Choirul Andhi</t>
  </si>
  <si>
    <t>masih agak lemot ketika buka website</t>
  </si>
  <si>
    <t>Sdh cukup</t>
  </si>
  <si>
    <t>tdk ada</t>
  </si>
  <si>
    <t>Sulih</t>
  </si>
  <si>
    <t>00845</t>
  </si>
  <si>
    <t>KEDIRi</t>
  </si>
  <si>
    <t>Dimas prasetyawan</t>
  </si>
  <si>
    <t>BONDOWOSO</t>
  </si>
  <si>
    <t>Sudah cukup bagus .</t>
  </si>
  <si>
    <t>Mekanisme pelanggan yang masuk tempo .. seperti pengajuan overdue dan restruk</t>
  </si>
  <si>
    <t>Ayu Iwantari</t>
  </si>
  <si>
    <t>Magetan</t>
  </si>
  <si>
    <t>Dibuat lbh menarik lagi agar org suka berkunjung ke webnya</t>
  </si>
  <si>
    <t>Terkait manajemen pengiriman manual</t>
  </si>
  <si>
    <t>Semoga lbh banyak panduannya dan bisa jdi web perusahaan dan karyawan</t>
  </si>
  <si>
    <t>Mochammad Zainuddin Mustofa</t>
  </si>
  <si>
    <t>JOMBANG</t>
  </si>
  <si>
    <t>Ditingkatkan</t>
  </si>
  <si>
    <t xml:space="preserve">Dadang ane erlanda </t>
  </si>
  <si>
    <t>Bondowoso</t>
  </si>
  <si>
    <t>Sudah cukup dan mudah di baca</t>
  </si>
  <si>
    <t xml:space="preserve">Ario Dewanto </t>
  </si>
  <si>
    <t>Sudah Bagus tapi lebih disempurnakan untuk tampilannya agar lebih bagus</t>
  </si>
  <si>
    <t>Tampilannya agar lebih bagus</t>
  </si>
  <si>
    <t>Ainul Yaqin</t>
  </si>
  <si>
    <t>Cukup bagus karena mudah diakses dan dipahami</t>
  </si>
  <si>
    <t>Baiknya didalam handbook dilampirkan sanksi atas pelanggaran SOP karena masih terjadi pembayaran pelanggan ke rekening pribadi pegawai</t>
  </si>
  <si>
    <t>Ditambahkan yang merupakan larangan dari SOP sehingga buat reminder tim cabang</t>
  </si>
  <si>
    <t>M NURI MIROBBI</t>
  </si>
  <si>
    <t>untuk prosedur pengajuan yg berhububgan langsung dg keputusan pasar harus fast respon</t>
  </si>
  <si>
    <t>tidak ada, sudah cukup</t>
  </si>
  <si>
    <t>lebih update dan berinovasi dg kemajuan/moderenisasi</t>
  </si>
  <si>
    <t>Edi purwanto</t>
  </si>
  <si>
    <t>00910</t>
  </si>
  <si>
    <t>Sudah semua</t>
  </si>
  <si>
    <t>ILHAM BAGUS ARDIONO</t>
  </si>
  <si>
    <t xml:space="preserve">TAMPILAN SUDAH BAGUS DAN MUDAH DIPAHAMI </t>
  </si>
  <si>
    <t xml:space="preserve">SUDAH BANYAK MENCAKUP SEMUA SOP OPERASIONAL CABANG </t>
  </si>
  <si>
    <t xml:space="preserve">SELALU UPTODATE UNTUK INFORMASI TERBARU </t>
  </si>
  <si>
    <t>agus supriyanto</t>
  </si>
  <si>
    <t>02276</t>
  </si>
  <si>
    <t>Banjarnegara</t>
  </si>
  <si>
    <t>beberapa tampilan begroudd tulisan bikin mata jenuh, tulisan abu2 membuat mata bekerja extra</t>
  </si>
  <si>
    <t>AHYARROSIDI</t>
  </si>
  <si>
    <t>Lombok</t>
  </si>
  <si>
    <t>NUR HUDA</t>
  </si>
  <si>
    <t>Untuk tampilan dan aksesibilitas website sudah cukup bagus, menarik dan mudah dipahami</t>
  </si>
  <si>
    <t>Tidak ada (Sudah mencakup semuanya)</t>
  </si>
  <si>
    <t>Ke depannya lebih dikembangkan lagi terkait tampilan websitenya agar lebih menarik untuk membacanya</t>
  </si>
  <si>
    <t>Indra Jaya Satria</t>
  </si>
  <si>
    <t>Balikpapan</t>
  </si>
  <si>
    <t>sudah cukup dan mudah dimengerti</t>
  </si>
  <si>
    <t>Mungkin UI nya bisa di update lagi agar lebih kekinian dan lebih estetik</t>
  </si>
  <si>
    <t>Azhar Hawari</t>
  </si>
  <si>
    <t>Untuk cro Belum ada sop Toko baru harus cash dulu dan limit jangan diberikan semua</t>
  </si>
  <si>
    <t>Untuk handbook Cro Kalo bisa ada tambahan cara mengatasi penolakan, tips kunjungan agar bisa lebih dekat dengan pelanggan, teknik negosiasi dan closing</t>
  </si>
  <si>
    <t>Alief Raynaldi Muttaqin</t>
  </si>
  <si>
    <t>Sudah cukup bagus dan simple</t>
  </si>
  <si>
    <t>Tingkatkan efektivitasnya</t>
  </si>
  <si>
    <t>BAYU FITRANGGONO</t>
  </si>
  <si>
    <t>Robin kemal idris</t>
  </si>
  <si>
    <t>[ ] Aktivitas Mingguan, [ ] Overview Cabang / Prinsip Kerja</t>
  </si>
  <si>
    <t>Sudah lengkap semua</t>
  </si>
  <si>
    <t>Untuk sementara belum ada saran</t>
  </si>
  <si>
    <t>RAHMANULLAH</t>
  </si>
  <si>
    <t>Slide untuk uraian jobdesk masih terlalu baku, tidak ada timeline dalam pengerjaannya</t>
  </si>
  <si>
    <t>pengajuan split pelanggan harusnya melalui BAO</t>
  </si>
  <si>
    <t>review atas jobdesk harian</t>
  </si>
  <si>
    <t>TRI BEKTI KI UTOMO</t>
  </si>
  <si>
    <t>NOTHING</t>
  </si>
  <si>
    <t>SUMADANU BUDI TARUNA</t>
  </si>
  <si>
    <t>SUDAH BAIK</t>
  </si>
  <si>
    <t>Khaeril Wahyu Perdana</t>
  </si>
  <si>
    <t>Sudah baik dan mudah diakses</t>
  </si>
  <si>
    <t>Sejauh yg sudah dicek sudah mencakuo semua</t>
  </si>
  <si>
    <t>MUHAMMAD NAJIB HASBI</t>
  </si>
  <si>
    <t>CIREBON</t>
  </si>
  <si>
    <t>mungkin handbook ini bisa dimasukan kedalam SACS, sehingga terintegrasi menjadi 1 sistem di SACS</t>
  </si>
  <si>
    <t>sudah cukup lengkap, akan tetapi saran handbook ini bisa di masukan ke dalam SACS, agar tidak keselip link nya</t>
  </si>
  <si>
    <t>saran handbook ini bisa di masukan ke dalam SACS, agar tidak keselip link nya</t>
  </si>
  <si>
    <t>riansyah</t>
  </si>
  <si>
    <t>bagus</t>
  </si>
  <si>
    <t>sangat bagus</t>
  </si>
  <si>
    <t>Reynaldi Tegar Trisakti</t>
  </si>
  <si>
    <t>Bisa ditampilkan detail program, monitoring target program non semen untuk pelanggan, googleform untuk penambahan pelanggan baru.</t>
  </si>
  <si>
    <t>Sudah saya ketik diatas tadi.</t>
  </si>
  <si>
    <t>Leksono Desi artanto</t>
  </si>
  <si>
    <t>Sila Krisna Syahputra</t>
  </si>
  <si>
    <t>Asa Prasetya</t>
  </si>
  <si>
    <t>Jombang</t>
  </si>
  <si>
    <t>Mungkin bisa dioptimalkan ke tampilan mobile supaya lebih nyaman saat dipakai dilapangan</t>
  </si>
  <si>
    <t>Sudah mencakup secara keseluruhan</t>
  </si>
  <si>
    <t>Tolong bisa lebih disederhanakan lagi instruksinya dan kasih tampilan search supata teman² lebih mudah mencari materi apa yg dibutuhkan.</t>
  </si>
  <si>
    <t>TRIYANTO</t>
  </si>
  <si>
    <t>REVALDO AKBAR AUDITA</t>
  </si>
  <si>
    <t>Lebih user friendly lagi, karena masih banyak bug, terutama saat mode desktop pd handphone</t>
  </si>
  <si>
    <t>Lebih user frindly lagi untuk dan tampilan atau menu lebih sederhana, namun mencakup banyak materi</t>
  </si>
  <si>
    <t>M. ASHIF UBAIDILLAH AL KAHFI</t>
  </si>
  <si>
    <t>TUBAN</t>
  </si>
  <si>
    <t>Untuk gambar mungkin bisa diganti dengan gambar karyawan SID agar lebih tampak nyata. Ada beberapa typo di web misalnya: BAB IX - Mengajukan Draping Kas Operasional Jika Saldo Mencapai Limit 40% dari D Plafon Kas Operasional</t>
  </si>
  <si>
    <t>Saya belum membaca secara keseluruhan, nanti kl ada yg kurang akan saya tambahkan</t>
  </si>
  <si>
    <t>Mungkin dibagian home page ada bagian kritik dan saran, jadi apabila ada uneg-uneg dari teman-teman bisa di sampaikan</t>
  </si>
  <si>
    <t>Dedi Putra Himawan</t>
  </si>
  <si>
    <t>Muhammad ainur rofiq</t>
  </si>
  <si>
    <t>Palur</t>
  </si>
  <si>
    <t>Sudah cukup mudah di pahami</t>
  </si>
  <si>
    <t>Mungkin lebih di optimalkan lagi untuk semua device</t>
  </si>
  <si>
    <t>Hanif Buntoro</t>
  </si>
  <si>
    <t>Sukoharjo</t>
  </si>
  <si>
    <t>Sudah baik, mudah dipahami.</t>
  </si>
  <si>
    <t>Sudah lengkap.</t>
  </si>
  <si>
    <t>Sudah baik, mohon di update jika nantinya ada perubahan dan perkembangan.</t>
  </si>
  <si>
    <t>Hasan</t>
  </si>
  <si>
    <t>Purwokerto</t>
  </si>
  <si>
    <t>None</t>
  </si>
  <si>
    <t>Hari suhardo</t>
  </si>
  <si>
    <t>ADITYA DARMAWAN CIPTADI</t>
  </si>
  <si>
    <t>SUKOHARJO</t>
  </si>
  <si>
    <t>visual kurang menarik</t>
  </si>
  <si>
    <t>Berdasarkan SOP yg tertulis cetak SPJ dilakukan oleh BAO, hal ini sudah sering dilakukan oleh POA mungkin hampir di setiap cabang yg memiliki POA jika memang akses tersebut diperbolehkan untuk POA mohon untuk ditambahkan di SOP supaya apa yg sudah dikerjakan selama ini tidak melnggar SOP</t>
  </si>
  <si>
    <t>Masih banyak yg salah tulis (typo) semoga bisa di perbaiki</t>
  </si>
  <si>
    <t>Rois ahmadi</t>
  </si>
  <si>
    <t>Perlu ditingkatkan lagi</t>
  </si>
  <si>
    <t>Mungkin bisa ditambah menu sharing untuk problem solving yang terjadi di kantor cabang</t>
  </si>
  <si>
    <t>Vindra Karisma</t>
  </si>
  <si>
    <t>Tampilan jendela layar mudah dipahami tapi desain monoton</t>
  </si>
  <si>
    <t>Sudah mencakupi</t>
  </si>
  <si>
    <t>Oky dwi s</t>
  </si>
  <si>
    <t>So far its ok</t>
  </si>
  <si>
    <t>Sudah mencakup semua</t>
  </si>
  <si>
    <t>Kembangkan terus inovasi</t>
  </si>
  <si>
    <t>Achmad Ircham N</t>
  </si>
  <si>
    <t>Cukup memuaskan</t>
  </si>
  <si>
    <t>Jauhar Asaqofi Hikmatiar</t>
  </si>
  <si>
    <t>PALUR</t>
  </si>
  <si>
    <t>Adham Rizky Pratama</t>
  </si>
  <si>
    <t>Menarik dan simple</t>
  </si>
  <si>
    <t>ALFIAN SAIFUDDIN MAHMUD</t>
  </si>
  <si>
    <t>PURWOREJO</t>
  </si>
  <si>
    <t>web sudah bagus, Memberi panduan tanggung jawab pekerjaan masing masing</t>
  </si>
  <si>
    <t>sudah tercakup di cabang</t>
  </si>
  <si>
    <t>sementara tidak ada saran, wabsite sudah sangat membantu sesuai pekerjaan masing masing</t>
  </si>
  <si>
    <t>Desmon simatupang</t>
  </si>
  <si>
    <t>Menjadi lebih saja</t>
  </si>
  <si>
    <t>DONI MARTHANIA</t>
  </si>
  <si>
    <t>Golomantung</t>
  </si>
  <si>
    <t>Untuk penambahan menu pencapaian penjualan per pelanggan agar ditampilkan per bulan agar kita lebih mudah mengetahui mana pelanggan prospek dari bulan ke bulan</t>
  </si>
  <si>
    <t>Untuk SOP sudah cukup jelas tinggal pengaplikasian dilapangan yang perlu dijalankan untuk memperjelas standart atau langkah apa yg harus dijalankan agar sinkron dengan harapan perusahaan dan harapan pelanggan</t>
  </si>
  <si>
    <t>Terkait produk yang harus dipenuhi di cabang harus disesuaikan dengan kondisi pasar tiap daerah karena tiap daerah mempunyai kebutuhan produk yang berbeda</t>
  </si>
  <si>
    <t>Sidayu</t>
  </si>
  <si>
    <t>Harmoyo wdhi utomo</t>
  </si>
  <si>
    <t>Tingkakan ters kecepatannya sehingga akan mempermudah akses dilapangan</t>
  </si>
  <si>
    <t>Tifak ada</t>
  </si>
  <si>
    <t>NUR AMRI YUSUF BAHANDI</t>
  </si>
  <si>
    <t>SIDAYU</t>
  </si>
  <si>
    <t>Cukup tercakup semua</t>
  </si>
  <si>
    <t>Yang terbaik demi kemajuan perusahaan. Zaman serba digital dituntut untuk selalu update sistem dan digitalisasi program. Mulai dari skala pusat hingga ke seluruh cabang SID.</t>
  </si>
  <si>
    <t>Eko Zudi Novida</t>
  </si>
  <si>
    <t>MagetaN</t>
  </si>
  <si>
    <t>Kurniawan jaka putra</t>
  </si>
  <si>
    <t>PUGUH UDIARTA</t>
  </si>
  <si>
    <t>Jaringan untuk akses SAP diperbaiki lagi agar dalam login SAP bisa lebih cepat</t>
  </si>
  <si>
    <t>percepatan jaringan untuk akses SAP</t>
  </si>
  <si>
    <t>DIMAS SATRIA JAYA NUGRAHA</t>
  </si>
  <si>
    <t>dhamas alifan</t>
  </si>
  <si>
    <t>cilacap</t>
  </si>
  <si>
    <t>pembuatan menu popup untuk mempersimple tampilan dan penambahan warna sesuai visi misi perusahaan</t>
  </si>
  <si>
    <t>SOP checker dan yang berkaitan dengan pergudangan maupun logistik</t>
  </si>
  <si>
    <t>penambahan kolom komentar</t>
  </si>
  <si>
    <t>Nova Putra Yuliansyah</t>
  </si>
  <si>
    <t>Nihil</t>
  </si>
  <si>
    <t>Aditya wahyu</t>
  </si>
  <si>
    <t>Ngawi</t>
  </si>
  <si>
    <t>Lebih di buat smooth</t>
  </si>
  <si>
    <t>Agar di buat lebih simpel dan tidak gampang error</t>
  </si>
  <si>
    <t>ANNAS KAUTSAR</t>
  </si>
  <si>
    <t>PERLU DI TINGKATKAN</t>
  </si>
  <si>
    <t>Mochammad David Ananta</t>
  </si>
  <si>
    <t>Magelang</t>
  </si>
  <si>
    <t>Baik</t>
  </si>
  <si>
    <t>Dendi Vio</t>
  </si>
  <si>
    <t>Madiun</t>
  </si>
  <si>
    <t>--</t>
  </si>
  <si>
    <t>DEDY PURNOMO</t>
  </si>
  <si>
    <t>Joko sutrisno</t>
  </si>
  <si>
    <t>Lamongan</t>
  </si>
  <si>
    <t>Penambahan produk yg di jual</t>
  </si>
  <si>
    <t>Jenis pelanggaran dan sanksi</t>
  </si>
  <si>
    <t>Penambahan pencapaian prestasi yg di peroleh baik perusahaan agau personal cabang</t>
  </si>
  <si>
    <t>Wahyu Candra Romadon</t>
  </si>
  <si>
    <t>cukup baik</t>
  </si>
  <si>
    <t>sudah ada semua</t>
  </si>
  <si>
    <t>Agus triyono aji</t>
  </si>
  <si>
    <t>banjarnegara</t>
  </si>
  <si>
    <t>HENDRA MELANDI</t>
  </si>
  <si>
    <t>Untuk tampilan bisa lebih ditingkatkan dalam segi tampilan agar lebih menarik.</t>
  </si>
  <si>
    <t>Sejauh ini sudah cukup lengkap.</t>
  </si>
  <si>
    <t>Mungkin bisa di tambahkan t code t code SAP yang berhubungan dengan kegiatan BAO . T code dan fungsi nya.</t>
  </si>
  <si>
    <t>Hendy Fahmi Hidayat</t>
  </si>
  <si>
    <t>Mungkin bisa dibuat lebih praktis lagi tidak perlu scroll kebawah terlalu panjang tiap page.</t>
  </si>
  <si>
    <t>secara garis besar cukup</t>
  </si>
  <si>
    <t>Sementara Cukup. Bisa diupdate sedikit demi sedikit.</t>
  </si>
  <si>
    <t>AZIZ IRAWAN</t>
  </si>
  <si>
    <t>MAGELANG</t>
  </si>
  <si>
    <t>MONITORING KPI BULANAN ( BM, CRO/TSC, BAO )</t>
  </si>
  <si>
    <t>RIZKY HARDI</t>
  </si>
  <si>
    <t>TAMPILAN WEBSITE MASIH KURANG MENARIK MOHON DIUPDATE TAMPILAN YANG LEBIH MENARIK DAN BISA DI AKSES DI SMARTPHONE</t>
  </si>
  <si>
    <t>DI TAMPILAN OVERVIEW SAYA RASA PERLU DI REVISI AGAR TIDAK LOADING LAMA</t>
  </si>
  <si>
    <t>SEMOGA KEDEPAN JAUH LEBIH BAIK</t>
  </si>
  <si>
    <t>Bella Ferdian</t>
  </si>
  <si>
    <t>ADITYA WAHYU UTOMO</t>
  </si>
  <si>
    <t>di SK terbaru, Melakukan setoran kas penjualan jika sudah mencapai 25juta</t>
  </si>
  <si>
    <t>buatkan versi videonya</t>
  </si>
  <si>
    <t>Subandono</t>
  </si>
  <si>
    <t>Bantul</t>
  </si>
  <si>
    <t>Cukup menarik</t>
  </si>
  <si>
    <t>sudah semua</t>
  </si>
  <si>
    <t>Tidak ada saran</t>
  </si>
  <si>
    <t>Fery</t>
  </si>
  <si>
    <t>Kadang loading lama</t>
  </si>
  <si>
    <t>Johan Ridhwan Perdana</t>
  </si>
  <si>
    <t>sudah baik</t>
  </si>
  <si>
    <t>agar terus update terkait jika ada perbaruan aplikasi, agar kami juga terus bekerja sesuai dengan SOP maupun alur kerja yang baik</t>
  </si>
  <si>
    <t>Ratna Ermasari</t>
  </si>
  <si>
    <t>Ponorogo</t>
  </si>
  <si>
    <t>cukup mudah dibaca</t>
  </si>
  <si>
    <t>Yosa Arta Wicaksana</t>
  </si>
  <si>
    <t>Sejauh ini sudah bagus dan di mengerti</t>
  </si>
  <si>
    <t>DWIKI LUTHFIANTO</t>
  </si>
  <si>
    <t>BOJONEGORO</t>
  </si>
  <si>
    <t>Lebih di tingkatkan agar bisa lebih terarah</t>
  </si>
  <si>
    <t>Lebih di tingkatkan, supaya jadi pedoman dalam bekerja</t>
  </si>
  <si>
    <t>AGUK SUSANTO</t>
  </si>
  <si>
    <t>menu status dalam sacs bisa digeser agak kekiri agar mudah melihatnya, tidak perlu geser scrol atau mengecilkan tampilan</t>
  </si>
  <si>
    <t>mungkin untuk cro bisa ditambah sebera lama kunjungan di toko</t>
  </si>
  <si>
    <t>bisa di berikan menu searching jadi tidak usah mencari tinggal ketik saja</t>
  </si>
  <si>
    <t>Mokhamad hasbi arafat</t>
  </si>
  <si>
    <t>Tulisan terlalu panjang.. Membuat kurang menarik</t>
  </si>
  <si>
    <t>Kinerja BAO</t>
  </si>
  <si>
    <t>FARID FAISAL</t>
  </si>
  <si>
    <t>GOLOMANTUNG</t>
  </si>
  <si>
    <t>Saya buka tampilan di laptop, biar mata nggak terlalu sering lihat hp</t>
  </si>
  <si>
    <t>sudah ada</t>
  </si>
  <si>
    <t>saya perlu menjelajah lagi, terima kasih SID</t>
  </si>
  <si>
    <t>Rudy Agust Purnaman</t>
  </si>
  <si>
    <t>Lebih ditingkatkan lagi untuk tampilannya</t>
  </si>
  <si>
    <t>Lebih mudah diakses dan lebih modern utk tampilannya</t>
  </si>
  <si>
    <t>ADAB MAULANA AHMAD ROSYDA</t>
  </si>
  <si>
    <t>KEDIRI</t>
  </si>
  <si>
    <t>DENGAN ADANYA HANDBOOK INI CUKUP MEMBATU SEKALI DALAN PENYELESAIN PEKERJAAN HARIAN SAYA</t>
  </si>
  <si>
    <t>SUDAH LENGKAP</t>
  </si>
  <si>
    <t>MUNGKIN BISA DITERBITKAN JUGA HANDBOOK UNTUK PROSES PENGERJAAN INTERNAL AUDIT BULANAN KHUSUSNYA UNTUK BAO</t>
  </si>
  <si>
    <t>NANANG TRIWHYUDI</t>
  </si>
  <si>
    <t>Gukup</t>
  </si>
  <si>
    <t>Denny Sanjaya</t>
  </si>
  <si>
    <t>Semua sudah tertuang dalam handbook</t>
  </si>
  <si>
    <t>Semoga tidak terjadi eror kedepannya</t>
  </si>
  <si>
    <t>Heri Tri Susilo AR</t>
  </si>
  <si>
    <t>Sudah keren</t>
  </si>
  <si>
    <t>Tidak ada, sudah berjalan sesuai sop</t>
  </si>
  <si>
    <t>Sudah bagus ,pertahankan</t>
  </si>
  <si>
    <t>KEMAS RIDWAN</t>
  </si>
  <si>
    <t>BANJAR</t>
  </si>
  <si>
    <t>DIKEMBAGKAN LEBIH BAGUS DAN LEBIH MENARIK</t>
  </si>
  <si>
    <t>Arya Mahardika Wibowo</t>
  </si>
  <si>
    <t>Kediri</t>
  </si>
  <si>
    <t>UI kurang jelas dan bisa di per simpel lagi tidak hanya ada text &amp; imahe, tetapi bisa ditambah seperti kolom persegi yang didalamnya berisi text dan image</t>
  </si>
  <si>
    <t>Mungkin bisa ditambahkan terkait dengan SOP terkait retur barang DA</t>
  </si>
  <si>
    <t>Tambahkan flowchart di masing - masing handbook agar lebih informatif dan simpel dalam penyampaian sehingga pembaca juga lebih mudah menangkap</t>
  </si>
  <si>
    <t>Rasyiq Aqila</t>
  </si>
  <si>
    <t>BANTUL</t>
  </si>
  <si>
    <t>mungkin bisa di rangkum agar lebih mudah di mengerti</t>
  </si>
  <si>
    <t>Ahmad mutaqin</t>
  </si>
  <si>
    <t>Sudah baik dan simpel sehingga mudah di pahami</t>
  </si>
  <si>
    <t>Sangat membantu kinerja sesuai jabatan</t>
  </si>
  <si>
    <t>AGUS ALFI ROBIN PRATAMA</t>
  </si>
  <si>
    <t>BOYOLALI</t>
  </si>
  <si>
    <t>sudah cukup bagus</t>
  </si>
  <si>
    <t>IMAM SUBEKTI</t>
  </si>
  <si>
    <t>LAMONGAN</t>
  </si>
  <si>
    <t>Sudah cukup menarik</t>
  </si>
  <si>
    <t>Mungkin dengan berjalannya waktu, barangkali ada perubahan SOP agar di update</t>
  </si>
  <si>
    <t>IDA RACHMAWATI</t>
  </si>
  <si>
    <t>sudah sangat menarik</t>
  </si>
  <si>
    <t>sudah cukup jelas</t>
  </si>
  <si>
    <t>di tambahkan contoh foto pada beberapa aktivitasnya</t>
  </si>
  <si>
    <t>ALFIAN FAUZA S</t>
  </si>
  <si>
    <t>IRWAN DWI SAPUTRA</t>
  </si>
  <si>
    <t>Titok setiyohadi</t>
  </si>
  <si>
    <t>Sukabumi</t>
  </si>
  <si>
    <t>Dodik Setiawan</t>
  </si>
  <si>
    <t>Overall sudah bagus</t>
  </si>
  <si>
    <t>Dadan Hermawan</t>
  </si>
  <si>
    <t>Banjar</t>
  </si>
  <si>
    <t>Achmad sidiq yuniansysh</t>
  </si>
  <si>
    <t>banjar</t>
  </si>
  <si>
    <t>Cahya Saputra</t>
  </si>
  <si>
    <t>Bekasi</t>
  </si>
  <si>
    <t>belum ada</t>
  </si>
  <si>
    <t>Syafioddin</t>
  </si>
  <si>
    <t>Jakarta timur</t>
  </si>
  <si>
    <t>Nothing</t>
  </si>
  <si>
    <t>Selama saya baca masih belum ada</t>
  </si>
  <si>
    <t>RIDWAN DWI KURNIA</t>
  </si>
  <si>
    <t>SUKABUMI</t>
  </si>
  <si>
    <t>sejauh ini masih mudah dipahami</t>
  </si>
  <si>
    <t>Heri Dwi Ari Sandy</t>
  </si>
  <si>
    <t>Mengenai produk knowledge seharusnya cro maupun bm serta atasan yg lain paham betul. Dan dapat dishare bagi yg tidak paham. Bila perlu dibuatkan katalog produk yg dijual SID beserta detail produk nya</t>
  </si>
  <si>
    <t>SERLY DESI RHAHMAWATI</t>
  </si>
  <si>
    <t>MADIUN</t>
  </si>
  <si>
    <t>Doni ari rohmad</t>
  </si>
  <si>
    <t>Overall secara tampilan sudah mudah dibaca dan mudah dimengerti</t>
  </si>
  <si>
    <t>Giri bagus puta stiawan</t>
  </si>
  <si>
    <t>Dadan Ramdani</t>
  </si>
  <si>
    <t>Sukabumi II</t>
  </si>
  <si>
    <t>Cukup dan mudah di pahami</t>
  </si>
  <si>
    <t>FARHAN ARDIANSYACH</t>
  </si>
  <si>
    <t>SUKABUMI II</t>
  </si>
  <si>
    <t>YANA SURYANA</t>
  </si>
  <si>
    <t>Tingkatkan lagi tampilannya yg menarik</t>
  </si>
  <si>
    <t>Tidak ada sudah mencakup semuanya</t>
  </si>
  <si>
    <t>Tingkatkan lagi tampilan yang menarik agar tidak bosan</t>
  </si>
  <si>
    <t>Edi Aminoto</t>
  </si>
  <si>
    <t>Cukup bagus</t>
  </si>
  <si>
    <t>Tidak ada semua sudah tercakup</t>
  </si>
  <si>
    <t>Perlu ditingkatkan lg penampilan handbook nya supaya lebih menarik</t>
  </si>
  <si>
    <t>Saproni</t>
  </si>
  <si>
    <t>Tingkatkan lagi penampilan handbook nya agar menarik</t>
  </si>
  <si>
    <t>Fadli wardana</t>
  </si>
  <si>
    <t>Boyolali</t>
  </si>
  <si>
    <t>Ui /ux yg lebih menarik</t>
  </si>
  <si>
    <t>Deden subakti</t>
  </si>
  <si>
    <t>Wanda gunawan</t>
  </si>
  <si>
    <t>Lebih efektif</t>
  </si>
  <si>
    <t>Lebih teratur</t>
  </si>
  <si>
    <t>Lebih mudah</t>
  </si>
  <si>
    <t>Reza Cesar Tiarso</t>
  </si>
  <si>
    <t>Bagus dan update</t>
  </si>
  <si>
    <t>Baik dan semoga semakin berkembang</t>
  </si>
  <si>
    <t>ACHMAD BACHRI</t>
  </si>
  <si>
    <t>saat akses via hp untuk app btk yang ngeling via brinks loading / delay nya cukup lama (kadang hp'nya error bilang tagihan kembali 8-20 billing , sedangkan 1-5 biliing masih bisa di akses via hp). satu lagi untuk entri cms saat app biaya di 99 op saat klik menu edit tampilan juga butuh waktu / delay antara 1-2 menit</t>
  </si>
  <si>
    <t>masukan : 
1. secara handbook sudah baik akan tetap untuk realisasi di applikasi sacs dan cc saat buka menu loadingnya di perbaiki..
2. Jaringan internet / modem yang di pakai cabang untuk stadarisasi brp mbps
( dikarnakan koneksi internet / wifi di cabang banyak yang join dan apakah juga mempengaruhi di web SACS - CC dan SAP)</t>
  </si>
  <si>
    <t>TONI DWI PRASETYO</t>
  </si>
  <si>
    <t>Sudah tercantum semua</t>
  </si>
  <si>
    <t>Kalau perlu di tambah menu - menu product knowlidge produk produk yang di jual SID untuk refreshing pengetahuan cro</t>
  </si>
  <si>
    <t>Dede Rohendi</t>
  </si>
  <si>
    <t>Dibuat lebih simple, tidak lambat /beda halaman di halaman selengkapnya</t>
  </si>
  <si>
    <t>tata tertib pakaian/</t>
  </si>
  <si>
    <t>Masing" divisi hanya bisa akses ke Handbook divisinya
Semoga terus maju dan makin mempermudah yang awalnya website bisa jadi 1 jendela /di akses di sacs(aplikasi) terima kasihh</t>
  </si>
  <si>
    <t>Febryan Machendra</t>
  </si>
  <si>
    <t>Sudah bagus tata letaknya</t>
  </si>
  <si>
    <t>Sudah sesuai</t>
  </si>
  <si>
    <t>Tambahkan foto per group barang lebih detail</t>
  </si>
  <si>
    <t>Nur Insan Romadhon</t>
  </si>
  <si>
    <t>Perbaiki tampilan dan layouting agar lebih praktis dan tidak monoton</t>
  </si>
  <si>
    <t>Bambang Hariyadi</t>
  </si>
  <si>
    <t xml:space="preserve">Menurut saya sudah baik gampang diakses
</t>
  </si>
  <si>
    <t>Andi Setiawan</t>
  </si>
  <si>
    <t>Pati</t>
  </si>
  <si>
    <t>Mohon lebih ditingkatkan agar performa akses lebih cepat</t>
  </si>
  <si>
    <t>Percepat proses dalam mengakses website</t>
  </si>
  <si>
    <t>HENDRI PRASETYA</t>
  </si>
  <si>
    <t>PATI</t>
  </si>
  <si>
    <t>SOP terkait penanganan SPJ jika dalam keadaan listik padam dan di cabang tidak ada genset. 
Alur pengajuan korin,</t>
  </si>
  <si>
    <t>Handbook untuk cheker, poa, operator, supir, tenaga keamanan</t>
  </si>
  <si>
    <t>VEGA MELANIA FITRA</t>
  </si>
  <si>
    <t>SAMPANG</t>
  </si>
  <si>
    <t>sudah tercakup</t>
  </si>
  <si>
    <t>sudah tercakup semua</t>
  </si>
  <si>
    <t>Rifqi Safa Ardiansyah</t>
  </si>
  <si>
    <t>Bangkalan</t>
  </si>
  <si>
    <t>Sudah bagus dan semoga tidak ada kendala</t>
  </si>
  <si>
    <t>Sementara belum ada</t>
  </si>
  <si>
    <t>ADJI ROZIQI FAJAR</t>
  </si>
  <si>
    <t>SUMENEP</t>
  </si>
  <si>
    <t>Moh Syaiful Anwar</t>
  </si>
  <si>
    <t>Kalau bisa d buat lebih simple dan antispasi ketika berada didaerah. Jarang sinyal</t>
  </si>
  <si>
    <t>,</t>
  </si>
  <si>
    <t>Rama decky Agustyas</t>
  </si>
  <si>
    <t>Sumenep</t>
  </si>
  <si>
    <t>Cukup bagus dan mudah di akses</t>
  </si>
  <si>
    <t>Lengkap</t>
  </si>
  <si>
    <t>Nurizul fadli</t>
  </si>
  <si>
    <t>Sudah bagus Simple mudah di akses...</t>
  </si>
  <si>
    <t>Diperbaharui dan di tambah sampai veberapa waktu untuk lebih menambah wawasan</t>
  </si>
  <si>
    <t>ALVIN RIAWAN</t>
  </si>
  <si>
    <t>PAMEKASAN</t>
  </si>
  <si>
    <t>MUNGKIN AKAN LEBIH MUDAH KALAU BENTUK APLIKASI, KARENA KALAU WEBSITE DIKHATIRKAN HILANG LINK NYA</t>
  </si>
  <si>
    <t>SUDAH TERCAKUP</t>
  </si>
  <si>
    <t>SELAIN WEBSITE BISA BERBENTUK APLIKASI HANDBOOK</t>
  </si>
  <si>
    <t>Rendra saputra</t>
  </si>
  <si>
    <t>Mohon dikasih faq untuk tanya jawab</t>
  </si>
  <si>
    <t>Dilakukan quiz sebulan sekali untuk mengingatkan tentang sop maupun tupoksi</t>
  </si>
  <si>
    <t>Susetyo fathoni</t>
  </si>
  <si>
    <t>Tuban</t>
  </si>
  <si>
    <t>Tidak sudah cukup baik</t>
  </si>
  <si>
    <t>Ahmad Fadholi</t>
  </si>
  <si>
    <t>Seacara overall tampilan mudah di paham, dan ini interpretasi dari jobdesk harian yang sudah di print dan di tempelkan pada masing kantor cabang, sop hal 5 &amp; 6 saran kami di sandingkan dengan hal 2</t>
  </si>
  <si>
    <t>sebelumnya mau tanya untuk hand book ini apakah bisa di samakan dengan SOP perusahaan?? yang di jabarkan pada handbook lebih pada aktifitas harian, dari pagi hari sampaik sore hari, untuk yang hand book mingguan dan bulanan menurut kami belum di detailkan , ini berdasarkan pada jobdesk BM yang sudah tertulis pada banner / pamplet</t>
  </si>
  <si>
    <t>pada hand book bisa di tambahkan struktur Navigasi pintar dan pencairan</t>
  </si>
  <si>
    <t>Rezal Ganda Saputra</t>
  </si>
  <si>
    <t>Sudah c</t>
  </si>
  <si>
    <t>Muhammad Alfian Nur Ilahi</t>
  </si>
  <si>
    <t>Sudah tercakup semua</t>
  </si>
  <si>
    <t>Sudah cukup semua. Handbook sangat membantu</t>
  </si>
  <si>
    <t>Feby dharmawan</t>
  </si>
  <si>
    <t>boyolali</t>
  </si>
  <si>
    <t>Masih cukup</t>
  </si>
  <si>
    <t>Rivaldi Kurniawan</t>
  </si>
  <si>
    <t>Sampang</t>
  </si>
  <si>
    <t>Mungkin ada sosialisasi secara vcon seperti yang di lakukan K3</t>
  </si>
  <si>
    <t>Bimbi purba</t>
  </si>
  <si>
    <t>Bagus dan simple</t>
  </si>
  <si>
    <t>Saran tidak mudah eror dijam kerja</t>
  </si>
  <si>
    <t>Sigit Minggiawan</t>
  </si>
  <si>
    <t>Blm ada</t>
  </si>
  <si>
    <t>Sdh bagus</t>
  </si>
  <si>
    <t>Akhmad dhorif ammar</t>
  </si>
  <si>
    <t>handy lak setyo</t>
  </si>
  <si>
    <t>WILAYAH</t>
  </si>
  <si>
    <t>GUDANG</t>
  </si>
  <si>
    <t>Jumlah Pegawai</t>
  </si>
  <si>
    <t>Pegawai mengisi survey</t>
  </si>
  <si>
    <t>Keterangana</t>
  </si>
  <si>
    <t>Jumlah mengisi survey</t>
  </si>
  <si>
    <t>Lainnya</t>
  </si>
  <si>
    <t>PURWAKARTA</t>
  </si>
  <si>
    <t>PANGANDARAN</t>
  </si>
  <si>
    <t>BANDUNG</t>
  </si>
  <si>
    <t>INDRAMAYU</t>
  </si>
  <si>
    <t>KARAWANG</t>
  </si>
  <si>
    <t>MAJALENGKA</t>
  </si>
  <si>
    <t>PADALARANG</t>
  </si>
  <si>
    <t>TASIKMALAYA</t>
  </si>
  <si>
    <t>BEKASI</t>
  </si>
  <si>
    <t>GUNUNG SINDUR</t>
  </si>
  <si>
    <t>JAKARTA BARAT</t>
  </si>
  <si>
    <t>JAKARTA TIMUR</t>
  </si>
  <si>
    <t>TANGERANG</t>
  </si>
  <si>
    <t>DEMAK</t>
  </si>
  <si>
    <t>JEPARA</t>
  </si>
  <si>
    <t>KENDAL</t>
  </si>
  <si>
    <t>PEKALONGAN</t>
  </si>
  <si>
    <t>PURWODADI</t>
  </si>
  <si>
    <t>REMBANG</t>
  </si>
  <si>
    <t>TEGAL</t>
  </si>
  <si>
    <t>BANJARNEGARA</t>
  </si>
  <si>
    <t>CILACAP</t>
  </si>
  <si>
    <t>KEBUMEN</t>
  </si>
  <si>
    <t>PURWOKERTO</t>
  </si>
  <si>
    <t>MOJOKERTO</t>
  </si>
  <si>
    <t>SIDOARJO</t>
  </si>
  <si>
    <t>LEGUNDI</t>
  </si>
  <si>
    <t>SURABAYA</t>
  </si>
  <si>
    <t>PARE KEDIRI</t>
  </si>
  <si>
    <t>PASURUAN</t>
  </si>
  <si>
    <t>NGANJUK</t>
  </si>
  <si>
    <t>PONOROGO</t>
  </si>
  <si>
    <t>TRENGGALEK</t>
  </si>
  <si>
    <t>TULUNGAGUNG</t>
  </si>
  <si>
    <t>ROGOJAMPI BANYUWANGI</t>
  </si>
  <si>
    <t>BLITAR</t>
  </si>
  <si>
    <t>JEMBER</t>
  </si>
  <si>
    <t>LUMAJANG</t>
  </si>
  <si>
    <t>MALANG I</t>
  </si>
  <si>
    <t>PROBOLINGGO</t>
  </si>
  <si>
    <t>MALANG II</t>
  </si>
  <si>
    <t>SITUBONDO</t>
  </si>
  <si>
    <t>BANGKALAN</t>
  </si>
  <si>
    <t>BALIKPAPAN</t>
  </si>
  <si>
    <t>JEMBRANA</t>
  </si>
  <si>
    <t>TABANAN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</si>
</sst>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yyyy"/>
    <numFmt numFmtId="165" formatCode="m/d/yyyy\ h:mm:ss"/>
  </numFmts>
  <fonts count="18">
    <font>
      <sz val="10"/>
      <color rgb="FF000000"/>
      <name val="Arial"/>
      <charset val="1"/>
    </font>
    <font>
      <sz val="8"/>
      <color rgb="FF000000"/>
      <name val="Arial"/>
      <family val="2"/>
      <charset val="1"/>
    </font>
    <font>
      <b/>
      <sz val="12"/>
      <name val="Calibri"/>
      <family val="2"/>
      <charset val="1"/>
    </font>
    <font>
      <sz val="8"/>
      <name val="Calibri"/>
      <family val="2"/>
      <charset val="1"/>
    </font>
    <font>
      <b/>
      <sz val="8"/>
      <name val="Calibri"/>
      <family val="2"/>
      <charset val="1"/>
    </font>
    <font>
      <i/>
      <sz val="8"/>
      <name val="Calibri"/>
      <family val="2"/>
      <charset val="1"/>
    </font>
    <font>
      <sz val="8"/>
      <color rgb="FF000000"/>
      <name val="Calibri"/>
      <family val="2"/>
      <charset val="1"/>
    </font>
    <font>
      <b/>
      <sz val="9"/>
      <color rgb="FFFF0000"/>
      <name val="Calibri"/>
      <family val="2"/>
      <charset val="1"/>
    </font>
    <font>
      <b/>
      <i/>
      <sz val="9"/>
      <color rgb="FFFF0000"/>
      <name val="Calibri"/>
      <family val="2"/>
      <charset val="1"/>
    </font>
    <font>
      <sz val="8"/>
      <color theme="1"/>
      <name val="Calibri"/>
      <family val="2"/>
      <charset val="1"/>
    </font>
    <font>
      <sz val="8"/>
      <color rgb="FF434343"/>
      <name val="Calibri"/>
      <family val="2"/>
      <charset val="1"/>
    </font>
    <font>
      <b/>
      <sz val="8"/>
      <color rgb="FFFFFFFF"/>
      <name val="Calibri"/>
      <family val="2"/>
      <charset val="1"/>
    </font>
    <font>
      <b/>
      <sz val="8"/>
      <color rgb="FF000000"/>
      <name val="Calibri"/>
      <family val="2"/>
      <charset val="1"/>
    </font>
    <font>
      <sz val="8"/>
      <color theme="1"/>
      <name val="Arial"/>
      <family val="2"/>
      <charset val="1"/>
    </font>
    <font>
      <b/>
      <i/>
      <sz val="8"/>
      <color rgb="FFFF0000"/>
      <name val="Calibri"/>
      <family val="2"/>
      <charset val="1"/>
    </font>
    <font>
      <b/>
      <u/>
      <sz val="8"/>
      <color rgb="FF000000"/>
      <name val="Calibri"/>
      <family val="2"/>
      <charset val="1"/>
    </font>
    <font>
      <sz val="8"/>
      <color rgb="FF434343"/>
      <name val="Roboto"/>
      <charset val="1"/>
    </font>
    <font>
      <sz val="10"/>
      <color rgb="FF000000"/>
      <name val="Arial"/>
      <family val="2"/>
    </font>
  </fonts>
  <fills count="8">
    <fill>
      <patternFill patternType="none"/>
    </fill>
    <fill>
      <patternFill patternType="gray125"/>
    </fill>
    <fill>
      <patternFill patternType="solid">
        <fgColor theme="0"/>
        <bgColor rgb="FFFFF2CC"/>
      </patternFill>
    </fill>
    <fill>
      <patternFill patternType="solid">
        <fgColor rgb="FFFFC000"/>
        <bgColor rgb="FFFF9900"/>
      </patternFill>
    </fill>
    <fill>
      <patternFill patternType="solid">
        <fgColor rgb="FFFFF2CC"/>
        <bgColor rgb="FFFCE5CD"/>
      </patternFill>
    </fill>
    <fill>
      <patternFill patternType="solid">
        <fgColor rgb="FFC6E0B4"/>
        <bgColor rgb="FFD9D9D9"/>
      </patternFill>
    </fill>
    <fill>
      <patternFill patternType="solid">
        <fgColor rgb="FFED7D31"/>
        <bgColor rgb="FFFF8080"/>
      </patternFill>
    </fill>
    <fill>
      <patternFill patternType="solid">
        <fgColor rgb="FFFF9900"/>
        <bgColor rgb="FFED7D31"/>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style="thin">
        <color rgb="FFFFFFFF"/>
      </left>
      <right style="thin">
        <color rgb="FFFFFFFF"/>
      </right>
      <top style="thin">
        <color rgb="FFFFFFFF"/>
      </top>
      <bottom style="thin">
        <color rgb="FF442F65"/>
      </bottom>
      <diagonal/>
    </border>
  </borders>
  <cellStyleXfs count="2">
    <xf numFmtId="0" fontId="0" fillId="0" borderId="0"/>
    <xf numFmtId="9" fontId="17" fillId="0" borderId="0"/>
  </cellStyleXfs>
  <cellXfs count="92">
    <xf numFmtId="0" fontId="0" fillId="0" borderId="0" xfId="0"/>
    <xf numFmtId="0" fontId="12" fillId="2" borderId="0"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4" fillId="4" borderId="1" xfId="0" applyFont="1" applyFill="1" applyBorder="1"/>
    <xf numFmtId="0" fontId="4" fillId="3" borderId="1" xfId="0" applyFont="1" applyFill="1" applyBorder="1" applyAlignment="1">
      <alignment horizontal="center" vertical="center" wrapText="1"/>
    </xf>
    <xf numFmtId="0" fontId="1" fillId="0" borderId="0" xfId="0" applyFont="1"/>
    <xf numFmtId="0" fontId="1" fillId="2" borderId="0" xfId="0" applyFont="1" applyFill="1"/>
    <xf numFmtId="0" fontId="2" fillId="0" borderId="0" xfId="0" applyFont="1"/>
    <xf numFmtId="0" fontId="3" fillId="0" borderId="0" xfId="0" applyFont="1"/>
    <xf numFmtId="164" fontId="3" fillId="0" borderId="0" xfId="0" applyNumberFormat="1" applyFont="1" applyAlignment="1">
      <alignment horizontal="left"/>
    </xf>
    <xf numFmtId="0" fontId="4" fillId="3" borderId="1" xfId="0" applyFont="1" applyFill="1" applyBorder="1" applyAlignment="1">
      <alignment horizontal="center" vertical="center" wrapText="1"/>
    </xf>
    <xf numFmtId="0" fontId="4" fillId="4" borderId="1" xfId="0" applyFont="1" applyFill="1" applyBorder="1"/>
    <xf numFmtId="0" fontId="4" fillId="0" borderId="0" xfId="0" applyFont="1"/>
    <xf numFmtId="0" fontId="3" fillId="0" borderId="1" xfId="0" applyFont="1" applyBorder="1" applyAlignment="1">
      <alignment horizontal="center"/>
    </xf>
    <xf numFmtId="0" fontId="3" fillId="0" borderId="1" xfId="0" applyFont="1" applyBorder="1"/>
    <xf numFmtId="1" fontId="3" fillId="0" borderId="1" xfId="0" applyNumberFormat="1" applyFont="1" applyBorder="1"/>
    <xf numFmtId="9" fontId="3" fillId="0" borderId="1" xfId="0" applyNumberFormat="1" applyFont="1" applyBorder="1"/>
    <xf numFmtId="2" fontId="3" fillId="0" borderId="1" xfId="0" applyNumberFormat="1" applyFont="1" applyBorder="1"/>
    <xf numFmtId="0" fontId="4" fillId="5" borderId="1" xfId="0" applyFont="1" applyFill="1" applyBorder="1" applyAlignment="1">
      <alignment horizontal="center"/>
    </xf>
    <xf numFmtId="0" fontId="4" fillId="5" borderId="1" xfId="0" applyFont="1" applyFill="1" applyBorder="1"/>
    <xf numFmtId="2" fontId="4" fillId="5" borderId="1" xfId="0" applyNumberFormat="1" applyFont="1" applyFill="1" applyBorder="1"/>
    <xf numFmtId="0" fontId="3" fillId="0" borderId="1" xfId="0" applyFont="1" applyBorder="1" applyAlignment="1">
      <alignment horizontal="center" vertical="top"/>
    </xf>
    <xf numFmtId="0" fontId="3" fillId="0" borderId="1" xfId="0" applyFont="1" applyBorder="1" applyAlignment="1">
      <alignment vertical="top" wrapText="1"/>
    </xf>
    <xf numFmtId="1" fontId="3" fillId="0" borderId="1" xfId="0" applyNumberFormat="1" applyFont="1" applyBorder="1" applyAlignment="1">
      <alignment vertical="top"/>
    </xf>
    <xf numFmtId="9" fontId="3" fillId="0" borderId="1" xfId="0" applyNumberFormat="1" applyFont="1" applyBorder="1" applyAlignment="1">
      <alignment vertical="top"/>
    </xf>
    <xf numFmtId="0" fontId="3" fillId="0" borderId="1" xfId="0" applyFont="1" applyBorder="1" applyAlignment="1">
      <alignment horizontal="center" vertical="top"/>
    </xf>
    <xf numFmtId="1" fontId="4" fillId="5" borderId="1" xfId="0" applyNumberFormat="1" applyFont="1" applyFill="1" applyBorder="1"/>
    <xf numFmtId="9" fontId="4" fillId="5" borderId="1" xfId="0" applyNumberFormat="1" applyFont="1" applyFill="1" applyBorder="1"/>
    <xf numFmtId="0" fontId="5" fillId="0" borderId="0" xfId="0" applyFont="1"/>
    <xf numFmtId="9" fontId="3" fillId="0" borderId="1" xfId="0" applyNumberFormat="1" applyFont="1" applyBorder="1" applyAlignment="1">
      <alignment horizontal="center"/>
    </xf>
    <xf numFmtId="2" fontId="3" fillId="0" borderId="1" xfId="0" applyNumberFormat="1" applyFont="1" applyBorder="1" applyAlignment="1">
      <alignment horizontal="center"/>
    </xf>
    <xf numFmtId="9" fontId="4" fillId="5" borderId="1" xfId="0" applyNumberFormat="1" applyFont="1" applyFill="1" applyBorder="1" applyAlignment="1">
      <alignment horizontal="center"/>
    </xf>
    <xf numFmtId="2" fontId="4" fillId="5" borderId="1" xfId="0" applyNumberFormat="1" applyFont="1" applyFill="1" applyBorder="1" applyAlignment="1">
      <alignment horizontal="center"/>
    </xf>
    <xf numFmtId="0" fontId="1" fillId="0" borderId="0" xfId="0" applyFont="1" applyAlignment="1">
      <alignment horizontal="center"/>
    </xf>
    <xf numFmtId="9" fontId="1" fillId="0" borderId="0" xfId="0" applyNumberFormat="1" applyFont="1" applyAlignment="1">
      <alignment horizontal="center"/>
    </xf>
    <xf numFmtId="2" fontId="1" fillId="0" borderId="0" xfId="0" applyNumberFormat="1" applyFont="1" applyAlignment="1">
      <alignment horizontal="center"/>
    </xf>
    <xf numFmtId="0" fontId="4" fillId="3" borderId="1" xfId="0" applyFont="1" applyFill="1" applyBorder="1"/>
    <xf numFmtId="0" fontId="4" fillId="3" borderId="1" xfId="0" applyFont="1" applyFill="1" applyBorder="1" applyAlignment="1">
      <alignment horizontal="center"/>
    </xf>
    <xf numFmtId="9" fontId="4" fillId="3" borderId="1" xfId="0" applyNumberFormat="1" applyFont="1" applyFill="1" applyBorder="1" applyAlignment="1">
      <alignment horizontal="center"/>
    </xf>
    <xf numFmtId="2" fontId="4" fillId="3" borderId="1" xfId="0" applyNumberFormat="1" applyFont="1" applyFill="1" applyBorder="1" applyAlignment="1">
      <alignment horizontal="center"/>
    </xf>
    <xf numFmtId="0" fontId="4" fillId="3" borderId="1" xfId="0" applyFont="1" applyFill="1" applyBorder="1" applyAlignment="1">
      <alignment horizontal="center" vertical="center"/>
    </xf>
    <xf numFmtId="164" fontId="3" fillId="0" borderId="0" xfId="0" applyNumberFormat="1" applyFont="1"/>
    <xf numFmtId="2" fontId="3" fillId="0" borderId="0" xfId="0" applyNumberFormat="1" applyFont="1"/>
    <xf numFmtId="0" fontId="3" fillId="0" borderId="0" xfId="0" applyFont="1" applyAlignment="1">
      <alignment wrapText="1"/>
    </xf>
    <xf numFmtId="0" fontId="6" fillId="0" borderId="0" xfId="0" applyFont="1"/>
    <xf numFmtId="0" fontId="7" fillId="0" borderId="0" xfId="0"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center"/>
    </xf>
    <xf numFmtId="165" fontId="9" fillId="0" borderId="0" xfId="0" applyNumberFormat="1" applyFont="1" applyAlignme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Alignment="1">
      <alignment vertical="center" wrapText="1"/>
    </xf>
    <xf numFmtId="22" fontId="10" fillId="0" borderId="0" xfId="0" applyNumberFormat="1" applyFont="1" applyAlignment="1">
      <alignment horizontal="right" vertical="center"/>
    </xf>
    <xf numFmtId="0" fontId="10" fillId="0" borderId="0" xfId="0" applyFont="1" applyAlignment="1">
      <alignment vertical="center"/>
    </xf>
    <xf numFmtId="0" fontId="10" fillId="0" borderId="0" xfId="0" applyFont="1" applyAlignment="1">
      <alignment horizontal="right" vertical="center"/>
    </xf>
    <xf numFmtId="22" fontId="6" fillId="0" borderId="0" xfId="0" applyNumberFormat="1" applyFont="1"/>
    <xf numFmtId="0" fontId="6" fillId="0" borderId="0" xfId="0" applyFont="1" applyAlignment="1">
      <alignment wrapText="1"/>
    </xf>
    <xf numFmtId="0" fontId="6" fillId="2" borderId="0" xfId="0" applyFont="1" applyFill="1" applyAlignment="1">
      <alignment horizontal="center" vertical="center" wrapText="1"/>
    </xf>
    <xf numFmtId="0" fontId="11" fillId="6" borderId="2"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6" fillId="2" borderId="0" xfId="0" applyFont="1" applyFill="1" applyAlignment="1">
      <alignment vertical="center" wrapText="1"/>
    </xf>
    <xf numFmtId="0" fontId="13" fillId="2" borderId="0" xfId="0" applyFont="1" applyFill="1" applyAlignment="1">
      <alignment vertical="center" wrapText="1"/>
    </xf>
    <xf numFmtId="0" fontId="6" fillId="0" borderId="4" xfId="0" applyFont="1" applyBorder="1" applyAlignment="1">
      <alignment horizontal="center" vertical="center" wrapText="1"/>
    </xf>
    <xf numFmtId="0" fontId="9"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9" fontId="6" fillId="2" borderId="5" xfId="0"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6" xfId="0" applyFont="1" applyFill="1" applyBorder="1" applyAlignment="1">
      <alignment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0" borderId="8" xfId="0" applyFont="1" applyBorder="1" applyAlignment="1">
      <alignment horizontal="center" vertical="center" wrapText="1"/>
    </xf>
    <xf numFmtId="0" fontId="6" fillId="0" borderId="6" xfId="0" applyFont="1" applyBorder="1" applyAlignment="1">
      <alignment horizontal="center" vertical="center" wrapText="1"/>
    </xf>
    <xf numFmtId="0" fontId="6" fillId="2" borderId="1" xfId="0" applyFont="1" applyFill="1" applyBorder="1" applyAlignment="1">
      <alignment vertical="center" wrapText="1"/>
    </xf>
    <xf numFmtId="0" fontId="12" fillId="7" borderId="0" xfId="0" applyFont="1" applyFill="1" applyAlignment="1">
      <alignment horizontal="left" vertical="center" wrapText="1"/>
    </xf>
    <xf numFmtId="9" fontId="14" fillId="2" borderId="0" xfId="1" applyFont="1" applyFill="1" applyAlignment="1">
      <alignment horizontal="left" vertical="center" wrapText="1"/>
    </xf>
    <xf numFmtId="0" fontId="15" fillId="2" borderId="0" xfId="0" applyFont="1" applyFill="1" applyAlignment="1">
      <alignment vertical="center"/>
    </xf>
    <xf numFmtId="0" fontId="12" fillId="2" borderId="0" xfId="0" applyFont="1" applyFill="1" applyAlignment="1">
      <alignment horizontal="center" vertical="center" wrapText="1"/>
    </xf>
    <xf numFmtId="0" fontId="12" fillId="3" borderId="8" xfId="0" applyFont="1" applyFill="1" applyBorder="1" applyAlignment="1">
      <alignment horizontal="center" vertical="center" wrapText="1"/>
    </xf>
    <xf numFmtId="0" fontId="12" fillId="3" borderId="1" xfId="0" applyFont="1" applyFill="1" applyBorder="1" applyAlignment="1">
      <alignment horizontal="left" vertical="center" wrapText="1"/>
    </xf>
    <xf numFmtId="0" fontId="12" fillId="3" borderId="1" xfId="0" applyFont="1" applyFill="1" applyBorder="1" applyAlignment="1">
      <alignment horizontal="center" vertical="center" wrapText="1"/>
    </xf>
    <xf numFmtId="10" fontId="12" fillId="3" borderId="1" xfId="0" applyNumberFormat="1" applyFont="1" applyFill="1" applyBorder="1" applyAlignment="1">
      <alignment horizontal="center" vertical="center" wrapText="1"/>
    </xf>
    <xf numFmtId="0" fontId="6" fillId="2" borderId="0" xfId="0" applyFont="1" applyFill="1" applyAlignment="1">
      <alignment horizontal="left" vertical="center" wrapText="1"/>
    </xf>
    <xf numFmtId="0" fontId="13" fillId="0" borderId="0" xfId="0" applyFont="1" applyAlignment="1">
      <alignment vertical="center" wrapText="1"/>
    </xf>
    <xf numFmtId="0" fontId="16" fillId="2" borderId="9" xfId="0" applyFont="1" applyFill="1" applyBorder="1"/>
    <xf numFmtId="0" fontId="3" fillId="0" borderId="0" xfId="0" applyFont="1" applyAlignment="1"/>
    <xf numFmtId="164" fontId="3" fillId="0" borderId="0" xfId="0" applyNumberFormat="1" applyFont="1" applyAlignment="1"/>
    <xf numFmtId="2" fontId="3" fillId="0" borderId="0" xfId="0" applyNumberFormat="1" applyFont="1" applyAlignment="1"/>
    <xf numFmtId="0" fontId="1" fillId="0" borderId="0" xfId="0" applyFont="1" applyAlignment="1"/>
    <xf numFmtId="0" fontId="3" fillId="0" borderId="1" xfId="0" applyFont="1" applyBorder="1" applyAlignment="1"/>
  </cellXfs>
  <cellStyles count="2">
    <cellStyle name="Normal" xfId="0" builtinId="0"/>
    <cellStyle name="Percent" xfId="1" builtinId="5"/>
  </cellStyles>
  <dxfs count="10">
    <dxf>
      <fill>
        <patternFill>
          <bgColor rgb="FFFCE5CD"/>
        </patternFill>
      </fill>
    </dxf>
    <dxf>
      <fill>
        <patternFill>
          <bgColor rgb="FFFFC000"/>
        </patternFill>
      </fill>
    </dxf>
    <dxf>
      <fill>
        <patternFill>
          <bgColor rgb="FF92D050"/>
        </patternFill>
      </fill>
    </dxf>
    <dxf>
      <font>
        <color rgb="FF9C0006"/>
      </font>
      <fill>
        <patternFill>
          <bgColor rgb="FFFFC7CE"/>
        </patternFill>
      </fill>
    </dxf>
    <dxf>
      <font>
        <b/>
        <color rgb="FFFF0000"/>
      </font>
    </dxf>
    <dxf>
      <font>
        <color rgb="FF9C0006"/>
      </font>
      <fill>
        <patternFill>
          <bgColor rgb="FFFFC7CE"/>
        </patternFill>
      </fill>
    </dxf>
    <dxf>
      <font>
        <color rgb="FFFF0000"/>
      </font>
    </dxf>
    <dxf>
      <fill>
        <patternFill>
          <bgColor rgb="FFC6E0B4"/>
        </patternFill>
      </fill>
    </dxf>
    <dxf>
      <fill>
        <patternFill>
          <bgColor rgb="FFFFE699"/>
        </patternFill>
      </fill>
    </dxf>
    <dxf>
      <font>
        <b/>
      </font>
      <fill>
        <patternFill>
          <bgColor rgb="FFFF999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3B3B3"/>
      <rgbColor rgb="FF8B8B8B"/>
      <rgbColor rgb="FF9999FF"/>
      <rgbColor rgb="FF993366"/>
      <rgbColor rgb="FFFFF2CC"/>
      <rgbColor rgb="FFFCE5CD"/>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99"/>
      <rgbColor rgb="FFCC99FF"/>
      <rgbColor rgb="FFFFC7CE"/>
      <rgbColor rgb="FF4285F4"/>
      <rgbColor rgb="FF33CCCC"/>
      <rgbColor rgb="FF92D050"/>
      <rgbColor rgb="FFFFC000"/>
      <rgbColor rgb="FFFF9900"/>
      <rgbColor rgb="FFED7D31"/>
      <rgbColor rgb="FF666699"/>
      <rgbColor rgb="FF969696"/>
      <rgbColor rgb="FF003366"/>
      <rgbColor rgb="FF339966"/>
      <rgbColor rgb="FF003300"/>
      <rgbColor rgb="FF333300"/>
      <rgbColor rgb="FF993300"/>
      <rgbColor rgb="FF993366"/>
      <rgbColor rgb="FF442F65"/>
      <rgbColor rgb="FF43434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lang="en-US" sz="1800" b="1" strike="noStrike" spc="-1">
                <a:solidFill>
                  <a:srgbClr val="000000"/>
                </a:solidFill>
                <a:latin typeface="Arial"/>
                <a:ea typeface="Arial"/>
              </a:defRPr>
            </a:pPr>
            <a:r>
              <a:rPr lang="en-US" sz="1800" b="1" strike="noStrike" spc="-1">
                <a:solidFill>
                  <a:srgbClr val="000000"/>
                </a:solidFill>
                <a:latin typeface="Arial"/>
                <a:ea typeface="Arial"/>
              </a:rPr>
              <a:t>Persentase Pengisian per Wilayah</a:t>
            </a:r>
          </a:p>
        </c:rich>
      </c:tx>
      <c:layout/>
      <c:overlay val="0"/>
      <c:spPr>
        <a:noFill/>
        <a:ln w="0">
          <a:noFill/>
        </a:ln>
      </c:spPr>
    </c:title>
    <c:autoTitleDeleted val="0"/>
    <c:plotArea>
      <c:layout/>
      <c:barChart>
        <c:barDir val="col"/>
        <c:grouping val="clustered"/>
        <c:varyColors val="0"/>
        <c:ser>
          <c:idx val="0"/>
          <c:order val="0"/>
          <c:spPr>
            <a:solidFill>
              <a:srgbClr val="4285F4"/>
            </a:solidFill>
            <a:ln w="0">
              <a:noFill/>
            </a:ln>
          </c:spPr>
          <c:invertIfNegative val="0"/>
          <c:dLbls>
            <c:spPr>
              <a:noFill/>
              <a:ln>
                <a:noFill/>
              </a:ln>
              <a:effectLst/>
            </c:spPr>
            <c:txPr>
              <a:bodyPr wrap="square"/>
              <a:lstStyle/>
              <a:p>
                <a:pPr>
                  <a:defRPr sz="1000" b="0" strike="noStrike" spc="-1">
                    <a:solidFill>
                      <a:srgbClr val="000000"/>
                    </a:solidFill>
                    <a:latin typeface="Arial"/>
                    <a:ea typeface="Arial"/>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layout/>
                <c15:showLeaderLines val="0"/>
              </c:ext>
            </c:extLst>
          </c:dLbls>
          <c:cat>
            <c:strRef>
              <c:f>WILAYAH!$I$5:$L$5</c:f>
              <c:strCache>
                <c:ptCount val="4"/>
                <c:pt idx="0">
                  <c:v>Jawa Barat</c:v>
                </c:pt>
                <c:pt idx="1">
                  <c:v>Jawa Tengah</c:v>
                </c:pt>
                <c:pt idx="2">
                  <c:v>Jawa Timur</c:v>
                </c:pt>
                <c:pt idx="3">
                  <c:v>Luar Pulau</c:v>
                </c:pt>
              </c:strCache>
            </c:strRef>
          </c:cat>
          <c:val>
            <c:numRef>
              <c:f>WILAYAH!$I$8:$L$8</c:f>
              <c:numCache>
                <c:formatCode>0%</c:formatCode>
                <c:ptCount val="4"/>
                <c:pt idx="0">
                  <c:v>0.48484848484848486</c:v>
                </c:pt>
                <c:pt idx="1">
                  <c:v>0.58227848101265822</c:v>
                </c:pt>
                <c:pt idx="2">
                  <c:v>0.29767441860465116</c:v>
                </c:pt>
                <c:pt idx="3">
                  <c:v>0.95</c:v>
                </c:pt>
              </c:numCache>
            </c:numRef>
          </c:val>
        </c:ser>
        <c:dLbls>
          <c:showLegendKey val="0"/>
          <c:showVal val="0"/>
          <c:showCatName val="0"/>
          <c:showSerName val="0"/>
          <c:showPercent val="0"/>
          <c:showBubbleSize val="0"/>
        </c:dLbls>
        <c:gapWidth val="150"/>
        <c:axId val="1305705488"/>
        <c:axId val="1305706576"/>
      </c:barChart>
      <c:catAx>
        <c:axId val="1305705488"/>
        <c:scaling>
          <c:orientation val="minMax"/>
        </c:scaling>
        <c:delete val="0"/>
        <c:axPos val="b"/>
        <c:numFmt formatCode="General" sourceLinked="0"/>
        <c:majorTickMark val="none"/>
        <c:minorTickMark val="none"/>
        <c:tickLblPos val="nextTo"/>
        <c:spPr>
          <a:ln w="6480">
            <a:solidFill>
              <a:srgbClr val="8B8B8B"/>
            </a:solidFill>
            <a:round/>
          </a:ln>
        </c:spPr>
        <c:txPr>
          <a:bodyPr/>
          <a:lstStyle/>
          <a:p>
            <a:pPr>
              <a:defRPr sz="1000" b="0" strike="noStrike" spc="-1">
                <a:solidFill>
                  <a:srgbClr val="000000"/>
                </a:solidFill>
                <a:latin typeface="Arial"/>
                <a:ea typeface="Arial"/>
              </a:defRPr>
            </a:pPr>
            <a:endParaRPr lang="en-US"/>
          </a:p>
        </c:txPr>
        <c:crossAx val="1305706576"/>
        <c:crosses val="autoZero"/>
        <c:auto val="1"/>
        <c:lblAlgn val="ctr"/>
        <c:lblOffset val="100"/>
        <c:noMultiLvlLbl val="0"/>
      </c:catAx>
      <c:valAx>
        <c:axId val="1305706576"/>
        <c:scaling>
          <c:orientation val="minMax"/>
          <c:min val="0"/>
        </c:scaling>
        <c:delete val="1"/>
        <c:axPos val="l"/>
        <c:numFmt formatCode="0%" sourceLinked="1"/>
        <c:majorTickMark val="none"/>
        <c:minorTickMark val="none"/>
        <c:tickLblPos val="nextTo"/>
        <c:crossAx val="130570548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16</xdr:col>
      <xdr:colOff>0</xdr:colOff>
      <xdr:row>3</xdr:row>
      <xdr:rowOff>18360</xdr:rowOff>
    </xdr:from>
    <xdr:to>
      <xdr:col>24</xdr:col>
      <xdr:colOff>507240</xdr:colOff>
      <xdr:row>21</xdr:row>
      <xdr:rowOff>70920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Form_Responses" displayName="Form_Responses" ref="A1:M116" totalsRowShown="0">
  <autoFilter ref="A1:M116"/>
  <tableColumns count="13">
    <tableColumn id="1" name="Timestamp"/>
    <tableColumn id="2" name="Nama lengkap"/>
    <tableColumn id="3" name="NIK Pegawai"/>
    <tableColumn id="4" name="Cabang / Unit Kerja"/>
    <tableColumn id="5" name="Peran / Jabatan Anda saat ini"/>
    <tableColumn id="6" name="Wilayah / Regional"/>
    <tableColumn id="7" name="Seberapa mudah navigasi dan struktur menu di website Handbook Operasional ini diakses?"/>
    <tableColumn id="8" name="Apakah tampilan website sudah cukup nyaman diakses melalui perangkat seluler/smartphone saat Anda bertugas di lapangan?"/>
    <tableColumn id="9" name="Kritik/Saran terkait Tampilan &amp; Aksesibilitas Website:"/>
    <tableColumn id="10" name="Menurut Anda, apakah materi/SOP yang disajikan di dalam handbook untuk peran Anda sudah cukup jelas dan dapat diterapkan langsung dalam pekerjaan sehari-hari?"/>
    <tableColumn id="11" name="Bagian aktivitas manakah (Harian / Mingguan / Bulanan) yang menurut Anda materinya paling membantu pekerjaan Anda?  "/>
    <tableColumn id="12" name="Adakah bagian atau SOP penting di operasional cabang yang belum tercakup atau terlewat di dalam handbook ini? Jika ada, mohon sebutkan:  "/>
    <tableColumn id="13" name="Saran atau masukan konstruktif lainnya untuk pengembangan website Handbook Operasional PT Semen Indonesia Distributor ke depan:  "/>
  </tableColumns>
  <tableStyleInfo showFirstColumn="0" showLastColumn="0" showRowStripes="1" showColumnStripes="0"/>
</table>
</file>

<file path=xl/tables/table2.xml><?xml version="1.0" encoding="utf-8"?>
<table xmlns="http://schemas.openxmlformats.org/spreadsheetml/2006/main" id="2" name="Table_1" displayName="Table_1" ref="J8:K104" headerRowCount="0" totalsRowShown="0">
  <tableColumns count="2">
    <tableColumn id="1" name="Column1"/>
    <tableColumn id="2" name="Column2"/>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3"/>
  <sheetViews>
    <sheetView tabSelected="1" zoomScaleNormal="100" workbookViewId="0">
      <pane xSplit="2" ySplit="5" topLeftCell="C9" activePane="bottomRight" state="frozen"/>
      <selection pane="topRight" activeCell="C1" sqref="C1"/>
      <selection pane="bottomLeft" activeCell="A33" sqref="A33"/>
      <selection pane="bottomRight" activeCell="C15" sqref="C15"/>
    </sheetView>
  </sheetViews>
  <sheetFormatPr defaultColWidth="8.7109375" defaultRowHeight="11.25"/>
  <cols>
    <col min="1" max="1" width="5" style="5" customWidth="1"/>
    <col min="2" max="2" width="34" style="5" customWidth="1"/>
    <col min="3" max="6" width="11" style="5" customWidth="1"/>
    <col min="7" max="7" width="9" style="5" customWidth="1"/>
    <col min="8" max="8" width="2" style="5" customWidth="1"/>
    <col min="9" max="12" width="11" style="5" customWidth="1"/>
    <col min="13" max="13" width="9" style="5" customWidth="1"/>
    <col min="14" max="14" width="10" style="5" customWidth="1"/>
    <col min="15" max="15" width="62" style="5" customWidth="1"/>
    <col min="16" max="16384" width="8.7109375" style="6"/>
  </cols>
  <sheetData>
    <row r="1" spans="1:15" ht="15.75" customHeight="1">
      <c r="A1" s="7" t="s">
        <v>0</v>
      </c>
    </row>
    <row r="2" spans="1:15">
      <c r="B2" s="8" t="s">
        <v>1</v>
      </c>
      <c r="C2" s="9">
        <f>IFERROR(MAX(DATA!$B$2:$B$1001),"")</f>
        <v>46314.354479166701</v>
      </c>
    </row>
    <row r="4" spans="1:15" ht="15" customHeight="1">
      <c r="A4" s="4" t="s">
        <v>2</v>
      </c>
      <c r="B4" s="4" t="s">
        <v>3</v>
      </c>
      <c r="C4" s="4" t="s">
        <v>4</v>
      </c>
      <c r="D4" s="4"/>
      <c r="E4" s="4"/>
      <c r="F4" s="4"/>
      <c r="G4" s="4"/>
      <c r="I4" s="4" t="s">
        <v>5</v>
      </c>
      <c r="J4" s="4"/>
      <c r="K4" s="4"/>
      <c r="L4" s="4"/>
      <c r="M4" s="4"/>
      <c r="N4" s="4" t="s">
        <v>6</v>
      </c>
      <c r="O4" s="4" t="s">
        <v>7</v>
      </c>
    </row>
    <row r="5" spans="1:15">
      <c r="A5" s="4"/>
      <c r="B5" s="4"/>
      <c r="C5" s="10" t="s">
        <v>8</v>
      </c>
      <c r="D5" s="10" t="s">
        <v>9</v>
      </c>
      <c r="E5" s="10" t="s">
        <v>10</v>
      </c>
      <c r="F5" s="10" t="s">
        <v>11</v>
      </c>
      <c r="G5" s="10" t="s">
        <v>12</v>
      </c>
      <c r="I5" s="10" t="s">
        <v>8</v>
      </c>
      <c r="J5" s="10" t="s">
        <v>9</v>
      </c>
      <c r="K5" s="10" t="s">
        <v>10</v>
      </c>
      <c r="L5" s="10" t="s">
        <v>11</v>
      </c>
      <c r="M5" s="10" t="s">
        <v>12</v>
      </c>
      <c r="N5" s="4"/>
      <c r="O5" s="4"/>
    </row>
    <row r="6" spans="1:15">
      <c r="A6" s="11"/>
      <c r="B6" s="11" t="s">
        <v>13</v>
      </c>
      <c r="C6" s="11"/>
      <c r="D6" s="11"/>
      <c r="E6" s="11"/>
      <c r="F6" s="11"/>
      <c r="G6" s="11"/>
      <c r="H6" s="12"/>
      <c r="I6" s="11"/>
      <c r="J6" s="11"/>
      <c r="K6" s="11"/>
      <c r="L6" s="11"/>
      <c r="M6" s="11"/>
    </row>
    <row r="7" spans="1:15">
      <c r="A7" s="13">
        <v>1</v>
      </c>
      <c r="B7" s="14" t="s">
        <v>14</v>
      </c>
      <c r="C7" s="15">
        <f>SUMIF(PROGRES!$A$2:$A$92,C$5,PROGRES!$C$2:$C$92)</f>
        <v>99</v>
      </c>
      <c r="D7" s="15">
        <f>SUMIF(PROGRES!$A$2:$A$92,D$5,PROGRES!$C$2:$C$92)</f>
        <v>158</v>
      </c>
      <c r="E7" s="15">
        <f>SUMIF(PROGRES!$A$2:$A$92,E$5,PROGRES!$C$2:$C$92)</f>
        <v>215</v>
      </c>
      <c r="F7" s="15">
        <f>SUMIF(PROGRES!$A$2:$A$92,F$5,PROGRES!$C$2:$C$92)</f>
        <v>40</v>
      </c>
      <c r="G7" s="15">
        <f>SUM(C7:F7)</f>
        <v>512</v>
      </c>
    </row>
    <row r="8" spans="1:15">
      <c r="A8" s="13">
        <v>2</v>
      </c>
      <c r="B8" s="14" t="s">
        <v>15</v>
      </c>
      <c r="C8" s="15">
        <f>COUNTIF(DATA!$F$2:$F$1001,C$5)</f>
        <v>48</v>
      </c>
      <c r="D8" s="15">
        <f>COUNTIF(DATA!$F$2:$F$1001,D$5)</f>
        <v>92</v>
      </c>
      <c r="E8" s="15">
        <f>COUNTIF(DATA!$F$2:$F$1001,E$5)</f>
        <v>64</v>
      </c>
      <c r="F8" s="15">
        <f>COUNTIF(DATA!$F$2:$F$1001,F$5)</f>
        <v>38</v>
      </c>
      <c r="G8" s="15">
        <f>COUNT(DATA!$A$2:$A$1001)</f>
        <v>242</v>
      </c>
      <c r="I8" s="16">
        <f>IFERROR(C8/C$7,0)</f>
        <v>0.48484848484848486</v>
      </c>
      <c r="J8" s="16">
        <f>IFERROR(D8/D$7,0)</f>
        <v>0.58227848101265822</v>
      </c>
      <c r="K8" s="16">
        <f>IFERROR(E8/E$7,0)</f>
        <v>0.29767441860465116</v>
      </c>
      <c r="L8" s="16">
        <f>IFERROR(F8/F$7,0)</f>
        <v>0.95</v>
      </c>
      <c r="M8" s="16">
        <f>IFERROR(G8/G$7,0)</f>
        <v>0.47265625</v>
      </c>
    </row>
    <row r="9" spans="1:15">
      <c r="A9" s="13">
        <v>3</v>
      </c>
      <c r="B9" s="14" t="s">
        <v>16</v>
      </c>
      <c r="C9" s="15">
        <f>SUMIFS(DATA!$T$2:$T$1001,DATA!$F$2:$F$1001,C$5)</f>
        <v>48</v>
      </c>
      <c r="D9" s="15">
        <f>SUMIFS(DATA!$T$2:$T$1001,DATA!$F$2:$F$1001,D$5)</f>
        <v>90</v>
      </c>
      <c r="E9" s="15">
        <f>SUMIFS(DATA!$T$2:$T$1001,DATA!$F$2:$F$1001,E$5)</f>
        <v>63</v>
      </c>
      <c r="F9" s="15">
        <f>SUMIFS(DATA!$T$2:$T$1001,DATA!$F$2:$F$1001,F$5)</f>
        <v>36</v>
      </c>
      <c r="G9" s="15">
        <f>SUM(DATA!$T$2:$T$1001)</f>
        <v>237</v>
      </c>
    </row>
    <row r="10" spans="1:15">
      <c r="A10" s="13">
        <v>4</v>
      </c>
      <c r="B10" s="14" t="s">
        <v>17</v>
      </c>
      <c r="C10" s="15">
        <f>COUNTIFS(DATA!$F$2:$F$1001,C$5,DATA!$H$2:$H$1001,"BM")</f>
        <v>11</v>
      </c>
      <c r="D10" s="15">
        <f>COUNTIFS(DATA!$F$2:$F$1001,D$5,DATA!$H$2:$H$1001,"BM")</f>
        <v>22</v>
      </c>
      <c r="E10" s="15">
        <f>COUNTIFS(DATA!$F$2:$F$1001,E$5,DATA!$H$2:$H$1001,"BM")</f>
        <v>14</v>
      </c>
      <c r="F10" s="15">
        <f>COUNTIFS(DATA!$F$2:$F$1001,F$5,DATA!$H$2:$H$1001,"BM")</f>
        <v>9</v>
      </c>
      <c r="G10" s="15">
        <f>COUNTIF(DATA!$H$2:$H$1001,"BM")</f>
        <v>56</v>
      </c>
      <c r="I10" s="16">
        <f t="shared" ref="I10:M12" si="0">IFERROR(C10/C$8,0)</f>
        <v>0.22916666666666666</v>
      </c>
      <c r="J10" s="16">
        <f t="shared" si="0"/>
        <v>0.2391304347826087</v>
      </c>
      <c r="K10" s="16">
        <f t="shared" si="0"/>
        <v>0.21875</v>
      </c>
      <c r="L10" s="16">
        <f t="shared" si="0"/>
        <v>0.23684210526315788</v>
      </c>
      <c r="M10" s="16">
        <f t="shared" si="0"/>
        <v>0.23140495867768596</v>
      </c>
    </row>
    <row r="11" spans="1:15">
      <c r="A11" s="13">
        <v>5</v>
      </c>
      <c r="B11" s="14" t="s">
        <v>18</v>
      </c>
      <c r="C11" s="15">
        <f>COUNTIFS(DATA!$F$2:$F$1001,C$5,DATA!$H$2:$H$1001,"CRO")</f>
        <v>29</v>
      </c>
      <c r="D11" s="15">
        <f>COUNTIFS(DATA!$F$2:$F$1001,D$5,DATA!$H$2:$H$1001,"CRO")</f>
        <v>50</v>
      </c>
      <c r="E11" s="15">
        <f>COUNTIFS(DATA!$F$2:$F$1001,E$5,DATA!$H$2:$H$1001,"CRO")</f>
        <v>34</v>
      </c>
      <c r="F11" s="15">
        <f>COUNTIFS(DATA!$F$2:$F$1001,F$5,DATA!$H$2:$H$1001,"CRO")</f>
        <v>20</v>
      </c>
      <c r="G11" s="15">
        <f>COUNTIF(DATA!$H$2:$H$1001,"CRO")</f>
        <v>133</v>
      </c>
      <c r="I11" s="16">
        <f t="shared" si="0"/>
        <v>0.60416666666666663</v>
      </c>
      <c r="J11" s="16">
        <f t="shared" si="0"/>
        <v>0.54347826086956519</v>
      </c>
      <c r="K11" s="16">
        <f t="shared" si="0"/>
        <v>0.53125</v>
      </c>
      <c r="L11" s="16">
        <f t="shared" si="0"/>
        <v>0.52631578947368418</v>
      </c>
      <c r="M11" s="16">
        <f t="shared" si="0"/>
        <v>0.54958677685950408</v>
      </c>
    </row>
    <row r="12" spans="1:15">
      <c r="A12" s="13">
        <v>6</v>
      </c>
      <c r="B12" s="14" t="s">
        <v>19</v>
      </c>
      <c r="C12" s="15">
        <f>COUNTIFS(DATA!$F$2:$F$1001,C$5,DATA!$H$2:$H$1001,"BAO")</f>
        <v>8</v>
      </c>
      <c r="D12" s="15">
        <f>COUNTIFS(DATA!$F$2:$F$1001,D$5,DATA!$H$2:$H$1001,"BAO")</f>
        <v>20</v>
      </c>
      <c r="E12" s="15">
        <f>COUNTIFS(DATA!$F$2:$F$1001,E$5,DATA!$H$2:$H$1001,"BAO")</f>
        <v>16</v>
      </c>
      <c r="F12" s="15">
        <f>COUNTIFS(DATA!$F$2:$F$1001,F$5,DATA!$H$2:$H$1001,"BAO")</f>
        <v>9</v>
      </c>
      <c r="G12" s="15">
        <f>COUNTIF(DATA!$H$2:$H$1001,"BAO")</f>
        <v>53</v>
      </c>
      <c r="I12" s="16">
        <f t="shared" si="0"/>
        <v>0.16666666666666666</v>
      </c>
      <c r="J12" s="16">
        <f t="shared" si="0"/>
        <v>0.21739130434782608</v>
      </c>
      <c r="K12" s="16">
        <f t="shared" si="0"/>
        <v>0.25</v>
      </c>
      <c r="L12" s="16">
        <f t="shared" si="0"/>
        <v>0.23684210526315788</v>
      </c>
      <c r="M12" s="16">
        <f t="shared" si="0"/>
        <v>0.21900826446280991</v>
      </c>
    </row>
    <row r="13" spans="1:15">
      <c r="A13" s="11"/>
      <c r="B13" s="11" t="s">
        <v>20</v>
      </c>
      <c r="C13" s="11"/>
      <c r="D13" s="11"/>
      <c r="E13" s="11"/>
      <c r="F13" s="11"/>
      <c r="G13" s="11"/>
      <c r="H13" s="12"/>
      <c r="I13" s="11"/>
      <c r="J13" s="11"/>
      <c r="K13" s="11"/>
      <c r="L13" s="11"/>
      <c r="M13" s="11"/>
    </row>
    <row r="14" spans="1:15">
      <c r="A14" s="13">
        <v>7</v>
      </c>
      <c r="B14" s="14" t="s">
        <v>21</v>
      </c>
      <c r="C14" s="15">
        <f>COUNTIFS(DATA!$F$2:$F$1001,C$5,DATA!$I$2:$I$1001,"MUDAH")</f>
        <v>33</v>
      </c>
      <c r="D14" s="15">
        <f>COUNTIFS(DATA!$F$2:$F$1001,D$5,DATA!$I$2:$I$1001,"MUDAH")</f>
        <v>49</v>
      </c>
      <c r="E14" s="15">
        <f>COUNTIFS(DATA!$F$2:$F$1001,E$5,DATA!$I$2:$I$1001,"MUDAH")</f>
        <v>42</v>
      </c>
      <c r="F14" s="15">
        <f>COUNTIFS(DATA!$F$2:$F$1001,F$5,DATA!$I$2:$I$1001,"MUDAH")</f>
        <v>29</v>
      </c>
      <c r="G14" s="15">
        <f>COUNTIF(DATA!$I$2:$I$1001,"MUDAH")</f>
        <v>153</v>
      </c>
      <c r="I14" s="16">
        <f t="shared" ref="I14:M16" si="1">IFERROR(C14/C$8,0)</f>
        <v>0.6875</v>
      </c>
      <c r="J14" s="16">
        <f t="shared" si="1"/>
        <v>0.53260869565217395</v>
      </c>
      <c r="K14" s="16">
        <f t="shared" si="1"/>
        <v>0.65625</v>
      </c>
      <c r="L14" s="16">
        <f t="shared" si="1"/>
        <v>0.76315789473684215</v>
      </c>
      <c r="M14" s="16">
        <f t="shared" si="1"/>
        <v>0.63223140495867769</v>
      </c>
    </row>
    <row r="15" spans="1:15">
      <c r="A15" s="13">
        <v>8</v>
      </c>
      <c r="B15" s="14" t="s">
        <v>22</v>
      </c>
      <c r="C15" s="15">
        <f>COUNTIFS(DATA!$F$2:$F$1001,C$5,DATA!$I$2:$I$1001,"CUKUP")</f>
        <v>14</v>
      </c>
      <c r="D15" s="15">
        <f>COUNTIFS(DATA!$F$2:$F$1001,D$5,DATA!$I$2:$I$1001,"CUKUP")</f>
        <v>43</v>
      </c>
      <c r="E15" s="15">
        <f>COUNTIFS(DATA!$F$2:$F$1001,E$5,DATA!$I$2:$I$1001,"CUKUP")</f>
        <v>22</v>
      </c>
      <c r="F15" s="15">
        <f>COUNTIFS(DATA!$F$2:$F$1001,F$5,DATA!$I$2:$I$1001,"CUKUP")</f>
        <v>9</v>
      </c>
      <c r="G15" s="15">
        <f>COUNTIF(DATA!$I$2:$I$1001,"CUKUP")</f>
        <v>88</v>
      </c>
      <c r="I15" s="16">
        <f t="shared" si="1"/>
        <v>0.29166666666666669</v>
      </c>
      <c r="J15" s="16">
        <f t="shared" si="1"/>
        <v>0.46739130434782611</v>
      </c>
      <c r="K15" s="16">
        <f t="shared" si="1"/>
        <v>0.34375</v>
      </c>
      <c r="L15" s="16">
        <f t="shared" si="1"/>
        <v>0.23684210526315788</v>
      </c>
      <c r="M15" s="16">
        <f t="shared" si="1"/>
        <v>0.36363636363636365</v>
      </c>
    </row>
    <row r="16" spans="1:15">
      <c r="A16" s="13">
        <v>9</v>
      </c>
      <c r="B16" s="14" t="s">
        <v>23</v>
      </c>
      <c r="C16" s="15">
        <f>COUNTIFS(DATA!$F$2:$F$1001,C$5,DATA!$I$2:$I$1001,"SULIT")</f>
        <v>1</v>
      </c>
      <c r="D16" s="15">
        <f>COUNTIFS(DATA!$F$2:$F$1001,D$5,DATA!$I$2:$I$1001,"SULIT")</f>
        <v>0</v>
      </c>
      <c r="E16" s="15">
        <f>COUNTIFS(DATA!$F$2:$F$1001,E$5,DATA!$I$2:$I$1001,"SULIT")</f>
        <v>0</v>
      </c>
      <c r="F16" s="15">
        <f>COUNTIFS(DATA!$F$2:$F$1001,F$5,DATA!$I$2:$I$1001,"SULIT")</f>
        <v>0</v>
      </c>
      <c r="G16" s="15">
        <f>COUNTIF(DATA!$I$2:$I$1001,"SULIT")</f>
        <v>1</v>
      </c>
      <c r="I16" s="16">
        <f t="shared" si="1"/>
        <v>2.0833333333333332E-2</v>
      </c>
      <c r="J16" s="16">
        <f t="shared" si="1"/>
        <v>0</v>
      </c>
      <c r="K16" s="16">
        <f t="shared" si="1"/>
        <v>0</v>
      </c>
      <c r="L16" s="16">
        <f t="shared" si="1"/>
        <v>0</v>
      </c>
      <c r="M16" s="16">
        <f t="shared" si="1"/>
        <v>4.1322314049586778E-3</v>
      </c>
    </row>
    <row r="17" spans="1:13">
      <c r="A17" s="11"/>
      <c r="B17" s="11" t="s">
        <v>24</v>
      </c>
      <c r="C17" s="11"/>
      <c r="D17" s="11"/>
      <c r="E17" s="11"/>
      <c r="F17" s="11"/>
      <c r="G17" s="11"/>
      <c r="H17" s="12"/>
      <c r="I17" s="11"/>
      <c r="J17" s="11"/>
      <c r="K17" s="11"/>
      <c r="L17" s="11"/>
      <c r="M17" s="11"/>
    </row>
    <row r="18" spans="1:13">
      <c r="A18" s="13">
        <v>10</v>
      </c>
      <c r="B18" s="14" t="s">
        <v>25</v>
      </c>
      <c r="C18" s="15">
        <f>COUNTIFS(DATA!$F$2:$F$1001,C$5,DATA!$J$2:$J$1001,"YA")</f>
        <v>32</v>
      </c>
      <c r="D18" s="15">
        <f>COUNTIFS(DATA!$F$2:$F$1001,D$5,DATA!$J$2:$J$1001,"YA")</f>
        <v>49</v>
      </c>
      <c r="E18" s="15">
        <f>COUNTIFS(DATA!$F$2:$F$1001,E$5,DATA!$J$2:$J$1001,"YA")</f>
        <v>53</v>
      </c>
      <c r="F18" s="15">
        <f>COUNTIFS(DATA!$F$2:$F$1001,F$5,DATA!$J$2:$J$1001,"YA")</f>
        <v>31</v>
      </c>
      <c r="G18" s="15">
        <f>COUNTIF(DATA!$J$2:$J$1001,"YA")</f>
        <v>165</v>
      </c>
      <c r="I18" s="16">
        <f t="shared" ref="I18:M20" si="2">IFERROR(C18/C$8,0)</f>
        <v>0.66666666666666663</v>
      </c>
      <c r="J18" s="16">
        <f t="shared" si="2"/>
        <v>0.53260869565217395</v>
      </c>
      <c r="K18" s="16">
        <f t="shared" si="2"/>
        <v>0.828125</v>
      </c>
      <c r="L18" s="16">
        <f t="shared" si="2"/>
        <v>0.81578947368421051</v>
      </c>
      <c r="M18" s="16">
        <f t="shared" si="2"/>
        <v>0.68181818181818177</v>
      </c>
    </row>
    <row r="19" spans="1:13">
      <c r="A19" s="13">
        <v>11</v>
      </c>
      <c r="B19" s="14" t="s">
        <v>22</v>
      </c>
      <c r="C19" s="15">
        <f>COUNTIFS(DATA!$F$2:$F$1001,C$5,DATA!$J$2:$J$1001,"CUKUP")</f>
        <v>15</v>
      </c>
      <c r="D19" s="15">
        <f>COUNTIFS(DATA!$F$2:$F$1001,D$5,DATA!$J$2:$J$1001,"CUKUP")</f>
        <v>42</v>
      </c>
      <c r="E19" s="15">
        <f>COUNTIFS(DATA!$F$2:$F$1001,E$5,DATA!$J$2:$J$1001,"CUKUP")</f>
        <v>10</v>
      </c>
      <c r="F19" s="15">
        <f>COUNTIFS(DATA!$F$2:$F$1001,F$5,DATA!$J$2:$J$1001,"CUKUP")</f>
        <v>7</v>
      </c>
      <c r="G19" s="15">
        <f>COUNTIF(DATA!$J$2:$J$1001,"CUKUP")</f>
        <v>74</v>
      </c>
      <c r="I19" s="16">
        <f t="shared" si="2"/>
        <v>0.3125</v>
      </c>
      <c r="J19" s="16">
        <f t="shared" si="2"/>
        <v>0.45652173913043476</v>
      </c>
      <c r="K19" s="16">
        <f t="shared" si="2"/>
        <v>0.15625</v>
      </c>
      <c r="L19" s="16">
        <f t="shared" si="2"/>
        <v>0.18421052631578946</v>
      </c>
      <c r="M19" s="16">
        <f t="shared" si="2"/>
        <v>0.30578512396694213</v>
      </c>
    </row>
    <row r="20" spans="1:13">
      <c r="A20" s="13">
        <v>12</v>
      </c>
      <c r="B20" s="14" t="s">
        <v>26</v>
      </c>
      <c r="C20" s="15">
        <f>COUNTIFS(DATA!$F$2:$F$1001,C$5,DATA!$J$2:$J$1001,"KURANG")</f>
        <v>1</v>
      </c>
      <c r="D20" s="15">
        <f>COUNTIFS(DATA!$F$2:$F$1001,D$5,DATA!$J$2:$J$1001,"KURANG")</f>
        <v>1</v>
      </c>
      <c r="E20" s="15">
        <f>COUNTIFS(DATA!$F$2:$F$1001,E$5,DATA!$J$2:$J$1001,"KURANG")</f>
        <v>1</v>
      </c>
      <c r="F20" s="15">
        <f>COUNTIFS(DATA!$F$2:$F$1001,F$5,DATA!$J$2:$J$1001,"KURANG")</f>
        <v>0</v>
      </c>
      <c r="G20" s="15">
        <f>COUNTIF(DATA!$J$2:$J$1001,"KURANG")</f>
        <v>3</v>
      </c>
      <c r="I20" s="16">
        <f t="shared" si="2"/>
        <v>2.0833333333333332E-2</v>
      </c>
      <c r="J20" s="16">
        <f t="shared" si="2"/>
        <v>1.0869565217391304E-2</v>
      </c>
      <c r="K20" s="16">
        <f t="shared" si="2"/>
        <v>1.5625E-2</v>
      </c>
      <c r="L20" s="16">
        <f t="shared" si="2"/>
        <v>0</v>
      </c>
      <c r="M20" s="16">
        <f t="shared" si="2"/>
        <v>1.2396694214876033E-2</v>
      </c>
    </row>
    <row r="21" spans="1:13">
      <c r="A21" s="11"/>
      <c r="B21" s="11" t="s">
        <v>27</v>
      </c>
      <c r="C21" s="11"/>
      <c r="D21" s="11"/>
      <c r="E21" s="11"/>
      <c r="F21" s="11"/>
      <c r="G21" s="11"/>
      <c r="H21" s="12"/>
      <c r="I21" s="11"/>
      <c r="J21" s="11"/>
      <c r="K21" s="11"/>
      <c r="L21" s="11"/>
      <c r="M21" s="11"/>
    </row>
    <row r="22" spans="1:13">
      <c r="A22" s="13">
        <v>13</v>
      </c>
      <c r="B22" s="14" t="s">
        <v>21</v>
      </c>
      <c r="C22" s="15">
        <f>COUNTIFS(DATA!$F$2:$F$1001,C$5,DATA!$K$2:$K$1001,"MUDAH")</f>
        <v>23</v>
      </c>
      <c r="D22" s="15">
        <f>COUNTIFS(DATA!$F$2:$F$1001,D$5,DATA!$K$2:$K$1001,"MUDAH")</f>
        <v>48</v>
      </c>
      <c r="E22" s="15">
        <f>COUNTIFS(DATA!$F$2:$F$1001,E$5,DATA!$K$2:$K$1001,"MUDAH")</f>
        <v>38</v>
      </c>
      <c r="F22" s="15">
        <f>COUNTIFS(DATA!$F$2:$F$1001,F$5,DATA!$K$2:$K$1001,"MUDAH")</f>
        <v>24</v>
      </c>
      <c r="G22" s="15">
        <f>COUNTIF(DATA!$K$2:$K$1001,"MUDAH")</f>
        <v>133</v>
      </c>
      <c r="I22" s="16">
        <f t="shared" ref="I22:M24" si="3">IFERROR(C22/C$8,0)</f>
        <v>0.47916666666666669</v>
      </c>
      <c r="J22" s="16">
        <f t="shared" si="3"/>
        <v>0.52173913043478259</v>
      </c>
      <c r="K22" s="16">
        <f t="shared" si="3"/>
        <v>0.59375</v>
      </c>
      <c r="L22" s="16">
        <f t="shared" si="3"/>
        <v>0.63157894736842102</v>
      </c>
      <c r="M22" s="16">
        <f t="shared" si="3"/>
        <v>0.54958677685950408</v>
      </c>
    </row>
    <row r="23" spans="1:13">
      <c r="A23" s="13">
        <v>14</v>
      </c>
      <c r="B23" s="14" t="s">
        <v>22</v>
      </c>
      <c r="C23" s="15">
        <f>COUNTIFS(DATA!$F$2:$F$1001,C$5,DATA!$K$2:$K$1001,"CUKUP")</f>
        <v>25</v>
      </c>
      <c r="D23" s="15">
        <f>COUNTIFS(DATA!$F$2:$F$1001,D$5,DATA!$K$2:$K$1001,"CUKUP")</f>
        <v>44</v>
      </c>
      <c r="E23" s="15">
        <f>COUNTIFS(DATA!$F$2:$F$1001,E$5,DATA!$K$2:$K$1001,"CUKUP")</f>
        <v>25</v>
      </c>
      <c r="F23" s="15">
        <f>COUNTIFS(DATA!$F$2:$F$1001,F$5,DATA!$K$2:$K$1001,"CUKUP")</f>
        <v>14</v>
      </c>
      <c r="G23" s="15">
        <f>COUNTIF(DATA!$K$2:$K$1001,"CUKUP")</f>
        <v>108</v>
      </c>
      <c r="I23" s="16">
        <f t="shared" si="3"/>
        <v>0.52083333333333337</v>
      </c>
      <c r="J23" s="16">
        <f t="shared" si="3"/>
        <v>0.47826086956521741</v>
      </c>
      <c r="K23" s="16">
        <f t="shared" si="3"/>
        <v>0.390625</v>
      </c>
      <c r="L23" s="16">
        <f t="shared" si="3"/>
        <v>0.36842105263157893</v>
      </c>
      <c r="M23" s="16">
        <f t="shared" si="3"/>
        <v>0.4462809917355372</v>
      </c>
    </row>
    <row r="24" spans="1:13">
      <c r="A24" s="13">
        <v>15</v>
      </c>
      <c r="B24" s="14" t="s">
        <v>23</v>
      </c>
      <c r="C24" s="15">
        <f>COUNTIFS(DATA!$F$2:$F$1001,C$5,DATA!$K$2:$K$1001,"SULIT")</f>
        <v>0</v>
      </c>
      <c r="D24" s="15">
        <f>COUNTIFS(DATA!$F$2:$F$1001,D$5,DATA!$K$2:$K$1001,"SULIT")</f>
        <v>0</v>
      </c>
      <c r="E24" s="15">
        <f>COUNTIFS(DATA!$F$2:$F$1001,E$5,DATA!$K$2:$K$1001,"SULIT")</f>
        <v>1</v>
      </c>
      <c r="F24" s="15">
        <f>COUNTIFS(DATA!$F$2:$F$1001,F$5,DATA!$K$2:$K$1001,"SULIT")</f>
        <v>0</v>
      </c>
      <c r="G24" s="15">
        <f>COUNTIF(DATA!$K$2:$K$1001,"SULIT")</f>
        <v>1</v>
      </c>
      <c r="I24" s="16">
        <f t="shared" si="3"/>
        <v>0</v>
      </c>
      <c r="J24" s="16">
        <f t="shared" si="3"/>
        <v>0</v>
      </c>
      <c r="K24" s="16">
        <f t="shared" si="3"/>
        <v>1.5625E-2</v>
      </c>
      <c r="L24" s="16">
        <f t="shared" si="3"/>
        <v>0</v>
      </c>
      <c r="M24" s="16">
        <f t="shared" si="3"/>
        <v>4.1322314049586778E-3</v>
      </c>
    </row>
    <row r="25" spans="1:13">
      <c r="A25" s="11"/>
      <c r="B25" s="11" t="s">
        <v>28</v>
      </c>
      <c r="C25" s="11"/>
      <c r="D25" s="11"/>
      <c r="E25" s="11"/>
      <c r="F25" s="11"/>
      <c r="G25" s="11"/>
      <c r="H25" s="12"/>
      <c r="I25" s="11"/>
      <c r="J25" s="11"/>
      <c r="K25" s="11"/>
      <c r="L25" s="11"/>
      <c r="M25" s="11"/>
    </row>
    <row r="26" spans="1:13">
      <c r="A26" s="13">
        <v>16</v>
      </c>
      <c r="B26" s="14" t="s">
        <v>29</v>
      </c>
      <c r="C26" s="15">
        <f>SUMIFS(DATA!$L$2:$L$1001,DATA!$F$2:$F$1001,C$5)</f>
        <v>37</v>
      </c>
      <c r="D26" s="15">
        <f>SUMIFS(DATA!$L$2:$L$1001,DATA!$F$2:$F$1001,D$5)</f>
        <v>75</v>
      </c>
      <c r="E26" s="15">
        <f>SUMIFS(DATA!$L$2:$L$1001,DATA!$F$2:$F$1001,E$5)</f>
        <v>49</v>
      </c>
      <c r="F26" s="15">
        <f>SUMIFS(DATA!$L$2:$L$1001,DATA!$F$2:$F$1001,F$5)</f>
        <v>32</v>
      </c>
      <c r="G26" s="15">
        <f>SUM(DATA!$L$2:$L$1001)</f>
        <v>193</v>
      </c>
      <c r="I26" s="16">
        <f t="shared" ref="I26:M29" si="4">IFERROR(C26/C$8,0)</f>
        <v>0.77083333333333337</v>
      </c>
      <c r="J26" s="16">
        <f t="shared" si="4"/>
        <v>0.81521739130434778</v>
      </c>
      <c r="K26" s="16">
        <f t="shared" si="4"/>
        <v>0.765625</v>
      </c>
      <c r="L26" s="16">
        <f t="shared" si="4"/>
        <v>0.84210526315789469</v>
      </c>
      <c r="M26" s="16">
        <f t="shared" si="4"/>
        <v>0.7975206611570248</v>
      </c>
    </row>
    <row r="27" spans="1:13">
      <c r="A27" s="13">
        <v>17</v>
      </c>
      <c r="B27" s="14" t="s">
        <v>30</v>
      </c>
      <c r="C27" s="15">
        <f>SUMIFS(DATA!$M$2:$M$1001,DATA!$F$2:$F$1001,C$5)</f>
        <v>13</v>
      </c>
      <c r="D27" s="15">
        <f>SUMIFS(DATA!$M$2:$M$1001,DATA!$F$2:$F$1001,D$5)</f>
        <v>36</v>
      </c>
      <c r="E27" s="15">
        <f>SUMIFS(DATA!$M$2:$M$1001,DATA!$F$2:$F$1001,E$5)</f>
        <v>22</v>
      </c>
      <c r="F27" s="15">
        <f>SUMIFS(DATA!$M$2:$M$1001,DATA!$F$2:$F$1001,F$5)</f>
        <v>15</v>
      </c>
      <c r="G27" s="15">
        <f>SUM(DATA!$M$2:$M$1001)</f>
        <v>86</v>
      </c>
      <c r="I27" s="16">
        <f t="shared" si="4"/>
        <v>0.27083333333333331</v>
      </c>
      <c r="J27" s="16">
        <f t="shared" si="4"/>
        <v>0.39130434782608697</v>
      </c>
      <c r="K27" s="16">
        <f t="shared" si="4"/>
        <v>0.34375</v>
      </c>
      <c r="L27" s="16">
        <f t="shared" si="4"/>
        <v>0.39473684210526316</v>
      </c>
      <c r="M27" s="16">
        <f t="shared" si="4"/>
        <v>0.35537190082644626</v>
      </c>
    </row>
    <row r="28" spans="1:13">
      <c r="A28" s="13">
        <v>18</v>
      </c>
      <c r="B28" s="14" t="s">
        <v>31</v>
      </c>
      <c r="C28" s="15">
        <f>SUMIFS(DATA!$N$2:$N$1001,DATA!$F$2:$F$1001,C$5)</f>
        <v>17</v>
      </c>
      <c r="D28" s="15">
        <f>SUMIFS(DATA!$N$2:$N$1001,DATA!$F$2:$F$1001,D$5)</f>
        <v>31</v>
      </c>
      <c r="E28" s="15">
        <f>SUMIFS(DATA!$N$2:$N$1001,DATA!$F$2:$F$1001,E$5)</f>
        <v>17</v>
      </c>
      <c r="F28" s="15">
        <f>SUMIFS(DATA!$N$2:$N$1001,DATA!$F$2:$F$1001,F$5)</f>
        <v>15</v>
      </c>
      <c r="G28" s="15">
        <f>SUM(DATA!$N$2:$N$1001)</f>
        <v>80</v>
      </c>
      <c r="I28" s="16">
        <f t="shared" si="4"/>
        <v>0.35416666666666669</v>
      </c>
      <c r="J28" s="16">
        <f t="shared" si="4"/>
        <v>0.33695652173913043</v>
      </c>
      <c r="K28" s="16">
        <f t="shared" si="4"/>
        <v>0.265625</v>
      </c>
      <c r="L28" s="16">
        <f t="shared" si="4"/>
        <v>0.39473684210526316</v>
      </c>
      <c r="M28" s="16">
        <f t="shared" si="4"/>
        <v>0.33057851239669422</v>
      </c>
    </row>
    <row r="29" spans="1:13">
      <c r="A29" s="13">
        <v>19</v>
      </c>
      <c r="B29" s="14" t="s">
        <v>32</v>
      </c>
      <c r="C29" s="15">
        <f>SUMIFS(DATA!$O$2:$O$1001,DATA!$F$2:$F$1001,C$5)</f>
        <v>12</v>
      </c>
      <c r="D29" s="15">
        <f>SUMIFS(DATA!$O$2:$O$1001,DATA!$F$2:$F$1001,D$5)</f>
        <v>27</v>
      </c>
      <c r="E29" s="15">
        <f>SUMIFS(DATA!$O$2:$O$1001,DATA!$F$2:$F$1001,E$5)</f>
        <v>15</v>
      </c>
      <c r="F29" s="15">
        <f>SUMIFS(DATA!$O$2:$O$1001,DATA!$F$2:$F$1001,F$5)</f>
        <v>15</v>
      </c>
      <c r="G29" s="15">
        <f>SUM(DATA!$O$2:$O$1001)</f>
        <v>69</v>
      </c>
      <c r="I29" s="16">
        <f t="shared" si="4"/>
        <v>0.25</v>
      </c>
      <c r="J29" s="16">
        <f t="shared" si="4"/>
        <v>0.29347826086956524</v>
      </c>
      <c r="K29" s="16">
        <f t="shared" si="4"/>
        <v>0.234375</v>
      </c>
      <c r="L29" s="16">
        <f t="shared" si="4"/>
        <v>0.39473684210526316</v>
      </c>
      <c r="M29" s="16">
        <f t="shared" si="4"/>
        <v>0.28512396694214875</v>
      </c>
    </row>
    <row r="30" spans="1:13">
      <c r="A30" s="11"/>
      <c r="B30" s="11" t="s">
        <v>33</v>
      </c>
      <c r="C30" s="11"/>
      <c r="D30" s="11"/>
      <c r="E30" s="11"/>
      <c r="F30" s="11"/>
      <c r="G30" s="11"/>
      <c r="H30" s="12"/>
      <c r="I30" s="11"/>
      <c r="J30" s="11"/>
      <c r="K30" s="11"/>
      <c r="L30" s="11"/>
      <c r="M30" s="11"/>
    </row>
    <row r="31" spans="1:13">
      <c r="A31" s="13">
        <v>20</v>
      </c>
      <c r="B31" s="14" t="s">
        <v>34</v>
      </c>
      <c r="C31" s="17">
        <f>IFERROR(AVERAGEIFS(DATA!$P$2:$P$1001,DATA!$F$2:$F$1001,C$5),0)</f>
        <v>2.6666666666666665</v>
      </c>
      <c r="D31" s="17">
        <f>IFERROR(AVERAGEIFS(DATA!$P$2:$P$1001,DATA!$F$2:$F$1001,D$5),0)</f>
        <v>2.5326086956521738</v>
      </c>
      <c r="E31" s="17">
        <f>IFERROR(AVERAGEIFS(DATA!$P$2:$P$1001,DATA!$F$2:$F$1001,E$5),0)</f>
        <v>2.65625</v>
      </c>
      <c r="F31" s="17">
        <f>IFERROR(AVERAGEIFS(DATA!$P$2:$P$1001,DATA!$F$2:$F$1001,F$5),0)</f>
        <v>2.763157894736842</v>
      </c>
      <c r="G31" s="17">
        <f>IFERROR(AVERAGE(DATA!$P$2:$P$1001),0)</f>
        <v>2.6280991735537191</v>
      </c>
    </row>
    <row r="32" spans="1:13">
      <c r="A32" s="13">
        <v>21</v>
      </c>
      <c r="B32" s="14" t="s">
        <v>35</v>
      </c>
      <c r="C32" s="17">
        <f>IFERROR(AVERAGEIFS(DATA!$Q$2:$Q$1001,DATA!$F$2:$F$1001,C$5),0)</f>
        <v>2.6458333333333335</v>
      </c>
      <c r="D32" s="17">
        <f>IFERROR(AVERAGEIFS(DATA!$Q$2:$Q$1001,DATA!$F$2:$F$1001,D$5),0)</f>
        <v>2.5217391304347827</v>
      </c>
      <c r="E32" s="17">
        <f>IFERROR(AVERAGEIFS(DATA!$Q$2:$Q$1001,DATA!$F$2:$F$1001,E$5),0)</f>
        <v>2.8125</v>
      </c>
      <c r="F32" s="17">
        <f>IFERROR(AVERAGEIFS(DATA!$Q$2:$Q$1001,DATA!$F$2:$F$1001,F$5),0)</f>
        <v>2.8157894736842106</v>
      </c>
      <c r="G32" s="17">
        <f>IFERROR(AVERAGE(DATA!$Q$2:$Q$1001),0)</f>
        <v>2.669421487603306</v>
      </c>
    </row>
    <row r="33" spans="1:15">
      <c r="A33" s="13">
        <v>22</v>
      </c>
      <c r="B33" s="14" t="s">
        <v>36</v>
      </c>
      <c r="C33" s="17">
        <f>IFERROR(AVERAGEIFS(DATA!$R$2:$R$1001,DATA!$F$2:$F$1001,C$5),0)</f>
        <v>2.4791666666666665</v>
      </c>
      <c r="D33" s="17">
        <f>IFERROR(AVERAGEIFS(DATA!$R$2:$R$1001,DATA!$F$2:$F$1001,D$5),0)</f>
        <v>2.5217391304347827</v>
      </c>
      <c r="E33" s="17">
        <f>IFERROR(AVERAGEIFS(DATA!$R$2:$R$1001,DATA!$F$2:$F$1001,E$5),0)</f>
        <v>2.578125</v>
      </c>
      <c r="F33" s="17">
        <f>IFERROR(AVERAGEIFS(DATA!$R$2:$R$1001,DATA!$F$2:$F$1001,F$5),0)</f>
        <v>2.6315789473684212</v>
      </c>
      <c r="G33" s="17">
        <f>IFERROR(AVERAGE(DATA!$R$2:$R$1001),0)</f>
        <v>2.5454545454545454</v>
      </c>
    </row>
    <row r="34" spans="1:15">
      <c r="A34" s="18">
        <v>23</v>
      </c>
      <c r="B34" s="19" t="s">
        <v>37</v>
      </c>
      <c r="C34" s="20">
        <f>IFERROR(AVERAGEIFS(DATA!$S$2:$S$1001,DATA!$F$2:$F$1001,C$5),0)</f>
        <v>2.5972222222222228</v>
      </c>
      <c r="D34" s="20">
        <f>IFERROR(AVERAGEIFS(DATA!$S$2:$S$1001,DATA!$F$2:$F$1001,D$5),0)</f>
        <v>2.5253623188405787</v>
      </c>
      <c r="E34" s="20">
        <f>IFERROR(AVERAGEIFS(DATA!$S$2:$S$1001,DATA!$F$2:$F$1001,E$5),0)</f>
        <v>2.6822916666666665</v>
      </c>
      <c r="F34" s="20">
        <f>IFERROR(AVERAGEIFS(DATA!$S$2:$S$1001,DATA!$F$2:$F$1001,F$5),0)</f>
        <v>2.736842105263158</v>
      </c>
      <c r="G34" s="20">
        <f>IFERROR(AVERAGE(DATA!$S$2:$S$1001),0)</f>
        <v>2.6143250688705226</v>
      </c>
    </row>
    <row r="35" spans="1:15">
      <c r="A35" s="11"/>
      <c r="B35" s="11" t="s">
        <v>38</v>
      </c>
      <c r="C35" s="11"/>
      <c r="D35" s="11"/>
      <c r="E35" s="11"/>
      <c r="F35" s="11"/>
      <c r="G35" s="11"/>
      <c r="H35" s="12"/>
      <c r="I35" s="11"/>
      <c r="J35" s="11"/>
      <c r="K35" s="11"/>
      <c r="L35" s="11"/>
      <c r="M35" s="11"/>
      <c r="N35" s="11"/>
      <c r="O35" s="11"/>
    </row>
    <row r="36" spans="1:15">
      <c r="A36" s="11"/>
      <c r="B36" s="11" t="s">
        <v>39</v>
      </c>
      <c r="C36" s="11"/>
      <c r="D36" s="11"/>
      <c r="E36" s="11"/>
      <c r="F36" s="11"/>
      <c r="G36" s="11"/>
      <c r="H36" s="12"/>
      <c r="I36" s="11"/>
      <c r="J36" s="11"/>
      <c r="K36" s="11"/>
      <c r="L36" s="11"/>
      <c r="M36" s="11"/>
      <c r="N36" s="11"/>
      <c r="O36" s="11"/>
    </row>
    <row r="37" spans="1:15" ht="22.5" customHeight="1">
      <c r="A37" s="21">
        <v>24</v>
      </c>
      <c r="B37" s="22" t="s">
        <v>40</v>
      </c>
      <c r="C37" s="23">
        <f>SUMIFS(DATA!$AK$2:$AK$1001,DATA!$F$2:$F$1001,C$5)</f>
        <v>2</v>
      </c>
      <c r="D37" s="23">
        <f>SUMIFS(DATA!$AK$2:$AK$1001,DATA!$F$2:$F$1001,D$5)</f>
        <v>7</v>
      </c>
      <c r="E37" s="23">
        <f>SUMIFS(DATA!$AK$2:$AK$1001,DATA!$F$2:$F$1001,E$5)</f>
        <v>3</v>
      </c>
      <c r="F37" s="23">
        <f>SUMIFS(DATA!$AK$2:$AK$1001,DATA!$F$2:$F$1001,F$5)</f>
        <v>1</v>
      </c>
      <c r="G37" s="23">
        <f>SUM(DATA!$AK$2:$AK$1001)</f>
        <v>13</v>
      </c>
      <c r="I37" s="24">
        <f t="shared" ref="I37:M42" si="5">IFERROR(C37/C$8,0)</f>
        <v>4.1666666666666664E-2</v>
      </c>
      <c r="J37" s="24">
        <f t="shared" si="5"/>
        <v>7.6086956521739135E-2</v>
      </c>
      <c r="K37" s="24">
        <f t="shared" si="5"/>
        <v>4.6875E-2</v>
      </c>
      <c r="L37" s="24">
        <f t="shared" si="5"/>
        <v>2.6315789473684209E-2</v>
      </c>
      <c r="M37" s="24">
        <f t="shared" si="5"/>
        <v>5.3719008264462811E-2</v>
      </c>
      <c r="N37" s="25" t="str">
        <f t="shared" ref="N37:N42" si="6">IF(G37=0,"-",IF(G37/G$57&gt;=15%,"Tinggi",IF(G37/G$57&gt;=8%,"Sedang","Rendah")))</f>
        <v>Sedang</v>
      </c>
      <c r="O37" s="22" t="s">
        <v>41</v>
      </c>
    </row>
    <row r="38" spans="1:15" ht="22.5" customHeight="1">
      <c r="A38" s="21">
        <v>25</v>
      </c>
      <c r="B38" s="22" t="s">
        <v>42</v>
      </c>
      <c r="C38" s="23">
        <f>SUMIFS(DATA!$AL$2:$AL$1001,DATA!$F$2:$F$1001,C$5)</f>
        <v>1</v>
      </c>
      <c r="D38" s="23">
        <f>SUMIFS(DATA!$AL$2:$AL$1001,DATA!$F$2:$F$1001,D$5)</f>
        <v>1</v>
      </c>
      <c r="E38" s="23">
        <f>SUMIFS(DATA!$AL$2:$AL$1001,DATA!$F$2:$F$1001,E$5)</f>
        <v>2</v>
      </c>
      <c r="F38" s="23">
        <f>SUMIFS(DATA!$AL$2:$AL$1001,DATA!$F$2:$F$1001,F$5)</f>
        <v>0</v>
      </c>
      <c r="G38" s="23">
        <f>SUM(DATA!$AL$2:$AL$1001)</f>
        <v>4</v>
      </c>
      <c r="I38" s="24">
        <f t="shared" si="5"/>
        <v>2.0833333333333332E-2</v>
      </c>
      <c r="J38" s="24">
        <f t="shared" si="5"/>
        <v>1.0869565217391304E-2</v>
      </c>
      <c r="K38" s="24">
        <f t="shared" si="5"/>
        <v>3.125E-2</v>
      </c>
      <c r="L38" s="24">
        <f t="shared" si="5"/>
        <v>0</v>
      </c>
      <c r="M38" s="24">
        <f t="shared" si="5"/>
        <v>1.6528925619834711E-2</v>
      </c>
      <c r="N38" s="25" t="str">
        <f t="shared" si="6"/>
        <v>Rendah</v>
      </c>
      <c r="O38" s="22" t="s">
        <v>43</v>
      </c>
    </row>
    <row r="39" spans="1:15" ht="22.5" customHeight="1">
      <c r="A39" s="21">
        <v>26</v>
      </c>
      <c r="B39" s="22" t="s">
        <v>44</v>
      </c>
      <c r="C39" s="23">
        <f>SUMIFS(DATA!$AM$2:$AM$1001,DATA!$F$2:$F$1001,C$5)</f>
        <v>7</v>
      </c>
      <c r="D39" s="23">
        <f>SUMIFS(DATA!$AM$2:$AM$1001,DATA!$F$2:$F$1001,D$5)</f>
        <v>18</v>
      </c>
      <c r="E39" s="23">
        <f>SUMIFS(DATA!$AM$2:$AM$1001,DATA!$F$2:$F$1001,E$5)</f>
        <v>4</v>
      </c>
      <c r="F39" s="23">
        <f>SUMIFS(DATA!$AM$2:$AM$1001,DATA!$F$2:$F$1001,F$5)</f>
        <v>2</v>
      </c>
      <c r="G39" s="23">
        <f>SUM(DATA!$AM$2:$AM$1001)</f>
        <v>31</v>
      </c>
      <c r="I39" s="24">
        <f t="shared" si="5"/>
        <v>0.14583333333333334</v>
      </c>
      <c r="J39" s="24">
        <f t="shared" si="5"/>
        <v>0.19565217391304349</v>
      </c>
      <c r="K39" s="24">
        <f t="shared" si="5"/>
        <v>6.25E-2</v>
      </c>
      <c r="L39" s="24">
        <f t="shared" si="5"/>
        <v>5.2631578947368418E-2</v>
      </c>
      <c r="M39" s="24">
        <f t="shared" si="5"/>
        <v>0.128099173553719</v>
      </c>
      <c r="N39" s="25" t="str">
        <f t="shared" si="6"/>
        <v>Tinggi</v>
      </c>
      <c r="O39" s="22" t="s">
        <v>45</v>
      </c>
    </row>
    <row r="40" spans="1:15" ht="22.5" customHeight="1">
      <c r="A40" s="21">
        <v>27</v>
      </c>
      <c r="B40" s="22" t="s">
        <v>46</v>
      </c>
      <c r="C40" s="23">
        <f>SUMIFS(DATA!$AN$2:$AN$1001,DATA!$F$2:$F$1001,C$5)</f>
        <v>0</v>
      </c>
      <c r="D40" s="23">
        <f>SUMIFS(DATA!$AN$2:$AN$1001,DATA!$F$2:$F$1001,D$5)</f>
        <v>2</v>
      </c>
      <c r="E40" s="23">
        <f>SUMIFS(DATA!$AN$2:$AN$1001,DATA!$F$2:$F$1001,E$5)</f>
        <v>2</v>
      </c>
      <c r="F40" s="23">
        <f>SUMIFS(DATA!$AN$2:$AN$1001,DATA!$F$2:$F$1001,F$5)</f>
        <v>0</v>
      </c>
      <c r="G40" s="23">
        <f>SUM(DATA!$AN$2:$AN$1001)</f>
        <v>4</v>
      </c>
      <c r="I40" s="24">
        <f t="shared" si="5"/>
        <v>0</v>
      </c>
      <c r="J40" s="24">
        <f t="shared" si="5"/>
        <v>2.1739130434782608E-2</v>
      </c>
      <c r="K40" s="24">
        <f t="shared" si="5"/>
        <v>3.125E-2</v>
      </c>
      <c r="L40" s="24">
        <f t="shared" si="5"/>
        <v>0</v>
      </c>
      <c r="M40" s="24">
        <f t="shared" si="5"/>
        <v>1.6528925619834711E-2</v>
      </c>
      <c r="N40" s="25" t="str">
        <f t="shared" si="6"/>
        <v>Rendah</v>
      </c>
      <c r="O40" s="22" t="s">
        <v>47</v>
      </c>
    </row>
    <row r="41" spans="1:15" ht="22.5" customHeight="1">
      <c r="A41" s="21">
        <v>28</v>
      </c>
      <c r="B41" s="22" t="s">
        <v>48</v>
      </c>
      <c r="C41" s="23">
        <f>SUMIFS(DATA!$AO$2:$AO$1001,DATA!$F$2:$F$1001,C$5)</f>
        <v>3</v>
      </c>
      <c r="D41" s="23">
        <f>SUMIFS(DATA!$AO$2:$AO$1001,DATA!$F$2:$F$1001,D$5)</f>
        <v>6</v>
      </c>
      <c r="E41" s="23">
        <f>SUMIFS(DATA!$AO$2:$AO$1001,DATA!$F$2:$F$1001,E$5)</f>
        <v>3</v>
      </c>
      <c r="F41" s="23">
        <f>SUMIFS(DATA!$AO$2:$AO$1001,DATA!$F$2:$F$1001,F$5)</f>
        <v>1</v>
      </c>
      <c r="G41" s="23">
        <f>SUM(DATA!$AO$2:$AO$1001)</f>
        <v>13</v>
      </c>
      <c r="I41" s="24">
        <f t="shared" si="5"/>
        <v>6.25E-2</v>
      </c>
      <c r="J41" s="24">
        <f t="shared" si="5"/>
        <v>6.5217391304347824E-2</v>
      </c>
      <c r="K41" s="24">
        <f t="shared" si="5"/>
        <v>4.6875E-2</v>
      </c>
      <c r="L41" s="24">
        <f t="shared" si="5"/>
        <v>2.6315789473684209E-2</v>
      </c>
      <c r="M41" s="24">
        <f t="shared" si="5"/>
        <v>5.3719008264462811E-2</v>
      </c>
      <c r="N41" s="25" t="str">
        <f t="shared" si="6"/>
        <v>Sedang</v>
      </c>
      <c r="O41" s="22" t="s">
        <v>49</v>
      </c>
    </row>
    <row r="42" spans="1:15" ht="22.5" customHeight="1">
      <c r="A42" s="21">
        <v>29</v>
      </c>
      <c r="B42" s="22" t="s">
        <v>50</v>
      </c>
      <c r="C42" s="23">
        <f>SUMIFS(DATA!$AP$2:$AP$1001,DATA!$F$2:$F$1001,C$5)</f>
        <v>0</v>
      </c>
      <c r="D42" s="23">
        <f>SUMIFS(DATA!$AP$2:$AP$1001,DATA!$F$2:$F$1001,D$5)</f>
        <v>4</v>
      </c>
      <c r="E42" s="23">
        <f>SUMIFS(DATA!$AP$2:$AP$1001,DATA!$F$2:$F$1001,E$5)</f>
        <v>2</v>
      </c>
      <c r="F42" s="23">
        <f>SUMIFS(DATA!$AP$2:$AP$1001,DATA!$F$2:$F$1001,F$5)</f>
        <v>1</v>
      </c>
      <c r="G42" s="23">
        <f>SUM(DATA!$AP$2:$AP$1001)</f>
        <v>7</v>
      </c>
      <c r="I42" s="24">
        <f t="shared" si="5"/>
        <v>0</v>
      </c>
      <c r="J42" s="24">
        <f t="shared" si="5"/>
        <v>4.3478260869565216E-2</v>
      </c>
      <c r="K42" s="24">
        <f t="shared" si="5"/>
        <v>3.125E-2</v>
      </c>
      <c r="L42" s="24">
        <f t="shared" si="5"/>
        <v>2.6315789473684209E-2</v>
      </c>
      <c r="M42" s="24">
        <f t="shared" si="5"/>
        <v>2.8925619834710745E-2</v>
      </c>
      <c r="N42" s="25" t="str">
        <f t="shared" si="6"/>
        <v>Rendah</v>
      </c>
      <c r="O42" s="22" t="s">
        <v>51</v>
      </c>
    </row>
    <row r="43" spans="1:15">
      <c r="A43" s="11"/>
      <c r="B43" s="11" t="s">
        <v>52</v>
      </c>
      <c r="C43" s="11"/>
      <c r="D43" s="11"/>
      <c r="E43" s="11"/>
      <c r="F43" s="11"/>
      <c r="G43" s="11"/>
      <c r="H43" s="12"/>
      <c r="I43" s="11"/>
      <c r="J43" s="11"/>
      <c r="K43" s="11"/>
      <c r="L43" s="11"/>
      <c r="M43" s="11"/>
      <c r="N43" s="11"/>
      <c r="O43" s="11"/>
    </row>
    <row r="44" spans="1:15" ht="22.5" customHeight="1">
      <c r="A44" s="21">
        <v>30</v>
      </c>
      <c r="B44" s="22" t="s">
        <v>53</v>
      </c>
      <c r="C44" s="23">
        <f>SUMIFS(DATA!$AQ$2:$AQ$1001,DATA!$F$2:$F$1001,C$5)</f>
        <v>2</v>
      </c>
      <c r="D44" s="23">
        <f>SUMIFS(DATA!$AQ$2:$AQ$1001,DATA!$F$2:$F$1001,D$5)</f>
        <v>9</v>
      </c>
      <c r="E44" s="23">
        <f>SUMIFS(DATA!$AQ$2:$AQ$1001,DATA!$F$2:$F$1001,E$5)</f>
        <v>9</v>
      </c>
      <c r="F44" s="23">
        <f>SUMIFS(DATA!$AQ$2:$AQ$1001,DATA!$F$2:$F$1001,F$5)</f>
        <v>2</v>
      </c>
      <c r="G44" s="23">
        <f>SUM(DATA!$AQ$2:$AQ$1001)</f>
        <v>22</v>
      </c>
      <c r="I44" s="24">
        <f t="shared" ref="I44:M48" si="7">IFERROR(C44/C$8,0)</f>
        <v>4.1666666666666664E-2</v>
      </c>
      <c r="J44" s="24">
        <f t="shared" si="7"/>
        <v>9.7826086956521743E-2</v>
      </c>
      <c r="K44" s="24">
        <f t="shared" si="7"/>
        <v>0.140625</v>
      </c>
      <c r="L44" s="24">
        <f t="shared" si="7"/>
        <v>5.2631578947368418E-2</v>
      </c>
      <c r="M44" s="24">
        <f t="shared" si="7"/>
        <v>9.0909090909090912E-2</v>
      </c>
      <c r="N44" s="25" t="str">
        <f>IF(G44=0,"-",IF(G44/G$57&gt;=15%,"Tinggi",IF(G44/G$57&gt;=8%,"Sedang","Rendah")))</f>
        <v>Tinggi</v>
      </c>
      <c r="O44" s="22" t="s">
        <v>54</v>
      </c>
    </row>
    <row r="45" spans="1:15" ht="22.5" customHeight="1">
      <c r="A45" s="21">
        <v>31</v>
      </c>
      <c r="B45" s="22" t="s">
        <v>55</v>
      </c>
      <c r="C45" s="23">
        <f>SUMIFS(DATA!$AR$2:$AR$1001,DATA!$F$2:$F$1001,C$5)</f>
        <v>4</v>
      </c>
      <c r="D45" s="23">
        <f>SUMIFS(DATA!$AR$2:$AR$1001,DATA!$F$2:$F$1001,D$5)</f>
        <v>3</v>
      </c>
      <c r="E45" s="23">
        <f>SUMIFS(DATA!$AR$2:$AR$1001,DATA!$F$2:$F$1001,E$5)</f>
        <v>10</v>
      </c>
      <c r="F45" s="23">
        <f>SUMIFS(DATA!$AR$2:$AR$1001,DATA!$F$2:$F$1001,F$5)</f>
        <v>1</v>
      </c>
      <c r="G45" s="23">
        <f>SUM(DATA!$AR$2:$AR$1001)</f>
        <v>18</v>
      </c>
      <c r="I45" s="24">
        <f t="shared" si="7"/>
        <v>8.3333333333333329E-2</v>
      </c>
      <c r="J45" s="24">
        <f t="shared" si="7"/>
        <v>3.2608695652173912E-2</v>
      </c>
      <c r="K45" s="24">
        <f t="shared" si="7"/>
        <v>0.15625</v>
      </c>
      <c r="L45" s="24">
        <f t="shared" si="7"/>
        <v>2.6315789473684209E-2</v>
      </c>
      <c r="M45" s="24">
        <f t="shared" si="7"/>
        <v>7.43801652892562E-2</v>
      </c>
      <c r="N45" s="25" t="str">
        <f>IF(G45=0,"-",IF(G45/G$57&gt;=15%,"Tinggi",IF(G45/G$57&gt;=8%,"Sedang","Rendah")))</f>
        <v>Sedang</v>
      </c>
      <c r="O45" s="22" t="s">
        <v>56</v>
      </c>
    </row>
    <row r="46" spans="1:15" ht="22.5" customHeight="1">
      <c r="A46" s="21">
        <v>32</v>
      </c>
      <c r="B46" s="22" t="s">
        <v>57</v>
      </c>
      <c r="C46" s="23">
        <f>SUMIFS(DATA!$AS$2:$AS$1001,DATA!$F$2:$F$1001,C$5)</f>
        <v>2</v>
      </c>
      <c r="D46" s="23">
        <f>SUMIFS(DATA!$AS$2:$AS$1001,DATA!$F$2:$F$1001,D$5)</f>
        <v>5</v>
      </c>
      <c r="E46" s="23">
        <f>SUMIFS(DATA!$AS$2:$AS$1001,DATA!$F$2:$F$1001,E$5)</f>
        <v>2</v>
      </c>
      <c r="F46" s="23">
        <f>SUMIFS(DATA!$AS$2:$AS$1001,DATA!$F$2:$F$1001,F$5)</f>
        <v>0</v>
      </c>
      <c r="G46" s="23">
        <f>SUM(DATA!$AS$2:$AS$1001)</f>
        <v>9</v>
      </c>
      <c r="I46" s="24">
        <f t="shared" si="7"/>
        <v>4.1666666666666664E-2</v>
      </c>
      <c r="J46" s="24">
        <f t="shared" si="7"/>
        <v>5.434782608695652E-2</v>
      </c>
      <c r="K46" s="24">
        <f t="shared" si="7"/>
        <v>3.125E-2</v>
      </c>
      <c r="L46" s="24">
        <f t="shared" si="7"/>
        <v>0</v>
      </c>
      <c r="M46" s="24">
        <f t="shared" si="7"/>
        <v>3.71900826446281E-2</v>
      </c>
      <c r="N46" s="25" t="str">
        <f>IF(G46=0,"-",IF(G46/G$57&gt;=15%,"Tinggi",IF(G46/G$57&gt;=8%,"Sedang","Rendah")))</f>
        <v>Rendah</v>
      </c>
      <c r="O46" s="22" t="s">
        <v>58</v>
      </c>
    </row>
    <row r="47" spans="1:15" ht="22.5" customHeight="1">
      <c r="A47" s="21">
        <v>33</v>
      </c>
      <c r="B47" s="22" t="s">
        <v>59</v>
      </c>
      <c r="C47" s="23">
        <f>SUMIFS(DATA!$AT$2:$AT$1001,DATA!$F$2:$F$1001,C$5)</f>
        <v>2</v>
      </c>
      <c r="D47" s="23">
        <f>SUMIFS(DATA!$AT$2:$AT$1001,DATA!$F$2:$F$1001,D$5)</f>
        <v>4</v>
      </c>
      <c r="E47" s="23">
        <f>SUMIFS(DATA!$AT$2:$AT$1001,DATA!$F$2:$F$1001,E$5)</f>
        <v>0</v>
      </c>
      <c r="F47" s="23">
        <f>SUMIFS(DATA!$AT$2:$AT$1001,DATA!$F$2:$F$1001,F$5)</f>
        <v>2</v>
      </c>
      <c r="G47" s="23">
        <f>SUM(DATA!$AT$2:$AT$1001)</f>
        <v>8</v>
      </c>
      <c r="I47" s="24">
        <f t="shared" si="7"/>
        <v>4.1666666666666664E-2</v>
      </c>
      <c r="J47" s="24">
        <f t="shared" si="7"/>
        <v>4.3478260869565216E-2</v>
      </c>
      <c r="K47" s="24">
        <f t="shared" si="7"/>
        <v>0</v>
      </c>
      <c r="L47" s="24">
        <f t="shared" si="7"/>
        <v>5.2631578947368418E-2</v>
      </c>
      <c r="M47" s="24">
        <f t="shared" si="7"/>
        <v>3.3057851239669422E-2</v>
      </c>
      <c r="N47" s="25" t="str">
        <f>IF(G47=0,"-",IF(G47/G$57&gt;=15%,"Tinggi",IF(G47/G$57&gt;=8%,"Sedang","Rendah")))</f>
        <v>Rendah</v>
      </c>
      <c r="O47" s="22" t="s">
        <v>60</v>
      </c>
    </row>
    <row r="48" spans="1:15" ht="22.5" customHeight="1">
      <c r="A48" s="21">
        <v>34</v>
      </c>
      <c r="B48" s="22" t="s">
        <v>61</v>
      </c>
      <c r="C48" s="23">
        <f>SUMIFS(DATA!$AU$2:$AU$1001,DATA!$F$2:$F$1001,C$5)</f>
        <v>0</v>
      </c>
      <c r="D48" s="23">
        <f>SUMIFS(DATA!$AU$2:$AU$1001,DATA!$F$2:$F$1001,D$5)</f>
        <v>4</v>
      </c>
      <c r="E48" s="23">
        <f>SUMIFS(DATA!$AU$2:$AU$1001,DATA!$F$2:$F$1001,E$5)</f>
        <v>4</v>
      </c>
      <c r="F48" s="23">
        <f>SUMIFS(DATA!$AU$2:$AU$1001,DATA!$F$2:$F$1001,F$5)</f>
        <v>1</v>
      </c>
      <c r="G48" s="23">
        <f>SUM(DATA!$AU$2:$AU$1001)</f>
        <v>9</v>
      </c>
      <c r="I48" s="24">
        <f t="shared" si="7"/>
        <v>0</v>
      </c>
      <c r="J48" s="24">
        <f t="shared" si="7"/>
        <v>4.3478260869565216E-2</v>
      </c>
      <c r="K48" s="24">
        <f t="shared" si="7"/>
        <v>6.25E-2</v>
      </c>
      <c r="L48" s="24">
        <f t="shared" si="7"/>
        <v>2.6315789473684209E-2</v>
      </c>
      <c r="M48" s="24">
        <f t="shared" si="7"/>
        <v>3.71900826446281E-2</v>
      </c>
      <c r="N48" s="25" t="str">
        <f>IF(G48=0,"-",IF(G48/G$57&gt;=15%,"Tinggi",IF(G48/G$57&gt;=8%,"Sedang","Rendah")))</f>
        <v>Rendah</v>
      </c>
      <c r="O48" s="22" t="s">
        <v>62</v>
      </c>
    </row>
    <row r="49" spans="1:15">
      <c r="A49" s="11"/>
      <c r="B49" s="11" t="s">
        <v>63</v>
      </c>
      <c r="C49" s="11"/>
      <c r="D49" s="11"/>
      <c r="E49" s="11"/>
      <c r="F49" s="11"/>
      <c r="G49" s="11"/>
      <c r="H49" s="12"/>
      <c r="I49" s="11"/>
      <c r="J49" s="11"/>
      <c r="K49" s="11"/>
      <c r="L49" s="11"/>
      <c r="M49" s="11"/>
      <c r="N49" s="11"/>
      <c r="O49" s="11"/>
    </row>
    <row r="50" spans="1:15" ht="22.5" customHeight="1">
      <c r="A50" s="21">
        <v>35</v>
      </c>
      <c r="B50" s="22" t="s">
        <v>64</v>
      </c>
      <c r="C50" s="23">
        <f>SUMIFS(DATA!$AV$2:$AV$1001,DATA!$F$2:$F$1001,C$5)</f>
        <v>0</v>
      </c>
      <c r="D50" s="23">
        <f>SUMIFS(DATA!$AV$2:$AV$1001,DATA!$F$2:$F$1001,D$5)</f>
        <v>1</v>
      </c>
      <c r="E50" s="23">
        <f>SUMIFS(DATA!$AV$2:$AV$1001,DATA!$F$2:$F$1001,E$5)</f>
        <v>2</v>
      </c>
      <c r="F50" s="23">
        <f>SUMIFS(DATA!$AV$2:$AV$1001,DATA!$F$2:$F$1001,F$5)</f>
        <v>0</v>
      </c>
      <c r="G50" s="23">
        <f>SUM(DATA!$AV$2:$AV$1001)</f>
        <v>3</v>
      </c>
      <c r="I50" s="24">
        <f t="shared" ref="I50:M53" si="8">IFERROR(C50/C$8,0)</f>
        <v>0</v>
      </c>
      <c r="J50" s="24">
        <f t="shared" si="8"/>
        <v>1.0869565217391304E-2</v>
      </c>
      <c r="K50" s="24">
        <f t="shared" si="8"/>
        <v>3.125E-2</v>
      </c>
      <c r="L50" s="24">
        <f t="shared" si="8"/>
        <v>0</v>
      </c>
      <c r="M50" s="24">
        <f t="shared" si="8"/>
        <v>1.2396694214876033E-2</v>
      </c>
      <c r="N50" s="25" t="str">
        <f>IF(G50=0,"-",IF(G50/G$57&gt;=15%,"Tinggi",IF(G50/G$57&gt;=8%,"Sedang","Rendah")))</f>
        <v>Rendah</v>
      </c>
      <c r="O50" s="22" t="s">
        <v>65</v>
      </c>
    </row>
    <row r="51" spans="1:15" ht="22.5" customHeight="1">
      <c r="A51" s="21">
        <v>36</v>
      </c>
      <c r="B51" s="22" t="s">
        <v>66</v>
      </c>
      <c r="C51" s="23">
        <f>SUMIFS(DATA!$AW$2:$AW$1001,DATA!$F$2:$F$1001,C$5)</f>
        <v>1</v>
      </c>
      <c r="D51" s="23">
        <f>SUMIFS(DATA!$AW$2:$AW$1001,DATA!$F$2:$F$1001,D$5)</f>
        <v>2</v>
      </c>
      <c r="E51" s="23">
        <f>SUMIFS(DATA!$AW$2:$AW$1001,DATA!$F$2:$F$1001,E$5)</f>
        <v>0</v>
      </c>
      <c r="F51" s="23">
        <f>SUMIFS(DATA!$AW$2:$AW$1001,DATA!$F$2:$F$1001,F$5)</f>
        <v>1</v>
      </c>
      <c r="G51" s="23">
        <f>SUM(DATA!$AW$2:$AW$1001)</f>
        <v>4</v>
      </c>
      <c r="I51" s="24">
        <f t="shared" si="8"/>
        <v>2.0833333333333332E-2</v>
      </c>
      <c r="J51" s="24">
        <f t="shared" si="8"/>
        <v>2.1739130434782608E-2</v>
      </c>
      <c r="K51" s="24">
        <f t="shared" si="8"/>
        <v>0</v>
      </c>
      <c r="L51" s="24">
        <f t="shared" si="8"/>
        <v>2.6315789473684209E-2</v>
      </c>
      <c r="M51" s="24">
        <f t="shared" si="8"/>
        <v>1.6528925619834711E-2</v>
      </c>
      <c r="N51" s="25" t="str">
        <f>IF(G51=0,"-",IF(G51/G$57&gt;=15%,"Tinggi",IF(G51/G$57&gt;=8%,"Sedang","Rendah")))</f>
        <v>Rendah</v>
      </c>
      <c r="O51" s="22" t="s">
        <v>67</v>
      </c>
    </row>
    <row r="52" spans="1:15" ht="22.5" customHeight="1">
      <c r="A52" s="21">
        <v>37</v>
      </c>
      <c r="B52" s="22" t="s">
        <v>68</v>
      </c>
      <c r="C52" s="23">
        <f>SUMIFS(DATA!$AX$2:$AX$1001,DATA!$F$2:$F$1001,C$5)</f>
        <v>1</v>
      </c>
      <c r="D52" s="23">
        <f>SUMIFS(DATA!$AX$2:$AX$1001,DATA!$F$2:$F$1001,D$5)</f>
        <v>1</v>
      </c>
      <c r="E52" s="23">
        <f>SUMIFS(DATA!$AX$2:$AX$1001,DATA!$F$2:$F$1001,E$5)</f>
        <v>2</v>
      </c>
      <c r="F52" s="23">
        <f>SUMIFS(DATA!$AX$2:$AX$1001,DATA!$F$2:$F$1001,F$5)</f>
        <v>0</v>
      </c>
      <c r="G52" s="23">
        <f>SUM(DATA!$AX$2:$AX$1001)</f>
        <v>4</v>
      </c>
      <c r="I52" s="24">
        <f t="shared" si="8"/>
        <v>2.0833333333333332E-2</v>
      </c>
      <c r="J52" s="24">
        <f t="shared" si="8"/>
        <v>1.0869565217391304E-2</v>
      </c>
      <c r="K52" s="24">
        <f t="shared" si="8"/>
        <v>3.125E-2</v>
      </c>
      <c r="L52" s="24">
        <f t="shared" si="8"/>
        <v>0</v>
      </c>
      <c r="M52" s="24">
        <f t="shared" si="8"/>
        <v>1.6528925619834711E-2</v>
      </c>
      <c r="N52" s="25" t="str">
        <f>IF(G52=0,"-",IF(G52/G$57&gt;=15%,"Tinggi",IF(G52/G$57&gt;=8%,"Sedang","Rendah")))</f>
        <v>Rendah</v>
      </c>
      <c r="O52" s="22" t="s">
        <v>69</v>
      </c>
    </row>
    <row r="53" spans="1:15" ht="22.5" customHeight="1">
      <c r="A53" s="21">
        <v>38</v>
      </c>
      <c r="B53" s="22" t="s">
        <v>70</v>
      </c>
      <c r="C53" s="23">
        <f>SUMIFS(DATA!$AY$2:$AY$1001,DATA!$F$2:$F$1001,C$5)</f>
        <v>1</v>
      </c>
      <c r="D53" s="23">
        <f>SUMIFS(DATA!$AY$2:$AY$1001,DATA!$F$2:$F$1001,D$5)</f>
        <v>3</v>
      </c>
      <c r="E53" s="23">
        <f>SUMIFS(DATA!$AY$2:$AY$1001,DATA!$F$2:$F$1001,E$5)</f>
        <v>1</v>
      </c>
      <c r="F53" s="23">
        <f>SUMIFS(DATA!$AY$2:$AY$1001,DATA!$F$2:$F$1001,F$5)</f>
        <v>0</v>
      </c>
      <c r="G53" s="23">
        <f>SUM(DATA!$AY$2:$AY$1001)</f>
        <v>5</v>
      </c>
      <c r="I53" s="24">
        <f t="shared" si="8"/>
        <v>2.0833333333333332E-2</v>
      </c>
      <c r="J53" s="24">
        <f t="shared" si="8"/>
        <v>3.2608695652173912E-2</v>
      </c>
      <c r="K53" s="24">
        <f t="shared" si="8"/>
        <v>1.5625E-2</v>
      </c>
      <c r="L53" s="24">
        <f t="shared" si="8"/>
        <v>0</v>
      </c>
      <c r="M53" s="24">
        <f t="shared" si="8"/>
        <v>2.0661157024793389E-2</v>
      </c>
      <c r="N53" s="25" t="str">
        <f>IF(G53=0,"-",IF(G53/G$57&gt;=15%,"Tinggi",IF(G53/G$57&gt;=8%,"Sedang","Rendah")))</f>
        <v>Rendah</v>
      </c>
      <c r="O53" s="22" t="s">
        <v>71</v>
      </c>
    </row>
    <row r="54" spans="1:15">
      <c r="A54" s="11"/>
      <c r="B54" s="11" t="s">
        <v>72</v>
      </c>
      <c r="C54" s="11"/>
      <c r="D54" s="11"/>
      <c r="E54" s="11"/>
      <c r="F54" s="11"/>
      <c r="G54" s="11"/>
      <c r="H54" s="12"/>
      <c r="I54" s="11"/>
      <c r="J54" s="11"/>
      <c r="K54" s="11"/>
      <c r="L54" s="11"/>
      <c r="M54" s="11"/>
      <c r="N54" s="11"/>
      <c r="O54" s="11"/>
    </row>
    <row r="55" spans="1:15" ht="22.5" customHeight="1">
      <c r="A55" s="21">
        <v>39</v>
      </c>
      <c r="B55" s="22" t="s">
        <v>73</v>
      </c>
      <c r="C55" s="23">
        <f>SUMIFS(DATA!$AZ$2:$AZ$1001,DATA!$F$2:$F$1001,C$5)</f>
        <v>2</v>
      </c>
      <c r="D55" s="23">
        <f>SUMIFS(DATA!$AZ$2:$AZ$1001,DATA!$F$2:$F$1001,D$5)</f>
        <v>5</v>
      </c>
      <c r="E55" s="23">
        <f>SUMIFS(DATA!$AZ$2:$AZ$1001,DATA!$F$2:$F$1001,E$5)</f>
        <v>5</v>
      </c>
      <c r="F55" s="23">
        <f>SUMIFS(DATA!$AZ$2:$AZ$1001,DATA!$F$2:$F$1001,F$5)</f>
        <v>2</v>
      </c>
      <c r="G55" s="23">
        <f>SUM(DATA!$AZ$2:$AZ$1001)</f>
        <v>14</v>
      </c>
      <c r="I55" s="24">
        <f t="shared" ref="I55:M58" si="9">IFERROR(C55/C$8,0)</f>
        <v>4.1666666666666664E-2</v>
      </c>
      <c r="J55" s="24">
        <f t="shared" si="9"/>
        <v>5.434782608695652E-2</v>
      </c>
      <c r="K55" s="24">
        <f t="shared" si="9"/>
        <v>7.8125E-2</v>
      </c>
      <c r="L55" s="24">
        <f t="shared" si="9"/>
        <v>5.2631578947368418E-2</v>
      </c>
      <c r="M55" s="24">
        <f t="shared" si="9"/>
        <v>5.7851239669421489E-2</v>
      </c>
      <c r="N55" s="25" t="s">
        <v>74</v>
      </c>
      <c r="O55" s="22" t="s">
        <v>75</v>
      </c>
    </row>
    <row r="56" spans="1:15" ht="22.5" customHeight="1">
      <c r="A56" s="21">
        <v>40</v>
      </c>
      <c r="B56" s="22" t="s">
        <v>76</v>
      </c>
      <c r="C56" s="23">
        <f>SUMIFS(DATA!$BA$2:$BA$1001,DATA!$F$2:$F$1001,C$5)</f>
        <v>6</v>
      </c>
      <c r="D56" s="23">
        <f>SUMIFS(DATA!$BA$2:$BA$1001,DATA!$F$2:$F$1001,D$5)</f>
        <v>10</v>
      </c>
      <c r="E56" s="23">
        <f>SUMIFS(DATA!$BA$2:$BA$1001,DATA!$F$2:$F$1001,E$5)</f>
        <v>11</v>
      </c>
      <c r="F56" s="23">
        <f>SUMIFS(DATA!$BA$2:$BA$1001,DATA!$F$2:$F$1001,F$5)</f>
        <v>1</v>
      </c>
      <c r="G56" s="23">
        <f>SUM(DATA!$BA$2:$BA$1001)</f>
        <v>28</v>
      </c>
      <c r="I56" s="24">
        <f t="shared" si="9"/>
        <v>0.125</v>
      </c>
      <c r="J56" s="24">
        <f t="shared" si="9"/>
        <v>0.10869565217391304</v>
      </c>
      <c r="K56" s="24">
        <f t="shared" si="9"/>
        <v>0.171875</v>
      </c>
      <c r="L56" s="24">
        <f t="shared" si="9"/>
        <v>2.6315789473684209E-2</v>
      </c>
      <c r="M56" s="24">
        <f t="shared" si="9"/>
        <v>0.11570247933884298</v>
      </c>
      <c r="N56" s="25" t="s">
        <v>74</v>
      </c>
      <c r="O56" s="22" t="s">
        <v>77</v>
      </c>
    </row>
    <row r="57" spans="1:15">
      <c r="A57" s="18">
        <v>41</v>
      </c>
      <c r="B57" s="19" t="s">
        <v>78</v>
      </c>
      <c r="C57" s="26">
        <f>SUMIFS(DATA!$BB$2:$BB$1001,DATA!$F$2:$F$1001,C$5)</f>
        <v>28</v>
      </c>
      <c r="D57" s="26">
        <f>SUMIFS(DATA!$BB$2:$BB$1001,DATA!$F$2:$F$1001,D$5)</f>
        <v>61</v>
      </c>
      <c r="E57" s="26">
        <f>SUMIFS(DATA!$BB$2:$BB$1001,DATA!$F$2:$F$1001,E$5)</f>
        <v>42</v>
      </c>
      <c r="F57" s="26">
        <f>SUMIFS(DATA!$BB$2:$BB$1001,DATA!$F$2:$F$1001,F$5)</f>
        <v>12</v>
      </c>
      <c r="G57" s="26">
        <f>SUM(DATA!$BB$2:$BB$1001)</f>
        <v>143</v>
      </c>
      <c r="I57" s="27">
        <f t="shared" si="9"/>
        <v>0.58333333333333337</v>
      </c>
      <c r="J57" s="27">
        <f t="shared" si="9"/>
        <v>0.66304347826086951</v>
      </c>
      <c r="K57" s="27">
        <f t="shared" si="9"/>
        <v>0.65625</v>
      </c>
      <c r="L57" s="27">
        <f t="shared" si="9"/>
        <v>0.31578947368421051</v>
      </c>
      <c r="M57" s="27">
        <f t="shared" si="9"/>
        <v>0.59090909090909094</v>
      </c>
      <c r="N57" s="19"/>
      <c r="O57" s="19"/>
    </row>
    <row r="58" spans="1:15">
      <c r="A58" s="13">
        <v>42</v>
      </c>
      <c r="B58" s="14" t="s">
        <v>79</v>
      </c>
      <c r="C58" s="15">
        <f>C$8-C57</f>
        <v>20</v>
      </c>
      <c r="D58" s="15">
        <f>D$8-D57</f>
        <v>31</v>
      </c>
      <c r="E58" s="15">
        <f>E$8-E57</f>
        <v>22</v>
      </c>
      <c r="F58" s="15">
        <f>F$8-F57</f>
        <v>26</v>
      </c>
      <c r="G58" s="15">
        <f>G$8-G57</f>
        <v>99</v>
      </c>
      <c r="I58" s="16">
        <f t="shared" si="9"/>
        <v>0.41666666666666669</v>
      </c>
      <c r="J58" s="16">
        <f t="shared" si="9"/>
        <v>0.33695652173913043</v>
      </c>
      <c r="K58" s="16">
        <f t="shared" si="9"/>
        <v>0.34375</v>
      </c>
      <c r="L58" s="16">
        <f t="shared" si="9"/>
        <v>0.68421052631578949</v>
      </c>
      <c r="M58" s="16">
        <f t="shared" si="9"/>
        <v>0.40909090909090912</v>
      </c>
      <c r="N58" s="14"/>
      <c r="O58" s="14"/>
    </row>
    <row r="60" spans="1:15">
      <c r="B60" s="28" t="s">
        <v>80</v>
      </c>
    </row>
    <row r="61" spans="1:15">
      <c r="B61" s="28" t="s">
        <v>81</v>
      </c>
    </row>
    <row r="62" spans="1:15">
      <c r="B62" s="28" t="s">
        <v>82</v>
      </c>
    </row>
    <row r="63" spans="1:15">
      <c r="B63" s="28" t="s">
        <v>83</v>
      </c>
    </row>
  </sheetData>
  <mergeCells count="6">
    <mergeCell ref="O4:O5"/>
    <mergeCell ref="A4:A5"/>
    <mergeCell ref="B4:B5"/>
    <mergeCell ref="C4:G4"/>
    <mergeCell ref="I4:M4"/>
    <mergeCell ref="N4:N5"/>
  </mergeCells>
  <conditionalFormatting sqref="N37:N56">
    <cfRule type="cellIs" dxfId="9" priority="2" operator="equal">
      <formula>"Tinggi"</formula>
    </cfRule>
    <cfRule type="cellIs" dxfId="8" priority="3" operator="equal">
      <formula>"Sedang"</formula>
    </cfRule>
    <cfRule type="cellIs" dxfId="7" priority="4" operator="equal">
      <formula>"Rendah"</formula>
    </cfRule>
  </conditionalFormatting>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7"/>
  <sheetViews>
    <sheetView zoomScaleNormal="100" workbookViewId="0">
      <pane xSplit="2" ySplit="3" topLeftCell="C28" activePane="bottomRight" state="frozen"/>
      <selection pane="topRight" activeCell="C1" sqref="C1"/>
      <selection pane="bottomLeft" activeCell="A88" sqref="A88"/>
      <selection pane="bottomRight" activeCell="M3" sqref="M3"/>
    </sheetView>
  </sheetViews>
  <sheetFormatPr defaultColWidth="8.7109375" defaultRowHeight="11.25"/>
  <cols>
    <col min="1" max="1" width="5" style="5" customWidth="1"/>
    <col min="2" max="2" width="24" style="5" customWidth="1"/>
    <col min="3" max="4" width="9" style="5" customWidth="1"/>
    <col min="5" max="5" width="7" style="5" customWidth="1"/>
    <col min="6" max="8" width="6" style="5" customWidth="1"/>
    <col min="9" max="11" width="10" style="5" customWidth="1"/>
    <col min="12" max="12" width="7" style="5" customWidth="1"/>
    <col min="13" max="13" width="22" style="5" customWidth="1"/>
    <col min="14" max="16384" width="8.7109375" style="5"/>
  </cols>
  <sheetData>
    <row r="1" spans="1:13" ht="15.75" customHeight="1">
      <c r="A1" s="7" t="s">
        <v>84</v>
      </c>
    </row>
    <row r="3" spans="1:13" ht="30" customHeight="1">
      <c r="A3" s="10" t="s">
        <v>2</v>
      </c>
      <c r="B3" s="10" t="s">
        <v>85</v>
      </c>
      <c r="C3" s="10" t="s">
        <v>86</v>
      </c>
      <c r="D3" s="10" t="s">
        <v>87</v>
      </c>
      <c r="E3" s="10" t="s">
        <v>88</v>
      </c>
      <c r="F3" s="10" t="s">
        <v>17</v>
      </c>
      <c r="G3" s="10" t="s">
        <v>18</v>
      </c>
      <c r="H3" s="10" t="s">
        <v>19</v>
      </c>
      <c r="I3" s="10" t="s">
        <v>89</v>
      </c>
      <c r="J3" s="10" t="s">
        <v>90</v>
      </c>
      <c r="K3" s="10" t="s">
        <v>91</v>
      </c>
      <c r="L3" s="10" t="s">
        <v>92</v>
      </c>
      <c r="M3" s="10" t="s">
        <v>93</v>
      </c>
    </row>
    <row r="4" spans="1:13">
      <c r="A4" s="3" t="s">
        <v>94</v>
      </c>
      <c r="B4" s="3"/>
      <c r="C4" s="3"/>
      <c r="D4" s="3"/>
      <c r="E4" s="3"/>
      <c r="F4" s="3"/>
      <c r="G4" s="3"/>
      <c r="H4" s="3"/>
      <c r="I4" s="3"/>
      <c r="J4" s="3"/>
      <c r="K4" s="3"/>
      <c r="L4" s="3"/>
      <c r="M4" s="3"/>
    </row>
    <row r="5" spans="1:13">
      <c r="A5" s="13">
        <v>1</v>
      </c>
      <c r="B5" s="14" t="str">
        <f>PROGRES!B2</f>
        <v>PURWAKARTA</v>
      </c>
      <c r="C5" s="13">
        <f>PROGRES!C2</f>
        <v>3</v>
      </c>
      <c r="D5" s="13">
        <f>COUNTIF(DATA!$E$2:$E$1001,$B5)</f>
        <v>0</v>
      </c>
      <c r="E5" s="29">
        <f t="shared" ref="E5:E26" si="0">IFERROR(D5/C5,0)</f>
        <v>0</v>
      </c>
      <c r="F5" s="13">
        <f>COUNTIFS(DATA!$E$2:$E$1001,$B5,DATA!$H$2:$H$1001,"BM")</f>
        <v>0</v>
      </c>
      <c r="G5" s="13">
        <f>COUNTIFS(DATA!$E$2:$E$1001,$B5,DATA!$H$2:$H$1001,"CRO")</f>
        <v>0</v>
      </c>
      <c r="H5" s="13">
        <f>COUNTIFS(DATA!$E$2:$E$1001,$B5,DATA!$H$2:$H$1001,"BAO")</f>
        <v>0</v>
      </c>
      <c r="I5" s="29" t="str">
        <f>IF($D5=0,"-",COUNTIFS(DATA!$E$2:$E$1001,$B5,DATA!$I$2:$I$1001,"MUDAH")/$D5)</f>
        <v>-</v>
      </c>
      <c r="J5" s="29" t="str">
        <f>IF($D5=0,"-",COUNTIFS(DATA!$E$2:$E$1001,$B5,DATA!$J$2:$J$1001,"YA")/$D5)</f>
        <v>-</v>
      </c>
      <c r="K5" s="29" t="str">
        <f>IF($D5=0,"-",COUNTIFS(DATA!$E$2:$E$1001,$B5,DATA!$K$2:$K$1001,"MUDAH")/$D5)</f>
        <v>-</v>
      </c>
      <c r="L5" s="30" t="str">
        <f>IFERROR(AVERAGEIFS(DATA!$S$2:$S$1001,DATA!$E$2:$E$1001,$B5),"-")</f>
        <v>-</v>
      </c>
      <c r="M5" s="14" t="str">
        <f t="shared" ref="M5:M25" si="1">IF(D5=0,"Belum isi","")</f>
        <v>Belum isi</v>
      </c>
    </row>
    <row r="6" spans="1:13">
      <c r="A6" s="13">
        <v>2</v>
      </c>
      <c r="B6" s="14" t="str">
        <f>PROGRES!B3</f>
        <v>SUKABUMI II</v>
      </c>
      <c r="C6" s="13">
        <f>PROGRES!C3</f>
        <v>6</v>
      </c>
      <c r="D6" s="13">
        <f>COUNTIF(DATA!$E$2:$E$1001,$B6)</f>
        <v>3</v>
      </c>
      <c r="E6" s="29">
        <f t="shared" si="0"/>
        <v>0.5</v>
      </c>
      <c r="F6" s="13">
        <f>COUNTIFS(DATA!$E$2:$E$1001,$B6,DATA!$H$2:$H$1001,"BM")</f>
        <v>0</v>
      </c>
      <c r="G6" s="13">
        <f>COUNTIFS(DATA!$E$2:$E$1001,$B6,DATA!$H$2:$H$1001,"CRO")</f>
        <v>2</v>
      </c>
      <c r="H6" s="13">
        <f>COUNTIFS(DATA!$E$2:$E$1001,$B6,DATA!$H$2:$H$1001,"BAO")</f>
        <v>1</v>
      </c>
      <c r="I6" s="29">
        <f>IF($D6=0,"-",COUNTIFS(DATA!$E$2:$E$1001,$B6,DATA!$I$2:$I$1001,"MUDAH")/$D6)</f>
        <v>0.66666666666666663</v>
      </c>
      <c r="J6" s="29">
        <f>IF($D6=0,"-",COUNTIFS(DATA!$E$2:$E$1001,$B6,DATA!$J$2:$J$1001,"YA")/$D6)</f>
        <v>0.33333333333333331</v>
      </c>
      <c r="K6" s="29">
        <f>IF($D6=0,"-",COUNTIFS(DATA!$E$2:$E$1001,$B6,DATA!$K$2:$K$1001,"MUDAH")/$D6)</f>
        <v>0.66666666666666663</v>
      </c>
      <c r="L6" s="30">
        <f>IFERROR(AVERAGEIFS(DATA!$S$2:$S$1001,DATA!$E$2:$E$1001,$B6),"-")</f>
        <v>2.5555555555555554</v>
      </c>
      <c r="M6" s="14" t="str">
        <f t="shared" si="1"/>
        <v/>
      </c>
    </row>
    <row r="7" spans="1:13">
      <c r="A7" s="13">
        <v>3</v>
      </c>
      <c r="B7" s="14" t="str">
        <f>PROGRES!B4</f>
        <v>PANGANDARAN</v>
      </c>
      <c r="C7" s="13">
        <f>PROGRES!C4</f>
        <v>3</v>
      </c>
      <c r="D7" s="13">
        <f>COUNTIF(DATA!$E$2:$E$1001,$B7)</f>
        <v>0</v>
      </c>
      <c r="E7" s="29">
        <f t="shared" si="0"/>
        <v>0</v>
      </c>
      <c r="F7" s="13">
        <f>COUNTIFS(DATA!$E$2:$E$1001,$B7,DATA!$H$2:$H$1001,"BM")</f>
        <v>0</v>
      </c>
      <c r="G7" s="13">
        <f>COUNTIFS(DATA!$E$2:$E$1001,$B7,DATA!$H$2:$H$1001,"CRO")</f>
        <v>0</v>
      </c>
      <c r="H7" s="13">
        <f>COUNTIFS(DATA!$E$2:$E$1001,$B7,DATA!$H$2:$H$1001,"BAO")</f>
        <v>0</v>
      </c>
      <c r="I7" s="29" t="str">
        <f>IF($D7=0,"-",COUNTIFS(DATA!$E$2:$E$1001,$B7,DATA!$I$2:$I$1001,"MUDAH")/$D7)</f>
        <v>-</v>
      </c>
      <c r="J7" s="29" t="str">
        <f>IF($D7=0,"-",COUNTIFS(DATA!$E$2:$E$1001,$B7,DATA!$J$2:$J$1001,"YA")/$D7)</f>
        <v>-</v>
      </c>
      <c r="K7" s="29" t="str">
        <f>IF($D7=0,"-",COUNTIFS(DATA!$E$2:$E$1001,$B7,DATA!$K$2:$K$1001,"MUDAH")/$D7)</f>
        <v>-</v>
      </c>
      <c r="L7" s="30" t="str">
        <f>IFERROR(AVERAGEIFS(DATA!$S$2:$S$1001,DATA!$E$2:$E$1001,$B7),"-")</f>
        <v>-</v>
      </c>
      <c r="M7" s="14" t="str">
        <f t="shared" si="1"/>
        <v>Belum isi</v>
      </c>
    </row>
    <row r="8" spans="1:13">
      <c r="A8" s="13">
        <v>4</v>
      </c>
      <c r="B8" s="14" t="str">
        <f>PROGRES!B5</f>
        <v>BANDUNG</v>
      </c>
      <c r="C8" s="13">
        <f>PROGRES!C5</f>
        <v>7</v>
      </c>
      <c r="D8" s="13">
        <f>COUNTIF(DATA!$E$2:$E$1001,$B8)</f>
        <v>0</v>
      </c>
      <c r="E8" s="29">
        <f t="shared" si="0"/>
        <v>0</v>
      </c>
      <c r="F8" s="13">
        <f>COUNTIFS(DATA!$E$2:$E$1001,$B8,DATA!$H$2:$H$1001,"BM")</f>
        <v>0</v>
      </c>
      <c r="G8" s="13">
        <f>COUNTIFS(DATA!$E$2:$E$1001,$B8,DATA!$H$2:$H$1001,"CRO")</f>
        <v>0</v>
      </c>
      <c r="H8" s="13">
        <f>COUNTIFS(DATA!$E$2:$E$1001,$B8,DATA!$H$2:$H$1001,"BAO")</f>
        <v>0</v>
      </c>
      <c r="I8" s="29" t="str">
        <f>IF($D8=0,"-",COUNTIFS(DATA!$E$2:$E$1001,$B8,DATA!$I$2:$I$1001,"MUDAH")/$D8)</f>
        <v>-</v>
      </c>
      <c r="J8" s="29" t="str">
        <f>IF($D8=0,"-",COUNTIFS(DATA!$E$2:$E$1001,$B8,DATA!$J$2:$J$1001,"YA")/$D8)</f>
        <v>-</v>
      </c>
      <c r="K8" s="29" t="str">
        <f>IF($D8=0,"-",COUNTIFS(DATA!$E$2:$E$1001,$B8,DATA!$K$2:$K$1001,"MUDAH")/$D8)</f>
        <v>-</v>
      </c>
      <c r="L8" s="30" t="str">
        <f>IFERROR(AVERAGEIFS(DATA!$S$2:$S$1001,DATA!$E$2:$E$1001,$B8),"-")</f>
        <v>-</v>
      </c>
      <c r="M8" s="14" t="str">
        <f t="shared" si="1"/>
        <v>Belum isi</v>
      </c>
    </row>
    <row r="9" spans="1:13">
      <c r="A9" s="13">
        <v>5</v>
      </c>
      <c r="B9" s="14" t="str">
        <f>PROGRES!B6</f>
        <v>BANJAR</v>
      </c>
      <c r="C9" s="13">
        <f>PROGRES!C6</f>
        <v>4</v>
      </c>
      <c r="D9" s="13">
        <f>COUNTIF(DATA!$E$2:$E$1001,$B9)</f>
        <v>3</v>
      </c>
      <c r="E9" s="29">
        <f t="shared" si="0"/>
        <v>0.75</v>
      </c>
      <c r="F9" s="13">
        <f>COUNTIFS(DATA!$E$2:$E$1001,$B9,DATA!$H$2:$H$1001,"BM")</f>
        <v>1</v>
      </c>
      <c r="G9" s="13">
        <f>COUNTIFS(DATA!$E$2:$E$1001,$B9,DATA!$H$2:$H$1001,"CRO")</f>
        <v>2</v>
      </c>
      <c r="H9" s="13">
        <f>COUNTIFS(DATA!$E$2:$E$1001,$B9,DATA!$H$2:$H$1001,"BAO")</f>
        <v>0</v>
      </c>
      <c r="I9" s="29">
        <f>IF($D9=0,"-",COUNTIFS(DATA!$E$2:$E$1001,$B9,DATA!$I$2:$I$1001,"MUDAH")/$D9)</f>
        <v>1</v>
      </c>
      <c r="J9" s="29">
        <f>IF($D9=0,"-",COUNTIFS(DATA!$E$2:$E$1001,$B9,DATA!$J$2:$J$1001,"YA")/$D9)</f>
        <v>1</v>
      </c>
      <c r="K9" s="29">
        <f>IF($D9=0,"-",COUNTIFS(DATA!$E$2:$E$1001,$B9,DATA!$K$2:$K$1001,"MUDAH")/$D9)</f>
        <v>0.66666666666666663</v>
      </c>
      <c r="L9" s="30">
        <f>IFERROR(AVERAGEIFS(DATA!$S$2:$S$1001,DATA!$E$2:$E$1001,$B9),"-")</f>
        <v>2.8888888888888888</v>
      </c>
      <c r="M9" s="14" t="str">
        <f t="shared" si="1"/>
        <v/>
      </c>
    </row>
    <row r="10" spans="1:13">
      <c r="A10" s="13">
        <v>6</v>
      </c>
      <c r="B10" s="14" t="str">
        <f>PROGRES!B7</f>
        <v>CIANJUR</v>
      </c>
      <c r="C10" s="13">
        <f>PROGRES!C7</f>
        <v>7</v>
      </c>
      <c r="D10" s="13">
        <f>COUNTIF(DATA!$E$2:$E$1001,$B10)</f>
        <v>6</v>
      </c>
      <c r="E10" s="29">
        <f t="shared" si="0"/>
        <v>0.8571428571428571</v>
      </c>
      <c r="F10" s="13">
        <f>COUNTIFS(DATA!$E$2:$E$1001,$B10,DATA!$H$2:$H$1001,"BM")</f>
        <v>1</v>
      </c>
      <c r="G10" s="13">
        <f>COUNTIFS(DATA!$E$2:$E$1001,$B10,DATA!$H$2:$H$1001,"CRO")</f>
        <v>4</v>
      </c>
      <c r="H10" s="13">
        <f>COUNTIFS(DATA!$E$2:$E$1001,$B10,DATA!$H$2:$H$1001,"BAO")</f>
        <v>1</v>
      </c>
      <c r="I10" s="29">
        <f>IF($D10=0,"-",COUNTIFS(DATA!$E$2:$E$1001,$B10,DATA!$I$2:$I$1001,"MUDAH")/$D10)</f>
        <v>0.66666666666666663</v>
      </c>
      <c r="J10" s="29">
        <f>IF($D10=0,"-",COUNTIFS(DATA!$E$2:$E$1001,$B10,DATA!$J$2:$J$1001,"YA")/$D10)</f>
        <v>0.5</v>
      </c>
      <c r="K10" s="29">
        <f>IF($D10=0,"-",COUNTIFS(DATA!$E$2:$E$1001,$B10,DATA!$K$2:$K$1001,"MUDAH")/$D10)</f>
        <v>0.5</v>
      </c>
      <c r="L10" s="30">
        <f>IFERROR(AVERAGEIFS(DATA!$S$2:$S$1001,DATA!$E$2:$E$1001,$B10),"-")</f>
        <v>2.4444444444444442</v>
      </c>
      <c r="M10" s="14" t="str">
        <f t="shared" si="1"/>
        <v/>
      </c>
    </row>
    <row r="11" spans="1:13">
      <c r="A11" s="13">
        <v>7</v>
      </c>
      <c r="B11" s="14" t="str">
        <f>PROGRES!B8</f>
        <v>CIREBON</v>
      </c>
      <c r="C11" s="13">
        <f>PROGRES!C8</f>
        <v>8</v>
      </c>
      <c r="D11" s="13">
        <f>COUNTIF(DATA!$E$2:$E$1001,$B11)</f>
        <v>7</v>
      </c>
      <c r="E11" s="29">
        <f t="shared" si="0"/>
        <v>0.875</v>
      </c>
      <c r="F11" s="13">
        <f>COUNTIFS(DATA!$E$2:$E$1001,$B11,DATA!$H$2:$H$1001,"BM")</f>
        <v>1</v>
      </c>
      <c r="G11" s="13">
        <f>COUNTIFS(DATA!$E$2:$E$1001,$B11,DATA!$H$2:$H$1001,"CRO")</f>
        <v>5</v>
      </c>
      <c r="H11" s="13">
        <f>COUNTIFS(DATA!$E$2:$E$1001,$B11,DATA!$H$2:$H$1001,"BAO")</f>
        <v>1</v>
      </c>
      <c r="I11" s="29">
        <f>IF($D11=0,"-",COUNTIFS(DATA!$E$2:$E$1001,$B11,DATA!$I$2:$I$1001,"MUDAH")/$D11)</f>
        <v>0.8571428571428571</v>
      </c>
      <c r="J11" s="29">
        <f>IF($D11=0,"-",COUNTIFS(DATA!$E$2:$E$1001,$B11,DATA!$J$2:$J$1001,"YA")/$D11)</f>
        <v>0.7142857142857143</v>
      </c>
      <c r="K11" s="29">
        <f>IF($D11=0,"-",COUNTIFS(DATA!$E$2:$E$1001,$B11,DATA!$K$2:$K$1001,"MUDAH")/$D11)</f>
        <v>0.5714285714285714</v>
      </c>
      <c r="L11" s="30">
        <f>IFERROR(AVERAGEIFS(DATA!$S$2:$S$1001,DATA!$E$2:$E$1001,$B11),"-")</f>
        <v>2.7142857142857144</v>
      </c>
      <c r="M11" s="14" t="str">
        <f t="shared" si="1"/>
        <v/>
      </c>
    </row>
    <row r="12" spans="1:13">
      <c r="A12" s="13">
        <v>8</v>
      </c>
      <c r="B12" s="14" t="str">
        <f>PROGRES!B9</f>
        <v>INDRAMAYU</v>
      </c>
      <c r="C12" s="13">
        <f>PROGRES!C9</f>
        <v>6</v>
      </c>
      <c r="D12" s="13">
        <f>COUNTIF(DATA!$E$2:$E$1001,$B12)</f>
        <v>0</v>
      </c>
      <c r="E12" s="29">
        <f t="shared" si="0"/>
        <v>0</v>
      </c>
      <c r="F12" s="13">
        <f>COUNTIFS(DATA!$E$2:$E$1001,$B12,DATA!$H$2:$H$1001,"BM")</f>
        <v>0</v>
      </c>
      <c r="G12" s="13">
        <f>COUNTIFS(DATA!$E$2:$E$1001,$B12,DATA!$H$2:$H$1001,"CRO")</f>
        <v>0</v>
      </c>
      <c r="H12" s="13">
        <f>COUNTIFS(DATA!$E$2:$E$1001,$B12,DATA!$H$2:$H$1001,"BAO")</f>
        <v>0</v>
      </c>
      <c r="I12" s="29" t="str">
        <f>IF($D12=0,"-",COUNTIFS(DATA!$E$2:$E$1001,$B12,DATA!$I$2:$I$1001,"MUDAH")/$D12)</f>
        <v>-</v>
      </c>
      <c r="J12" s="29" t="str">
        <f>IF($D12=0,"-",COUNTIFS(DATA!$E$2:$E$1001,$B12,DATA!$J$2:$J$1001,"YA")/$D12)</f>
        <v>-</v>
      </c>
      <c r="K12" s="29" t="str">
        <f>IF($D12=0,"-",COUNTIFS(DATA!$E$2:$E$1001,$B12,DATA!$K$2:$K$1001,"MUDAH")/$D12)</f>
        <v>-</v>
      </c>
      <c r="L12" s="30" t="str">
        <f>IFERROR(AVERAGEIFS(DATA!$S$2:$S$1001,DATA!$E$2:$E$1001,$B12),"-")</f>
        <v>-</v>
      </c>
      <c r="M12" s="14" t="str">
        <f t="shared" si="1"/>
        <v>Belum isi</v>
      </c>
    </row>
    <row r="13" spans="1:13">
      <c r="A13" s="13">
        <v>9</v>
      </c>
      <c r="B13" s="14" t="str">
        <f>PROGRES!B10</f>
        <v>KARAWANG</v>
      </c>
      <c r="C13" s="13">
        <f>PROGRES!C10</f>
        <v>5</v>
      </c>
      <c r="D13" s="13">
        <f>COUNTIF(DATA!$E$2:$E$1001,$B13)</f>
        <v>1</v>
      </c>
      <c r="E13" s="29">
        <f t="shared" si="0"/>
        <v>0.2</v>
      </c>
      <c r="F13" s="13">
        <f>COUNTIFS(DATA!$E$2:$E$1001,$B13,DATA!$H$2:$H$1001,"BM")</f>
        <v>1</v>
      </c>
      <c r="G13" s="13">
        <f>COUNTIFS(DATA!$E$2:$E$1001,$B13,DATA!$H$2:$H$1001,"CRO")</f>
        <v>0</v>
      </c>
      <c r="H13" s="13">
        <f>COUNTIFS(DATA!$E$2:$E$1001,$B13,DATA!$H$2:$H$1001,"BAO")</f>
        <v>0</v>
      </c>
      <c r="I13" s="29">
        <f>IF($D13=0,"-",COUNTIFS(DATA!$E$2:$E$1001,$B13,DATA!$I$2:$I$1001,"MUDAH")/$D13)</f>
        <v>1</v>
      </c>
      <c r="J13" s="29">
        <f>IF($D13=0,"-",COUNTIFS(DATA!$E$2:$E$1001,$B13,DATA!$J$2:$J$1001,"YA")/$D13)</f>
        <v>1</v>
      </c>
      <c r="K13" s="29">
        <f>IF($D13=0,"-",COUNTIFS(DATA!$E$2:$E$1001,$B13,DATA!$K$2:$K$1001,"MUDAH")/$D13)</f>
        <v>1</v>
      </c>
      <c r="L13" s="30">
        <f>IFERROR(AVERAGEIFS(DATA!$S$2:$S$1001,DATA!$E$2:$E$1001,$B13),"-")</f>
        <v>3</v>
      </c>
      <c r="M13" s="14" t="str">
        <f t="shared" si="1"/>
        <v/>
      </c>
    </row>
    <row r="14" spans="1:13">
      <c r="A14" s="13">
        <v>10</v>
      </c>
      <c r="B14" s="14" t="str">
        <f>PROGRES!B11</f>
        <v>MAJALENGKA</v>
      </c>
      <c r="C14" s="13">
        <f>PROGRES!C11</f>
        <v>5</v>
      </c>
      <c r="D14" s="13">
        <f>COUNTIF(DATA!$E$2:$E$1001,$B14)</f>
        <v>4</v>
      </c>
      <c r="E14" s="29">
        <f t="shared" si="0"/>
        <v>0.8</v>
      </c>
      <c r="F14" s="13">
        <f>COUNTIFS(DATA!$E$2:$E$1001,$B14,DATA!$H$2:$H$1001,"BM")</f>
        <v>1</v>
      </c>
      <c r="G14" s="13">
        <f>COUNTIFS(DATA!$E$2:$E$1001,$B14,DATA!$H$2:$H$1001,"CRO")</f>
        <v>2</v>
      </c>
      <c r="H14" s="13">
        <f>COUNTIFS(DATA!$E$2:$E$1001,$B14,DATA!$H$2:$H$1001,"BAO")</f>
        <v>1</v>
      </c>
      <c r="I14" s="29">
        <f>IF($D14=0,"-",COUNTIFS(DATA!$E$2:$E$1001,$B14,DATA!$I$2:$I$1001,"MUDAH")/$D14)</f>
        <v>0.75</v>
      </c>
      <c r="J14" s="29">
        <f>IF($D14=0,"-",COUNTIFS(DATA!$E$2:$E$1001,$B14,DATA!$J$2:$J$1001,"YA")/$D14)</f>
        <v>1</v>
      </c>
      <c r="K14" s="29">
        <f>IF($D14=0,"-",COUNTIFS(DATA!$E$2:$E$1001,$B14,DATA!$K$2:$K$1001,"MUDAH")/$D14)</f>
        <v>0.25</v>
      </c>
      <c r="L14" s="30">
        <f>IFERROR(AVERAGEIFS(DATA!$S$2:$S$1001,DATA!$E$2:$E$1001,$B14),"-")</f>
        <v>2.6666666666666665</v>
      </c>
      <c r="M14" s="14" t="str">
        <f t="shared" si="1"/>
        <v/>
      </c>
    </row>
    <row r="15" spans="1:13">
      <c r="A15" s="13">
        <v>11</v>
      </c>
      <c r="B15" s="14" t="str">
        <f>PROGRES!B12</f>
        <v>PADALARANG</v>
      </c>
      <c r="C15" s="13">
        <f>PROGRES!C12</f>
        <v>3</v>
      </c>
      <c r="D15" s="13">
        <f>COUNTIF(DATA!$E$2:$E$1001,$B15)</f>
        <v>0</v>
      </c>
      <c r="E15" s="29">
        <f t="shared" si="0"/>
        <v>0</v>
      </c>
      <c r="F15" s="13">
        <f>COUNTIFS(DATA!$E$2:$E$1001,$B15,DATA!$H$2:$H$1001,"BM")</f>
        <v>0</v>
      </c>
      <c r="G15" s="13">
        <f>COUNTIFS(DATA!$E$2:$E$1001,$B15,DATA!$H$2:$H$1001,"CRO")</f>
        <v>0</v>
      </c>
      <c r="H15" s="13">
        <f>COUNTIFS(DATA!$E$2:$E$1001,$B15,DATA!$H$2:$H$1001,"BAO")</f>
        <v>0</v>
      </c>
      <c r="I15" s="29" t="str">
        <f>IF($D15=0,"-",COUNTIFS(DATA!$E$2:$E$1001,$B15,DATA!$I$2:$I$1001,"MUDAH")/$D15)</f>
        <v>-</v>
      </c>
      <c r="J15" s="29" t="str">
        <f>IF($D15=0,"-",COUNTIFS(DATA!$E$2:$E$1001,$B15,DATA!$J$2:$J$1001,"YA")/$D15)</f>
        <v>-</v>
      </c>
      <c r="K15" s="29" t="str">
        <f>IF($D15=0,"-",COUNTIFS(DATA!$E$2:$E$1001,$B15,DATA!$K$2:$K$1001,"MUDAH")/$D15)</f>
        <v>-</v>
      </c>
      <c r="L15" s="30" t="str">
        <f>IFERROR(AVERAGEIFS(DATA!$S$2:$S$1001,DATA!$E$2:$E$1001,$B15),"-")</f>
        <v>-</v>
      </c>
      <c r="M15" s="14" t="str">
        <f t="shared" si="1"/>
        <v>Belum isi</v>
      </c>
    </row>
    <row r="16" spans="1:13">
      <c r="A16" s="13">
        <v>12</v>
      </c>
      <c r="B16" s="14" t="str">
        <f>PROGRES!B13</f>
        <v>SUBANG</v>
      </c>
      <c r="C16" s="13">
        <f>PROGRES!C13</f>
        <v>4</v>
      </c>
      <c r="D16" s="13">
        <f>COUNTIF(DATA!$E$2:$E$1001,$B16)</f>
        <v>4</v>
      </c>
      <c r="E16" s="29">
        <f t="shared" si="0"/>
        <v>1</v>
      </c>
      <c r="F16" s="13">
        <f>COUNTIFS(DATA!$E$2:$E$1001,$B16,DATA!$H$2:$H$1001,"BM")</f>
        <v>1</v>
      </c>
      <c r="G16" s="13">
        <f>COUNTIFS(DATA!$E$2:$E$1001,$B16,DATA!$H$2:$H$1001,"CRO")</f>
        <v>2</v>
      </c>
      <c r="H16" s="13">
        <f>COUNTIFS(DATA!$E$2:$E$1001,$B16,DATA!$H$2:$H$1001,"BAO")</f>
        <v>1</v>
      </c>
      <c r="I16" s="29">
        <f>IF($D16=0,"-",COUNTIFS(DATA!$E$2:$E$1001,$B16,DATA!$I$2:$I$1001,"MUDAH")/$D16)</f>
        <v>0.25</v>
      </c>
      <c r="J16" s="29">
        <f>IF($D16=0,"-",COUNTIFS(DATA!$E$2:$E$1001,$B16,DATA!$J$2:$J$1001,"YA")/$D16)</f>
        <v>0.5</v>
      </c>
      <c r="K16" s="29">
        <f>IF($D16=0,"-",COUNTIFS(DATA!$E$2:$E$1001,$B16,DATA!$K$2:$K$1001,"MUDAH")/$D16)</f>
        <v>0.5</v>
      </c>
      <c r="L16" s="30">
        <f>IFERROR(AVERAGEIFS(DATA!$S$2:$S$1001,DATA!$E$2:$E$1001,$B16),"-")</f>
        <v>2.4166666666666665</v>
      </c>
      <c r="M16" s="14" t="str">
        <f t="shared" si="1"/>
        <v/>
      </c>
    </row>
    <row r="17" spans="1:13">
      <c r="A17" s="13">
        <v>13</v>
      </c>
      <c r="B17" s="14" t="str">
        <f>PROGRES!B14</f>
        <v>SUKABUMI</v>
      </c>
      <c r="C17" s="13">
        <f>PROGRES!C14</f>
        <v>3</v>
      </c>
      <c r="D17" s="13">
        <f>COUNTIF(DATA!$E$2:$E$1001,$B17)</f>
        <v>6</v>
      </c>
      <c r="E17" s="29">
        <f t="shared" si="0"/>
        <v>2</v>
      </c>
      <c r="F17" s="13">
        <f>COUNTIFS(DATA!$E$2:$E$1001,$B17,DATA!$H$2:$H$1001,"BM")</f>
        <v>1</v>
      </c>
      <c r="G17" s="13">
        <f>COUNTIFS(DATA!$E$2:$E$1001,$B17,DATA!$H$2:$H$1001,"CRO")</f>
        <v>4</v>
      </c>
      <c r="H17" s="13">
        <f>COUNTIFS(DATA!$E$2:$E$1001,$B17,DATA!$H$2:$H$1001,"BAO")</f>
        <v>1</v>
      </c>
      <c r="I17" s="29">
        <f>IF($D17=0,"-",COUNTIFS(DATA!$E$2:$E$1001,$B17,DATA!$I$2:$I$1001,"MUDAH")/$D17)</f>
        <v>0.5</v>
      </c>
      <c r="J17" s="29">
        <f>IF($D17=0,"-",COUNTIFS(DATA!$E$2:$E$1001,$B17,DATA!$J$2:$J$1001,"YA")/$D17)</f>
        <v>0.5</v>
      </c>
      <c r="K17" s="29">
        <f>IF($D17=0,"-",COUNTIFS(DATA!$E$2:$E$1001,$B17,DATA!$K$2:$K$1001,"MUDAH")/$D17)</f>
        <v>0.5</v>
      </c>
      <c r="L17" s="30">
        <f>IFERROR(AVERAGEIFS(DATA!$S$2:$S$1001,DATA!$E$2:$E$1001,$B17),"-")</f>
        <v>2.5</v>
      </c>
      <c r="M17" s="14" t="str">
        <f t="shared" si="1"/>
        <v/>
      </c>
    </row>
    <row r="18" spans="1:13">
      <c r="A18" s="13">
        <v>14</v>
      </c>
      <c r="B18" s="14" t="str">
        <f>PROGRES!B15</f>
        <v>TASIKMALAYA</v>
      </c>
      <c r="C18" s="13">
        <f>PROGRES!C15</f>
        <v>5</v>
      </c>
      <c r="D18" s="13">
        <f>COUNTIF(DATA!$E$2:$E$1001,$B18)</f>
        <v>0</v>
      </c>
      <c r="E18" s="29">
        <f t="shared" si="0"/>
        <v>0</v>
      </c>
      <c r="F18" s="13">
        <f>COUNTIFS(DATA!$E$2:$E$1001,$B18,DATA!$H$2:$H$1001,"BM")</f>
        <v>0</v>
      </c>
      <c r="G18" s="13">
        <f>COUNTIFS(DATA!$E$2:$E$1001,$B18,DATA!$H$2:$H$1001,"CRO")</f>
        <v>0</v>
      </c>
      <c r="H18" s="13">
        <f>COUNTIFS(DATA!$E$2:$E$1001,$B18,DATA!$H$2:$H$1001,"BAO")</f>
        <v>0</v>
      </c>
      <c r="I18" s="29" t="str">
        <f>IF($D18=0,"-",COUNTIFS(DATA!$E$2:$E$1001,$B18,DATA!$I$2:$I$1001,"MUDAH")/$D18)</f>
        <v>-</v>
      </c>
      <c r="J18" s="29" t="str">
        <f>IF($D18=0,"-",COUNTIFS(DATA!$E$2:$E$1001,$B18,DATA!$J$2:$J$1001,"YA")/$D18)</f>
        <v>-</v>
      </c>
      <c r="K18" s="29" t="str">
        <f>IF($D18=0,"-",COUNTIFS(DATA!$E$2:$E$1001,$B18,DATA!$K$2:$K$1001,"MUDAH")/$D18)</f>
        <v>-</v>
      </c>
      <c r="L18" s="30" t="str">
        <f>IFERROR(AVERAGEIFS(DATA!$S$2:$S$1001,DATA!$E$2:$E$1001,$B18),"-")</f>
        <v>-</v>
      </c>
      <c r="M18" s="14" t="str">
        <f t="shared" si="1"/>
        <v>Belum isi</v>
      </c>
    </row>
    <row r="19" spans="1:13">
      <c r="A19" s="13">
        <v>15</v>
      </c>
      <c r="B19" s="14" t="str">
        <f>PROGRES!B16</f>
        <v>BEKASI</v>
      </c>
      <c r="C19" s="13">
        <f>PROGRES!C16</f>
        <v>5</v>
      </c>
      <c r="D19" s="13">
        <f>COUNTIF(DATA!$E$2:$E$1001,$B19)</f>
        <v>4</v>
      </c>
      <c r="E19" s="29">
        <f t="shared" si="0"/>
        <v>0.8</v>
      </c>
      <c r="F19" s="13">
        <f>COUNTIFS(DATA!$E$2:$E$1001,$B19,DATA!$H$2:$H$1001,"BM")</f>
        <v>1</v>
      </c>
      <c r="G19" s="13">
        <f>COUNTIFS(DATA!$E$2:$E$1001,$B19,DATA!$H$2:$H$1001,"CRO")</f>
        <v>2</v>
      </c>
      <c r="H19" s="13">
        <f>COUNTIFS(DATA!$E$2:$E$1001,$B19,DATA!$H$2:$H$1001,"BAO")</f>
        <v>1</v>
      </c>
      <c r="I19" s="29">
        <f>IF($D19=0,"-",COUNTIFS(DATA!$E$2:$E$1001,$B19,DATA!$I$2:$I$1001,"MUDAH")/$D19)</f>
        <v>0.75</v>
      </c>
      <c r="J19" s="29">
        <f>IF($D19=0,"-",COUNTIFS(DATA!$E$2:$E$1001,$B19,DATA!$J$2:$J$1001,"YA")/$D19)</f>
        <v>0.75</v>
      </c>
      <c r="K19" s="29">
        <f>IF($D19=0,"-",COUNTIFS(DATA!$E$2:$E$1001,$B19,DATA!$K$2:$K$1001,"MUDAH")/$D19)</f>
        <v>0.75</v>
      </c>
      <c r="L19" s="30">
        <f>IFERROR(AVERAGEIFS(DATA!$S$2:$S$1001,DATA!$E$2:$E$1001,$B19),"-")</f>
        <v>2.75</v>
      </c>
      <c r="M19" s="14" t="str">
        <f t="shared" si="1"/>
        <v/>
      </c>
    </row>
    <row r="20" spans="1:13">
      <c r="A20" s="13">
        <v>16</v>
      </c>
      <c r="B20" s="14" t="str">
        <f>PROGRES!B17</f>
        <v>BOGOR</v>
      </c>
      <c r="C20" s="13">
        <f>PROGRES!C17</f>
        <v>4</v>
      </c>
      <c r="D20" s="13">
        <f>COUNTIF(DATA!$E$2:$E$1001,$B20)</f>
        <v>2</v>
      </c>
      <c r="E20" s="29">
        <f t="shared" si="0"/>
        <v>0.5</v>
      </c>
      <c r="F20" s="13">
        <f>COUNTIFS(DATA!$E$2:$E$1001,$B20,DATA!$H$2:$H$1001,"BM")</f>
        <v>1</v>
      </c>
      <c r="G20" s="13">
        <f>COUNTIFS(DATA!$E$2:$E$1001,$B20,DATA!$H$2:$H$1001,"CRO")</f>
        <v>1</v>
      </c>
      <c r="H20" s="13">
        <f>COUNTIFS(DATA!$E$2:$E$1001,$B20,DATA!$H$2:$H$1001,"BAO")</f>
        <v>0</v>
      </c>
      <c r="I20" s="29">
        <f>IF($D20=0,"-",COUNTIFS(DATA!$E$2:$E$1001,$B20,DATA!$I$2:$I$1001,"MUDAH")/$D20)</f>
        <v>0.5</v>
      </c>
      <c r="J20" s="29">
        <f>IF($D20=0,"-",COUNTIFS(DATA!$E$2:$E$1001,$B20,DATA!$J$2:$J$1001,"YA")/$D20)</f>
        <v>0.5</v>
      </c>
      <c r="K20" s="29">
        <f>IF($D20=0,"-",COUNTIFS(DATA!$E$2:$E$1001,$B20,DATA!$K$2:$K$1001,"MUDAH")/$D20)</f>
        <v>0.5</v>
      </c>
      <c r="L20" s="30">
        <f>IFERROR(AVERAGEIFS(DATA!$S$2:$S$1001,DATA!$E$2:$E$1001,$B20),"-")</f>
        <v>2.5</v>
      </c>
      <c r="M20" s="14" t="str">
        <f t="shared" si="1"/>
        <v/>
      </c>
    </row>
    <row r="21" spans="1:13">
      <c r="A21" s="13">
        <v>17</v>
      </c>
      <c r="B21" s="14" t="str">
        <f>PROGRES!B18</f>
        <v>GUNUNG SINDUR</v>
      </c>
      <c r="C21" s="13">
        <f>PROGRES!C18</f>
        <v>5</v>
      </c>
      <c r="D21" s="13">
        <f>COUNTIF(DATA!$E$2:$E$1001,$B21)</f>
        <v>0</v>
      </c>
      <c r="E21" s="29">
        <f t="shared" si="0"/>
        <v>0</v>
      </c>
      <c r="F21" s="13">
        <f>COUNTIFS(DATA!$E$2:$E$1001,$B21,DATA!$H$2:$H$1001,"BM")</f>
        <v>0</v>
      </c>
      <c r="G21" s="13">
        <f>COUNTIFS(DATA!$E$2:$E$1001,$B21,DATA!$H$2:$H$1001,"CRO")</f>
        <v>0</v>
      </c>
      <c r="H21" s="13">
        <f>COUNTIFS(DATA!$E$2:$E$1001,$B21,DATA!$H$2:$H$1001,"BAO")</f>
        <v>0</v>
      </c>
      <c r="I21" s="29" t="str">
        <f>IF($D21=0,"-",COUNTIFS(DATA!$E$2:$E$1001,$B21,DATA!$I$2:$I$1001,"MUDAH")/$D21)</f>
        <v>-</v>
      </c>
      <c r="J21" s="29" t="str">
        <f>IF($D21=0,"-",COUNTIFS(DATA!$E$2:$E$1001,$B21,DATA!$J$2:$J$1001,"YA")/$D21)</f>
        <v>-</v>
      </c>
      <c r="K21" s="29" t="str">
        <f>IF($D21=0,"-",COUNTIFS(DATA!$E$2:$E$1001,$B21,DATA!$K$2:$K$1001,"MUDAH")/$D21)</f>
        <v>-</v>
      </c>
      <c r="L21" s="30" t="str">
        <f>IFERROR(AVERAGEIFS(DATA!$S$2:$S$1001,DATA!$E$2:$E$1001,$B21),"-")</f>
        <v>-</v>
      </c>
      <c r="M21" s="14" t="str">
        <f t="shared" si="1"/>
        <v>Belum isi</v>
      </c>
    </row>
    <row r="22" spans="1:13">
      <c r="A22" s="13">
        <v>18</v>
      </c>
      <c r="B22" s="14" t="str">
        <f>PROGRES!B19</f>
        <v>JAKARTA BARAT</v>
      </c>
      <c r="C22" s="13">
        <f>PROGRES!C19</f>
        <v>1</v>
      </c>
      <c r="D22" s="13">
        <f>COUNTIF(DATA!$E$2:$E$1001,$B22)</f>
        <v>0</v>
      </c>
      <c r="E22" s="29">
        <f t="shared" si="0"/>
        <v>0</v>
      </c>
      <c r="F22" s="13">
        <f>COUNTIFS(DATA!$E$2:$E$1001,$B22,DATA!$H$2:$H$1001,"BM")</f>
        <v>0</v>
      </c>
      <c r="G22" s="13">
        <f>COUNTIFS(DATA!$E$2:$E$1001,$B22,DATA!$H$2:$H$1001,"CRO")</f>
        <v>0</v>
      </c>
      <c r="H22" s="13">
        <f>COUNTIFS(DATA!$E$2:$E$1001,$B22,DATA!$H$2:$H$1001,"BAO")</f>
        <v>0</v>
      </c>
      <c r="I22" s="29" t="str">
        <f>IF($D22=0,"-",COUNTIFS(DATA!$E$2:$E$1001,$B22,DATA!$I$2:$I$1001,"MUDAH")/$D22)</f>
        <v>-</v>
      </c>
      <c r="J22" s="29" t="str">
        <f>IF($D22=0,"-",COUNTIFS(DATA!$E$2:$E$1001,$B22,DATA!$J$2:$J$1001,"YA")/$D22)</f>
        <v>-</v>
      </c>
      <c r="K22" s="29" t="str">
        <f>IF($D22=0,"-",COUNTIFS(DATA!$E$2:$E$1001,$B22,DATA!$K$2:$K$1001,"MUDAH")/$D22)</f>
        <v>-</v>
      </c>
      <c r="L22" s="30" t="str">
        <f>IFERROR(AVERAGEIFS(DATA!$S$2:$S$1001,DATA!$E$2:$E$1001,$B22),"-")</f>
        <v>-</v>
      </c>
      <c r="M22" s="14" t="str">
        <f t="shared" si="1"/>
        <v>Belum isi</v>
      </c>
    </row>
    <row r="23" spans="1:13">
      <c r="A23" s="13">
        <v>19</v>
      </c>
      <c r="B23" s="14" t="str">
        <f>PROGRES!B20</f>
        <v>JAKARTA TIMUR</v>
      </c>
      <c r="C23" s="13">
        <f>PROGRES!C20</f>
        <v>3</v>
      </c>
      <c r="D23" s="13">
        <f>COUNTIF(DATA!$E$2:$E$1001,$B23)</f>
        <v>1</v>
      </c>
      <c r="E23" s="29">
        <f t="shared" si="0"/>
        <v>0.33333333333333331</v>
      </c>
      <c r="F23" s="13">
        <f>COUNTIFS(DATA!$E$2:$E$1001,$B23,DATA!$H$2:$H$1001,"BM")</f>
        <v>1</v>
      </c>
      <c r="G23" s="13">
        <f>COUNTIFS(DATA!$E$2:$E$1001,$B23,DATA!$H$2:$H$1001,"CRO")</f>
        <v>0</v>
      </c>
      <c r="H23" s="13">
        <f>COUNTIFS(DATA!$E$2:$E$1001,$B23,DATA!$H$2:$H$1001,"BAO")</f>
        <v>0</v>
      </c>
      <c r="I23" s="29">
        <f>IF($D23=0,"-",COUNTIFS(DATA!$E$2:$E$1001,$B23,DATA!$I$2:$I$1001,"MUDAH")/$D23)</f>
        <v>1</v>
      </c>
      <c r="J23" s="29">
        <f>IF($D23=0,"-",COUNTIFS(DATA!$E$2:$E$1001,$B23,DATA!$J$2:$J$1001,"YA")/$D23)</f>
        <v>1</v>
      </c>
      <c r="K23" s="29">
        <f>IF($D23=0,"-",COUNTIFS(DATA!$E$2:$E$1001,$B23,DATA!$K$2:$K$1001,"MUDAH")/$D23)</f>
        <v>1</v>
      </c>
      <c r="L23" s="30">
        <f>IFERROR(AVERAGEIFS(DATA!$S$2:$S$1001,DATA!$E$2:$E$1001,$B23),"-")</f>
        <v>3</v>
      </c>
      <c r="M23" s="14" t="str">
        <f t="shared" si="1"/>
        <v/>
      </c>
    </row>
    <row r="24" spans="1:13">
      <c r="A24" s="13">
        <v>20</v>
      </c>
      <c r="B24" s="14" t="str">
        <f>PROGRES!B21</f>
        <v>SERANG</v>
      </c>
      <c r="C24" s="13">
        <f>PROGRES!C21</f>
        <v>6</v>
      </c>
      <c r="D24" s="13">
        <f>COUNTIF(DATA!$E$2:$E$1001,$B24)</f>
        <v>5</v>
      </c>
      <c r="E24" s="29">
        <f t="shared" si="0"/>
        <v>0.83333333333333337</v>
      </c>
      <c r="F24" s="13">
        <f>COUNTIFS(DATA!$E$2:$E$1001,$B24,DATA!$H$2:$H$1001,"BM")</f>
        <v>1</v>
      </c>
      <c r="G24" s="13">
        <f>COUNTIFS(DATA!$E$2:$E$1001,$B24,DATA!$H$2:$H$1001,"CRO")</f>
        <v>3</v>
      </c>
      <c r="H24" s="13">
        <f>COUNTIFS(DATA!$E$2:$E$1001,$B24,DATA!$H$2:$H$1001,"BAO")</f>
        <v>1</v>
      </c>
      <c r="I24" s="29">
        <f>IF($D24=0,"-",COUNTIFS(DATA!$E$2:$E$1001,$B24,DATA!$I$2:$I$1001,"MUDAH")/$D24)</f>
        <v>0.6</v>
      </c>
      <c r="J24" s="29">
        <f>IF($D24=0,"-",COUNTIFS(DATA!$E$2:$E$1001,$B24,DATA!$J$2:$J$1001,"YA")/$D24)</f>
        <v>0.8</v>
      </c>
      <c r="K24" s="29">
        <f>IF($D24=0,"-",COUNTIFS(DATA!$E$2:$E$1001,$B24,DATA!$K$2:$K$1001,"MUDAH")/$D24)</f>
        <v>0</v>
      </c>
      <c r="L24" s="30">
        <f>IFERROR(AVERAGEIFS(DATA!$S$2:$S$1001,DATA!$E$2:$E$1001,$B24),"-")</f>
        <v>2.4666666666666663</v>
      </c>
      <c r="M24" s="14" t="str">
        <f t="shared" si="1"/>
        <v/>
      </c>
    </row>
    <row r="25" spans="1:13">
      <c r="A25" s="13">
        <v>21</v>
      </c>
      <c r="B25" s="14" t="str">
        <f>PROGRES!B22</f>
        <v>TANGERANG</v>
      </c>
      <c r="C25" s="13">
        <f>PROGRES!C22</f>
        <v>6</v>
      </c>
      <c r="D25" s="13">
        <f>COUNTIF(DATA!$E$2:$E$1001,$B25)</f>
        <v>2</v>
      </c>
      <c r="E25" s="29">
        <f t="shared" si="0"/>
        <v>0.33333333333333331</v>
      </c>
      <c r="F25" s="13">
        <f>COUNTIFS(DATA!$E$2:$E$1001,$B25,DATA!$H$2:$H$1001,"BM")</f>
        <v>0</v>
      </c>
      <c r="G25" s="13">
        <f>COUNTIFS(DATA!$E$2:$E$1001,$B25,DATA!$H$2:$H$1001,"CRO")</f>
        <v>2</v>
      </c>
      <c r="H25" s="13">
        <f>COUNTIFS(DATA!$E$2:$E$1001,$B25,DATA!$H$2:$H$1001,"BAO")</f>
        <v>0</v>
      </c>
      <c r="I25" s="29">
        <f>IF($D25=0,"-",COUNTIFS(DATA!$E$2:$E$1001,$B25,DATA!$I$2:$I$1001,"MUDAH")/$D25)</f>
        <v>1</v>
      </c>
      <c r="J25" s="29">
        <f>IF($D25=0,"-",COUNTIFS(DATA!$E$2:$E$1001,$B25,DATA!$J$2:$J$1001,"YA")/$D25)</f>
        <v>0.5</v>
      </c>
      <c r="K25" s="29">
        <f>IF($D25=0,"-",COUNTIFS(DATA!$E$2:$E$1001,$B25,DATA!$K$2:$K$1001,"MUDAH")/$D25)</f>
        <v>0</v>
      </c>
      <c r="L25" s="30">
        <f>IFERROR(AVERAGEIFS(DATA!$S$2:$S$1001,DATA!$E$2:$E$1001,$B25),"-")</f>
        <v>2.5</v>
      </c>
      <c r="M25" s="14" t="str">
        <f t="shared" si="1"/>
        <v/>
      </c>
    </row>
    <row r="26" spans="1:13">
      <c r="A26" s="19"/>
      <c r="B26" s="19" t="s">
        <v>95</v>
      </c>
      <c r="C26" s="18">
        <f>SUM(C5:C25)</f>
        <v>99</v>
      </c>
      <c r="D26" s="18">
        <f>SUM(D5:D25)</f>
        <v>48</v>
      </c>
      <c r="E26" s="31">
        <f t="shared" si="0"/>
        <v>0.48484848484848486</v>
      </c>
      <c r="F26" s="18">
        <f>SUM(F5:F25)</f>
        <v>11</v>
      </c>
      <c r="G26" s="18">
        <f>SUM(G5:G25)</f>
        <v>29</v>
      </c>
      <c r="H26" s="18">
        <f>SUM(H5:H25)</f>
        <v>8</v>
      </c>
      <c r="I26" s="31">
        <f>IFERROR(COUNTIFS(DATA!$F$2:$F$1001,"Jawa Barat",DATA!$I$2:$I$1001,"MUDAH")/$D26,"-")</f>
        <v>0.6875</v>
      </c>
      <c r="J26" s="31">
        <f>IFERROR(COUNTIFS(DATA!$F$2:$F$1001,"Jawa Barat",DATA!$J$2:$J$1001,"YA")/$D26,"-")</f>
        <v>0.66666666666666663</v>
      </c>
      <c r="K26" s="31">
        <f>IFERROR(COUNTIFS(DATA!$F$2:$F$1001,"Jawa Barat",DATA!$K$2:$K$1001,"MUDAH")/$D26,"-")</f>
        <v>0.47916666666666669</v>
      </c>
      <c r="L26" s="32">
        <f>IFERROR(AVERAGEIFS(DATA!$S$2:$S$1001,DATA!$F$2:$F$1001,"Jawa Barat"),"-")</f>
        <v>2.5972222222222228</v>
      </c>
      <c r="M26" s="19" t="str">
        <f>COUNTIF(M5:M25,"Belum isi")&amp;" cabang belum isi"</f>
        <v>8 cabang belum isi</v>
      </c>
    </row>
    <row r="27" spans="1:13">
      <c r="C27" s="33"/>
      <c r="D27" s="33"/>
      <c r="E27" s="34"/>
      <c r="F27" s="33"/>
      <c r="G27" s="33"/>
      <c r="H27" s="33"/>
      <c r="I27" s="34"/>
      <c r="J27" s="34"/>
      <c r="K27" s="34"/>
      <c r="L27" s="35"/>
    </row>
    <row r="28" spans="1:13">
      <c r="A28" s="3" t="s">
        <v>96</v>
      </c>
      <c r="B28" s="3"/>
      <c r="C28" s="3"/>
      <c r="D28" s="3"/>
      <c r="E28" s="3"/>
      <c r="F28" s="3"/>
      <c r="G28" s="3"/>
      <c r="H28" s="3"/>
      <c r="I28" s="3"/>
      <c r="J28" s="3"/>
      <c r="K28" s="3"/>
      <c r="L28" s="3"/>
      <c r="M28" s="3"/>
    </row>
    <row r="29" spans="1:13">
      <c r="A29" s="13">
        <v>1</v>
      </c>
      <c r="B29" s="14" t="str">
        <f>PROGRES!B23</f>
        <v>BLORA</v>
      </c>
      <c r="C29" s="13">
        <f>PROGRES!C23</f>
        <v>5</v>
      </c>
      <c r="D29" s="13">
        <f>COUNTIF(DATA!$E$2:$E$1001,$B29)</f>
        <v>4</v>
      </c>
      <c r="E29" s="29">
        <f t="shared" ref="E29:E57" si="2">IFERROR(D29/C29,0)</f>
        <v>0.8</v>
      </c>
      <c r="F29" s="13">
        <f>COUNTIFS(DATA!$E$2:$E$1001,$B29,DATA!$H$2:$H$1001,"BM")</f>
        <v>1</v>
      </c>
      <c r="G29" s="13">
        <f>COUNTIFS(DATA!$E$2:$E$1001,$B29,DATA!$H$2:$H$1001,"CRO")</f>
        <v>2</v>
      </c>
      <c r="H29" s="13">
        <f>COUNTIFS(DATA!$E$2:$E$1001,$B29,DATA!$H$2:$H$1001,"BAO")</f>
        <v>1</v>
      </c>
      <c r="I29" s="29">
        <f>IF($D29=0,"-",COUNTIFS(DATA!$E$2:$E$1001,$B29,DATA!$I$2:$I$1001,"MUDAH")/$D29)</f>
        <v>0.5</v>
      </c>
      <c r="J29" s="29">
        <f>IF($D29=0,"-",COUNTIFS(DATA!$E$2:$E$1001,$B29,DATA!$J$2:$J$1001,"YA")/$D29)</f>
        <v>0.5</v>
      </c>
      <c r="K29" s="29">
        <f>IF($D29=0,"-",COUNTIFS(DATA!$E$2:$E$1001,$B29,DATA!$K$2:$K$1001,"MUDAH")/$D29)</f>
        <v>0.5</v>
      </c>
      <c r="L29" s="30">
        <f>IFERROR(AVERAGEIFS(DATA!$S$2:$S$1001,DATA!$E$2:$E$1001,$B29),"-")</f>
        <v>2.5</v>
      </c>
      <c r="M29" s="14" t="str">
        <f t="shared" ref="M29:M56" si="3">IF(D29=0,"Belum isi","")</f>
        <v/>
      </c>
    </row>
    <row r="30" spans="1:13">
      <c r="A30" s="13">
        <v>2</v>
      </c>
      <c r="B30" s="14" t="str">
        <f>PROGRES!B24</f>
        <v>CEPU</v>
      </c>
      <c r="C30" s="13">
        <f>PROGRES!C24</f>
        <v>2</v>
      </c>
      <c r="D30" s="13">
        <f>COUNTIF(DATA!$E$2:$E$1001,$B30)</f>
        <v>3</v>
      </c>
      <c r="E30" s="29">
        <f t="shared" si="2"/>
        <v>1.5</v>
      </c>
      <c r="F30" s="13">
        <f>COUNTIFS(DATA!$E$2:$E$1001,$B30,DATA!$H$2:$H$1001,"BM")</f>
        <v>1</v>
      </c>
      <c r="G30" s="13">
        <f>COUNTIFS(DATA!$E$2:$E$1001,$B30,DATA!$H$2:$H$1001,"CRO")</f>
        <v>1</v>
      </c>
      <c r="H30" s="13">
        <f>COUNTIFS(DATA!$E$2:$E$1001,$B30,DATA!$H$2:$H$1001,"BAO")</f>
        <v>1</v>
      </c>
      <c r="I30" s="29">
        <f>IF($D30=0,"-",COUNTIFS(DATA!$E$2:$E$1001,$B30,DATA!$I$2:$I$1001,"MUDAH")/$D30)</f>
        <v>0.66666666666666663</v>
      </c>
      <c r="J30" s="29">
        <f>IF($D30=0,"-",COUNTIFS(DATA!$E$2:$E$1001,$B30,DATA!$J$2:$J$1001,"YA")/$D30)</f>
        <v>0.66666666666666663</v>
      </c>
      <c r="K30" s="29">
        <f>IF($D30=0,"-",COUNTIFS(DATA!$E$2:$E$1001,$B30,DATA!$K$2:$K$1001,"MUDAH")/$D30)</f>
        <v>0.66666666666666663</v>
      </c>
      <c r="L30" s="30">
        <f>IFERROR(AVERAGEIFS(DATA!$S$2:$S$1001,DATA!$E$2:$E$1001,$B30),"-")</f>
        <v>2.6666666666666665</v>
      </c>
      <c r="M30" s="14" t="str">
        <f t="shared" si="3"/>
        <v/>
      </c>
    </row>
    <row r="31" spans="1:13">
      <c r="A31" s="13">
        <v>3</v>
      </c>
      <c r="B31" s="14" t="str">
        <f>PROGRES!B25</f>
        <v>DEMAK</v>
      </c>
      <c r="C31" s="13">
        <f>PROGRES!C25</f>
        <v>5</v>
      </c>
      <c r="D31" s="13">
        <f>COUNTIF(DATA!$E$2:$E$1001,$B31)</f>
        <v>0</v>
      </c>
      <c r="E31" s="29">
        <f t="shared" si="2"/>
        <v>0</v>
      </c>
      <c r="F31" s="13">
        <f>COUNTIFS(DATA!$E$2:$E$1001,$B31,DATA!$H$2:$H$1001,"BM")</f>
        <v>0</v>
      </c>
      <c r="G31" s="13">
        <f>COUNTIFS(DATA!$E$2:$E$1001,$B31,DATA!$H$2:$H$1001,"CRO")</f>
        <v>0</v>
      </c>
      <c r="H31" s="13">
        <f>COUNTIFS(DATA!$E$2:$E$1001,$B31,DATA!$H$2:$H$1001,"BAO")</f>
        <v>0</v>
      </c>
      <c r="I31" s="29" t="str">
        <f>IF($D31=0,"-",COUNTIFS(DATA!$E$2:$E$1001,$B31,DATA!$I$2:$I$1001,"MUDAH")/$D31)</f>
        <v>-</v>
      </c>
      <c r="J31" s="29" t="str">
        <f>IF($D31=0,"-",COUNTIFS(DATA!$E$2:$E$1001,$B31,DATA!$J$2:$J$1001,"YA")/$D31)</f>
        <v>-</v>
      </c>
      <c r="K31" s="29" t="str">
        <f>IF($D31=0,"-",COUNTIFS(DATA!$E$2:$E$1001,$B31,DATA!$K$2:$K$1001,"MUDAH")/$D31)</f>
        <v>-</v>
      </c>
      <c r="L31" s="30" t="str">
        <f>IFERROR(AVERAGEIFS(DATA!$S$2:$S$1001,DATA!$E$2:$E$1001,$B31),"-")</f>
        <v>-</v>
      </c>
      <c r="M31" s="14" t="str">
        <f t="shared" si="3"/>
        <v>Belum isi</v>
      </c>
    </row>
    <row r="32" spans="1:13">
      <c r="A32" s="13">
        <v>4</v>
      </c>
      <c r="B32" s="14" t="str">
        <f>PROGRES!B26</f>
        <v>JEPARA</v>
      </c>
      <c r="C32" s="13">
        <f>PROGRES!C26</f>
        <v>4</v>
      </c>
      <c r="D32" s="13">
        <f>COUNTIF(DATA!$E$2:$E$1001,$B32)</f>
        <v>0</v>
      </c>
      <c r="E32" s="29">
        <f t="shared" si="2"/>
        <v>0</v>
      </c>
      <c r="F32" s="13">
        <f>COUNTIFS(DATA!$E$2:$E$1001,$B32,DATA!$H$2:$H$1001,"BM")</f>
        <v>0</v>
      </c>
      <c r="G32" s="13">
        <f>COUNTIFS(DATA!$E$2:$E$1001,$B32,DATA!$H$2:$H$1001,"CRO")</f>
        <v>0</v>
      </c>
      <c r="H32" s="13">
        <f>COUNTIFS(DATA!$E$2:$E$1001,$B32,DATA!$H$2:$H$1001,"BAO")</f>
        <v>0</v>
      </c>
      <c r="I32" s="29" t="str">
        <f>IF($D32=0,"-",COUNTIFS(DATA!$E$2:$E$1001,$B32,DATA!$I$2:$I$1001,"MUDAH")/$D32)</f>
        <v>-</v>
      </c>
      <c r="J32" s="29" t="str">
        <f>IF($D32=0,"-",COUNTIFS(DATA!$E$2:$E$1001,$B32,DATA!$J$2:$J$1001,"YA")/$D32)</f>
        <v>-</v>
      </c>
      <c r="K32" s="29" t="str">
        <f>IF($D32=0,"-",COUNTIFS(DATA!$E$2:$E$1001,$B32,DATA!$K$2:$K$1001,"MUDAH")/$D32)</f>
        <v>-</v>
      </c>
      <c r="L32" s="30" t="str">
        <f>IFERROR(AVERAGEIFS(DATA!$S$2:$S$1001,DATA!$E$2:$E$1001,$B32),"-")</f>
        <v>-</v>
      </c>
      <c r="M32" s="14" t="str">
        <f t="shared" si="3"/>
        <v>Belum isi</v>
      </c>
    </row>
    <row r="33" spans="1:13">
      <c r="A33" s="13">
        <v>5</v>
      </c>
      <c r="B33" s="14" t="str">
        <f>PROGRES!B27</f>
        <v>KENDAL</v>
      </c>
      <c r="C33" s="13">
        <f>PROGRES!C27</f>
        <v>4</v>
      </c>
      <c r="D33" s="13">
        <f>COUNTIF(DATA!$E$2:$E$1001,$B33)</f>
        <v>0</v>
      </c>
      <c r="E33" s="29">
        <f t="shared" si="2"/>
        <v>0</v>
      </c>
      <c r="F33" s="13">
        <f>COUNTIFS(DATA!$E$2:$E$1001,$B33,DATA!$H$2:$H$1001,"BM")</f>
        <v>0</v>
      </c>
      <c r="G33" s="13">
        <f>COUNTIFS(DATA!$E$2:$E$1001,$B33,DATA!$H$2:$H$1001,"CRO")</f>
        <v>0</v>
      </c>
      <c r="H33" s="13">
        <f>COUNTIFS(DATA!$E$2:$E$1001,$B33,DATA!$H$2:$H$1001,"BAO")</f>
        <v>0</v>
      </c>
      <c r="I33" s="29" t="str">
        <f>IF($D33=0,"-",COUNTIFS(DATA!$E$2:$E$1001,$B33,DATA!$I$2:$I$1001,"MUDAH")/$D33)</f>
        <v>-</v>
      </c>
      <c r="J33" s="29" t="str">
        <f>IF($D33=0,"-",COUNTIFS(DATA!$E$2:$E$1001,$B33,DATA!$J$2:$J$1001,"YA")/$D33)</f>
        <v>-</v>
      </c>
      <c r="K33" s="29" t="str">
        <f>IF($D33=0,"-",COUNTIFS(DATA!$E$2:$E$1001,$B33,DATA!$K$2:$K$1001,"MUDAH")/$D33)</f>
        <v>-</v>
      </c>
      <c r="L33" s="30" t="str">
        <f>IFERROR(AVERAGEIFS(DATA!$S$2:$S$1001,DATA!$E$2:$E$1001,$B33),"-")</f>
        <v>-</v>
      </c>
      <c r="M33" s="14" t="str">
        <f t="shared" si="3"/>
        <v>Belum isi</v>
      </c>
    </row>
    <row r="34" spans="1:13">
      <c r="A34" s="13">
        <v>6</v>
      </c>
      <c r="B34" s="14" t="str">
        <f>PROGRES!B28</f>
        <v>PATI</v>
      </c>
      <c r="C34" s="13">
        <f>PROGRES!C28</f>
        <v>5</v>
      </c>
      <c r="D34" s="13">
        <f>COUNTIF(DATA!$E$2:$E$1001,$B34)</f>
        <v>3</v>
      </c>
      <c r="E34" s="29">
        <f t="shared" si="2"/>
        <v>0.6</v>
      </c>
      <c r="F34" s="13">
        <f>COUNTIFS(DATA!$E$2:$E$1001,$B34,DATA!$H$2:$H$1001,"BM")</f>
        <v>1</v>
      </c>
      <c r="G34" s="13">
        <f>COUNTIFS(DATA!$E$2:$E$1001,$B34,DATA!$H$2:$H$1001,"CRO")</f>
        <v>2</v>
      </c>
      <c r="H34" s="13">
        <f>COUNTIFS(DATA!$E$2:$E$1001,$B34,DATA!$H$2:$H$1001,"BAO")</f>
        <v>0</v>
      </c>
      <c r="I34" s="29">
        <f>IF($D34=0,"-",COUNTIFS(DATA!$E$2:$E$1001,$B34,DATA!$I$2:$I$1001,"MUDAH")/$D34)</f>
        <v>1</v>
      </c>
      <c r="J34" s="29">
        <f>IF($D34=0,"-",COUNTIFS(DATA!$E$2:$E$1001,$B34,DATA!$J$2:$J$1001,"YA")/$D34)</f>
        <v>0</v>
      </c>
      <c r="K34" s="29">
        <f>IF($D34=0,"-",COUNTIFS(DATA!$E$2:$E$1001,$B34,DATA!$K$2:$K$1001,"MUDAH")/$D34)</f>
        <v>0.66666666666666663</v>
      </c>
      <c r="L34" s="30">
        <f>IFERROR(AVERAGEIFS(DATA!$S$2:$S$1001,DATA!$E$2:$E$1001,$B34),"-")</f>
        <v>2.5555555555555554</v>
      </c>
      <c r="M34" s="14" t="str">
        <f t="shared" si="3"/>
        <v/>
      </c>
    </row>
    <row r="35" spans="1:13">
      <c r="A35" s="13">
        <v>7</v>
      </c>
      <c r="B35" s="14" t="str">
        <f>PROGRES!B29</f>
        <v>PEKALONGAN</v>
      </c>
      <c r="C35" s="13">
        <f>PROGRES!C29</f>
        <v>5</v>
      </c>
      <c r="D35" s="13">
        <f>COUNTIF(DATA!$E$2:$E$1001,$B35)</f>
        <v>5</v>
      </c>
      <c r="E35" s="29">
        <f t="shared" si="2"/>
        <v>1</v>
      </c>
      <c r="F35" s="13">
        <f>COUNTIFS(DATA!$E$2:$E$1001,$B35,DATA!$H$2:$H$1001,"BM")</f>
        <v>1</v>
      </c>
      <c r="G35" s="13">
        <f>COUNTIFS(DATA!$E$2:$E$1001,$B35,DATA!$H$2:$H$1001,"CRO")</f>
        <v>3</v>
      </c>
      <c r="H35" s="13">
        <f>COUNTIFS(DATA!$E$2:$E$1001,$B35,DATA!$H$2:$H$1001,"BAO")</f>
        <v>1</v>
      </c>
      <c r="I35" s="29">
        <f>IF($D35=0,"-",COUNTIFS(DATA!$E$2:$E$1001,$B35,DATA!$I$2:$I$1001,"MUDAH")/$D35)</f>
        <v>0.8</v>
      </c>
      <c r="J35" s="29">
        <f>IF($D35=0,"-",COUNTIFS(DATA!$E$2:$E$1001,$B35,DATA!$J$2:$J$1001,"YA")/$D35)</f>
        <v>0.6</v>
      </c>
      <c r="K35" s="29">
        <f>IF($D35=0,"-",COUNTIFS(DATA!$E$2:$E$1001,$B35,DATA!$K$2:$K$1001,"MUDAH")/$D35)</f>
        <v>0.8</v>
      </c>
      <c r="L35" s="30">
        <f>IFERROR(AVERAGEIFS(DATA!$S$2:$S$1001,DATA!$E$2:$E$1001,$B35),"-")</f>
        <v>2.7333333333333334</v>
      </c>
      <c r="M35" s="14" t="str">
        <f t="shared" si="3"/>
        <v/>
      </c>
    </row>
    <row r="36" spans="1:13">
      <c r="A36" s="13">
        <v>8</v>
      </c>
      <c r="B36" s="14" t="str">
        <f>PROGRES!B30</f>
        <v>PURWODADI</v>
      </c>
      <c r="C36" s="13">
        <f>PROGRES!C30</f>
        <v>6</v>
      </c>
      <c r="D36" s="13">
        <f>COUNTIF(DATA!$E$2:$E$1001,$B36)</f>
        <v>0</v>
      </c>
      <c r="E36" s="29">
        <f t="shared" si="2"/>
        <v>0</v>
      </c>
      <c r="F36" s="13">
        <f>COUNTIFS(DATA!$E$2:$E$1001,$B36,DATA!$H$2:$H$1001,"BM")</f>
        <v>0</v>
      </c>
      <c r="G36" s="13">
        <f>COUNTIFS(DATA!$E$2:$E$1001,$B36,DATA!$H$2:$H$1001,"CRO")</f>
        <v>0</v>
      </c>
      <c r="H36" s="13">
        <f>COUNTIFS(DATA!$E$2:$E$1001,$B36,DATA!$H$2:$H$1001,"BAO")</f>
        <v>0</v>
      </c>
      <c r="I36" s="29" t="str">
        <f>IF($D36=0,"-",COUNTIFS(DATA!$E$2:$E$1001,$B36,DATA!$I$2:$I$1001,"MUDAH")/$D36)</f>
        <v>-</v>
      </c>
      <c r="J36" s="29" t="str">
        <f>IF($D36=0,"-",COUNTIFS(DATA!$E$2:$E$1001,$B36,DATA!$J$2:$J$1001,"YA")/$D36)</f>
        <v>-</v>
      </c>
      <c r="K36" s="29" t="str">
        <f>IF($D36=0,"-",COUNTIFS(DATA!$E$2:$E$1001,$B36,DATA!$K$2:$K$1001,"MUDAH")/$D36)</f>
        <v>-</v>
      </c>
      <c r="L36" s="30" t="str">
        <f>IFERROR(AVERAGEIFS(DATA!$S$2:$S$1001,DATA!$E$2:$E$1001,$B36),"-")</f>
        <v>-</v>
      </c>
      <c r="M36" s="14" t="str">
        <f t="shared" si="3"/>
        <v>Belum isi</v>
      </c>
    </row>
    <row r="37" spans="1:13">
      <c r="A37" s="13">
        <v>9</v>
      </c>
      <c r="B37" s="14" t="str">
        <f>PROGRES!B31</f>
        <v>REMBANG</v>
      </c>
      <c r="C37" s="13">
        <f>PROGRES!C31</f>
        <v>7</v>
      </c>
      <c r="D37" s="13">
        <f>COUNTIF(DATA!$E$2:$E$1001,$B37)</f>
        <v>0</v>
      </c>
      <c r="E37" s="29">
        <f t="shared" si="2"/>
        <v>0</v>
      </c>
      <c r="F37" s="13">
        <f>COUNTIFS(DATA!$E$2:$E$1001,$B37,DATA!$H$2:$H$1001,"BM")</f>
        <v>0</v>
      </c>
      <c r="G37" s="13">
        <f>COUNTIFS(DATA!$E$2:$E$1001,$B37,DATA!$H$2:$H$1001,"CRO")</f>
        <v>0</v>
      </c>
      <c r="H37" s="13">
        <f>COUNTIFS(DATA!$E$2:$E$1001,$B37,DATA!$H$2:$H$1001,"BAO")</f>
        <v>0</v>
      </c>
      <c r="I37" s="29" t="str">
        <f>IF($D37=0,"-",COUNTIFS(DATA!$E$2:$E$1001,$B37,DATA!$I$2:$I$1001,"MUDAH")/$D37)</f>
        <v>-</v>
      </c>
      <c r="J37" s="29" t="str">
        <f>IF($D37=0,"-",COUNTIFS(DATA!$E$2:$E$1001,$B37,DATA!$J$2:$J$1001,"YA")/$D37)</f>
        <v>-</v>
      </c>
      <c r="K37" s="29" t="str">
        <f>IF($D37=0,"-",COUNTIFS(DATA!$E$2:$E$1001,$B37,DATA!$K$2:$K$1001,"MUDAH")/$D37)</f>
        <v>-</v>
      </c>
      <c r="L37" s="30" t="str">
        <f>IFERROR(AVERAGEIFS(DATA!$S$2:$S$1001,DATA!$E$2:$E$1001,$B37),"-")</f>
        <v>-</v>
      </c>
      <c r="M37" s="14" t="str">
        <f t="shared" si="3"/>
        <v>Belum isi</v>
      </c>
    </row>
    <row r="38" spans="1:13">
      <c r="A38" s="13">
        <v>10</v>
      </c>
      <c r="B38" s="14" t="str">
        <f>PROGRES!B32</f>
        <v>SALATIGA</v>
      </c>
      <c r="C38" s="13">
        <f>PROGRES!C32</f>
        <v>7</v>
      </c>
      <c r="D38" s="13">
        <f>COUNTIF(DATA!$E$2:$E$1001,$B38)</f>
        <v>5</v>
      </c>
      <c r="E38" s="29">
        <f t="shared" si="2"/>
        <v>0.7142857142857143</v>
      </c>
      <c r="F38" s="13">
        <f>COUNTIFS(DATA!$E$2:$E$1001,$B38,DATA!$H$2:$H$1001,"BM")</f>
        <v>1</v>
      </c>
      <c r="G38" s="13">
        <f>COUNTIFS(DATA!$E$2:$E$1001,$B38,DATA!$H$2:$H$1001,"CRO")</f>
        <v>3</v>
      </c>
      <c r="H38" s="13">
        <f>COUNTIFS(DATA!$E$2:$E$1001,$B38,DATA!$H$2:$H$1001,"BAO")</f>
        <v>1</v>
      </c>
      <c r="I38" s="29">
        <f>IF($D38=0,"-",COUNTIFS(DATA!$E$2:$E$1001,$B38,DATA!$I$2:$I$1001,"MUDAH")/$D38)</f>
        <v>0.6</v>
      </c>
      <c r="J38" s="29">
        <f>IF($D38=0,"-",COUNTIFS(DATA!$E$2:$E$1001,$B38,DATA!$J$2:$J$1001,"YA")/$D38)</f>
        <v>0.6</v>
      </c>
      <c r="K38" s="29">
        <f>IF($D38=0,"-",COUNTIFS(DATA!$E$2:$E$1001,$B38,DATA!$K$2:$K$1001,"MUDAH")/$D38)</f>
        <v>0.4</v>
      </c>
      <c r="L38" s="30">
        <f>IFERROR(AVERAGEIFS(DATA!$S$2:$S$1001,DATA!$E$2:$E$1001,$B38),"-")</f>
        <v>2.5333333333333337</v>
      </c>
      <c r="M38" s="14" t="str">
        <f t="shared" si="3"/>
        <v/>
      </c>
    </row>
    <row r="39" spans="1:13">
      <c r="A39" s="13">
        <v>11</v>
      </c>
      <c r="B39" s="14" t="str">
        <f>PROGRES!B33</f>
        <v>SAYUNG</v>
      </c>
      <c r="C39" s="13">
        <f>PROGRES!C33</f>
        <v>9</v>
      </c>
      <c r="D39" s="13">
        <f>COUNTIF(DATA!$E$2:$E$1001,$B39)</f>
        <v>5</v>
      </c>
      <c r="E39" s="29">
        <f t="shared" si="2"/>
        <v>0.55555555555555558</v>
      </c>
      <c r="F39" s="13">
        <f>COUNTIFS(DATA!$E$2:$E$1001,$B39,DATA!$H$2:$H$1001,"BM")</f>
        <v>1</v>
      </c>
      <c r="G39" s="13">
        <f>COUNTIFS(DATA!$E$2:$E$1001,$B39,DATA!$H$2:$H$1001,"CRO")</f>
        <v>3</v>
      </c>
      <c r="H39" s="13">
        <f>COUNTIFS(DATA!$E$2:$E$1001,$B39,DATA!$H$2:$H$1001,"BAO")</f>
        <v>1</v>
      </c>
      <c r="I39" s="29">
        <f>IF($D39=0,"-",COUNTIFS(DATA!$E$2:$E$1001,$B39,DATA!$I$2:$I$1001,"MUDAH")/$D39)</f>
        <v>0.4</v>
      </c>
      <c r="J39" s="29">
        <f>IF($D39=0,"-",COUNTIFS(DATA!$E$2:$E$1001,$B39,DATA!$J$2:$J$1001,"YA")/$D39)</f>
        <v>0.6</v>
      </c>
      <c r="K39" s="29">
        <f>IF($D39=0,"-",COUNTIFS(DATA!$E$2:$E$1001,$B39,DATA!$K$2:$K$1001,"MUDAH")/$D39)</f>
        <v>0.6</v>
      </c>
      <c r="L39" s="30">
        <f>IFERROR(AVERAGEIFS(DATA!$S$2:$S$1001,DATA!$E$2:$E$1001,$B39),"-")</f>
        <v>2.5333333333333328</v>
      </c>
      <c r="M39" s="14" t="str">
        <f t="shared" si="3"/>
        <v/>
      </c>
    </row>
    <row r="40" spans="1:13">
      <c r="A40" s="13">
        <v>12</v>
      </c>
      <c r="B40" s="14" t="str">
        <f>PROGRES!B34</f>
        <v>TEGAL</v>
      </c>
      <c r="C40" s="13">
        <f>PROGRES!C34</f>
        <v>5</v>
      </c>
      <c r="D40" s="13">
        <f>COUNTIF(DATA!$E$2:$E$1001,$B40)</f>
        <v>0</v>
      </c>
      <c r="E40" s="29">
        <f t="shared" si="2"/>
        <v>0</v>
      </c>
      <c r="F40" s="13">
        <f>COUNTIFS(DATA!$E$2:$E$1001,$B40,DATA!$H$2:$H$1001,"BM")</f>
        <v>0</v>
      </c>
      <c r="G40" s="13">
        <f>COUNTIFS(DATA!$E$2:$E$1001,$B40,DATA!$H$2:$H$1001,"CRO")</f>
        <v>0</v>
      </c>
      <c r="H40" s="13">
        <f>COUNTIFS(DATA!$E$2:$E$1001,$B40,DATA!$H$2:$H$1001,"BAO")</f>
        <v>0</v>
      </c>
      <c r="I40" s="29" t="str">
        <f>IF($D40=0,"-",COUNTIFS(DATA!$E$2:$E$1001,$B40,DATA!$I$2:$I$1001,"MUDAH")/$D40)</f>
        <v>-</v>
      </c>
      <c r="J40" s="29" t="str">
        <f>IF($D40=0,"-",COUNTIFS(DATA!$E$2:$E$1001,$B40,DATA!$J$2:$J$1001,"YA")/$D40)</f>
        <v>-</v>
      </c>
      <c r="K40" s="29" t="str">
        <f>IF($D40=0,"-",COUNTIFS(DATA!$E$2:$E$1001,$B40,DATA!$K$2:$K$1001,"MUDAH")/$D40)</f>
        <v>-</v>
      </c>
      <c r="L40" s="30" t="str">
        <f>IFERROR(AVERAGEIFS(DATA!$S$2:$S$1001,DATA!$E$2:$E$1001,$B40),"-")</f>
        <v>-</v>
      </c>
      <c r="M40" s="14" t="str">
        <f t="shared" si="3"/>
        <v>Belum isi</v>
      </c>
    </row>
    <row r="41" spans="1:13">
      <c r="A41" s="13">
        <v>13</v>
      </c>
      <c r="B41" s="14" t="str">
        <f>PROGRES!B35</f>
        <v>UNGARAN</v>
      </c>
      <c r="C41" s="13">
        <f>PROGRES!C35</f>
        <v>5</v>
      </c>
      <c r="D41" s="13">
        <f>COUNTIF(DATA!$E$2:$E$1001,$B41)</f>
        <v>5</v>
      </c>
      <c r="E41" s="29">
        <f t="shared" si="2"/>
        <v>1</v>
      </c>
      <c r="F41" s="13">
        <f>COUNTIFS(DATA!$E$2:$E$1001,$B41,DATA!$H$2:$H$1001,"BM")</f>
        <v>1</v>
      </c>
      <c r="G41" s="13">
        <f>COUNTIFS(DATA!$E$2:$E$1001,$B41,DATA!$H$2:$H$1001,"CRO")</f>
        <v>3</v>
      </c>
      <c r="H41" s="13">
        <f>COUNTIFS(DATA!$E$2:$E$1001,$B41,DATA!$H$2:$H$1001,"BAO")</f>
        <v>1</v>
      </c>
      <c r="I41" s="29">
        <f>IF($D41=0,"-",COUNTIFS(DATA!$E$2:$E$1001,$B41,DATA!$I$2:$I$1001,"MUDAH")/$D41)</f>
        <v>0.6</v>
      </c>
      <c r="J41" s="29">
        <f>IF($D41=0,"-",COUNTIFS(DATA!$E$2:$E$1001,$B41,DATA!$J$2:$J$1001,"YA")/$D41)</f>
        <v>0.8</v>
      </c>
      <c r="K41" s="29">
        <f>IF($D41=0,"-",COUNTIFS(DATA!$E$2:$E$1001,$B41,DATA!$K$2:$K$1001,"MUDAH")/$D41)</f>
        <v>0.2</v>
      </c>
      <c r="L41" s="30">
        <f>IFERROR(AVERAGEIFS(DATA!$S$2:$S$1001,DATA!$E$2:$E$1001,$B41),"-")</f>
        <v>2.5333333333333332</v>
      </c>
      <c r="M41" s="14" t="str">
        <f t="shared" si="3"/>
        <v/>
      </c>
    </row>
    <row r="42" spans="1:13">
      <c r="A42" s="13">
        <v>14</v>
      </c>
      <c r="B42" s="14" t="str">
        <f>PROGRES!B36</f>
        <v>BANJARNEGARA</v>
      </c>
      <c r="C42" s="13">
        <f>PROGRES!C36</f>
        <v>7</v>
      </c>
      <c r="D42" s="13">
        <f>COUNTIF(DATA!$E$2:$E$1001,$B42)</f>
        <v>3</v>
      </c>
      <c r="E42" s="29">
        <f t="shared" si="2"/>
        <v>0.42857142857142855</v>
      </c>
      <c r="F42" s="13">
        <f>COUNTIFS(DATA!$E$2:$E$1001,$B42,DATA!$H$2:$H$1001,"BM")</f>
        <v>1</v>
      </c>
      <c r="G42" s="13">
        <f>COUNTIFS(DATA!$E$2:$E$1001,$B42,DATA!$H$2:$H$1001,"CRO")</f>
        <v>1</v>
      </c>
      <c r="H42" s="13">
        <f>COUNTIFS(DATA!$E$2:$E$1001,$B42,DATA!$H$2:$H$1001,"BAO")</f>
        <v>1</v>
      </c>
      <c r="I42" s="29">
        <f>IF($D42=0,"-",COUNTIFS(DATA!$E$2:$E$1001,$B42,DATA!$I$2:$I$1001,"MUDAH")/$D42)</f>
        <v>0</v>
      </c>
      <c r="J42" s="29">
        <f>IF($D42=0,"-",COUNTIFS(DATA!$E$2:$E$1001,$B42,DATA!$J$2:$J$1001,"YA")/$D42)</f>
        <v>0.33333333333333331</v>
      </c>
      <c r="K42" s="29">
        <f>IF($D42=0,"-",COUNTIFS(DATA!$E$2:$E$1001,$B42,DATA!$K$2:$K$1001,"MUDAH")/$D42)</f>
        <v>0</v>
      </c>
      <c r="L42" s="30">
        <f>IFERROR(AVERAGEIFS(DATA!$S$2:$S$1001,DATA!$E$2:$E$1001,$B42),"-")</f>
        <v>2.1111111111111112</v>
      </c>
      <c r="M42" s="14" t="str">
        <f t="shared" si="3"/>
        <v/>
      </c>
    </row>
    <row r="43" spans="1:13">
      <c r="A43" s="13">
        <v>15</v>
      </c>
      <c r="B43" s="14" t="str">
        <f>PROGRES!B37</f>
        <v>BANTUL</v>
      </c>
      <c r="C43" s="13">
        <f>PROGRES!C37</f>
        <v>5</v>
      </c>
      <c r="D43" s="13">
        <f>COUNTIF(DATA!$E$2:$E$1001,$B43)</f>
        <v>5</v>
      </c>
      <c r="E43" s="29">
        <f t="shared" si="2"/>
        <v>1</v>
      </c>
      <c r="F43" s="13">
        <f>COUNTIFS(DATA!$E$2:$E$1001,$B43,DATA!$H$2:$H$1001,"BM")</f>
        <v>1</v>
      </c>
      <c r="G43" s="13">
        <f>COUNTIFS(DATA!$E$2:$E$1001,$B43,DATA!$H$2:$H$1001,"CRO")</f>
        <v>3</v>
      </c>
      <c r="H43" s="13">
        <f>COUNTIFS(DATA!$E$2:$E$1001,$B43,DATA!$H$2:$H$1001,"BAO")</f>
        <v>1</v>
      </c>
      <c r="I43" s="29">
        <f>IF($D43=0,"-",COUNTIFS(DATA!$E$2:$E$1001,$B43,DATA!$I$2:$I$1001,"MUDAH")/$D43)</f>
        <v>0.6</v>
      </c>
      <c r="J43" s="29">
        <f>IF($D43=0,"-",COUNTIFS(DATA!$E$2:$E$1001,$B43,DATA!$J$2:$J$1001,"YA")/$D43)</f>
        <v>0.8</v>
      </c>
      <c r="K43" s="29">
        <f>IF($D43=0,"-",COUNTIFS(DATA!$E$2:$E$1001,$B43,DATA!$K$2:$K$1001,"MUDAH")/$D43)</f>
        <v>0.8</v>
      </c>
      <c r="L43" s="30">
        <f>IFERROR(AVERAGEIFS(DATA!$S$2:$S$1001,DATA!$E$2:$E$1001,$B43),"-")</f>
        <v>2.7333333333333334</v>
      </c>
      <c r="M43" s="14" t="str">
        <f t="shared" si="3"/>
        <v/>
      </c>
    </row>
    <row r="44" spans="1:13">
      <c r="A44" s="13">
        <v>16</v>
      </c>
      <c r="B44" s="14" t="str">
        <f>PROGRES!B38</f>
        <v>BOYOLALI</v>
      </c>
      <c r="C44" s="13">
        <f>PROGRES!C38</f>
        <v>5</v>
      </c>
      <c r="D44" s="13">
        <f>COUNTIF(DATA!$E$2:$E$1001,$B44)</f>
        <v>4</v>
      </c>
      <c r="E44" s="29">
        <f t="shared" si="2"/>
        <v>0.8</v>
      </c>
      <c r="F44" s="13">
        <f>COUNTIFS(DATA!$E$2:$E$1001,$B44,DATA!$H$2:$H$1001,"BM")</f>
        <v>1</v>
      </c>
      <c r="G44" s="13">
        <f>COUNTIFS(DATA!$E$2:$E$1001,$B44,DATA!$H$2:$H$1001,"CRO")</f>
        <v>3</v>
      </c>
      <c r="H44" s="13">
        <f>COUNTIFS(DATA!$E$2:$E$1001,$B44,DATA!$H$2:$H$1001,"BAO")</f>
        <v>0</v>
      </c>
      <c r="I44" s="29">
        <f>IF($D44=0,"-",COUNTIFS(DATA!$E$2:$E$1001,$B44,DATA!$I$2:$I$1001,"MUDAH")/$D44)</f>
        <v>0.5</v>
      </c>
      <c r="J44" s="29">
        <f>IF($D44=0,"-",COUNTIFS(DATA!$E$2:$E$1001,$B44,DATA!$J$2:$J$1001,"YA")/$D44)</f>
        <v>0.75</v>
      </c>
      <c r="K44" s="29">
        <f>IF($D44=0,"-",COUNTIFS(DATA!$E$2:$E$1001,$B44,DATA!$K$2:$K$1001,"MUDAH")/$D44)</f>
        <v>0.5</v>
      </c>
      <c r="L44" s="30">
        <f>IFERROR(AVERAGEIFS(DATA!$S$2:$S$1001,DATA!$E$2:$E$1001,$B44),"-")</f>
        <v>2.583333333333333</v>
      </c>
      <c r="M44" s="14" t="str">
        <f t="shared" si="3"/>
        <v/>
      </c>
    </row>
    <row r="45" spans="1:13">
      <c r="A45" s="13">
        <v>17</v>
      </c>
      <c r="B45" s="14" t="str">
        <f>PROGRES!B39</f>
        <v>CILACAP</v>
      </c>
      <c r="C45" s="13">
        <f>PROGRES!C39</f>
        <v>5</v>
      </c>
      <c r="D45" s="13">
        <f>COUNTIF(DATA!$E$2:$E$1001,$B45)</f>
        <v>5</v>
      </c>
      <c r="E45" s="29">
        <f t="shared" si="2"/>
        <v>1</v>
      </c>
      <c r="F45" s="13">
        <f>COUNTIFS(DATA!$E$2:$E$1001,$B45,DATA!$H$2:$H$1001,"BM")</f>
        <v>1</v>
      </c>
      <c r="G45" s="13">
        <f>COUNTIFS(DATA!$E$2:$E$1001,$B45,DATA!$H$2:$H$1001,"CRO")</f>
        <v>3</v>
      </c>
      <c r="H45" s="13">
        <f>COUNTIFS(DATA!$E$2:$E$1001,$B45,DATA!$H$2:$H$1001,"BAO")</f>
        <v>1</v>
      </c>
      <c r="I45" s="29">
        <f>IF($D45=0,"-",COUNTIFS(DATA!$E$2:$E$1001,$B45,DATA!$I$2:$I$1001,"MUDAH")/$D45)</f>
        <v>0.6</v>
      </c>
      <c r="J45" s="29">
        <f>IF($D45=0,"-",COUNTIFS(DATA!$E$2:$E$1001,$B45,DATA!$J$2:$J$1001,"YA")/$D45)</f>
        <v>0.4</v>
      </c>
      <c r="K45" s="29">
        <f>IF($D45=0,"-",COUNTIFS(DATA!$E$2:$E$1001,$B45,DATA!$K$2:$K$1001,"MUDAH")/$D45)</f>
        <v>1</v>
      </c>
      <c r="L45" s="30">
        <f>IFERROR(AVERAGEIFS(DATA!$S$2:$S$1001,DATA!$E$2:$E$1001,$B45),"-")</f>
        <v>2.6666666666666665</v>
      </c>
      <c r="M45" s="14" t="str">
        <f t="shared" si="3"/>
        <v/>
      </c>
    </row>
    <row r="46" spans="1:13">
      <c r="A46" s="13">
        <v>18</v>
      </c>
      <c r="B46" s="14" t="str">
        <f>PROGRES!B40</f>
        <v>KEBUMEN</v>
      </c>
      <c r="C46" s="13">
        <f>PROGRES!C40</f>
        <v>4</v>
      </c>
      <c r="D46" s="13">
        <f>COUNTIF(DATA!$E$2:$E$1001,$B46)</f>
        <v>4</v>
      </c>
      <c r="E46" s="29">
        <f t="shared" si="2"/>
        <v>1</v>
      </c>
      <c r="F46" s="13">
        <f>COUNTIFS(DATA!$E$2:$E$1001,$B46,DATA!$H$2:$H$1001,"BM")</f>
        <v>1</v>
      </c>
      <c r="G46" s="13">
        <f>COUNTIFS(DATA!$E$2:$E$1001,$B46,DATA!$H$2:$H$1001,"CRO")</f>
        <v>2</v>
      </c>
      <c r="H46" s="13">
        <f>COUNTIFS(DATA!$E$2:$E$1001,$B46,DATA!$H$2:$H$1001,"BAO")</f>
        <v>1</v>
      </c>
      <c r="I46" s="29">
        <f>IF($D46=0,"-",COUNTIFS(DATA!$E$2:$E$1001,$B46,DATA!$I$2:$I$1001,"MUDAH")/$D46)</f>
        <v>0.25</v>
      </c>
      <c r="J46" s="29">
        <f>IF($D46=0,"-",COUNTIFS(DATA!$E$2:$E$1001,$B46,DATA!$J$2:$J$1001,"YA")/$D46)</f>
        <v>0.25</v>
      </c>
      <c r="K46" s="29">
        <f>IF($D46=0,"-",COUNTIFS(DATA!$E$2:$E$1001,$B46,DATA!$K$2:$K$1001,"MUDAH")/$D46)</f>
        <v>0.5</v>
      </c>
      <c r="L46" s="30">
        <f>IFERROR(AVERAGEIFS(DATA!$S$2:$S$1001,DATA!$E$2:$E$1001,$B46),"-")</f>
        <v>2.3333333333333335</v>
      </c>
      <c r="M46" s="14" t="str">
        <f t="shared" si="3"/>
        <v/>
      </c>
    </row>
    <row r="47" spans="1:13">
      <c r="A47" s="13">
        <v>19</v>
      </c>
      <c r="B47" s="14" t="str">
        <f>PROGRES!B41</f>
        <v>KLATEN</v>
      </c>
      <c r="C47" s="13">
        <f>PROGRES!C41</f>
        <v>6</v>
      </c>
      <c r="D47" s="13">
        <f>COUNTIF(DATA!$E$2:$E$1001,$B47)</f>
        <v>5</v>
      </c>
      <c r="E47" s="29">
        <f t="shared" si="2"/>
        <v>0.83333333333333337</v>
      </c>
      <c r="F47" s="13">
        <f>COUNTIFS(DATA!$E$2:$E$1001,$B47,DATA!$H$2:$H$1001,"BM")</f>
        <v>1</v>
      </c>
      <c r="G47" s="13">
        <f>COUNTIFS(DATA!$E$2:$E$1001,$B47,DATA!$H$2:$H$1001,"CRO")</f>
        <v>3</v>
      </c>
      <c r="H47" s="13">
        <f>COUNTIFS(DATA!$E$2:$E$1001,$B47,DATA!$H$2:$H$1001,"BAO")</f>
        <v>1</v>
      </c>
      <c r="I47" s="29">
        <f>IF($D47=0,"-",COUNTIFS(DATA!$E$2:$E$1001,$B47,DATA!$I$2:$I$1001,"MUDAH")/$D47)</f>
        <v>0.4</v>
      </c>
      <c r="J47" s="29">
        <f>IF($D47=0,"-",COUNTIFS(DATA!$E$2:$E$1001,$B47,DATA!$J$2:$J$1001,"YA")/$D47)</f>
        <v>0.6</v>
      </c>
      <c r="K47" s="29">
        <f>IF($D47=0,"-",COUNTIFS(DATA!$E$2:$E$1001,$B47,DATA!$K$2:$K$1001,"MUDAH")/$D47)</f>
        <v>0.4</v>
      </c>
      <c r="L47" s="30">
        <f>IFERROR(AVERAGEIFS(DATA!$S$2:$S$1001,DATA!$E$2:$E$1001,$B47),"-")</f>
        <v>2.4666666666666668</v>
      </c>
      <c r="M47" s="14" t="str">
        <f t="shared" si="3"/>
        <v/>
      </c>
    </row>
    <row r="48" spans="1:13">
      <c r="A48" s="13">
        <v>20</v>
      </c>
      <c r="B48" s="14" t="str">
        <f>PROGRES!B42</f>
        <v>KULONPROGO</v>
      </c>
      <c r="C48" s="13">
        <f>PROGRES!C42</f>
        <v>5</v>
      </c>
      <c r="D48" s="13">
        <f>COUNTIF(DATA!$E$2:$E$1001,$B48)</f>
        <v>4</v>
      </c>
      <c r="E48" s="29">
        <f t="shared" si="2"/>
        <v>0.8</v>
      </c>
      <c r="F48" s="13">
        <f>COUNTIFS(DATA!$E$2:$E$1001,$B48,DATA!$H$2:$H$1001,"BM")</f>
        <v>1</v>
      </c>
      <c r="G48" s="13">
        <f>COUNTIFS(DATA!$E$2:$E$1001,$B48,DATA!$H$2:$H$1001,"CRO")</f>
        <v>2</v>
      </c>
      <c r="H48" s="13">
        <f>COUNTIFS(DATA!$E$2:$E$1001,$B48,DATA!$H$2:$H$1001,"BAO")</f>
        <v>1</v>
      </c>
      <c r="I48" s="29">
        <f>IF($D48=0,"-",COUNTIFS(DATA!$E$2:$E$1001,$B48,DATA!$I$2:$I$1001,"MUDAH")/$D48)</f>
        <v>0.5</v>
      </c>
      <c r="J48" s="29">
        <f>IF($D48=0,"-",COUNTIFS(DATA!$E$2:$E$1001,$B48,DATA!$J$2:$J$1001,"YA")/$D48)</f>
        <v>0.25</v>
      </c>
      <c r="K48" s="29">
        <f>IF($D48=0,"-",COUNTIFS(DATA!$E$2:$E$1001,$B48,DATA!$K$2:$K$1001,"MUDAH")/$D48)</f>
        <v>0.5</v>
      </c>
      <c r="L48" s="30">
        <f>IFERROR(AVERAGEIFS(DATA!$S$2:$S$1001,DATA!$E$2:$E$1001,$B48),"-")</f>
        <v>2.333333333333333</v>
      </c>
      <c r="M48" s="14" t="str">
        <f t="shared" si="3"/>
        <v/>
      </c>
    </row>
    <row r="49" spans="1:13">
      <c r="A49" s="13">
        <v>21</v>
      </c>
      <c r="B49" s="14" t="str">
        <f>PROGRES!B43</f>
        <v>MAGELANG</v>
      </c>
      <c r="C49" s="13">
        <f>PROGRES!C43</f>
        <v>7</v>
      </c>
      <c r="D49" s="13">
        <f>COUNTIF(DATA!$E$2:$E$1001,$B49)</f>
        <v>4</v>
      </c>
      <c r="E49" s="29">
        <f t="shared" si="2"/>
        <v>0.5714285714285714</v>
      </c>
      <c r="F49" s="13">
        <f>COUNTIFS(DATA!$E$2:$E$1001,$B49,DATA!$H$2:$H$1001,"BM")</f>
        <v>1</v>
      </c>
      <c r="G49" s="13">
        <f>COUNTIFS(DATA!$E$2:$E$1001,$B49,DATA!$H$2:$H$1001,"CRO")</f>
        <v>2</v>
      </c>
      <c r="H49" s="13">
        <f>COUNTIFS(DATA!$E$2:$E$1001,$B49,DATA!$H$2:$H$1001,"BAO")</f>
        <v>1</v>
      </c>
      <c r="I49" s="29">
        <f>IF($D49=0,"-",COUNTIFS(DATA!$E$2:$E$1001,$B49,DATA!$I$2:$I$1001,"MUDAH")/$D49)</f>
        <v>0.5</v>
      </c>
      <c r="J49" s="29">
        <f>IF($D49=0,"-",COUNTIFS(DATA!$E$2:$E$1001,$B49,DATA!$J$2:$J$1001,"YA")/$D49)</f>
        <v>0.5</v>
      </c>
      <c r="K49" s="29">
        <f>IF($D49=0,"-",COUNTIFS(DATA!$E$2:$E$1001,$B49,DATA!$K$2:$K$1001,"MUDAH")/$D49)</f>
        <v>0.25</v>
      </c>
      <c r="L49" s="30">
        <f>IFERROR(AVERAGEIFS(DATA!$S$2:$S$1001,DATA!$E$2:$E$1001,$B49),"-")</f>
        <v>2.4166666666666665</v>
      </c>
      <c r="M49" s="14" t="str">
        <f t="shared" si="3"/>
        <v/>
      </c>
    </row>
    <row r="50" spans="1:13">
      <c r="A50" s="13">
        <v>22</v>
      </c>
      <c r="B50" s="14" t="str">
        <f>PROGRES!B44</f>
        <v>PALUR</v>
      </c>
      <c r="C50" s="13">
        <f>PROGRES!C44</f>
        <v>8</v>
      </c>
      <c r="D50" s="13">
        <f>COUNTIF(DATA!$E$2:$E$1001,$B50)</f>
        <v>3</v>
      </c>
      <c r="E50" s="29">
        <f t="shared" si="2"/>
        <v>0.375</v>
      </c>
      <c r="F50" s="13">
        <f>COUNTIFS(DATA!$E$2:$E$1001,$B50,DATA!$H$2:$H$1001,"BM")</f>
        <v>1</v>
      </c>
      <c r="G50" s="13">
        <f>COUNTIFS(DATA!$E$2:$E$1001,$B50,DATA!$H$2:$H$1001,"CRO")</f>
        <v>1</v>
      </c>
      <c r="H50" s="13">
        <f>COUNTIFS(DATA!$E$2:$E$1001,$B50,DATA!$H$2:$H$1001,"BAO")</f>
        <v>1</v>
      </c>
      <c r="I50" s="29">
        <f>IF($D50=0,"-",COUNTIFS(DATA!$E$2:$E$1001,$B50,DATA!$I$2:$I$1001,"MUDAH")/$D50)</f>
        <v>0.33333333333333331</v>
      </c>
      <c r="J50" s="29">
        <f>IF($D50=0,"-",COUNTIFS(DATA!$E$2:$E$1001,$B50,DATA!$J$2:$J$1001,"YA")/$D50)</f>
        <v>0.33333333333333331</v>
      </c>
      <c r="K50" s="29">
        <f>IF($D50=0,"-",COUNTIFS(DATA!$E$2:$E$1001,$B50,DATA!$K$2:$K$1001,"MUDAH")/$D50)</f>
        <v>0.33333333333333331</v>
      </c>
      <c r="L50" s="30">
        <f>IFERROR(AVERAGEIFS(DATA!$S$2:$S$1001,DATA!$E$2:$E$1001,$B50),"-")</f>
        <v>2.3333333333333335</v>
      </c>
      <c r="M50" s="14" t="str">
        <f t="shared" si="3"/>
        <v/>
      </c>
    </row>
    <row r="51" spans="1:13">
      <c r="A51" s="13">
        <v>23</v>
      </c>
      <c r="B51" s="14" t="str">
        <f>PROGRES!B45</f>
        <v>PURWOKERTO</v>
      </c>
      <c r="C51" s="13">
        <f>PROGRES!C45</f>
        <v>8</v>
      </c>
      <c r="D51" s="13">
        <f>COUNTIF(DATA!$E$2:$E$1001,$B51)</f>
        <v>5</v>
      </c>
      <c r="E51" s="29">
        <f t="shared" si="2"/>
        <v>0.625</v>
      </c>
      <c r="F51" s="13">
        <f>COUNTIFS(DATA!$E$2:$E$1001,$B51,DATA!$H$2:$H$1001,"BM")</f>
        <v>1</v>
      </c>
      <c r="G51" s="13">
        <f>COUNTIFS(DATA!$E$2:$E$1001,$B51,DATA!$H$2:$H$1001,"CRO")</f>
        <v>3</v>
      </c>
      <c r="H51" s="13">
        <f>COUNTIFS(DATA!$E$2:$E$1001,$B51,DATA!$H$2:$H$1001,"BAO")</f>
        <v>1</v>
      </c>
      <c r="I51" s="29">
        <f>IF($D51=0,"-",COUNTIFS(DATA!$E$2:$E$1001,$B51,DATA!$I$2:$I$1001,"MUDAH")/$D51)</f>
        <v>0.4</v>
      </c>
      <c r="J51" s="29">
        <f>IF($D51=0,"-",COUNTIFS(DATA!$E$2:$E$1001,$B51,DATA!$J$2:$J$1001,"YA")/$D51)</f>
        <v>0.4</v>
      </c>
      <c r="K51" s="29">
        <f>IF($D51=0,"-",COUNTIFS(DATA!$E$2:$E$1001,$B51,DATA!$K$2:$K$1001,"MUDAH")/$D51)</f>
        <v>0.4</v>
      </c>
      <c r="L51" s="30">
        <f>IFERROR(AVERAGEIFS(DATA!$S$2:$S$1001,DATA!$E$2:$E$1001,$B51),"-")</f>
        <v>2.4</v>
      </c>
      <c r="M51" s="14" t="str">
        <f t="shared" si="3"/>
        <v/>
      </c>
    </row>
    <row r="52" spans="1:13">
      <c r="A52" s="13">
        <v>24</v>
      </c>
      <c r="B52" s="14" t="str">
        <f>PROGRES!B46</f>
        <v>PURWOREJO</v>
      </c>
      <c r="C52" s="13">
        <f>PROGRES!C46</f>
        <v>4</v>
      </c>
      <c r="D52" s="13">
        <f>COUNTIF(DATA!$E$2:$E$1001,$B52)</f>
        <v>3</v>
      </c>
      <c r="E52" s="29">
        <f t="shared" si="2"/>
        <v>0.75</v>
      </c>
      <c r="F52" s="13">
        <f>COUNTIFS(DATA!$E$2:$E$1001,$B52,DATA!$H$2:$H$1001,"BM")</f>
        <v>1</v>
      </c>
      <c r="G52" s="13">
        <f>COUNTIFS(DATA!$E$2:$E$1001,$B52,DATA!$H$2:$H$1001,"CRO")</f>
        <v>1</v>
      </c>
      <c r="H52" s="13">
        <f>COUNTIFS(DATA!$E$2:$E$1001,$B52,DATA!$H$2:$H$1001,"BAO")</f>
        <v>1</v>
      </c>
      <c r="I52" s="29">
        <f>IF($D52=0,"-",COUNTIFS(DATA!$E$2:$E$1001,$B52,DATA!$I$2:$I$1001,"MUDAH")/$D52)</f>
        <v>0.66666666666666663</v>
      </c>
      <c r="J52" s="29">
        <f>IF($D52=0,"-",COUNTIFS(DATA!$E$2:$E$1001,$B52,DATA!$J$2:$J$1001,"YA")/$D52)</f>
        <v>0.66666666666666663</v>
      </c>
      <c r="K52" s="29">
        <f>IF($D52=0,"-",COUNTIFS(DATA!$E$2:$E$1001,$B52,DATA!$K$2:$K$1001,"MUDAH")/$D52)</f>
        <v>0.66666666666666663</v>
      </c>
      <c r="L52" s="30">
        <f>IFERROR(AVERAGEIFS(DATA!$S$2:$S$1001,DATA!$E$2:$E$1001,$B52),"-")</f>
        <v>2.6666666666666665</v>
      </c>
      <c r="M52" s="14" t="str">
        <f t="shared" si="3"/>
        <v/>
      </c>
    </row>
    <row r="53" spans="1:13">
      <c r="A53" s="13">
        <v>25</v>
      </c>
      <c r="B53" s="14" t="str">
        <f>PROGRES!B47</f>
        <v>SLEMAN</v>
      </c>
      <c r="C53" s="13">
        <f>PROGRES!C47</f>
        <v>5</v>
      </c>
      <c r="D53" s="13">
        <f>COUNTIF(DATA!$E$2:$E$1001,$B53)</f>
        <v>5</v>
      </c>
      <c r="E53" s="29">
        <f t="shared" si="2"/>
        <v>1</v>
      </c>
      <c r="F53" s="13">
        <f>COUNTIFS(DATA!$E$2:$E$1001,$B53,DATA!$H$2:$H$1001,"BM")</f>
        <v>1</v>
      </c>
      <c r="G53" s="13">
        <f>COUNTIFS(DATA!$E$2:$E$1001,$B53,DATA!$H$2:$H$1001,"CRO")</f>
        <v>3</v>
      </c>
      <c r="H53" s="13">
        <f>COUNTIFS(DATA!$E$2:$E$1001,$B53,DATA!$H$2:$H$1001,"BAO")</f>
        <v>1</v>
      </c>
      <c r="I53" s="29">
        <f>IF($D53=0,"-",COUNTIFS(DATA!$E$2:$E$1001,$B53,DATA!$I$2:$I$1001,"MUDAH")/$D53)</f>
        <v>0.2</v>
      </c>
      <c r="J53" s="29">
        <f>IF($D53=0,"-",COUNTIFS(DATA!$E$2:$E$1001,$B53,DATA!$J$2:$J$1001,"YA")/$D53)</f>
        <v>0.4</v>
      </c>
      <c r="K53" s="29">
        <f>IF($D53=0,"-",COUNTIFS(DATA!$E$2:$E$1001,$B53,DATA!$K$2:$K$1001,"MUDAH")/$D53)</f>
        <v>0.2</v>
      </c>
      <c r="L53" s="30">
        <f>IFERROR(AVERAGEIFS(DATA!$S$2:$S$1001,DATA!$E$2:$E$1001,$B53),"-")</f>
        <v>2.2666666666666666</v>
      </c>
      <c r="M53" s="14" t="str">
        <f t="shared" si="3"/>
        <v/>
      </c>
    </row>
    <row r="54" spans="1:13">
      <c r="A54" s="13">
        <v>26</v>
      </c>
      <c r="B54" s="14" t="str">
        <f>PROGRES!B48</f>
        <v>SRAGEN</v>
      </c>
      <c r="C54" s="13">
        <f>PROGRES!C48</f>
        <v>6</v>
      </c>
      <c r="D54" s="13">
        <f>COUNTIF(DATA!$E$2:$E$1001,$B54)</f>
        <v>5</v>
      </c>
      <c r="E54" s="29">
        <f t="shared" si="2"/>
        <v>0.83333333333333337</v>
      </c>
      <c r="F54" s="13">
        <f>COUNTIFS(DATA!$E$2:$E$1001,$B54,DATA!$H$2:$H$1001,"BM")</f>
        <v>1</v>
      </c>
      <c r="G54" s="13">
        <f>COUNTIFS(DATA!$E$2:$E$1001,$B54,DATA!$H$2:$H$1001,"CRO")</f>
        <v>3</v>
      </c>
      <c r="H54" s="13">
        <f>COUNTIFS(DATA!$E$2:$E$1001,$B54,DATA!$H$2:$H$1001,"BAO")</f>
        <v>1</v>
      </c>
      <c r="I54" s="29">
        <f>IF($D54=0,"-",COUNTIFS(DATA!$E$2:$E$1001,$B54,DATA!$I$2:$I$1001,"MUDAH")/$D54)</f>
        <v>0.4</v>
      </c>
      <c r="J54" s="29">
        <f>IF($D54=0,"-",COUNTIFS(DATA!$E$2:$E$1001,$B54,DATA!$J$2:$J$1001,"YA")/$D54)</f>
        <v>0.4</v>
      </c>
      <c r="K54" s="29">
        <f>IF($D54=0,"-",COUNTIFS(DATA!$E$2:$E$1001,$B54,DATA!$K$2:$K$1001,"MUDAH")/$D54)</f>
        <v>0.6</v>
      </c>
      <c r="L54" s="30">
        <f>IFERROR(AVERAGEIFS(DATA!$S$2:$S$1001,DATA!$E$2:$E$1001,$B54),"-")</f>
        <v>2.4666666666666668</v>
      </c>
      <c r="M54" s="14" t="str">
        <f t="shared" si="3"/>
        <v/>
      </c>
    </row>
    <row r="55" spans="1:13">
      <c r="A55" s="13">
        <v>27</v>
      </c>
      <c r="B55" s="14" t="str">
        <f>PROGRES!B49</f>
        <v>SUKOHARJO</v>
      </c>
      <c r="C55" s="13">
        <f>PROGRES!C49</f>
        <v>9</v>
      </c>
      <c r="D55" s="13">
        <f>COUNTIF(DATA!$E$2:$E$1001,$B55)</f>
        <v>4</v>
      </c>
      <c r="E55" s="29">
        <f t="shared" si="2"/>
        <v>0.44444444444444442</v>
      </c>
      <c r="F55" s="13">
        <f>COUNTIFS(DATA!$E$2:$E$1001,$B55,DATA!$H$2:$H$1001,"BM")</f>
        <v>1</v>
      </c>
      <c r="G55" s="13">
        <f>COUNTIFS(DATA!$E$2:$E$1001,$B55,DATA!$H$2:$H$1001,"CRO")</f>
        <v>2</v>
      </c>
      <c r="H55" s="13">
        <f>COUNTIFS(DATA!$E$2:$E$1001,$B55,DATA!$H$2:$H$1001,"BAO")</f>
        <v>1</v>
      </c>
      <c r="I55" s="29">
        <f>IF($D55=0,"-",COUNTIFS(DATA!$E$2:$E$1001,$B55,DATA!$I$2:$I$1001,"MUDAH")/$D55)</f>
        <v>1</v>
      </c>
      <c r="J55" s="29">
        <f>IF($D55=0,"-",COUNTIFS(DATA!$E$2:$E$1001,$B55,DATA!$J$2:$J$1001,"YA")/$D55)</f>
        <v>0.75</v>
      </c>
      <c r="K55" s="29">
        <f>IF($D55=0,"-",COUNTIFS(DATA!$E$2:$E$1001,$B55,DATA!$K$2:$K$1001,"MUDAH")/$D55)</f>
        <v>0.75</v>
      </c>
      <c r="L55" s="30">
        <f>IFERROR(AVERAGEIFS(DATA!$S$2:$S$1001,DATA!$E$2:$E$1001,$B55),"-")</f>
        <v>2.833333333333333</v>
      </c>
      <c r="M55" s="14" t="str">
        <f t="shared" si="3"/>
        <v/>
      </c>
    </row>
    <row r="56" spans="1:13">
      <c r="A56" s="13">
        <v>28</v>
      </c>
      <c r="B56" s="14" t="str">
        <f>PROGRES!B50</f>
        <v>WONOGIRI</v>
      </c>
      <c r="C56" s="13">
        <f>PROGRES!C50</f>
        <v>5</v>
      </c>
      <c r="D56" s="13">
        <f>COUNTIF(DATA!$E$2:$E$1001,$B56)</f>
        <v>3</v>
      </c>
      <c r="E56" s="29">
        <f t="shared" si="2"/>
        <v>0.6</v>
      </c>
      <c r="F56" s="13">
        <f>COUNTIFS(DATA!$E$2:$E$1001,$B56,DATA!$H$2:$H$1001,"BM")</f>
        <v>1</v>
      </c>
      <c r="G56" s="13">
        <f>COUNTIFS(DATA!$E$2:$E$1001,$B56,DATA!$H$2:$H$1001,"CRO")</f>
        <v>1</v>
      </c>
      <c r="H56" s="13">
        <f>COUNTIFS(DATA!$E$2:$E$1001,$B56,DATA!$H$2:$H$1001,"BAO")</f>
        <v>1</v>
      </c>
      <c r="I56" s="29">
        <f>IF($D56=0,"-",COUNTIFS(DATA!$E$2:$E$1001,$B56,DATA!$I$2:$I$1001,"MUDAH")/$D56)</f>
        <v>1</v>
      </c>
      <c r="J56" s="29">
        <f>IF($D56=0,"-",COUNTIFS(DATA!$E$2:$E$1001,$B56,DATA!$J$2:$J$1001,"YA")/$D56)</f>
        <v>1</v>
      </c>
      <c r="K56" s="29">
        <f>IF($D56=0,"-",COUNTIFS(DATA!$E$2:$E$1001,$B56,DATA!$K$2:$K$1001,"MUDAH")/$D56)</f>
        <v>0.66666666666666663</v>
      </c>
      <c r="L56" s="30">
        <f>IFERROR(AVERAGEIFS(DATA!$S$2:$S$1001,DATA!$E$2:$E$1001,$B56),"-")</f>
        <v>2.8888888888888888</v>
      </c>
      <c r="M56" s="14" t="str">
        <f t="shared" si="3"/>
        <v/>
      </c>
    </row>
    <row r="57" spans="1:13">
      <c r="A57" s="19"/>
      <c r="B57" s="19" t="s">
        <v>97</v>
      </c>
      <c r="C57" s="18">
        <f>SUM(C29:C56)</f>
        <v>158</v>
      </c>
      <c r="D57" s="18">
        <f>SUM(D29:D56)</f>
        <v>92</v>
      </c>
      <c r="E57" s="31">
        <f t="shared" si="2"/>
        <v>0.58227848101265822</v>
      </c>
      <c r="F57" s="18">
        <f>SUM(F29:F56)</f>
        <v>22</v>
      </c>
      <c r="G57" s="18">
        <f>SUM(G29:G56)</f>
        <v>50</v>
      </c>
      <c r="H57" s="18">
        <f>SUM(H29:H56)</f>
        <v>20</v>
      </c>
      <c r="I57" s="31">
        <f>IFERROR(COUNTIFS(DATA!$F$2:$F$1001,"Jawa Tengah",DATA!$I$2:$I$1001,"MUDAH")/$D57,"-")</f>
        <v>0.53260869565217395</v>
      </c>
      <c r="J57" s="31">
        <f>IFERROR(COUNTIFS(DATA!$F$2:$F$1001,"Jawa Tengah",DATA!$J$2:$J$1001,"YA")/$D57,"-")</f>
        <v>0.53260869565217395</v>
      </c>
      <c r="K57" s="31">
        <f>IFERROR(COUNTIFS(DATA!$F$2:$F$1001,"Jawa Tengah",DATA!$K$2:$K$1001,"MUDAH")/$D57,"-")</f>
        <v>0.52173913043478259</v>
      </c>
      <c r="L57" s="32">
        <f>IFERROR(AVERAGEIFS(DATA!$S$2:$S$1001,DATA!$F$2:$F$1001,"Jawa Tengah"),"-")</f>
        <v>2.5253623188405787</v>
      </c>
      <c r="M57" s="19" t="str">
        <f>COUNTIF(M29:M56,"Belum isi")&amp;" cabang belum isi"</f>
        <v>6 cabang belum isi</v>
      </c>
    </row>
    <row r="58" spans="1:13">
      <c r="C58" s="33"/>
      <c r="D58" s="33"/>
      <c r="E58" s="34"/>
      <c r="F58" s="33"/>
      <c r="G58" s="33"/>
      <c r="H58" s="33"/>
      <c r="I58" s="34"/>
      <c r="J58" s="34"/>
      <c r="K58" s="34"/>
      <c r="L58" s="35"/>
    </row>
    <row r="59" spans="1:13">
      <c r="A59" s="3" t="s">
        <v>98</v>
      </c>
      <c r="B59" s="3"/>
      <c r="C59" s="3"/>
      <c r="D59" s="3"/>
      <c r="E59" s="3"/>
      <c r="F59" s="3"/>
      <c r="G59" s="3"/>
      <c r="H59" s="3"/>
      <c r="I59" s="3"/>
      <c r="J59" s="3"/>
      <c r="K59" s="3"/>
      <c r="L59" s="3"/>
      <c r="M59" s="3"/>
    </row>
    <row r="60" spans="1:13">
      <c r="A60" s="13">
        <v>1</v>
      </c>
      <c r="B60" s="14" t="str">
        <f>PROGRES!B51</f>
        <v>GOLOMANTUNG</v>
      </c>
      <c r="C60" s="13">
        <f>PROGRES!C51</f>
        <v>6</v>
      </c>
      <c r="D60" s="13">
        <f>COUNTIF(DATA!$E$2:$E$1001,$B60)</f>
        <v>4</v>
      </c>
      <c r="E60" s="29">
        <f t="shared" ref="E60:E93" si="4">IFERROR(D60/C60,0)</f>
        <v>0.66666666666666663</v>
      </c>
      <c r="F60" s="13">
        <f>COUNTIFS(DATA!$E$2:$E$1001,$B60,DATA!$H$2:$H$1001,"BM")</f>
        <v>1</v>
      </c>
      <c r="G60" s="13">
        <f>COUNTIFS(DATA!$E$2:$E$1001,$B60,DATA!$H$2:$H$1001,"CRO")</f>
        <v>2</v>
      </c>
      <c r="H60" s="13">
        <f>COUNTIFS(DATA!$E$2:$E$1001,$B60,DATA!$H$2:$H$1001,"BAO")</f>
        <v>1</v>
      </c>
      <c r="I60" s="29">
        <f>IF($D60=0,"-",COUNTIFS(DATA!$E$2:$E$1001,$B60,DATA!$I$2:$I$1001,"MUDAH")/$D60)</f>
        <v>0.75</v>
      </c>
      <c r="J60" s="29">
        <f>IF($D60=0,"-",COUNTIFS(DATA!$E$2:$E$1001,$B60,DATA!$J$2:$J$1001,"YA")/$D60)</f>
        <v>0.75</v>
      </c>
      <c r="K60" s="29">
        <f>IF($D60=0,"-",COUNTIFS(DATA!$E$2:$E$1001,$B60,DATA!$K$2:$K$1001,"MUDAH")/$D60)</f>
        <v>0.75</v>
      </c>
      <c r="L60" s="30">
        <f>IFERROR(AVERAGEIFS(DATA!$S$2:$S$1001,DATA!$E$2:$E$1001,$B60),"-")</f>
        <v>2.666666666666667</v>
      </c>
      <c r="M60" s="14" t="str">
        <f t="shared" ref="M60:M92" si="5">IF(D60=0,"Belum isi","")</f>
        <v/>
      </c>
    </row>
    <row r="61" spans="1:13">
      <c r="A61" s="13">
        <v>2</v>
      </c>
      <c r="B61" s="14" t="str">
        <f>PROGRES!B52</f>
        <v>MOJOKERTO</v>
      </c>
      <c r="C61" s="13">
        <f>PROGRES!C52</f>
        <v>6</v>
      </c>
      <c r="D61" s="13">
        <f>COUNTIF(DATA!$E$2:$E$1001,$B61)</f>
        <v>0</v>
      </c>
      <c r="E61" s="29">
        <f t="shared" si="4"/>
        <v>0</v>
      </c>
      <c r="F61" s="13">
        <f>COUNTIFS(DATA!$E$2:$E$1001,$B61,DATA!$H$2:$H$1001,"BM")</f>
        <v>0</v>
      </c>
      <c r="G61" s="13">
        <f>COUNTIFS(DATA!$E$2:$E$1001,$B61,DATA!$H$2:$H$1001,"CRO")</f>
        <v>0</v>
      </c>
      <c r="H61" s="13">
        <f>COUNTIFS(DATA!$E$2:$E$1001,$B61,DATA!$H$2:$H$1001,"BAO")</f>
        <v>0</v>
      </c>
      <c r="I61" s="29" t="str">
        <f>IF($D61=0,"-",COUNTIFS(DATA!$E$2:$E$1001,$B61,DATA!$I$2:$I$1001,"MUDAH")/$D61)</f>
        <v>-</v>
      </c>
      <c r="J61" s="29" t="str">
        <f>IF($D61=0,"-",COUNTIFS(DATA!$E$2:$E$1001,$B61,DATA!$J$2:$J$1001,"YA")/$D61)</f>
        <v>-</v>
      </c>
      <c r="K61" s="29" t="str">
        <f>IF($D61=0,"-",COUNTIFS(DATA!$E$2:$E$1001,$B61,DATA!$K$2:$K$1001,"MUDAH")/$D61)</f>
        <v>-</v>
      </c>
      <c r="L61" s="30" t="str">
        <f>IFERROR(AVERAGEIFS(DATA!$S$2:$S$1001,DATA!$E$2:$E$1001,$B61),"-")</f>
        <v>-</v>
      </c>
      <c r="M61" s="14" t="str">
        <f t="shared" si="5"/>
        <v>Belum isi</v>
      </c>
    </row>
    <row r="62" spans="1:13">
      <c r="A62" s="13">
        <v>3</v>
      </c>
      <c r="B62" s="14" t="str">
        <f>PROGRES!B53</f>
        <v>PAMEKASAN</v>
      </c>
      <c r="C62" s="13">
        <f>PROGRES!C53</f>
        <v>5</v>
      </c>
      <c r="D62" s="13">
        <f>COUNTIF(DATA!$E$2:$E$1001,$B62)</f>
        <v>1</v>
      </c>
      <c r="E62" s="29">
        <f t="shared" si="4"/>
        <v>0.2</v>
      </c>
      <c r="F62" s="13">
        <f>COUNTIFS(DATA!$E$2:$E$1001,$B62,DATA!$H$2:$H$1001,"BM")</f>
        <v>0</v>
      </c>
      <c r="G62" s="13">
        <f>COUNTIFS(DATA!$E$2:$E$1001,$B62,DATA!$H$2:$H$1001,"CRO")</f>
        <v>0</v>
      </c>
      <c r="H62" s="13">
        <f>COUNTIFS(DATA!$E$2:$E$1001,$B62,DATA!$H$2:$H$1001,"BAO")</f>
        <v>1</v>
      </c>
      <c r="I62" s="29">
        <f>IF($D62=0,"-",COUNTIFS(DATA!$E$2:$E$1001,$B62,DATA!$I$2:$I$1001,"MUDAH")/$D62)</f>
        <v>1</v>
      </c>
      <c r="J62" s="29">
        <f>IF($D62=0,"-",COUNTIFS(DATA!$E$2:$E$1001,$B62,DATA!$J$2:$J$1001,"YA")/$D62)</f>
        <v>1</v>
      </c>
      <c r="K62" s="29">
        <f>IF($D62=0,"-",COUNTIFS(DATA!$E$2:$E$1001,$B62,DATA!$K$2:$K$1001,"MUDAH")/$D62)</f>
        <v>1</v>
      </c>
      <c r="L62" s="30">
        <f>IFERROR(AVERAGEIFS(DATA!$S$2:$S$1001,DATA!$E$2:$E$1001,$B62),"-")</f>
        <v>3</v>
      </c>
      <c r="M62" s="14" t="str">
        <f t="shared" si="5"/>
        <v/>
      </c>
    </row>
    <row r="63" spans="1:13">
      <c r="A63" s="13">
        <v>4</v>
      </c>
      <c r="B63" s="14" t="str">
        <f>PROGRES!B54</f>
        <v>SAMPANG</v>
      </c>
      <c r="C63" s="13">
        <f>PROGRES!C54</f>
        <v>5</v>
      </c>
      <c r="D63" s="13">
        <f>COUNTIF(DATA!$E$2:$E$1001,$B63)</f>
        <v>2</v>
      </c>
      <c r="E63" s="29">
        <f t="shared" si="4"/>
        <v>0.4</v>
      </c>
      <c r="F63" s="13">
        <f>COUNTIFS(DATA!$E$2:$E$1001,$B63,DATA!$H$2:$H$1001,"BM")</f>
        <v>1</v>
      </c>
      <c r="G63" s="13">
        <f>COUNTIFS(DATA!$E$2:$E$1001,$B63,DATA!$H$2:$H$1001,"CRO")</f>
        <v>0</v>
      </c>
      <c r="H63" s="13">
        <f>COUNTIFS(DATA!$E$2:$E$1001,$B63,DATA!$H$2:$H$1001,"BAO")</f>
        <v>1</v>
      </c>
      <c r="I63" s="29">
        <f>IF($D63=0,"-",COUNTIFS(DATA!$E$2:$E$1001,$B63,DATA!$I$2:$I$1001,"MUDAH")/$D63)</f>
        <v>0.5</v>
      </c>
      <c r="J63" s="29">
        <f>IF($D63=0,"-",COUNTIFS(DATA!$E$2:$E$1001,$B63,DATA!$J$2:$J$1001,"YA")/$D63)</f>
        <v>1</v>
      </c>
      <c r="K63" s="29">
        <f>IF($D63=0,"-",COUNTIFS(DATA!$E$2:$E$1001,$B63,DATA!$K$2:$K$1001,"MUDAH")/$D63)</f>
        <v>0.5</v>
      </c>
      <c r="L63" s="30">
        <f>IFERROR(AVERAGEIFS(DATA!$S$2:$S$1001,DATA!$E$2:$E$1001,$B63),"-")</f>
        <v>2.666666666666667</v>
      </c>
      <c r="M63" s="14" t="str">
        <f t="shared" si="5"/>
        <v/>
      </c>
    </row>
    <row r="64" spans="1:13">
      <c r="A64" s="13">
        <v>5</v>
      </c>
      <c r="B64" s="14" t="str">
        <f>PROGRES!B55</f>
        <v>SIDAYU</v>
      </c>
      <c r="C64" s="13">
        <f>PROGRES!C55</f>
        <v>5</v>
      </c>
      <c r="D64" s="13">
        <f>COUNTIF(DATA!$E$2:$E$1001,$B64)</f>
        <v>2</v>
      </c>
      <c r="E64" s="29">
        <f t="shared" si="4"/>
        <v>0.4</v>
      </c>
      <c r="F64" s="13">
        <f>COUNTIFS(DATA!$E$2:$E$1001,$B64,DATA!$H$2:$H$1001,"BM")</f>
        <v>1</v>
      </c>
      <c r="G64" s="13">
        <f>COUNTIFS(DATA!$E$2:$E$1001,$B64,DATA!$H$2:$H$1001,"CRO")</f>
        <v>1</v>
      </c>
      <c r="H64" s="13">
        <f>COUNTIFS(DATA!$E$2:$E$1001,$B64,DATA!$H$2:$H$1001,"BAO")</f>
        <v>0</v>
      </c>
      <c r="I64" s="29">
        <f>IF($D64=0,"-",COUNTIFS(DATA!$E$2:$E$1001,$B64,DATA!$I$2:$I$1001,"MUDAH")/$D64)</f>
        <v>0.5</v>
      </c>
      <c r="J64" s="29">
        <f>IF($D64=0,"-",COUNTIFS(DATA!$E$2:$E$1001,$B64,DATA!$J$2:$J$1001,"YA")/$D64)</f>
        <v>1</v>
      </c>
      <c r="K64" s="29">
        <f>IF($D64=0,"-",COUNTIFS(DATA!$E$2:$E$1001,$B64,DATA!$K$2:$K$1001,"MUDAH")/$D64)</f>
        <v>0</v>
      </c>
      <c r="L64" s="30">
        <f>IFERROR(AVERAGEIFS(DATA!$S$2:$S$1001,DATA!$E$2:$E$1001,$B64),"-")</f>
        <v>2.5</v>
      </c>
      <c r="M64" s="14" t="str">
        <f t="shared" si="5"/>
        <v/>
      </c>
    </row>
    <row r="65" spans="1:13">
      <c r="A65" s="13">
        <v>6</v>
      </c>
      <c r="B65" s="14" t="str">
        <f>PROGRES!B56</f>
        <v>SIDOARJO</v>
      </c>
      <c r="C65" s="13">
        <f>PROGRES!C56</f>
        <v>8</v>
      </c>
      <c r="D65" s="13">
        <f>COUNTIF(DATA!$E$2:$E$1001,$B65)</f>
        <v>0</v>
      </c>
      <c r="E65" s="29">
        <f t="shared" si="4"/>
        <v>0</v>
      </c>
      <c r="F65" s="13">
        <f>COUNTIFS(DATA!$E$2:$E$1001,$B65,DATA!$H$2:$H$1001,"BM")</f>
        <v>0</v>
      </c>
      <c r="G65" s="13">
        <f>COUNTIFS(DATA!$E$2:$E$1001,$B65,DATA!$H$2:$H$1001,"CRO")</f>
        <v>0</v>
      </c>
      <c r="H65" s="13">
        <f>COUNTIFS(DATA!$E$2:$E$1001,$B65,DATA!$H$2:$H$1001,"BAO")</f>
        <v>0</v>
      </c>
      <c r="I65" s="29" t="str">
        <f>IF($D65=0,"-",COUNTIFS(DATA!$E$2:$E$1001,$B65,DATA!$I$2:$I$1001,"MUDAH")/$D65)</f>
        <v>-</v>
      </c>
      <c r="J65" s="29" t="str">
        <f>IF($D65=0,"-",COUNTIFS(DATA!$E$2:$E$1001,$B65,DATA!$J$2:$J$1001,"YA")/$D65)</f>
        <v>-</v>
      </c>
      <c r="K65" s="29" t="str">
        <f>IF($D65=0,"-",COUNTIFS(DATA!$E$2:$E$1001,$B65,DATA!$K$2:$K$1001,"MUDAH")/$D65)</f>
        <v>-</v>
      </c>
      <c r="L65" s="30" t="str">
        <f>IFERROR(AVERAGEIFS(DATA!$S$2:$S$1001,DATA!$E$2:$E$1001,$B65),"-")</f>
        <v>-</v>
      </c>
      <c r="M65" s="14" t="str">
        <f t="shared" si="5"/>
        <v>Belum isi</v>
      </c>
    </row>
    <row r="66" spans="1:13">
      <c r="A66" s="13">
        <v>7</v>
      </c>
      <c r="B66" s="14" t="str">
        <f>PROGRES!B57</f>
        <v>SUMENEP</v>
      </c>
      <c r="C66" s="13">
        <f>PROGRES!C57</f>
        <v>4</v>
      </c>
      <c r="D66" s="13">
        <f>COUNTIF(DATA!$E$2:$E$1001,$B66)</f>
        <v>4</v>
      </c>
      <c r="E66" s="29">
        <f t="shared" si="4"/>
        <v>1</v>
      </c>
      <c r="F66" s="13">
        <f>COUNTIFS(DATA!$E$2:$E$1001,$B66,DATA!$H$2:$H$1001,"BM")</f>
        <v>1</v>
      </c>
      <c r="G66" s="13">
        <f>COUNTIFS(DATA!$E$2:$E$1001,$B66,DATA!$H$2:$H$1001,"CRO")</f>
        <v>2</v>
      </c>
      <c r="H66" s="13">
        <f>COUNTIFS(DATA!$E$2:$E$1001,$B66,DATA!$H$2:$H$1001,"BAO")</f>
        <v>1</v>
      </c>
      <c r="I66" s="29">
        <f>IF($D66=0,"-",COUNTIFS(DATA!$E$2:$E$1001,$B66,DATA!$I$2:$I$1001,"MUDAH")/$D66)</f>
        <v>0.5</v>
      </c>
      <c r="J66" s="29">
        <f>IF($D66=0,"-",COUNTIFS(DATA!$E$2:$E$1001,$B66,DATA!$J$2:$J$1001,"YA")/$D66)</f>
        <v>1</v>
      </c>
      <c r="K66" s="29">
        <f>IF($D66=0,"-",COUNTIFS(DATA!$E$2:$E$1001,$B66,DATA!$K$2:$K$1001,"MUDAH")/$D66)</f>
        <v>0.75</v>
      </c>
      <c r="L66" s="30">
        <f>IFERROR(AVERAGEIFS(DATA!$S$2:$S$1001,DATA!$E$2:$E$1001,$B66),"-")</f>
        <v>2.75</v>
      </c>
      <c r="M66" s="14" t="str">
        <f t="shared" si="5"/>
        <v/>
      </c>
    </row>
    <row r="67" spans="1:13">
      <c r="A67" s="13">
        <v>8</v>
      </c>
      <c r="B67" s="14" t="str">
        <f>PROGRES!B58</f>
        <v>LEGUNDI</v>
      </c>
      <c r="C67" s="13">
        <f>PROGRES!C58</f>
        <v>4</v>
      </c>
      <c r="D67" s="13">
        <f>COUNTIF(DATA!$E$2:$E$1001,$B67)</f>
        <v>0</v>
      </c>
      <c r="E67" s="29">
        <f t="shared" si="4"/>
        <v>0</v>
      </c>
      <c r="F67" s="13">
        <f>COUNTIFS(DATA!$E$2:$E$1001,$B67,DATA!$H$2:$H$1001,"BM")</f>
        <v>0</v>
      </c>
      <c r="G67" s="13">
        <f>COUNTIFS(DATA!$E$2:$E$1001,$B67,DATA!$H$2:$H$1001,"CRO")</f>
        <v>0</v>
      </c>
      <c r="H67" s="13">
        <f>COUNTIFS(DATA!$E$2:$E$1001,$B67,DATA!$H$2:$H$1001,"BAO")</f>
        <v>0</v>
      </c>
      <c r="I67" s="29" t="str">
        <f>IF($D67=0,"-",COUNTIFS(DATA!$E$2:$E$1001,$B67,DATA!$I$2:$I$1001,"MUDAH")/$D67)</f>
        <v>-</v>
      </c>
      <c r="J67" s="29" t="str">
        <f>IF($D67=0,"-",COUNTIFS(DATA!$E$2:$E$1001,$B67,DATA!$J$2:$J$1001,"YA")/$D67)</f>
        <v>-</v>
      </c>
      <c r="K67" s="29" t="str">
        <f>IF($D67=0,"-",COUNTIFS(DATA!$E$2:$E$1001,$B67,DATA!$K$2:$K$1001,"MUDAH")/$D67)</f>
        <v>-</v>
      </c>
      <c r="L67" s="30" t="str">
        <f>IFERROR(AVERAGEIFS(DATA!$S$2:$S$1001,DATA!$E$2:$E$1001,$B67),"-")</f>
        <v>-</v>
      </c>
      <c r="M67" s="14" t="str">
        <f t="shared" si="5"/>
        <v>Belum isi</v>
      </c>
    </row>
    <row r="68" spans="1:13">
      <c r="A68" s="13">
        <v>9</v>
      </c>
      <c r="B68" s="14" t="str">
        <f>PROGRES!B59</f>
        <v>SURABAYA</v>
      </c>
      <c r="C68" s="13">
        <f>PROGRES!C59</f>
        <v>8</v>
      </c>
      <c r="D68" s="13">
        <f>COUNTIF(DATA!$E$2:$E$1001,$B68)</f>
        <v>0</v>
      </c>
      <c r="E68" s="29">
        <f t="shared" si="4"/>
        <v>0</v>
      </c>
      <c r="F68" s="13">
        <f>COUNTIFS(DATA!$E$2:$E$1001,$B68,DATA!$H$2:$H$1001,"BM")</f>
        <v>0</v>
      </c>
      <c r="G68" s="13">
        <f>COUNTIFS(DATA!$E$2:$E$1001,$B68,DATA!$H$2:$H$1001,"CRO")</f>
        <v>0</v>
      </c>
      <c r="H68" s="13">
        <f>COUNTIFS(DATA!$E$2:$E$1001,$B68,DATA!$H$2:$H$1001,"BAO")</f>
        <v>0</v>
      </c>
      <c r="I68" s="29" t="str">
        <f>IF($D68=0,"-",COUNTIFS(DATA!$E$2:$E$1001,$B68,DATA!$I$2:$I$1001,"MUDAH")/$D68)</f>
        <v>-</v>
      </c>
      <c r="J68" s="29" t="str">
        <f>IF($D68=0,"-",COUNTIFS(DATA!$E$2:$E$1001,$B68,DATA!$J$2:$J$1001,"YA")/$D68)</f>
        <v>-</v>
      </c>
      <c r="K68" s="29" t="str">
        <f>IF($D68=0,"-",COUNTIFS(DATA!$E$2:$E$1001,$B68,DATA!$K$2:$K$1001,"MUDAH")/$D68)</f>
        <v>-</v>
      </c>
      <c r="L68" s="30" t="str">
        <f>IFERROR(AVERAGEIFS(DATA!$S$2:$S$1001,DATA!$E$2:$E$1001,$B68),"-")</f>
        <v>-</v>
      </c>
      <c r="M68" s="14" t="str">
        <f t="shared" si="5"/>
        <v>Belum isi</v>
      </c>
    </row>
    <row r="69" spans="1:13">
      <c r="A69" s="13">
        <v>10</v>
      </c>
      <c r="B69" s="14" t="str">
        <f>PROGRES!B60</f>
        <v>BOJONEGORO</v>
      </c>
      <c r="C69" s="13">
        <f>PROGRES!C60</f>
        <v>9</v>
      </c>
      <c r="D69" s="13">
        <f>COUNTIF(DATA!$E$2:$E$1001,$B69)</f>
        <v>7</v>
      </c>
      <c r="E69" s="29">
        <f t="shared" si="4"/>
        <v>0.77777777777777779</v>
      </c>
      <c r="F69" s="13">
        <f>COUNTIFS(DATA!$E$2:$E$1001,$B69,DATA!$H$2:$H$1001,"BM")</f>
        <v>1</v>
      </c>
      <c r="G69" s="13">
        <f>COUNTIFS(DATA!$E$2:$E$1001,$B69,DATA!$H$2:$H$1001,"CRO")</f>
        <v>5</v>
      </c>
      <c r="H69" s="13">
        <f>COUNTIFS(DATA!$E$2:$E$1001,$B69,DATA!$H$2:$H$1001,"BAO")</f>
        <v>1</v>
      </c>
      <c r="I69" s="29">
        <f>IF($D69=0,"-",COUNTIFS(DATA!$E$2:$E$1001,$B69,DATA!$I$2:$I$1001,"MUDAH")/$D69)</f>
        <v>0.5714285714285714</v>
      </c>
      <c r="J69" s="29">
        <f>IF($D69=0,"-",COUNTIFS(DATA!$E$2:$E$1001,$B69,DATA!$J$2:$J$1001,"YA")/$D69)</f>
        <v>0.8571428571428571</v>
      </c>
      <c r="K69" s="29">
        <f>IF($D69=0,"-",COUNTIFS(DATA!$E$2:$E$1001,$B69,DATA!$K$2:$K$1001,"MUDAH")/$D69)</f>
        <v>1</v>
      </c>
      <c r="L69" s="30">
        <f>IFERROR(AVERAGEIFS(DATA!$S$2:$S$1001,DATA!$E$2:$E$1001,$B69),"-")</f>
        <v>2.8095238095238093</v>
      </c>
      <c r="M69" s="14" t="str">
        <f t="shared" si="5"/>
        <v/>
      </c>
    </row>
    <row r="70" spans="1:13">
      <c r="A70" s="13">
        <v>11</v>
      </c>
      <c r="B70" s="14" t="str">
        <f>PROGRES!B61</f>
        <v>JOMBANG</v>
      </c>
      <c r="C70" s="13">
        <f>PROGRES!C61</f>
        <v>13</v>
      </c>
      <c r="D70" s="13">
        <f>COUNTIF(DATA!$E$2:$E$1001,$B70)</f>
        <v>6</v>
      </c>
      <c r="E70" s="29">
        <f t="shared" si="4"/>
        <v>0.46153846153846156</v>
      </c>
      <c r="F70" s="13">
        <f>COUNTIFS(DATA!$E$2:$E$1001,$B70,DATA!$H$2:$H$1001,"BM")</f>
        <v>1</v>
      </c>
      <c r="G70" s="13">
        <f>COUNTIFS(DATA!$E$2:$E$1001,$B70,DATA!$H$2:$H$1001,"CRO")</f>
        <v>4</v>
      </c>
      <c r="H70" s="13">
        <f>COUNTIFS(DATA!$E$2:$E$1001,$B70,DATA!$H$2:$H$1001,"BAO")</f>
        <v>1</v>
      </c>
      <c r="I70" s="29">
        <f>IF($D70=0,"-",COUNTIFS(DATA!$E$2:$E$1001,$B70,DATA!$I$2:$I$1001,"MUDAH")/$D70)</f>
        <v>0.66666666666666663</v>
      </c>
      <c r="J70" s="29">
        <f>IF($D70=0,"-",COUNTIFS(DATA!$E$2:$E$1001,$B70,DATA!$J$2:$J$1001,"YA")/$D70)</f>
        <v>0.66666666666666663</v>
      </c>
      <c r="K70" s="29">
        <f>IF($D70=0,"-",COUNTIFS(DATA!$E$2:$E$1001,$B70,DATA!$K$2:$K$1001,"MUDAH")/$D70)</f>
        <v>0.66666666666666663</v>
      </c>
      <c r="L70" s="30">
        <f>IFERROR(AVERAGEIFS(DATA!$S$2:$S$1001,DATA!$E$2:$E$1001,$B70),"-")</f>
        <v>2.6666666666666665</v>
      </c>
      <c r="M70" s="14" t="str">
        <f t="shared" si="5"/>
        <v/>
      </c>
    </row>
    <row r="71" spans="1:13">
      <c r="A71" s="13">
        <v>12</v>
      </c>
      <c r="B71" s="14" t="str">
        <f>PROGRES!B62</f>
        <v>KEDIRI</v>
      </c>
      <c r="C71" s="13">
        <f>PROGRES!C62</f>
        <v>7</v>
      </c>
      <c r="D71" s="13">
        <f>COUNTIF(DATA!$E$2:$E$1001,$B71)</f>
        <v>3</v>
      </c>
      <c r="E71" s="29">
        <f t="shared" si="4"/>
        <v>0.42857142857142855</v>
      </c>
      <c r="F71" s="13">
        <f>COUNTIFS(DATA!$E$2:$E$1001,$B71,DATA!$H$2:$H$1001,"BM")</f>
        <v>1</v>
      </c>
      <c r="G71" s="13">
        <f>COUNTIFS(DATA!$E$2:$E$1001,$B71,DATA!$H$2:$H$1001,"CRO")</f>
        <v>1</v>
      </c>
      <c r="H71" s="13">
        <f>COUNTIFS(DATA!$E$2:$E$1001,$B71,DATA!$H$2:$H$1001,"BAO")</f>
        <v>1</v>
      </c>
      <c r="I71" s="29">
        <f>IF($D71=0,"-",COUNTIFS(DATA!$E$2:$E$1001,$B71,DATA!$I$2:$I$1001,"MUDAH")/$D71)</f>
        <v>0.33333333333333331</v>
      </c>
      <c r="J71" s="29">
        <f>IF($D71=0,"-",COUNTIFS(DATA!$E$2:$E$1001,$B71,DATA!$J$2:$J$1001,"YA")/$D71)</f>
        <v>0.66666666666666663</v>
      </c>
      <c r="K71" s="29">
        <f>IF($D71=0,"-",COUNTIFS(DATA!$E$2:$E$1001,$B71,DATA!$K$2:$K$1001,"MUDAH")/$D71)</f>
        <v>0.33333333333333331</v>
      </c>
      <c r="L71" s="30">
        <f>IFERROR(AVERAGEIFS(DATA!$S$2:$S$1001,DATA!$E$2:$E$1001,$B71),"-")</f>
        <v>2.4444444444444446</v>
      </c>
      <c r="M71" s="14" t="str">
        <f t="shared" si="5"/>
        <v/>
      </c>
    </row>
    <row r="72" spans="1:13">
      <c r="A72" s="13">
        <v>13</v>
      </c>
      <c r="B72" s="14" t="str">
        <f>PROGRES!B63</f>
        <v>PARE KEDIRI</v>
      </c>
      <c r="C72" s="13">
        <f>PROGRES!C63</f>
        <v>8</v>
      </c>
      <c r="D72" s="13">
        <f>COUNTIF(DATA!$E$2:$E$1001,$B72)</f>
        <v>0</v>
      </c>
      <c r="E72" s="29">
        <f t="shared" si="4"/>
        <v>0</v>
      </c>
      <c r="F72" s="13">
        <f>COUNTIFS(DATA!$E$2:$E$1001,$B72,DATA!$H$2:$H$1001,"BM")</f>
        <v>0</v>
      </c>
      <c r="G72" s="13">
        <f>COUNTIFS(DATA!$E$2:$E$1001,$B72,DATA!$H$2:$H$1001,"CRO")</f>
        <v>0</v>
      </c>
      <c r="H72" s="13">
        <f>COUNTIFS(DATA!$E$2:$E$1001,$B72,DATA!$H$2:$H$1001,"BAO")</f>
        <v>0</v>
      </c>
      <c r="I72" s="29" t="str">
        <f>IF($D72=0,"-",COUNTIFS(DATA!$E$2:$E$1001,$B72,DATA!$I$2:$I$1001,"MUDAH")/$D72)</f>
        <v>-</v>
      </c>
      <c r="J72" s="29" t="str">
        <f>IF($D72=0,"-",COUNTIFS(DATA!$E$2:$E$1001,$B72,DATA!$J$2:$J$1001,"YA")/$D72)</f>
        <v>-</v>
      </c>
      <c r="K72" s="29" t="str">
        <f>IF($D72=0,"-",COUNTIFS(DATA!$E$2:$E$1001,$B72,DATA!$K$2:$K$1001,"MUDAH")/$D72)</f>
        <v>-</v>
      </c>
      <c r="L72" s="30" t="str">
        <f>IFERROR(AVERAGEIFS(DATA!$S$2:$S$1001,DATA!$E$2:$E$1001,$B72),"-")</f>
        <v>-</v>
      </c>
      <c r="M72" s="14" t="str">
        <f t="shared" si="5"/>
        <v>Belum isi</v>
      </c>
    </row>
    <row r="73" spans="1:13">
      <c r="A73" s="13">
        <v>14</v>
      </c>
      <c r="B73" s="14" t="str">
        <f>PROGRES!B64</f>
        <v>LAMONGAN</v>
      </c>
      <c r="C73" s="13">
        <f>PROGRES!C64</f>
        <v>6</v>
      </c>
      <c r="D73" s="13">
        <f>COUNTIF(DATA!$E$2:$E$1001,$B73)</f>
        <v>3</v>
      </c>
      <c r="E73" s="29">
        <f t="shared" si="4"/>
        <v>0.5</v>
      </c>
      <c r="F73" s="13">
        <f>COUNTIFS(DATA!$E$2:$E$1001,$B73,DATA!$H$2:$H$1001,"BM")</f>
        <v>1</v>
      </c>
      <c r="G73" s="13">
        <f>COUNTIFS(DATA!$E$2:$E$1001,$B73,DATA!$H$2:$H$1001,"CRO")</f>
        <v>1</v>
      </c>
      <c r="H73" s="13">
        <f>COUNTIFS(DATA!$E$2:$E$1001,$B73,DATA!$H$2:$H$1001,"BAO")</f>
        <v>1</v>
      </c>
      <c r="I73" s="29">
        <f>IF($D73=0,"-",COUNTIFS(DATA!$E$2:$E$1001,$B73,DATA!$I$2:$I$1001,"MUDAH")/$D73)</f>
        <v>0.33333333333333331</v>
      </c>
      <c r="J73" s="29">
        <f>IF($D73=0,"-",COUNTIFS(DATA!$E$2:$E$1001,$B73,DATA!$J$2:$J$1001,"YA")/$D73)</f>
        <v>1</v>
      </c>
      <c r="K73" s="29">
        <f>IF($D73=0,"-",COUNTIFS(DATA!$E$2:$E$1001,$B73,DATA!$K$2:$K$1001,"MUDAH")/$D73)</f>
        <v>0.33333333333333331</v>
      </c>
      <c r="L73" s="30">
        <f>IFERROR(AVERAGEIFS(DATA!$S$2:$S$1001,DATA!$E$2:$E$1001,$B73),"-")</f>
        <v>2.5555555555555554</v>
      </c>
      <c r="M73" s="14" t="str">
        <f t="shared" si="5"/>
        <v/>
      </c>
    </row>
    <row r="74" spans="1:13">
      <c r="A74" s="13">
        <v>15</v>
      </c>
      <c r="B74" s="14" t="str">
        <f>PROGRES!B65</f>
        <v>MADIUN</v>
      </c>
      <c r="C74" s="13">
        <f>PROGRES!C65</f>
        <v>4</v>
      </c>
      <c r="D74" s="13">
        <f>COUNTIF(DATA!$E$2:$E$1001,$B74)</f>
        <v>4</v>
      </c>
      <c r="E74" s="29">
        <f t="shared" si="4"/>
        <v>1</v>
      </c>
      <c r="F74" s="13">
        <f>COUNTIFS(DATA!$E$2:$E$1001,$B74,DATA!$H$2:$H$1001,"BM")</f>
        <v>1</v>
      </c>
      <c r="G74" s="13">
        <f>COUNTIFS(DATA!$E$2:$E$1001,$B74,DATA!$H$2:$H$1001,"CRO")</f>
        <v>2</v>
      </c>
      <c r="H74" s="13">
        <f>COUNTIFS(DATA!$E$2:$E$1001,$B74,DATA!$H$2:$H$1001,"BAO")</f>
        <v>1</v>
      </c>
      <c r="I74" s="29">
        <f>IF($D74=0,"-",COUNTIFS(DATA!$E$2:$E$1001,$B74,DATA!$I$2:$I$1001,"MUDAH")/$D74)</f>
        <v>1</v>
      </c>
      <c r="J74" s="29">
        <f>IF($D74=0,"-",COUNTIFS(DATA!$E$2:$E$1001,$B74,DATA!$J$2:$J$1001,"YA")/$D74)</f>
        <v>0.75</v>
      </c>
      <c r="K74" s="29">
        <f>IF($D74=0,"-",COUNTIFS(DATA!$E$2:$E$1001,$B74,DATA!$K$2:$K$1001,"MUDAH")/$D74)</f>
        <v>1</v>
      </c>
      <c r="L74" s="30">
        <f>IFERROR(AVERAGEIFS(DATA!$S$2:$S$1001,DATA!$E$2:$E$1001,$B74),"-")</f>
        <v>2.9166666666666665</v>
      </c>
      <c r="M74" s="14" t="str">
        <f t="shared" si="5"/>
        <v/>
      </c>
    </row>
    <row r="75" spans="1:13">
      <c r="A75" s="13">
        <v>16</v>
      </c>
      <c r="B75" s="14" t="str">
        <f>PROGRES!B66</f>
        <v>MAGETAN</v>
      </c>
      <c r="C75" s="13">
        <f>PROGRES!C66</f>
        <v>6</v>
      </c>
      <c r="D75" s="13">
        <f>COUNTIF(DATA!$E$2:$E$1001,$B75)</f>
        <v>5</v>
      </c>
      <c r="E75" s="29">
        <f t="shared" si="4"/>
        <v>0.83333333333333337</v>
      </c>
      <c r="F75" s="13">
        <f>COUNTIFS(DATA!$E$2:$E$1001,$B75,DATA!$H$2:$H$1001,"BM")</f>
        <v>1</v>
      </c>
      <c r="G75" s="13">
        <f>COUNTIFS(DATA!$E$2:$E$1001,$B75,DATA!$H$2:$H$1001,"CRO")</f>
        <v>3</v>
      </c>
      <c r="H75" s="13">
        <f>COUNTIFS(DATA!$E$2:$E$1001,$B75,DATA!$H$2:$H$1001,"BAO")</f>
        <v>1</v>
      </c>
      <c r="I75" s="29">
        <f>IF($D75=0,"-",COUNTIFS(DATA!$E$2:$E$1001,$B75,DATA!$I$2:$I$1001,"MUDAH")/$D75)</f>
        <v>1</v>
      </c>
      <c r="J75" s="29">
        <f>IF($D75=0,"-",COUNTIFS(DATA!$E$2:$E$1001,$B75,DATA!$J$2:$J$1001,"YA")/$D75)</f>
        <v>0.8</v>
      </c>
      <c r="K75" s="29">
        <f>IF($D75=0,"-",COUNTIFS(DATA!$E$2:$E$1001,$B75,DATA!$K$2:$K$1001,"MUDAH")/$D75)</f>
        <v>0.8</v>
      </c>
      <c r="L75" s="30">
        <f>IFERROR(AVERAGEIFS(DATA!$S$2:$S$1001,DATA!$E$2:$E$1001,$B75),"-")</f>
        <v>2.8666666666666667</v>
      </c>
      <c r="M75" s="14" t="str">
        <f t="shared" si="5"/>
        <v/>
      </c>
    </row>
    <row r="76" spans="1:13">
      <c r="A76" s="13">
        <v>17</v>
      </c>
      <c r="B76" s="14" t="str">
        <f>PROGRES!B67</f>
        <v>PASURUAN</v>
      </c>
      <c r="C76" s="13">
        <f>PROGRES!C67</f>
        <v>4</v>
      </c>
      <c r="D76" s="13">
        <f>COUNTIF(DATA!$E$2:$E$1001,$B76)</f>
        <v>0</v>
      </c>
      <c r="E76" s="29">
        <f t="shared" si="4"/>
        <v>0</v>
      </c>
      <c r="F76" s="13">
        <f>COUNTIFS(DATA!$E$2:$E$1001,$B76,DATA!$H$2:$H$1001,"BM")</f>
        <v>0</v>
      </c>
      <c r="G76" s="13">
        <f>COUNTIFS(DATA!$E$2:$E$1001,$B76,DATA!$H$2:$H$1001,"CRO")</f>
        <v>0</v>
      </c>
      <c r="H76" s="13">
        <f>COUNTIFS(DATA!$E$2:$E$1001,$B76,DATA!$H$2:$H$1001,"BAO")</f>
        <v>0</v>
      </c>
      <c r="I76" s="29" t="str">
        <f>IF($D76=0,"-",COUNTIFS(DATA!$E$2:$E$1001,$B76,DATA!$I$2:$I$1001,"MUDAH")/$D76)</f>
        <v>-</v>
      </c>
      <c r="J76" s="29" t="str">
        <f>IF($D76=0,"-",COUNTIFS(DATA!$E$2:$E$1001,$B76,DATA!$J$2:$J$1001,"YA")/$D76)</f>
        <v>-</v>
      </c>
      <c r="K76" s="29" t="str">
        <f>IF($D76=0,"-",COUNTIFS(DATA!$E$2:$E$1001,$B76,DATA!$K$2:$K$1001,"MUDAH")/$D76)</f>
        <v>-</v>
      </c>
      <c r="L76" s="30" t="str">
        <f>IFERROR(AVERAGEIFS(DATA!$S$2:$S$1001,DATA!$E$2:$E$1001,$B76),"-")</f>
        <v>-</v>
      </c>
      <c r="M76" s="14" t="str">
        <f t="shared" si="5"/>
        <v>Belum isi</v>
      </c>
    </row>
    <row r="77" spans="1:13">
      <c r="A77" s="13">
        <v>18</v>
      </c>
      <c r="B77" s="14" t="str">
        <f>PROGRES!B68</f>
        <v>NGANJUK</v>
      </c>
      <c r="C77" s="13">
        <f>PROGRES!C68</f>
        <v>6</v>
      </c>
      <c r="D77" s="13">
        <f>COUNTIF(DATA!$E$2:$E$1001,$B77)</f>
        <v>0</v>
      </c>
      <c r="E77" s="29">
        <f t="shared" si="4"/>
        <v>0</v>
      </c>
      <c r="F77" s="13">
        <f>COUNTIFS(DATA!$E$2:$E$1001,$B77,DATA!$H$2:$H$1001,"BM")</f>
        <v>0</v>
      </c>
      <c r="G77" s="13">
        <f>COUNTIFS(DATA!$E$2:$E$1001,$B77,DATA!$H$2:$H$1001,"CRO")</f>
        <v>0</v>
      </c>
      <c r="H77" s="13">
        <f>COUNTIFS(DATA!$E$2:$E$1001,$B77,DATA!$H$2:$H$1001,"BAO")</f>
        <v>0</v>
      </c>
      <c r="I77" s="29" t="str">
        <f>IF($D77=0,"-",COUNTIFS(DATA!$E$2:$E$1001,$B77,DATA!$I$2:$I$1001,"MUDAH")/$D77)</f>
        <v>-</v>
      </c>
      <c r="J77" s="29" t="str">
        <f>IF($D77=0,"-",COUNTIFS(DATA!$E$2:$E$1001,$B77,DATA!$J$2:$J$1001,"YA")/$D77)</f>
        <v>-</v>
      </c>
      <c r="K77" s="29" t="str">
        <f>IF($D77=0,"-",COUNTIFS(DATA!$E$2:$E$1001,$B77,DATA!$K$2:$K$1001,"MUDAH")/$D77)</f>
        <v>-</v>
      </c>
      <c r="L77" s="30" t="str">
        <f>IFERROR(AVERAGEIFS(DATA!$S$2:$S$1001,DATA!$E$2:$E$1001,$B77),"-")</f>
        <v>-</v>
      </c>
      <c r="M77" s="14" t="str">
        <f t="shared" si="5"/>
        <v>Belum isi</v>
      </c>
    </row>
    <row r="78" spans="1:13">
      <c r="A78" s="13">
        <v>19</v>
      </c>
      <c r="B78" s="14" t="str">
        <f>PROGRES!B69</f>
        <v>NGAWI</v>
      </c>
      <c r="C78" s="13">
        <f>PROGRES!C69</f>
        <v>5</v>
      </c>
      <c r="D78" s="13">
        <f>COUNTIF(DATA!$E$2:$E$1001,$B78)</f>
        <v>4</v>
      </c>
      <c r="E78" s="29">
        <f t="shared" si="4"/>
        <v>0.8</v>
      </c>
      <c r="F78" s="13">
        <f>COUNTIFS(DATA!$E$2:$E$1001,$B78,DATA!$H$2:$H$1001,"BM")</f>
        <v>1</v>
      </c>
      <c r="G78" s="13">
        <f>COUNTIFS(DATA!$E$2:$E$1001,$B78,DATA!$H$2:$H$1001,"CRO")</f>
        <v>2</v>
      </c>
      <c r="H78" s="13">
        <f>COUNTIFS(DATA!$E$2:$E$1001,$B78,DATA!$H$2:$H$1001,"BAO")</f>
        <v>1</v>
      </c>
      <c r="I78" s="29">
        <f>IF($D78=0,"-",COUNTIFS(DATA!$E$2:$E$1001,$B78,DATA!$I$2:$I$1001,"MUDAH")/$D78)</f>
        <v>0.25</v>
      </c>
      <c r="J78" s="29">
        <f>IF($D78=0,"-",COUNTIFS(DATA!$E$2:$E$1001,$B78,DATA!$J$2:$J$1001,"YA")/$D78)</f>
        <v>0.5</v>
      </c>
      <c r="K78" s="29">
        <f>IF($D78=0,"-",COUNTIFS(DATA!$E$2:$E$1001,$B78,DATA!$K$2:$K$1001,"MUDAH")/$D78)</f>
        <v>0.5</v>
      </c>
      <c r="L78" s="30">
        <f>IFERROR(AVERAGEIFS(DATA!$S$2:$S$1001,DATA!$E$2:$E$1001,$B78),"-")</f>
        <v>2.4166666666666665</v>
      </c>
      <c r="M78" s="14" t="str">
        <f t="shared" si="5"/>
        <v/>
      </c>
    </row>
    <row r="79" spans="1:13">
      <c r="A79" s="13">
        <v>20</v>
      </c>
      <c r="B79" s="14" t="str">
        <f>PROGRES!B70</f>
        <v>PONOROGO</v>
      </c>
      <c r="C79" s="13">
        <f>PROGRES!C70</f>
        <v>10</v>
      </c>
      <c r="D79" s="13">
        <f>COUNTIF(DATA!$E$2:$E$1001,$B79)</f>
        <v>2</v>
      </c>
      <c r="E79" s="29">
        <f t="shared" si="4"/>
        <v>0.2</v>
      </c>
      <c r="F79" s="13">
        <f>COUNTIFS(DATA!$E$2:$E$1001,$B79,DATA!$H$2:$H$1001,"BM")</f>
        <v>0</v>
      </c>
      <c r="G79" s="13">
        <f>COUNTIFS(DATA!$E$2:$E$1001,$B79,DATA!$H$2:$H$1001,"CRO")</f>
        <v>1</v>
      </c>
      <c r="H79" s="13">
        <f>COUNTIFS(DATA!$E$2:$E$1001,$B79,DATA!$H$2:$H$1001,"BAO")</f>
        <v>1</v>
      </c>
      <c r="I79" s="29">
        <f>IF($D79=0,"-",COUNTIFS(DATA!$E$2:$E$1001,$B79,DATA!$I$2:$I$1001,"MUDAH")/$D79)</f>
        <v>0.5</v>
      </c>
      <c r="J79" s="29">
        <f>IF($D79=0,"-",COUNTIFS(DATA!$E$2:$E$1001,$B79,DATA!$J$2:$J$1001,"YA")/$D79)</f>
        <v>0.5</v>
      </c>
      <c r="K79" s="29">
        <f>IF($D79=0,"-",COUNTIFS(DATA!$E$2:$E$1001,$B79,DATA!$K$2:$K$1001,"MUDAH")/$D79)</f>
        <v>0.5</v>
      </c>
      <c r="L79" s="30">
        <f>IFERROR(AVERAGEIFS(DATA!$S$2:$S$1001,DATA!$E$2:$E$1001,$B79),"-")</f>
        <v>2.5</v>
      </c>
      <c r="M79" s="14" t="str">
        <f t="shared" si="5"/>
        <v/>
      </c>
    </row>
    <row r="80" spans="1:13">
      <c r="A80" s="13">
        <v>21</v>
      </c>
      <c r="B80" s="14" t="str">
        <f>PROGRES!B71</f>
        <v>TRENGGALEK</v>
      </c>
      <c r="C80" s="13">
        <f>PROGRES!C71</f>
        <v>6</v>
      </c>
      <c r="D80" s="13">
        <f>COUNTIF(DATA!$E$2:$E$1001,$B80)</f>
        <v>3</v>
      </c>
      <c r="E80" s="29">
        <f t="shared" si="4"/>
        <v>0.5</v>
      </c>
      <c r="F80" s="13">
        <f>COUNTIFS(DATA!$E$2:$E$1001,$B80,DATA!$H$2:$H$1001,"BM")</f>
        <v>0</v>
      </c>
      <c r="G80" s="13">
        <f>COUNTIFS(DATA!$E$2:$E$1001,$B80,DATA!$H$2:$H$1001,"CRO")</f>
        <v>2</v>
      </c>
      <c r="H80" s="13">
        <f>COUNTIFS(DATA!$E$2:$E$1001,$B80,DATA!$H$2:$H$1001,"BAO")</f>
        <v>1</v>
      </c>
      <c r="I80" s="29">
        <f>IF($D80=0,"-",COUNTIFS(DATA!$E$2:$E$1001,$B80,DATA!$I$2:$I$1001,"MUDAH")/$D80)</f>
        <v>0.66666666666666663</v>
      </c>
      <c r="J80" s="29">
        <f>IF($D80=0,"-",COUNTIFS(DATA!$E$2:$E$1001,$B80,DATA!$J$2:$J$1001,"YA")/$D80)</f>
        <v>1</v>
      </c>
      <c r="K80" s="29">
        <f>IF($D80=0,"-",COUNTIFS(DATA!$E$2:$E$1001,$B80,DATA!$K$2:$K$1001,"MUDAH")/$D80)</f>
        <v>0</v>
      </c>
      <c r="L80" s="30">
        <f>IFERROR(AVERAGEIFS(DATA!$S$2:$S$1001,DATA!$E$2:$E$1001,$B80),"-")</f>
        <v>2.5555555555555554</v>
      </c>
      <c r="M80" s="14" t="str">
        <f t="shared" si="5"/>
        <v/>
      </c>
    </row>
    <row r="81" spans="1:13">
      <c r="A81" s="13">
        <v>22</v>
      </c>
      <c r="B81" s="14" t="str">
        <f>PROGRES!B72</f>
        <v>TULUNGAGUNG</v>
      </c>
      <c r="C81" s="13">
        <f>PROGRES!C72</f>
        <v>7</v>
      </c>
      <c r="D81" s="13">
        <f>COUNTIF(DATA!$E$2:$E$1001,$B81)</f>
        <v>4</v>
      </c>
      <c r="E81" s="29">
        <f t="shared" si="4"/>
        <v>0.5714285714285714</v>
      </c>
      <c r="F81" s="13">
        <f>COUNTIFS(DATA!$E$2:$E$1001,$B81,DATA!$H$2:$H$1001,"BM")</f>
        <v>1</v>
      </c>
      <c r="G81" s="13">
        <f>COUNTIFS(DATA!$E$2:$E$1001,$B81,DATA!$H$2:$H$1001,"CRO")</f>
        <v>2</v>
      </c>
      <c r="H81" s="13">
        <f>COUNTIFS(DATA!$E$2:$E$1001,$B81,DATA!$H$2:$H$1001,"BAO")</f>
        <v>1</v>
      </c>
      <c r="I81" s="29">
        <f>IF($D81=0,"-",COUNTIFS(DATA!$E$2:$E$1001,$B81,DATA!$I$2:$I$1001,"MUDAH")/$D81)</f>
        <v>0.5</v>
      </c>
      <c r="J81" s="29">
        <f>IF($D81=0,"-",COUNTIFS(DATA!$E$2:$E$1001,$B81,DATA!$J$2:$J$1001,"YA")/$D81)</f>
        <v>0.75</v>
      </c>
      <c r="K81" s="29">
        <f>IF($D81=0,"-",COUNTIFS(DATA!$E$2:$E$1001,$B81,DATA!$K$2:$K$1001,"MUDAH")/$D81)</f>
        <v>0.5</v>
      </c>
      <c r="L81" s="30">
        <f>IFERROR(AVERAGEIFS(DATA!$S$2:$S$1001,DATA!$E$2:$E$1001,$B81),"-")</f>
        <v>2.5</v>
      </c>
      <c r="M81" s="14" t="str">
        <f t="shared" si="5"/>
        <v/>
      </c>
    </row>
    <row r="82" spans="1:13">
      <c r="A82" s="13">
        <v>23</v>
      </c>
      <c r="B82" s="14" t="str">
        <f>PROGRES!B73</f>
        <v>ROGOJAMPI BANYUWANGI</v>
      </c>
      <c r="C82" s="13">
        <f>PROGRES!C73</f>
        <v>7</v>
      </c>
      <c r="D82" s="13">
        <f>COUNTIF(DATA!$E$2:$E$1001,$B82)</f>
        <v>0</v>
      </c>
      <c r="E82" s="29">
        <f t="shared" si="4"/>
        <v>0</v>
      </c>
      <c r="F82" s="13">
        <f>COUNTIFS(DATA!$E$2:$E$1001,$B82,DATA!$H$2:$H$1001,"BM")</f>
        <v>0</v>
      </c>
      <c r="G82" s="13">
        <f>COUNTIFS(DATA!$E$2:$E$1001,$B82,DATA!$H$2:$H$1001,"CRO")</f>
        <v>0</v>
      </c>
      <c r="H82" s="13">
        <f>COUNTIFS(DATA!$E$2:$E$1001,$B82,DATA!$H$2:$H$1001,"BAO")</f>
        <v>0</v>
      </c>
      <c r="I82" s="29" t="str">
        <f>IF($D82=0,"-",COUNTIFS(DATA!$E$2:$E$1001,$B82,DATA!$I$2:$I$1001,"MUDAH")/$D82)</f>
        <v>-</v>
      </c>
      <c r="J82" s="29" t="str">
        <f>IF($D82=0,"-",COUNTIFS(DATA!$E$2:$E$1001,$B82,DATA!$J$2:$J$1001,"YA")/$D82)</f>
        <v>-</v>
      </c>
      <c r="K82" s="29" t="str">
        <f>IF($D82=0,"-",COUNTIFS(DATA!$E$2:$E$1001,$B82,DATA!$K$2:$K$1001,"MUDAH")/$D82)</f>
        <v>-</v>
      </c>
      <c r="L82" s="30" t="str">
        <f>IFERROR(AVERAGEIFS(DATA!$S$2:$S$1001,DATA!$E$2:$E$1001,$B82),"-")</f>
        <v>-</v>
      </c>
      <c r="M82" s="14" t="str">
        <f t="shared" si="5"/>
        <v>Belum isi</v>
      </c>
    </row>
    <row r="83" spans="1:13">
      <c r="A83" s="13">
        <v>24</v>
      </c>
      <c r="B83" s="14" t="str">
        <f>PROGRES!B74</f>
        <v>BLITAR</v>
      </c>
      <c r="C83" s="13">
        <f>PROGRES!C74</f>
        <v>6</v>
      </c>
      <c r="D83" s="13">
        <f>COUNTIF(DATA!$E$2:$E$1001,$B83)</f>
        <v>0</v>
      </c>
      <c r="E83" s="29">
        <f t="shared" si="4"/>
        <v>0</v>
      </c>
      <c r="F83" s="13">
        <f>COUNTIFS(DATA!$E$2:$E$1001,$B83,DATA!$H$2:$H$1001,"BM")</f>
        <v>0</v>
      </c>
      <c r="G83" s="13">
        <f>COUNTIFS(DATA!$E$2:$E$1001,$B83,DATA!$H$2:$H$1001,"CRO")</f>
        <v>0</v>
      </c>
      <c r="H83" s="13">
        <f>COUNTIFS(DATA!$E$2:$E$1001,$B83,DATA!$H$2:$H$1001,"BAO")</f>
        <v>0</v>
      </c>
      <c r="I83" s="29" t="str">
        <f>IF($D83=0,"-",COUNTIFS(DATA!$E$2:$E$1001,$B83,DATA!$I$2:$I$1001,"MUDAH")/$D83)</f>
        <v>-</v>
      </c>
      <c r="J83" s="29" t="str">
        <f>IF($D83=0,"-",COUNTIFS(DATA!$E$2:$E$1001,$B83,DATA!$J$2:$J$1001,"YA")/$D83)</f>
        <v>-</v>
      </c>
      <c r="K83" s="29" t="str">
        <f>IF($D83=0,"-",COUNTIFS(DATA!$E$2:$E$1001,$B83,DATA!$K$2:$K$1001,"MUDAH")/$D83)</f>
        <v>-</v>
      </c>
      <c r="L83" s="30" t="str">
        <f>IFERROR(AVERAGEIFS(DATA!$S$2:$S$1001,DATA!$E$2:$E$1001,$B83),"-")</f>
        <v>-</v>
      </c>
      <c r="M83" s="14" t="str">
        <f t="shared" si="5"/>
        <v>Belum isi</v>
      </c>
    </row>
    <row r="84" spans="1:13">
      <c r="A84" s="13">
        <v>25</v>
      </c>
      <c r="B84" s="14" t="str">
        <f>PROGRES!B75</f>
        <v>BONDOWOSO</v>
      </c>
      <c r="C84" s="13">
        <f>PROGRES!C75</f>
        <v>4</v>
      </c>
      <c r="D84" s="13">
        <f>COUNTIF(DATA!$E$2:$E$1001,$B84)</f>
        <v>3</v>
      </c>
      <c r="E84" s="29">
        <f t="shared" si="4"/>
        <v>0.75</v>
      </c>
      <c r="F84" s="13">
        <f>COUNTIFS(DATA!$E$2:$E$1001,$B84,DATA!$H$2:$H$1001,"BM")</f>
        <v>1</v>
      </c>
      <c r="G84" s="13">
        <f>COUNTIFS(DATA!$E$2:$E$1001,$B84,DATA!$H$2:$H$1001,"CRO")</f>
        <v>2</v>
      </c>
      <c r="H84" s="13">
        <f>COUNTIFS(DATA!$E$2:$E$1001,$B84,DATA!$H$2:$H$1001,"BAO")</f>
        <v>0</v>
      </c>
      <c r="I84" s="29">
        <f>IF($D84=0,"-",COUNTIFS(DATA!$E$2:$E$1001,$B84,DATA!$I$2:$I$1001,"MUDAH")/$D84)</f>
        <v>1</v>
      </c>
      <c r="J84" s="29">
        <f>IF($D84=0,"-",COUNTIFS(DATA!$E$2:$E$1001,$B84,DATA!$J$2:$J$1001,"YA")/$D84)</f>
        <v>1</v>
      </c>
      <c r="K84" s="29">
        <f>IF($D84=0,"-",COUNTIFS(DATA!$E$2:$E$1001,$B84,DATA!$K$2:$K$1001,"MUDAH")/$D84)</f>
        <v>0</v>
      </c>
      <c r="L84" s="30">
        <f>IFERROR(AVERAGEIFS(DATA!$S$2:$S$1001,DATA!$E$2:$E$1001,$B84),"-")</f>
        <v>2.6666666666666665</v>
      </c>
      <c r="M84" s="14" t="str">
        <f t="shared" si="5"/>
        <v/>
      </c>
    </row>
    <row r="85" spans="1:13">
      <c r="A85" s="13">
        <v>26</v>
      </c>
      <c r="B85" s="14" t="str">
        <f>PROGRES!B76</f>
        <v>JEMBER</v>
      </c>
      <c r="C85" s="13">
        <f>PROGRES!C76</f>
        <v>7</v>
      </c>
      <c r="D85" s="13">
        <f>COUNTIF(DATA!$E$2:$E$1001,$B85)</f>
        <v>0</v>
      </c>
      <c r="E85" s="29">
        <f t="shared" si="4"/>
        <v>0</v>
      </c>
      <c r="F85" s="13">
        <f>COUNTIFS(DATA!$E$2:$E$1001,$B85,DATA!$H$2:$H$1001,"BM")</f>
        <v>0</v>
      </c>
      <c r="G85" s="13">
        <f>COUNTIFS(DATA!$E$2:$E$1001,$B85,DATA!$H$2:$H$1001,"CRO")</f>
        <v>0</v>
      </c>
      <c r="H85" s="13">
        <f>COUNTIFS(DATA!$E$2:$E$1001,$B85,DATA!$H$2:$H$1001,"BAO")</f>
        <v>0</v>
      </c>
      <c r="I85" s="29" t="str">
        <f>IF($D85=0,"-",COUNTIFS(DATA!$E$2:$E$1001,$B85,DATA!$I$2:$I$1001,"MUDAH")/$D85)</f>
        <v>-</v>
      </c>
      <c r="J85" s="29" t="str">
        <f>IF($D85=0,"-",COUNTIFS(DATA!$E$2:$E$1001,$B85,DATA!$J$2:$J$1001,"YA")/$D85)</f>
        <v>-</v>
      </c>
      <c r="K85" s="29" t="str">
        <f>IF($D85=0,"-",COUNTIFS(DATA!$E$2:$E$1001,$B85,DATA!$K$2:$K$1001,"MUDAH")/$D85)</f>
        <v>-</v>
      </c>
      <c r="L85" s="30" t="str">
        <f>IFERROR(AVERAGEIFS(DATA!$S$2:$S$1001,DATA!$E$2:$E$1001,$B85),"-")</f>
        <v>-</v>
      </c>
      <c r="M85" s="14" t="str">
        <f t="shared" si="5"/>
        <v>Belum isi</v>
      </c>
    </row>
    <row r="86" spans="1:13">
      <c r="A86" s="13">
        <v>27</v>
      </c>
      <c r="B86" s="14" t="str">
        <f>PROGRES!B77</f>
        <v>LUMAJANG</v>
      </c>
      <c r="C86" s="13">
        <f>PROGRES!C77</f>
        <v>6</v>
      </c>
      <c r="D86" s="13">
        <f>COUNTIF(DATA!$E$2:$E$1001,$B86)</f>
        <v>0</v>
      </c>
      <c r="E86" s="29">
        <f t="shared" si="4"/>
        <v>0</v>
      </c>
      <c r="F86" s="13">
        <f>COUNTIFS(DATA!$E$2:$E$1001,$B86,DATA!$H$2:$H$1001,"BM")</f>
        <v>0</v>
      </c>
      <c r="G86" s="13">
        <f>COUNTIFS(DATA!$E$2:$E$1001,$B86,DATA!$H$2:$H$1001,"CRO")</f>
        <v>0</v>
      </c>
      <c r="H86" s="13">
        <f>COUNTIFS(DATA!$E$2:$E$1001,$B86,DATA!$H$2:$H$1001,"BAO")</f>
        <v>0</v>
      </c>
      <c r="I86" s="29" t="str">
        <f>IF($D86=0,"-",COUNTIFS(DATA!$E$2:$E$1001,$B86,DATA!$I$2:$I$1001,"MUDAH")/$D86)</f>
        <v>-</v>
      </c>
      <c r="J86" s="29" t="str">
        <f>IF($D86=0,"-",COUNTIFS(DATA!$E$2:$E$1001,$B86,DATA!$J$2:$J$1001,"YA")/$D86)</f>
        <v>-</v>
      </c>
      <c r="K86" s="29" t="str">
        <f>IF($D86=0,"-",COUNTIFS(DATA!$E$2:$E$1001,$B86,DATA!$K$2:$K$1001,"MUDAH")/$D86)</f>
        <v>-</v>
      </c>
      <c r="L86" s="30" t="str">
        <f>IFERROR(AVERAGEIFS(DATA!$S$2:$S$1001,DATA!$E$2:$E$1001,$B86),"-")</f>
        <v>-</v>
      </c>
      <c r="M86" s="14" t="str">
        <f t="shared" si="5"/>
        <v>Belum isi</v>
      </c>
    </row>
    <row r="87" spans="1:13">
      <c r="A87" s="13">
        <v>28</v>
      </c>
      <c r="B87" s="14" t="str">
        <f>PROGRES!B78</f>
        <v>MALANG I</v>
      </c>
      <c r="C87" s="13">
        <f>PROGRES!C78</f>
        <v>12</v>
      </c>
      <c r="D87" s="13">
        <f>COUNTIF(DATA!$E$2:$E$1001,$B87)</f>
        <v>0</v>
      </c>
      <c r="E87" s="29">
        <f t="shared" si="4"/>
        <v>0</v>
      </c>
      <c r="F87" s="13">
        <f>COUNTIFS(DATA!$E$2:$E$1001,$B87,DATA!$H$2:$H$1001,"BM")</f>
        <v>0</v>
      </c>
      <c r="G87" s="13">
        <f>COUNTIFS(DATA!$E$2:$E$1001,$B87,DATA!$H$2:$H$1001,"CRO")</f>
        <v>0</v>
      </c>
      <c r="H87" s="13">
        <f>COUNTIFS(DATA!$E$2:$E$1001,$B87,DATA!$H$2:$H$1001,"BAO")</f>
        <v>0</v>
      </c>
      <c r="I87" s="29" t="str">
        <f>IF($D87=0,"-",COUNTIFS(DATA!$E$2:$E$1001,$B87,DATA!$I$2:$I$1001,"MUDAH")/$D87)</f>
        <v>-</v>
      </c>
      <c r="J87" s="29" t="str">
        <f>IF($D87=0,"-",COUNTIFS(DATA!$E$2:$E$1001,$B87,DATA!$J$2:$J$1001,"YA")/$D87)</f>
        <v>-</v>
      </c>
      <c r="K87" s="29" t="str">
        <f>IF($D87=0,"-",COUNTIFS(DATA!$E$2:$E$1001,$B87,DATA!$K$2:$K$1001,"MUDAH")/$D87)</f>
        <v>-</v>
      </c>
      <c r="L87" s="30" t="str">
        <f>IFERROR(AVERAGEIFS(DATA!$S$2:$S$1001,DATA!$E$2:$E$1001,$B87),"-")</f>
        <v>-</v>
      </c>
      <c r="M87" s="14" t="str">
        <f t="shared" si="5"/>
        <v>Belum isi</v>
      </c>
    </row>
    <row r="88" spans="1:13">
      <c r="A88" s="13">
        <v>29</v>
      </c>
      <c r="B88" s="14" t="str">
        <f>PROGRES!B79</f>
        <v>PROBOLINGGO</v>
      </c>
      <c r="C88" s="13">
        <f>PROGRES!C79</f>
        <v>5</v>
      </c>
      <c r="D88" s="13">
        <f>COUNTIF(DATA!$E$2:$E$1001,$B88)</f>
        <v>0</v>
      </c>
      <c r="E88" s="29">
        <f t="shared" si="4"/>
        <v>0</v>
      </c>
      <c r="F88" s="13">
        <f>COUNTIFS(DATA!$E$2:$E$1001,$B88,DATA!$H$2:$H$1001,"BM")</f>
        <v>0</v>
      </c>
      <c r="G88" s="13">
        <f>COUNTIFS(DATA!$E$2:$E$1001,$B88,DATA!$H$2:$H$1001,"CRO")</f>
        <v>0</v>
      </c>
      <c r="H88" s="13">
        <f>COUNTIFS(DATA!$E$2:$E$1001,$B88,DATA!$H$2:$H$1001,"BAO")</f>
        <v>0</v>
      </c>
      <c r="I88" s="29" t="str">
        <f>IF($D88=0,"-",COUNTIFS(DATA!$E$2:$E$1001,$B88,DATA!$I$2:$I$1001,"MUDAH")/$D88)</f>
        <v>-</v>
      </c>
      <c r="J88" s="29" t="str">
        <f>IF($D88=0,"-",COUNTIFS(DATA!$E$2:$E$1001,$B88,DATA!$J$2:$J$1001,"YA")/$D88)</f>
        <v>-</v>
      </c>
      <c r="K88" s="29" t="str">
        <f>IF($D88=0,"-",COUNTIFS(DATA!$E$2:$E$1001,$B88,DATA!$K$2:$K$1001,"MUDAH")/$D88)</f>
        <v>-</v>
      </c>
      <c r="L88" s="30" t="str">
        <f>IFERROR(AVERAGEIFS(DATA!$S$2:$S$1001,DATA!$E$2:$E$1001,$B88),"-")</f>
        <v>-</v>
      </c>
      <c r="M88" s="14" t="str">
        <f t="shared" si="5"/>
        <v>Belum isi</v>
      </c>
    </row>
    <row r="89" spans="1:13">
      <c r="A89" s="13">
        <v>30</v>
      </c>
      <c r="B89" s="14" t="str">
        <f>PROGRES!B80</f>
        <v>MALANG II</v>
      </c>
      <c r="C89" s="13">
        <f>PROGRES!C80</f>
        <v>9</v>
      </c>
      <c r="D89" s="13">
        <f>COUNTIF(DATA!$E$2:$E$1001,$B89)</f>
        <v>0</v>
      </c>
      <c r="E89" s="29">
        <f t="shared" si="4"/>
        <v>0</v>
      </c>
      <c r="F89" s="13">
        <f>COUNTIFS(DATA!$E$2:$E$1001,$B89,DATA!$H$2:$H$1001,"BM")</f>
        <v>0</v>
      </c>
      <c r="G89" s="13">
        <f>COUNTIFS(DATA!$E$2:$E$1001,$B89,DATA!$H$2:$H$1001,"CRO")</f>
        <v>0</v>
      </c>
      <c r="H89" s="13">
        <f>COUNTIFS(DATA!$E$2:$E$1001,$B89,DATA!$H$2:$H$1001,"BAO")</f>
        <v>0</v>
      </c>
      <c r="I89" s="29" t="str">
        <f>IF($D89=0,"-",COUNTIFS(DATA!$E$2:$E$1001,$B89,DATA!$I$2:$I$1001,"MUDAH")/$D89)</f>
        <v>-</v>
      </c>
      <c r="J89" s="29" t="str">
        <f>IF($D89=0,"-",COUNTIFS(DATA!$E$2:$E$1001,$B89,DATA!$J$2:$J$1001,"YA")/$D89)</f>
        <v>-</v>
      </c>
      <c r="K89" s="29" t="str">
        <f>IF($D89=0,"-",COUNTIFS(DATA!$E$2:$E$1001,$B89,DATA!$K$2:$K$1001,"MUDAH")/$D89)</f>
        <v>-</v>
      </c>
      <c r="L89" s="30" t="str">
        <f>IFERROR(AVERAGEIFS(DATA!$S$2:$S$1001,DATA!$E$2:$E$1001,$B89),"-")</f>
        <v>-</v>
      </c>
      <c r="M89" s="14" t="str">
        <f t="shared" si="5"/>
        <v>Belum isi</v>
      </c>
    </row>
    <row r="90" spans="1:13">
      <c r="A90" s="13">
        <v>31</v>
      </c>
      <c r="B90" s="14" t="str">
        <f>PROGRES!B81</f>
        <v>SITUBONDO</v>
      </c>
      <c r="C90" s="13">
        <f>PROGRES!C81</f>
        <v>5</v>
      </c>
      <c r="D90" s="13">
        <f>COUNTIF(DATA!$E$2:$E$1001,$B90)</f>
        <v>0</v>
      </c>
      <c r="E90" s="29">
        <f t="shared" si="4"/>
        <v>0</v>
      </c>
      <c r="F90" s="13">
        <f>COUNTIFS(DATA!$E$2:$E$1001,$B90,DATA!$H$2:$H$1001,"BM")</f>
        <v>0</v>
      </c>
      <c r="G90" s="13">
        <f>COUNTIFS(DATA!$E$2:$E$1001,$B90,DATA!$H$2:$H$1001,"CRO")</f>
        <v>0</v>
      </c>
      <c r="H90" s="13">
        <f>COUNTIFS(DATA!$E$2:$E$1001,$B90,DATA!$H$2:$H$1001,"BAO")</f>
        <v>0</v>
      </c>
      <c r="I90" s="29" t="str">
        <f>IF($D90=0,"-",COUNTIFS(DATA!$E$2:$E$1001,$B90,DATA!$I$2:$I$1001,"MUDAH")/$D90)</f>
        <v>-</v>
      </c>
      <c r="J90" s="29" t="str">
        <f>IF($D90=0,"-",COUNTIFS(DATA!$E$2:$E$1001,$B90,DATA!$J$2:$J$1001,"YA")/$D90)</f>
        <v>-</v>
      </c>
      <c r="K90" s="29" t="str">
        <f>IF($D90=0,"-",COUNTIFS(DATA!$E$2:$E$1001,$B90,DATA!$K$2:$K$1001,"MUDAH")/$D90)</f>
        <v>-</v>
      </c>
      <c r="L90" s="30" t="str">
        <f>IFERROR(AVERAGEIFS(DATA!$S$2:$S$1001,DATA!$E$2:$E$1001,$B90),"-")</f>
        <v>-</v>
      </c>
      <c r="M90" s="14" t="str">
        <f t="shared" si="5"/>
        <v>Belum isi</v>
      </c>
    </row>
    <row r="91" spans="1:13">
      <c r="A91" s="13">
        <v>32</v>
      </c>
      <c r="B91" s="14" t="str">
        <f>PROGRES!B82</f>
        <v>TUBAN</v>
      </c>
      <c r="C91" s="13">
        <f>PROGRES!C82</f>
        <v>7</v>
      </c>
      <c r="D91" s="13">
        <f>COUNTIF(DATA!$E$2:$E$1001,$B91)</f>
        <v>5</v>
      </c>
      <c r="E91" s="29">
        <f t="shared" si="4"/>
        <v>0.7142857142857143</v>
      </c>
      <c r="F91" s="13">
        <f>COUNTIFS(DATA!$E$2:$E$1001,$B91,DATA!$H$2:$H$1001,"BM")</f>
        <v>1</v>
      </c>
      <c r="G91" s="13">
        <f>COUNTIFS(DATA!$E$2:$E$1001,$B91,DATA!$H$2:$H$1001,"CRO")</f>
        <v>3</v>
      </c>
      <c r="H91" s="13">
        <f>COUNTIFS(DATA!$E$2:$E$1001,$B91,DATA!$H$2:$H$1001,"BAO")</f>
        <v>1</v>
      </c>
      <c r="I91" s="29">
        <f>IF($D91=0,"-",COUNTIFS(DATA!$E$2:$E$1001,$B91,DATA!$I$2:$I$1001,"MUDAH")/$D91)</f>
        <v>0.8</v>
      </c>
      <c r="J91" s="29">
        <f>IF($D91=0,"-",COUNTIFS(DATA!$E$2:$E$1001,$B91,DATA!$J$2:$J$1001,"YA")/$D91)</f>
        <v>1</v>
      </c>
      <c r="K91" s="29">
        <f>IF($D91=0,"-",COUNTIFS(DATA!$E$2:$E$1001,$B91,DATA!$K$2:$K$1001,"MUDAH")/$D91)</f>
        <v>0.4</v>
      </c>
      <c r="L91" s="30">
        <f>IFERROR(AVERAGEIFS(DATA!$S$2:$S$1001,DATA!$E$2:$E$1001,$B91),"-")</f>
        <v>2.7333333333333334</v>
      </c>
      <c r="M91" s="14" t="str">
        <f t="shared" si="5"/>
        <v/>
      </c>
    </row>
    <row r="92" spans="1:13">
      <c r="A92" s="13">
        <v>33</v>
      </c>
      <c r="B92" s="14" t="str">
        <f>PROGRES!B83</f>
        <v>BANGKALAN</v>
      </c>
      <c r="C92" s="13">
        <f>PROGRES!C83</f>
        <v>5</v>
      </c>
      <c r="D92" s="13">
        <f>COUNTIF(DATA!$E$2:$E$1001,$B92)</f>
        <v>2</v>
      </c>
      <c r="E92" s="29">
        <f t="shared" si="4"/>
        <v>0.4</v>
      </c>
      <c r="F92" s="13">
        <f>COUNTIFS(DATA!$E$2:$E$1001,$B92,DATA!$H$2:$H$1001,"BM")</f>
        <v>0</v>
      </c>
      <c r="G92" s="13">
        <f>COUNTIFS(DATA!$E$2:$E$1001,$B92,DATA!$H$2:$H$1001,"CRO")</f>
        <v>1</v>
      </c>
      <c r="H92" s="13">
        <f>COUNTIFS(DATA!$E$2:$E$1001,$B92,DATA!$H$2:$H$1001,"BAO")</f>
        <v>1</v>
      </c>
      <c r="I92" s="29">
        <f>IF($D92=0,"-",COUNTIFS(DATA!$E$2:$E$1001,$B92,DATA!$I$2:$I$1001,"MUDAH")/$D92)</f>
        <v>1</v>
      </c>
      <c r="J92" s="29">
        <f>IF($D92=0,"-",COUNTIFS(DATA!$E$2:$E$1001,$B92,DATA!$J$2:$J$1001,"YA")/$D92)</f>
        <v>1</v>
      </c>
      <c r="K92" s="29">
        <f>IF($D92=0,"-",COUNTIFS(DATA!$E$2:$E$1001,$B92,DATA!$K$2:$K$1001,"MUDAH")/$D92)</f>
        <v>1</v>
      </c>
      <c r="L92" s="30">
        <f>IFERROR(AVERAGEIFS(DATA!$S$2:$S$1001,DATA!$E$2:$E$1001,$B92),"-")</f>
        <v>3</v>
      </c>
      <c r="M92" s="14" t="str">
        <f t="shared" si="5"/>
        <v/>
      </c>
    </row>
    <row r="93" spans="1:13">
      <c r="A93" s="19"/>
      <c r="B93" s="19" t="s">
        <v>99</v>
      </c>
      <c r="C93" s="18">
        <f>SUM(C60:C92)</f>
        <v>215</v>
      </c>
      <c r="D93" s="18">
        <f>SUM(D60:D92)</f>
        <v>64</v>
      </c>
      <c r="E93" s="31">
        <f t="shared" si="4"/>
        <v>0.29767441860465116</v>
      </c>
      <c r="F93" s="18">
        <f>SUM(F60:F92)</f>
        <v>14</v>
      </c>
      <c r="G93" s="18">
        <f>SUM(G60:G92)</f>
        <v>34</v>
      </c>
      <c r="H93" s="18">
        <f>SUM(H60:H92)</f>
        <v>16</v>
      </c>
      <c r="I93" s="31">
        <f>IFERROR(COUNTIFS(DATA!$F$2:$F$1001,"Jawa Timur",DATA!$I$2:$I$1001,"MUDAH")/$D93,"-")</f>
        <v>0.65625</v>
      </c>
      <c r="J93" s="31">
        <f>IFERROR(COUNTIFS(DATA!$F$2:$F$1001,"Jawa Timur",DATA!$J$2:$J$1001,"YA")/$D93,"-")</f>
        <v>0.828125</v>
      </c>
      <c r="K93" s="31">
        <f>IFERROR(COUNTIFS(DATA!$F$2:$F$1001,"Jawa Timur",DATA!$K$2:$K$1001,"MUDAH")/$D93,"-")</f>
        <v>0.59375</v>
      </c>
      <c r="L93" s="32">
        <f>IFERROR(AVERAGEIFS(DATA!$S$2:$S$1001,DATA!$F$2:$F$1001,"Jawa Timur"),"-")</f>
        <v>2.6822916666666665</v>
      </c>
      <c r="M93" s="19" t="str">
        <f>COUNTIF(M60:M92,"Belum isi")&amp;" cabang belum isi"</f>
        <v>15 cabang belum isi</v>
      </c>
    </row>
    <row r="94" spans="1:13">
      <c r="C94" s="33"/>
      <c r="D94" s="33"/>
      <c r="E94" s="34"/>
      <c r="F94" s="33"/>
      <c r="G94" s="33"/>
      <c r="H94" s="33"/>
      <c r="I94" s="34"/>
      <c r="J94" s="34"/>
      <c r="K94" s="34"/>
      <c r="L94" s="35"/>
    </row>
    <row r="95" spans="1:13">
      <c r="A95" s="3" t="s">
        <v>100</v>
      </c>
      <c r="B95" s="3"/>
      <c r="C95" s="3"/>
      <c r="D95" s="3"/>
      <c r="E95" s="3"/>
      <c r="F95" s="3"/>
      <c r="G95" s="3"/>
      <c r="H95" s="3"/>
      <c r="I95" s="3"/>
      <c r="J95" s="3"/>
      <c r="K95" s="3"/>
      <c r="L95" s="3"/>
      <c r="M95" s="3"/>
    </row>
    <row r="96" spans="1:13">
      <c r="A96" s="13">
        <v>1</v>
      </c>
      <c r="B96" s="14" t="str">
        <f>PROGRES!B84</f>
        <v>BALIKPAPAN</v>
      </c>
      <c r="C96" s="13">
        <f>PROGRES!C84</f>
        <v>4</v>
      </c>
      <c r="D96" s="13">
        <f>COUNTIF(DATA!$E$2:$E$1001,$B96)</f>
        <v>4</v>
      </c>
      <c r="E96" s="29">
        <f t="shared" ref="E96:E105" si="6">IFERROR(D96/C96,0)</f>
        <v>1</v>
      </c>
      <c r="F96" s="13">
        <f>COUNTIFS(DATA!$E$2:$E$1001,$B96,DATA!$H$2:$H$1001,"BM")</f>
        <v>1</v>
      </c>
      <c r="G96" s="13">
        <f>COUNTIFS(DATA!$E$2:$E$1001,$B96,DATA!$H$2:$H$1001,"CRO")</f>
        <v>2</v>
      </c>
      <c r="H96" s="13">
        <f>COUNTIFS(DATA!$E$2:$E$1001,$B96,DATA!$H$2:$H$1001,"BAO")</f>
        <v>1</v>
      </c>
      <c r="I96" s="29">
        <f>IF($D96=0,"-",COUNTIFS(DATA!$E$2:$E$1001,$B96,DATA!$I$2:$I$1001,"MUDAH")/$D96)</f>
        <v>0.75</v>
      </c>
      <c r="J96" s="29">
        <f>IF($D96=0,"-",COUNTIFS(DATA!$E$2:$E$1001,$B96,DATA!$J$2:$J$1001,"YA")/$D96)</f>
        <v>0.75</v>
      </c>
      <c r="K96" s="29">
        <f>IF($D96=0,"-",COUNTIFS(DATA!$E$2:$E$1001,$B96,DATA!$K$2:$K$1001,"MUDAH")/$D96)</f>
        <v>0.75</v>
      </c>
      <c r="L96" s="30">
        <f>IFERROR(AVERAGEIFS(DATA!$S$2:$S$1001,DATA!$E$2:$E$1001,$B96),"-")</f>
        <v>2.75</v>
      </c>
      <c r="M96" s="14" t="str">
        <f t="shared" ref="M96:M104" si="7">IF(D96=0,"Belum isi","")</f>
        <v/>
      </c>
    </row>
    <row r="97" spans="1:13">
      <c r="A97" s="13">
        <v>2</v>
      </c>
      <c r="B97" s="14" t="str">
        <f>PROGRES!B85</f>
        <v>DENPASAR</v>
      </c>
      <c r="C97" s="13">
        <f>PROGRES!C85</f>
        <v>4</v>
      </c>
      <c r="D97" s="13">
        <f>COUNTIF(DATA!$E$2:$E$1001,$B97)</f>
        <v>4</v>
      </c>
      <c r="E97" s="29">
        <f t="shared" si="6"/>
        <v>1</v>
      </c>
      <c r="F97" s="13">
        <f>COUNTIFS(DATA!$E$2:$E$1001,$B97,DATA!$H$2:$H$1001,"BM")</f>
        <v>1</v>
      </c>
      <c r="G97" s="13">
        <f>COUNTIFS(DATA!$E$2:$E$1001,$B97,DATA!$H$2:$H$1001,"CRO")</f>
        <v>2</v>
      </c>
      <c r="H97" s="13">
        <f>COUNTIFS(DATA!$E$2:$E$1001,$B97,DATA!$H$2:$H$1001,"BAO")</f>
        <v>1</v>
      </c>
      <c r="I97" s="29">
        <f>IF($D97=0,"-",COUNTIFS(DATA!$E$2:$E$1001,$B97,DATA!$I$2:$I$1001,"MUDAH")/$D97)</f>
        <v>1</v>
      </c>
      <c r="J97" s="29">
        <f>IF($D97=0,"-",COUNTIFS(DATA!$E$2:$E$1001,$B97,DATA!$J$2:$J$1001,"YA")/$D97)</f>
        <v>0.75</v>
      </c>
      <c r="K97" s="29">
        <f>IF($D97=0,"-",COUNTIFS(DATA!$E$2:$E$1001,$B97,DATA!$K$2:$K$1001,"MUDAH")/$D97)</f>
        <v>0.75</v>
      </c>
      <c r="L97" s="30">
        <f>IFERROR(AVERAGEIFS(DATA!$S$2:$S$1001,DATA!$E$2:$E$1001,$B97),"-")</f>
        <v>2.8333333333333335</v>
      </c>
      <c r="M97" s="14" t="str">
        <f t="shared" si="7"/>
        <v/>
      </c>
    </row>
    <row r="98" spans="1:13">
      <c r="A98" s="13">
        <v>3</v>
      </c>
      <c r="B98" s="14" t="str">
        <f>PROGRES!B86</f>
        <v>KLUNGKUNG</v>
      </c>
      <c r="C98" s="13">
        <f>PROGRES!C86</f>
        <v>5</v>
      </c>
      <c r="D98" s="13">
        <f>COUNTIF(DATA!$E$2:$E$1001,$B98)</f>
        <v>5</v>
      </c>
      <c r="E98" s="29">
        <f t="shared" si="6"/>
        <v>1</v>
      </c>
      <c r="F98" s="13">
        <f>COUNTIFS(DATA!$E$2:$E$1001,$B98,DATA!$H$2:$H$1001,"BM")</f>
        <v>1</v>
      </c>
      <c r="G98" s="13">
        <f>COUNTIFS(DATA!$E$2:$E$1001,$B98,DATA!$H$2:$H$1001,"CRO")</f>
        <v>3</v>
      </c>
      <c r="H98" s="13">
        <f>COUNTIFS(DATA!$E$2:$E$1001,$B98,DATA!$H$2:$H$1001,"BAO")</f>
        <v>1</v>
      </c>
      <c r="I98" s="29">
        <f>IF($D98=0,"-",COUNTIFS(DATA!$E$2:$E$1001,$B98,DATA!$I$2:$I$1001,"MUDAH")/$D98)</f>
        <v>0.4</v>
      </c>
      <c r="J98" s="29">
        <f>IF($D98=0,"-",COUNTIFS(DATA!$E$2:$E$1001,$B98,DATA!$J$2:$J$1001,"YA")/$D98)</f>
        <v>0.6</v>
      </c>
      <c r="K98" s="29">
        <f>IF($D98=0,"-",COUNTIFS(DATA!$E$2:$E$1001,$B98,DATA!$K$2:$K$1001,"MUDAH")/$D98)</f>
        <v>0.6</v>
      </c>
      <c r="L98" s="30">
        <f>IFERROR(AVERAGEIFS(DATA!$S$2:$S$1001,DATA!$E$2:$E$1001,$B98),"-")</f>
        <v>2.5333333333333337</v>
      </c>
      <c r="M98" s="14" t="str">
        <f t="shared" si="7"/>
        <v/>
      </c>
    </row>
    <row r="99" spans="1:13">
      <c r="A99" s="13">
        <v>4</v>
      </c>
      <c r="B99" s="14" t="str">
        <f>PROGRES!B87</f>
        <v>LOMBOK</v>
      </c>
      <c r="C99" s="13">
        <f>PROGRES!C87</f>
        <v>4</v>
      </c>
      <c r="D99" s="13">
        <f>COUNTIF(DATA!$E$2:$E$1001,$B99)</f>
        <v>4</v>
      </c>
      <c r="E99" s="29">
        <f t="shared" si="6"/>
        <v>1</v>
      </c>
      <c r="F99" s="13">
        <f>COUNTIFS(DATA!$E$2:$E$1001,$B99,DATA!$H$2:$H$1001,"BM")</f>
        <v>1</v>
      </c>
      <c r="G99" s="13">
        <f>COUNTIFS(DATA!$E$2:$E$1001,$B99,DATA!$H$2:$H$1001,"CRO")</f>
        <v>2</v>
      </c>
      <c r="H99" s="13">
        <f>COUNTIFS(DATA!$E$2:$E$1001,$B99,DATA!$H$2:$H$1001,"BAO")</f>
        <v>1</v>
      </c>
      <c r="I99" s="29">
        <f>IF($D99=0,"-",COUNTIFS(DATA!$E$2:$E$1001,$B99,DATA!$I$2:$I$1001,"MUDAH")/$D99)</f>
        <v>1</v>
      </c>
      <c r="J99" s="29">
        <f>IF($D99=0,"-",COUNTIFS(DATA!$E$2:$E$1001,$B99,DATA!$J$2:$J$1001,"YA")/$D99)</f>
        <v>1</v>
      </c>
      <c r="K99" s="29">
        <f>IF($D99=0,"-",COUNTIFS(DATA!$E$2:$E$1001,$B99,DATA!$K$2:$K$1001,"MUDAH")/$D99)</f>
        <v>0.75</v>
      </c>
      <c r="L99" s="30">
        <f>IFERROR(AVERAGEIFS(DATA!$S$2:$S$1001,DATA!$E$2:$E$1001,$B99),"-")</f>
        <v>2.9166666666666665</v>
      </c>
      <c r="M99" s="14" t="str">
        <f t="shared" si="7"/>
        <v/>
      </c>
    </row>
    <row r="100" spans="1:13">
      <c r="A100" s="13">
        <v>5</v>
      </c>
      <c r="B100" s="14" t="str">
        <f>PROGRES!B88</f>
        <v>JEMBRANA</v>
      </c>
      <c r="C100" s="13">
        <f>PROGRES!C88</f>
        <v>4</v>
      </c>
      <c r="D100" s="13">
        <f>COUNTIF(DATA!$E$2:$E$1001,$B100)</f>
        <v>3</v>
      </c>
      <c r="E100" s="29">
        <f t="shared" si="6"/>
        <v>0.75</v>
      </c>
      <c r="F100" s="13">
        <f>COUNTIFS(DATA!$E$2:$E$1001,$B100,DATA!$H$2:$H$1001,"BM")</f>
        <v>1</v>
      </c>
      <c r="G100" s="13">
        <f>COUNTIFS(DATA!$E$2:$E$1001,$B100,DATA!$H$2:$H$1001,"CRO")</f>
        <v>1</v>
      </c>
      <c r="H100" s="13">
        <f>COUNTIFS(DATA!$E$2:$E$1001,$B100,DATA!$H$2:$H$1001,"BAO")</f>
        <v>1</v>
      </c>
      <c r="I100" s="29">
        <f>IF($D100=0,"-",COUNTIFS(DATA!$E$2:$E$1001,$B100,DATA!$I$2:$I$1001,"MUDAH")/$D100)</f>
        <v>0.66666666666666663</v>
      </c>
      <c r="J100" s="29">
        <f>IF($D100=0,"-",COUNTIFS(DATA!$E$2:$E$1001,$B100,DATA!$J$2:$J$1001,"YA")/$D100)</f>
        <v>0.66666666666666663</v>
      </c>
      <c r="K100" s="29">
        <f>IF($D100=0,"-",COUNTIFS(DATA!$E$2:$E$1001,$B100,DATA!$K$2:$K$1001,"MUDAH")/$D100)</f>
        <v>0.33333333333333331</v>
      </c>
      <c r="L100" s="30">
        <f>IFERROR(AVERAGEIFS(DATA!$S$2:$S$1001,DATA!$E$2:$E$1001,$B100),"-")</f>
        <v>2.5555555555555554</v>
      </c>
      <c r="M100" s="14" t="str">
        <f t="shared" si="7"/>
        <v/>
      </c>
    </row>
    <row r="101" spans="1:13">
      <c r="A101" s="13">
        <v>6</v>
      </c>
      <c r="B101" s="14" t="str">
        <f>PROGRES!B89</f>
        <v>SINGARAJA</v>
      </c>
      <c r="C101" s="13">
        <f>PROGRES!C89</f>
        <v>4</v>
      </c>
      <c r="D101" s="13">
        <f>COUNTIF(DATA!$E$2:$E$1001,$B101)</f>
        <v>4</v>
      </c>
      <c r="E101" s="29">
        <f t="shared" si="6"/>
        <v>1</v>
      </c>
      <c r="F101" s="13">
        <f>COUNTIFS(DATA!$E$2:$E$1001,$B101,DATA!$H$2:$H$1001,"BM")</f>
        <v>1</v>
      </c>
      <c r="G101" s="13">
        <f>COUNTIFS(DATA!$E$2:$E$1001,$B101,DATA!$H$2:$H$1001,"CRO")</f>
        <v>2</v>
      </c>
      <c r="H101" s="13">
        <f>COUNTIFS(DATA!$E$2:$E$1001,$B101,DATA!$H$2:$H$1001,"BAO")</f>
        <v>1</v>
      </c>
      <c r="I101" s="29">
        <f>IF($D101=0,"-",COUNTIFS(DATA!$E$2:$E$1001,$B101,DATA!$I$2:$I$1001,"MUDAH")/$D101)</f>
        <v>1</v>
      </c>
      <c r="J101" s="29">
        <f>IF($D101=0,"-",COUNTIFS(DATA!$E$2:$E$1001,$B101,DATA!$J$2:$J$1001,"YA")/$D101)</f>
        <v>1</v>
      </c>
      <c r="K101" s="29">
        <f>IF($D101=0,"-",COUNTIFS(DATA!$E$2:$E$1001,$B101,DATA!$K$2:$K$1001,"MUDAH")/$D101)</f>
        <v>0.75</v>
      </c>
      <c r="L101" s="30">
        <f>IFERROR(AVERAGEIFS(DATA!$S$2:$S$1001,DATA!$E$2:$E$1001,$B101),"-")</f>
        <v>2.9166666666666665</v>
      </c>
      <c r="M101" s="14" t="str">
        <f t="shared" si="7"/>
        <v/>
      </c>
    </row>
    <row r="102" spans="1:13">
      <c r="A102" s="13">
        <v>7</v>
      </c>
      <c r="B102" s="14" t="str">
        <f>PROGRES!B90</f>
        <v>TABANAN</v>
      </c>
      <c r="C102" s="13">
        <f>PROGRES!C90</f>
        <v>4</v>
      </c>
      <c r="D102" s="13">
        <f>COUNTIF(DATA!$E$2:$E$1001,$B102)</f>
        <v>4</v>
      </c>
      <c r="E102" s="29">
        <f t="shared" si="6"/>
        <v>1</v>
      </c>
      <c r="F102" s="13">
        <f>COUNTIFS(DATA!$E$2:$E$1001,$B102,DATA!$H$2:$H$1001,"BM")</f>
        <v>1</v>
      </c>
      <c r="G102" s="13">
        <f>COUNTIFS(DATA!$E$2:$E$1001,$B102,DATA!$H$2:$H$1001,"CRO")</f>
        <v>2</v>
      </c>
      <c r="H102" s="13">
        <f>COUNTIFS(DATA!$E$2:$E$1001,$B102,DATA!$H$2:$H$1001,"BAO")</f>
        <v>1</v>
      </c>
      <c r="I102" s="29">
        <f>IF($D102=0,"-",COUNTIFS(DATA!$E$2:$E$1001,$B102,DATA!$I$2:$I$1001,"MUDAH")/$D102)</f>
        <v>0.75</v>
      </c>
      <c r="J102" s="29">
        <f>IF($D102=0,"-",COUNTIFS(DATA!$E$2:$E$1001,$B102,DATA!$J$2:$J$1001,"YA")/$D102)</f>
        <v>0.75</v>
      </c>
      <c r="K102" s="29">
        <f>IF($D102=0,"-",COUNTIFS(DATA!$E$2:$E$1001,$B102,DATA!$K$2:$K$1001,"MUDAH")/$D102)</f>
        <v>0.25</v>
      </c>
      <c r="L102" s="30">
        <f>IFERROR(AVERAGEIFS(DATA!$S$2:$S$1001,DATA!$E$2:$E$1001,$B102),"-")</f>
        <v>2.583333333333333</v>
      </c>
      <c r="M102" s="14" t="str">
        <f t="shared" si="7"/>
        <v/>
      </c>
    </row>
    <row r="103" spans="1:13">
      <c r="A103" s="13">
        <v>8</v>
      </c>
      <c r="B103" s="14" t="str">
        <f>PROGRES!B91</f>
        <v>BANJARMASIN</v>
      </c>
      <c r="C103" s="13">
        <f>PROGRES!C91</f>
        <v>6</v>
      </c>
      <c r="D103" s="13">
        <f>COUNTIF(DATA!$E$2:$E$1001,$B103)</f>
        <v>5</v>
      </c>
      <c r="E103" s="29">
        <f t="shared" si="6"/>
        <v>0.83333333333333337</v>
      </c>
      <c r="F103" s="13">
        <f>COUNTIFS(DATA!$E$2:$E$1001,$B103,DATA!$H$2:$H$1001,"BM")</f>
        <v>1</v>
      </c>
      <c r="G103" s="13">
        <f>COUNTIFS(DATA!$E$2:$E$1001,$B103,DATA!$H$2:$H$1001,"CRO")</f>
        <v>3</v>
      </c>
      <c r="H103" s="13">
        <f>COUNTIFS(DATA!$E$2:$E$1001,$B103,DATA!$H$2:$H$1001,"BAO")</f>
        <v>1</v>
      </c>
      <c r="I103" s="29">
        <f>IF($D103=0,"-",COUNTIFS(DATA!$E$2:$E$1001,$B103,DATA!$I$2:$I$1001,"MUDAH")/$D103)</f>
        <v>0.8</v>
      </c>
      <c r="J103" s="29">
        <f>IF($D103=0,"-",COUNTIFS(DATA!$E$2:$E$1001,$B103,DATA!$J$2:$J$1001,"YA")/$D103)</f>
        <v>1</v>
      </c>
      <c r="K103" s="29">
        <f>IF($D103=0,"-",COUNTIFS(DATA!$E$2:$E$1001,$B103,DATA!$K$2:$K$1001,"MUDAH")/$D103)</f>
        <v>0.8</v>
      </c>
      <c r="L103" s="30">
        <f>IFERROR(AVERAGEIFS(DATA!$S$2:$S$1001,DATA!$E$2:$E$1001,$B103),"-")</f>
        <v>2.8666666666666663</v>
      </c>
      <c r="M103" s="14" t="str">
        <f t="shared" si="7"/>
        <v/>
      </c>
    </row>
    <row r="104" spans="1:13">
      <c r="A104" s="13">
        <v>9</v>
      </c>
      <c r="B104" s="14" t="str">
        <f>PROGRES!B92</f>
        <v>SAMARINDA</v>
      </c>
      <c r="C104" s="13">
        <f>PROGRES!C92</f>
        <v>5</v>
      </c>
      <c r="D104" s="13">
        <f>COUNTIF(DATA!$E$2:$E$1001,$B104)</f>
        <v>5</v>
      </c>
      <c r="E104" s="29">
        <f t="shared" si="6"/>
        <v>1</v>
      </c>
      <c r="F104" s="13">
        <f>COUNTIFS(DATA!$E$2:$E$1001,$B104,DATA!$H$2:$H$1001,"BM")</f>
        <v>1</v>
      </c>
      <c r="G104" s="13">
        <f>COUNTIFS(DATA!$E$2:$E$1001,$B104,DATA!$H$2:$H$1001,"CRO")</f>
        <v>3</v>
      </c>
      <c r="H104" s="13">
        <f>COUNTIFS(DATA!$E$2:$E$1001,$B104,DATA!$H$2:$H$1001,"BAO")</f>
        <v>1</v>
      </c>
      <c r="I104" s="29">
        <f>IF($D104=0,"-",COUNTIFS(DATA!$E$2:$E$1001,$B104,DATA!$I$2:$I$1001,"MUDAH")/$D104)</f>
        <v>0.6</v>
      </c>
      <c r="J104" s="29">
        <f>IF($D104=0,"-",COUNTIFS(DATA!$E$2:$E$1001,$B104,DATA!$J$2:$J$1001,"YA")/$D104)</f>
        <v>0.8</v>
      </c>
      <c r="K104" s="29">
        <f>IF($D104=0,"-",COUNTIFS(DATA!$E$2:$E$1001,$B104,DATA!$K$2:$K$1001,"MUDAH")/$D104)</f>
        <v>0.6</v>
      </c>
      <c r="L104" s="30">
        <f>IFERROR(AVERAGEIFS(DATA!$S$2:$S$1001,DATA!$E$2:$E$1001,$B104),"-")</f>
        <v>2.6666666666666665</v>
      </c>
      <c r="M104" s="14" t="str">
        <f t="shared" si="7"/>
        <v/>
      </c>
    </row>
    <row r="105" spans="1:13">
      <c r="A105" s="19"/>
      <c r="B105" s="19" t="s">
        <v>101</v>
      </c>
      <c r="C105" s="18">
        <f>SUM(C96:C104)</f>
        <v>40</v>
      </c>
      <c r="D105" s="18">
        <f>SUM(D96:D104)</f>
        <v>38</v>
      </c>
      <c r="E105" s="31">
        <f t="shared" si="6"/>
        <v>0.95</v>
      </c>
      <c r="F105" s="18">
        <f>SUM(F96:F104)</f>
        <v>9</v>
      </c>
      <c r="G105" s="18">
        <f>SUM(G96:G104)</f>
        <v>20</v>
      </c>
      <c r="H105" s="18">
        <f>SUM(H96:H104)</f>
        <v>9</v>
      </c>
      <c r="I105" s="31">
        <f>IFERROR(COUNTIFS(DATA!$F$2:$F$1001,"Luar Pulau",DATA!$I$2:$I$1001,"MUDAH")/$D105,"-")</f>
        <v>0.76315789473684215</v>
      </c>
      <c r="J105" s="31">
        <f>IFERROR(COUNTIFS(DATA!$F$2:$F$1001,"Luar Pulau",DATA!$J$2:$J$1001,"YA")/$D105,"-")</f>
        <v>0.81578947368421051</v>
      </c>
      <c r="K105" s="31">
        <f>IFERROR(COUNTIFS(DATA!$F$2:$F$1001,"Luar Pulau",DATA!$K$2:$K$1001,"MUDAH")/$D105,"-")</f>
        <v>0.63157894736842102</v>
      </c>
      <c r="L105" s="32">
        <f>IFERROR(AVERAGEIFS(DATA!$S$2:$S$1001,DATA!$F$2:$F$1001,"Luar Pulau"),"-")</f>
        <v>2.736842105263158</v>
      </c>
      <c r="M105" s="19" t="str">
        <f>COUNTIF(M96:M104,"Belum isi")&amp;" cabang belum isi"</f>
        <v>0 cabang belum isi</v>
      </c>
    </row>
    <row r="106" spans="1:13">
      <c r="C106" s="33"/>
      <c r="D106" s="33"/>
      <c r="E106" s="34"/>
      <c r="F106" s="33"/>
      <c r="G106" s="33"/>
      <c r="H106" s="33"/>
      <c r="I106" s="34"/>
      <c r="J106" s="34"/>
      <c r="K106" s="34"/>
      <c r="L106" s="35"/>
    </row>
    <row r="107" spans="1:13">
      <c r="A107" s="36"/>
      <c r="B107" s="36" t="s">
        <v>102</v>
      </c>
      <c r="C107" s="37">
        <f>C26+C57+C93+C105</f>
        <v>512</v>
      </c>
      <c r="D107" s="37">
        <f>D26+D57+D93+D105</f>
        <v>242</v>
      </c>
      <c r="E107" s="38">
        <f>IFERROR(D107/C107,0)</f>
        <v>0.47265625</v>
      </c>
      <c r="F107" s="37">
        <f>F26+F57+F93+F105</f>
        <v>56</v>
      </c>
      <c r="G107" s="37">
        <f>G26+G57+G93+G105</f>
        <v>133</v>
      </c>
      <c r="H107" s="37">
        <f>H26+H57+H93+H105</f>
        <v>53</v>
      </c>
      <c r="I107" s="38">
        <f>IFERROR(COUNTIF(DATA!$I$2:$I$1001,"MUDAH")/COUNT(DATA!$A$2:$A$1001),"-")</f>
        <v>0.63223140495867769</v>
      </c>
      <c r="J107" s="38">
        <f>IFERROR(COUNTIF(DATA!$J$2:$J$1001,"YA")/COUNT(DATA!$A$2:$A$1001),"-")</f>
        <v>0.68181818181818177</v>
      </c>
      <c r="K107" s="38">
        <f>IFERROR(COUNTIF(DATA!$K$2:$K$1001,"MUDAH")/COUNT(DATA!$A$2:$A$1001),"-")</f>
        <v>0.54958677685950408</v>
      </c>
      <c r="L107" s="39">
        <f>IFERROR(AVERAGE(DATA!$S$2:$S$1001),"-")</f>
        <v>2.6143250688705226</v>
      </c>
      <c r="M107" s="36" t="str">
        <f>COUNTIF(M4:M106,"Belum isi")&amp;" cabang belum isi"</f>
        <v>29 cabang belum isi</v>
      </c>
    </row>
  </sheetData>
  <mergeCells count="4">
    <mergeCell ref="A4:M4"/>
    <mergeCell ref="A28:M28"/>
    <mergeCell ref="A59:M59"/>
    <mergeCell ref="A95:M95"/>
  </mergeCells>
  <conditionalFormatting sqref="M4:M107">
    <cfRule type="cellIs" dxfId="6" priority="2" operator="equal">
      <formula>"Belum isi"</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B1001"/>
  <sheetViews>
    <sheetView zoomScaleNormal="100" workbookViewId="0">
      <pane ySplit="1" topLeftCell="A80" activePane="bottomLeft" state="frozen"/>
      <selection pane="bottomLeft" activeCell="B215" sqref="B215"/>
    </sheetView>
  </sheetViews>
  <sheetFormatPr defaultColWidth="8.7109375" defaultRowHeight="11.25"/>
  <cols>
    <col min="1" max="1" width="5" style="90" customWidth="1"/>
    <col min="2" max="2" width="11" style="90" customWidth="1"/>
    <col min="3" max="3" width="25" style="90" customWidth="1"/>
    <col min="4" max="4" width="11" style="90" customWidth="1"/>
    <col min="5" max="5" width="16" style="90" customWidth="1"/>
    <col min="6" max="6" width="13" style="90" customWidth="1"/>
    <col min="7" max="7" width="17" style="90" customWidth="1"/>
    <col min="8" max="8" width="9" style="90" customWidth="1"/>
    <col min="9" max="9" width="10" style="90" customWidth="1"/>
    <col min="10" max="11" width="11" style="90" customWidth="1"/>
    <col min="12" max="12" width="8" style="90" customWidth="1"/>
    <col min="13" max="13" width="9" style="90" customWidth="1"/>
    <col min="14" max="14" width="8" style="90" customWidth="1"/>
    <col min="15" max="15" width="9" style="90" customWidth="1"/>
    <col min="16" max="18" width="8" style="90" customWidth="1"/>
    <col min="19" max="19" width="9" style="90" customWidth="1"/>
    <col min="20" max="20" width="6" style="90" customWidth="1"/>
    <col min="21" max="21" width="13" style="90" customWidth="1"/>
    <col min="22" max="24" width="35" style="90" customWidth="1"/>
    <col min="25" max="25" width="6" style="5" hidden="1" customWidth="1"/>
    <col min="26" max="28" width="28" style="90" customWidth="1"/>
    <col min="29" max="31" width="5" style="90" customWidth="1"/>
    <col min="32" max="33" width="8.7109375" style="90"/>
    <col min="34" max="34" width="12.140625" style="90" customWidth="1"/>
    <col min="35" max="35" width="18" style="90" customWidth="1"/>
    <col min="36" max="16384" width="8.7109375" style="90"/>
  </cols>
  <sheetData>
    <row r="1" spans="1:54" ht="30" customHeight="1">
      <c r="A1" s="40" t="s">
        <v>2</v>
      </c>
      <c r="B1" s="40" t="s">
        <v>103</v>
      </c>
      <c r="C1" s="40" t="s">
        <v>104</v>
      </c>
      <c r="D1" s="40" t="s">
        <v>105</v>
      </c>
      <c r="E1" s="40" t="s">
        <v>85</v>
      </c>
      <c r="F1" s="40" t="s">
        <v>106</v>
      </c>
      <c r="G1" s="40" t="s">
        <v>107</v>
      </c>
      <c r="H1" s="40" t="s">
        <v>108</v>
      </c>
      <c r="I1" s="40" t="s">
        <v>34</v>
      </c>
      <c r="J1" s="40" t="s">
        <v>35</v>
      </c>
      <c r="K1" s="40" t="s">
        <v>109</v>
      </c>
      <c r="L1" s="40" t="s">
        <v>110</v>
      </c>
      <c r="M1" s="40" t="s">
        <v>111</v>
      </c>
      <c r="N1" s="40" t="s">
        <v>112</v>
      </c>
      <c r="O1" s="40" t="s">
        <v>113</v>
      </c>
      <c r="P1" s="40" t="s">
        <v>114</v>
      </c>
      <c r="Q1" s="40" t="s">
        <v>115</v>
      </c>
      <c r="R1" s="40" t="s">
        <v>116</v>
      </c>
      <c r="S1" s="40" t="s">
        <v>117</v>
      </c>
      <c r="T1" s="40" t="s">
        <v>118</v>
      </c>
      <c r="U1" s="40" t="s">
        <v>119</v>
      </c>
      <c r="V1" s="40" t="s">
        <v>120</v>
      </c>
      <c r="W1" s="40" t="s">
        <v>121</v>
      </c>
      <c r="X1" s="40" t="s">
        <v>122</v>
      </c>
      <c r="Y1" s="10" t="s">
        <v>123</v>
      </c>
      <c r="Z1" s="40" t="s">
        <v>124</v>
      </c>
      <c r="AA1" s="40" t="s">
        <v>125</v>
      </c>
      <c r="AB1" s="40" t="s">
        <v>126</v>
      </c>
      <c r="AH1" s="40" t="s">
        <v>106</v>
      </c>
      <c r="AI1" s="40" t="s">
        <v>127</v>
      </c>
      <c r="AK1" s="40" t="s">
        <v>128</v>
      </c>
      <c r="AL1" s="40" t="s">
        <v>129</v>
      </c>
      <c r="AM1" s="40" t="s">
        <v>130</v>
      </c>
      <c r="AN1" s="40" t="s">
        <v>131</v>
      </c>
      <c r="AO1" s="40" t="s">
        <v>132</v>
      </c>
      <c r="AP1" s="40" t="s">
        <v>133</v>
      </c>
      <c r="AQ1" s="40" t="s">
        <v>134</v>
      </c>
      <c r="AR1" s="40" t="s">
        <v>135</v>
      </c>
      <c r="AS1" s="40" t="s">
        <v>136</v>
      </c>
      <c r="AT1" s="40" t="s">
        <v>137</v>
      </c>
      <c r="AU1" s="40" t="s">
        <v>138</v>
      </c>
      <c r="AV1" s="40" t="s">
        <v>139</v>
      </c>
      <c r="AW1" s="40" t="s">
        <v>140</v>
      </c>
      <c r="AX1" s="40" t="s">
        <v>141</v>
      </c>
      <c r="AY1" s="40" t="s">
        <v>142</v>
      </c>
      <c r="AZ1" s="40" t="s">
        <v>143</v>
      </c>
      <c r="BA1" s="40" t="s">
        <v>144</v>
      </c>
      <c r="BB1" s="40" t="s">
        <v>145</v>
      </c>
    </row>
    <row r="2" spans="1:54">
      <c r="A2" s="87">
        <f>IF(INDEX(FORM!$A:$A,ROW())="","",ROW()-1)</f>
        <v>1</v>
      </c>
      <c r="B2" s="88">
        <f>IF($A2="","",INDEX(FORM!$A:$A,ROW()))</f>
        <v>46307.477598680598</v>
      </c>
      <c r="C2" s="87" t="str">
        <f>IF($A2="","",TRIM(INDEX(FORM!$B:$B,ROW())))</f>
        <v>Pradana Rifti Meidiansyah</v>
      </c>
      <c r="D2" s="87" t="str">
        <f>IF($A2="","",TRIM(INDEX(FORM!$C:$C,ROW())&amp;""))</f>
        <v>1510669</v>
      </c>
      <c r="E2" s="87" t="str">
        <f>IF($A2="","",UPPER(TRIM(INDEX(FORM!$D:$D,ROW()))))</f>
        <v>MAGETAN</v>
      </c>
      <c r="F2" s="87" t="str">
        <f>IF($A2="","",IFERROR(INDEX(PROGRES!$A$2:$A$92,MATCH(E2,PROGRES!$B$2:$B$92,0)),"-"))</f>
        <v>Jawa Timur</v>
      </c>
      <c r="G2" s="87" t="str">
        <f>IF($A2="","",UPPER(TRIM(INDEX(FORM!$F:$F,ROW()))))</f>
        <v>JATIM</v>
      </c>
      <c r="H2" s="87" t="str">
        <f>IF($A2="","",UPPER(TRIM(INDEX(FORM!$E:$E,ROW()))))</f>
        <v>CRO</v>
      </c>
      <c r="I2" s="87" t="str">
        <f>IF($A2="","",UPPER(TRIM(INDEX(FORM!$G:$G,ROW()))))</f>
        <v>MUDAH</v>
      </c>
      <c r="J2" s="87" t="str">
        <f>IF($A2="","",IF(ISNUMBER(SEARCH("Ya,",INDEX(FORM!$H:$H,ROW()))),"YA",IF(ISNUMBER(SEARCH("Cukup,",INDEX(FORM!$H:$H,ROW()))),"CUKUP",IF(ISNUMBER(SEARCH("Kurang,",INDEX(FORM!$H:$H,ROW()))),"KURANG",""))))</f>
        <v>YA</v>
      </c>
      <c r="K2" s="87" t="str">
        <f>IF($A2="","",UPPER(TRIM(INDEX(FORM!$J:$J,ROW()))))</f>
        <v>MUDAH</v>
      </c>
      <c r="L2" s="87">
        <f>IF($A2="","",IF(ISNUMBER(SEARCH("Aktivitas Harian",INDEX(FORM!$K:$K,ROW()))),1,0))</f>
        <v>0</v>
      </c>
      <c r="M2" s="87">
        <f>IF($A2="","",IF(ISNUMBER(SEARCH("Aktivitas Mingguan",INDEX(FORM!$K:$K,ROW()))),1,0))</f>
        <v>0</v>
      </c>
      <c r="N2" s="87">
        <f>IF($A2="","",IF(ISNUMBER(SEARCH("Aktivitas Bulanan",INDEX(FORM!$K:$K,ROW()))),1,0))</f>
        <v>0</v>
      </c>
      <c r="O2" s="87">
        <f>IF($A2="","",IF(ISNUMBER(SEARCH("Overview Cabang",INDEX(FORM!$K:$K,ROW()))),1,0))</f>
        <v>1</v>
      </c>
      <c r="P2" s="87">
        <f>IF($A2="","",IFERROR(VLOOKUP(I2,DATA!$AH$9:$AI$13,2,0),""))</f>
        <v>3</v>
      </c>
      <c r="Q2" s="87">
        <f>IF($A2="","",IFERROR(VLOOKUP(J2,DATA!$AH$9:$AI$13,2,0),""))</f>
        <v>3</v>
      </c>
      <c r="R2" s="87">
        <f>IF($A2="","",IFERROR(VLOOKUP(K2,DATA!$AH$9:$AI$13,2,0),""))</f>
        <v>3</v>
      </c>
      <c r="S2" s="89">
        <f t="shared" ref="S2:S65" si="0">IF($A2="","",IFERROR(AVERAGE(P2:R2),""))</f>
        <v>3</v>
      </c>
      <c r="T2" s="87">
        <f>IF($A2="","",IF(COUNTIF($D$2:D2,D2)=1,1,0))</f>
        <v>1</v>
      </c>
      <c r="U2" s="87" t="str">
        <f>IF($A2="","",IF(F2="-","Cabang tdk ada",IF(IFERROR(VLOOKUP(G2,#REF!,1,0),"")="","",IF(INDEX(DATA!$AH$2:$AH$5,MATCH(G2,DATA!$AI$2:$AI$5,0))&lt;&gt;F2,"Wilayah beda","OK"))))</f>
        <v/>
      </c>
      <c r="V2" s="87" t="str">
        <f>IF($A2="","",TRIM(INDEX(FORM!$I:$I,ROW())&amp;""))</f>
        <v>Sudah cukup baik untuk tampilan</v>
      </c>
      <c r="W2" s="87" t="str">
        <f>IF($A2="","",TRIM(INDEX(FORM!$L:$L,ROW())&amp;""))</f>
        <v>Semua sudah di terapkan sesuai SOP yang ada</v>
      </c>
      <c r="X2" s="87" t="str">
        <f>IF($A2="","",TRIM(INDEX(FORM!$M:$M,ROW())&amp;""))</f>
        <v>Sudah sangat mudah untuk diakses dan dipahami</v>
      </c>
      <c r="Y2" s="8">
        <f>IF($A2="","",IFERROR(MATCH(F2,DATA!$AH$2:$AH$5,0),9)*10000+A2)</f>
        <v>30001</v>
      </c>
      <c r="Z2" s="87" t="str">
        <f t="shared" ref="Z2:Z65" si="1">IF($A2="","",IF(LEN(SUBSTITUTE(SUBSTITUTE(SUBSTITUTE(V2,"-",""),".",""),"?",""))&lt;2,"Tidak ada masukan / sudah baik",IF(OR(ISNUMBER(SEARCH("memang harus",V2&amp;" "))),"Tidak ada masukan / sudah baik",IF(OR(ISNUMBER(SEARCH("lemot",V2&amp;" ")),ISNUMBER(SEARCH("loading",V2&amp;" ")),ISNUMBER(SEARCH("lambat",V2&amp;" ")),ISNUMBER(SEARCH("kecepatan",V2&amp;" ")),ISNUMBER(SEARCH("koneksi",V2&amp;" ")),ISNUMBER(SEARCH("eroro",V2&amp;" ")),ISNUMBER(SEARCH("error",V2&amp;" ")),ISNUMBER(SEARCH("ketutup",V2&amp;" "))),"Kecepatan &amp; Loading Website",IF(OR(ISNUMBER(SEARCH("kontak",V2&amp;" ")),ISNUMBER(SEARCH("pic",V2&amp;" ")),ISNUMBER(SEARCH("darurat",V2&amp;" "))),"Kontak &amp; Informasi PIC",IF(OR(ISNUMBER(SEARCH("sacs",V2&amp;" ")),ISNUMBER(SEARCH("aplikasi",V2&amp;" ")),ISNUMBER(SEARCH("kinerja",V2&amp;" ")),ISNUMBER(SEARCH("seluruh cabang",V2&amp;" "))),"Integrasi dengan SACS / Aplikasi",IF(OR(ISNUMBER(SEARCH("mobile",V2&amp;" ")),ISNUMBER(SEARCH("lebih responsif",V2&amp;" ")),ISNUMBER(SEARCH("scroll",V2&amp;" ")),ISNUMBER(SEARCH("melebar",V2&amp;" "))),"Tampilan di HP (Responsif)",IF(OR(ISNUMBER(SEARCH("simpel",V2&amp;" ")),ISNUMBER(SEARCH("simple",V2&amp;" ")),ISNUMBER(SEARCH("sederhana",V2&amp;" ")),ISNUMBER(SEARCH("ringkas",V2&amp;" ")),ISNUMBER(SEARCH("intinya",V2&amp;" ")),ISNUMBER(SEARCH("panjang lebar",V2&amp;" ")),ISNUMBER(SEARCH("mudah dipahami lagi",V2&amp;" ")),ISNUMBER(SEARCH("tata letak",V2&amp;" ")),ISNUMBER(SEARCH("harus mencari",V2&amp;" "))),"Penyederhanaan &amp; Ringkas Isi",IF(OR(ISNUMBER(SEARCH("menu ",V2&amp;" ")),ISNUMBER(SEARCH("tiap posisi",V2&amp;" ")),ISNUMBER(SEARCH("pilihan antara",V2&amp;" "))),"Menu per Jabatan / Navigasi",IF(OR(ISNUMBER(SEARCH("video",V2&amp;" ")),ISNUMBER(SEARCH("vidio",V2&amp;" ")),ISNUMBER(SEARCH("bagan",V2&amp;" ")),ISNUMBER(SEARCH("gambar",V2&amp;" ")),ISNUMBER(SEARCH("qna",V2&amp;" "))),"Tambah Video / Bagan",IF(OR(ISNUMBER(SEARCH("menarik",V2&amp;" ")),ISNUMBER(SEARCH("design",V2&amp;" ")),ISNUMBER(SEARCH("desain",V2&amp;" ")),ISNUMBER(SEARCH("font",V2&amp;" ")),ISNUMBER(SEARCH("warna",V2&amp;" ")),ISNUMBER(SEARCH("soft",V2&amp;" ")),ISNUMBER(SEARCH("kaku",V2&amp;" ")),ISNUMBER(SEARCH("elegan",V2&amp;" ")),ISNUMBER(SEARCH("grafis",V2&amp;" ")),ISNUMBER(SEARCH("visual",V2&amp;" ")),ISNUMBER(SEARCH("logo",V2&amp;" ")),ISNUMBER(SEARCH("jenuh",V2&amp;" ")),ISNUMBER(SEARCH("abu",V2&amp;" ")),ISNUMBER(SEARCH("tampilannya",V2&amp;" ")),ISNUMBER(SEARCH("tampilan dibuat",V2&amp;" ")),ISNUMBER(SEARCH("tamoilan",V2&amp;" ")),ISNUMBER(SEARCH("lebih user friendly",V2&amp;" "))),"Desain, Warna &amp; Font",IF(OR(ISNUMBER(SEARCH("perbanyak",V2&amp;" ")),ISNUMBER(SEARCH("jabarkan",V2&amp;" ")),ISNUMBER(SEARCH("jobdesk",V2&amp;" ")),ISNUMBER(SEARCH("pengajuan",V2&amp;" ")),ISNUMBER(SEARCH("informasi",V2&amp;" "))),"Penambahan Isi / Penjelasan",IF(OR(ISNUMBER(SEARCH("tingkat",V2&amp;" ")),ISNUMBER(SEARCH("kembang",V2&amp;" ")),ISNUMBER(SEARCH("lebih baik lagi",V2&amp;" ")),ISNUMBER(SEARCH("maksimal",V2&amp;" ")),ISNUMBER(SEARCH("penikatan",V2&amp;" "))),"Saran Umum Peningkatan",IF(OR(ISNUMBER(SEARCH("tidak",V2&amp;" ")),ISNUMBER(SEARCH("tdk",V2&amp;" ")),ISNUMBER(SEARCH("sudah",V2&amp;" ")),ISNUMBER(SEARCH("sdh",V2&amp;" ")),ISNUMBER(SEARCH("cukup",V2&amp;" ")),ISNUMBER(SEARCH("baik",V2&amp;" ")),ISNUMBER(SEARCH("bagus",V2&amp;" ")),ISNUMBER(SEARCH("ok",V2&amp;" ")),ISNUMBER(SEARCH("good",V2&amp;" ")),ISNUMBER(SEARCH("aman",V2&amp;" ")),ISNUMBER(SEARCH("lanjut",V2&amp;" ")),ISNUMBER(SEARCH("mantap",V2&amp;" ")),ISNUMBER(SEARCH("josjis",V2&amp;" ")),ISNUMBER(SEARCH("lumayan",V2&amp;" ")),ISNUMBER(SEARCH("mudah",V2&amp;" ")),ISNUMBER(SEARCH("belum",V2&amp;" ")),ISNUMBER(SEARCH("membantu",V2&amp;" ")),ISNUMBER(SEARCH("comment",V2&amp;" ")),ISNUMBER(SEARCH("lengkap",V2&amp;" ")),ISNUMBER(SEARCH("tercakup",V2&amp;" ")),ISNUMBER(SEARCH("mencakup",V2&amp;" ")),ISNUMBER(SEARCH("semua",V2&amp;" ")),ISNUMBER(SEARCH("penting",V2&amp;" ")),ISNUMBER(SEARCH("terangkum",V2&amp;" ")),ISNUMBER(SEARCH("pas",V2&amp;" ")),ISNUMBER(SEARCH("berjalan",V2&amp;" ")),ISNUMBER(SEARCH("sesuai",V2&amp;" "))),"Tidak ada masukan / sudah baik","Lainnya (perlu dibaca manual)"))))))))))))))</f>
        <v>Tidak ada masukan / sudah baik</v>
      </c>
      <c r="AA2" s="87" t="str">
        <f t="shared" ref="AA2:AA65" si="2">IF($A2="","",IF(LEN(SUBSTITUTE(SUBSTITUTE(SUBSTITUTE(W2,"-",""),".",""),"?",""))&lt;2,"Tidak ada masukan / sudah baik",IF(OR(ISNUMBER(SEARCH("tampilan",W2&amp;" ")),ISNUMBER(SEARCH("lemot",W2&amp;" "))),"Bukan Terkait SOP (Tampilan / Akses)",IF(OR(ISNUMBER(SEARCH("sanksi",W2&amp;" ")),ISNUMBER(SEARCH("pelanggaran",W2&amp;" ")),ISNUMBER(SEARCH("larangan",W2&amp;" ")),ISNUMBER(SEARCH("rekening pribadi",W2&amp;" "))),"Sanksi &amp; Pelanggaran SOP",IF(OR(ISNUMBER(SEARCH("npl",W2&amp;" ")),ISNUMBER(SEARCH("piutang",W2&amp;" ")),ISNUMBER(SEARCH("rekon",W2&amp;" ")),ISNUMBER(SEARCH("overdue",W2&amp;" ")),ISNUMBER(SEARCH("restruk",W2&amp;" ")),ISNUMBER(SEARCH("tempo",W2&amp;" "))),"Piutang &amp; Pelanggan Bermasalah",IF(OR(ISNUMBER(SEARCH("kiriman",W2&amp;" ")),ISNUMBER(SEARCH("pengiriman",W2&amp;" ")),ISNUMBER(SEARCH("retur",W2&amp;" ")),ISNUMBER(SEARCH("barang",W2&amp;" "))),"Pengiriman, Retur &amp; Logistik",IF(OR(ISNUMBER(SEARCH("contact",W2&amp;" ")),ISNUMBER(SEARCH("kontak",W2&amp;" ")),ISNUMBER(SEARCH("pic",W2&amp;" ")),ISNUMBER(SEARCH("berwenang",W2&amp;" ")),ISNUMBER(SEARCH("follow up",W2&amp;" ")),ISNUMBER(SEARCH("eskalasi",W2&amp;" "))),"Kontak PIC &amp; Eskalasi",IF(OR(ISNUMBER(SEARCH("laporan evaluasi",W2&amp;" ")),ISNUMBER(SEARCH("aplikasi cp",W2&amp;" ")),ISNUMBER(SEARCH("flowchart",W2&amp;" ")),ISNUMBER(SEARCH("acuan",W2&amp;" ")),ISNUMBER(SEARCH("poa",W2&amp;" ")),ISNUMBER(SEARCH("aktifitas",W2&amp;" ")),ISNUMBER(SEARCH("aktivitas",W2&amp;" "))),"Panduan Laporan &amp; Alur Kerja",IF(OR(ISNUMBER(SEARCH("notifikasi",W2&amp;" ")),ISNUMBER(SEARCH("pembaruan",W2&amp;" ")),ISNUMBER(SEARCH("perubahan",W2&amp;" ")),ISNUMBER(SEARCH("update",W2&amp;" "))),"Pembaruan &amp; Notifikasi SOP",IF(OR(ISNUMBER(SEARCH("tidak",W2&amp;" ")),ISNUMBER(SEARCH("tdk",W2&amp;" ")),ISNUMBER(SEARCH("sudah",W2&amp;" ")),ISNUMBER(SEARCH("sdh",W2&amp;" ")),ISNUMBER(SEARCH("cukup",W2&amp;" ")),ISNUMBER(SEARCH("baik",W2&amp;" ")),ISNUMBER(SEARCH("bagus",W2&amp;" ")),ISNUMBER(SEARCH("ok",W2&amp;" ")),ISNUMBER(SEARCH("good",W2&amp;" ")),ISNUMBER(SEARCH("aman",W2&amp;" ")),ISNUMBER(SEARCH("lanjut",W2&amp;" ")),ISNUMBER(SEARCH("mantap",W2&amp;" ")),ISNUMBER(SEARCH("josjis",W2&amp;" ")),ISNUMBER(SEARCH("lumayan",W2&amp;" ")),ISNUMBER(SEARCH("mudah",W2&amp;" ")),ISNUMBER(SEARCH("belum",W2&amp;" ")),ISNUMBER(SEARCH("membantu",W2&amp;" ")),ISNUMBER(SEARCH("comment",W2&amp;" ")),ISNUMBER(SEARCH("lengkap",W2&amp;" ")),ISNUMBER(SEARCH("tercakup",W2&amp;" ")),ISNUMBER(SEARCH("mencakup",W2&amp;" ")),ISNUMBER(SEARCH("semua",W2&amp;" ")),ISNUMBER(SEARCH("penting",W2&amp;" ")),ISNUMBER(SEARCH("terangkum",W2&amp;" ")),ISNUMBER(SEARCH("pas",W2&amp;" ")),ISNUMBER(SEARCH("berjalan",W2&amp;" ")),ISNUMBER(SEARCH("sesuai",W2&amp;" "))),"Tidak ada masukan / sudah baik","Lainnya (perlu dibaca manual)"))))))))))</f>
        <v>Tidak ada masukan / sudah baik</v>
      </c>
      <c r="AB2" s="87" t="str">
        <f t="shared" ref="AB2:AB65" si="3">IF($A2="","",IF(LEN(SUBSTITUTE(SUBSTITUTE(SUBSTITUTE(X2,"-",""),".",""),"?",""))&lt;2,"Tidak ada masukan / sudah baik",IF(OR(ISNUMBER(SEARCH("urgent",X2&amp;" "))),"Lainnya (perlu dibaca manual)",IF(OR(ISNUMBER(SEARCH("struktur organisasi",X2&amp;" ")),ISNUMBER(SEARCH("pic",X2&amp;" ")),ISNUMBER(SEARCH("cp",X2&amp;" ")),ISNUMBER(SEARCH("personil",X2&amp;" ")),ISNUMBER(SEARCH("sales",X2&amp;" ")),ISNUMBER(SEARCH("muka",X2&amp;" ")),ISNUMBER(SEARCH("eskalasi",X2&amp;" "))),"Struktur Organisasi, PIC &amp; Tim",IF(OR(ISNUMBER(SEARCH("lemot",X2&amp;" ")),ISNUMBER(SEARCH("lambat",X2&amp;" ")),ISNUMBER(SEARCH("memuat",X2&amp;" ")),ISNUMBER(SEARCH("koneksi",X2&amp;" "))),"Kecepatan Akses Website",IF(OR(ISNUMBER(SEARCH("sacs",X2&amp;" ")),ISNUMBER(SEARCH("aplikasi",X2&amp;" "))),"Integrasi ke SACS / Aplikasi Kerja",IF(OR(ISNUMBER(SEARCH("dashboard",X2&amp;" ")),ISNUMBER(SEARCH("kpi",X2&amp;" ")),ISNUMBER(SEARCH("database",X2&amp;" ")),ISNUMBER(SEARCH("kinerja",X2&amp;" ")),ISNUMBER(SEARCH("seluruh cabang",X2&amp;" "))),"Fitur Baru (Dashboard / KPI / Database)",IF(OR(ISNUMBER(SEARCH("video",X2&amp;" ")),ISNUMBER(SEARCH("gambar",X2&amp;" ")),ISNUMBER(SEARCH("jpg",X2&amp;" ")),ISNUMBER(SEARCH("flowchart",X2&amp;" ")),ISNUMBER(SEARCH("tutorial",X2&amp;" "))),"Tambah Video / Gambar / Flowchart",IF(OR(ISNUMBER(SEARCH("template",X2&amp;" ")),ISNUMBER(SEARCH("surat",X2&amp;" ")),ISNUMBER(SEARCH("korin",X2&amp;" ")),ISNUMBER(SEARCH("overdue",X2&amp;" ")),ISNUMBER(SEARCH("restruk",X2&amp;" ")),ISNUMBER(SEARCH("tempo",X2&amp;" ")),ISNUMBER(SEARCH("larangan",X2&amp;" ")),ISNUMBER(SEARCH("posisi lain",X2&amp;" ")),ISNUMBER(SEARCH("jobdesk",X2&amp;" ")),ISNUMBER(SEARCH("jobdisk",X2&amp;" ")),ISNUMBER(SEARCH("langkah",X2&amp;" ")),ISNUMBER(SEARCH("detail",X2&amp;" ")),ISNUMBER(SEARCH("panduan",X2&amp;" ")),ISNUMBER(SEARCH("lengkap lagi",X2&amp;" ")),ISNUMBER(SEARCH("tips",X2&amp;" "))),"Penambahan Materi &amp; Template",IF(OR(ISNUMBER(SEARCH("simpel",X2&amp;" ")),ISNUMBER(SEARCH("simple",X2&amp;" ")),ISNUMBER(SEARCH("ringkas",X2&amp;" ")),ISNUMBER(SEARCH("monoton",X2&amp;" ")),ISNUMBER(SEARCH("penataan",X2&amp;" "))),"Penyederhanaan Isi",IF(OR(ISNUMBER(SEARCH("menarik",X2&amp;" ")),ISNUMBER(SEARCH("design",X2&amp;" ")),ISNUMBER(SEARCH("desain",X2&amp;" ")),ISNUMBER(SEARCH("tampilan",X2&amp;" ")),ISNUMBER(SEARCH("kaku",X2&amp;" ")),ISNUMBER(SEARCH("user friendly",X2&amp;" "))),"Desain Tampilan",IF(OR(ISNUMBER(SEARCH("update",X2&amp;" ")),ISNUMBER(SEARCH("terbaru",X2&amp;" ")),ISNUMBER(SEARCH("terkini",X2&amp;" ")),ISNUMBER(SEARCH("uptodate",X2&amp;" "))),"Update Informasi Berkala",IF(OR(ISNUMBER(SEARCH("tingkat",X2&amp;" ")),ISNUMBER(SEARCH("kembang",X2&amp;" ")),ISNUMBER(SEARCH("inovasi",X2&amp;" ")),ISNUMBER(SEARCH("maintenance",X2&amp;" "))),"Saran Umum Peningkatan",IF(OR(ISNUMBER(SEARCH("tidak",X2&amp;" ")),ISNUMBER(SEARCH("tdk",X2&amp;" ")),ISNUMBER(SEARCH("sudah",X2&amp;" ")),ISNUMBER(SEARCH("sdh",X2&amp;" ")),ISNUMBER(SEARCH("cukup",X2&amp;" ")),ISNUMBER(SEARCH("baik",X2&amp;" ")),ISNUMBER(SEARCH("bagus",X2&amp;" ")),ISNUMBER(SEARCH("ok",X2&amp;" ")),ISNUMBER(SEARCH("good",X2&amp;" ")),ISNUMBER(SEARCH("aman",X2&amp;" ")),ISNUMBER(SEARCH("lanjut",X2&amp;" ")),ISNUMBER(SEARCH("mantap",X2&amp;" ")),ISNUMBER(SEARCH("josjis",X2&amp;" ")),ISNUMBER(SEARCH("lumayan",X2&amp;" ")),ISNUMBER(SEARCH("mudah",X2&amp;" ")),ISNUMBER(SEARCH("belum",X2&amp;" ")),ISNUMBER(SEARCH("membantu",X2&amp;" ")),ISNUMBER(SEARCH("comment",X2&amp;" ")),ISNUMBER(SEARCH("lengkap",X2&amp;" ")),ISNUMBER(SEARCH("tercakup",X2&amp;" ")),ISNUMBER(SEARCH("mencakup",X2&amp;" ")),ISNUMBER(SEARCH("semua",X2&amp;" ")),ISNUMBER(SEARCH("penting",X2&amp;" ")),ISNUMBER(SEARCH("terangkum",X2&amp;" ")),ISNUMBER(SEARCH("pas",X2&amp;" ")),ISNUMBER(SEARCH("berjalan",X2&amp;" ")),ISNUMBER(SEARCH("sesuai",X2&amp;" "))),"Tidak ada masukan / sudah baik","Lainnya (perlu dibaca manual)"))))))))))))))</f>
        <v>Tidak ada masukan / sudah baik</v>
      </c>
      <c r="AC2" s="87"/>
      <c r="AD2" s="87"/>
      <c r="AE2" s="87"/>
      <c r="AH2" s="91" t="s">
        <v>8</v>
      </c>
      <c r="AI2" s="91" t="s">
        <v>146</v>
      </c>
      <c r="AK2" s="90">
        <f t="shared" ref="AK2:AK65" si="4">IF($A2="","",IF(OR($Z2="Kecepatan &amp; Loading Website",$AB2="Kecepatan Akses Website",AND($AA2="Bukan Terkait SOP (Tampilan / Akses)",OR(ISNUMBER(SEARCH("lemot",$W2)),ISNUMBER(SEARCH("loading",$W2)),ISNUMBER(SEARCH("lambat",$W2))))),1,0))</f>
        <v>0</v>
      </c>
      <c r="AL2" s="90">
        <f t="shared" ref="AL2:AL65" si="5">IF($A2="","",IF(OR($Z2="Tampilan di HP (Responsif)"),1,0))</f>
        <v>0</v>
      </c>
      <c r="AM2" s="90">
        <f t="shared" ref="AM2:AM65" si="6">IF($A2="","",IF(OR($Z2="Desain, Warna &amp; Font",$AB2="Desain Tampilan",AND($AA2="Bukan Terkait SOP (Tampilan / Akses)",NOT(OR(ISNUMBER(SEARCH("lemot",$W2)),ISNUMBER(SEARCH("loading",$W2)),ISNUMBER(SEARCH("lambat",$W2)))))),1,0))</f>
        <v>0</v>
      </c>
      <c r="AN2" s="90">
        <f t="shared" ref="AN2:AN65" si="7">IF($A2="","",IF(OR($Z2="Menu per Jabatan / Navigasi"),1,0))</f>
        <v>0</v>
      </c>
      <c r="AO2" s="90">
        <f t="shared" ref="AO2:AO65" si="8">IF($A2="","",IF(OR($Z2="Integrasi dengan SACS / Aplikasi",$AB2="Integrasi ke SACS / Aplikasi Kerja"),1,0))</f>
        <v>0</v>
      </c>
      <c r="AP2" s="90">
        <f t="shared" ref="AP2:AP65" si="9">IF($A2="","",IF(OR($AB2="Fitur Baru (Dashboard / KPI / Database)"),1,0))</f>
        <v>0</v>
      </c>
      <c r="AQ2" s="90">
        <f t="shared" ref="AQ2:AQ65" si="10">IF($A2="","",IF(OR($Z2="Penyederhanaan &amp; Ringkas Isi",$AB2="Penyederhanaan Isi"),1,0))</f>
        <v>0</v>
      </c>
      <c r="AR2" s="90">
        <f t="shared" ref="AR2:AR65" si="11">IF($A2="","",IF(OR($Z2="Penambahan Isi / Penjelasan",$AB2="Penambahan Materi &amp; Template"),1,0))</f>
        <v>0</v>
      </c>
      <c r="AS2" s="90">
        <f t="shared" ref="AS2:AS65" si="12">IF($A2="","",IF(OR($Z2="Tambah Video / Bagan",$AB2="Tambah Video / Gambar / Flowchart"),1,0))</f>
        <v>0</v>
      </c>
      <c r="AT2" s="90">
        <f t="shared" ref="AT2:AT65" si="13">IF($A2="","",IF(OR($Z2="Kontak &amp; Informasi PIC",$AA2="Kontak PIC &amp; Eskalasi",$AB2="Struktur Organisasi, PIC &amp; Tim"),1,0))</f>
        <v>0</v>
      </c>
      <c r="AU2" s="90">
        <f t="shared" ref="AU2:AU65" si="14">IF($A2="","",IF(OR($AA2="Pembaruan &amp; Notifikasi SOP",$AB2="Update Informasi Berkala"),1,0))</f>
        <v>0</v>
      </c>
      <c r="AV2" s="90">
        <f t="shared" ref="AV2:AV65" si="15">IF($A2="","",IF(OR($AA2="Sanksi &amp; Pelanggaran SOP"),1,0))</f>
        <v>0</v>
      </c>
      <c r="AW2" s="90">
        <f t="shared" ref="AW2:AW65" si="16">IF($A2="","",IF(OR($AA2="Piutang &amp; Pelanggan Bermasalah"),1,0))</f>
        <v>0</v>
      </c>
      <c r="AX2" s="90">
        <f t="shared" ref="AX2:AX65" si="17">IF($A2="","",IF(OR($AA2="Pengiriman, Retur &amp; Logistik"),1,0))</f>
        <v>0</v>
      </c>
      <c r="AY2" s="90">
        <f t="shared" ref="AY2:AY65" si="18">IF($A2="","",IF(OR($AA2="Panduan Laporan &amp; Alur Kerja"),1,0))</f>
        <v>0</v>
      </c>
      <c r="AZ2" s="90">
        <f t="shared" ref="AZ2:AZ65" si="19">IF($A2="","",IF(OR($Z2="Saran Umum Peningkatan",$AB2="Saran Umum Peningkatan"),1,0))</f>
        <v>0</v>
      </c>
      <c r="BA2" s="90">
        <f t="shared" ref="BA2:BA65" si="20">IF($A2="","",IF(OR($Z2="Lainnya (perlu dibaca manual)",$AA2="Lainnya (perlu dibaca manual)",$AB2="Lainnya (perlu dibaca manual)"),1,0))</f>
        <v>0</v>
      </c>
      <c r="BB2" s="90">
        <f t="shared" ref="BB2:BB65" si="21">IF($A2="","",IF(AND($Z2="Tidak ada masukan / sudah baik",$AA2="Tidak ada masukan / sudah baik",$AB2="Tidak ada masukan / sudah baik"),0,1))</f>
        <v>0</v>
      </c>
    </row>
    <row r="3" spans="1:54" s="5" customFormat="1" hidden="1">
      <c r="A3" s="8">
        <f>IF(INDEX(FORM!$A:$A,ROW())="","",ROW()-1)</f>
        <v>2</v>
      </c>
      <c r="B3" s="41">
        <f>IF($A3="","",INDEX(FORM!$A:$A,ROW()))</f>
        <v>46307.512882442097</v>
      </c>
      <c r="C3" s="8" t="str">
        <f>IF($A3="","",TRIM(INDEX(FORM!$B:$B,ROW())))</f>
        <v>SENDY MARTIN</v>
      </c>
      <c r="D3" s="8" t="str">
        <f>IF($A3="","",TRIM(INDEX(FORM!$C:$C,ROW())&amp;""))</f>
        <v>80490</v>
      </c>
      <c r="E3" s="8" t="str">
        <f>IF($A3="","",UPPER(TRIM(INDEX(FORM!$D:$D,ROW()))))</f>
        <v>BLORA</v>
      </c>
      <c r="F3" s="8" t="str">
        <f>IF($A3="","",IFERROR(INDEX(PROGRES!$A$2:$A$92,MATCH(E3,PROGRES!$B$2:$B$92,0)),"-"))</f>
        <v>Jawa Tengah</v>
      </c>
      <c r="G3" s="8" t="str">
        <f>IF($A3="","",UPPER(TRIM(INDEX(FORM!$F:$F,ROW()))))</f>
        <v>JATENG DIY</v>
      </c>
      <c r="H3" s="8" t="str">
        <f>IF($A3="","",UPPER(TRIM(INDEX(FORM!$E:$E,ROW()))))</f>
        <v>BM</v>
      </c>
      <c r="I3" s="8" t="str">
        <f>IF($A3="","",UPPER(TRIM(INDEX(FORM!$G:$G,ROW()))))</f>
        <v>CUKUP</v>
      </c>
      <c r="J3" s="8" t="str">
        <f>IF($A3="","",IF(ISNUMBER(SEARCH("Ya,",INDEX(FORM!$H:$H,ROW()))),"YA",IF(ISNUMBER(SEARCH("Cukup,",INDEX(FORM!$H:$H,ROW()))),"CUKUP",IF(ISNUMBER(SEARCH("Kurang,",INDEX(FORM!$H:$H,ROW()))),"KURANG",""))))</f>
        <v>CUKUP</v>
      </c>
      <c r="K3" s="8" t="str">
        <f>IF($A3="","",UPPER(TRIM(INDEX(FORM!$J:$J,ROW()))))</f>
        <v>CUKUP</v>
      </c>
      <c r="L3" s="8">
        <f>IF($A3="","",IF(ISNUMBER(SEARCH("Aktivitas Harian",INDEX(FORM!$K:$K,ROW()))),1,0))</f>
        <v>1</v>
      </c>
      <c r="M3" s="8">
        <f>IF($A3="","",IF(ISNUMBER(SEARCH("Aktivitas Mingguan",INDEX(FORM!$K:$K,ROW()))),1,0))</f>
        <v>0</v>
      </c>
      <c r="N3" s="8">
        <f>IF($A3="","",IF(ISNUMBER(SEARCH("Aktivitas Bulanan",INDEX(FORM!$K:$K,ROW()))),1,0))</f>
        <v>0</v>
      </c>
      <c r="O3" s="8">
        <f>IF($A3="","",IF(ISNUMBER(SEARCH("Overview Cabang",INDEX(FORM!$K:$K,ROW()))),1,0))</f>
        <v>1</v>
      </c>
      <c r="P3" s="8">
        <f>IF($A3="","",IFERROR(VLOOKUP(I3,DATA!$AH$9:$AI$13,2,0),""))</f>
        <v>2</v>
      </c>
      <c r="Q3" s="8">
        <f>IF($A3="","",IFERROR(VLOOKUP(J3,DATA!$AH$9:$AI$13,2,0),""))</f>
        <v>2</v>
      </c>
      <c r="R3" s="8">
        <f>IF($A3="","",IFERROR(VLOOKUP(K3,DATA!$AH$9:$AI$13,2,0),""))</f>
        <v>2</v>
      </c>
      <c r="S3" s="42">
        <f t="shared" si="0"/>
        <v>2</v>
      </c>
      <c r="T3" s="8">
        <f>IF($A3="","",IF(COUNTIF($D$2:D3,D3)=1,1,0))</f>
        <v>1</v>
      </c>
      <c r="U3" s="8" t="str">
        <f>IF($A3="","",IF(F3="-","Cabang tdk ada",IF(IFERROR(VLOOKUP(G3,#REF!,1,0),"")="","",IF(INDEX(DATA!$AH$2:$AH$5,MATCH(G3,DATA!$AI$2:$AI$5,0))&lt;&gt;F3,"Wilayah beda","OK"))))</f>
        <v/>
      </c>
      <c r="V3" s="8" t="str">
        <f>IF($A3="","",TRIM(INDEX(FORM!$I:$I,ROW())&amp;""))</f>
        <v>Cukup</v>
      </c>
      <c r="W3" s="8" t="str">
        <f>IF($A3="","",TRIM(INDEX(FORM!$L:$L,ROW())&amp;""))</f>
        <v>Tidak ada</v>
      </c>
      <c r="X3" s="8" t="str">
        <f>IF($A3="","",TRIM(INDEX(FORM!$M:$M,ROW())&amp;""))</f>
        <v>Di linkn dengan sacs agarvlebih mudahbuntuk aksesnya</v>
      </c>
      <c r="Y3" s="8">
        <f>IF($A3="","",IFERROR(MATCH(F3,DATA!$AH$2:$AH$5,0),9)*10000+A3)</f>
        <v>20002</v>
      </c>
      <c r="Z3" s="8" t="str">
        <f t="shared" si="1"/>
        <v>Tidak ada masukan / sudah baik</v>
      </c>
      <c r="AA3" s="8" t="str">
        <f t="shared" si="2"/>
        <v>Tidak ada masukan / sudah baik</v>
      </c>
      <c r="AB3" s="8" t="str">
        <f t="shared" si="3"/>
        <v>Integrasi ke SACS / Aplikasi Kerja</v>
      </c>
      <c r="AC3" s="8"/>
      <c r="AD3" s="8"/>
      <c r="AE3" s="8"/>
      <c r="AH3" s="14" t="s">
        <v>9</v>
      </c>
      <c r="AI3" s="14" t="s">
        <v>147</v>
      </c>
      <c r="AK3" s="5">
        <f t="shared" si="4"/>
        <v>0</v>
      </c>
      <c r="AL3" s="5">
        <f t="shared" si="5"/>
        <v>0</v>
      </c>
      <c r="AM3" s="5">
        <f t="shared" si="6"/>
        <v>0</v>
      </c>
      <c r="AN3" s="5">
        <f t="shared" si="7"/>
        <v>0</v>
      </c>
      <c r="AO3" s="5">
        <f t="shared" si="8"/>
        <v>1</v>
      </c>
      <c r="AP3" s="5">
        <f t="shared" si="9"/>
        <v>0</v>
      </c>
      <c r="AQ3" s="5">
        <f t="shared" si="10"/>
        <v>0</v>
      </c>
      <c r="AR3" s="5">
        <f t="shared" si="11"/>
        <v>0</v>
      </c>
      <c r="AS3" s="5">
        <f t="shared" si="12"/>
        <v>0</v>
      </c>
      <c r="AT3" s="5">
        <f t="shared" si="13"/>
        <v>0</v>
      </c>
      <c r="AU3" s="5">
        <f t="shared" si="14"/>
        <v>0</v>
      </c>
      <c r="AV3" s="5">
        <f t="shared" si="15"/>
        <v>0</v>
      </c>
      <c r="AW3" s="5">
        <f t="shared" si="16"/>
        <v>0</v>
      </c>
      <c r="AX3" s="5">
        <f t="shared" si="17"/>
        <v>0</v>
      </c>
      <c r="AY3" s="5">
        <f t="shared" si="18"/>
        <v>0</v>
      </c>
      <c r="AZ3" s="5">
        <f t="shared" si="19"/>
        <v>0</v>
      </c>
      <c r="BA3" s="5">
        <f t="shared" si="20"/>
        <v>0</v>
      </c>
      <c r="BB3" s="5">
        <f t="shared" si="21"/>
        <v>1</v>
      </c>
    </row>
    <row r="4" spans="1:54" s="5" customFormat="1" hidden="1">
      <c r="A4" s="8">
        <f>IF(INDEX(FORM!$A:$A,ROW())="","",ROW()-1)</f>
        <v>3</v>
      </c>
      <c r="B4" s="41">
        <f>IF($A4="","",INDEX(FORM!$A:$A,ROW()))</f>
        <v>46308.371871261603</v>
      </c>
      <c r="C4" s="8" t="str">
        <f>IF($A4="","",TRIM(INDEX(FORM!$B:$B,ROW())))</f>
        <v>RIZKY SATYA PUTRA</v>
      </c>
      <c r="D4" s="8" t="str">
        <f>IF($A4="","",TRIM(INDEX(FORM!$C:$C,ROW())&amp;""))</f>
        <v>1510940</v>
      </c>
      <c r="E4" s="8" t="str">
        <f>IF($A4="","",UPPER(TRIM(INDEX(FORM!$D:$D,ROW()))))</f>
        <v>SAYUNG</v>
      </c>
      <c r="F4" s="8" t="str">
        <f>IF($A4="","",IFERROR(INDEX(PROGRES!$A$2:$A$92,MATCH(E4,PROGRES!$B$2:$B$92,0)),"-"))</f>
        <v>Jawa Tengah</v>
      </c>
      <c r="G4" s="8" t="str">
        <f>IF($A4="","",UPPER(TRIM(INDEX(FORM!$F:$F,ROW()))))</f>
        <v>JATENG DIY</v>
      </c>
      <c r="H4" s="8" t="str">
        <f>IF($A4="","",UPPER(TRIM(INDEX(FORM!$E:$E,ROW()))))</f>
        <v>BM</v>
      </c>
      <c r="I4" s="8" t="str">
        <f>IF($A4="","",UPPER(TRIM(INDEX(FORM!$G:$G,ROW()))))</f>
        <v>CUKUP</v>
      </c>
      <c r="J4" s="8" t="str">
        <f>IF($A4="","",IF(ISNUMBER(SEARCH("Ya,",INDEX(FORM!$H:$H,ROW()))),"YA",IF(ISNUMBER(SEARCH("Cukup,",INDEX(FORM!$H:$H,ROW()))),"CUKUP",IF(ISNUMBER(SEARCH("Kurang,",INDEX(FORM!$H:$H,ROW()))),"KURANG",""))))</f>
        <v>CUKUP</v>
      </c>
      <c r="K4" s="8" t="str">
        <f>IF($A4="","",UPPER(TRIM(INDEX(FORM!$J:$J,ROW()))))</f>
        <v>CUKUP</v>
      </c>
      <c r="L4" s="8">
        <f>IF($A4="","",IF(ISNUMBER(SEARCH("Aktivitas Harian",INDEX(FORM!$K:$K,ROW()))),1,0))</f>
        <v>1</v>
      </c>
      <c r="M4" s="8">
        <f>IF($A4="","",IF(ISNUMBER(SEARCH("Aktivitas Mingguan",INDEX(FORM!$K:$K,ROW()))),1,0))</f>
        <v>0</v>
      </c>
      <c r="N4" s="8">
        <f>IF($A4="","",IF(ISNUMBER(SEARCH("Aktivitas Bulanan",INDEX(FORM!$K:$K,ROW()))),1,0))</f>
        <v>0</v>
      </c>
      <c r="O4" s="8">
        <f>IF($A4="","",IF(ISNUMBER(SEARCH("Overview Cabang",INDEX(FORM!$K:$K,ROW()))),1,0))</f>
        <v>0</v>
      </c>
      <c r="P4" s="8">
        <f>IF($A4="","",IFERROR(VLOOKUP(I4,DATA!$AH$9:$AI$13,2,0),""))</f>
        <v>2</v>
      </c>
      <c r="Q4" s="8">
        <f>IF($A4="","",IFERROR(VLOOKUP(J4,DATA!$AH$9:$AI$13,2,0),""))</f>
        <v>2</v>
      </c>
      <c r="R4" s="8">
        <f>IF($A4="","",IFERROR(VLOOKUP(K4,DATA!$AH$9:$AI$13,2,0),""))</f>
        <v>2</v>
      </c>
      <c r="S4" s="42">
        <f t="shared" si="0"/>
        <v>2</v>
      </c>
      <c r="T4" s="8">
        <f>IF($A4="","",IF(COUNTIF($D$2:D4,D4)=1,1,0))</f>
        <v>1</v>
      </c>
      <c r="U4" s="8" t="str">
        <f>IF($A4="","",IF(F4="-","Cabang tdk ada",IF(IFERROR(VLOOKUP(G4,#REF!,1,0),"")="","",IF(INDEX(DATA!$AH$2:$AH$5,MATCH(G4,DATA!$AI$2:$AI$5,0))&lt;&gt;F4,"Wilayah beda","OK"))))</f>
        <v/>
      </c>
      <c r="V4" s="8" t="str">
        <f>IF($A4="","",TRIM(INDEX(FORM!$I:$I,ROW())&amp;""))</f>
        <v>Mungkin dijelaskan lebih ringkas saja, dan ditampilkan pada aplikasi SACS sehingga setiap user bisa mengakses</v>
      </c>
      <c r="W4" s="8" t="str">
        <f>IF($A4="","",TRIM(INDEX(FORM!$L:$L,ROW())&amp;""))</f>
        <v>tidak ada</v>
      </c>
      <c r="X4" s="8" t="str">
        <f>IF($A4="","",TRIM(INDEX(FORM!$M:$M,ROW())&amp;""))</f>
        <v>Mungkin dijelaskan lebih ringkas saja, dan ditampilkan pada aplikasi SACS sehingga setiap user bisa mengakses</v>
      </c>
      <c r="Y4" s="8">
        <f>IF($A4="","",IFERROR(MATCH(F4,DATA!$AH$2:$AH$5,0),9)*10000+A4)</f>
        <v>20003</v>
      </c>
      <c r="Z4" s="8" t="str">
        <f t="shared" si="1"/>
        <v>Integrasi dengan SACS / Aplikasi</v>
      </c>
      <c r="AA4" s="8" t="str">
        <f t="shared" si="2"/>
        <v>Tidak ada masukan / sudah baik</v>
      </c>
      <c r="AB4" s="8" t="str">
        <f t="shared" si="3"/>
        <v>Integrasi ke SACS / Aplikasi Kerja</v>
      </c>
      <c r="AC4" s="8"/>
      <c r="AD4" s="8"/>
      <c r="AE4" s="8"/>
      <c r="AH4" s="14" t="s">
        <v>10</v>
      </c>
      <c r="AI4" s="14" t="s">
        <v>148</v>
      </c>
      <c r="AK4" s="5">
        <f t="shared" si="4"/>
        <v>0</v>
      </c>
      <c r="AL4" s="5">
        <f t="shared" si="5"/>
        <v>0</v>
      </c>
      <c r="AM4" s="5">
        <f t="shared" si="6"/>
        <v>0</v>
      </c>
      <c r="AN4" s="5">
        <f t="shared" si="7"/>
        <v>0</v>
      </c>
      <c r="AO4" s="5">
        <f t="shared" si="8"/>
        <v>1</v>
      </c>
      <c r="AP4" s="5">
        <f t="shared" si="9"/>
        <v>0</v>
      </c>
      <c r="AQ4" s="5">
        <f t="shared" si="10"/>
        <v>0</v>
      </c>
      <c r="AR4" s="5">
        <f t="shared" si="11"/>
        <v>0</v>
      </c>
      <c r="AS4" s="5">
        <f t="shared" si="12"/>
        <v>0</v>
      </c>
      <c r="AT4" s="5">
        <f t="shared" si="13"/>
        <v>0</v>
      </c>
      <c r="AU4" s="5">
        <f t="shared" si="14"/>
        <v>0</v>
      </c>
      <c r="AV4" s="5">
        <f t="shared" si="15"/>
        <v>0</v>
      </c>
      <c r="AW4" s="5">
        <f t="shared" si="16"/>
        <v>0</v>
      </c>
      <c r="AX4" s="5">
        <f t="shared" si="17"/>
        <v>0</v>
      </c>
      <c r="AY4" s="5">
        <f t="shared" si="18"/>
        <v>0</v>
      </c>
      <c r="AZ4" s="5">
        <f t="shared" si="19"/>
        <v>0</v>
      </c>
      <c r="BA4" s="5">
        <f t="shared" si="20"/>
        <v>0</v>
      </c>
      <c r="BB4" s="5">
        <f t="shared" si="21"/>
        <v>1</v>
      </c>
    </row>
    <row r="5" spans="1:54">
      <c r="A5" s="87">
        <f>IF(INDEX(FORM!$A:$A,ROW())="","",ROW()-1)</f>
        <v>4</v>
      </c>
      <c r="B5" s="88">
        <f>IF($A5="","",INDEX(FORM!$A:$A,ROW()))</f>
        <v>46308.373817175903</v>
      </c>
      <c r="C5" s="87" t="str">
        <f>IF($A5="","",TRIM(INDEX(FORM!$B:$B,ROW())))</f>
        <v>Iman Suratman</v>
      </c>
      <c r="D5" s="87" t="str">
        <f>IF($A5="","",TRIM(INDEX(FORM!$C:$C,ROW())&amp;""))</f>
        <v>1511215</v>
      </c>
      <c r="E5" s="87" t="str">
        <f>IF($A5="","",UPPER(TRIM(INDEX(FORM!$D:$D,ROW()))))</f>
        <v>CILACAP</v>
      </c>
      <c r="F5" s="87" t="str">
        <f>IF($A5="","",IFERROR(INDEX(PROGRES!$A$2:$A$92,MATCH(E5,PROGRES!$B$2:$B$92,0)),"-"))</f>
        <v>Jawa Tengah</v>
      </c>
      <c r="G5" s="87" t="str">
        <f>IF($A5="","",UPPER(TRIM(INDEX(FORM!$F:$F,ROW()))))</f>
        <v>JATENG DIY</v>
      </c>
      <c r="H5" s="87" t="str">
        <f>IF($A5="","",UPPER(TRIM(INDEX(FORM!$E:$E,ROW()))))</f>
        <v>CRO</v>
      </c>
      <c r="I5" s="87" t="str">
        <f>IF($A5="","",UPPER(TRIM(INDEX(FORM!$G:$G,ROW()))))</f>
        <v>MUDAH</v>
      </c>
      <c r="J5" s="87" t="str">
        <f>IF($A5="","",IF(ISNUMBER(SEARCH("Ya,",INDEX(FORM!$H:$H,ROW()))),"YA",IF(ISNUMBER(SEARCH("Cukup,",INDEX(FORM!$H:$H,ROW()))),"CUKUP",IF(ISNUMBER(SEARCH("Kurang,",INDEX(FORM!$H:$H,ROW()))),"KURANG",""))))</f>
        <v>CUKUP</v>
      </c>
      <c r="K5" s="87" t="str">
        <f>IF($A5="","",UPPER(TRIM(INDEX(FORM!$J:$J,ROW()))))</f>
        <v>MUDAH</v>
      </c>
      <c r="L5" s="87">
        <f>IF($A5="","",IF(ISNUMBER(SEARCH("Aktivitas Harian",INDEX(FORM!$K:$K,ROW()))),1,0))</f>
        <v>0</v>
      </c>
      <c r="M5" s="87">
        <f>IF($A5="","",IF(ISNUMBER(SEARCH("Aktivitas Mingguan",INDEX(FORM!$K:$K,ROW()))),1,0))</f>
        <v>1</v>
      </c>
      <c r="N5" s="87">
        <f>IF($A5="","",IF(ISNUMBER(SEARCH("Aktivitas Bulanan",INDEX(FORM!$K:$K,ROW()))),1,0))</f>
        <v>0</v>
      </c>
      <c r="O5" s="87">
        <f>IF($A5="","",IF(ISNUMBER(SEARCH("Overview Cabang",INDEX(FORM!$K:$K,ROW()))),1,0))</f>
        <v>0</v>
      </c>
      <c r="P5" s="87">
        <f>IF($A5="","",IFERROR(VLOOKUP(I5,DATA!$AH$9:$AI$13,2,0),""))</f>
        <v>3</v>
      </c>
      <c r="Q5" s="87">
        <f>IF($A5="","",IFERROR(VLOOKUP(J5,DATA!$AH$9:$AI$13,2,0),""))</f>
        <v>2</v>
      </c>
      <c r="R5" s="87">
        <f>IF($A5="","",IFERROR(VLOOKUP(K5,DATA!$AH$9:$AI$13,2,0),""))</f>
        <v>3</v>
      </c>
      <c r="S5" s="89">
        <f t="shared" si="0"/>
        <v>2.6666666666666665</v>
      </c>
      <c r="T5" s="87">
        <f>IF($A5="","",IF(COUNTIF($D$2:D5,D5)=1,1,0))</f>
        <v>1</v>
      </c>
      <c r="U5" s="87" t="str">
        <f>IF($A5="","",IF(F5="-","Cabang tdk ada",IF(IFERROR(VLOOKUP(G5,#REF!,1,0),"")="","",IF(INDEX(DATA!$AH$2:$AH$5,MATCH(G5,DATA!$AI$2:$AI$5,0))&lt;&gt;F5,"Wilayah beda","OK"))))</f>
        <v/>
      </c>
      <c r="V5" s="87" t="str">
        <f>IF($A5="","",TRIM(INDEX(FORM!$I:$I,ROW())&amp;""))</f>
        <v>Sudah baik</v>
      </c>
      <c r="W5" s="87" t="str">
        <f>IF($A5="","",TRIM(INDEX(FORM!$L:$L,ROW())&amp;""))</f>
        <v>Cukup</v>
      </c>
      <c r="X5" s="87" t="str">
        <f>IF($A5="","",TRIM(INDEX(FORM!$M:$M,ROW())&amp;""))</f>
        <v>Sudah cukup baik</v>
      </c>
      <c r="Y5" s="8">
        <f>IF($A5="","",IFERROR(MATCH(F5,DATA!$AH$2:$AH$5,0),9)*10000+A5)</f>
        <v>20004</v>
      </c>
      <c r="Z5" s="87" t="str">
        <f t="shared" si="1"/>
        <v>Tidak ada masukan / sudah baik</v>
      </c>
      <c r="AA5" s="87" t="str">
        <f t="shared" si="2"/>
        <v>Tidak ada masukan / sudah baik</v>
      </c>
      <c r="AB5" s="87" t="str">
        <f t="shared" si="3"/>
        <v>Tidak ada masukan / sudah baik</v>
      </c>
      <c r="AC5" s="87"/>
      <c r="AD5" s="87"/>
      <c r="AE5" s="87"/>
      <c r="AH5" s="91" t="s">
        <v>11</v>
      </c>
      <c r="AI5" s="91" t="s">
        <v>100</v>
      </c>
      <c r="AK5" s="90">
        <f t="shared" si="4"/>
        <v>0</v>
      </c>
      <c r="AL5" s="90">
        <f t="shared" si="5"/>
        <v>0</v>
      </c>
      <c r="AM5" s="90">
        <f t="shared" si="6"/>
        <v>0</v>
      </c>
      <c r="AN5" s="90">
        <f t="shared" si="7"/>
        <v>0</v>
      </c>
      <c r="AO5" s="90">
        <f t="shared" si="8"/>
        <v>0</v>
      </c>
      <c r="AP5" s="90">
        <f t="shared" si="9"/>
        <v>0</v>
      </c>
      <c r="AQ5" s="90">
        <f t="shared" si="10"/>
        <v>0</v>
      </c>
      <c r="AR5" s="90">
        <f t="shared" si="11"/>
        <v>0</v>
      </c>
      <c r="AS5" s="90">
        <f t="shared" si="12"/>
        <v>0</v>
      </c>
      <c r="AT5" s="90">
        <f t="shared" si="13"/>
        <v>0</v>
      </c>
      <c r="AU5" s="90">
        <f t="shared" si="14"/>
        <v>0</v>
      </c>
      <c r="AV5" s="90">
        <f t="shared" si="15"/>
        <v>0</v>
      </c>
      <c r="AW5" s="90">
        <f t="shared" si="16"/>
        <v>0</v>
      </c>
      <c r="AX5" s="90">
        <f t="shared" si="17"/>
        <v>0</v>
      </c>
      <c r="AY5" s="90">
        <f t="shared" si="18"/>
        <v>0</v>
      </c>
      <c r="AZ5" s="90">
        <f t="shared" si="19"/>
        <v>0</v>
      </c>
      <c r="BA5" s="90">
        <f t="shared" si="20"/>
        <v>0</v>
      </c>
      <c r="BB5" s="90">
        <f t="shared" si="21"/>
        <v>0</v>
      </c>
    </row>
    <row r="6" spans="1:54">
      <c r="A6" s="87">
        <f>IF(INDEX(FORM!$A:$A,ROW())="","",ROW()-1)</f>
        <v>5</v>
      </c>
      <c r="B6" s="88">
        <f>IF($A6="","",INDEX(FORM!$A:$A,ROW()))</f>
        <v>46308.3765894444</v>
      </c>
      <c r="C6" s="87" t="str">
        <f>IF($A6="","",TRIM(INDEX(FORM!$B:$B,ROW())))</f>
        <v>Ariya Fatwa Ramadhi Baskara</v>
      </c>
      <c r="D6" s="87" t="str">
        <f>IF($A6="","",TRIM(INDEX(FORM!$C:$C,ROW())&amp;""))</f>
        <v>1511356</v>
      </c>
      <c r="E6" s="87" t="str">
        <f>IF($A6="","",UPPER(TRIM(INDEX(FORM!$D:$D,ROW()))))</f>
        <v>CILACAP</v>
      </c>
      <c r="F6" s="87" t="str">
        <f>IF($A6="","",IFERROR(INDEX(PROGRES!$A$2:$A$92,MATCH(E6,PROGRES!$B$2:$B$92,0)),"-"))</f>
        <v>Jawa Tengah</v>
      </c>
      <c r="G6" s="87" t="str">
        <f>IF($A6="","",UPPER(TRIM(INDEX(FORM!$F:$F,ROW()))))</f>
        <v>JATENG DIY</v>
      </c>
      <c r="H6" s="87" t="str">
        <f>IF($A6="","",UPPER(TRIM(INDEX(FORM!$E:$E,ROW()))))</f>
        <v>CRO</v>
      </c>
      <c r="I6" s="87" t="str">
        <f>IF($A6="","",UPPER(TRIM(INDEX(FORM!$G:$G,ROW()))))</f>
        <v>MUDAH</v>
      </c>
      <c r="J6" s="87" t="str">
        <f>IF($A6="","",IF(ISNUMBER(SEARCH("Ya,",INDEX(FORM!$H:$H,ROW()))),"YA",IF(ISNUMBER(SEARCH("Cukup,",INDEX(FORM!$H:$H,ROW()))),"CUKUP",IF(ISNUMBER(SEARCH("Kurang,",INDEX(FORM!$H:$H,ROW()))),"KURANG",""))))</f>
        <v>YA</v>
      </c>
      <c r="K6" s="87" t="str">
        <f>IF($A6="","",UPPER(TRIM(INDEX(FORM!$J:$J,ROW()))))</f>
        <v>MUDAH</v>
      </c>
      <c r="L6" s="87">
        <f>IF($A6="","",IF(ISNUMBER(SEARCH("Aktivitas Harian",INDEX(FORM!$K:$K,ROW()))),1,0))</f>
        <v>0</v>
      </c>
      <c r="M6" s="87">
        <f>IF($A6="","",IF(ISNUMBER(SEARCH("Aktivitas Mingguan",INDEX(FORM!$K:$K,ROW()))),1,0))</f>
        <v>0</v>
      </c>
      <c r="N6" s="87">
        <f>IF($A6="","",IF(ISNUMBER(SEARCH("Aktivitas Bulanan",INDEX(FORM!$K:$K,ROW()))),1,0))</f>
        <v>0</v>
      </c>
      <c r="O6" s="87">
        <f>IF($A6="","",IF(ISNUMBER(SEARCH("Overview Cabang",INDEX(FORM!$K:$K,ROW()))),1,0))</f>
        <v>1</v>
      </c>
      <c r="P6" s="87">
        <f>IF($A6="","",IFERROR(VLOOKUP(I6,DATA!$AH$9:$AI$13,2,0),""))</f>
        <v>3</v>
      </c>
      <c r="Q6" s="87">
        <f>IF($A6="","",IFERROR(VLOOKUP(J6,DATA!$AH$9:$AI$13,2,0),""))</f>
        <v>3</v>
      </c>
      <c r="R6" s="87">
        <f>IF($A6="","",IFERROR(VLOOKUP(K6,DATA!$AH$9:$AI$13,2,0),""))</f>
        <v>3</v>
      </c>
      <c r="S6" s="89">
        <f t="shared" si="0"/>
        <v>3</v>
      </c>
      <c r="T6" s="87">
        <f>IF($A6="","",IF(COUNTIF($D$2:D6,D6)=1,1,0))</f>
        <v>1</v>
      </c>
      <c r="U6" s="87" t="str">
        <f>IF($A6="","",IF(F6="-","Cabang tdk ada",IF(IFERROR(VLOOKUP(G6,#REF!,1,0),"")="","",IF(INDEX(DATA!$AH$2:$AH$5,MATCH(G6,DATA!$AI$2:$AI$5,0))&lt;&gt;F6,"Wilayah beda","OK"))))</f>
        <v/>
      </c>
      <c r="V6" s="87" t="str">
        <f>IF($A6="","",TRIM(INDEX(FORM!$I:$I,ROW())&amp;""))</f>
        <v>Perlengkap informasi kontak darurat,misalnya apabila mengalami kesulitan dalam mengakses SACS atau mengalami force closed berkali kali khususnya untuk CRO yang bersinggungan langsung dengan calon customer / NOO</v>
      </c>
      <c r="W6" s="87" t="str">
        <f>IF($A6="","",TRIM(INDEX(FORM!$L:$L,ROW())&amp;""))</f>
        <v>Tidak ada</v>
      </c>
      <c r="X6" s="87" t="str">
        <f>IF($A6="","",TRIM(INDEX(FORM!$M:$M,ROW())&amp;""))</f>
        <v>Cukup</v>
      </c>
      <c r="Y6" s="8">
        <f>IF($A6="","",IFERROR(MATCH(F6,DATA!$AH$2:$AH$5,0),9)*10000+A6)</f>
        <v>20005</v>
      </c>
      <c r="Z6" s="87" t="str">
        <f t="shared" si="1"/>
        <v>Kontak &amp; Informasi PIC</v>
      </c>
      <c r="AA6" s="87" t="str">
        <f t="shared" si="2"/>
        <v>Tidak ada masukan / sudah baik</v>
      </c>
      <c r="AB6" s="87" t="str">
        <f t="shared" si="3"/>
        <v>Tidak ada masukan / sudah baik</v>
      </c>
      <c r="AC6" s="87"/>
      <c r="AD6" s="87"/>
      <c r="AE6" s="87"/>
      <c r="AK6" s="90">
        <f t="shared" si="4"/>
        <v>0</v>
      </c>
      <c r="AL6" s="90">
        <f t="shared" si="5"/>
        <v>0</v>
      </c>
      <c r="AM6" s="90">
        <f t="shared" si="6"/>
        <v>0</v>
      </c>
      <c r="AN6" s="90">
        <f t="shared" si="7"/>
        <v>0</v>
      </c>
      <c r="AO6" s="90">
        <f t="shared" si="8"/>
        <v>0</v>
      </c>
      <c r="AP6" s="90">
        <f t="shared" si="9"/>
        <v>0</v>
      </c>
      <c r="AQ6" s="90">
        <f t="shared" si="10"/>
        <v>0</v>
      </c>
      <c r="AR6" s="90">
        <f t="shared" si="11"/>
        <v>0</v>
      </c>
      <c r="AS6" s="90">
        <f t="shared" si="12"/>
        <v>0</v>
      </c>
      <c r="AT6" s="90">
        <f t="shared" si="13"/>
        <v>1</v>
      </c>
      <c r="AU6" s="90">
        <f t="shared" si="14"/>
        <v>0</v>
      </c>
      <c r="AV6" s="90">
        <f t="shared" si="15"/>
        <v>0</v>
      </c>
      <c r="AW6" s="90">
        <f t="shared" si="16"/>
        <v>0</v>
      </c>
      <c r="AX6" s="90">
        <f t="shared" si="17"/>
        <v>0</v>
      </c>
      <c r="AY6" s="90">
        <f t="shared" si="18"/>
        <v>0</v>
      </c>
      <c r="AZ6" s="90">
        <f t="shared" si="19"/>
        <v>0</v>
      </c>
      <c r="BA6" s="90">
        <f t="shared" si="20"/>
        <v>0</v>
      </c>
      <c r="BB6" s="90">
        <f t="shared" si="21"/>
        <v>1</v>
      </c>
    </row>
    <row r="7" spans="1:54">
      <c r="A7" s="87">
        <f>IF(INDEX(FORM!$A:$A,ROW())="","",ROW()-1)</f>
        <v>6</v>
      </c>
      <c r="B7" s="88">
        <f>IF($A7="","",INDEX(FORM!$A:$A,ROW()))</f>
        <v>46308.377232685198</v>
      </c>
      <c r="C7" s="87" t="str">
        <f>IF($A7="","",TRIM(INDEX(FORM!$B:$B,ROW())))</f>
        <v>Maulana Saputra</v>
      </c>
      <c r="D7" s="87" t="str">
        <f>IF($A7="","",TRIM(INDEX(FORM!$C:$C,ROW())&amp;""))</f>
        <v>1511365</v>
      </c>
      <c r="E7" s="87" t="str">
        <f>IF($A7="","",UPPER(TRIM(INDEX(FORM!$D:$D,ROW()))))</f>
        <v>CIREBON</v>
      </c>
      <c r="F7" s="87" t="str">
        <f>IF($A7="","",IFERROR(INDEX(PROGRES!$A$2:$A$92,MATCH(E7,PROGRES!$B$2:$B$92,0)),"-"))</f>
        <v>Jawa Barat</v>
      </c>
      <c r="G7" s="87" t="str">
        <f>IF($A7="","",UPPER(TRIM(INDEX(FORM!$F:$F,ROW()))))</f>
        <v>JABAR DKI BANTEN</v>
      </c>
      <c r="H7" s="87" t="str">
        <f>IF($A7="","",UPPER(TRIM(INDEX(FORM!$E:$E,ROW()))))</f>
        <v>CRO</v>
      </c>
      <c r="I7" s="87" t="str">
        <f>IF($A7="","",UPPER(TRIM(INDEX(FORM!$G:$G,ROW()))))</f>
        <v>CUKUP</v>
      </c>
      <c r="J7" s="87" t="str">
        <f>IF($A7="","",IF(ISNUMBER(SEARCH("Ya,",INDEX(FORM!$H:$H,ROW()))),"YA",IF(ISNUMBER(SEARCH("Cukup,",INDEX(FORM!$H:$H,ROW()))),"CUKUP",IF(ISNUMBER(SEARCH("Kurang,",INDEX(FORM!$H:$H,ROW()))),"KURANG",""))))</f>
        <v>CUKUP</v>
      </c>
      <c r="K7" s="87" t="str">
        <f>IF($A7="","",UPPER(TRIM(INDEX(FORM!$J:$J,ROW()))))</f>
        <v>CUKUP</v>
      </c>
      <c r="L7" s="87">
        <f>IF($A7="","",IF(ISNUMBER(SEARCH("Aktivitas Harian",INDEX(FORM!$K:$K,ROW()))),1,0))</f>
        <v>1</v>
      </c>
      <c r="M7" s="87">
        <f>IF($A7="","",IF(ISNUMBER(SEARCH("Aktivitas Mingguan",INDEX(FORM!$K:$K,ROW()))),1,0))</f>
        <v>0</v>
      </c>
      <c r="N7" s="87">
        <f>IF($A7="","",IF(ISNUMBER(SEARCH("Aktivitas Bulanan",INDEX(FORM!$K:$K,ROW()))),1,0))</f>
        <v>0</v>
      </c>
      <c r="O7" s="87">
        <f>IF($A7="","",IF(ISNUMBER(SEARCH("Overview Cabang",INDEX(FORM!$K:$K,ROW()))),1,0))</f>
        <v>0</v>
      </c>
      <c r="P7" s="87">
        <f>IF($A7="","",IFERROR(VLOOKUP(I7,DATA!$AH$9:$AI$13,2,0),""))</f>
        <v>2</v>
      </c>
      <c r="Q7" s="87">
        <f>IF($A7="","",IFERROR(VLOOKUP(J7,DATA!$AH$9:$AI$13,2,0),""))</f>
        <v>2</v>
      </c>
      <c r="R7" s="87">
        <f>IF($A7="","",IFERROR(VLOOKUP(K7,DATA!$AH$9:$AI$13,2,0),""))</f>
        <v>2</v>
      </c>
      <c r="S7" s="89">
        <f t="shared" si="0"/>
        <v>2</v>
      </c>
      <c r="T7" s="87">
        <f>IF($A7="","",IF(COUNTIF($D$2:D7,D7)=1,1,0))</f>
        <v>1</v>
      </c>
      <c r="U7" s="87" t="str">
        <f>IF($A7="","",IF(F7="-","Cabang tdk ada",IF(IFERROR(VLOOKUP(G7,#REF!,1,0),"")="","",IF(INDEX(DATA!$AH$2:$AH$5,MATCH(G7,DATA!$AI$2:$AI$5,0))&lt;&gt;F7,"Wilayah beda","OK"))))</f>
        <v/>
      </c>
      <c r="V7" s="87" t="str">
        <f>IF($A7="","",TRIM(INDEX(FORM!$I:$I,ROW())&amp;""))</f>
        <v>Mohon dibuat agar lebih mudah dipahami lagi</v>
      </c>
      <c r="W7" s="87" t="str">
        <f>IF($A7="","",TRIM(INDEX(FORM!$L:$L,ROW())&amp;""))</f>
        <v>Tidak ada</v>
      </c>
      <c r="X7" s="87" t="str">
        <f>IF($A7="","",TRIM(INDEX(FORM!$M:$M,ROW())&amp;""))</f>
        <v>????</v>
      </c>
      <c r="Y7" s="8">
        <f>IF($A7="","",IFERROR(MATCH(F7,DATA!$AH$2:$AH$5,0),9)*10000+A7)</f>
        <v>10006</v>
      </c>
      <c r="Z7" s="87" t="str">
        <f t="shared" si="1"/>
        <v>Penyederhanaan &amp; Ringkas Isi</v>
      </c>
      <c r="AA7" s="87" t="str">
        <f t="shared" si="2"/>
        <v>Tidak ada masukan / sudah baik</v>
      </c>
      <c r="AB7" s="87" t="str">
        <f t="shared" si="3"/>
        <v>Tidak ada masukan / sudah baik</v>
      </c>
      <c r="AC7" s="87"/>
      <c r="AD7" s="87"/>
      <c r="AE7" s="87"/>
      <c r="AK7" s="90">
        <f t="shared" si="4"/>
        <v>0</v>
      </c>
      <c r="AL7" s="90">
        <f t="shared" si="5"/>
        <v>0</v>
      </c>
      <c r="AM7" s="90">
        <f t="shared" si="6"/>
        <v>0</v>
      </c>
      <c r="AN7" s="90">
        <f t="shared" si="7"/>
        <v>0</v>
      </c>
      <c r="AO7" s="90">
        <f t="shared" si="8"/>
        <v>0</v>
      </c>
      <c r="AP7" s="90">
        <f t="shared" si="9"/>
        <v>0</v>
      </c>
      <c r="AQ7" s="90">
        <f t="shared" si="10"/>
        <v>1</v>
      </c>
      <c r="AR7" s="90">
        <f t="shared" si="11"/>
        <v>0</v>
      </c>
      <c r="AS7" s="90">
        <f t="shared" si="12"/>
        <v>0</v>
      </c>
      <c r="AT7" s="90">
        <f t="shared" si="13"/>
        <v>0</v>
      </c>
      <c r="AU7" s="90">
        <f t="shared" si="14"/>
        <v>0</v>
      </c>
      <c r="AV7" s="90">
        <f t="shared" si="15"/>
        <v>0</v>
      </c>
      <c r="AW7" s="90">
        <f t="shared" si="16"/>
        <v>0</v>
      </c>
      <c r="AX7" s="90">
        <f t="shared" si="17"/>
        <v>0</v>
      </c>
      <c r="AY7" s="90">
        <f t="shared" si="18"/>
        <v>0</v>
      </c>
      <c r="AZ7" s="90">
        <f t="shared" si="19"/>
        <v>0</v>
      </c>
      <c r="BA7" s="90">
        <f t="shared" si="20"/>
        <v>0</v>
      </c>
      <c r="BB7" s="90">
        <f t="shared" si="21"/>
        <v>1</v>
      </c>
    </row>
    <row r="8" spans="1:54">
      <c r="A8" s="87">
        <f>IF(INDEX(FORM!$A:$A,ROW())="","",ROW()-1)</f>
        <v>7</v>
      </c>
      <c r="B8" s="88">
        <f>IF($A8="","",INDEX(FORM!$A:$A,ROW()))</f>
        <v>46308.377304513902</v>
      </c>
      <c r="C8" s="87" t="str">
        <f>IF($A8="","",TRIM(INDEX(FORM!$B:$B,ROW())))</f>
        <v>Nugroho adi saputro</v>
      </c>
      <c r="D8" s="87" t="str">
        <f>IF($A8="","",TRIM(INDEX(FORM!$C:$C,ROW())&amp;""))</f>
        <v>1511033</v>
      </c>
      <c r="E8" s="87" t="str">
        <f>IF($A8="","",UPPER(TRIM(INDEX(FORM!$D:$D,ROW()))))</f>
        <v>PURWOREJO</v>
      </c>
      <c r="F8" s="87" t="str">
        <f>IF($A8="","",IFERROR(INDEX(PROGRES!$A$2:$A$92,MATCH(E8,PROGRES!$B$2:$B$92,0)),"-"))</f>
        <v>Jawa Tengah</v>
      </c>
      <c r="G8" s="87" t="str">
        <f>IF($A8="","",UPPER(TRIM(INDEX(FORM!$F:$F,ROW()))))</f>
        <v>JATENG DIY</v>
      </c>
      <c r="H8" s="87" t="str">
        <f>IF($A8="","",UPPER(TRIM(INDEX(FORM!$E:$E,ROW()))))</f>
        <v>CRO</v>
      </c>
      <c r="I8" s="87" t="str">
        <f>IF($A8="","",UPPER(TRIM(INDEX(FORM!$G:$G,ROW()))))</f>
        <v>MUDAH</v>
      </c>
      <c r="J8" s="87" t="str">
        <f>IF($A8="","",IF(ISNUMBER(SEARCH("Ya,",INDEX(FORM!$H:$H,ROW()))),"YA",IF(ISNUMBER(SEARCH("Cukup,",INDEX(FORM!$H:$H,ROW()))),"CUKUP",IF(ISNUMBER(SEARCH("Kurang,",INDEX(FORM!$H:$H,ROW()))),"KURANG",""))))</f>
        <v>YA</v>
      </c>
      <c r="K8" s="87" t="str">
        <f>IF($A8="","",UPPER(TRIM(INDEX(FORM!$J:$J,ROW()))))</f>
        <v>CUKUP</v>
      </c>
      <c r="L8" s="87">
        <f>IF($A8="","",IF(ISNUMBER(SEARCH("Aktivitas Harian",INDEX(FORM!$K:$K,ROW()))),1,0))</f>
        <v>1</v>
      </c>
      <c r="M8" s="87">
        <f>IF($A8="","",IF(ISNUMBER(SEARCH("Aktivitas Mingguan",INDEX(FORM!$K:$K,ROW()))),1,0))</f>
        <v>0</v>
      </c>
      <c r="N8" s="87">
        <f>IF($A8="","",IF(ISNUMBER(SEARCH("Aktivitas Bulanan",INDEX(FORM!$K:$K,ROW()))),1,0))</f>
        <v>0</v>
      </c>
      <c r="O8" s="87">
        <f>IF($A8="","",IF(ISNUMBER(SEARCH("Overview Cabang",INDEX(FORM!$K:$K,ROW()))),1,0))</f>
        <v>0</v>
      </c>
      <c r="P8" s="87">
        <f>IF($A8="","",IFERROR(VLOOKUP(I8,DATA!$AH$9:$AI$13,2,0),""))</f>
        <v>3</v>
      </c>
      <c r="Q8" s="87">
        <f>IF($A8="","",IFERROR(VLOOKUP(J8,DATA!$AH$9:$AI$13,2,0),""))</f>
        <v>3</v>
      </c>
      <c r="R8" s="87">
        <f>IF($A8="","",IFERROR(VLOOKUP(K8,DATA!$AH$9:$AI$13,2,0),""))</f>
        <v>2</v>
      </c>
      <c r="S8" s="89">
        <f t="shared" si="0"/>
        <v>2.6666666666666665</v>
      </c>
      <c r="T8" s="87">
        <f>IF($A8="","",IF(COUNTIF($D$2:D8,D8)=1,1,0))</f>
        <v>1</v>
      </c>
      <c r="U8" s="87" t="str">
        <f>IF($A8="","",IF(F8="-","Cabang tdk ada",IF(IFERROR(VLOOKUP(G8,#REF!,1,0),"")="","",IF(INDEX(DATA!$AH$2:$AH$5,MATCH(G8,DATA!$AI$2:$AI$5,0))&lt;&gt;F8,"Wilayah beda","OK"))))</f>
        <v/>
      </c>
      <c r="V8" s="87" t="str">
        <f>IF($A8="","",TRIM(INDEX(FORM!$I:$I,ROW())&amp;""))</f>
        <v>Cukup baik</v>
      </c>
      <c r="W8" s="87" t="str">
        <f>IF($A8="","",TRIM(INDEX(FORM!$L:$L,ROW())&amp;""))</f>
        <v>Tidak ada</v>
      </c>
      <c r="X8" s="87" t="str">
        <f>IF($A8="","",TRIM(INDEX(FORM!$M:$M,ROW())&amp;""))</f>
        <v>Lebih lengkap lagi</v>
      </c>
      <c r="Y8" s="8">
        <f>IF($A8="","",IFERROR(MATCH(F8,DATA!$AH$2:$AH$5,0),9)*10000+A8)</f>
        <v>20007</v>
      </c>
      <c r="Z8" s="87" t="str">
        <f t="shared" si="1"/>
        <v>Tidak ada masukan / sudah baik</v>
      </c>
      <c r="AA8" s="87" t="str">
        <f t="shared" si="2"/>
        <v>Tidak ada masukan / sudah baik</v>
      </c>
      <c r="AB8" s="87" t="str">
        <f t="shared" si="3"/>
        <v>Penambahan Materi &amp; Template</v>
      </c>
      <c r="AC8" s="87"/>
      <c r="AD8" s="87"/>
      <c r="AE8" s="87"/>
      <c r="AH8" s="40" t="s">
        <v>149</v>
      </c>
      <c r="AI8" s="40" t="s">
        <v>92</v>
      </c>
      <c r="AK8" s="90">
        <f t="shared" si="4"/>
        <v>0</v>
      </c>
      <c r="AL8" s="90">
        <f t="shared" si="5"/>
        <v>0</v>
      </c>
      <c r="AM8" s="90">
        <f t="shared" si="6"/>
        <v>0</v>
      </c>
      <c r="AN8" s="90">
        <f t="shared" si="7"/>
        <v>0</v>
      </c>
      <c r="AO8" s="90">
        <f t="shared" si="8"/>
        <v>0</v>
      </c>
      <c r="AP8" s="90">
        <f t="shared" si="9"/>
        <v>0</v>
      </c>
      <c r="AQ8" s="90">
        <f t="shared" si="10"/>
        <v>0</v>
      </c>
      <c r="AR8" s="90">
        <f t="shared" si="11"/>
        <v>1</v>
      </c>
      <c r="AS8" s="90">
        <f t="shared" si="12"/>
        <v>0</v>
      </c>
      <c r="AT8" s="90">
        <f t="shared" si="13"/>
        <v>0</v>
      </c>
      <c r="AU8" s="90">
        <f t="shared" si="14"/>
        <v>0</v>
      </c>
      <c r="AV8" s="90">
        <f t="shared" si="15"/>
        <v>0</v>
      </c>
      <c r="AW8" s="90">
        <f t="shared" si="16"/>
        <v>0</v>
      </c>
      <c r="AX8" s="90">
        <f t="shared" si="17"/>
        <v>0</v>
      </c>
      <c r="AY8" s="90">
        <f t="shared" si="18"/>
        <v>0</v>
      </c>
      <c r="AZ8" s="90">
        <f t="shared" si="19"/>
        <v>0</v>
      </c>
      <c r="BA8" s="90">
        <f t="shared" si="20"/>
        <v>0</v>
      </c>
      <c r="BB8" s="90">
        <f t="shared" si="21"/>
        <v>1</v>
      </c>
    </row>
    <row r="9" spans="1:54" s="5" customFormat="1" hidden="1">
      <c r="A9" s="8">
        <f>IF(INDEX(FORM!$A:$A,ROW())="","",ROW()-1)</f>
        <v>8</v>
      </c>
      <c r="B9" s="41">
        <f>IF($A9="","",INDEX(FORM!$A:$A,ROW()))</f>
        <v>46308.380068599501</v>
      </c>
      <c r="C9" s="8" t="str">
        <f>IF($A9="","",TRIM(INDEX(FORM!$B:$B,ROW())))</f>
        <v>MUHAMMAD RIZKI KURNIAWAN</v>
      </c>
      <c r="D9" s="8" t="str">
        <f>IF($A9="","",TRIM(INDEX(FORM!$C:$C,ROW())&amp;""))</f>
        <v>1510886</v>
      </c>
      <c r="E9" s="8" t="str">
        <f>IF($A9="","",UPPER(TRIM(INDEX(FORM!$D:$D,ROW()))))</f>
        <v>BANJARMASIN</v>
      </c>
      <c r="F9" s="8" t="str">
        <f>IF($A9="","",IFERROR(INDEX(PROGRES!$A$2:$A$92,MATCH(E9,PROGRES!$B$2:$B$92,0)),"-"))</f>
        <v>Luar Pulau</v>
      </c>
      <c r="G9" s="8" t="str">
        <f>IF($A9="","",UPPER(TRIM(INDEX(FORM!$F:$F,ROW()))))</f>
        <v>LUAR PULAU</v>
      </c>
      <c r="H9" s="8" t="str">
        <f>IF($A9="","",UPPER(TRIM(INDEX(FORM!$E:$E,ROW()))))</f>
        <v>BAO</v>
      </c>
      <c r="I9" s="8" t="str">
        <f>IF($A9="","",UPPER(TRIM(INDEX(FORM!$G:$G,ROW()))))</f>
        <v>MUDAH</v>
      </c>
      <c r="J9" s="8" t="str">
        <f>IF($A9="","",IF(ISNUMBER(SEARCH("Ya,",INDEX(FORM!$H:$H,ROW()))),"YA",IF(ISNUMBER(SEARCH("Cukup,",INDEX(FORM!$H:$H,ROW()))),"CUKUP",IF(ISNUMBER(SEARCH("Kurang,",INDEX(FORM!$H:$H,ROW()))),"KURANG",""))))</f>
        <v>YA</v>
      </c>
      <c r="K9" s="8" t="str">
        <f>IF($A9="","",UPPER(TRIM(INDEX(FORM!$J:$J,ROW()))))</f>
        <v>MUDAH</v>
      </c>
      <c r="L9" s="8">
        <f>IF($A9="","",IF(ISNUMBER(SEARCH("Aktivitas Harian",INDEX(FORM!$K:$K,ROW()))),1,0))</f>
        <v>1</v>
      </c>
      <c r="M9" s="8">
        <f>IF($A9="","",IF(ISNUMBER(SEARCH("Aktivitas Mingguan",INDEX(FORM!$K:$K,ROW()))),1,0))</f>
        <v>1</v>
      </c>
      <c r="N9" s="8">
        <f>IF($A9="","",IF(ISNUMBER(SEARCH("Aktivitas Bulanan",INDEX(FORM!$K:$K,ROW()))),1,0))</f>
        <v>1</v>
      </c>
      <c r="O9" s="8">
        <f>IF($A9="","",IF(ISNUMBER(SEARCH("Overview Cabang",INDEX(FORM!$K:$K,ROW()))),1,0))</f>
        <v>1</v>
      </c>
      <c r="P9" s="8">
        <f>IF($A9="","",IFERROR(VLOOKUP(I9,DATA!$AH$9:$AI$13,2,0),""))</f>
        <v>3</v>
      </c>
      <c r="Q9" s="8">
        <f>IF($A9="","",IFERROR(VLOOKUP(J9,DATA!$AH$9:$AI$13,2,0),""))</f>
        <v>3</v>
      </c>
      <c r="R9" s="8">
        <f>IF($A9="","",IFERROR(VLOOKUP(K9,DATA!$AH$9:$AI$13,2,0),""))</f>
        <v>3</v>
      </c>
      <c r="S9" s="42">
        <f t="shared" si="0"/>
        <v>3</v>
      </c>
      <c r="T9" s="8">
        <f>IF($A9="","",IF(COUNTIF($D$2:D9,D9)=1,1,0))</f>
        <v>1</v>
      </c>
      <c r="U9" s="8" t="str">
        <f>IF($A9="","",IF(F9="-","Cabang tdk ada",IF(IFERROR(VLOOKUP(G9,#REF!,1,0),"")="","",IF(INDEX(DATA!$AH$2:$AH$5,MATCH(G9,DATA!$AI$2:$AI$5,0))&lt;&gt;F9,"Wilayah beda","OK"))))</f>
        <v/>
      </c>
      <c r="V9" s="8" t="str">
        <f>IF($A9="","",TRIM(INDEX(FORM!$I:$I,ROW())&amp;""))</f>
        <v>SEMOGA LEBIH BAIK LAGI</v>
      </c>
      <c r="W9" s="8" t="str">
        <f>IF($A9="","",TRIM(INDEX(FORM!$L:$L,ROW())&amp;""))</f>
        <v>TIDAK ADA</v>
      </c>
      <c r="X9" s="8" t="str">
        <f>IF($A9="","",TRIM(INDEX(FORM!$M:$M,ROW())&amp;""))</f>
        <v>UNTUK SAAT INI BELUM ADA, DAN HANDBOOK MUDAH DIPAHAMI OLEH PEMBACA</v>
      </c>
      <c r="Y9" s="8">
        <f>IF($A9="","",IFERROR(MATCH(F9,DATA!$AH$2:$AH$5,0),9)*10000+A9)</f>
        <v>40008</v>
      </c>
      <c r="Z9" s="8" t="str">
        <f t="shared" si="1"/>
        <v>Saran Umum Peningkatan</v>
      </c>
      <c r="AA9" s="8" t="str">
        <f t="shared" si="2"/>
        <v>Tidak ada masukan / sudah baik</v>
      </c>
      <c r="AB9" s="8" t="str">
        <f t="shared" si="3"/>
        <v>Tidak ada masukan / sudah baik</v>
      </c>
      <c r="AC9" s="8"/>
      <c r="AD9" s="8"/>
      <c r="AE9" s="8"/>
      <c r="AH9" s="14" t="s">
        <v>150</v>
      </c>
      <c r="AI9" s="14">
        <v>3</v>
      </c>
      <c r="AK9" s="5">
        <f t="shared" si="4"/>
        <v>0</v>
      </c>
      <c r="AL9" s="5">
        <f t="shared" si="5"/>
        <v>0</v>
      </c>
      <c r="AM9" s="5">
        <f t="shared" si="6"/>
        <v>0</v>
      </c>
      <c r="AN9" s="5">
        <f t="shared" si="7"/>
        <v>0</v>
      </c>
      <c r="AO9" s="5">
        <f t="shared" si="8"/>
        <v>0</v>
      </c>
      <c r="AP9" s="5">
        <f t="shared" si="9"/>
        <v>0</v>
      </c>
      <c r="AQ9" s="5">
        <f t="shared" si="10"/>
        <v>0</v>
      </c>
      <c r="AR9" s="5">
        <f t="shared" si="11"/>
        <v>0</v>
      </c>
      <c r="AS9" s="5">
        <f t="shared" si="12"/>
        <v>0</v>
      </c>
      <c r="AT9" s="5">
        <f t="shared" si="13"/>
        <v>0</v>
      </c>
      <c r="AU9" s="5">
        <f t="shared" si="14"/>
        <v>0</v>
      </c>
      <c r="AV9" s="5">
        <f t="shared" si="15"/>
        <v>0</v>
      </c>
      <c r="AW9" s="5">
        <f t="shared" si="16"/>
        <v>0</v>
      </c>
      <c r="AX9" s="5">
        <f t="shared" si="17"/>
        <v>0</v>
      </c>
      <c r="AY9" s="5">
        <f t="shared" si="18"/>
        <v>0</v>
      </c>
      <c r="AZ9" s="5">
        <f t="shared" si="19"/>
        <v>1</v>
      </c>
      <c r="BA9" s="5">
        <f t="shared" si="20"/>
        <v>0</v>
      </c>
      <c r="BB9" s="5">
        <f t="shared" si="21"/>
        <v>1</v>
      </c>
    </row>
    <row r="10" spans="1:54">
      <c r="A10" s="87">
        <f>IF(INDEX(FORM!$A:$A,ROW())="","",ROW()-1)</f>
        <v>9</v>
      </c>
      <c r="B10" s="88">
        <f>IF($A10="","",INDEX(FORM!$A:$A,ROW()))</f>
        <v>46308.380763379602</v>
      </c>
      <c r="C10" s="87" t="str">
        <f>IF($A10="","",TRIM(INDEX(FORM!$B:$B,ROW())))</f>
        <v>ADIMAS RULIYANSYAH</v>
      </c>
      <c r="D10" s="87" t="str">
        <f>IF($A10="","",TRIM(INDEX(FORM!$C:$C,ROW())&amp;""))</f>
        <v>1510867</v>
      </c>
      <c r="E10" s="87" t="str">
        <f>IF($A10="","",UPPER(TRIM(INDEX(FORM!$D:$D,ROW()))))</f>
        <v>SRAGEN</v>
      </c>
      <c r="F10" s="87" t="str">
        <f>IF($A10="","",IFERROR(INDEX(PROGRES!$A$2:$A$92,MATCH(E10,PROGRES!$B$2:$B$92,0)),"-"))</f>
        <v>Jawa Tengah</v>
      </c>
      <c r="G10" s="87" t="str">
        <f>IF($A10="","",UPPER(TRIM(INDEX(FORM!$F:$F,ROW()))))</f>
        <v>JATENG DIY</v>
      </c>
      <c r="H10" s="87" t="str">
        <f>IF($A10="","",UPPER(TRIM(INDEX(FORM!$E:$E,ROW()))))</f>
        <v>CRO</v>
      </c>
      <c r="I10" s="87" t="str">
        <f>IF($A10="","",UPPER(TRIM(INDEX(FORM!$G:$G,ROW()))))</f>
        <v>CUKUP</v>
      </c>
      <c r="J10" s="87" t="str">
        <f>IF($A10="","",IF(ISNUMBER(SEARCH("Ya,",INDEX(FORM!$H:$H,ROW()))),"YA",IF(ISNUMBER(SEARCH("Cukup,",INDEX(FORM!$H:$H,ROW()))),"CUKUP",IF(ISNUMBER(SEARCH("Kurang,",INDEX(FORM!$H:$H,ROW()))),"KURANG",""))))</f>
        <v>CUKUP</v>
      </c>
      <c r="K10" s="87" t="str">
        <f>IF($A10="","",UPPER(TRIM(INDEX(FORM!$J:$J,ROW()))))</f>
        <v>CUKUP</v>
      </c>
      <c r="L10" s="87">
        <f>IF($A10="","",IF(ISNUMBER(SEARCH("Aktivitas Harian",INDEX(FORM!$K:$K,ROW()))),1,0))</f>
        <v>1</v>
      </c>
      <c r="M10" s="87">
        <f>IF($A10="","",IF(ISNUMBER(SEARCH("Aktivitas Mingguan",INDEX(FORM!$K:$K,ROW()))),1,0))</f>
        <v>0</v>
      </c>
      <c r="N10" s="87">
        <f>IF($A10="","",IF(ISNUMBER(SEARCH("Aktivitas Bulanan",INDEX(FORM!$K:$K,ROW()))),1,0))</f>
        <v>0</v>
      </c>
      <c r="O10" s="87">
        <f>IF($A10="","",IF(ISNUMBER(SEARCH("Overview Cabang",INDEX(FORM!$K:$K,ROW()))),1,0))</f>
        <v>0</v>
      </c>
      <c r="P10" s="87">
        <f>IF($A10="","",IFERROR(VLOOKUP(I10,DATA!$AH$9:$AI$13,2,0),""))</f>
        <v>2</v>
      </c>
      <c r="Q10" s="87">
        <f>IF($A10="","",IFERROR(VLOOKUP(J10,DATA!$AH$9:$AI$13,2,0),""))</f>
        <v>2</v>
      </c>
      <c r="R10" s="87">
        <f>IF($A10="","",IFERROR(VLOOKUP(K10,DATA!$AH$9:$AI$13,2,0),""))</f>
        <v>2</v>
      </c>
      <c r="S10" s="89">
        <f t="shared" si="0"/>
        <v>2</v>
      </c>
      <c r="T10" s="87">
        <f>IF($A10="","",IF(COUNTIF($D$2:D10,D10)=1,1,0))</f>
        <v>1</v>
      </c>
      <c r="U10" s="87" t="str">
        <f>IF($A10="","",IF(F10="-","Cabang tdk ada",IF(IFERROR(VLOOKUP(G10,#REF!,1,0),"")="","",IF(INDEX(DATA!$AH$2:$AH$5,MATCH(G10,DATA!$AI$2:$AI$5,0))&lt;&gt;F10,"Wilayah beda","OK"))))</f>
        <v/>
      </c>
      <c r="V10" s="87" t="str">
        <f>IF($A10="","",TRIM(INDEX(FORM!$I:$I,ROW())&amp;""))</f>
        <v>Tampilan dibuat lebih baik lagi</v>
      </c>
      <c r="W10" s="87" t="str">
        <f>IF($A10="","",TRIM(INDEX(FORM!$L:$L,ROW())&amp;""))</f>
        <v>Sudah baik</v>
      </c>
      <c r="X10" s="87" t="str">
        <f>IF($A10="","",TRIM(INDEX(FORM!$M:$M,ROW())&amp;""))</f>
        <v>Sudah bagus, di buat tampilan lagi yang lebih menarik</v>
      </c>
      <c r="Y10" s="8">
        <f>IF($A10="","",IFERROR(MATCH(F10,DATA!$AH$2:$AH$5,0),9)*10000+A10)</f>
        <v>20009</v>
      </c>
      <c r="Z10" s="87" t="str">
        <f t="shared" si="1"/>
        <v>Desain, Warna &amp; Font</v>
      </c>
      <c r="AA10" s="87" t="str">
        <f t="shared" si="2"/>
        <v>Tidak ada masukan / sudah baik</v>
      </c>
      <c r="AB10" s="87" t="str">
        <f t="shared" si="3"/>
        <v>Desain Tampilan</v>
      </c>
      <c r="AC10" s="87"/>
      <c r="AD10" s="87"/>
      <c r="AE10" s="87"/>
      <c r="AH10" s="91" t="s">
        <v>151</v>
      </c>
      <c r="AI10" s="91">
        <v>3</v>
      </c>
      <c r="AK10" s="90">
        <f t="shared" si="4"/>
        <v>0</v>
      </c>
      <c r="AL10" s="90">
        <f t="shared" si="5"/>
        <v>0</v>
      </c>
      <c r="AM10" s="90">
        <f t="shared" si="6"/>
        <v>1</v>
      </c>
      <c r="AN10" s="90">
        <f t="shared" si="7"/>
        <v>0</v>
      </c>
      <c r="AO10" s="90">
        <f t="shared" si="8"/>
        <v>0</v>
      </c>
      <c r="AP10" s="90">
        <f t="shared" si="9"/>
        <v>0</v>
      </c>
      <c r="AQ10" s="90">
        <f t="shared" si="10"/>
        <v>0</v>
      </c>
      <c r="AR10" s="90">
        <f t="shared" si="11"/>
        <v>0</v>
      </c>
      <c r="AS10" s="90">
        <f t="shared" si="12"/>
        <v>0</v>
      </c>
      <c r="AT10" s="90">
        <f t="shared" si="13"/>
        <v>0</v>
      </c>
      <c r="AU10" s="90">
        <f t="shared" si="14"/>
        <v>0</v>
      </c>
      <c r="AV10" s="90">
        <f t="shared" si="15"/>
        <v>0</v>
      </c>
      <c r="AW10" s="90">
        <f t="shared" si="16"/>
        <v>0</v>
      </c>
      <c r="AX10" s="90">
        <f t="shared" si="17"/>
        <v>0</v>
      </c>
      <c r="AY10" s="90">
        <f t="shared" si="18"/>
        <v>0</v>
      </c>
      <c r="AZ10" s="90">
        <f t="shared" si="19"/>
        <v>0</v>
      </c>
      <c r="BA10" s="90">
        <f t="shared" si="20"/>
        <v>0</v>
      </c>
      <c r="BB10" s="90">
        <f t="shared" si="21"/>
        <v>1</v>
      </c>
    </row>
    <row r="11" spans="1:54" s="5" customFormat="1" hidden="1">
      <c r="A11" s="8">
        <f>IF(INDEX(FORM!$A:$A,ROW())="","",ROW()-1)</f>
        <v>10</v>
      </c>
      <c r="B11" s="41">
        <f>IF($A11="","",INDEX(FORM!$A:$A,ROW()))</f>
        <v>46308.380918136601</v>
      </c>
      <c r="C11" s="8" t="str">
        <f>IF($A11="","",TRIM(INDEX(FORM!$B:$B,ROW())))</f>
        <v>DANANG FENDY PRADANA</v>
      </c>
      <c r="D11" s="8" t="str">
        <f>IF($A11="","",TRIM(INDEX(FORM!$C:$C,ROW())&amp;""))</f>
        <v>02030</v>
      </c>
      <c r="E11" s="8" t="str">
        <f>IF($A11="","",UPPER(TRIM(INDEX(FORM!$D:$D,ROW()))))</f>
        <v>KLATEN</v>
      </c>
      <c r="F11" s="8" t="str">
        <f>IF($A11="","",IFERROR(INDEX(PROGRES!$A$2:$A$92,MATCH(E11,PROGRES!$B$2:$B$92,0)),"-"))</f>
        <v>Jawa Tengah</v>
      </c>
      <c r="G11" s="8" t="str">
        <f>IF($A11="","",UPPER(TRIM(INDEX(FORM!$F:$F,ROW()))))</f>
        <v>JATENG DIY</v>
      </c>
      <c r="H11" s="8" t="str">
        <f>IF($A11="","",UPPER(TRIM(INDEX(FORM!$E:$E,ROW()))))</f>
        <v>BM</v>
      </c>
      <c r="I11" s="8" t="str">
        <f>IF($A11="","",UPPER(TRIM(INDEX(FORM!$G:$G,ROW()))))</f>
        <v>CUKUP</v>
      </c>
      <c r="J11" s="8" t="str">
        <f>IF($A11="","",IF(ISNUMBER(SEARCH("Ya,",INDEX(FORM!$H:$H,ROW()))),"YA",IF(ISNUMBER(SEARCH("Cukup,",INDEX(FORM!$H:$H,ROW()))),"CUKUP",IF(ISNUMBER(SEARCH("Kurang,",INDEX(FORM!$H:$H,ROW()))),"KURANG",""))))</f>
        <v>YA</v>
      </c>
      <c r="K11" s="8" t="str">
        <f>IF($A11="","",UPPER(TRIM(INDEX(FORM!$J:$J,ROW()))))</f>
        <v>CUKUP</v>
      </c>
      <c r="L11" s="8">
        <f>IF($A11="","",IF(ISNUMBER(SEARCH("Aktivitas Harian",INDEX(FORM!$K:$K,ROW()))),1,0))</f>
        <v>1</v>
      </c>
      <c r="M11" s="8">
        <f>IF($A11="","",IF(ISNUMBER(SEARCH("Aktivitas Mingguan",INDEX(FORM!$K:$K,ROW()))),1,0))</f>
        <v>1</v>
      </c>
      <c r="N11" s="8">
        <f>IF($A11="","",IF(ISNUMBER(SEARCH("Aktivitas Bulanan",INDEX(FORM!$K:$K,ROW()))),1,0))</f>
        <v>1</v>
      </c>
      <c r="O11" s="8">
        <f>IF($A11="","",IF(ISNUMBER(SEARCH("Overview Cabang",INDEX(FORM!$K:$K,ROW()))),1,0))</f>
        <v>1</v>
      </c>
      <c r="P11" s="8">
        <f>IF($A11="","",IFERROR(VLOOKUP(I11,DATA!$AH$9:$AI$13,2,0),""))</f>
        <v>2</v>
      </c>
      <c r="Q11" s="8">
        <f>IF($A11="","",IFERROR(VLOOKUP(J11,DATA!$AH$9:$AI$13,2,0),""))</f>
        <v>3</v>
      </c>
      <c r="R11" s="8">
        <f>IF($A11="","",IFERROR(VLOOKUP(K11,DATA!$AH$9:$AI$13,2,0),""))</f>
        <v>2</v>
      </c>
      <c r="S11" s="42">
        <f t="shared" si="0"/>
        <v>2.3333333333333335</v>
      </c>
      <c r="T11" s="8">
        <f>IF($A11="","",IF(COUNTIF($D$2:D11,D11)=1,1,0))</f>
        <v>1</v>
      </c>
      <c r="U11" s="8" t="str">
        <f>IF($A11="","",IF(F11="-","Cabang tdk ada",IF(IFERROR(VLOOKUP(G11,#REF!,1,0),"")="","",IF(INDEX(DATA!$AH$2:$AH$5,MATCH(G11,DATA!$AI$2:$AI$5,0))&lt;&gt;F11,"Wilayah beda","OK"))))</f>
        <v/>
      </c>
      <c r="V11" s="8" t="str">
        <f>IF($A11="","",TRIM(INDEX(FORM!$I:$I,ROW())&amp;""))</f>
        <v>TIDAK ADA</v>
      </c>
      <c r="W11" s="8" t="str">
        <f>IF($A11="","",TRIM(INDEX(FORM!$L:$L,ROW())&amp;""))</f>
        <v>PENANGANAN PELANGGAN NPL</v>
      </c>
      <c r="X11" s="8" t="str">
        <f>IF($A11="","",TRIM(INDEX(FORM!$M:$M,ROW())&amp;""))</f>
        <v>ALUR ESKALASI LAPORAN SAMPAI DENGAN KANPUS</v>
      </c>
      <c r="Y11" s="8">
        <f>IF($A11="","",IFERROR(MATCH(F11,DATA!$AH$2:$AH$5,0),9)*10000+A11)</f>
        <v>20010</v>
      </c>
      <c r="Z11" s="8" t="str">
        <f t="shared" si="1"/>
        <v>Tidak ada masukan / sudah baik</v>
      </c>
      <c r="AA11" s="8" t="str">
        <f t="shared" si="2"/>
        <v>Piutang &amp; Pelanggan Bermasalah</v>
      </c>
      <c r="AB11" s="8" t="str">
        <f t="shared" si="3"/>
        <v>Struktur Organisasi, PIC &amp; Tim</v>
      </c>
      <c r="AC11" s="8"/>
      <c r="AD11" s="8"/>
      <c r="AE11" s="8"/>
      <c r="AH11" s="14" t="s">
        <v>152</v>
      </c>
      <c r="AI11" s="14">
        <v>2</v>
      </c>
      <c r="AK11" s="5">
        <f t="shared" si="4"/>
        <v>0</v>
      </c>
      <c r="AL11" s="5">
        <f t="shared" si="5"/>
        <v>0</v>
      </c>
      <c r="AM11" s="5">
        <f t="shared" si="6"/>
        <v>0</v>
      </c>
      <c r="AN11" s="5">
        <f t="shared" si="7"/>
        <v>0</v>
      </c>
      <c r="AO11" s="5">
        <f t="shared" si="8"/>
        <v>0</v>
      </c>
      <c r="AP11" s="5">
        <f t="shared" si="9"/>
        <v>0</v>
      </c>
      <c r="AQ11" s="5">
        <f t="shared" si="10"/>
        <v>0</v>
      </c>
      <c r="AR11" s="5">
        <f t="shared" si="11"/>
        <v>0</v>
      </c>
      <c r="AS11" s="5">
        <f t="shared" si="12"/>
        <v>0</v>
      </c>
      <c r="AT11" s="5">
        <f t="shared" si="13"/>
        <v>1</v>
      </c>
      <c r="AU11" s="5">
        <f t="shared" si="14"/>
        <v>0</v>
      </c>
      <c r="AV11" s="5">
        <f t="shared" si="15"/>
        <v>0</v>
      </c>
      <c r="AW11" s="5">
        <f t="shared" si="16"/>
        <v>1</v>
      </c>
      <c r="AX11" s="5">
        <f t="shared" si="17"/>
        <v>0</v>
      </c>
      <c r="AY11" s="5">
        <f t="shared" si="18"/>
        <v>0</v>
      </c>
      <c r="AZ11" s="5">
        <f t="shared" si="19"/>
        <v>0</v>
      </c>
      <c r="BA11" s="5">
        <f t="shared" si="20"/>
        <v>0</v>
      </c>
      <c r="BB11" s="5">
        <f t="shared" si="21"/>
        <v>1</v>
      </c>
    </row>
    <row r="12" spans="1:54" s="5" customFormat="1" hidden="1">
      <c r="A12" s="8">
        <f>IF(INDEX(FORM!$A:$A,ROW())="","",ROW()-1)</f>
        <v>11</v>
      </c>
      <c r="B12" s="41">
        <f>IF($A12="","",INDEX(FORM!$A:$A,ROW()))</f>
        <v>46308.380918136601</v>
      </c>
      <c r="C12" s="8" t="str">
        <f>IF($A12="","",TRIM(INDEX(FORM!$B:$B,ROW())))</f>
        <v>DANANG FENDY PRADANA</v>
      </c>
      <c r="D12" s="8" t="str">
        <f>IF($A12="","",TRIM(INDEX(FORM!$C:$C,ROW())&amp;""))</f>
        <v>02030</v>
      </c>
      <c r="E12" s="8" t="str">
        <f>IF($A12="","",UPPER(TRIM(INDEX(FORM!$D:$D,ROW()))))</f>
        <v>KULONPROGO</v>
      </c>
      <c r="F12" s="8" t="str">
        <f>IF($A12="","",IFERROR(INDEX(PROGRES!$A$2:$A$92,MATCH(E12,PROGRES!$B$2:$B$92,0)),"-"))</f>
        <v>Jawa Tengah</v>
      </c>
      <c r="G12" s="8" t="str">
        <f>IF($A12="","",UPPER(TRIM(INDEX(FORM!$F:$F,ROW()))))</f>
        <v>JATENG DIY</v>
      </c>
      <c r="H12" s="8" t="str">
        <f>IF($A12="","",UPPER(TRIM(INDEX(FORM!$E:$E,ROW()))))</f>
        <v>BM</v>
      </c>
      <c r="I12" s="8" t="str">
        <f>IF($A12="","",UPPER(TRIM(INDEX(FORM!$G:$G,ROW()))))</f>
        <v>CUKUP</v>
      </c>
      <c r="J12" s="8" t="str">
        <f>IF($A12="","",IF(ISNUMBER(SEARCH("Ya,",INDEX(FORM!$H:$H,ROW()))),"YA",IF(ISNUMBER(SEARCH("Cukup,",INDEX(FORM!$H:$H,ROW()))),"CUKUP",IF(ISNUMBER(SEARCH("Kurang,",INDEX(FORM!$H:$H,ROW()))),"KURANG",""))))</f>
        <v>YA</v>
      </c>
      <c r="K12" s="8" t="str">
        <f>IF($A12="","",UPPER(TRIM(INDEX(FORM!$J:$J,ROW()))))</f>
        <v>CUKUP</v>
      </c>
      <c r="L12" s="8">
        <f>IF($A12="","",IF(ISNUMBER(SEARCH("Aktivitas Harian",INDEX(FORM!$K:$K,ROW()))),1,0))</f>
        <v>1</v>
      </c>
      <c r="M12" s="8">
        <f>IF($A12="","",IF(ISNUMBER(SEARCH("Aktivitas Mingguan",INDEX(FORM!$K:$K,ROW()))),1,0))</f>
        <v>1</v>
      </c>
      <c r="N12" s="8">
        <f>IF($A12="","",IF(ISNUMBER(SEARCH("Aktivitas Bulanan",INDEX(FORM!$K:$K,ROW()))),1,0))</f>
        <v>1</v>
      </c>
      <c r="O12" s="8">
        <f>IF($A12="","",IF(ISNUMBER(SEARCH("Overview Cabang",INDEX(FORM!$K:$K,ROW()))),1,0))</f>
        <v>1</v>
      </c>
      <c r="P12" s="8">
        <f>IF($A12="","",IFERROR(VLOOKUP(I12,DATA!$AH$9:$AI$13,2,0),""))</f>
        <v>2</v>
      </c>
      <c r="Q12" s="8">
        <f>IF($A12="","",IFERROR(VLOOKUP(J12,DATA!$AH$9:$AI$13,2,0),""))</f>
        <v>3</v>
      </c>
      <c r="R12" s="8">
        <f>IF($A12="","",IFERROR(VLOOKUP(K12,DATA!$AH$9:$AI$13,2,0),""))</f>
        <v>2</v>
      </c>
      <c r="S12" s="42">
        <f t="shared" si="0"/>
        <v>2.3333333333333335</v>
      </c>
      <c r="T12" s="8">
        <f>IF($A12="","",IF(COUNTIF($D$2:D12,D12)=1,1,0))</f>
        <v>0</v>
      </c>
      <c r="U12" s="8" t="str">
        <f>IF($A12="","",IF(F12="-","Cabang tdk ada",IF(IFERROR(VLOOKUP(G12,#REF!,1,0),"")="","",IF(INDEX(DATA!$AH$2:$AH$5,MATCH(G12,DATA!$AI$2:$AI$5,0))&lt;&gt;F12,"Wilayah beda","OK"))))</f>
        <v/>
      </c>
      <c r="V12" s="8" t="str">
        <f>IF($A12="","",TRIM(INDEX(FORM!$I:$I,ROW())&amp;""))</f>
        <v>TIDAK ADA</v>
      </c>
      <c r="W12" s="8" t="str">
        <f>IF($A12="","",TRIM(INDEX(FORM!$L:$L,ROW())&amp;""))</f>
        <v>PENANGANAN PELANGGAN NPL</v>
      </c>
      <c r="X12" s="8" t="str">
        <f>IF($A12="","",TRIM(INDEX(FORM!$M:$M,ROW())&amp;""))</f>
        <v>ALUR ESKALASI LAPORAN SAMPAI DENGAN KANPUS</v>
      </c>
      <c r="Y12" s="8">
        <f>IF($A12="","",IFERROR(MATCH(F12,DATA!$AH$2:$AH$5,0),9)*10000+A12)</f>
        <v>20011</v>
      </c>
      <c r="Z12" s="8" t="str">
        <f t="shared" si="1"/>
        <v>Tidak ada masukan / sudah baik</v>
      </c>
      <c r="AA12" s="8" t="str">
        <f t="shared" si="2"/>
        <v>Piutang &amp; Pelanggan Bermasalah</v>
      </c>
      <c r="AB12" s="8" t="str">
        <f t="shared" si="3"/>
        <v>Struktur Organisasi, PIC &amp; Tim</v>
      </c>
      <c r="AC12" s="8"/>
      <c r="AD12" s="8"/>
      <c r="AE12" s="8"/>
      <c r="AH12" s="14" t="s">
        <v>153</v>
      </c>
      <c r="AI12" s="14">
        <v>1</v>
      </c>
      <c r="AK12" s="5">
        <f t="shared" si="4"/>
        <v>0</v>
      </c>
      <c r="AL12" s="5">
        <f t="shared" si="5"/>
        <v>0</v>
      </c>
      <c r="AM12" s="5">
        <f t="shared" si="6"/>
        <v>0</v>
      </c>
      <c r="AN12" s="5">
        <f t="shared" si="7"/>
        <v>0</v>
      </c>
      <c r="AO12" s="5">
        <f t="shared" si="8"/>
        <v>0</v>
      </c>
      <c r="AP12" s="5">
        <f t="shared" si="9"/>
        <v>0</v>
      </c>
      <c r="AQ12" s="5">
        <f t="shared" si="10"/>
        <v>0</v>
      </c>
      <c r="AR12" s="5">
        <f t="shared" si="11"/>
        <v>0</v>
      </c>
      <c r="AS12" s="5">
        <f t="shared" si="12"/>
        <v>0</v>
      </c>
      <c r="AT12" s="5">
        <f t="shared" si="13"/>
        <v>1</v>
      </c>
      <c r="AU12" s="5">
        <f t="shared" si="14"/>
        <v>0</v>
      </c>
      <c r="AV12" s="5">
        <f t="shared" si="15"/>
        <v>0</v>
      </c>
      <c r="AW12" s="5">
        <f t="shared" si="16"/>
        <v>1</v>
      </c>
      <c r="AX12" s="5">
        <f t="shared" si="17"/>
        <v>0</v>
      </c>
      <c r="AY12" s="5">
        <f t="shared" si="18"/>
        <v>0</v>
      </c>
      <c r="AZ12" s="5">
        <f t="shared" si="19"/>
        <v>0</v>
      </c>
      <c r="BA12" s="5">
        <f t="shared" si="20"/>
        <v>0</v>
      </c>
      <c r="BB12" s="5">
        <f t="shared" si="21"/>
        <v>1</v>
      </c>
    </row>
    <row r="13" spans="1:54">
      <c r="A13" s="87">
        <f>IF(INDEX(FORM!$A:$A,ROW())="","",ROW()-1)</f>
        <v>12</v>
      </c>
      <c r="B13" s="88">
        <f>IF($A13="","",INDEX(FORM!$A:$A,ROW()))</f>
        <v>46308.380993819497</v>
      </c>
      <c r="C13" s="87" t="str">
        <f>IF($A13="","",TRIM(INDEX(FORM!$B:$B,ROW())))</f>
        <v>Achmad Fachri</v>
      </c>
      <c r="D13" s="87" t="str">
        <f>IF($A13="","",TRIM(INDEX(FORM!$C:$C,ROW())&amp;""))</f>
        <v>80416</v>
      </c>
      <c r="E13" s="87" t="str">
        <f>IF($A13="","",UPPER(TRIM(INDEX(FORM!$D:$D,ROW()))))</f>
        <v>TANGERANG</v>
      </c>
      <c r="F13" s="87" t="str">
        <f>IF($A13="","",IFERROR(INDEX(PROGRES!$A$2:$A$92,MATCH(E13,PROGRES!$B$2:$B$92,0)),"-"))</f>
        <v>Jawa Barat</v>
      </c>
      <c r="G13" s="87" t="str">
        <f>IF($A13="","",UPPER(TRIM(INDEX(FORM!$F:$F,ROW()))))</f>
        <v>JABAR DKI BANTEN</v>
      </c>
      <c r="H13" s="87" t="str">
        <f>IF($A13="","",UPPER(TRIM(INDEX(FORM!$E:$E,ROW()))))</f>
        <v>CRO</v>
      </c>
      <c r="I13" s="87" t="str">
        <f>IF($A13="","",UPPER(TRIM(INDEX(FORM!$G:$G,ROW()))))</f>
        <v>MUDAH</v>
      </c>
      <c r="J13" s="87" t="str">
        <f>IF($A13="","",IF(ISNUMBER(SEARCH("Ya,",INDEX(FORM!$H:$H,ROW()))),"YA",IF(ISNUMBER(SEARCH("Cukup,",INDEX(FORM!$H:$H,ROW()))),"CUKUP",IF(ISNUMBER(SEARCH("Kurang,",INDEX(FORM!$H:$H,ROW()))),"KURANG",""))))</f>
        <v>CUKUP</v>
      </c>
      <c r="K13" s="87" t="str">
        <f>IF($A13="","",UPPER(TRIM(INDEX(FORM!$J:$J,ROW()))))</f>
        <v>CUKUP</v>
      </c>
      <c r="L13" s="87">
        <f>IF($A13="","",IF(ISNUMBER(SEARCH("Aktivitas Harian",INDEX(FORM!$K:$K,ROW()))),1,0))</f>
        <v>1</v>
      </c>
      <c r="M13" s="87">
        <f>IF($A13="","",IF(ISNUMBER(SEARCH("Aktivitas Mingguan",INDEX(FORM!$K:$K,ROW()))),1,0))</f>
        <v>1</v>
      </c>
      <c r="N13" s="87">
        <f>IF($A13="","",IF(ISNUMBER(SEARCH("Aktivitas Bulanan",INDEX(FORM!$K:$K,ROW()))),1,0))</f>
        <v>0</v>
      </c>
      <c r="O13" s="87">
        <f>IF($A13="","",IF(ISNUMBER(SEARCH("Overview Cabang",INDEX(FORM!$K:$K,ROW()))),1,0))</f>
        <v>0</v>
      </c>
      <c r="P13" s="87">
        <f>IF($A13="","",IFERROR(VLOOKUP(I13,DATA!$AH$9:$AI$13,2,0),""))</f>
        <v>3</v>
      </c>
      <c r="Q13" s="87">
        <f>IF($A13="","",IFERROR(VLOOKUP(J13,DATA!$AH$9:$AI$13,2,0),""))</f>
        <v>2</v>
      </c>
      <c r="R13" s="87">
        <f>IF($A13="","",IFERROR(VLOOKUP(K13,DATA!$AH$9:$AI$13,2,0),""))</f>
        <v>2</v>
      </c>
      <c r="S13" s="89">
        <f t="shared" si="0"/>
        <v>2.3333333333333335</v>
      </c>
      <c r="T13" s="87">
        <f>IF($A13="","",IF(COUNTIF($D$2:D13,D13)=1,1,0))</f>
        <v>1</v>
      </c>
      <c r="U13" s="87" t="str">
        <f>IF($A13="","",IF(F13="-","Cabang tdk ada",IF(IFERROR(VLOOKUP(G13,#REF!,1,0),"")="","",IF(INDEX(DATA!$AH$2:$AH$5,MATCH(G13,DATA!$AI$2:$AI$5,0))&lt;&gt;F13,"Wilayah beda","OK"))))</f>
        <v/>
      </c>
      <c r="V13" s="87" t="str">
        <f>IF($A13="","",TRIM(INDEX(FORM!$I:$I,ROW())&amp;""))</f>
        <v>Lanjutkan</v>
      </c>
      <c r="W13" s="87" t="str">
        <f>IF($A13="","",TRIM(INDEX(FORM!$L:$L,ROW())&amp;""))</f>
        <v>maintance barang retur</v>
      </c>
      <c r="X13" s="87" t="str">
        <f>IF($A13="","",TRIM(INDEX(FORM!$M:$M,ROW())&amp;""))</f>
        <v>lanjutkan</v>
      </c>
      <c r="Y13" s="8">
        <f>IF($A13="","",IFERROR(MATCH(F13,DATA!$AH$2:$AH$5,0),9)*10000+A13)</f>
        <v>10012</v>
      </c>
      <c r="Z13" s="87" t="str">
        <f t="shared" si="1"/>
        <v>Tidak ada masukan / sudah baik</v>
      </c>
      <c r="AA13" s="87" t="str">
        <f t="shared" si="2"/>
        <v>Pengiriman, Retur &amp; Logistik</v>
      </c>
      <c r="AB13" s="87" t="str">
        <f t="shared" si="3"/>
        <v>Tidak ada masukan / sudah baik</v>
      </c>
      <c r="AC13" s="87"/>
      <c r="AD13" s="87"/>
      <c r="AE13" s="87"/>
      <c r="AH13" s="91" t="s">
        <v>154</v>
      </c>
      <c r="AI13" s="91">
        <v>1</v>
      </c>
      <c r="AK13" s="90">
        <f t="shared" si="4"/>
        <v>0</v>
      </c>
      <c r="AL13" s="90">
        <f t="shared" si="5"/>
        <v>0</v>
      </c>
      <c r="AM13" s="90">
        <f t="shared" si="6"/>
        <v>0</v>
      </c>
      <c r="AN13" s="90">
        <f t="shared" si="7"/>
        <v>0</v>
      </c>
      <c r="AO13" s="90">
        <f t="shared" si="8"/>
        <v>0</v>
      </c>
      <c r="AP13" s="90">
        <f t="shared" si="9"/>
        <v>0</v>
      </c>
      <c r="AQ13" s="90">
        <f t="shared" si="10"/>
        <v>0</v>
      </c>
      <c r="AR13" s="90">
        <f t="shared" si="11"/>
        <v>0</v>
      </c>
      <c r="AS13" s="90">
        <f t="shared" si="12"/>
        <v>0</v>
      </c>
      <c r="AT13" s="90">
        <f t="shared" si="13"/>
        <v>0</v>
      </c>
      <c r="AU13" s="90">
        <f t="shared" si="14"/>
        <v>0</v>
      </c>
      <c r="AV13" s="90">
        <f t="shared" si="15"/>
        <v>0</v>
      </c>
      <c r="AW13" s="90">
        <f t="shared" si="16"/>
        <v>0</v>
      </c>
      <c r="AX13" s="90">
        <f t="shared" si="17"/>
        <v>1</v>
      </c>
      <c r="AY13" s="90">
        <f t="shared" si="18"/>
        <v>0</v>
      </c>
      <c r="AZ13" s="90">
        <f t="shared" si="19"/>
        <v>0</v>
      </c>
      <c r="BA13" s="90">
        <f t="shared" si="20"/>
        <v>0</v>
      </c>
      <c r="BB13" s="90">
        <f t="shared" si="21"/>
        <v>1</v>
      </c>
    </row>
    <row r="14" spans="1:54">
      <c r="A14" s="87">
        <f>IF(INDEX(FORM!$A:$A,ROW())="","",ROW()-1)</f>
        <v>13</v>
      </c>
      <c r="B14" s="88">
        <f>IF($A14="","",INDEX(FORM!$A:$A,ROW()))</f>
        <v>46308.382646006998</v>
      </c>
      <c r="C14" s="87" t="str">
        <f>IF($A14="","",TRIM(INDEX(FORM!$B:$B,ROW())))</f>
        <v>David febrianto</v>
      </c>
      <c r="D14" s="87" t="str">
        <f>IF($A14="","",TRIM(INDEX(FORM!$C:$C,ROW())&amp;""))</f>
        <v>1510986</v>
      </c>
      <c r="E14" s="87" t="str">
        <f>IF($A14="","",UPPER(TRIM(INDEX(FORM!$D:$D,ROW()))))</f>
        <v>CIREBON</v>
      </c>
      <c r="F14" s="87" t="str">
        <f>IF($A14="","",IFERROR(INDEX(PROGRES!$A$2:$A$92,MATCH(E14,PROGRES!$B$2:$B$92,0)),"-"))</f>
        <v>Jawa Barat</v>
      </c>
      <c r="G14" s="87" t="str">
        <f>IF($A14="","",UPPER(TRIM(INDEX(FORM!$F:$F,ROW()))))</f>
        <v>JABAR DKI BANTEN</v>
      </c>
      <c r="H14" s="87" t="str">
        <f>IF($A14="","",UPPER(TRIM(INDEX(FORM!$E:$E,ROW()))))</f>
        <v>CRO</v>
      </c>
      <c r="I14" s="87" t="str">
        <f>IF($A14="","",UPPER(TRIM(INDEX(FORM!$G:$G,ROW()))))</f>
        <v>MUDAH</v>
      </c>
      <c r="J14" s="87" t="str">
        <f>IF($A14="","",IF(ISNUMBER(SEARCH("Ya,",INDEX(FORM!$H:$H,ROW()))),"YA",IF(ISNUMBER(SEARCH("Cukup,",INDEX(FORM!$H:$H,ROW()))),"CUKUP",IF(ISNUMBER(SEARCH("Kurang,",INDEX(FORM!$H:$H,ROW()))),"KURANG",""))))</f>
        <v>YA</v>
      </c>
      <c r="K14" s="87" t="str">
        <f>IF($A14="","",UPPER(TRIM(INDEX(FORM!$J:$J,ROW()))))</f>
        <v>MUDAH</v>
      </c>
      <c r="L14" s="87">
        <f>IF($A14="","",IF(ISNUMBER(SEARCH("Aktivitas Harian",INDEX(FORM!$K:$K,ROW()))),1,0))</f>
        <v>1</v>
      </c>
      <c r="M14" s="87">
        <f>IF($A14="","",IF(ISNUMBER(SEARCH("Aktivitas Mingguan",INDEX(FORM!$K:$K,ROW()))),1,0))</f>
        <v>1</v>
      </c>
      <c r="N14" s="87">
        <f>IF($A14="","",IF(ISNUMBER(SEARCH("Aktivitas Bulanan",INDEX(FORM!$K:$K,ROW()))),1,0))</f>
        <v>1</v>
      </c>
      <c r="O14" s="87">
        <f>IF($A14="","",IF(ISNUMBER(SEARCH("Overview Cabang",INDEX(FORM!$K:$K,ROW()))),1,0))</f>
        <v>0</v>
      </c>
      <c r="P14" s="87">
        <f>IF($A14="","",IFERROR(VLOOKUP(I14,DATA!$AH$9:$AI$13,2,0),""))</f>
        <v>3</v>
      </c>
      <c r="Q14" s="87">
        <f>IF($A14="","",IFERROR(VLOOKUP(J14,DATA!$AH$9:$AI$13,2,0),""))</f>
        <v>3</v>
      </c>
      <c r="R14" s="87">
        <f>IF($A14="","",IFERROR(VLOOKUP(K14,DATA!$AH$9:$AI$13,2,0),""))</f>
        <v>3</v>
      </c>
      <c r="S14" s="89">
        <f t="shared" si="0"/>
        <v>3</v>
      </c>
      <c r="T14" s="87">
        <f>IF($A14="","",IF(COUNTIF($D$2:D14,D14)=1,1,0))</f>
        <v>1</v>
      </c>
      <c r="U14" s="87" t="str">
        <f>IF($A14="","",IF(F14="-","Cabang tdk ada",IF(IFERROR(VLOOKUP(G14,#REF!,1,0),"")="","",IF(INDEX(DATA!$AH$2:$AH$5,MATCH(G14,DATA!$AI$2:$AI$5,0))&lt;&gt;F14,"Wilayah beda","OK"))))</f>
        <v/>
      </c>
      <c r="V14" s="87" t="str">
        <f>IF($A14="","",TRIM(INDEX(FORM!$I:$I,ROW())&amp;""))</f>
        <v>-</v>
      </c>
      <c r="W14" s="87" t="str">
        <f>IF($A14="","",TRIM(INDEX(FORM!$L:$L,ROW())&amp;""))</f>
        <v>-</v>
      </c>
      <c r="X14" s="87" t="str">
        <f>IF($A14="","",TRIM(INDEX(FORM!$M:$M,ROW())&amp;""))</f>
        <v>-</v>
      </c>
      <c r="Y14" s="8">
        <f>IF($A14="","",IFERROR(MATCH(F14,DATA!$AH$2:$AH$5,0),9)*10000+A14)</f>
        <v>10013</v>
      </c>
      <c r="Z14" s="87" t="str">
        <f t="shared" si="1"/>
        <v>Tidak ada masukan / sudah baik</v>
      </c>
      <c r="AA14" s="87" t="str">
        <f t="shared" si="2"/>
        <v>Tidak ada masukan / sudah baik</v>
      </c>
      <c r="AB14" s="87" t="str">
        <f t="shared" si="3"/>
        <v>Tidak ada masukan / sudah baik</v>
      </c>
      <c r="AC14" s="87"/>
      <c r="AD14" s="87"/>
      <c r="AE14" s="87"/>
      <c r="AK14" s="90">
        <f t="shared" si="4"/>
        <v>0</v>
      </c>
      <c r="AL14" s="90">
        <f t="shared" si="5"/>
        <v>0</v>
      </c>
      <c r="AM14" s="90">
        <f t="shared" si="6"/>
        <v>0</v>
      </c>
      <c r="AN14" s="90">
        <f t="shared" si="7"/>
        <v>0</v>
      </c>
      <c r="AO14" s="90">
        <f t="shared" si="8"/>
        <v>0</v>
      </c>
      <c r="AP14" s="90">
        <f t="shared" si="9"/>
        <v>0</v>
      </c>
      <c r="AQ14" s="90">
        <f t="shared" si="10"/>
        <v>0</v>
      </c>
      <c r="AR14" s="90">
        <f t="shared" si="11"/>
        <v>0</v>
      </c>
      <c r="AS14" s="90">
        <f t="shared" si="12"/>
        <v>0</v>
      </c>
      <c r="AT14" s="90">
        <f t="shared" si="13"/>
        <v>0</v>
      </c>
      <c r="AU14" s="90">
        <f t="shared" si="14"/>
        <v>0</v>
      </c>
      <c r="AV14" s="90">
        <f t="shared" si="15"/>
        <v>0</v>
      </c>
      <c r="AW14" s="90">
        <f t="shared" si="16"/>
        <v>0</v>
      </c>
      <c r="AX14" s="90">
        <f t="shared" si="17"/>
        <v>0</v>
      </c>
      <c r="AY14" s="90">
        <f t="shared" si="18"/>
        <v>0</v>
      </c>
      <c r="AZ14" s="90">
        <f t="shared" si="19"/>
        <v>0</v>
      </c>
      <c r="BA14" s="90">
        <f t="shared" si="20"/>
        <v>0</v>
      </c>
      <c r="BB14" s="90">
        <f t="shared" si="21"/>
        <v>0</v>
      </c>
    </row>
    <row r="15" spans="1:54">
      <c r="A15" s="87">
        <f>IF(INDEX(FORM!$A:$A,ROW())="","",ROW()-1)</f>
        <v>14</v>
      </c>
      <c r="B15" s="88">
        <f>IF($A15="","",INDEX(FORM!$A:$A,ROW()))</f>
        <v>46308.383212222201</v>
      </c>
      <c r="C15" s="87" t="str">
        <f>IF($A15="","",TRIM(INDEX(FORM!$B:$B,ROW())))</f>
        <v>TAUFIK KUROHMAN</v>
      </c>
      <c r="D15" s="87" t="str">
        <f>IF($A15="","",TRIM(INDEX(FORM!$C:$C,ROW())&amp;""))</f>
        <v>1510884</v>
      </c>
      <c r="E15" s="87" t="str">
        <f>IF($A15="","",UPPER(TRIM(INDEX(FORM!$D:$D,ROW()))))</f>
        <v>CILACAP</v>
      </c>
      <c r="F15" s="87" t="str">
        <f>IF($A15="","",IFERROR(INDEX(PROGRES!$A$2:$A$92,MATCH(E15,PROGRES!$B$2:$B$92,0)),"-"))</f>
        <v>Jawa Tengah</v>
      </c>
      <c r="G15" s="87" t="str">
        <f>IF($A15="","",UPPER(TRIM(INDEX(FORM!$F:$F,ROW()))))</f>
        <v>JATENG DIY</v>
      </c>
      <c r="H15" s="87" t="str">
        <f>IF($A15="","",UPPER(TRIM(INDEX(FORM!$E:$E,ROW()))))</f>
        <v>CRO</v>
      </c>
      <c r="I15" s="87" t="str">
        <f>IF($A15="","",UPPER(TRIM(INDEX(FORM!$G:$G,ROW()))))</f>
        <v>CUKUP</v>
      </c>
      <c r="J15" s="87" t="str">
        <f>IF($A15="","",IF(ISNUMBER(SEARCH("Ya,",INDEX(FORM!$H:$H,ROW()))),"YA",IF(ISNUMBER(SEARCH("Cukup,",INDEX(FORM!$H:$H,ROW()))),"CUKUP",IF(ISNUMBER(SEARCH("Kurang,",INDEX(FORM!$H:$H,ROW()))),"KURANG",""))))</f>
        <v>CUKUP</v>
      </c>
      <c r="K15" s="87" t="str">
        <f>IF($A15="","",UPPER(TRIM(INDEX(FORM!$J:$J,ROW()))))</f>
        <v>MUDAH</v>
      </c>
      <c r="L15" s="87">
        <f>IF($A15="","",IF(ISNUMBER(SEARCH("Aktivitas Harian",INDEX(FORM!$K:$K,ROW()))),1,0))</f>
        <v>1</v>
      </c>
      <c r="M15" s="87">
        <f>IF($A15="","",IF(ISNUMBER(SEARCH("Aktivitas Mingguan",INDEX(FORM!$K:$K,ROW()))),1,0))</f>
        <v>0</v>
      </c>
      <c r="N15" s="87">
        <f>IF($A15="","",IF(ISNUMBER(SEARCH("Aktivitas Bulanan",INDEX(FORM!$K:$K,ROW()))),1,0))</f>
        <v>0</v>
      </c>
      <c r="O15" s="87">
        <f>IF($A15="","",IF(ISNUMBER(SEARCH("Overview Cabang",INDEX(FORM!$K:$K,ROW()))),1,0))</f>
        <v>0</v>
      </c>
      <c r="P15" s="87">
        <f>IF($A15="","",IFERROR(VLOOKUP(I15,DATA!$AH$9:$AI$13,2,0),""))</f>
        <v>2</v>
      </c>
      <c r="Q15" s="87">
        <f>IF($A15="","",IFERROR(VLOOKUP(J15,DATA!$AH$9:$AI$13,2,0),""))</f>
        <v>2</v>
      </c>
      <c r="R15" s="87">
        <f>IF($A15="","",IFERROR(VLOOKUP(K15,DATA!$AH$9:$AI$13,2,0),""))</f>
        <v>3</v>
      </c>
      <c r="S15" s="89">
        <f t="shared" si="0"/>
        <v>2.3333333333333335</v>
      </c>
      <c r="T15" s="87">
        <f>IF($A15="","",IF(COUNTIF($D$2:D15,D15)=1,1,0))</f>
        <v>1</v>
      </c>
      <c r="U15" s="87" t="str">
        <f>IF($A15="","",IF(F15="-","Cabang tdk ada",IF(IFERROR(VLOOKUP(G15,#REF!,1,0),"")="","",IF(INDEX(DATA!$AH$2:$AH$5,MATCH(G15,DATA!$AI$2:$AI$5,0))&lt;&gt;F15,"Wilayah beda","OK"))))</f>
        <v/>
      </c>
      <c r="V15" s="87" t="str">
        <f>IF($A15="","",TRIM(INDEX(FORM!$I:$I,ROW())&amp;""))</f>
        <v>Cukup baik.tingkatkan bila di perlukan</v>
      </c>
      <c r="W15" s="87" t="str">
        <f>IF($A15="","",TRIM(INDEX(FORM!$L:$L,ROW())&amp;""))</f>
        <v>Sudah cukup lengkap</v>
      </c>
      <c r="X15" s="87" t="str">
        <f>IF($A15="","",TRIM(INDEX(FORM!$M:$M,ROW())&amp;""))</f>
        <v>Sudah cukup baik. Kembangkan bila memang ada yang di perlukam dan di update</v>
      </c>
      <c r="Y15" s="8">
        <f>IF($A15="","",IFERROR(MATCH(F15,DATA!$AH$2:$AH$5,0),9)*10000+A15)</f>
        <v>20014</v>
      </c>
      <c r="Z15" s="87" t="str">
        <f t="shared" si="1"/>
        <v>Saran Umum Peningkatan</v>
      </c>
      <c r="AA15" s="87" t="str">
        <f t="shared" si="2"/>
        <v>Tidak ada masukan / sudah baik</v>
      </c>
      <c r="AB15" s="87" t="str">
        <f t="shared" si="3"/>
        <v>Update Informasi Berkala</v>
      </c>
      <c r="AC15" s="87"/>
      <c r="AD15" s="87"/>
      <c r="AE15" s="87"/>
      <c r="AK15" s="90">
        <f t="shared" si="4"/>
        <v>0</v>
      </c>
      <c r="AL15" s="90">
        <f t="shared" si="5"/>
        <v>0</v>
      </c>
      <c r="AM15" s="90">
        <f t="shared" si="6"/>
        <v>0</v>
      </c>
      <c r="AN15" s="90">
        <f t="shared" si="7"/>
        <v>0</v>
      </c>
      <c r="AO15" s="90">
        <f t="shared" si="8"/>
        <v>0</v>
      </c>
      <c r="AP15" s="90">
        <f t="shared" si="9"/>
        <v>0</v>
      </c>
      <c r="AQ15" s="90">
        <f t="shared" si="10"/>
        <v>0</v>
      </c>
      <c r="AR15" s="90">
        <f t="shared" si="11"/>
        <v>0</v>
      </c>
      <c r="AS15" s="90">
        <f t="shared" si="12"/>
        <v>0</v>
      </c>
      <c r="AT15" s="90">
        <f t="shared" si="13"/>
        <v>0</v>
      </c>
      <c r="AU15" s="90">
        <f t="shared" si="14"/>
        <v>1</v>
      </c>
      <c r="AV15" s="90">
        <f t="shared" si="15"/>
        <v>0</v>
      </c>
      <c r="AW15" s="90">
        <f t="shared" si="16"/>
        <v>0</v>
      </c>
      <c r="AX15" s="90">
        <f t="shared" si="17"/>
        <v>0</v>
      </c>
      <c r="AY15" s="90">
        <f t="shared" si="18"/>
        <v>0</v>
      </c>
      <c r="AZ15" s="90">
        <f t="shared" si="19"/>
        <v>1</v>
      </c>
      <c r="BA15" s="90">
        <f t="shared" si="20"/>
        <v>0</v>
      </c>
      <c r="BB15" s="90">
        <f t="shared" si="21"/>
        <v>1</v>
      </c>
    </row>
    <row r="16" spans="1:54">
      <c r="A16" s="87">
        <f>IF(INDEX(FORM!$A:$A,ROW())="","",ROW()-1)</f>
        <v>15</v>
      </c>
      <c r="B16" s="88">
        <f>IF($A16="","",INDEX(FORM!$A:$A,ROW()))</f>
        <v>46308.383417708297</v>
      </c>
      <c r="C16" s="87" t="str">
        <f>IF($A16="","",TRIM(INDEX(FORM!$B:$B,ROW())))</f>
        <v>Khalifa ade andreanto</v>
      </c>
      <c r="D16" s="87" t="str">
        <f>IF($A16="","",TRIM(INDEX(FORM!$C:$C,ROW())&amp;""))</f>
        <v>1510579</v>
      </c>
      <c r="E16" s="87" t="str">
        <f>IF($A16="","",UPPER(TRIM(INDEX(FORM!$D:$D,ROW()))))</f>
        <v>KLATEN</v>
      </c>
      <c r="F16" s="87" t="str">
        <f>IF($A16="","",IFERROR(INDEX(PROGRES!$A$2:$A$92,MATCH(E16,PROGRES!$B$2:$B$92,0)),"-"))</f>
        <v>Jawa Tengah</v>
      </c>
      <c r="G16" s="87" t="str">
        <f>IF($A16="","",UPPER(TRIM(INDEX(FORM!$F:$F,ROW()))))</f>
        <v>JATENG DIY</v>
      </c>
      <c r="H16" s="87" t="str">
        <f>IF($A16="","",UPPER(TRIM(INDEX(FORM!$E:$E,ROW()))))</f>
        <v>CRO</v>
      </c>
      <c r="I16" s="87" t="str">
        <f>IF($A16="","",UPPER(TRIM(INDEX(FORM!$G:$G,ROW()))))</f>
        <v>MUDAH</v>
      </c>
      <c r="J16" s="87" t="str">
        <f>IF($A16="","",IF(ISNUMBER(SEARCH("Ya,",INDEX(FORM!$H:$H,ROW()))),"YA",IF(ISNUMBER(SEARCH("Cukup,",INDEX(FORM!$H:$H,ROW()))),"CUKUP",IF(ISNUMBER(SEARCH("Kurang,",INDEX(FORM!$H:$H,ROW()))),"KURANG",""))))</f>
        <v>YA</v>
      </c>
      <c r="K16" s="87" t="str">
        <f>IF($A16="","",UPPER(TRIM(INDEX(FORM!$J:$J,ROW()))))</f>
        <v>MUDAH</v>
      </c>
      <c r="L16" s="87">
        <f>IF($A16="","",IF(ISNUMBER(SEARCH("Aktivitas Harian",INDEX(FORM!$K:$K,ROW()))),1,0))</f>
        <v>1</v>
      </c>
      <c r="M16" s="87">
        <f>IF($A16="","",IF(ISNUMBER(SEARCH("Aktivitas Mingguan",INDEX(FORM!$K:$K,ROW()))),1,0))</f>
        <v>1</v>
      </c>
      <c r="N16" s="87">
        <f>IF($A16="","",IF(ISNUMBER(SEARCH("Aktivitas Bulanan",INDEX(FORM!$K:$K,ROW()))),1,0))</f>
        <v>1</v>
      </c>
      <c r="O16" s="87">
        <f>IF($A16="","",IF(ISNUMBER(SEARCH("Overview Cabang",INDEX(FORM!$K:$K,ROW()))),1,0))</f>
        <v>1</v>
      </c>
      <c r="P16" s="87">
        <f>IF($A16="","",IFERROR(VLOOKUP(I16,DATA!$AH$9:$AI$13,2,0),""))</f>
        <v>3</v>
      </c>
      <c r="Q16" s="87">
        <f>IF($A16="","",IFERROR(VLOOKUP(J16,DATA!$AH$9:$AI$13,2,0),""))</f>
        <v>3</v>
      </c>
      <c r="R16" s="87">
        <f>IF($A16="","",IFERROR(VLOOKUP(K16,DATA!$AH$9:$AI$13,2,0),""))</f>
        <v>3</v>
      </c>
      <c r="S16" s="89">
        <f t="shared" si="0"/>
        <v>3</v>
      </c>
      <c r="T16" s="87">
        <f>IF($A16="","",IF(COUNTIF($D$2:D16,D16)=1,1,0))</f>
        <v>1</v>
      </c>
      <c r="U16" s="87" t="str">
        <f>IF($A16="","",IF(F16="-","Cabang tdk ada",IF(IFERROR(VLOOKUP(G16,#REF!,1,0),"")="","",IF(INDEX(DATA!$AH$2:$AH$5,MATCH(G16,DATA!$AI$2:$AI$5,0))&lt;&gt;F16,"Wilayah beda","OK"))))</f>
        <v/>
      </c>
      <c r="V16" s="87" t="str">
        <f>IF($A16="","",TRIM(INDEX(FORM!$I:$I,ROW())&amp;""))</f>
        <v>Dibuat bentuk vidio mungkin lebih bisa memahami</v>
      </c>
      <c r="W16" s="87" t="str">
        <f>IF($A16="","",TRIM(INDEX(FORM!$L:$L,ROW())&amp;""))</f>
        <v>Belum</v>
      </c>
      <c r="X16" s="87" t="str">
        <f>IF($A16="","",TRIM(INDEX(FORM!$M:$M,ROW())&amp;""))</f>
        <v>Belum ada</v>
      </c>
      <c r="Y16" s="8">
        <f>IF($A16="","",IFERROR(MATCH(F16,DATA!$AH$2:$AH$5,0),9)*10000+A16)</f>
        <v>20015</v>
      </c>
      <c r="Z16" s="87" t="str">
        <f t="shared" si="1"/>
        <v>Tambah Video / Bagan</v>
      </c>
      <c r="AA16" s="87" t="str">
        <f t="shared" si="2"/>
        <v>Tidak ada masukan / sudah baik</v>
      </c>
      <c r="AB16" s="87" t="str">
        <f t="shared" si="3"/>
        <v>Tidak ada masukan / sudah baik</v>
      </c>
      <c r="AC16" s="87"/>
      <c r="AD16" s="87"/>
      <c r="AE16" s="87"/>
      <c r="AK16" s="90">
        <f t="shared" si="4"/>
        <v>0</v>
      </c>
      <c r="AL16" s="90">
        <f t="shared" si="5"/>
        <v>0</v>
      </c>
      <c r="AM16" s="90">
        <f t="shared" si="6"/>
        <v>0</v>
      </c>
      <c r="AN16" s="90">
        <f t="shared" si="7"/>
        <v>0</v>
      </c>
      <c r="AO16" s="90">
        <f t="shared" si="8"/>
        <v>0</v>
      </c>
      <c r="AP16" s="90">
        <f t="shared" si="9"/>
        <v>0</v>
      </c>
      <c r="AQ16" s="90">
        <f t="shared" si="10"/>
        <v>0</v>
      </c>
      <c r="AR16" s="90">
        <f t="shared" si="11"/>
        <v>0</v>
      </c>
      <c r="AS16" s="90">
        <f t="shared" si="12"/>
        <v>1</v>
      </c>
      <c r="AT16" s="90">
        <f t="shared" si="13"/>
        <v>0</v>
      </c>
      <c r="AU16" s="90">
        <f t="shared" si="14"/>
        <v>0</v>
      </c>
      <c r="AV16" s="90">
        <f t="shared" si="15"/>
        <v>0</v>
      </c>
      <c r="AW16" s="90">
        <f t="shared" si="16"/>
        <v>0</v>
      </c>
      <c r="AX16" s="90">
        <f t="shared" si="17"/>
        <v>0</v>
      </c>
      <c r="AY16" s="90">
        <f t="shared" si="18"/>
        <v>0</v>
      </c>
      <c r="AZ16" s="90">
        <f t="shared" si="19"/>
        <v>0</v>
      </c>
      <c r="BA16" s="90">
        <f t="shared" si="20"/>
        <v>0</v>
      </c>
      <c r="BB16" s="90">
        <f t="shared" si="21"/>
        <v>1</v>
      </c>
    </row>
    <row r="17" spans="1:54">
      <c r="A17" s="87">
        <f>IF(INDEX(FORM!$A:$A,ROW())="","",ROW()-1)</f>
        <v>16</v>
      </c>
      <c r="B17" s="88">
        <f>IF($A17="","",INDEX(FORM!$A:$A,ROW()))</f>
        <v>46308.386680463002</v>
      </c>
      <c r="C17" s="87" t="str">
        <f>IF($A17="","",TRIM(INDEX(FORM!$B:$B,ROW())))</f>
        <v>Dhita egans</v>
      </c>
      <c r="D17" s="87" t="str">
        <f>IF($A17="","",TRIM(INDEX(FORM!$C:$C,ROW())&amp;""))</f>
        <v>1511266</v>
      </c>
      <c r="E17" s="87" t="str">
        <f>IF($A17="","",UPPER(TRIM(INDEX(FORM!$D:$D,ROW()))))</f>
        <v>SAYUNG</v>
      </c>
      <c r="F17" s="87" t="str">
        <f>IF($A17="","",IFERROR(INDEX(PROGRES!$A$2:$A$92,MATCH(E17,PROGRES!$B$2:$B$92,0)),"-"))</f>
        <v>Jawa Tengah</v>
      </c>
      <c r="G17" s="87" t="str">
        <f>IF($A17="","",UPPER(TRIM(INDEX(FORM!$F:$F,ROW()))))</f>
        <v>JATENG DIY</v>
      </c>
      <c r="H17" s="87" t="str">
        <f>IF($A17="","",UPPER(TRIM(INDEX(FORM!$E:$E,ROW()))))</f>
        <v>CRO</v>
      </c>
      <c r="I17" s="87" t="str">
        <f>IF($A17="","",UPPER(TRIM(INDEX(FORM!$G:$G,ROW()))))</f>
        <v>MUDAH</v>
      </c>
      <c r="J17" s="87" t="str">
        <f>IF($A17="","",IF(ISNUMBER(SEARCH("Ya,",INDEX(FORM!$H:$H,ROW()))),"YA",IF(ISNUMBER(SEARCH("Cukup,",INDEX(FORM!$H:$H,ROW()))),"CUKUP",IF(ISNUMBER(SEARCH("Kurang,",INDEX(FORM!$H:$H,ROW()))),"KURANG",""))))</f>
        <v>CUKUP</v>
      </c>
      <c r="K17" s="87" t="str">
        <f>IF($A17="","",UPPER(TRIM(INDEX(FORM!$J:$J,ROW()))))</f>
        <v>MUDAH</v>
      </c>
      <c r="L17" s="87">
        <f>IF($A17="","",IF(ISNUMBER(SEARCH("Aktivitas Harian",INDEX(FORM!$K:$K,ROW()))),1,0))</f>
        <v>1</v>
      </c>
      <c r="M17" s="87">
        <f>IF($A17="","",IF(ISNUMBER(SEARCH("Aktivitas Mingguan",INDEX(FORM!$K:$K,ROW()))),1,0))</f>
        <v>1</v>
      </c>
      <c r="N17" s="87">
        <f>IF($A17="","",IF(ISNUMBER(SEARCH("Aktivitas Bulanan",INDEX(FORM!$K:$K,ROW()))),1,0))</f>
        <v>1</v>
      </c>
      <c r="O17" s="87">
        <f>IF($A17="","",IF(ISNUMBER(SEARCH("Overview Cabang",INDEX(FORM!$K:$K,ROW()))),1,0))</f>
        <v>1</v>
      </c>
      <c r="P17" s="87">
        <f>IF($A17="","",IFERROR(VLOOKUP(I17,DATA!$AH$9:$AI$13,2,0),""))</f>
        <v>3</v>
      </c>
      <c r="Q17" s="87">
        <f>IF($A17="","",IFERROR(VLOOKUP(J17,DATA!$AH$9:$AI$13,2,0),""))</f>
        <v>2</v>
      </c>
      <c r="R17" s="87">
        <f>IF($A17="","",IFERROR(VLOOKUP(K17,DATA!$AH$9:$AI$13,2,0),""))</f>
        <v>3</v>
      </c>
      <c r="S17" s="89">
        <f t="shared" si="0"/>
        <v>2.6666666666666665</v>
      </c>
      <c r="T17" s="87">
        <f>IF($A17="","",IF(COUNTIF($D$2:D17,D17)=1,1,0))</f>
        <v>1</v>
      </c>
      <c r="U17" s="87" t="str">
        <f>IF($A17="","",IF(F17="-","Cabang tdk ada",IF(IFERROR(VLOOKUP(G17,#REF!,1,0),"")="","",IF(INDEX(DATA!$AH$2:$AH$5,MATCH(G17,DATA!$AI$2:$AI$5,0))&lt;&gt;F17,"Wilayah beda","OK"))))</f>
        <v/>
      </c>
      <c r="V17" s="87" t="str">
        <f>IF($A17="","",TRIM(INDEX(FORM!$I:$I,ROW())&amp;""))</f>
        <v>Website friendly mobile web</v>
      </c>
      <c r="W17" s="87" t="str">
        <f>IF($A17="","",TRIM(INDEX(FORM!$L:$L,ROW())&amp;""))</f>
        <v>Tercakup semua</v>
      </c>
      <c r="X17" s="87" t="str">
        <f>IF($A17="","",TRIM(INDEX(FORM!$M:$M,ROW())&amp;""))</f>
        <v>Sudah baik</v>
      </c>
      <c r="Y17" s="8">
        <f>IF($A17="","",IFERROR(MATCH(F17,DATA!$AH$2:$AH$5,0),9)*10000+A17)</f>
        <v>20016</v>
      </c>
      <c r="Z17" s="87" t="str">
        <f t="shared" si="1"/>
        <v>Tampilan di HP (Responsif)</v>
      </c>
      <c r="AA17" s="87" t="str">
        <f t="shared" si="2"/>
        <v>Tidak ada masukan / sudah baik</v>
      </c>
      <c r="AB17" s="87" t="str">
        <f t="shared" si="3"/>
        <v>Tidak ada masukan / sudah baik</v>
      </c>
      <c r="AC17" s="87"/>
      <c r="AD17" s="87"/>
      <c r="AE17" s="87"/>
      <c r="AK17" s="90">
        <f t="shared" si="4"/>
        <v>0</v>
      </c>
      <c r="AL17" s="90">
        <f t="shared" si="5"/>
        <v>1</v>
      </c>
      <c r="AM17" s="90">
        <f t="shared" si="6"/>
        <v>0</v>
      </c>
      <c r="AN17" s="90">
        <f t="shared" si="7"/>
        <v>0</v>
      </c>
      <c r="AO17" s="90">
        <f t="shared" si="8"/>
        <v>0</v>
      </c>
      <c r="AP17" s="90">
        <f t="shared" si="9"/>
        <v>0</v>
      </c>
      <c r="AQ17" s="90">
        <f t="shared" si="10"/>
        <v>0</v>
      </c>
      <c r="AR17" s="90">
        <f t="shared" si="11"/>
        <v>0</v>
      </c>
      <c r="AS17" s="90">
        <f t="shared" si="12"/>
        <v>0</v>
      </c>
      <c r="AT17" s="90">
        <f t="shared" si="13"/>
        <v>0</v>
      </c>
      <c r="AU17" s="90">
        <f t="shared" si="14"/>
        <v>0</v>
      </c>
      <c r="AV17" s="90">
        <f t="shared" si="15"/>
        <v>0</v>
      </c>
      <c r="AW17" s="90">
        <f t="shared" si="16"/>
        <v>0</v>
      </c>
      <c r="AX17" s="90">
        <f t="shared" si="17"/>
        <v>0</v>
      </c>
      <c r="AY17" s="90">
        <f t="shared" si="18"/>
        <v>0</v>
      </c>
      <c r="AZ17" s="90">
        <f t="shared" si="19"/>
        <v>0</v>
      </c>
      <c r="BA17" s="90">
        <f t="shared" si="20"/>
        <v>0</v>
      </c>
      <c r="BB17" s="90">
        <f t="shared" si="21"/>
        <v>1</v>
      </c>
    </row>
    <row r="18" spans="1:54">
      <c r="A18" s="87">
        <f>IF(INDEX(FORM!$A:$A,ROW())="","",ROW()-1)</f>
        <v>17</v>
      </c>
      <c r="B18" s="88">
        <f>IF($A18="","",INDEX(FORM!$A:$A,ROW()))</f>
        <v>46308.388252037003</v>
      </c>
      <c r="C18" s="87" t="str">
        <f>IF($A18="","",TRIM(INDEX(FORM!$B:$B,ROW())))</f>
        <v>Dean iogia ananda pratama</v>
      </c>
      <c r="D18" s="87" t="str">
        <f>IF($A18="","",TRIM(INDEX(FORM!$C:$C,ROW())&amp;""))</f>
        <v>1510980</v>
      </c>
      <c r="E18" s="87" t="str">
        <f>IF($A18="","",UPPER(TRIM(INDEX(FORM!$D:$D,ROW()))))</f>
        <v>KULONPROGO</v>
      </c>
      <c r="F18" s="87" t="str">
        <f>IF($A18="","",IFERROR(INDEX(PROGRES!$A$2:$A$92,MATCH(E18,PROGRES!$B$2:$B$92,0)),"-"))</f>
        <v>Jawa Tengah</v>
      </c>
      <c r="G18" s="87" t="str">
        <f>IF($A18="","",UPPER(TRIM(INDEX(FORM!$F:$F,ROW()))))</f>
        <v>JATENG DIY</v>
      </c>
      <c r="H18" s="87" t="str">
        <f>IF($A18="","",UPPER(TRIM(INDEX(FORM!$E:$E,ROW()))))</f>
        <v>CRO</v>
      </c>
      <c r="I18" s="87" t="str">
        <f>IF($A18="","",UPPER(TRIM(INDEX(FORM!$G:$G,ROW()))))</f>
        <v>MUDAH</v>
      </c>
      <c r="J18" s="87" t="str">
        <f>IF($A18="","",IF(ISNUMBER(SEARCH("Ya,",INDEX(FORM!$H:$H,ROW()))),"YA",IF(ISNUMBER(SEARCH("Cukup,",INDEX(FORM!$H:$H,ROW()))),"CUKUP",IF(ISNUMBER(SEARCH("Kurang,",INDEX(FORM!$H:$H,ROW()))),"KURANG",""))))</f>
        <v>CUKUP</v>
      </c>
      <c r="K18" s="87" t="str">
        <f>IF($A18="","",UPPER(TRIM(INDEX(FORM!$J:$J,ROW()))))</f>
        <v>MUDAH</v>
      </c>
      <c r="L18" s="87">
        <f>IF($A18="","",IF(ISNUMBER(SEARCH("Aktivitas Harian",INDEX(FORM!$K:$K,ROW()))),1,0))</f>
        <v>1</v>
      </c>
      <c r="M18" s="87">
        <f>IF($A18="","",IF(ISNUMBER(SEARCH("Aktivitas Mingguan",INDEX(FORM!$K:$K,ROW()))),1,0))</f>
        <v>0</v>
      </c>
      <c r="N18" s="87">
        <f>IF($A18="","",IF(ISNUMBER(SEARCH("Aktivitas Bulanan",INDEX(FORM!$K:$K,ROW()))),1,0))</f>
        <v>0</v>
      </c>
      <c r="O18" s="87">
        <f>IF($A18="","",IF(ISNUMBER(SEARCH("Overview Cabang",INDEX(FORM!$K:$K,ROW()))),1,0))</f>
        <v>0</v>
      </c>
      <c r="P18" s="87">
        <f>IF($A18="","",IFERROR(VLOOKUP(I18,DATA!$AH$9:$AI$13,2,0),""))</f>
        <v>3</v>
      </c>
      <c r="Q18" s="87">
        <f>IF($A18="","",IFERROR(VLOOKUP(J18,DATA!$AH$9:$AI$13,2,0),""))</f>
        <v>2</v>
      </c>
      <c r="R18" s="87">
        <f>IF($A18="","",IFERROR(VLOOKUP(K18,DATA!$AH$9:$AI$13,2,0),""))</f>
        <v>3</v>
      </c>
      <c r="S18" s="89">
        <f t="shared" si="0"/>
        <v>2.6666666666666665</v>
      </c>
      <c r="T18" s="87">
        <f>IF($A18="","",IF(COUNTIF($D$2:D18,D18)=1,1,0))</f>
        <v>1</v>
      </c>
      <c r="U18" s="87" t="str">
        <f>IF($A18="","",IF(F18="-","Cabang tdk ada",IF(IFERROR(VLOOKUP(G18,#REF!,1,0),"")="","",IF(INDEX(DATA!$AH$2:$AH$5,MATCH(G18,DATA!$AI$2:$AI$5,0))&lt;&gt;F18,"Wilayah beda","OK"))))</f>
        <v/>
      </c>
      <c r="V18" s="87" t="str">
        <f>IF($A18="","",TRIM(INDEX(FORM!$I:$I,ROW())&amp;""))</f>
        <v>Lebih di simpel kan lagi tidak perlu banyak penjelasan langaung ke intinya saja</v>
      </c>
      <c r="W18" s="87" t="str">
        <f>IF($A18="","",TRIM(INDEX(FORM!$L:$L,ROW())&amp;""))</f>
        <v>Terkait pelaporan tindakan pelanggaran sop</v>
      </c>
      <c r="X18" s="87" t="str">
        <f>IF($A18="","",TRIM(INDEX(FORM!$M:$M,ROW())&amp;""))</f>
        <v>Bisa dijadikan aplikasi jadi tidak perlu masuk website</v>
      </c>
      <c r="Y18" s="8">
        <f>IF($A18="","",IFERROR(MATCH(F18,DATA!$AH$2:$AH$5,0),9)*10000+A18)</f>
        <v>20017</v>
      </c>
      <c r="Z18" s="87" t="str">
        <f t="shared" si="1"/>
        <v>Penyederhanaan &amp; Ringkas Isi</v>
      </c>
      <c r="AA18" s="87" t="str">
        <f t="shared" si="2"/>
        <v>Sanksi &amp; Pelanggaran SOP</v>
      </c>
      <c r="AB18" s="87" t="str">
        <f t="shared" si="3"/>
        <v>Integrasi ke SACS / Aplikasi Kerja</v>
      </c>
      <c r="AC18" s="87"/>
      <c r="AD18" s="87"/>
      <c r="AE18" s="87"/>
      <c r="AK18" s="90">
        <f t="shared" si="4"/>
        <v>0</v>
      </c>
      <c r="AL18" s="90">
        <f t="shared" si="5"/>
        <v>0</v>
      </c>
      <c r="AM18" s="90">
        <f t="shared" si="6"/>
        <v>0</v>
      </c>
      <c r="AN18" s="90">
        <f t="shared" si="7"/>
        <v>0</v>
      </c>
      <c r="AO18" s="90">
        <f t="shared" si="8"/>
        <v>1</v>
      </c>
      <c r="AP18" s="90">
        <f t="shared" si="9"/>
        <v>0</v>
      </c>
      <c r="AQ18" s="90">
        <f t="shared" si="10"/>
        <v>1</v>
      </c>
      <c r="AR18" s="90">
        <f t="shared" si="11"/>
        <v>0</v>
      </c>
      <c r="AS18" s="90">
        <f t="shared" si="12"/>
        <v>0</v>
      </c>
      <c r="AT18" s="90">
        <f t="shared" si="13"/>
        <v>0</v>
      </c>
      <c r="AU18" s="90">
        <f t="shared" si="14"/>
        <v>0</v>
      </c>
      <c r="AV18" s="90">
        <f t="shared" si="15"/>
        <v>1</v>
      </c>
      <c r="AW18" s="90">
        <f t="shared" si="16"/>
        <v>0</v>
      </c>
      <c r="AX18" s="90">
        <f t="shared" si="17"/>
        <v>0</v>
      </c>
      <c r="AY18" s="90">
        <f t="shared" si="18"/>
        <v>0</v>
      </c>
      <c r="AZ18" s="90">
        <f t="shared" si="19"/>
        <v>0</v>
      </c>
      <c r="BA18" s="90">
        <f t="shared" si="20"/>
        <v>0</v>
      </c>
      <c r="BB18" s="90">
        <f t="shared" si="21"/>
        <v>1</v>
      </c>
    </row>
    <row r="19" spans="1:54">
      <c r="A19" s="87">
        <f>IF(INDEX(FORM!$A:$A,ROW())="","",ROW()-1)</f>
        <v>18</v>
      </c>
      <c r="B19" s="88">
        <f>IF($A19="","",INDEX(FORM!$A:$A,ROW()))</f>
        <v>46308.389752048599</v>
      </c>
      <c r="C19" s="87" t="str">
        <f>IF($A19="","",TRIM(INDEX(FORM!$B:$B,ROW())))</f>
        <v>Bartolomeus Yama Risky A</v>
      </c>
      <c r="D19" s="87" t="str">
        <f>IF($A19="","",TRIM(INDEX(FORM!$C:$C,ROW())&amp;""))</f>
        <v>1511231</v>
      </c>
      <c r="E19" s="87" t="str">
        <f>IF($A19="","",UPPER(TRIM(INDEX(FORM!$D:$D,ROW()))))</f>
        <v>KULONPROGO</v>
      </c>
      <c r="F19" s="87" t="str">
        <f>IF($A19="","",IFERROR(INDEX(PROGRES!$A$2:$A$92,MATCH(E19,PROGRES!$B$2:$B$92,0)),"-"))</f>
        <v>Jawa Tengah</v>
      </c>
      <c r="G19" s="87" t="str">
        <f>IF($A19="","",UPPER(TRIM(INDEX(FORM!$F:$F,ROW()))))</f>
        <v>JATENG DIY</v>
      </c>
      <c r="H19" s="87" t="str">
        <f>IF($A19="","",UPPER(TRIM(INDEX(FORM!$E:$E,ROW()))))</f>
        <v>CRO</v>
      </c>
      <c r="I19" s="87" t="str">
        <f>IF($A19="","",UPPER(TRIM(INDEX(FORM!$G:$G,ROW()))))</f>
        <v>MUDAH</v>
      </c>
      <c r="J19" s="87" t="str">
        <f>IF($A19="","",IF(ISNUMBER(SEARCH("Ya,",INDEX(FORM!$H:$H,ROW()))),"YA",IF(ISNUMBER(SEARCH("Cukup,",INDEX(FORM!$H:$H,ROW()))),"CUKUP",IF(ISNUMBER(SEARCH("Kurang,",INDEX(FORM!$H:$H,ROW()))),"KURANG",""))))</f>
        <v>CUKUP</v>
      </c>
      <c r="K19" s="87" t="str">
        <f>IF($A19="","",UPPER(TRIM(INDEX(FORM!$J:$J,ROW()))))</f>
        <v>MUDAH</v>
      </c>
      <c r="L19" s="87">
        <f>IF($A19="","",IF(ISNUMBER(SEARCH("Aktivitas Harian",INDEX(FORM!$K:$K,ROW()))),1,0))</f>
        <v>1</v>
      </c>
      <c r="M19" s="87">
        <f>IF($A19="","",IF(ISNUMBER(SEARCH("Aktivitas Mingguan",INDEX(FORM!$K:$K,ROW()))),1,0))</f>
        <v>0</v>
      </c>
      <c r="N19" s="87">
        <f>IF($A19="","",IF(ISNUMBER(SEARCH("Aktivitas Bulanan",INDEX(FORM!$K:$K,ROW()))),1,0))</f>
        <v>0</v>
      </c>
      <c r="O19" s="87">
        <f>IF($A19="","",IF(ISNUMBER(SEARCH("Overview Cabang",INDEX(FORM!$K:$K,ROW()))),1,0))</f>
        <v>0</v>
      </c>
      <c r="P19" s="87">
        <f>IF($A19="","",IFERROR(VLOOKUP(I19,DATA!$AH$9:$AI$13,2,0),""))</f>
        <v>3</v>
      </c>
      <c r="Q19" s="87">
        <f>IF($A19="","",IFERROR(VLOOKUP(J19,DATA!$AH$9:$AI$13,2,0),""))</f>
        <v>2</v>
      </c>
      <c r="R19" s="87">
        <f>IF($A19="","",IFERROR(VLOOKUP(K19,DATA!$AH$9:$AI$13,2,0),""))</f>
        <v>3</v>
      </c>
      <c r="S19" s="89">
        <f t="shared" si="0"/>
        <v>2.6666666666666665</v>
      </c>
      <c r="T19" s="87">
        <f>IF($A19="","",IF(COUNTIF($D$2:D19,D19)=1,1,0))</f>
        <v>1</v>
      </c>
      <c r="U19" s="87" t="str">
        <f>IF($A19="","",IF(F19="-","Cabang tdk ada",IF(IFERROR(VLOOKUP(G19,#REF!,1,0),"")="","",IF(INDEX(DATA!$AH$2:$AH$5,MATCH(G19,DATA!$AI$2:$AI$5,0))&lt;&gt;F19,"Wilayah beda","OK"))))</f>
        <v/>
      </c>
      <c r="V19" s="87" t="str">
        <f>IF($A19="","",TRIM(INDEX(FORM!$I:$I,ROW())&amp;""))</f>
        <v>Grafis dan visual dibikin lebih enak dilihat</v>
      </c>
      <c r="W19" s="87" t="str">
        <f>IF($A19="","",TRIM(INDEX(FORM!$L:$L,ROW())&amp;""))</f>
        <v>Sudah cukup</v>
      </c>
      <c r="X19" s="87" t="str">
        <f>IF($A19="","",TRIM(INDEX(FORM!$M:$M,ROW())&amp;""))</f>
        <v>Bikin aplikasi biar lebih mudah diakses</v>
      </c>
      <c r="Y19" s="8">
        <f>IF($A19="","",IFERROR(MATCH(F19,DATA!$AH$2:$AH$5,0),9)*10000+A19)</f>
        <v>20018</v>
      </c>
      <c r="Z19" s="87" t="str">
        <f t="shared" si="1"/>
        <v>Desain, Warna &amp; Font</v>
      </c>
      <c r="AA19" s="87" t="str">
        <f t="shared" si="2"/>
        <v>Tidak ada masukan / sudah baik</v>
      </c>
      <c r="AB19" s="87" t="str">
        <f t="shared" si="3"/>
        <v>Integrasi ke SACS / Aplikasi Kerja</v>
      </c>
      <c r="AC19" s="87"/>
      <c r="AD19" s="87"/>
      <c r="AE19" s="87"/>
      <c r="AK19" s="90">
        <f t="shared" si="4"/>
        <v>0</v>
      </c>
      <c r="AL19" s="90">
        <f t="shared" si="5"/>
        <v>0</v>
      </c>
      <c r="AM19" s="90">
        <f t="shared" si="6"/>
        <v>1</v>
      </c>
      <c r="AN19" s="90">
        <f t="shared" si="7"/>
        <v>0</v>
      </c>
      <c r="AO19" s="90">
        <f t="shared" si="8"/>
        <v>1</v>
      </c>
      <c r="AP19" s="90">
        <f t="shared" si="9"/>
        <v>0</v>
      </c>
      <c r="AQ19" s="90">
        <f t="shared" si="10"/>
        <v>0</v>
      </c>
      <c r="AR19" s="90">
        <f t="shared" si="11"/>
        <v>0</v>
      </c>
      <c r="AS19" s="90">
        <f t="shared" si="12"/>
        <v>0</v>
      </c>
      <c r="AT19" s="90">
        <f t="shared" si="13"/>
        <v>0</v>
      </c>
      <c r="AU19" s="90">
        <f t="shared" si="14"/>
        <v>0</v>
      </c>
      <c r="AV19" s="90">
        <f t="shared" si="15"/>
        <v>0</v>
      </c>
      <c r="AW19" s="90">
        <f t="shared" si="16"/>
        <v>0</v>
      </c>
      <c r="AX19" s="90">
        <f t="shared" si="17"/>
        <v>0</v>
      </c>
      <c r="AY19" s="90">
        <f t="shared" si="18"/>
        <v>0</v>
      </c>
      <c r="AZ19" s="90">
        <f t="shared" si="19"/>
        <v>0</v>
      </c>
      <c r="BA19" s="90">
        <f t="shared" si="20"/>
        <v>0</v>
      </c>
      <c r="BB19" s="90">
        <f t="shared" si="21"/>
        <v>1</v>
      </c>
    </row>
    <row r="20" spans="1:54">
      <c r="A20" s="87">
        <f>IF(INDEX(FORM!$A:$A,ROW())="","",ROW()-1)</f>
        <v>19</v>
      </c>
      <c r="B20" s="88">
        <f>IF($A20="","",INDEX(FORM!$A:$A,ROW()))</f>
        <v>46308.393781192099</v>
      </c>
      <c r="C20" s="87" t="str">
        <f>IF($A20="","",TRIM(INDEX(FORM!$B:$B,ROW())))</f>
        <v>Nanang Agus Saputro</v>
      </c>
      <c r="D20" s="87" t="str">
        <f>IF($A20="","",TRIM(INDEX(FORM!$C:$C,ROW())&amp;""))</f>
        <v>88819214</v>
      </c>
      <c r="E20" s="87" t="str">
        <f>IF($A20="","",UPPER(TRIM(INDEX(FORM!$D:$D,ROW()))))</f>
        <v>SAYUNG</v>
      </c>
      <c r="F20" s="87" t="str">
        <f>IF($A20="","",IFERROR(INDEX(PROGRES!$A$2:$A$92,MATCH(E20,PROGRES!$B$2:$B$92,0)),"-"))</f>
        <v>Jawa Tengah</v>
      </c>
      <c r="G20" s="87" t="str">
        <f>IF($A20="","",UPPER(TRIM(INDEX(FORM!$F:$F,ROW()))))</f>
        <v>JATENG DIY</v>
      </c>
      <c r="H20" s="87" t="str">
        <f>IF($A20="","",UPPER(TRIM(INDEX(FORM!$E:$E,ROW()))))</f>
        <v>CRO</v>
      </c>
      <c r="I20" s="87" t="str">
        <f>IF($A20="","",UPPER(TRIM(INDEX(FORM!$G:$G,ROW()))))</f>
        <v>CUKUP</v>
      </c>
      <c r="J20" s="87" t="str">
        <f>IF($A20="","",IF(ISNUMBER(SEARCH("Ya,",INDEX(FORM!$H:$H,ROW()))),"YA",IF(ISNUMBER(SEARCH("Cukup,",INDEX(FORM!$H:$H,ROW()))),"CUKUP",IF(ISNUMBER(SEARCH("Kurang,",INDEX(FORM!$H:$H,ROW()))),"KURANG",""))))</f>
        <v>YA</v>
      </c>
      <c r="K20" s="87" t="str">
        <f>IF($A20="","",UPPER(TRIM(INDEX(FORM!$J:$J,ROW()))))</f>
        <v>MUDAH</v>
      </c>
      <c r="L20" s="87">
        <f>IF($A20="","",IF(ISNUMBER(SEARCH("Aktivitas Harian",INDEX(FORM!$K:$K,ROW()))),1,0))</f>
        <v>1</v>
      </c>
      <c r="M20" s="87">
        <f>IF($A20="","",IF(ISNUMBER(SEARCH("Aktivitas Mingguan",INDEX(FORM!$K:$K,ROW()))),1,0))</f>
        <v>0</v>
      </c>
      <c r="N20" s="87">
        <f>IF($A20="","",IF(ISNUMBER(SEARCH("Aktivitas Bulanan",INDEX(FORM!$K:$K,ROW()))),1,0))</f>
        <v>0</v>
      </c>
      <c r="O20" s="87">
        <f>IF($A20="","",IF(ISNUMBER(SEARCH("Overview Cabang",INDEX(FORM!$K:$K,ROW()))),1,0))</f>
        <v>0</v>
      </c>
      <c r="P20" s="87">
        <f>IF($A20="","",IFERROR(VLOOKUP(I20,DATA!$AH$9:$AI$13,2,0),""))</f>
        <v>2</v>
      </c>
      <c r="Q20" s="87">
        <f>IF($A20="","",IFERROR(VLOOKUP(J20,DATA!$AH$9:$AI$13,2,0),""))</f>
        <v>3</v>
      </c>
      <c r="R20" s="87">
        <f>IF($A20="","",IFERROR(VLOOKUP(K20,DATA!$AH$9:$AI$13,2,0),""))</f>
        <v>3</v>
      </c>
      <c r="S20" s="89">
        <f t="shared" si="0"/>
        <v>2.6666666666666665</v>
      </c>
      <c r="T20" s="87">
        <f>IF($A20="","",IF(COUNTIF($D$2:D20,D20)=1,1,0))</f>
        <v>1</v>
      </c>
      <c r="U20" s="87" t="str">
        <f>IF($A20="","",IF(F20="-","Cabang tdk ada",IF(IFERROR(VLOOKUP(G20,#REF!,1,0),"")="","",IF(INDEX(DATA!$AH$2:$AH$5,MATCH(G20,DATA!$AI$2:$AI$5,0))&lt;&gt;F20,"Wilayah beda","OK"))))</f>
        <v/>
      </c>
      <c r="V20" s="87" t="str">
        <f>IF($A20="","",TRIM(INDEX(FORM!$I:$I,ROW())&amp;""))</f>
        <v>Cukup mudah dibaca, link dibuat pilihan antara BM , CRO , dan BAO</v>
      </c>
      <c r="W20" s="87" t="str">
        <f>IF($A20="","",TRIM(INDEX(FORM!$L:$L,ROW())&amp;""))</f>
        <v>Sudah tercakup</v>
      </c>
      <c r="X20" s="87" t="str">
        <f>IF($A20="","",TRIM(INDEX(FORM!$M:$M,ROW())&amp;""))</f>
        <v>Informasi terkini selalu diupdate</v>
      </c>
      <c r="Y20" s="8">
        <f>IF($A20="","",IFERROR(MATCH(F20,DATA!$AH$2:$AH$5,0),9)*10000+A20)</f>
        <v>20019</v>
      </c>
      <c r="Z20" s="87" t="str">
        <f t="shared" si="1"/>
        <v>Menu per Jabatan / Navigasi</v>
      </c>
      <c r="AA20" s="87" t="str">
        <f t="shared" si="2"/>
        <v>Tidak ada masukan / sudah baik</v>
      </c>
      <c r="AB20" s="87" t="str">
        <f t="shared" si="3"/>
        <v>Update Informasi Berkala</v>
      </c>
      <c r="AC20" s="87"/>
      <c r="AD20" s="87"/>
      <c r="AE20" s="87"/>
      <c r="AK20" s="90">
        <f t="shared" si="4"/>
        <v>0</v>
      </c>
      <c r="AL20" s="90">
        <f t="shared" si="5"/>
        <v>0</v>
      </c>
      <c r="AM20" s="90">
        <f t="shared" si="6"/>
        <v>0</v>
      </c>
      <c r="AN20" s="90">
        <f t="shared" si="7"/>
        <v>1</v>
      </c>
      <c r="AO20" s="90">
        <f t="shared" si="8"/>
        <v>0</v>
      </c>
      <c r="AP20" s="90">
        <f t="shared" si="9"/>
        <v>0</v>
      </c>
      <c r="AQ20" s="90">
        <f t="shared" si="10"/>
        <v>0</v>
      </c>
      <c r="AR20" s="90">
        <f t="shared" si="11"/>
        <v>0</v>
      </c>
      <c r="AS20" s="90">
        <f t="shared" si="12"/>
        <v>0</v>
      </c>
      <c r="AT20" s="90">
        <f t="shared" si="13"/>
        <v>0</v>
      </c>
      <c r="AU20" s="90">
        <f t="shared" si="14"/>
        <v>1</v>
      </c>
      <c r="AV20" s="90">
        <f t="shared" si="15"/>
        <v>0</v>
      </c>
      <c r="AW20" s="90">
        <f t="shared" si="16"/>
        <v>0</v>
      </c>
      <c r="AX20" s="90">
        <f t="shared" si="17"/>
        <v>0</v>
      </c>
      <c r="AY20" s="90">
        <f t="shared" si="18"/>
        <v>0</v>
      </c>
      <c r="AZ20" s="90">
        <f t="shared" si="19"/>
        <v>0</v>
      </c>
      <c r="BA20" s="90">
        <f t="shared" si="20"/>
        <v>0</v>
      </c>
      <c r="BB20" s="90">
        <f t="shared" si="21"/>
        <v>1</v>
      </c>
    </row>
    <row r="21" spans="1:54">
      <c r="A21" s="87">
        <f>IF(INDEX(FORM!$A:$A,ROW())="","",ROW()-1)</f>
        <v>20</v>
      </c>
      <c r="B21" s="88">
        <f>IF($A21="","",INDEX(FORM!$A:$A,ROW()))</f>
        <v>46308.395800625003</v>
      </c>
      <c r="C21" s="87" t="str">
        <f>IF($A21="","",TRIM(INDEX(FORM!$B:$B,ROW())))</f>
        <v>Galih satriyo bekti</v>
      </c>
      <c r="D21" s="87" t="str">
        <f>IF($A21="","",TRIM(INDEX(FORM!$C:$C,ROW())&amp;""))</f>
        <v>1510653</v>
      </c>
      <c r="E21" s="87" t="str">
        <f>IF($A21="","",UPPER(TRIM(INDEX(FORM!$D:$D,ROW()))))</f>
        <v>BLORA</v>
      </c>
      <c r="F21" s="87" t="str">
        <f>IF($A21="","",IFERROR(INDEX(PROGRES!$A$2:$A$92,MATCH(E21,PROGRES!$B$2:$B$92,0)),"-"))</f>
        <v>Jawa Tengah</v>
      </c>
      <c r="G21" s="87" t="str">
        <f>IF($A21="","",UPPER(TRIM(INDEX(FORM!$F:$F,ROW()))))</f>
        <v>JATENG DIY</v>
      </c>
      <c r="H21" s="87" t="str">
        <f>IF($A21="","",UPPER(TRIM(INDEX(FORM!$E:$E,ROW()))))</f>
        <v>CRO</v>
      </c>
      <c r="I21" s="87" t="str">
        <f>IF($A21="","",UPPER(TRIM(INDEX(FORM!$G:$G,ROW()))))</f>
        <v>MUDAH</v>
      </c>
      <c r="J21" s="87" t="str">
        <f>IF($A21="","",IF(ISNUMBER(SEARCH("Ya,",INDEX(FORM!$H:$H,ROW()))),"YA",IF(ISNUMBER(SEARCH("Cukup,",INDEX(FORM!$H:$H,ROW()))),"CUKUP",IF(ISNUMBER(SEARCH("Kurang,",INDEX(FORM!$H:$H,ROW()))),"KURANG",""))))</f>
        <v>YA</v>
      </c>
      <c r="K21" s="87" t="str">
        <f>IF($A21="","",UPPER(TRIM(INDEX(FORM!$J:$J,ROW()))))</f>
        <v>CUKUP</v>
      </c>
      <c r="L21" s="87">
        <f>IF($A21="","",IF(ISNUMBER(SEARCH("Aktivitas Harian",INDEX(FORM!$K:$K,ROW()))),1,0))</f>
        <v>0</v>
      </c>
      <c r="M21" s="87">
        <f>IF($A21="","",IF(ISNUMBER(SEARCH("Aktivitas Mingguan",INDEX(FORM!$K:$K,ROW()))),1,0))</f>
        <v>0</v>
      </c>
      <c r="N21" s="87">
        <f>IF($A21="","",IF(ISNUMBER(SEARCH("Aktivitas Bulanan",INDEX(FORM!$K:$K,ROW()))),1,0))</f>
        <v>1</v>
      </c>
      <c r="O21" s="87">
        <f>IF($A21="","",IF(ISNUMBER(SEARCH("Overview Cabang",INDEX(FORM!$K:$K,ROW()))),1,0))</f>
        <v>0</v>
      </c>
      <c r="P21" s="87">
        <f>IF($A21="","",IFERROR(VLOOKUP(I21,DATA!$AH$9:$AI$13,2,0),""))</f>
        <v>3</v>
      </c>
      <c r="Q21" s="87">
        <f>IF($A21="","",IFERROR(VLOOKUP(J21,DATA!$AH$9:$AI$13,2,0),""))</f>
        <v>3</v>
      </c>
      <c r="R21" s="87">
        <f>IF($A21="","",IFERROR(VLOOKUP(K21,DATA!$AH$9:$AI$13,2,0),""))</f>
        <v>2</v>
      </c>
      <c r="S21" s="89">
        <f t="shared" si="0"/>
        <v>2.6666666666666665</v>
      </c>
      <c r="T21" s="87">
        <f>IF($A21="","",IF(COUNTIF($D$2:D21,D21)=1,1,0))</f>
        <v>1</v>
      </c>
      <c r="U21" s="87" t="str">
        <f>IF($A21="","",IF(F21="-","Cabang tdk ada",IF(IFERROR(VLOOKUP(G21,#REF!,1,0),"")="","",IF(INDEX(DATA!$AH$2:$AH$5,MATCH(G21,DATA!$AI$2:$AI$5,0))&lt;&gt;F21,"Wilayah beda","OK"))))</f>
        <v/>
      </c>
      <c r="V21" s="87" t="str">
        <f>IF($A21="","",TRIM(INDEX(FORM!$I:$I,ROW())&amp;""))</f>
        <v>Sudah bagus, tinggal eksekusinya</v>
      </c>
      <c r="W21" s="87" t="str">
        <f>IF($A21="","",TRIM(INDEX(FORM!$L:$L,ROW())&amp;""))</f>
        <v>Belum ada, semuanya sudah benar</v>
      </c>
      <c r="X21" s="87" t="str">
        <f>IF($A21="","",TRIM(INDEX(FORM!$M:$M,ROW())&amp;""))</f>
        <v>Sudah bagus dan di jalankan</v>
      </c>
      <c r="Y21" s="8">
        <f>IF($A21="","",IFERROR(MATCH(F21,DATA!$AH$2:$AH$5,0),9)*10000+A21)</f>
        <v>20020</v>
      </c>
      <c r="Z21" s="87" t="str">
        <f t="shared" si="1"/>
        <v>Tidak ada masukan / sudah baik</v>
      </c>
      <c r="AA21" s="87" t="str">
        <f t="shared" si="2"/>
        <v>Tidak ada masukan / sudah baik</v>
      </c>
      <c r="AB21" s="87" t="str">
        <f t="shared" si="3"/>
        <v>Tidak ada masukan / sudah baik</v>
      </c>
      <c r="AC21" s="87"/>
      <c r="AD21" s="87"/>
      <c r="AE21" s="87"/>
      <c r="AK21" s="90">
        <f t="shared" si="4"/>
        <v>0</v>
      </c>
      <c r="AL21" s="90">
        <f t="shared" si="5"/>
        <v>0</v>
      </c>
      <c r="AM21" s="90">
        <f t="shared" si="6"/>
        <v>0</v>
      </c>
      <c r="AN21" s="90">
        <f t="shared" si="7"/>
        <v>0</v>
      </c>
      <c r="AO21" s="90">
        <f t="shared" si="8"/>
        <v>0</v>
      </c>
      <c r="AP21" s="90">
        <f t="shared" si="9"/>
        <v>0</v>
      </c>
      <c r="AQ21" s="90">
        <f t="shared" si="10"/>
        <v>0</v>
      </c>
      <c r="AR21" s="90">
        <f t="shared" si="11"/>
        <v>0</v>
      </c>
      <c r="AS21" s="90">
        <f t="shared" si="12"/>
        <v>0</v>
      </c>
      <c r="AT21" s="90">
        <f t="shared" si="13"/>
        <v>0</v>
      </c>
      <c r="AU21" s="90">
        <f t="shared" si="14"/>
        <v>0</v>
      </c>
      <c r="AV21" s="90">
        <f t="shared" si="15"/>
        <v>0</v>
      </c>
      <c r="AW21" s="90">
        <f t="shared" si="16"/>
        <v>0</v>
      </c>
      <c r="AX21" s="90">
        <f t="shared" si="17"/>
        <v>0</v>
      </c>
      <c r="AY21" s="90">
        <f t="shared" si="18"/>
        <v>0</v>
      </c>
      <c r="AZ21" s="90">
        <f t="shared" si="19"/>
        <v>0</v>
      </c>
      <c r="BA21" s="90">
        <f t="shared" si="20"/>
        <v>0</v>
      </c>
      <c r="BB21" s="90">
        <f t="shared" si="21"/>
        <v>0</v>
      </c>
    </row>
    <row r="22" spans="1:54">
      <c r="A22" s="87">
        <f>IF(INDEX(FORM!$A:$A,ROW())="","",ROW()-1)</f>
        <v>21</v>
      </c>
      <c r="B22" s="88">
        <f>IF($A22="","",INDEX(FORM!$A:$A,ROW()))</f>
        <v>46308.410262662001</v>
      </c>
      <c r="C22" s="87" t="str">
        <f>IF($A22="","",TRIM(INDEX(FORM!$B:$B,ROW())))</f>
        <v>RM Ariawan Risprasetya Erlangga</v>
      </c>
      <c r="D22" s="87" t="str">
        <f>IF($A22="","",TRIM(INDEX(FORM!$C:$C,ROW())&amp;""))</f>
        <v>1511259</v>
      </c>
      <c r="E22" s="87" t="str">
        <f>IF($A22="","",UPPER(TRIM(INDEX(FORM!$D:$D,ROW()))))</f>
        <v>KLATEN</v>
      </c>
      <c r="F22" s="87" t="str">
        <f>IF($A22="","",IFERROR(INDEX(PROGRES!$A$2:$A$92,MATCH(E22,PROGRES!$B$2:$B$92,0)),"-"))</f>
        <v>Jawa Tengah</v>
      </c>
      <c r="G22" s="87" t="str">
        <f>IF($A22="","",UPPER(TRIM(INDEX(FORM!$F:$F,ROW()))))</f>
        <v>JATENG DIY</v>
      </c>
      <c r="H22" s="87" t="str">
        <f>IF($A22="","",UPPER(TRIM(INDEX(FORM!$E:$E,ROW()))))</f>
        <v>CRO</v>
      </c>
      <c r="I22" s="87" t="str">
        <f>IF($A22="","",UPPER(TRIM(INDEX(FORM!$G:$G,ROW()))))</f>
        <v>CUKUP</v>
      </c>
      <c r="J22" s="87" t="str">
        <f>IF($A22="","",IF(ISNUMBER(SEARCH("Ya,",INDEX(FORM!$H:$H,ROW()))),"YA",IF(ISNUMBER(SEARCH("Cukup,",INDEX(FORM!$H:$H,ROW()))),"CUKUP",IF(ISNUMBER(SEARCH("Kurang,",INDEX(FORM!$H:$H,ROW()))),"KURANG",""))))</f>
        <v>CUKUP</v>
      </c>
      <c r="K22" s="87" t="str">
        <f>IF($A22="","",UPPER(TRIM(INDEX(FORM!$J:$J,ROW()))))</f>
        <v>CUKUP</v>
      </c>
      <c r="L22" s="87">
        <f>IF($A22="","",IF(ISNUMBER(SEARCH("Aktivitas Harian",INDEX(FORM!$K:$K,ROW()))),1,0))</f>
        <v>1</v>
      </c>
      <c r="M22" s="87">
        <f>IF($A22="","",IF(ISNUMBER(SEARCH("Aktivitas Mingguan",INDEX(FORM!$K:$K,ROW()))),1,0))</f>
        <v>0</v>
      </c>
      <c r="N22" s="87">
        <f>IF($A22="","",IF(ISNUMBER(SEARCH("Aktivitas Bulanan",INDEX(FORM!$K:$K,ROW()))),1,0))</f>
        <v>0</v>
      </c>
      <c r="O22" s="87">
        <f>IF($A22="","",IF(ISNUMBER(SEARCH("Overview Cabang",INDEX(FORM!$K:$K,ROW()))),1,0))</f>
        <v>0</v>
      </c>
      <c r="P22" s="87">
        <f>IF($A22="","",IFERROR(VLOOKUP(I22,DATA!$AH$9:$AI$13,2,0),""))</f>
        <v>2</v>
      </c>
      <c r="Q22" s="87">
        <f>IF($A22="","",IFERROR(VLOOKUP(J22,DATA!$AH$9:$AI$13,2,0),""))</f>
        <v>2</v>
      </c>
      <c r="R22" s="87">
        <f>IF($A22="","",IFERROR(VLOOKUP(K22,DATA!$AH$9:$AI$13,2,0),""))</f>
        <v>2</v>
      </c>
      <c r="S22" s="89">
        <f t="shared" si="0"/>
        <v>2</v>
      </c>
      <c r="T22" s="87">
        <f>IF($A22="","",IF(COUNTIF($D$2:D22,D22)=1,1,0))</f>
        <v>1</v>
      </c>
      <c r="U22" s="87" t="str">
        <f>IF($A22="","",IF(F22="-","Cabang tdk ada",IF(IFERROR(VLOOKUP(G22,#REF!,1,0),"")="","",IF(INDEX(DATA!$AH$2:$AH$5,MATCH(G22,DATA!$AI$2:$AI$5,0))&lt;&gt;F22,"Wilayah beda","OK"))))</f>
        <v/>
      </c>
      <c r="V22" s="87" t="str">
        <f>IF($A22="","",TRIM(INDEX(FORM!$I:$I,ROW())&amp;""))</f>
        <v>Bagus</v>
      </c>
      <c r="W22" s="87" t="str">
        <f>IF($A22="","",TRIM(INDEX(FORM!$L:$L,ROW())&amp;""))</f>
        <v>Proses History kiriman semen dan non semen yang sudah dan belum terkirim</v>
      </c>
      <c r="X22" s="87" t="str">
        <f>IF($A22="","",TRIM(INDEX(FORM!$M:$M,ROW())&amp;""))</f>
        <v>Sudah aman</v>
      </c>
      <c r="Y22" s="8">
        <f>IF($A22="","",IFERROR(MATCH(F22,DATA!$AH$2:$AH$5,0),9)*10000+A22)</f>
        <v>20021</v>
      </c>
      <c r="Z22" s="87" t="str">
        <f t="shared" si="1"/>
        <v>Tidak ada masukan / sudah baik</v>
      </c>
      <c r="AA22" s="87" t="str">
        <f t="shared" si="2"/>
        <v>Pengiriman, Retur &amp; Logistik</v>
      </c>
      <c r="AB22" s="87" t="str">
        <f t="shared" si="3"/>
        <v>Tidak ada masukan / sudah baik</v>
      </c>
      <c r="AC22" s="87"/>
      <c r="AD22" s="87"/>
      <c r="AE22" s="87"/>
      <c r="AK22" s="90">
        <f t="shared" si="4"/>
        <v>0</v>
      </c>
      <c r="AL22" s="90">
        <f t="shared" si="5"/>
        <v>0</v>
      </c>
      <c r="AM22" s="90">
        <f t="shared" si="6"/>
        <v>0</v>
      </c>
      <c r="AN22" s="90">
        <f t="shared" si="7"/>
        <v>0</v>
      </c>
      <c r="AO22" s="90">
        <f t="shared" si="8"/>
        <v>0</v>
      </c>
      <c r="AP22" s="90">
        <f t="shared" si="9"/>
        <v>0</v>
      </c>
      <c r="AQ22" s="90">
        <f t="shared" si="10"/>
        <v>0</v>
      </c>
      <c r="AR22" s="90">
        <f t="shared" si="11"/>
        <v>0</v>
      </c>
      <c r="AS22" s="90">
        <f t="shared" si="12"/>
        <v>0</v>
      </c>
      <c r="AT22" s="90">
        <f t="shared" si="13"/>
        <v>0</v>
      </c>
      <c r="AU22" s="90">
        <f t="shared" si="14"/>
        <v>0</v>
      </c>
      <c r="AV22" s="90">
        <f t="shared" si="15"/>
        <v>0</v>
      </c>
      <c r="AW22" s="90">
        <f t="shared" si="16"/>
        <v>0</v>
      </c>
      <c r="AX22" s="90">
        <f t="shared" si="17"/>
        <v>1</v>
      </c>
      <c r="AY22" s="90">
        <f t="shared" si="18"/>
        <v>0</v>
      </c>
      <c r="AZ22" s="90">
        <f t="shared" si="19"/>
        <v>0</v>
      </c>
      <c r="BA22" s="90">
        <f t="shared" si="20"/>
        <v>0</v>
      </c>
      <c r="BB22" s="90">
        <f t="shared" si="21"/>
        <v>1</v>
      </c>
    </row>
    <row r="23" spans="1:54">
      <c r="A23" s="87">
        <f>IF(INDEX(FORM!$A:$A,ROW())="","",ROW()-1)</f>
        <v>22</v>
      </c>
      <c r="B23" s="88">
        <f>IF($A23="","",INDEX(FORM!$A:$A,ROW()))</f>
        <v>46308.426557152801</v>
      </c>
      <c r="C23" s="87" t="str">
        <f>IF($A23="","",TRIM(INDEX(FORM!$B:$B,ROW())))</f>
        <v>MUHAMMAD ARIF SETIAWAN</v>
      </c>
      <c r="D23" s="87" t="str">
        <f>IF($A23="","",TRIM(INDEX(FORM!$C:$C,ROW())&amp;""))</f>
        <v>1510762</v>
      </c>
      <c r="E23" s="87" t="str">
        <f>IF($A23="","",UPPER(TRIM(INDEX(FORM!$D:$D,ROW()))))</f>
        <v>SLEMAN</v>
      </c>
      <c r="F23" s="87" t="str">
        <f>IF($A23="","",IFERROR(INDEX(PROGRES!$A$2:$A$92,MATCH(E23,PROGRES!$B$2:$B$92,0)),"-"))</f>
        <v>Jawa Tengah</v>
      </c>
      <c r="G23" s="87" t="str">
        <f>IF($A23="","",UPPER(TRIM(INDEX(FORM!$F:$F,ROW()))))</f>
        <v>JATENG DIY</v>
      </c>
      <c r="H23" s="87" t="str">
        <f>IF($A23="","",UPPER(TRIM(INDEX(FORM!$E:$E,ROW()))))</f>
        <v>CRO</v>
      </c>
      <c r="I23" s="87" t="str">
        <f>IF($A23="","",UPPER(TRIM(INDEX(FORM!$G:$G,ROW()))))</f>
        <v>CUKUP</v>
      </c>
      <c r="J23" s="87" t="str">
        <f>IF($A23="","",IF(ISNUMBER(SEARCH("Ya,",INDEX(FORM!$H:$H,ROW()))),"YA",IF(ISNUMBER(SEARCH("Cukup,",INDEX(FORM!$H:$H,ROW()))),"CUKUP",IF(ISNUMBER(SEARCH("Kurang,",INDEX(FORM!$H:$H,ROW()))),"KURANG",""))))</f>
        <v>YA</v>
      </c>
      <c r="K23" s="87" t="str">
        <f>IF($A23="","",UPPER(TRIM(INDEX(FORM!$J:$J,ROW()))))</f>
        <v>CUKUP</v>
      </c>
      <c r="L23" s="87">
        <f>IF($A23="","",IF(ISNUMBER(SEARCH("Aktivitas Harian",INDEX(FORM!$K:$K,ROW()))),1,0))</f>
        <v>1</v>
      </c>
      <c r="M23" s="87">
        <f>IF($A23="","",IF(ISNUMBER(SEARCH("Aktivitas Mingguan",INDEX(FORM!$K:$K,ROW()))),1,0))</f>
        <v>0</v>
      </c>
      <c r="N23" s="87">
        <f>IF($A23="","",IF(ISNUMBER(SEARCH("Aktivitas Bulanan",INDEX(FORM!$K:$K,ROW()))),1,0))</f>
        <v>0</v>
      </c>
      <c r="O23" s="87">
        <f>IF($A23="","",IF(ISNUMBER(SEARCH("Overview Cabang",INDEX(FORM!$K:$K,ROW()))),1,0))</f>
        <v>0</v>
      </c>
      <c r="P23" s="87">
        <f>IF($A23="","",IFERROR(VLOOKUP(I23,DATA!$AH$9:$AI$13,2,0),""))</f>
        <v>2</v>
      </c>
      <c r="Q23" s="87">
        <f>IF($A23="","",IFERROR(VLOOKUP(J23,DATA!$AH$9:$AI$13,2,0),""))</f>
        <v>3</v>
      </c>
      <c r="R23" s="87">
        <f>IF($A23="","",IFERROR(VLOOKUP(K23,DATA!$AH$9:$AI$13,2,0),""))</f>
        <v>2</v>
      </c>
      <c r="S23" s="89">
        <f t="shared" si="0"/>
        <v>2.3333333333333335</v>
      </c>
      <c r="T23" s="87">
        <f>IF($A23="","",IF(COUNTIF($D$2:D23,D23)=1,1,0))</f>
        <v>1</v>
      </c>
      <c r="U23" s="87" t="str">
        <f>IF($A23="","",IF(F23="-","Cabang tdk ada",IF(IFERROR(VLOOKUP(G23,#REF!,1,0),"")="","",IF(INDEX(DATA!$AH$2:$AH$5,MATCH(G23,DATA!$AI$2:$AI$5,0))&lt;&gt;F23,"Wilayah beda","OK"))))</f>
        <v/>
      </c>
      <c r="V23" s="87" t="str">
        <f>IF($A23="","",TRIM(INDEX(FORM!$I:$I,ROW())&amp;""))</f>
        <v>-</v>
      </c>
      <c r="W23" s="87" t="str">
        <f>IF($A23="","",TRIM(INDEX(FORM!$L:$L,ROW())&amp;""))</f>
        <v>-</v>
      </c>
      <c r="X23" s="87" t="str">
        <f>IF($A23="","",TRIM(INDEX(FORM!$M:$M,ROW())&amp;""))</f>
        <v>-</v>
      </c>
      <c r="Y23" s="8">
        <f>IF($A23="","",IFERROR(MATCH(F23,DATA!$AH$2:$AH$5,0),9)*10000+A23)</f>
        <v>20022</v>
      </c>
      <c r="Z23" s="87" t="str">
        <f t="shared" si="1"/>
        <v>Tidak ada masukan / sudah baik</v>
      </c>
      <c r="AA23" s="87" t="str">
        <f t="shared" si="2"/>
        <v>Tidak ada masukan / sudah baik</v>
      </c>
      <c r="AB23" s="87" t="str">
        <f t="shared" si="3"/>
        <v>Tidak ada masukan / sudah baik</v>
      </c>
      <c r="AC23" s="87"/>
      <c r="AD23" s="87"/>
      <c r="AE23" s="87"/>
      <c r="AK23" s="90">
        <f t="shared" si="4"/>
        <v>0</v>
      </c>
      <c r="AL23" s="90">
        <f t="shared" si="5"/>
        <v>0</v>
      </c>
      <c r="AM23" s="90">
        <f t="shared" si="6"/>
        <v>0</v>
      </c>
      <c r="AN23" s="90">
        <f t="shared" si="7"/>
        <v>0</v>
      </c>
      <c r="AO23" s="90">
        <f t="shared" si="8"/>
        <v>0</v>
      </c>
      <c r="AP23" s="90">
        <f t="shared" si="9"/>
        <v>0</v>
      </c>
      <c r="AQ23" s="90">
        <f t="shared" si="10"/>
        <v>0</v>
      </c>
      <c r="AR23" s="90">
        <f t="shared" si="11"/>
        <v>0</v>
      </c>
      <c r="AS23" s="90">
        <f t="shared" si="12"/>
        <v>0</v>
      </c>
      <c r="AT23" s="90">
        <f t="shared" si="13"/>
        <v>0</v>
      </c>
      <c r="AU23" s="90">
        <f t="shared" si="14"/>
        <v>0</v>
      </c>
      <c r="AV23" s="90">
        <f t="shared" si="15"/>
        <v>0</v>
      </c>
      <c r="AW23" s="90">
        <f t="shared" si="16"/>
        <v>0</v>
      </c>
      <c r="AX23" s="90">
        <f t="shared" si="17"/>
        <v>0</v>
      </c>
      <c r="AY23" s="90">
        <f t="shared" si="18"/>
        <v>0</v>
      </c>
      <c r="AZ23" s="90">
        <f t="shared" si="19"/>
        <v>0</v>
      </c>
      <c r="BA23" s="90">
        <f t="shared" si="20"/>
        <v>0</v>
      </c>
      <c r="BB23" s="90">
        <f t="shared" si="21"/>
        <v>0</v>
      </c>
    </row>
    <row r="24" spans="1:54" s="5" customFormat="1" hidden="1">
      <c r="A24" s="8">
        <f>IF(INDEX(FORM!$A:$A,ROW())="","",ROW()-1)</f>
        <v>23</v>
      </c>
      <c r="B24" s="41">
        <f>IF($A24="","",INDEX(FORM!$A:$A,ROW()))</f>
        <v>46308.429310034699</v>
      </c>
      <c r="C24" s="8" t="str">
        <f>IF($A24="","",TRIM(INDEX(FORM!$B:$B,ROW())))</f>
        <v>AKBAR WICAKSONO</v>
      </c>
      <c r="D24" s="8" t="str">
        <f>IF($A24="","",TRIM(INDEX(FORM!$C:$C,ROW())&amp;""))</f>
        <v>1510938</v>
      </c>
      <c r="E24" s="8" t="str">
        <f>IF($A24="","",UPPER(TRIM(INDEX(FORM!$D:$D,ROW()))))</f>
        <v>LOMBOK</v>
      </c>
      <c r="F24" s="8" t="str">
        <f>IF($A24="","",IFERROR(INDEX(PROGRES!$A$2:$A$92,MATCH(E24,PROGRES!$B$2:$B$92,0)),"-"))</f>
        <v>Luar Pulau</v>
      </c>
      <c r="G24" s="8" t="str">
        <f>IF($A24="","",UPPER(TRIM(INDEX(FORM!$F:$F,ROW()))))</f>
        <v>LUAR PULAU</v>
      </c>
      <c r="H24" s="8" t="str">
        <f>IF($A24="","",UPPER(TRIM(INDEX(FORM!$E:$E,ROW()))))</f>
        <v>BM</v>
      </c>
      <c r="I24" s="8" t="str">
        <f>IF($A24="","",UPPER(TRIM(INDEX(FORM!$G:$G,ROW()))))</f>
        <v>MUDAH</v>
      </c>
      <c r="J24" s="8" t="str">
        <f>IF($A24="","",IF(ISNUMBER(SEARCH("Ya,",INDEX(FORM!$H:$H,ROW()))),"YA",IF(ISNUMBER(SEARCH("Cukup,",INDEX(FORM!$H:$H,ROW()))),"CUKUP",IF(ISNUMBER(SEARCH("Kurang,",INDEX(FORM!$H:$H,ROW()))),"KURANG",""))))</f>
        <v>YA</v>
      </c>
      <c r="K24" s="8" t="str">
        <f>IF($A24="","",UPPER(TRIM(INDEX(FORM!$J:$J,ROW()))))</f>
        <v>MUDAH</v>
      </c>
      <c r="L24" s="8">
        <f>IF($A24="","",IF(ISNUMBER(SEARCH("Aktivitas Harian",INDEX(FORM!$K:$K,ROW()))),1,0))</f>
        <v>1</v>
      </c>
      <c r="M24" s="8">
        <f>IF($A24="","",IF(ISNUMBER(SEARCH("Aktivitas Mingguan",INDEX(FORM!$K:$K,ROW()))),1,0))</f>
        <v>1</v>
      </c>
      <c r="N24" s="8">
        <f>IF($A24="","",IF(ISNUMBER(SEARCH("Aktivitas Bulanan",INDEX(FORM!$K:$K,ROW()))),1,0))</f>
        <v>1</v>
      </c>
      <c r="O24" s="8">
        <f>IF($A24="","",IF(ISNUMBER(SEARCH("Overview Cabang",INDEX(FORM!$K:$K,ROW()))),1,0))</f>
        <v>1</v>
      </c>
      <c r="P24" s="8">
        <f>IF($A24="","",IFERROR(VLOOKUP(I24,DATA!$AH$9:$AI$13,2,0),""))</f>
        <v>3</v>
      </c>
      <c r="Q24" s="8">
        <f>IF($A24="","",IFERROR(VLOOKUP(J24,DATA!$AH$9:$AI$13,2,0),""))</f>
        <v>3</v>
      </c>
      <c r="R24" s="8">
        <f>IF($A24="","",IFERROR(VLOOKUP(K24,DATA!$AH$9:$AI$13,2,0),""))</f>
        <v>3</v>
      </c>
      <c r="S24" s="42">
        <f t="shared" si="0"/>
        <v>3</v>
      </c>
      <c r="T24" s="8">
        <f>IF($A24="","",IF(COUNTIF($D$2:D24,D24)=1,1,0))</f>
        <v>1</v>
      </c>
      <c r="U24" s="8" t="str">
        <f>IF($A24="","",IF(F24="-","Cabang tdk ada",IF(IFERROR(VLOOKUP(G24,#REF!,1,0),"")="","",IF(INDEX(DATA!$AH$2:$AH$5,MATCH(G24,DATA!$AI$2:$AI$5,0))&lt;&gt;F24,"Wilayah beda","OK"))))</f>
        <v/>
      </c>
      <c r="V24" s="8" t="str">
        <f>IF($A24="","",TRIM(INDEX(FORM!$I:$I,ROW())&amp;""))</f>
        <v>Tidak ada, tampilah dan aksesibilitas sudah responsif dan mudah dibaca</v>
      </c>
      <c r="W24" s="8" t="str">
        <f>IF($A24="","",TRIM(INDEX(FORM!$L:$L,ROW())&amp;""))</f>
        <v>tidak ada</v>
      </c>
      <c r="X24" s="8" t="str">
        <f>IF($A24="","",TRIM(INDEX(FORM!$M:$M,ROW())&amp;""))</f>
        <v>-</v>
      </c>
      <c r="Y24" s="8">
        <f>IF($A24="","",IFERROR(MATCH(F24,DATA!$AH$2:$AH$5,0),9)*10000+A24)</f>
        <v>40023</v>
      </c>
      <c r="Z24" s="8" t="str">
        <f t="shared" si="1"/>
        <v>Tidak ada masukan / sudah baik</v>
      </c>
      <c r="AA24" s="8" t="str">
        <f t="shared" si="2"/>
        <v>Tidak ada masukan / sudah baik</v>
      </c>
      <c r="AB24" s="8" t="str">
        <f t="shared" si="3"/>
        <v>Tidak ada masukan / sudah baik</v>
      </c>
      <c r="AC24" s="8"/>
      <c r="AD24" s="8"/>
      <c r="AE24" s="8"/>
      <c r="AK24" s="5">
        <f t="shared" si="4"/>
        <v>0</v>
      </c>
      <c r="AL24" s="5">
        <f t="shared" si="5"/>
        <v>0</v>
      </c>
      <c r="AM24" s="5">
        <f t="shared" si="6"/>
        <v>0</v>
      </c>
      <c r="AN24" s="5">
        <f t="shared" si="7"/>
        <v>0</v>
      </c>
      <c r="AO24" s="5">
        <f t="shared" si="8"/>
        <v>0</v>
      </c>
      <c r="AP24" s="5">
        <f t="shared" si="9"/>
        <v>0</v>
      </c>
      <c r="AQ24" s="5">
        <f t="shared" si="10"/>
        <v>0</v>
      </c>
      <c r="AR24" s="5">
        <f t="shared" si="11"/>
        <v>0</v>
      </c>
      <c r="AS24" s="5">
        <f t="shared" si="12"/>
        <v>0</v>
      </c>
      <c r="AT24" s="5">
        <f t="shared" si="13"/>
        <v>0</v>
      </c>
      <c r="AU24" s="5">
        <f t="shared" si="14"/>
        <v>0</v>
      </c>
      <c r="AV24" s="5">
        <f t="shared" si="15"/>
        <v>0</v>
      </c>
      <c r="AW24" s="5">
        <f t="shared" si="16"/>
        <v>0</v>
      </c>
      <c r="AX24" s="5">
        <f t="shared" si="17"/>
        <v>0</v>
      </c>
      <c r="AY24" s="5">
        <f t="shared" si="18"/>
        <v>0</v>
      </c>
      <c r="AZ24" s="5">
        <f t="shared" si="19"/>
        <v>0</v>
      </c>
      <c r="BA24" s="5">
        <f t="shared" si="20"/>
        <v>0</v>
      </c>
      <c r="BB24" s="5">
        <f t="shared" si="21"/>
        <v>0</v>
      </c>
    </row>
    <row r="25" spans="1:54" s="5" customFormat="1" hidden="1">
      <c r="A25" s="8">
        <f>IF(INDEX(FORM!$A:$A,ROW())="","",ROW()-1)</f>
        <v>24</v>
      </c>
      <c r="B25" s="41">
        <f>IF($A25="","",INDEX(FORM!$A:$A,ROW()))</f>
        <v>46308.429886712998</v>
      </c>
      <c r="C25" s="8" t="str">
        <f>IF($A25="","",TRIM(INDEX(FORM!$B:$B,ROW())))</f>
        <v>fajar hariyanto</v>
      </c>
      <c r="D25" s="8" t="str">
        <f>IF($A25="","",TRIM(INDEX(FORM!$C:$C,ROW())&amp;""))</f>
        <v>88411120</v>
      </c>
      <c r="E25" s="8" t="str">
        <f>IF($A25="","",UPPER(TRIM(INDEX(FORM!$D:$D,ROW()))))</f>
        <v>KLUNGKUNG</v>
      </c>
      <c r="F25" s="8" t="str">
        <f>IF($A25="","",IFERROR(INDEX(PROGRES!$A$2:$A$92,MATCH(E25,PROGRES!$B$2:$B$92,0)),"-"))</f>
        <v>Luar Pulau</v>
      </c>
      <c r="G25" s="8" t="str">
        <f>IF($A25="","",UPPER(TRIM(INDEX(FORM!$F:$F,ROW()))))</f>
        <v>LUAR PULAU</v>
      </c>
      <c r="H25" s="8" t="str">
        <f>IF($A25="","",UPPER(TRIM(INDEX(FORM!$E:$E,ROW()))))</f>
        <v>BM</v>
      </c>
      <c r="I25" s="8" t="str">
        <f>IF($A25="","",UPPER(TRIM(INDEX(FORM!$G:$G,ROW()))))</f>
        <v>MUDAH</v>
      </c>
      <c r="J25" s="8" t="str">
        <f>IF($A25="","",IF(ISNUMBER(SEARCH("Ya,",INDEX(FORM!$H:$H,ROW()))),"YA",IF(ISNUMBER(SEARCH("Cukup,",INDEX(FORM!$H:$H,ROW()))),"CUKUP",IF(ISNUMBER(SEARCH("Kurang,",INDEX(FORM!$H:$H,ROW()))),"KURANG",""))))</f>
        <v>YA</v>
      </c>
      <c r="K25" s="8" t="str">
        <f>IF($A25="","",UPPER(TRIM(INDEX(FORM!$J:$J,ROW()))))</f>
        <v>MUDAH</v>
      </c>
      <c r="L25" s="8">
        <f>IF($A25="","",IF(ISNUMBER(SEARCH("Aktivitas Harian",INDEX(FORM!$K:$K,ROW()))),1,0))</f>
        <v>1</v>
      </c>
      <c r="M25" s="8">
        <f>IF($A25="","",IF(ISNUMBER(SEARCH("Aktivitas Mingguan",INDEX(FORM!$K:$K,ROW()))),1,0))</f>
        <v>1</v>
      </c>
      <c r="N25" s="8">
        <f>IF($A25="","",IF(ISNUMBER(SEARCH("Aktivitas Bulanan",INDEX(FORM!$K:$K,ROW()))),1,0))</f>
        <v>1</v>
      </c>
      <c r="O25" s="8">
        <f>IF($A25="","",IF(ISNUMBER(SEARCH("Overview Cabang",INDEX(FORM!$K:$K,ROW()))),1,0))</f>
        <v>1</v>
      </c>
      <c r="P25" s="8">
        <f>IF($A25="","",IFERROR(VLOOKUP(I25,DATA!$AH$9:$AI$13,2,0),""))</f>
        <v>3</v>
      </c>
      <c r="Q25" s="8">
        <f>IF($A25="","",IFERROR(VLOOKUP(J25,DATA!$AH$9:$AI$13,2,0),""))</f>
        <v>3</v>
      </c>
      <c r="R25" s="8">
        <f>IF($A25="","",IFERROR(VLOOKUP(K25,DATA!$AH$9:$AI$13,2,0),""))</f>
        <v>3</v>
      </c>
      <c r="S25" s="42">
        <f t="shared" si="0"/>
        <v>3</v>
      </c>
      <c r="T25" s="8">
        <f>IF($A25="","",IF(COUNTIF($D$2:D25,D25)=1,1,0))</f>
        <v>1</v>
      </c>
      <c r="U25" s="8" t="str">
        <f>IF($A25="","",IF(F25="-","Cabang tdk ada",IF(IFERROR(VLOOKUP(G25,#REF!,1,0),"")="","",IF(INDEX(DATA!$AH$2:$AH$5,MATCH(G25,DATA!$AI$2:$AI$5,0))&lt;&gt;F25,"Wilayah beda","OK"))))</f>
        <v/>
      </c>
      <c r="V25" s="8" t="str">
        <f>IF($A25="","",TRIM(INDEX(FORM!$I:$I,ROW())&amp;""))</f>
        <v>ok</v>
      </c>
      <c r="W25" s="8" t="str">
        <f>IF($A25="","",TRIM(INDEX(FORM!$L:$L,ROW())&amp;""))</f>
        <v>tidak ada</v>
      </c>
      <c r="X25" s="8" t="str">
        <f>IF($A25="","",TRIM(INDEX(FORM!$M:$M,ROW())&amp;""))</f>
        <v>sudah bagus</v>
      </c>
      <c r="Y25" s="8">
        <f>IF($A25="","",IFERROR(MATCH(F25,DATA!$AH$2:$AH$5,0),9)*10000+A25)</f>
        <v>40024</v>
      </c>
      <c r="Z25" s="8" t="str">
        <f t="shared" si="1"/>
        <v>Tidak ada masukan / sudah baik</v>
      </c>
      <c r="AA25" s="8" t="str">
        <f t="shared" si="2"/>
        <v>Tidak ada masukan / sudah baik</v>
      </c>
      <c r="AB25" s="8" t="str">
        <f t="shared" si="3"/>
        <v>Tidak ada masukan / sudah baik</v>
      </c>
      <c r="AC25" s="8"/>
      <c r="AD25" s="8"/>
      <c r="AE25" s="8"/>
      <c r="AK25" s="5">
        <f t="shared" si="4"/>
        <v>0</v>
      </c>
      <c r="AL25" s="5">
        <f t="shared" si="5"/>
        <v>0</v>
      </c>
      <c r="AM25" s="5">
        <f t="shared" si="6"/>
        <v>0</v>
      </c>
      <c r="AN25" s="5">
        <f t="shared" si="7"/>
        <v>0</v>
      </c>
      <c r="AO25" s="5">
        <f t="shared" si="8"/>
        <v>0</v>
      </c>
      <c r="AP25" s="5">
        <f t="shared" si="9"/>
        <v>0</v>
      </c>
      <c r="AQ25" s="5">
        <f t="shared" si="10"/>
        <v>0</v>
      </c>
      <c r="AR25" s="5">
        <f t="shared" si="11"/>
        <v>0</v>
      </c>
      <c r="AS25" s="5">
        <f t="shared" si="12"/>
        <v>0</v>
      </c>
      <c r="AT25" s="5">
        <f t="shared" si="13"/>
        <v>0</v>
      </c>
      <c r="AU25" s="5">
        <f t="shared" si="14"/>
        <v>0</v>
      </c>
      <c r="AV25" s="5">
        <f t="shared" si="15"/>
        <v>0</v>
      </c>
      <c r="AW25" s="5">
        <f t="shared" si="16"/>
        <v>0</v>
      </c>
      <c r="AX25" s="5">
        <f t="shared" si="17"/>
        <v>0</v>
      </c>
      <c r="AY25" s="5">
        <f t="shared" si="18"/>
        <v>0</v>
      </c>
      <c r="AZ25" s="5">
        <f t="shared" si="19"/>
        <v>0</v>
      </c>
      <c r="BA25" s="5">
        <f t="shared" si="20"/>
        <v>0</v>
      </c>
      <c r="BB25" s="5">
        <f t="shared" si="21"/>
        <v>0</v>
      </c>
    </row>
    <row r="26" spans="1:54" s="5" customFormat="1" hidden="1">
      <c r="A26" s="8">
        <f>IF(INDEX(FORM!$A:$A,ROW())="","",ROW()-1)</f>
        <v>25</v>
      </c>
      <c r="B26" s="41">
        <f>IF($A26="","",INDEX(FORM!$A:$A,ROW()))</f>
        <v>46308.429886712998</v>
      </c>
      <c r="C26" s="8" t="str">
        <f>IF($A26="","",TRIM(INDEX(FORM!$B:$B,ROW())))</f>
        <v>fajar hariyanto</v>
      </c>
      <c r="D26" s="8" t="str">
        <f>IF($A26="","",TRIM(INDEX(FORM!$C:$C,ROW())&amp;""))</f>
        <v>88411120</v>
      </c>
      <c r="E26" s="8" t="str">
        <f>IF($A26="","",UPPER(TRIM(INDEX(FORM!$D:$D,ROW()))))</f>
        <v>SINGARAJA</v>
      </c>
      <c r="F26" s="8" t="str">
        <f>IF($A26="","",IFERROR(INDEX(PROGRES!$A$2:$A$92,MATCH(E26,PROGRES!$B$2:$B$92,0)),"-"))</f>
        <v>Luar Pulau</v>
      </c>
      <c r="G26" s="8" t="str">
        <f>IF($A26="","",UPPER(TRIM(INDEX(FORM!$F:$F,ROW()))))</f>
        <v>LUAR PULAU</v>
      </c>
      <c r="H26" s="8" t="str">
        <f>IF($A26="","",UPPER(TRIM(INDEX(FORM!$E:$E,ROW()))))</f>
        <v>BM</v>
      </c>
      <c r="I26" s="8" t="str">
        <f>IF($A26="","",UPPER(TRIM(INDEX(FORM!$G:$G,ROW()))))</f>
        <v>MUDAH</v>
      </c>
      <c r="J26" s="8" t="str">
        <f>IF($A26="","",IF(ISNUMBER(SEARCH("Ya,",INDEX(FORM!$H:$H,ROW()))),"YA",IF(ISNUMBER(SEARCH("Cukup,",INDEX(FORM!$H:$H,ROW()))),"CUKUP",IF(ISNUMBER(SEARCH("Kurang,",INDEX(FORM!$H:$H,ROW()))),"KURANG",""))))</f>
        <v>YA</v>
      </c>
      <c r="K26" s="8" t="str">
        <f>IF($A26="","",UPPER(TRIM(INDEX(FORM!$J:$J,ROW()))))</f>
        <v>MUDAH</v>
      </c>
      <c r="L26" s="8">
        <f>IF($A26="","",IF(ISNUMBER(SEARCH("Aktivitas Harian",INDEX(FORM!$K:$K,ROW()))),1,0))</f>
        <v>1</v>
      </c>
      <c r="M26" s="8">
        <f>IF($A26="","",IF(ISNUMBER(SEARCH("Aktivitas Mingguan",INDEX(FORM!$K:$K,ROW()))),1,0))</f>
        <v>1</v>
      </c>
      <c r="N26" s="8">
        <f>IF($A26="","",IF(ISNUMBER(SEARCH("Aktivitas Bulanan",INDEX(FORM!$K:$K,ROW()))),1,0))</f>
        <v>1</v>
      </c>
      <c r="O26" s="8">
        <f>IF($A26="","",IF(ISNUMBER(SEARCH("Overview Cabang",INDEX(FORM!$K:$K,ROW()))),1,0))</f>
        <v>1</v>
      </c>
      <c r="P26" s="8">
        <f>IF($A26="","",IFERROR(VLOOKUP(I26,DATA!$AH$9:$AI$13,2,0),""))</f>
        <v>3</v>
      </c>
      <c r="Q26" s="8">
        <f>IF($A26="","",IFERROR(VLOOKUP(J26,DATA!$AH$9:$AI$13,2,0),""))</f>
        <v>3</v>
      </c>
      <c r="R26" s="8">
        <f>IF($A26="","",IFERROR(VLOOKUP(K26,DATA!$AH$9:$AI$13,2,0),""))</f>
        <v>3</v>
      </c>
      <c r="S26" s="42">
        <f t="shared" si="0"/>
        <v>3</v>
      </c>
      <c r="T26" s="8">
        <f>IF($A26="","",IF(COUNTIF($D$2:D26,D26)=1,1,0))</f>
        <v>0</v>
      </c>
      <c r="U26" s="8" t="str">
        <f>IF($A26="","",IF(F26="-","Cabang tdk ada",IF(IFERROR(VLOOKUP(G26,#REF!,1,0),"")="","",IF(INDEX(DATA!$AH$2:$AH$5,MATCH(G26,DATA!$AI$2:$AI$5,0))&lt;&gt;F26,"Wilayah beda","OK"))))</f>
        <v/>
      </c>
      <c r="V26" s="8" t="str">
        <f>IF($A26="","",TRIM(INDEX(FORM!$I:$I,ROW())&amp;""))</f>
        <v>ok</v>
      </c>
      <c r="W26" s="8" t="str">
        <f>IF($A26="","",TRIM(INDEX(FORM!$L:$L,ROW())&amp;""))</f>
        <v>tidak ada</v>
      </c>
      <c r="X26" s="8" t="str">
        <f>IF($A26="","",TRIM(INDEX(FORM!$M:$M,ROW())&amp;""))</f>
        <v>sudah bagus</v>
      </c>
      <c r="Y26" s="8">
        <f>IF($A26="","",IFERROR(MATCH(F26,DATA!$AH$2:$AH$5,0),9)*10000+A26)</f>
        <v>40025</v>
      </c>
      <c r="Z26" s="8" t="str">
        <f t="shared" si="1"/>
        <v>Tidak ada masukan / sudah baik</v>
      </c>
      <c r="AA26" s="8" t="str">
        <f t="shared" si="2"/>
        <v>Tidak ada masukan / sudah baik</v>
      </c>
      <c r="AB26" s="8" t="str">
        <f t="shared" si="3"/>
        <v>Tidak ada masukan / sudah baik</v>
      </c>
      <c r="AC26" s="8"/>
      <c r="AD26" s="8"/>
      <c r="AE26" s="8"/>
      <c r="AK26" s="5">
        <f t="shared" si="4"/>
        <v>0</v>
      </c>
      <c r="AL26" s="5">
        <f t="shared" si="5"/>
        <v>0</v>
      </c>
      <c r="AM26" s="5">
        <f t="shared" si="6"/>
        <v>0</v>
      </c>
      <c r="AN26" s="5">
        <f t="shared" si="7"/>
        <v>0</v>
      </c>
      <c r="AO26" s="5">
        <f t="shared" si="8"/>
        <v>0</v>
      </c>
      <c r="AP26" s="5">
        <f t="shared" si="9"/>
        <v>0</v>
      </c>
      <c r="AQ26" s="5">
        <f t="shared" si="10"/>
        <v>0</v>
      </c>
      <c r="AR26" s="5">
        <f t="shared" si="11"/>
        <v>0</v>
      </c>
      <c r="AS26" s="5">
        <f t="shared" si="12"/>
        <v>0</v>
      </c>
      <c r="AT26" s="5">
        <f t="shared" si="13"/>
        <v>0</v>
      </c>
      <c r="AU26" s="5">
        <f t="shared" si="14"/>
        <v>0</v>
      </c>
      <c r="AV26" s="5">
        <f t="shared" si="15"/>
        <v>0</v>
      </c>
      <c r="AW26" s="5">
        <f t="shared" si="16"/>
        <v>0</v>
      </c>
      <c r="AX26" s="5">
        <f t="shared" si="17"/>
        <v>0</v>
      </c>
      <c r="AY26" s="5">
        <f t="shared" si="18"/>
        <v>0</v>
      </c>
      <c r="AZ26" s="5">
        <f t="shared" si="19"/>
        <v>0</v>
      </c>
      <c r="BA26" s="5">
        <f t="shared" si="20"/>
        <v>0</v>
      </c>
      <c r="BB26" s="5">
        <f t="shared" si="21"/>
        <v>0</v>
      </c>
    </row>
    <row r="27" spans="1:54" s="5" customFormat="1" hidden="1">
      <c r="A27" s="8">
        <f>IF(INDEX(FORM!$A:$A,ROW())="","",ROW()-1)</f>
        <v>26</v>
      </c>
      <c r="B27" s="41">
        <f>IF($A27="","",INDEX(FORM!$A:$A,ROW()))</f>
        <v>46308.448127673597</v>
      </c>
      <c r="C27" s="8" t="str">
        <f>IF($A27="","",TRIM(INDEX(FORM!$B:$B,ROW())))</f>
        <v>MASYKUR</v>
      </c>
      <c r="D27" s="8" t="str">
        <f>IF($A27="","",TRIM(INDEX(FORM!$C:$C,ROW())&amp;""))</f>
        <v>00866</v>
      </c>
      <c r="E27" s="8" t="str">
        <f>IF($A27="","",UPPER(TRIM(INDEX(FORM!$D:$D,ROW()))))</f>
        <v>SLEMAN</v>
      </c>
      <c r="F27" s="8" t="str">
        <f>IF($A27="","",IFERROR(INDEX(PROGRES!$A$2:$A$92,MATCH(E27,PROGRES!$B$2:$B$92,0)),"-"))</f>
        <v>Jawa Tengah</v>
      </c>
      <c r="G27" s="8" t="str">
        <f>IF($A27="","",UPPER(TRIM(INDEX(FORM!$F:$F,ROW()))))</f>
        <v>JATENG DIY</v>
      </c>
      <c r="H27" s="8" t="str">
        <f>IF($A27="","",UPPER(TRIM(INDEX(FORM!$E:$E,ROW()))))</f>
        <v>BM</v>
      </c>
      <c r="I27" s="8" t="str">
        <f>IF($A27="","",UPPER(TRIM(INDEX(FORM!$G:$G,ROW()))))</f>
        <v>MUDAH</v>
      </c>
      <c r="J27" s="8" t="str">
        <f>IF($A27="","",IF(ISNUMBER(SEARCH("Ya,",INDEX(FORM!$H:$H,ROW()))),"YA",IF(ISNUMBER(SEARCH("Cukup,",INDEX(FORM!$H:$H,ROW()))),"CUKUP",IF(ISNUMBER(SEARCH("Kurang,",INDEX(FORM!$H:$H,ROW()))),"KURANG",""))))</f>
        <v>YA</v>
      </c>
      <c r="K27" s="8" t="str">
        <f>IF($A27="","",UPPER(TRIM(INDEX(FORM!$J:$J,ROW()))))</f>
        <v>MUDAH</v>
      </c>
      <c r="L27" s="8">
        <f>IF($A27="","",IF(ISNUMBER(SEARCH("Aktivitas Harian",INDEX(FORM!$K:$K,ROW()))),1,0))</f>
        <v>1</v>
      </c>
      <c r="M27" s="8">
        <f>IF($A27="","",IF(ISNUMBER(SEARCH("Aktivitas Mingguan",INDEX(FORM!$K:$K,ROW()))),1,0))</f>
        <v>1</v>
      </c>
      <c r="N27" s="8">
        <f>IF($A27="","",IF(ISNUMBER(SEARCH("Aktivitas Bulanan",INDEX(FORM!$K:$K,ROW()))),1,0))</f>
        <v>1</v>
      </c>
      <c r="O27" s="8">
        <f>IF($A27="","",IF(ISNUMBER(SEARCH("Overview Cabang",INDEX(FORM!$K:$K,ROW()))),1,0))</f>
        <v>0</v>
      </c>
      <c r="P27" s="8">
        <f>IF($A27="","",IFERROR(VLOOKUP(I27,DATA!$AH$9:$AI$13,2,0),""))</f>
        <v>3</v>
      </c>
      <c r="Q27" s="8">
        <f>IF($A27="","",IFERROR(VLOOKUP(J27,DATA!$AH$9:$AI$13,2,0),""))</f>
        <v>3</v>
      </c>
      <c r="R27" s="8">
        <f>IF($A27="","",IFERROR(VLOOKUP(K27,DATA!$AH$9:$AI$13,2,0),""))</f>
        <v>3</v>
      </c>
      <c r="S27" s="42">
        <f t="shared" si="0"/>
        <v>3</v>
      </c>
      <c r="T27" s="8">
        <f>IF($A27="","",IF(COUNTIF($D$2:D27,D27)=1,1,0))</f>
        <v>1</v>
      </c>
      <c r="U27" s="8" t="str">
        <f>IF($A27="","",IF(F27="-","Cabang tdk ada",IF(IFERROR(VLOOKUP(G27,#REF!,1,0),"")="","",IF(INDEX(DATA!$AH$2:$AH$5,MATCH(G27,DATA!$AI$2:$AI$5,0))&lt;&gt;F27,"Wilayah beda","OK"))))</f>
        <v/>
      </c>
      <c r="V27" s="8" t="str">
        <f>IF($A27="","",TRIM(INDEX(FORM!$I:$I,ROW())&amp;""))</f>
        <v>Cukup</v>
      </c>
      <c r="W27" s="8" t="str">
        <f>IF($A27="","",TRIM(INDEX(FORM!$L:$L,ROW())&amp;""))</f>
        <v>Materi dan SOP operasional cabang yang disajikan dalam Handbook saat ini sudah cukup mencakup kebutuhan pekerjaan. Selain itu, apabila terdapat perubahan atau pembaruan SOP, kebijakan, maupun prosedur kerja, diharapkan tersedia fitur notifikasi atau pemberitahuan kepada karyawan agar informasi terbaru dapat diketahui dengan cepat dan diterapkan secara seragam di seluruh cabang.</v>
      </c>
      <c r="X27" s="8" t="str">
        <f>IF($A27="","",TRIM(INDEX(FORM!$M:$M,ROW())&amp;""))</f>
        <v>Mohon dilengkapi dengan struktur organisasi PT Semen Indonesia Distributor (SID) terbaru yang diperbarui secara berkala apabila terdapat perubahan jabatan, penempatan, maupun wilayah kerja. Informasi ini penting agar seluruh karyawan dapat memahami susunan organisasi, jalur koordinasi, hubungan pelaporan, serta PIC yang berwenang dalam pengambilan keputusan dan penyelesaian permasalahan operasional. Dengan demikian, koordinasi antara cabang, regional, dan kantor pusat dapat berjalan lebih efektif, terarah, dan sesuai dengan kewenangan masing-masing.</v>
      </c>
      <c r="Y27" s="8">
        <f>IF($A27="","",IFERROR(MATCH(F27,DATA!$AH$2:$AH$5,0),9)*10000+A27)</f>
        <v>20026</v>
      </c>
      <c r="Z27" s="8" t="str">
        <f t="shared" si="1"/>
        <v>Tidak ada masukan / sudah baik</v>
      </c>
      <c r="AA27" s="8" t="str">
        <f t="shared" si="2"/>
        <v>Pembaruan &amp; Notifikasi SOP</v>
      </c>
      <c r="AB27" s="8" t="str">
        <f t="shared" si="3"/>
        <v>Struktur Organisasi, PIC &amp; Tim</v>
      </c>
      <c r="AC27" s="8"/>
      <c r="AD27" s="8"/>
      <c r="AE27" s="8"/>
      <c r="AK27" s="5">
        <f t="shared" si="4"/>
        <v>0</v>
      </c>
      <c r="AL27" s="5">
        <f t="shared" si="5"/>
        <v>0</v>
      </c>
      <c r="AM27" s="5">
        <f t="shared" si="6"/>
        <v>0</v>
      </c>
      <c r="AN27" s="5">
        <f t="shared" si="7"/>
        <v>0</v>
      </c>
      <c r="AO27" s="5">
        <f t="shared" si="8"/>
        <v>0</v>
      </c>
      <c r="AP27" s="5">
        <f t="shared" si="9"/>
        <v>0</v>
      </c>
      <c r="AQ27" s="5">
        <f t="shared" si="10"/>
        <v>0</v>
      </c>
      <c r="AR27" s="5">
        <f t="shared" si="11"/>
        <v>0</v>
      </c>
      <c r="AS27" s="5">
        <f t="shared" si="12"/>
        <v>0</v>
      </c>
      <c r="AT27" s="5">
        <f t="shared" si="13"/>
        <v>1</v>
      </c>
      <c r="AU27" s="5">
        <f t="shared" si="14"/>
        <v>1</v>
      </c>
      <c r="AV27" s="5">
        <f t="shared" si="15"/>
        <v>0</v>
      </c>
      <c r="AW27" s="5">
        <f t="shared" si="16"/>
        <v>0</v>
      </c>
      <c r="AX27" s="5">
        <f t="shared" si="17"/>
        <v>0</v>
      </c>
      <c r="AY27" s="5">
        <f t="shared" si="18"/>
        <v>0</v>
      </c>
      <c r="AZ27" s="5">
        <f t="shared" si="19"/>
        <v>0</v>
      </c>
      <c r="BA27" s="5">
        <f t="shared" si="20"/>
        <v>0</v>
      </c>
      <c r="BB27" s="5">
        <f t="shared" si="21"/>
        <v>1</v>
      </c>
    </row>
    <row r="28" spans="1:54" s="5" customFormat="1" hidden="1">
      <c r="A28" s="8">
        <f>IF(INDEX(FORM!$A:$A,ROW())="","",ROW()-1)</f>
        <v>27</v>
      </c>
      <c r="B28" s="41">
        <f>IF($A28="","",INDEX(FORM!$A:$A,ROW()))</f>
        <v>46308.459633032398</v>
      </c>
      <c r="C28" s="8" t="str">
        <f>IF($A28="","",TRIM(INDEX(FORM!$B:$B,ROW())))</f>
        <v>AYU WULANDARI OKTAVIA</v>
      </c>
      <c r="D28" s="8" t="str">
        <f>IF($A28="","",TRIM(INDEX(FORM!$C:$C,ROW())&amp;""))</f>
        <v>80434</v>
      </c>
      <c r="E28" s="8" t="str">
        <f>IF($A28="","",UPPER(TRIM(INDEX(FORM!$D:$D,ROW()))))</f>
        <v>KLUNGKUNG</v>
      </c>
      <c r="F28" s="8" t="str">
        <f>IF($A28="","",IFERROR(INDEX(PROGRES!$A$2:$A$92,MATCH(E28,PROGRES!$B$2:$B$92,0)),"-"))</f>
        <v>Luar Pulau</v>
      </c>
      <c r="G28" s="8" t="str">
        <f>IF($A28="","",UPPER(TRIM(INDEX(FORM!$F:$F,ROW()))))</f>
        <v>LUAR PULAU</v>
      </c>
      <c r="H28" s="8" t="str">
        <f>IF($A28="","",UPPER(TRIM(INDEX(FORM!$E:$E,ROW()))))</f>
        <v>BAO</v>
      </c>
      <c r="I28" s="8" t="str">
        <f>IF($A28="","",UPPER(TRIM(INDEX(FORM!$G:$G,ROW()))))</f>
        <v>CUKUP</v>
      </c>
      <c r="J28" s="8" t="str">
        <f>IF($A28="","",IF(ISNUMBER(SEARCH("Ya,",INDEX(FORM!$H:$H,ROW()))),"YA",IF(ISNUMBER(SEARCH("Cukup,",INDEX(FORM!$H:$H,ROW()))),"CUKUP",IF(ISNUMBER(SEARCH("Kurang,",INDEX(FORM!$H:$H,ROW()))),"KURANG",""))))</f>
        <v>CUKUP</v>
      </c>
      <c r="K28" s="8" t="str">
        <f>IF($A28="","",UPPER(TRIM(INDEX(FORM!$J:$J,ROW()))))</f>
        <v>CUKUP</v>
      </c>
      <c r="L28" s="8">
        <f>IF($A28="","",IF(ISNUMBER(SEARCH("Aktivitas Harian",INDEX(FORM!$K:$K,ROW()))),1,0))</f>
        <v>0</v>
      </c>
      <c r="M28" s="8">
        <f>IF($A28="","",IF(ISNUMBER(SEARCH("Aktivitas Mingguan",INDEX(FORM!$K:$K,ROW()))),1,0))</f>
        <v>0</v>
      </c>
      <c r="N28" s="8">
        <f>IF($A28="","",IF(ISNUMBER(SEARCH("Aktivitas Bulanan",INDEX(FORM!$K:$K,ROW()))),1,0))</f>
        <v>0</v>
      </c>
      <c r="O28" s="8">
        <f>IF($A28="","",IF(ISNUMBER(SEARCH("Overview Cabang",INDEX(FORM!$K:$K,ROW()))),1,0))</f>
        <v>1</v>
      </c>
      <c r="P28" s="8">
        <f>IF($A28="","",IFERROR(VLOOKUP(I28,DATA!$AH$9:$AI$13,2,0),""))</f>
        <v>2</v>
      </c>
      <c r="Q28" s="8">
        <f>IF($A28="","",IFERROR(VLOOKUP(J28,DATA!$AH$9:$AI$13,2,0),""))</f>
        <v>2</v>
      </c>
      <c r="R28" s="8">
        <f>IF($A28="","",IFERROR(VLOOKUP(K28,DATA!$AH$9:$AI$13,2,0),""))</f>
        <v>2</v>
      </c>
      <c r="S28" s="42">
        <f t="shared" si="0"/>
        <v>2</v>
      </c>
      <c r="T28" s="8">
        <f>IF($A28="","",IF(COUNTIF($D$2:D28,D28)=1,1,0))</f>
        <v>1</v>
      </c>
      <c r="U28" s="8" t="str">
        <f>IF($A28="","",IF(F28="-","Cabang tdk ada",IF(IFERROR(VLOOKUP(G28,#REF!,1,0),"")="","",IF(INDEX(DATA!$AH$2:$AH$5,MATCH(G28,DATA!$AI$2:$AI$5,0))&lt;&gt;F28,"Wilayah beda","OK"))))</f>
        <v/>
      </c>
      <c r="V28" s="8" t="str">
        <f>IF($A28="","",TRIM(INDEX(FORM!$I:$I,ROW())&amp;""))</f>
        <v>cukup mudah d pahami</v>
      </c>
      <c r="W28" s="8" t="str">
        <f>IF($A28="","",TRIM(INDEX(FORM!$L:$L,ROW())&amp;""))</f>
        <v>contact person kendala / pihak yang berwenang bila terjadi kendala atau follow up progress</v>
      </c>
      <c r="X28" s="8" t="str">
        <f>IF($A28="","",TRIM(INDEX(FORM!$M:$M,ROW())&amp;""))</f>
        <v>list personil, CP dan struktur organisasi</v>
      </c>
      <c r="Y28" s="8">
        <f>IF($A28="","",IFERROR(MATCH(F28,DATA!$AH$2:$AH$5,0),9)*10000+A28)</f>
        <v>40027</v>
      </c>
      <c r="Z28" s="8" t="str">
        <f t="shared" si="1"/>
        <v>Tidak ada masukan / sudah baik</v>
      </c>
      <c r="AA28" s="8" t="str">
        <f t="shared" si="2"/>
        <v>Kontak PIC &amp; Eskalasi</v>
      </c>
      <c r="AB28" s="8" t="str">
        <f t="shared" si="3"/>
        <v>Struktur Organisasi, PIC &amp; Tim</v>
      </c>
      <c r="AC28" s="8"/>
      <c r="AD28" s="8"/>
      <c r="AE28" s="8"/>
      <c r="AK28" s="5">
        <f t="shared" si="4"/>
        <v>0</v>
      </c>
      <c r="AL28" s="5">
        <f t="shared" si="5"/>
        <v>0</v>
      </c>
      <c r="AM28" s="5">
        <f t="shared" si="6"/>
        <v>0</v>
      </c>
      <c r="AN28" s="5">
        <f t="shared" si="7"/>
        <v>0</v>
      </c>
      <c r="AO28" s="5">
        <f t="shared" si="8"/>
        <v>0</v>
      </c>
      <c r="AP28" s="5">
        <f t="shared" si="9"/>
        <v>0</v>
      </c>
      <c r="AQ28" s="5">
        <f t="shared" si="10"/>
        <v>0</v>
      </c>
      <c r="AR28" s="5">
        <f t="shared" si="11"/>
        <v>0</v>
      </c>
      <c r="AS28" s="5">
        <f t="shared" si="12"/>
        <v>0</v>
      </c>
      <c r="AT28" s="5">
        <f t="shared" si="13"/>
        <v>1</v>
      </c>
      <c r="AU28" s="5">
        <f t="shared" si="14"/>
        <v>0</v>
      </c>
      <c r="AV28" s="5">
        <f t="shared" si="15"/>
        <v>0</v>
      </c>
      <c r="AW28" s="5">
        <f t="shared" si="16"/>
        <v>0</v>
      </c>
      <c r="AX28" s="5">
        <f t="shared" si="17"/>
        <v>0</v>
      </c>
      <c r="AY28" s="5">
        <f t="shared" si="18"/>
        <v>0</v>
      </c>
      <c r="AZ28" s="5">
        <f t="shared" si="19"/>
        <v>0</v>
      </c>
      <c r="BA28" s="5">
        <f t="shared" si="20"/>
        <v>0</v>
      </c>
      <c r="BB28" s="5">
        <f t="shared" si="21"/>
        <v>1</v>
      </c>
    </row>
    <row r="29" spans="1:54">
      <c r="A29" s="87">
        <f>IF(INDEX(FORM!$A:$A,ROW())="","",ROW()-1)</f>
        <v>28</v>
      </c>
      <c r="B29" s="88">
        <f>IF($A29="","",INDEX(FORM!$A:$A,ROW()))</f>
        <v>46308.469325405102</v>
      </c>
      <c r="C29" s="87" t="str">
        <f>IF($A29="","",TRIM(INDEX(FORM!$B:$B,ROW())))</f>
        <v>Fajar Agung Arianto</v>
      </c>
      <c r="D29" s="87" t="str">
        <f>IF($A29="","",TRIM(INDEX(FORM!$C:$C,ROW())&amp;""))</f>
        <v>1511282</v>
      </c>
      <c r="E29" s="87" t="str">
        <f>IF($A29="","",UPPER(TRIM(INDEX(FORM!$D:$D,ROW()))))</f>
        <v>SAYUNG</v>
      </c>
      <c r="F29" s="87" t="str">
        <f>IF($A29="","",IFERROR(INDEX(PROGRES!$A$2:$A$92,MATCH(E29,PROGRES!$B$2:$B$92,0)),"-"))</f>
        <v>Jawa Tengah</v>
      </c>
      <c r="G29" s="87" t="str">
        <f>IF($A29="","",UPPER(TRIM(INDEX(FORM!$F:$F,ROW()))))</f>
        <v>JATENG DIY</v>
      </c>
      <c r="H29" s="87" t="str">
        <f>IF($A29="","",UPPER(TRIM(INDEX(FORM!$E:$E,ROW()))))</f>
        <v>CRO</v>
      </c>
      <c r="I29" s="87" t="str">
        <f>IF($A29="","",UPPER(TRIM(INDEX(FORM!$G:$G,ROW()))))</f>
        <v>CUKUP</v>
      </c>
      <c r="J29" s="87" t="str">
        <f>IF($A29="","",IF(ISNUMBER(SEARCH("Ya,",INDEX(FORM!$H:$H,ROW()))),"YA",IF(ISNUMBER(SEARCH("Cukup,",INDEX(FORM!$H:$H,ROW()))),"CUKUP",IF(ISNUMBER(SEARCH("Kurang,",INDEX(FORM!$H:$H,ROW()))),"KURANG",""))))</f>
        <v>YA</v>
      </c>
      <c r="K29" s="87" t="str">
        <f>IF($A29="","",UPPER(TRIM(INDEX(FORM!$J:$J,ROW()))))</f>
        <v>MUDAH</v>
      </c>
      <c r="L29" s="87">
        <f>IF($A29="","",IF(ISNUMBER(SEARCH("Aktivitas Harian",INDEX(FORM!$K:$K,ROW()))),1,0))</f>
        <v>1</v>
      </c>
      <c r="M29" s="87">
        <f>IF($A29="","",IF(ISNUMBER(SEARCH("Aktivitas Mingguan",INDEX(FORM!$K:$K,ROW()))),1,0))</f>
        <v>0</v>
      </c>
      <c r="N29" s="87">
        <f>IF($A29="","",IF(ISNUMBER(SEARCH("Aktivitas Bulanan",INDEX(FORM!$K:$K,ROW()))),1,0))</f>
        <v>0</v>
      </c>
      <c r="O29" s="87">
        <f>IF($A29="","",IF(ISNUMBER(SEARCH("Overview Cabang",INDEX(FORM!$K:$K,ROW()))),1,0))</f>
        <v>0</v>
      </c>
      <c r="P29" s="87">
        <f>IF($A29="","",IFERROR(VLOOKUP(I29,DATA!$AH$9:$AI$13,2,0),""))</f>
        <v>2</v>
      </c>
      <c r="Q29" s="87">
        <f>IF($A29="","",IFERROR(VLOOKUP(J29,DATA!$AH$9:$AI$13,2,0),""))</f>
        <v>3</v>
      </c>
      <c r="R29" s="87">
        <f>IF($A29="","",IFERROR(VLOOKUP(K29,DATA!$AH$9:$AI$13,2,0),""))</f>
        <v>3</v>
      </c>
      <c r="S29" s="89">
        <f t="shared" si="0"/>
        <v>2.6666666666666665</v>
      </c>
      <c r="T29" s="87">
        <f>IF($A29="","",IF(COUNTIF($D$2:D29,D29)=1,1,0))</f>
        <v>1</v>
      </c>
      <c r="U29" s="87" t="str">
        <f>IF($A29="","",IF(F29="-","Cabang tdk ada",IF(IFERROR(VLOOKUP(G29,#REF!,1,0),"")="","",IF(INDEX(DATA!$AH$2:$AH$5,MATCH(G29,DATA!$AI$2:$AI$5,0))&lt;&gt;F29,"Wilayah beda","OK"))))</f>
        <v/>
      </c>
      <c r="V29" s="87" t="str">
        <f>IF($A29="","",TRIM(INDEX(FORM!$I:$I,ROW())&amp;""))</f>
        <v>Cukup</v>
      </c>
      <c r="W29" s="87" t="str">
        <f>IF($A29="","",TRIM(INDEX(FORM!$L:$L,ROW())&amp;""))</f>
        <v>Sdh berjalan</v>
      </c>
      <c r="X29" s="87" t="str">
        <f>IF($A29="","",TRIM(INDEX(FORM!$M:$M,ROW())&amp;""))</f>
        <v>-</v>
      </c>
      <c r="Y29" s="8">
        <f>IF($A29="","",IFERROR(MATCH(F29,DATA!$AH$2:$AH$5,0),9)*10000+A29)</f>
        <v>20028</v>
      </c>
      <c r="Z29" s="87" t="str">
        <f t="shared" si="1"/>
        <v>Tidak ada masukan / sudah baik</v>
      </c>
      <c r="AA29" s="87" t="str">
        <f t="shared" si="2"/>
        <v>Tidak ada masukan / sudah baik</v>
      </c>
      <c r="AB29" s="87" t="str">
        <f t="shared" si="3"/>
        <v>Tidak ada masukan / sudah baik</v>
      </c>
      <c r="AC29" s="87"/>
      <c r="AD29" s="87"/>
      <c r="AE29" s="87"/>
      <c r="AK29" s="90">
        <f t="shared" si="4"/>
        <v>0</v>
      </c>
      <c r="AL29" s="90">
        <f t="shared" si="5"/>
        <v>0</v>
      </c>
      <c r="AM29" s="90">
        <f t="shared" si="6"/>
        <v>0</v>
      </c>
      <c r="AN29" s="90">
        <f t="shared" si="7"/>
        <v>0</v>
      </c>
      <c r="AO29" s="90">
        <f t="shared" si="8"/>
        <v>0</v>
      </c>
      <c r="AP29" s="90">
        <f t="shared" si="9"/>
        <v>0</v>
      </c>
      <c r="AQ29" s="90">
        <f t="shared" si="10"/>
        <v>0</v>
      </c>
      <c r="AR29" s="90">
        <f t="shared" si="11"/>
        <v>0</v>
      </c>
      <c r="AS29" s="90">
        <f t="shared" si="12"/>
        <v>0</v>
      </c>
      <c r="AT29" s="90">
        <f t="shared" si="13"/>
        <v>0</v>
      </c>
      <c r="AU29" s="90">
        <f t="shared" si="14"/>
        <v>0</v>
      </c>
      <c r="AV29" s="90">
        <f t="shared" si="15"/>
        <v>0</v>
      </c>
      <c r="AW29" s="90">
        <f t="shared" si="16"/>
        <v>0</v>
      </c>
      <c r="AX29" s="90">
        <f t="shared" si="17"/>
        <v>0</v>
      </c>
      <c r="AY29" s="90">
        <f t="shared" si="18"/>
        <v>0</v>
      </c>
      <c r="AZ29" s="90">
        <f t="shared" si="19"/>
        <v>0</v>
      </c>
      <c r="BA29" s="90">
        <f t="shared" si="20"/>
        <v>0</v>
      </c>
      <c r="BB29" s="90">
        <f t="shared" si="21"/>
        <v>0</v>
      </c>
    </row>
    <row r="30" spans="1:54" s="5" customFormat="1" hidden="1">
      <c r="A30" s="8">
        <f>IF(INDEX(FORM!$A:$A,ROW())="","",ROW()-1)</f>
        <v>29</v>
      </c>
      <c r="B30" s="41">
        <f>IF($A30="","",INDEX(FORM!$A:$A,ROW()))</f>
        <v>46308.472423553198</v>
      </c>
      <c r="C30" s="8" t="str">
        <f>IF($A30="","",TRIM(INDEX(FORM!$B:$B,ROW())))</f>
        <v>Faisal Arrahman</v>
      </c>
      <c r="D30" s="8" t="str">
        <f>IF($A30="","",TRIM(INDEX(FORM!$C:$C,ROW())&amp;""))</f>
        <v>80493</v>
      </c>
      <c r="E30" s="8" t="str">
        <f>IF($A30="","",UPPER(TRIM(INDEX(FORM!$D:$D,ROW()))))</f>
        <v>DENPASAR</v>
      </c>
      <c r="F30" s="8" t="str">
        <f>IF($A30="","",IFERROR(INDEX(PROGRES!$A$2:$A$92,MATCH(E30,PROGRES!$B$2:$B$92,0)),"-"))</f>
        <v>Luar Pulau</v>
      </c>
      <c r="G30" s="8" t="str">
        <f>IF($A30="","",UPPER(TRIM(INDEX(FORM!$F:$F,ROW()))))</f>
        <v>LUAR PULAU</v>
      </c>
      <c r="H30" s="8" t="str">
        <f>IF($A30="","",UPPER(TRIM(INDEX(FORM!$E:$E,ROW()))))</f>
        <v>BM</v>
      </c>
      <c r="I30" s="8" t="str">
        <f>IF($A30="","",UPPER(TRIM(INDEX(FORM!$G:$G,ROW()))))</f>
        <v>MUDAH</v>
      </c>
      <c r="J30" s="8" t="str">
        <f>IF($A30="","",IF(ISNUMBER(SEARCH("Ya,",INDEX(FORM!$H:$H,ROW()))),"YA",IF(ISNUMBER(SEARCH("Cukup,",INDEX(FORM!$H:$H,ROW()))),"CUKUP",IF(ISNUMBER(SEARCH("Kurang,",INDEX(FORM!$H:$H,ROW()))),"KURANG",""))))</f>
        <v>YA</v>
      </c>
      <c r="K30" s="8" t="str">
        <f>IF($A30="","",UPPER(TRIM(INDEX(FORM!$J:$J,ROW()))))</f>
        <v>MUDAH</v>
      </c>
      <c r="L30" s="8">
        <f>IF($A30="","",IF(ISNUMBER(SEARCH("Aktivitas Harian",INDEX(FORM!$K:$K,ROW()))),1,0))</f>
        <v>1</v>
      </c>
      <c r="M30" s="8">
        <f>IF($A30="","",IF(ISNUMBER(SEARCH("Aktivitas Mingguan",INDEX(FORM!$K:$K,ROW()))),1,0))</f>
        <v>1</v>
      </c>
      <c r="N30" s="8">
        <f>IF($A30="","",IF(ISNUMBER(SEARCH("Aktivitas Bulanan",INDEX(FORM!$K:$K,ROW()))),1,0))</f>
        <v>1</v>
      </c>
      <c r="O30" s="8">
        <f>IF($A30="","",IF(ISNUMBER(SEARCH("Overview Cabang",INDEX(FORM!$K:$K,ROW()))),1,0))</f>
        <v>1</v>
      </c>
      <c r="P30" s="8">
        <f>IF($A30="","",IFERROR(VLOOKUP(I30,DATA!$AH$9:$AI$13,2,0),""))</f>
        <v>3</v>
      </c>
      <c r="Q30" s="8">
        <f>IF($A30="","",IFERROR(VLOOKUP(J30,DATA!$AH$9:$AI$13,2,0),""))</f>
        <v>3</v>
      </c>
      <c r="R30" s="8">
        <f>IF($A30="","",IFERROR(VLOOKUP(K30,DATA!$AH$9:$AI$13,2,0),""))</f>
        <v>3</v>
      </c>
      <c r="S30" s="42">
        <f t="shared" si="0"/>
        <v>3</v>
      </c>
      <c r="T30" s="8">
        <f>IF($A30="","",IF(COUNTIF($D$2:D30,D30)=1,1,0))</f>
        <v>1</v>
      </c>
      <c r="U30" s="8" t="str">
        <f>IF($A30="","",IF(F30="-","Cabang tdk ada",IF(IFERROR(VLOOKUP(G30,#REF!,1,0),"")="","",IF(INDEX(DATA!$AH$2:$AH$5,MATCH(G30,DATA!$AI$2:$AI$5,0))&lt;&gt;F30,"Wilayah beda","OK"))))</f>
        <v/>
      </c>
      <c r="V30" s="8" t="str">
        <f>IF($A30="","",TRIM(INDEX(FORM!$I:$I,ROW())&amp;""))</f>
        <v>sudah bagus dan mudah dipahami</v>
      </c>
      <c r="W30" s="8" t="str">
        <f>IF($A30="","",TRIM(INDEX(FORM!$L:$L,ROW())&amp;""))</f>
        <v>Tidak Ada</v>
      </c>
      <c r="X30" s="8" t="str">
        <f>IF($A30="","",TRIM(INDEX(FORM!$M:$M,ROW())&amp;""))</f>
        <v>tidak ada saran, saat ini menurut saya sudah sesuai</v>
      </c>
      <c r="Y30" s="8">
        <f>IF($A30="","",IFERROR(MATCH(F30,DATA!$AH$2:$AH$5,0),9)*10000+A30)</f>
        <v>40029</v>
      </c>
      <c r="Z30" s="8" t="str">
        <f t="shared" si="1"/>
        <v>Tidak ada masukan / sudah baik</v>
      </c>
      <c r="AA30" s="8" t="str">
        <f t="shared" si="2"/>
        <v>Tidak ada masukan / sudah baik</v>
      </c>
      <c r="AB30" s="8" t="str">
        <f t="shared" si="3"/>
        <v>Tidak ada masukan / sudah baik</v>
      </c>
      <c r="AC30" s="8"/>
      <c r="AD30" s="8"/>
      <c r="AE30" s="8"/>
      <c r="AK30" s="5">
        <f t="shared" si="4"/>
        <v>0</v>
      </c>
      <c r="AL30" s="5">
        <f t="shared" si="5"/>
        <v>0</v>
      </c>
      <c r="AM30" s="5">
        <f t="shared" si="6"/>
        <v>0</v>
      </c>
      <c r="AN30" s="5">
        <f t="shared" si="7"/>
        <v>0</v>
      </c>
      <c r="AO30" s="5">
        <f t="shared" si="8"/>
        <v>0</v>
      </c>
      <c r="AP30" s="5">
        <f t="shared" si="9"/>
        <v>0</v>
      </c>
      <c r="AQ30" s="5">
        <f t="shared" si="10"/>
        <v>0</v>
      </c>
      <c r="AR30" s="5">
        <f t="shared" si="11"/>
        <v>0</v>
      </c>
      <c r="AS30" s="5">
        <f t="shared" si="12"/>
        <v>0</v>
      </c>
      <c r="AT30" s="5">
        <f t="shared" si="13"/>
        <v>0</v>
      </c>
      <c r="AU30" s="5">
        <f t="shared" si="14"/>
        <v>0</v>
      </c>
      <c r="AV30" s="5">
        <f t="shared" si="15"/>
        <v>0</v>
      </c>
      <c r="AW30" s="5">
        <f t="shared" si="16"/>
        <v>0</v>
      </c>
      <c r="AX30" s="5">
        <f t="shared" si="17"/>
        <v>0</v>
      </c>
      <c r="AY30" s="5">
        <f t="shared" si="18"/>
        <v>0</v>
      </c>
      <c r="AZ30" s="5">
        <f t="shared" si="19"/>
        <v>0</v>
      </c>
      <c r="BA30" s="5">
        <f t="shared" si="20"/>
        <v>0</v>
      </c>
      <c r="BB30" s="5">
        <f t="shared" si="21"/>
        <v>0</v>
      </c>
    </row>
    <row r="31" spans="1:54" s="5" customFormat="1" hidden="1">
      <c r="A31" s="8">
        <f>IF(INDEX(FORM!$A:$A,ROW())="","",ROW()-1)</f>
        <v>30</v>
      </c>
      <c r="B31" s="41">
        <f>IF($A31="","",INDEX(FORM!$A:$A,ROW()))</f>
        <v>46308.532760034701</v>
      </c>
      <c r="C31" s="8" t="str">
        <f>IF($A31="","",TRIM(INDEX(FORM!$B:$B,ROW())))</f>
        <v>Ricky Dwi WIjaya</v>
      </c>
      <c r="D31" s="8" t="str">
        <f>IF($A31="","",TRIM(INDEX(FORM!$C:$C,ROW())&amp;""))</f>
        <v>1510532</v>
      </c>
      <c r="E31" s="8" t="str">
        <f>IF($A31="","",UPPER(TRIM(INDEX(FORM!$D:$D,ROW()))))</f>
        <v>TABANAN</v>
      </c>
      <c r="F31" s="8" t="str">
        <f>IF($A31="","",IFERROR(INDEX(PROGRES!$A$2:$A$92,MATCH(E31,PROGRES!$B$2:$B$92,0)),"-"))</f>
        <v>Luar Pulau</v>
      </c>
      <c r="G31" s="8" t="str">
        <f>IF($A31="","",UPPER(TRIM(INDEX(FORM!$F:$F,ROW()))))</f>
        <v>LUAR PULAU</v>
      </c>
      <c r="H31" s="8" t="str">
        <f>IF($A31="","",UPPER(TRIM(INDEX(FORM!$E:$E,ROW()))))</f>
        <v>BM</v>
      </c>
      <c r="I31" s="8" t="str">
        <f>IF($A31="","",UPPER(TRIM(INDEX(FORM!$G:$G,ROW()))))</f>
        <v>MUDAH</v>
      </c>
      <c r="J31" s="8" t="str">
        <f>IF($A31="","",IF(ISNUMBER(SEARCH("Ya,",INDEX(FORM!$H:$H,ROW()))),"YA",IF(ISNUMBER(SEARCH("Cukup,",INDEX(FORM!$H:$H,ROW()))),"CUKUP",IF(ISNUMBER(SEARCH("Kurang,",INDEX(FORM!$H:$H,ROW()))),"KURANG",""))))</f>
        <v>YA</v>
      </c>
      <c r="K31" s="8" t="str">
        <f>IF($A31="","",UPPER(TRIM(INDEX(FORM!$J:$J,ROW()))))</f>
        <v>CUKUP</v>
      </c>
      <c r="L31" s="8">
        <f>IF($A31="","",IF(ISNUMBER(SEARCH("Aktivitas Harian",INDEX(FORM!$K:$K,ROW()))),1,0))</f>
        <v>1</v>
      </c>
      <c r="M31" s="8">
        <f>IF($A31="","",IF(ISNUMBER(SEARCH("Aktivitas Mingguan",INDEX(FORM!$K:$K,ROW()))),1,0))</f>
        <v>1</v>
      </c>
      <c r="N31" s="8">
        <f>IF($A31="","",IF(ISNUMBER(SEARCH("Aktivitas Bulanan",INDEX(FORM!$K:$K,ROW()))),1,0))</f>
        <v>1</v>
      </c>
      <c r="O31" s="8">
        <f>IF($A31="","",IF(ISNUMBER(SEARCH("Overview Cabang",INDEX(FORM!$K:$K,ROW()))),1,0))</f>
        <v>0</v>
      </c>
      <c r="P31" s="8">
        <f>IF($A31="","",IFERROR(VLOOKUP(I31,DATA!$AH$9:$AI$13,2,0),""))</f>
        <v>3</v>
      </c>
      <c r="Q31" s="8">
        <f>IF($A31="","",IFERROR(VLOOKUP(J31,DATA!$AH$9:$AI$13,2,0),""))</f>
        <v>3</v>
      </c>
      <c r="R31" s="8">
        <f>IF($A31="","",IFERROR(VLOOKUP(K31,DATA!$AH$9:$AI$13,2,0),""))</f>
        <v>2</v>
      </c>
      <c r="S31" s="42">
        <f t="shared" si="0"/>
        <v>2.6666666666666665</v>
      </c>
      <c r="T31" s="8">
        <f>IF($A31="","",IF(COUNTIF($D$2:D31,D31)=1,1,0))</f>
        <v>1</v>
      </c>
      <c r="U31" s="8" t="str">
        <f>IF($A31="","",IF(F31="-","Cabang tdk ada",IF(IFERROR(VLOOKUP(G31,#REF!,1,0),"")="","",IF(INDEX(DATA!$AH$2:$AH$5,MATCH(G31,DATA!$AI$2:$AI$5,0))&lt;&gt;F31,"Wilayah beda","OK"))))</f>
        <v/>
      </c>
      <c r="V31" s="8" t="str">
        <f>IF($A31="","",TRIM(INDEX(FORM!$I:$I,ROW())&amp;""))</f>
        <v>sudah cukup baik</v>
      </c>
      <c r="W31" s="8" t="str">
        <f>IF($A31="","",TRIM(INDEX(FORM!$L:$L,ROW())&amp;""))</f>
        <v>tidak ada</v>
      </c>
      <c r="X31" s="8" t="str">
        <f>IF($A31="","",TRIM(INDEX(FORM!$M:$M,ROW())&amp;""))</f>
        <v>Sudah cukup bagus dan sangat membantu terutama untuk karyawan yang baru bergabung, sangat mudah dipahami</v>
      </c>
      <c r="Y31" s="8">
        <f>IF($A31="","",IFERROR(MATCH(F31,DATA!$AH$2:$AH$5,0),9)*10000+A31)</f>
        <v>40030</v>
      </c>
      <c r="Z31" s="8" t="str">
        <f t="shared" si="1"/>
        <v>Tidak ada masukan / sudah baik</v>
      </c>
      <c r="AA31" s="8" t="str">
        <f t="shared" si="2"/>
        <v>Tidak ada masukan / sudah baik</v>
      </c>
      <c r="AB31" s="8" t="str">
        <f t="shared" si="3"/>
        <v>Tidak ada masukan / sudah baik</v>
      </c>
      <c r="AC31" s="8"/>
      <c r="AD31" s="8"/>
      <c r="AE31" s="8"/>
      <c r="AK31" s="5">
        <f t="shared" si="4"/>
        <v>0</v>
      </c>
      <c r="AL31" s="5">
        <f t="shared" si="5"/>
        <v>0</v>
      </c>
      <c r="AM31" s="5">
        <f t="shared" si="6"/>
        <v>0</v>
      </c>
      <c r="AN31" s="5">
        <f t="shared" si="7"/>
        <v>0</v>
      </c>
      <c r="AO31" s="5">
        <f t="shared" si="8"/>
        <v>0</v>
      </c>
      <c r="AP31" s="5">
        <f t="shared" si="9"/>
        <v>0</v>
      </c>
      <c r="AQ31" s="5">
        <f t="shared" si="10"/>
        <v>0</v>
      </c>
      <c r="AR31" s="5">
        <f t="shared" si="11"/>
        <v>0</v>
      </c>
      <c r="AS31" s="5">
        <f t="shared" si="12"/>
        <v>0</v>
      </c>
      <c r="AT31" s="5">
        <f t="shared" si="13"/>
        <v>0</v>
      </c>
      <c r="AU31" s="5">
        <f t="shared" si="14"/>
        <v>0</v>
      </c>
      <c r="AV31" s="5">
        <f t="shared" si="15"/>
        <v>0</v>
      </c>
      <c r="AW31" s="5">
        <f t="shared" si="16"/>
        <v>0</v>
      </c>
      <c r="AX31" s="5">
        <f t="shared" si="17"/>
        <v>0</v>
      </c>
      <c r="AY31" s="5">
        <f t="shared" si="18"/>
        <v>0</v>
      </c>
      <c r="AZ31" s="5">
        <f t="shared" si="19"/>
        <v>0</v>
      </c>
      <c r="BA31" s="5">
        <f t="shared" si="20"/>
        <v>0</v>
      </c>
      <c r="BB31" s="5">
        <f t="shared" si="21"/>
        <v>0</v>
      </c>
    </row>
    <row r="32" spans="1:54" s="5" customFormat="1" hidden="1">
      <c r="A32" s="8">
        <f>IF(INDEX(FORM!$A:$A,ROW())="","",ROW()-1)</f>
        <v>31</v>
      </c>
      <c r="B32" s="41">
        <f>IF($A32="","",INDEX(FORM!$A:$A,ROW()))</f>
        <v>46308.532760034701</v>
      </c>
      <c r="C32" s="8" t="str">
        <f>IF($A32="","",TRIM(INDEX(FORM!$B:$B,ROW())))</f>
        <v>Ricky Dwi WIjaya</v>
      </c>
      <c r="D32" s="8" t="str">
        <f>IF($A32="","",TRIM(INDEX(FORM!$C:$C,ROW())&amp;""))</f>
        <v>1510532</v>
      </c>
      <c r="E32" s="8" t="str">
        <f>IF($A32="","",UPPER(TRIM(INDEX(FORM!$D:$D,ROW()))))</f>
        <v>JEMBRANA</v>
      </c>
      <c r="F32" s="8" t="str">
        <f>IF($A32="","",IFERROR(INDEX(PROGRES!$A$2:$A$92,MATCH(E32,PROGRES!$B$2:$B$92,0)),"-"))</f>
        <v>Luar Pulau</v>
      </c>
      <c r="G32" s="8" t="str">
        <f>IF($A32="","",UPPER(TRIM(INDEX(FORM!$F:$F,ROW()))))</f>
        <v>LUAR PULAU</v>
      </c>
      <c r="H32" s="8" t="str">
        <f>IF($A32="","",UPPER(TRIM(INDEX(FORM!$E:$E,ROW()))))</f>
        <v>BM</v>
      </c>
      <c r="I32" s="8" t="str">
        <f>IF($A32="","",UPPER(TRIM(INDEX(FORM!$G:$G,ROW()))))</f>
        <v>MUDAH</v>
      </c>
      <c r="J32" s="8" t="str">
        <f>IF($A32="","",IF(ISNUMBER(SEARCH("Ya,",INDEX(FORM!$H:$H,ROW()))),"YA",IF(ISNUMBER(SEARCH("Cukup,",INDEX(FORM!$H:$H,ROW()))),"CUKUP",IF(ISNUMBER(SEARCH("Kurang,",INDEX(FORM!$H:$H,ROW()))),"KURANG",""))))</f>
        <v>YA</v>
      </c>
      <c r="K32" s="8" t="str">
        <f>IF($A32="","",UPPER(TRIM(INDEX(FORM!$J:$J,ROW()))))</f>
        <v>CUKUP</v>
      </c>
      <c r="L32" s="8">
        <f>IF($A32="","",IF(ISNUMBER(SEARCH("Aktivitas Harian",INDEX(FORM!$K:$K,ROW()))),1,0))</f>
        <v>1</v>
      </c>
      <c r="M32" s="8">
        <f>IF($A32="","",IF(ISNUMBER(SEARCH("Aktivitas Mingguan",INDEX(FORM!$K:$K,ROW()))),1,0))</f>
        <v>1</v>
      </c>
      <c r="N32" s="8">
        <f>IF($A32="","",IF(ISNUMBER(SEARCH("Aktivitas Bulanan",INDEX(FORM!$K:$K,ROW()))),1,0))</f>
        <v>1</v>
      </c>
      <c r="O32" s="8">
        <f>IF($A32="","",IF(ISNUMBER(SEARCH("Overview Cabang",INDEX(FORM!$K:$K,ROW()))),1,0))</f>
        <v>0</v>
      </c>
      <c r="P32" s="8">
        <f>IF($A32="","",IFERROR(VLOOKUP(I32,DATA!$AH$9:$AI$13,2,0),""))</f>
        <v>3</v>
      </c>
      <c r="Q32" s="8">
        <f>IF($A32="","",IFERROR(VLOOKUP(J32,DATA!$AH$9:$AI$13,2,0),""))</f>
        <v>3</v>
      </c>
      <c r="R32" s="8">
        <f>IF($A32="","",IFERROR(VLOOKUP(K32,DATA!$AH$9:$AI$13,2,0),""))</f>
        <v>2</v>
      </c>
      <c r="S32" s="42">
        <f t="shared" si="0"/>
        <v>2.6666666666666665</v>
      </c>
      <c r="T32" s="8">
        <f>IF($A32="","",IF(COUNTIF($D$2:D32,D32)=1,1,0))</f>
        <v>0</v>
      </c>
      <c r="U32" s="8" t="str">
        <f>IF($A32="","",IF(F32="-","Cabang tdk ada",IF(IFERROR(VLOOKUP(G32,#REF!,1,0),"")="","",IF(INDEX(DATA!$AH$2:$AH$5,MATCH(G32,DATA!$AI$2:$AI$5,0))&lt;&gt;F32,"Wilayah beda","OK"))))</f>
        <v/>
      </c>
      <c r="V32" s="8" t="str">
        <f>IF($A32="","",TRIM(INDEX(FORM!$I:$I,ROW())&amp;""))</f>
        <v>sudah cukup baik</v>
      </c>
      <c r="W32" s="8" t="str">
        <f>IF($A32="","",TRIM(INDEX(FORM!$L:$L,ROW())&amp;""))</f>
        <v>tidak ada</v>
      </c>
      <c r="X32" s="8" t="str">
        <f>IF($A32="","",TRIM(INDEX(FORM!$M:$M,ROW())&amp;""))</f>
        <v>Sudah cukup bagus dan sangat membantu terutama untuk karyawan yang baru bergabung, sangat mudah dipahami</v>
      </c>
      <c r="Y32" s="8">
        <f>IF($A32="","",IFERROR(MATCH(F32,DATA!$AH$2:$AH$5,0),9)*10000+A32)</f>
        <v>40031</v>
      </c>
      <c r="Z32" s="8" t="str">
        <f t="shared" si="1"/>
        <v>Tidak ada masukan / sudah baik</v>
      </c>
      <c r="AA32" s="8" t="str">
        <f t="shared" si="2"/>
        <v>Tidak ada masukan / sudah baik</v>
      </c>
      <c r="AB32" s="8" t="str">
        <f t="shared" si="3"/>
        <v>Tidak ada masukan / sudah baik</v>
      </c>
      <c r="AC32" s="8"/>
      <c r="AD32" s="8"/>
      <c r="AE32" s="8"/>
      <c r="AK32" s="5">
        <f t="shared" si="4"/>
        <v>0</v>
      </c>
      <c r="AL32" s="5">
        <f t="shared" si="5"/>
        <v>0</v>
      </c>
      <c r="AM32" s="5">
        <f t="shared" si="6"/>
        <v>0</v>
      </c>
      <c r="AN32" s="5">
        <f t="shared" si="7"/>
        <v>0</v>
      </c>
      <c r="AO32" s="5">
        <f t="shared" si="8"/>
        <v>0</v>
      </c>
      <c r="AP32" s="5">
        <f t="shared" si="9"/>
        <v>0</v>
      </c>
      <c r="AQ32" s="5">
        <f t="shared" si="10"/>
        <v>0</v>
      </c>
      <c r="AR32" s="5">
        <f t="shared" si="11"/>
        <v>0</v>
      </c>
      <c r="AS32" s="5">
        <f t="shared" si="12"/>
        <v>0</v>
      </c>
      <c r="AT32" s="5">
        <f t="shared" si="13"/>
        <v>0</v>
      </c>
      <c r="AU32" s="5">
        <f t="shared" si="14"/>
        <v>0</v>
      </c>
      <c r="AV32" s="5">
        <f t="shared" si="15"/>
        <v>0</v>
      </c>
      <c r="AW32" s="5">
        <f t="shared" si="16"/>
        <v>0</v>
      </c>
      <c r="AX32" s="5">
        <f t="shared" si="17"/>
        <v>0</v>
      </c>
      <c r="AY32" s="5">
        <f t="shared" si="18"/>
        <v>0</v>
      </c>
      <c r="AZ32" s="5">
        <f t="shared" si="19"/>
        <v>0</v>
      </c>
      <c r="BA32" s="5">
        <f t="shared" si="20"/>
        <v>0</v>
      </c>
      <c r="BB32" s="5">
        <f t="shared" si="21"/>
        <v>0</v>
      </c>
    </row>
    <row r="33" spans="1:54" s="5" customFormat="1" hidden="1">
      <c r="A33" s="8">
        <f>IF(INDEX(FORM!$A:$A,ROW())="","",ROW()-1)</f>
        <v>32</v>
      </c>
      <c r="B33" s="41">
        <f>IF($A33="","",INDEX(FORM!$A:$A,ROW()))</f>
        <v>46308.595220092597</v>
      </c>
      <c r="C33" s="8" t="str">
        <f>IF($A33="","",TRIM(INDEX(FORM!$B:$B,ROW())))</f>
        <v>RULLY KHOIRUDDIN</v>
      </c>
      <c r="D33" s="8" t="str">
        <f>IF($A33="","",TRIM(INDEX(FORM!$C:$C,ROW())&amp;""))</f>
        <v>1511309</v>
      </c>
      <c r="E33" s="8" t="str">
        <f>IF($A33="","",UPPER(TRIM(INDEX(FORM!$D:$D,ROW()))))</f>
        <v>SRAGEN</v>
      </c>
      <c r="F33" s="8" t="str">
        <f>IF($A33="","",IFERROR(INDEX(PROGRES!$A$2:$A$92,MATCH(E33,PROGRES!$B$2:$B$92,0)),"-"))</f>
        <v>Jawa Tengah</v>
      </c>
      <c r="G33" s="8" t="str">
        <f>IF($A33="","",UPPER(TRIM(INDEX(FORM!$F:$F,ROW()))))</f>
        <v>JATENG DIY</v>
      </c>
      <c r="H33" s="8" t="str">
        <f>IF($A33="","",UPPER(TRIM(INDEX(FORM!$E:$E,ROW()))))</f>
        <v>BM</v>
      </c>
      <c r="I33" s="8" t="str">
        <f>IF($A33="","",UPPER(TRIM(INDEX(FORM!$G:$G,ROW()))))</f>
        <v>CUKUP</v>
      </c>
      <c r="J33" s="8" t="str">
        <f>IF($A33="","",IF(ISNUMBER(SEARCH("Ya,",INDEX(FORM!$H:$H,ROW()))),"YA",IF(ISNUMBER(SEARCH("Cukup,",INDEX(FORM!$H:$H,ROW()))),"CUKUP",IF(ISNUMBER(SEARCH("Kurang,",INDEX(FORM!$H:$H,ROW()))),"KURANG",""))))</f>
        <v>CUKUP</v>
      </c>
      <c r="K33" s="8" t="str">
        <f>IF($A33="","",UPPER(TRIM(INDEX(FORM!$J:$J,ROW()))))</f>
        <v>MUDAH</v>
      </c>
      <c r="L33" s="8">
        <f>IF($A33="","",IF(ISNUMBER(SEARCH("Aktivitas Harian",INDEX(FORM!$K:$K,ROW()))),1,0))</f>
        <v>1</v>
      </c>
      <c r="M33" s="8">
        <f>IF($A33="","",IF(ISNUMBER(SEARCH("Aktivitas Mingguan",INDEX(FORM!$K:$K,ROW()))),1,0))</f>
        <v>0</v>
      </c>
      <c r="N33" s="8">
        <f>IF($A33="","",IF(ISNUMBER(SEARCH("Aktivitas Bulanan",INDEX(FORM!$K:$K,ROW()))),1,0))</f>
        <v>0</v>
      </c>
      <c r="O33" s="8">
        <f>IF($A33="","",IF(ISNUMBER(SEARCH("Overview Cabang",INDEX(FORM!$K:$K,ROW()))),1,0))</f>
        <v>0</v>
      </c>
      <c r="P33" s="8">
        <f>IF($A33="","",IFERROR(VLOOKUP(I33,DATA!$AH$9:$AI$13,2,0),""))</f>
        <v>2</v>
      </c>
      <c r="Q33" s="8">
        <f>IF($A33="","",IFERROR(VLOOKUP(J33,DATA!$AH$9:$AI$13,2,0),""))</f>
        <v>2</v>
      </c>
      <c r="R33" s="8">
        <f>IF($A33="","",IFERROR(VLOOKUP(K33,DATA!$AH$9:$AI$13,2,0),""))</f>
        <v>3</v>
      </c>
      <c r="S33" s="42">
        <f t="shared" si="0"/>
        <v>2.3333333333333335</v>
      </c>
      <c r="T33" s="8">
        <f>IF($A33="","",IF(COUNTIF($D$2:D33,D33)=1,1,0))</f>
        <v>1</v>
      </c>
      <c r="U33" s="8" t="str">
        <f>IF($A33="","",IF(F33="-","Cabang tdk ada",IF(IFERROR(VLOOKUP(G33,#REF!,1,0),"")="","",IF(INDEX(DATA!$AH$2:$AH$5,MATCH(G33,DATA!$AI$2:$AI$5,0))&lt;&gt;F33,"Wilayah beda","OK"))))</f>
        <v/>
      </c>
      <c r="V33" s="8" t="str">
        <f>IF($A33="","",TRIM(INDEX(FORM!$I:$I,ROW())&amp;""))</f>
        <v>-</v>
      </c>
      <c r="W33" s="8" t="str">
        <f>IF($A33="","",TRIM(INDEX(FORM!$L:$L,ROW())&amp;""))</f>
        <v>MOHON UNTUK LEBIH DITINGKATKAN TAMPILANNYA</v>
      </c>
      <c r="X33" s="8" t="str">
        <f>IF($A33="","",TRIM(INDEX(FORM!$M:$M,ROW())&amp;""))</f>
        <v>SEMOGA SEMAKIN MENARIK.</v>
      </c>
      <c r="Y33" s="8">
        <f>IF($A33="","",IFERROR(MATCH(F33,DATA!$AH$2:$AH$5,0),9)*10000+A33)</f>
        <v>20032</v>
      </c>
      <c r="Z33" s="8" t="str">
        <f t="shared" si="1"/>
        <v>Tidak ada masukan / sudah baik</v>
      </c>
      <c r="AA33" s="8" t="str">
        <f t="shared" si="2"/>
        <v>Bukan Terkait SOP (Tampilan / Akses)</v>
      </c>
      <c r="AB33" s="8" t="str">
        <f t="shared" si="3"/>
        <v>Desain Tampilan</v>
      </c>
      <c r="AC33" s="8"/>
      <c r="AD33" s="8"/>
      <c r="AE33" s="8"/>
      <c r="AK33" s="5">
        <f t="shared" si="4"/>
        <v>0</v>
      </c>
      <c r="AL33" s="5">
        <f t="shared" si="5"/>
        <v>0</v>
      </c>
      <c r="AM33" s="5">
        <f t="shared" si="6"/>
        <v>1</v>
      </c>
      <c r="AN33" s="5">
        <f t="shared" si="7"/>
        <v>0</v>
      </c>
      <c r="AO33" s="5">
        <f t="shared" si="8"/>
        <v>0</v>
      </c>
      <c r="AP33" s="5">
        <f t="shared" si="9"/>
        <v>0</v>
      </c>
      <c r="AQ33" s="5">
        <f t="shared" si="10"/>
        <v>0</v>
      </c>
      <c r="AR33" s="5">
        <f t="shared" si="11"/>
        <v>0</v>
      </c>
      <c r="AS33" s="5">
        <f t="shared" si="12"/>
        <v>0</v>
      </c>
      <c r="AT33" s="5">
        <f t="shared" si="13"/>
        <v>0</v>
      </c>
      <c r="AU33" s="5">
        <f t="shared" si="14"/>
        <v>0</v>
      </c>
      <c r="AV33" s="5">
        <f t="shared" si="15"/>
        <v>0</v>
      </c>
      <c r="AW33" s="5">
        <f t="shared" si="16"/>
        <v>0</v>
      </c>
      <c r="AX33" s="5">
        <f t="shared" si="17"/>
        <v>0</v>
      </c>
      <c r="AY33" s="5">
        <f t="shared" si="18"/>
        <v>0</v>
      </c>
      <c r="AZ33" s="5">
        <f t="shared" si="19"/>
        <v>0</v>
      </c>
      <c r="BA33" s="5">
        <f t="shared" si="20"/>
        <v>0</v>
      </c>
      <c r="BB33" s="5">
        <f t="shared" si="21"/>
        <v>1</v>
      </c>
    </row>
    <row r="34" spans="1:54">
      <c r="A34" s="87">
        <f>IF(INDEX(FORM!$A:$A,ROW())="","",ROW()-1)</f>
        <v>33</v>
      </c>
      <c r="B34" s="88">
        <f>IF($A34="","",INDEX(FORM!$A:$A,ROW()))</f>
        <v>46308.691265115704</v>
      </c>
      <c r="C34" s="87" t="str">
        <f>IF($A34="","",TRIM(INDEX(FORM!$B:$B,ROW())))</f>
        <v>Alpine Mandala Putra</v>
      </c>
      <c r="D34" s="87" t="str">
        <f>IF($A34="","",TRIM(INDEX(FORM!$C:$C,ROW())&amp;""))</f>
        <v>1510877</v>
      </c>
      <c r="E34" s="87" t="str">
        <f>IF($A34="","",UPPER(TRIM(INDEX(FORM!$D:$D,ROW()))))</f>
        <v>SAMARINDA</v>
      </c>
      <c r="F34" s="87" t="str">
        <f>IF($A34="","",IFERROR(INDEX(PROGRES!$A$2:$A$92,MATCH(E34,PROGRES!$B$2:$B$92,0)),"-"))</f>
        <v>Luar Pulau</v>
      </c>
      <c r="G34" s="87" t="str">
        <f>IF($A34="","",UPPER(TRIM(INDEX(FORM!$F:$F,ROW()))))</f>
        <v>LUAR PULAU</v>
      </c>
      <c r="H34" s="87" t="str">
        <f>IF($A34="","",UPPER(TRIM(INDEX(FORM!$E:$E,ROW()))))</f>
        <v>CRO</v>
      </c>
      <c r="I34" s="87" t="str">
        <f>IF($A34="","",UPPER(TRIM(INDEX(FORM!$G:$G,ROW()))))</f>
        <v>MUDAH</v>
      </c>
      <c r="J34" s="87" t="str">
        <f>IF($A34="","",IF(ISNUMBER(SEARCH("Ya,",INDEX(FORM!$H:$H,ROW()))),"YA",IF(ISNUMBER(SEARCH("Cukup,",INDEX(FORM!$H:$H,ROW()))),"CUKUP",IF(ISNUMBER(SEARCH("Kurang,",INDEX(FORM!$H:$H,ROW()))),"KURANG",""))))</f>
        <v>YA</v>
      </c>
      <c r="K34" s="87" t="str">
        <f>IF($A34="","",UPPER(TRIM(INDEX(FORM!$J:$J,ROW()))))</f>
        <v>MUDAH</v>
      </c>
      <c r="L34" s="87">
        <f>IF($A34="","",IF(ISNUMBER(SEARCH("Aktivitas Harian",INDEX(FORM!$K:$K,ROW()))),1,0))</f>
        <v>1</v>
      </c>
      <c r="M34" s="87">
        <f>IF($A34="","",IF(ISNUMBER(SEARCH("Aktivitas Mingguan",INDEX(FORM!$K:$K,ROW()))),1,0))</f>
        <v>0</v>
      </c>
      <c r="N34" s="87">
        <f>IF($A34="","",IF(ISNUMBER(SEARCH("Aktivitas Bulanan",INDEX(FORM!$K:$K,ROW()))),1,0))</f>
        <v>0</v>
      </c>
      <c r="O34" s="87">
        <f>IF($A34="","",IF(ISNUMBER(SEARCH("Overview Cabang",INDEX(FORM!$K:$K,ROW()))),1,0))</f>
        <v>0</v>
      </c>
      <c r="P34" s="87">
        <f>IF($A34="","",IFERROR(VLOOKUP(I34,DATA!$AH$9:$AI$13,2,0),""))</f>
        <v>3</v>
      </c>
      <c r="Q34" s="87">
        <f>IF($A34="","",IFERROR(VLOOKUP(J34,DATA!$AH$9:$AI$13,2,0),""))</f>
        <v>3</v>
      </c>
      <c r="R34" s="87">
        <f>IF($A34="","",IFERROR(VLOOKUP(K34,DATA!$AH$9:$AI$13,2,0),""))</f>
        <v>3</v>
      </c>
      <c r="S34" s="89">
        <f t="shared" si="0"/>
        <v>3</v>
      </c>
      <c r="T34" s="87">
        <f>IF($A34="","",IF(COUNTIF($D$2:D34,D34)=1,1,0))</f>
        <v>1</v>
      </c>
      <c r="U34" s="87" t="str">
        <f>IF($A34="","",IF(F34="-","Cabang tdk ada",IF(IFERROR(VLOOKUP(G34,#REF!,1,0),"")="","",IF(INDEX(DATA!$AH$2:$AH$5,MATCH(G34,DATA!$AI$2:$AI$5,0))&lt;&gt;F34,"Wilayah beda","OK"))))</f>
        <v/>
      </c>
      <c r="V34" s="87" t="str">
        <f>IF($A34="","",TRIM(INDEX(FORM!$I:$I,ROW())&amp;""))</f>
        <v>-</v>
      </c>
      <c r="W34" s="87" t="str">
        <f>IF($A34="","",TRIM(INDEX(FORM!$L:$L,ROW())&amp;""))</f>
        <v>-</v>
      </c>
      <c r="X34" s="87" t="str">
        <f>IF($A34="","",TRIM(INDEX(FORM!$M:$M,ROW())&amp;""))</f>
        <v>-</v>
      </c>
      <c r="Y34" s="8">
        <f>IF($A34="","",IFERROR(MATCH(F34,DATA!$AH$2:$AH$5,0),9)*10000+A34)</f>
        <v>40033</v>
      </c>
      <c r="Z34" s="87" t="str">
        <f t="shared" si="1"/>
        <v>Tidak ada masukan / sudah baik</v>
      </c>
      <c r="AA34" s="87" t="str">
        <f t="shared" si="2"/>
        <v>Tidak ada masukan / sudah baik</v>
      </c>
      <c r="AB34" s="87" t="str">
        <f t="shared" si="3"/>
        <v>Tidak ada masukan / sudah baik</v>
      </c>
      <c r="AC34" s="87"/>
      <c r="AD34" s="87"/>
      <c r="AE34" s="87"/>
      <c r="AK34" s="90">
        <f t="shared" si="4"/>
        <v>0</v>
      </c>
      <c r="AL34" s="90">
        <f t="shared" si="5"/>
        <v>0</v>
      </c>
      <c r="AM34" s="90">
        <f t="shared" si="6"/>
        <v>0</v>
      </c>
      <c r="AN34" s="90">
        <f t="shared" si="7"/>
        <v>0</v>
      </c>
      <c r="AO34" s="90">
        <f t="shared" si="8"/>
        <v>0</v>
      </c>
      <c r="AP34" s="90">
        <f t="shared" si="9"/>
        <v>0</v>
      </c>
      <c r="AQ34" s="90">
        <f t="shared" si="10"/>
        <v>0</v>
      </c>
      <c r="AR34" s="90">
        <f t="shared" si="11"/>
        <v>0</v>
      </c>
      <c r="AS34" s="90">
        <f t="shared" si="12"/>
        <v>0</v>
      </c>
      <c r="AT34" s="90">
        <f t="shared" si="13"/>
        <v>0</v>
      </c>
      <c r="AU34" s="90">
        <f t="shared" si="14"/>
        <v>0</v>
      </c>
      <c r="AV34" s="90">
        <f t="shared" si="15"/>
        <v>0</v>
      </c>
      <c r="AW34" s="90">
        <f t="shared" si="16"/>
        <v>0</v>
      </c>
      <c r="AX34" s="90">
        <f t="shared" si="17"/>
        <v>0</v>
      </c>
      <c r="AY34" s="90">
        <f t="shared" si="18"/>
        <v>0</v>
      </c>
      <c r="AZ34" s="90">
        <f t="shared" si="19"/>
        <v>0</v>
      </c>
      <c r="BA34" s="90">
        <f t="shared" si="20"/>
        <v>0</v>
      </c>
      <c r="BB34" s="90">
        <f t="shared" si="21"/>
        <v>0</v>
      </c>
    </row>
    <row r="35" spans="1:54" s="5" customFormat="1" hidden="1">
      <c r="A35" s="8">
        <f>IF(INDEX(FORM!$A:$A,ROW())="","",ROW()-1)</f>
        <v>34</v>
      </c>
      <c r="B35" s="41">
        <f>IF($A35="","",INDEX(FORM!$A:$A,ROW()))</f>
        <v>46308.691793715298</v>
      </c>
      <c r="C35" s="8" t="str">
        <f>IF($A35="","",TRIM(INDEX(FORM!$B:$B,ROW())))</f>
        <v>Indra Juniarto Kaban</v>
      </c>
      <c r="D35" s="8" t="str">
        <f>IF($A35="","",TRIM(INDEX(FORM!$C:$C,ROW())&amp;""))</f>
        <v>1511201</v>
      </c>
      <c r="E35" s="8" t="str">
        <f>IF($A35="","",UPPER(TRIM(INDEX(FORM!$D:$D,ROW()))))</f>
        <v>TABANAN</v>
      </c>
      <c r="F35" s="8" t="str">
        <f>IF($A35="","",IFERROR(INDEX(PROGRES!$A$2:$A$92,MATCH(E35,PROGRES!$B$2:$B$92,0)),"-"))</f>
        <v>Luar Pulau</v>
      </c>
      <c r="G35" s="8" t="str">
        <f>IF($A35="","",UPPER(TRIM(INDEX(FORM!$F:$F,ROW()))))</f>
        <v>LUAR PULAU</v>
      </c>
      <c r="H35" s="8" t="str">
        <f>IF($A35="","",UPPER(TRIM(INDEX(FORM!$E:$E,ROW()))))</f>
        <v>BAO</v>
      </c>
      <c r="I35" s="8" t="str">
        <f>IF($A35="","",UPPER(TRIM(INDEX(FORM!$G:$G,ROW()))))</f>
        <v>MUDAH</v>
      </c>
      <c r="J35" s="8" t="str">
        <f>IF($A35="","",IF(ISNUMBER(SEARCH("Ya,",INDEX(FORM!$H:$H,ROW()))),"YA",IF(ISNUMBER(SEARCH("Cukup,",INDEX(FORM!$H:$H,ROW()))),"CUKUP",IF(ISNUMBER(SEARCH("Kurang,",INDEX(FORM!$H:$H,ROW()))),"KURANG",""))))</f>
        <v>YA</v>
      </c>
      <c r="K35" s="8" t="str">
        <f>IF($A35="","",UPPER(TRIM(INDEX(FORM!$J:$J,ROW()))))</f>
        <v>CUKUP</v>
      </c>
      <c r="L35" s="8">
        <f>IF($A35="","",IF(ISNUMBER(SEARCH("Aktivitas Harian",INDEX(FORM!$K:$K,ROW()))),1,0))</f>
        <v>1</v>
      </c>
      <c r="M35" s="8">
        <f>IF($A35="","",IF(ISNUMBER(SEARCH("Aktivitas Mingguan",INDEX(FORM!$K:$K,ROW()))),1,0))</f>
        <v>0</v>
      </c>
      <c r="N35" s="8">
        <f>IF($A35="","",IF(ISNUMBER(SEARCH("Aktivitas Bulanan",INDEX(FORM!$K:$K,ROW()))),1,0))</f>
        <v>0</v>
      </c>
      <c r="O35" s="8">
        <f>IF($A35="","",IF(ISNUMBER(SEARCH("Overview Cabang",INDEX(FORM!$K:$K,ROW()))),1,0))</f>
        <v>0</v>
      </c>
      <c r="P35" s="8">
        <f>IF($A35="","",IFERROR(VLOOKUP(I35,DATA!$AH$9:$AI$13,2,0),""))</f>
        <v>3</v>
      </c>
      <c r="Q35" s="8">
        <f>IF($A35="","",IFERROR(VLOOKUP(J35,DATA!$AH$9:$AI$13,2,0),""))</f>
        <v>3</v>
      </c>
      <c r="R35" s="8">
        <f>IF($A35="","",IFERROR(VLOOKUP(K35,DATA!$AH$9:$AI$13,2,0),""))</f>
        <v>2</v>
      </c>
      <c r="S35" s="42">
        <f t="shared" si="0"/>
        <v>2.6666666666666665</v>
      </c>
      <c r="T35" s="8">
        <f>IF($A35="","",IF(COUNTIF($D$2:D35,D35)=1,1,0))</f>
        <v>1</v>
      </c>
      <c r="U35" s="8" t="str">
        <f>IF($A35="","",IF(F35="-","Cabang tdk ada",IF(IFERROR(VLOOKUP(G35,#REF!,1,0),"")="","",IF(INDEX(DATA!$AH$2:$AH$5,MATCH(G35,DATA!$AI$2:$AI$5,0))&lt;&gt;F35,"Wilayah beda","OK"))))</f>
        <v/>
      </c>
      <c r="V35" s="8" t="str">
        <f>IF($A35="","",TRIM(INDEX(FORM!$I:$I,ROW())&amp;""))</f>
        <v>Cukup</v>
      </c>
      <c r="W35" s="8" t="str">
        <f>IF($A35="","",TRIM(INDEX(FORM!$L:$L,ROW())&amp;""))</f>
        <v>Tidak</v>
      </c>
      <c r="X35" s="8" t="str">
        <f>IF($A35="","",TRIM(INDEX(FORM!$M:$M,ROW())&amp;""))</f>
        <v>Cukup</v>
      </c>
      <c r="Y35" s="8">
        <f>IF($A35="","",IFERROR(MATCH(F35,DATA!$AH$2:$AH$5,0),9)*10000+A35)</f>
        <v>40034</v>
      </c>
      <c r="Z35" s="8" t="str">
        <f t="shared" si="1"/>
        <v>Tidak ada masukan / sudah baik</v>
      </c>
      <c r="AA35" s="8" t="str">
        <f t="shared" si="2"/>
        <v>Tidak ada masukan / sudah baik</v>
      </c>
      <c r="AB35" s="8" t="str">
        <f t="shared" si="3"/>
        <v>Tidak ada masukan / sudah baik</v>
      </c>
      <c r="AC35" s="8"/>
      <c r="AD35" s="8"/>
      <c r="AE35" s="8"/>
      <c r="AK35" s="5">
        <f t="shared" si="4"/>
        <v>0</v>
      </c>
      <c r="AL35" s="5">
        <f t="shared" si="5"/>
        <v>0</v>
      </c>
      <c r="AM35" s="5">
        <f t="shared" si="6"/>
        <v>0</v>
      </c>
      <c r="AN35" s="5">
        <f t="shared" si="7"/>
        <v>0</v>
      </c>
      <c r="AO35" s="5">
        <f t="shared" si="8"/>
        <v>0</v>
      </c>
      <c r="AP35" s="5">
        <f t="shared" si="9"/>
        <v>0</v>
      </c>
      <c r="AQ35" s="5">
        <f t="shared" si="10"/>
        <v>0</v>
      </c>
      <c r="AR35" s="5">
        <f t="shared" si="11"/>
        <v>0</v>
      </c>
      <c r="AS35" s="5">
        <f t="shared" si="12"/>
        <v>0</v>
      </c>
      <c r="AT35" s="5">
        <f t="shared" si="13"/>
        <v>0</v>
      </c>
      <c r="AU35" s="5">
        <f t="shared" si="14"/>
        <v>0</v>
      </c>
      <c r="AV35" s="5">
        <f t="shared" si="15"/>
        <v>0</v>
      </c>
      <c r="AW35" s="5">
        <f t="shared" si="16"/>
        <v>0</v>
      </c>
      <c r="AX35" s="5">
        <f t="shared" si="17"/>
        <v>0</v>
      </c>
      <c r="AY35" s="5">
        <f t="shared" si="18"/>
        <v>0</v>
      </c>
      <c r="AZ35" s="5">
        <f t="shared" si="19"/>
        <v>0</v>
      </c>
      <c r="BA35" s="5">
        <f t="shared" si="20"/>
        <v>0</v>
      </c>
      <c r="BB35" s="5">
        <f t="shared" si="21"/>
        <v>0</v>
      </c>
    </row>
    <row r="36" spans="1:54" s="5" customFormat="1" hidden="1">
      <c r="A36" s="8">
        <f>IF(INDEX(FORM!$A:$A,ROW())="","",ROW()-1)</f>
        <v>35</v>
      </c>
      <c r="B36" s="41">
        <f>IF($A36="","",INDEX(FORM!$A:$A,ROW()))</f>
        <v>46308.691811377299</v>
      </c>
      <c r="C36" s="8" t="str">
        <f>IF($A36="","",TRIM(INDEX(FORM!$B:$B,ROW())))</f>
        <v>TITO ABDILLA</v>
      </c>
      <c r="D36" s="8" t="str">
        <f>IF($A36="","",TRIM(INDEX(FORM!$C:$C,ROW())&amp;""))</f>
        <v>1510555</v>
      </c>
      <c r="E36" s="8" t="str">
        <f>IF($A36="","",UPPER(TRIM(INDEX(FORM!$D:$D,ROW()))))</f>
        <v>SLEMAN</v>
      </c>
      <c r="F36" s="8" t="str">
        <f>IF($A36="","",IFERROR(INDEX(PROGRES!$A$2:$A$92,MATCH(E36,PROGRES!$B$2:$B$92,0)),"-"))</f>
        <v>Jawa Tengah</v>
      </c>
      <c r="G36" s="8" t="str">
        <f>IF($A36="","",UPPER(TRIM(INDEX(FORM!$F:$F,ROW()))))</f>
        <v>JATENG DIY</v>
      </c>
      <c r="H36" s="8" t="str">
        <f>IF($A36="","",UPPER(TRIM(INDEX(FORM!$E:$E,ROW()))))</f>
        <v>BAO</v>
      </c>
      <c r="I36" s="8" t="str">
        <f>IF($A36="","",UPPER(TRIM(INDEX(FORM!$G:$G,ROW()))))</f>
        <v>CUKUP</v>
      </c>
      <c r="J36" s="8" t="str">
        <f>IF($A36="","",IF(ISNUMBER(SEARCH("Ya,",INDEX(FORM!$H:$H,ROW()))),"YA",IF(ISNUMBER(SEARCH("Cukup,",INDEX(FORM!$H:$H,ROW()))),"CUKUP",IF(ISNUMBER(SEARCH("Kurang,",INDEX(FORM!$H:$H,ROW()))),"KURANG",""))))</f>
        <v>CUKUP</v>
      </c>
      <c r="K36" s="8" t="str">
        <f>IF($A36="","",UPPER(TRIM(INDEX(FORM!$J:$J,ROW()))))</f>
        <v>CUKUP</v>
      </c>
      <c r="L36" s="8">
        <f>IF($A36="","",IF(ISNUMBER(SEARCH("Aktivitas Harian",INDEX(FORM!$K:$K,ROW()))),1,0))</f>
        <v>1</v>
      </c>
      <c r="M36" s="8">
        <f>IF($A36="","",IF(ISNUMBER(SEARCH("Aktivitas Mingguan",INDEX(FORM!$K:$K,ROW()))),1,0))</f>
        <v>1</v>
      </c>
      <c r="N36" s="8">
        <f>IF($A36="","",IF(ISNUMBER(SEARCH("Aktivitas Bulanan",INDEX(FORM!$K:$K,ROW()))),1,0))</f>
        <v>1</v>
      </c>
      <c r="O36" s="8">
        <f>IF($A36="","",IF(ISNUMBER(SEARCH("Overview Cabang",INDEX(FORM!$K:$K,ROW()))),1,0))</f>
        <v>0</v>
      </c>
      <c r="P36" s="8">
        <f>IF($A36="","",IFERROR(VLOOKUP(I36,DATA!$AH$9:$AI$13,2,0),""))</f>
        <v>2</v>
      </c>
      <c r="Q36" s="8">
        <f>IF($A36="","",IFERROR(VLOOKUP(J36,DATA!$AH$9:$AI$13,2,0),""))</f>
        <v>2</v>
      </c>
      <c r="R36" s="8">
        <f>IF($A36="","",IFERROR(VLOOKUP(K36,DATA!$AH$9:$AI$13,2,0),""))</f>
        <v>2</v>
      </c>
      <c r="S36" s="42">
        <f t="shared" si="0"/>
        <v>2</v>
      </c>
      <c r="T36" s="8">
        <f>IF($A36="","",IF(COUNTIF($D$2:D36,D36)=1,1,0))</f>
        <v>1</v>
      </c>
      <c r="U36" s="8" t="str">
        <f>IF($A36="","",IF(F36="-","Cabang tdk ada",IF(IFERROR(VLOOKUP(G36,#REF!,1,0),"")="","",IF(INDEX(DATA!$AH$2:$AH$5,MATCH(G36,DATA!$AI$2:$AI$5,0))&lt;&gt;F36,"Wilayah beda","OK"))))</f>
        <v/>
      </c>
      <c r="V36" s="8" t="str">
        <f>IF($A36="","",TRIM(INDEX(FORM!$I:$I,ROW())&amp;""))</f>
        <v>-</v>
      </c>
      <c r="W36" s="8" t="str">
        <f>IF($A36="","",TRIM(INDEX(FORM!$L:$L,ROW())&amp;""))</f>
        <v>-</v>
      </c>
      <c r="X36" s="8" t="str">
        <f>IF($A36="","",TRIM(INDEX(FORM!$M:$M,ROW())&amp;""))</f>
        <v>-</v>
      </c>
      <c r="Y36" s="8">
        <f>IF($A36="","",IFERROR(MATCH(F36,DATA!$AH$2:$AH$5,0),9)*10000+A36)</f>
        <v>20035</v>
      </c>
      <c r="Z36" s="8" t="str">
        <f t="shared" si="1"/>
        <v>Tidak ada masukan / sudah baik</v>
      </c>
      <c r="AA36" s="8" t="str">
        <f t="shared" si="2"/>
        <v>Tidak ada masukan / sudah baik</v>
      </c>
      <c r="AB36" s="8" t="str">
        <f t="shared" si="3"/>
        <v>Tidak ada masukan / sudah baik</v>
      </c>
      <c r="AC36" s="8"/>
      <c r="AD36" s="8"/>
      <c r="AE36" s="8"/>
      <c r="AK36" s="5">
        <f t="shared" si="4"/>
        <v>0</v>
      </c>
      <c r="AL36" s="5">
        <f t="shared" si="5"/>
        <v>0</v>
      </c>
      <c r="AM36" s="5">
        <f t="shared" si="6"/>
        <v>0</v>
      </c>
      <c r="AN36" s="5">
        <f t="shared" si="7"/>
        <v>0</v>
      </c>
      <c r="AO36" s="5">
        <f t="shared" si="8"/>
        <v>0</v>
      </c>
      <c r="AP36" s="5">
        <f t="shared" si="9"/>
        <v>0</v>
      </c>
      <c r="AQ36" s="5">
        <f t="shared" si="10"/>
        <v>0</v>
      </c>
      <c r="AR36" s="5">
        <f t="shared" si="11"/>
        <v>0</v>
      </c>
      <c r="AS36" s="5">
        <f t="shared" si="12"/>
        <v>0</v>
      </c>
      <c r="AT36" s="5">
        <f t="shared" si="13"/>
        <v>0</v>
      </c>
      <c r="AU36" s="5">
        <f t="shared" si="14"/>
        <v>0</v>
      </c>
      <c r="AV36" s="5">
        <f t="shared" si="15"/>
        <v>0</v>
      </c>
      <c r="AW36" s="5">
        <f t="shared" si="16"/>
        <v>0</v>
      </c>
      <c r="AX36" s="5">
        <f t="shared" si="17"/>
        <v>0</v>
      </c>
      <c r="AY36" s="5">
        <f t="shared" si="18"/>
        <v>0</v>
      </c>
      <c r="AZ36" s="5">
        <f t="shared" si="19"/>
        <v>0</v>
      </c>
      <c r="BA36" s="5">
        <f t="shared" si="20"/>
        <v>0</v>
      </c>
      <c r="BB36" s="5">
        <f t="shared" si="21"/>
        <v>0</v>
      </c>
    </row>
    <row r="37" spans="1:54">
      <c r="A37" s="87">
        <f>IF(INDEX(FORM!$A:$A,ROW())="","",ROW()-1)</f>
        <v>36</v>
      </c>
      <c r="B37" s="88">
        <f>IF($A37="","",INDEX(FORM!$A:$A,ROW()))</f>
        <v>46308.692372129597</v>
      </c>
      <c r="C37" s="87" t="str">
        <f>IF($A37="","",TRIM(INDEX(FORM!$B:$B,ROW())))</f>
        <v>Miftahul Hidayat</v>
      </c>
      <c r="D37" s="87" t="str">
        <f>IF($A37="","",TRIM(INDEX(FORM!$C:$C,ROW())&amp;""))</f>
        <v>1510683</v>
      </c>
      <c r="E37" s="87" t="str">
        <f>IF($A37="","",UPPER(TRIM(INDEX(FORM!$D:$D,ROW()))))</f>
        <v>SAMARINDA</v>
      </c>
      <c r="F37" s="87" t="str">
        <f>IF($A37="","",IFERROR(INDEX(PROGRES!$A$2:$A$92,MATCH(E37,PROGRES!$B$2:$B$92,0)),"-"))</f>
        <v>Luar Pulau</v>
      </c>
      <c r="G37" s="87" t="str">
        <f>IF($A37="","",UPPER(TRIM(INDEX(FORM!$F:$F,ROW()))))</f>
        <v>LUAR PULAU</v>
      </c>
      <c r="H37" s="87" t="str">
        <f>IF($A37="","",UPPER(TRIM(INDEX(FORM!$E:$E,ROW()))))</f>
        <v>CRO</v>
      </c>
      <c r="I37" s="87" t="str">
        <f>IF($A37="","",UPPER(TRIM(INDEX(FORM!$G:$G,ROW()))))</f>
        <v>CUKUP</v>
      </c>
      <c r="J37" s="87" t="str">
        <f>IF($A37="","",IF(ISNUMBER(SEARCH("Ya,",INDEX(FORM!$H:$H,ROW()))),"YA",IF(ISNUMBER(SEARCH("Cukup,",INDEX(FORM!$H:$H,ROW()))),"CUKUP",IF(ISNUMBER(SEARCH("Kurang,",INDEX(FORM!$H:$H,ROW()))),"KURANG",""))))</f>
        <v>CUKUP</v>
      </c>
      <c r="K37" s="87" t="str">
        <f>IF($A37="","",UPPER(TRIM(INDEX(FORM!$J:$J,ROW()))))</f>
        <v>CUKUP</v>
      </c>
      <c r="L37" s="87">
        <f>IF($A37="","",IF(ISNUMBER(SEARCH("Aktivitas Harian",INDEX(FORM!$K:$K,ROW()))),1,0))</f>
        <v>0</v>
      </c>
      <c r="M37" s="87">
        <f>IF($A37="","",IF(ISNUMBER(SEARCH("Aktivitas Mingguan",INDEX(FORM!$K:$K,ROW()))),1,0))</f>
        <v>1</v>
      </c>
      <c r="N37" s="87">
        <f>IF($A37="","",IF(ISNUMBER(SEARCH("Aktivitas Bulanan",INDEX(FORM!$K:$K,ROW()))),1,0))</f>
        <v>0</v>
      </c>
      <c r="O37" s="87">
        <f>IF($A37="","",IF(ISNUMBER(SEARCH("Overview Cabang",INDEX(FORM!$K:$K,ROW()))),1,0))</f>
        <v>0</v>
      </c>
      <c r="P37" s="87">
        <f>IF($A37="","",IFERROR(VLOOKUP(I37,DATA!$AH$9:$AI$13,2,0),""))</f>
        <v>2</v>
      </c>
      <c r="Q37" s="87">
        <f>IF($A37="","",IFERROR(VLOOKUP(J37,DATA!$AH$9:$AI$13,2,0),""))</f>
        <v>2</v>
      </c>
      <c r="R37" s="87">
        <f>IF($A37="","",IFERROR(VLOOKUP(K37,DATA!$AH$9:$AI$13,2,0),""))</f>
        <v>2</v>
      </c>
      <c r="S37" s="89">
        <f t="shared" si="0"/>
        <v>2</v>
      </c>
      <c r="T37" s="87">
        <f>IF($A37="","",IF(COUNTIF($D$2:D37,D37)=1,1,0))</f>
        <v>1</v>
      </c>
      <c r="U37" s="87" t="str">
        <f>IF($A37="","",IF(F37="-","Cabang tdk ada",IF(IFERROR(VLOOKUP(G37,#REF!,1,0),"")="","",IF(INDEX(DATA!$AH$2:$AH$5,MATCH(G37,DATA!$AI$2:$AI$5,0))&lt;&gt;F37,"Wilayah beda","OK"))))</f>
        <v/>
      </c>
      <c r="V37" s="87" t="str">
        <f>IF($A37="","",TRIM(INDEX(FORM!$I:$I,ROW())&amp;""))</f>
        <v>Tidak ada</v>
      </c>
      <c r="W37" s="87" t="str">
        <f>IF($A37="","",TRIM(INDEX(FORM!$L:$L,ROW())&amp;""))</f>
        <v>Tidak ada</v>
      </c>
      <c r="X37" s="87" t="str">
        <f>IF($A37="","",TRIM(INDEX(FORM!$M:$M,ROW())&amp;""))</f>
        <v>Cukup Membantu</v>
      </c>
      <c r="Y37" s="8">
        <f>IF($A37="","",IFERROR(MATCH(F37,DATA!$AH$2:$AH$5,0),9)*10000+A37)</f>
        <v>40036</v>
      </c>
      <c r="Z37" s="87" t="str">
        <f t="shared" si="1"/>
        <v>Tidak ada masukan / sudah baik</v>
      </c>
      <c r="AA37" s="87" t="str">
        <f t="shared" si="2"/>
        <v>Tidak ada masukan / sudah baik</v>
      </c>
      <c r="AB37" s="87" t="str">
        <f t="shared" si="3"/>
        <v>Tidak ada masukan / sudah baik</v>
      </c>
      <c r="AC37" s="87"/>
      <c r="AD37" s="87"/>
      <c r="AE37" s="87"/>
      <c r="AK37" s="90">
        <f t="shared" si="4"/>
        <v>0</v>
      </c>
      <c r="AL37" s="90">
        <f t="shared" si="5"/>
        <v>0</v>
      </c>
      <c r="AM37" s="90">
        <f t="shared" si="6"/>
        <v>0</v>
      </c>
      <c r="AN37" s="90">
        <f t="shared" si="7"/>
        <v>0</v>
      </c>
      <c r="AO37" s="90">
        <f t="shared" si="8"/>
        <v>0</v>
      </c>
      <c r="AP37" s="90">
        <f t="shared" si="9"/>
        <v>0</v>
      </c>
      <c r="AQ37" s="90">
        <f t="shared" si="10"/>
        <v>0</v>
      </c>
      <c r="AR37" s="90">
        <f t="shared" si="11"/>
        <v>0</v>
      </c>
      <c r="AS37" s="90">
        <f t="shared" si="12"/>
        <v>0</v>
      </c>
      <c r="AT37" s="90">
        <f t="shared" si="13"/>
        <v>0</v>
      </c>
      <c r="AU37" s="90">
        <f t="shared" si="14"/>
        <v>0</v>
      </c>
      <c r="AV37" s="90">
        <f t="shared" si="15"/>
        <v>0</v>
      </c>
      <c r="AW37" s="90">
        <f t="shared" si="16"/>
        <v>0</v>
      </c>
      <c r="AX37" s="90">
        <f t="shared" si="17"/>
        <v>0</v>
      </c>
      <c r="AY37" s="90">
        <f t="shared" si="18"/>
        <v>0</v>
      </c>
      <c r="AZ37" s="90">
        <f t="shared" si="19"/>
        <v>0</v>
      </c>
      <c r="BA37" s="90">
        <f t="shared" si="20"/>
        <v>0</v>
      </c>
      <c r="BB37" s="90">
        <f t="shared" si="21"/>
        <v>0</v>
      </c>
    </row>
    <row r="38" spans="1:54">
      <c r="A38" s="87">
        <f>IF(INDEX(FORM!$A:$A,ROW())="","",ROW()-1)</f>
        <v>37</v>
      </c>
      <c r="B38" s="88">
        <f>IF($A38="","",INDEX(FORM!$A:$A,ROW()))</f>
        <v>46308.692807303203</v>
      </c>
      <c r="C38" s="87" t="str">
        <f>IF($A38="","",TRIM(INDEX(FORM!$B:$B,ROW())))</f>
        <v>wahyu ari setiawan</v>
      </c>
      <c r="D38" s="87" t="str">
        <f>IF($A38="","",TRIM(INDEX(FORM!$C:$C,ROW())&amp;""))</f>
        <v>1510541</v>
      </c>
      <c r="E38" s="87" t="str">
        <f>IF($A38="","",UPPER(TRIM(INDEX(FORM!$D:$D,ROW()))))</f>
        <v>SLEMAN</v>
      </c>
      <c r="F38" s="87" t="str">
        <f>IF($A38="","",IFERROR(INDEX(PROGRES!$A$2:$A$92,MATCH(E38,PROGRES!$B$2:$B$92,0)),"-"))</f>
        <v>Jawa Tengah</v>
      </c>
      <c r="G38" s="87" t="str">
        <f>IF($A38="","",UPPER(TRIM(INDEX(FORM!$F:$F,ROW()))))</f>
        <v>JATENG DIY</v>
      </c>
      <c r="H38" s="87" t="str">
        <f>IF($A38="","",UPPER(TRIM(INDEX(FORM!$E:$E,ROW()))))</f>
        <v>CRO</v>
      </c>
      <c r="I38" s="87" t="str">
        <f>IF($A38="","",UPPER(TRIM(INDEX(FORM!$G:$G,ROW()))))</f>
        <v>CUKUP</v>
      </c>
      <c r="J38" s="87" t="str">
        <f>IF($A38="","",IF(ISNUMBER(SEARCH("Ya,",INDEX(FORM!$H:$H,ROW()))),"YA",IF(ISNUMBER(SEARCH("Cukup,",INDEX(FORM!$H:$H,ROW()))),"CUKUP",IF(ISNUMBER(SEARCH("Kurang,",INDEX(FORM!$H:$H,ROW()))),"KURANG",""))))</f>
        <v>CUKUP</v>
      </c>
      <c r="K38" s="87" t="str">
        <f>IF($A38="","",UPPER(TRIM(INDEX(FORM!$J:$J,ROW()))))</f>
        <v>CUKUP</v>
      </c>
      <c r="L38" s="87">
        <f>IF($A38="","",IF(ISNUMBER(SEARCH("Aktivitas Harian",INDEX(FORM!$K:$K,ROW()))),1,0))</f>
        <v>1</v>
      </c>
      <c r="M38" s="87">
        <f>IF($A38="","",IF(ISNUMBER(SEARCH("Aktivitas Mingguan",INDEX(FORM!$K:$K,ROW()))),1,0))</f>
        <v>0</v>
      </c>
      <c r="N38" s="87">
        <f>IF($A38="","",IF(ISNUMBER(SEARCH("Aktivitas Bulanan",INDEX(FORM!$K:$K,ROW()))),1,0))</f>
        <v>0</v>
      </c>
      <c r="O38" s="87">
        <f>IF($A38="","",IF(ISNUMBER(SEARCH("Overview Cabang",INDEX(FORM!$K:$K,ROW()))),1,0))</f>
        <v>0</v>
      </c>
      <c r="P38" s="87">
        <f>IF($A38="","",IFERROR(VLOOKUP(I38,DATA!$AH$9:$AI$13,2,0),""))</f>
        <v>2</v>
      </c>
      <c r="Q38" s="87">
        <f>IF($A38="","",IFERROR(VLOOKUP(J38,DATA!$AH$9:$AI$13,2,0),""))</f>
        <v>2</v>
      </c>
      <c r="R38" s="87">
        <f>IF($A38="","",IFERROR(VLOOKUP(K38,DATA!$AH$9:$AI$13,2,0),""))</f>
        <v>2</v>
      </c>
      <c r="S38" s="89">
        <f t="shared" si="0"/>
        <v>2</v>
      </c>
      <c r="T38" s="87">
        <f>IF($A38="","",IF(COUNTIF($D$2:D38,D38)=1,1,0))</f>
        <v>1</v>
      </c>
      <c r="U38" s="87" t="str">
        <f>IF($A38="","",IF(F38="-","Cabang tdk ada",IF(IFERROR(VLOOKUP(G38,#REF!,1,0),"")="","",IF(INDEX(DATA!$AH$2:$AH$5,MATCH(G38,DATA!$AI$2:$AI$5,0))&lt;&gt;F38,"Wilayah beda","OK"))))</f>
        <v/>
      </c>
      <c r="V38" s="87" t="str">
        <f>IF($A38="","",TRIM(INDEX(FORM!$I:$I,ROW())&amp;""))</f>
        <v xml:space="preserve">perlu penikatan lai .. apalagi kalau di pakai di area persawahan pas eroro 
</v>
      </c>
      <c r="W38" s="87" t="str">
        <f>IF($A38="","",TRIM(INDEX(FORM!$L:$L,ROW())&amp;""))</f>
        <v>-</v>
      </c>
      <c r="X38" s="87" t="str">
        <f>IF($A38="","",TRIM(INDEX(FORM!$M:$M,ROW())&amp;""))</f>
        <v>-</v>
      </c>
      <c r="Y38" s="8">
        <f>IF($A38="","",IFERROR(MATCH(F38,DATA!$AH$2:$AH$5,0),9)*10000+A38)</f>
        <v>20037</v>
      </c>
      <c r="Z38" s="87" t="str">
        <f t="shared" si="1"/>
        <v>Kecepatan &amp; Loading Website</v>
      </c>
      <c r="AA38" s="87" t="str">
        <f t="shared" si="2"/>
        <v>Tidak ada masukan / sudah baik</v>
      </c>
      <c r="AB38" s="87" t="str">
        <f t="shared" si="3"/>
        <v>Tidak ada masukan / sudah baik</v>
      </c>
      <c r="AC38" s="87"/>
      <c r="AD38" s="87"/>
      <c r="AE38" s="87"/>
      <c r="AK38" s="90">
        <f t="shared" si="4"/>
        <v>1</v>
      </c>
      <c r="AL38" s="90">
        <f t="shared" si="5"/>
        <v>0</v>
      </c>
      <c r="AM38" s="90">
        <f t="shared" si="6"/>
        <v>0</v>
      </c>
      <c r="AN38" s="90">
        <f t="shared" si="7"/>
        <v>0</v>
      </c>
      <c r="AO38" s="90">
        <f t="shared" si="8"/>
        <v>0</v>
      </c>
      <c r="AP38" s="90">
        <f t="shared" si="9"/>
        <v>0</v>
      </c>
      <c r="AQ38" s="90">
        <f t="shared" si="10"/>
        <v>0</v>
      </c>
      <c r="AR38" s="90">
        <f t="shared" si="11"/>
        <v>0</v>
      </c>
      <c r="AS38" s="90">
        <f t="shared" si="12"/>
        <v>0</v>
      </c>
      <c r="AT38" s="90">
        <f t="shared" si="13"/>
        <v>0</v>
      </c>
      <c r="AU38" s="90">
        <f t="shared" si="14"/>
        <v>0</v>
      </c>
      <c r="AV38" s="90">
        <f t="shared" si="15"/>
        <v>0</v>
      </c>
      <c r="AW38" s="90">
        <f t="shared" si="16"/>
        <v>0</v>
      </c>
      <c r="AX38" s="90">
        <f t="shared" si="17"/>
        <v>0</v>
      </c>
      <c r="AY38" s="90">
        <f t="shared" si="18"/>
        <v>0</v>
      </c>
      <c r="AZ38" s="90">
        <f t="shared" si="19"/>
        <v>0</v>
      </c>
      <c r="BA38" s="90">
        <f t="shared" si="20"/>
        <v>0</v>
      </c>
      <c r="BB38" s="90">
        <f t="shared" si="21"/>
        <v>1</v>
      </c>
    </row>
    <row r="39" spans="1:54">
      <c r="A39" s="87">
        <f>IF(INDEX(FORM!$A:$A,ROW())="","",ROW()-1)</f>
        <v>38</v>
      </c>
      <c r="B39" s="88">
        <f>IF($A39="","",INDEX(FORM!$A:$A,ROW()))</f>
        <v>46308.693428807899</v>
      </c>
      <c r="C39" s="87" t="str">
        <f>IF($A39="","",TRIM(INDEX(FORM!$B:$B,ROW())))</f>
        <v>Habib surya</v>
      </c>
      <c r="D39" s="87" t="str">
        <f>IF($A39="","",TRIM(INDEX(FORM!$C:$C,ROW())&amp;""))</f>
        <v>1510687</v>
      </c>
      <c r="E39" s="87" t="str">
        <f>IF($A39="","",UPPER(TRIM(INDEX(FORM!$D:$D,ROW()))))</f>
        <v>BOGOR</v>
      </c>
      <c r="F39" s="87" t="str">
        <f>IF($A39="","",IFERROR(INDEX(PROGRES!$A$2:$A$92,MATCH(E39,PROGRES!$B$2:$B$92,0)),"-"))</f>
        <v>Jawa Barat</v>
      </c>
      <c r="G39" s="87" t="str">
        <f>IF($A39="","",UPPER(TRIM(INDEX(FORM!$F:$F,ROW()))))</f>
        <v>JABAR DKI BANTEN</v>
      </c>
      <c r="H39" s="87" t="str">
        <f>IF($A39="","",UPPER(TRIM(INDEX(FORM!$E:$E,ROW()))))</f>
        <v>CRO</v>
      </c>
      <c r="I39" s="87" t="str">
        <f>IF($A39="","",UPPER(TRIM(INDEX(FORM!$G:$G,ROW()))))</f>
        <v>MUDAH</v>
      </c>
      <c r="J39" s="87" t="str">
        <f>IF($A39="","",IF(ISNUMBER(SEARCH("Ya,",INDEX(FORM!$H:$H,ROW()))),"YA",IF(ISNUMBER(SEARCH("Cukup,",INDEX(FORM!$H:$H,ROW()))),"CUKUP",IF(ISNUMBER(SEARCH("Kurang,",INDEX(FORM!$H:$H,ROW()))),"KURANG",""))))</f>
        <v>YA</v>
      </c>
      <c r="K39" s="87" t="str">
        <f>IF($A39="","",UPPER(TRIM(INDEX(FORM!$J:$J,ROW()))))</f>
        <v>MUDAH</v>
      </c>
      <c r="L39" s="87">
        <f>IF($A39="","",IF(ISNUMBER(SEARCH("Aktivitas Harian",INDEX(FORM!$K:$K,ROW()))),1,0))</f>
        <v>1</v>
      </c>
      <c r="M39" s="87">
        <f>IF($A39="","",IF(ISNUMBER(SEARCH("Aktivitas Mingguan",INDEX(FORM!$K:$K,ROW()))),1,0))</f>
        <v>1</v>
      </c>
      <c r="N39" s="87">
        <f>IF($A39="","",IF(ISNUMBER(SEARCH("Aktivitas Bulanan",INDEX(FORM!$K:$K,ROW()))),1,0))</f>
        <v>1</v>
      </c>
      <c r="O39" s="87">
        <f>IF($A39="","",IF(ISNUMBER(SEARCH("Overview Cabang",INDEX(FORM!$K:$K,ROW()))),1,0))</f>
        <v>1</v>
      </c>
      <c r="P39" s="87">
        <f>IF($A39="","",IFERROR(VLOOKUP(I39,DATA!$AH$9:$AI$13,2,0),""))</f>
        <v>3</v>
      </c>
      <c r="Q39" s="87">
        <f>IF($A39="","",IFERROR(VLOOKUP(J39,DATA!$AH$9:$AI$13,2,0),""))</f>
        <v>3</v>
      </c>
      <c r="R39" s="87">
        <f>IF($A39="","",IFERROR(VLOOKUP(K39,DATA!$AH$9:$AI$13,2,0),""))</f>
        <v>3</v>
      </c>
      <c r="S39" s="89">
        <f t="shared" si="0"/>
        <v>3</v>
      </c>
      <c r="T39" s="87">
        <f>IF($A39="","",IF(COUNTIF($D$2:D39,D39)=1,1,0))</f>
        <v>1</v>
      </c>
      <c r="U39" s="87" t="str">
        <f>IF($A39="","",IF(F39="-","Cabang tdk ada",IF(IFERROR(VLOOKUP(G39,#REF!,1,0),"")="","",IF(INDEX(DATA!$AH$2:$AH$5,MATCH(G39,DATA!$AI$2:$AI$5,0))&lt;&gt;F39,"Wilayah beda","OK"))))</f>
        <v/>
      </c>
      <c r="V39" s="87" t="str">
        <f>IF($A39="","",TRIM(INDEX(FORM!$I:$I,ROW())&amp;""))</f>
        <v>Kembangkan dan maksimalkan dan buat QnA tentang SACS</v>
      </c>
      <c r="W39" s="87" t="str">
        <f>IF($A39="","",TRIM(INDEX(FORM!$L:$L,ROW())&amp;""))</f>
        <v>Sudah cukup</v>
      </c>
      <c r="X39" s="87" t="str">
        <f>IF($A39="","",TRIM(INDEX(FORM!$M:$M,ROW())&amp;""))</f>
        <v>Cukup baik</v>
      </c>
      <c r="Y39" s="8">
        <f>IF($A39="","",IFERROR(MATCH(F39,DATA!$AH$2:$AH$5,0),9)*10000+A39)</f>
        <v>10038</v>
      </c>
      <c r="Z39" s="87" t="str">
        <f t="shared" si="1"/>
        <v>Integrasi dengan SACS / Aplikasi</v>
      </c>
      <c r="AA39" s="87" t="str">
        <f t="shared" si="2"/>
        <v>Tidak ada masukan / sudah baik</v>
      </c>
      <c r="AB39" s="87" t="str">
        <f t="shared" si="3"/>
        <v>Tidak ada masukan / sudah baik</v>
      </c>
      <c r="AC39" s="87"/>
      <c r="AD39" s="87"/>
      <c r="AE39" s="87"/>
      <c r="AK39" s="90">
        <f t="shared" si="4"/>
        <v>0</v>
      </c>
      <c r="AL39" s="90">
        <f t="shared" si="5"/>
        <v>0</v>
      </c>
      <c r="AM39" s="90">
        <f t="shared" si="6"/>
        <v>0</v>
      </c>
      <c r="AN39" s="90">
        <f t="shared" si="7"/>
        <v>0</v>
      </c>
      <c r="AO39" s="90">
        <f t="shared" si="8"/>
        <v>1</v>
      </c>
      <c r="AP39" s="90">
        <f t="shared" si="9"/>
        <v>0</v>
      </c>
      <c r="AQ39" s="90">
        <f t="shared" si="10"/>
        <v>0</v>
      </c>
      <c r="AR39" s="90">
        <f t="shared" si="11"/>
        <v>0</v>
      </c>
      <c r="AS39" s="90">
        <f t="shared" si="12"/>
        <v>0</v>
      </c>
      <c r="AT39" s="90">
        <f t="shared" si="13"/>
        <v>0</v>
      </c>
      <c r="AU39" s="90">
        <f t="shared" si="14"/>
        <v>0</v>
      </c>
      <c r="AV39" s="90">
        <f t="shared" si="15"/>
        <v>0</v>
      </c>
      <c r="AW39" s="90">
        <f t="shared" si="16"/>
        <v>0</v>
      </c>
      <c r="AX39" s="90">
        <f t="shared" si="17"/>
        <v>0</v>
      </c>
      <c r="AY39" s="90">
        <f t="shared" si="18"/>
        <v>0</v>
      </c>
      <c r="AZ39" s="90">
        <f t="shared" si="19"/>
        <v>0</v>
      </c>
      <c r="BA39" s="90">
        <f t="shared" si="20"/>
        <v>0</v>
      </c>
      <c r="BB39" s="90">
        <f t="shared" si="21"/>
        <v>1</v>
      </c>
    </row>
    <row r="40" spans="1:54">
      <c r="A40" s="87">
        <f>IF(INDEX(FORM!$A:$A,ROW())="","",ROW()-1)</f>
        <v>39</v>
      </c>
      <c r="B40" s="88">
        <f>IF($A40="","",INDEX(FORM!$A:$A,ROW()))</f>
        <v>46308.693577974504</v>
      </c>
      <c r="C40" s="87" t="str">
        <f>IF($A40="","",TRIM(INDEX(FORM!$B:$B,ROW())))</f>
        <v>Indra gunawan</v>
      </c>
      <c r="D40" s="87" t="str">
        <f>IF($A40="","",TRIM(INDEX(FORM!$C:$C,ROW())&amp;""))</f>
        <v>1511163</v>
      </c>
      <c r="E40" s="87" t="str">
        <f>IF($A40="","",UPPER(TRIM(INDEX(FORM!$D:$D,ROW()))))</f>
        <v>CIANJUR</v>
      </c>
      <c r="F40" s="87" t="str">
        <f>IF($A40="","",IFERROR(INDEX(PROGRES!$A$2:$A$92,MATCH(E40,PROGRES!$B$2:$B$92,0)),"-"))</f>
        <v>Jawa Barat</v>
      </c>
      <c r="G40" s="87" t="str">
        <f>IF($A40="","",UPPER(TRIM(INDEX(FORM!$F:$F,ROW()))))</f>
        <v>JABAR DKI BANTEN</v>
      </c>
      <c r="H40" s="87" t="str">
        <f>IF($A40="","",UPPER(TRIM(INDEX(FORM!$E:$E,ROW()))))</f>
        <v>CRO</v>
      </c>
      <c r="I40" s="87" t="str">
        <f>IF($A40="","",UPPER(TRIM(INDEX(FORM!$G:$G,ROW()))))</f>
        <v>CUKUP</v>
      </c>
      <c r="J40" s="87" t="str">
        <f>IF($A40="","",IF(ISNUMBER(SEARCH("Ya,",INDEX(FORM!$H:$H,ROW()))),"YA",IF(ISNUMBER(SEARCH("Cukup,",INDEX(FORM!$H:$H,ROW()))),"CUKUP",IF(ISNUMBER(SEARCH("Kurang,",INDEX(FORM!$H:$H,ROW()))),"KURANG",""))))</f>
        <v>CUKUP</v>
      </c>
      <c r="K40" s="87" t="str">
        <f>IF($A40="","",UPPER(TRIM(INDEX(FORM!$J:$J,ROW()))))</f>
        <v>CUKUP</v>
      </c>
      <c r="L40" s="87">
        <f>IF($A40="","",IF(ISNUMBER(SEARCH("Aktivitas Harian",INDEX(FORM!$K:$K,ROW()))),1,0))</f>
        <v>0</v>
      </c>
      <c r="M40" s="87">
        <f>IF($A40="","",IF(ISNUMBER(SEARCH("Aktivitas Mingguan",INDEX(FORM!$K:$K,ROW()))),1,0))</f>
        <v>0</v>
      </c>
      <c r="N40" s="87">
        <f>IF($A40="","",IF(ISNUMBER(SEARCH("Aktivitas Bulanan",INDEX(FORM!$K:$K,ROW()))),1,0))</f>
        <v>1</v>
      </c>
      <c r="O40" s="87">
        <f>IF($A40="","",IF(ISNUMBER(SEARCH("Overview Cabang",INDEX(FORM!$K:$K,ROW()))),1,0))</f>
        <v>0</v>
      </c>
      <c r="P40" s="87">
        <f>IF($A40="","",IFERROR(VLOOKUP(I40,DATA!$AH$9:$AI$13,2,0),""))</f>
        <v>2</v>
      </c>
      <c r="Q40" s="87">
        <f>IF($A40="","",IFERROR(VLOOKUP(J40,DATA!$AH$9:$AI$13,2,0),""))</f>
        <v>2</v>
      </c>
      <c r="R40" s="87">
        <f>IF($A40="","",IFERROR(VLOOKUP(K40,DATA!$AH$9:$AI$13,2,0),""))</f>
        <v>2</v>
      </c>
      <c r="S40" s="89">
        <f t="shared" si="0"/>
        <v>2</v>
      </c>
      <c r="T40" s="87">
        <f>IF($A40="","",IF(COUNTIF($D$2:D40,D40)=1,1,0))</f>
        <v>1</v>
      </c>
      <c r="U40" s="87" t="str">
        <f>IF($A40="","",IF(F40="-","Cabang tdk ada",IF(IFERROR(VLOOKUP(G40,#REF!,1,0),"")="","",IF(INDEX(DATA!$AH$2:$AH$5,MATCH(G40,DATA!$AI$2:$AI$5,0))&lt;&gt;F40,"Wilayah beda","OK"))))</f>
        <v/>
      </c>
      <c r="V40" s="87" t="str">
        <f>IF($A40="","",TRIM(INDEX(FORM!$I:$I,ROW())&amp;""))</f>
        <v>Sudah kucup bagus</v>
      </c>
      <c r="W40" s="87" t="str">
        <f>IF($A40="","",TRIM(INDEX(FORM!$L:$L,ROW())&amp;""))</f>
        <v>Sudah ada</v>
      </c>
      <c r="X40" s="87" t="str">
        <f>IF($A40="","",TRIM(INDEX(FORM!$M:$M,ROW())&amp;""))</f>
        <v>Tsmbah muka temen temen sales biar tau</v>
      </c>
      <c r="Y40" s="8">
        <f>IF($A40="","",IFERROR(MATCH(F40,DATA!$AH$2:$AH$5,0),9)*10000+A40)</f>
        <v>10039</v>
      </c>
      <c r="Z40" s="87" t="str">
        <f t="shared" si="1"/>
        <v>Tidak ada masukan / sudah baik</v>
      </c>
      <c r="AA40" s="87" t="str">
        <f t="shared" si="2"/>
        <v>Tidak ada masukan / sudah baik</v>
      </c>
      <c r="AB40" s="87" t="str">
        <f t="shared" si="3"/>
        <v>Struktur Organisasi, PIC &amp; Tim</v>
      </c>
      <c r="AC40" s="87"/>
      <c r="AD40" s="87"/>
      <c r="AE40" s="87"/>
      <c r="AK40" s="90">
        <f t="shared" si="4"/>
        <v>0</v>
      </c>
      <c r="AL40" s="90">
        <f t="shared" si="5"/>
        <v>0</v>
      </c>
      <c r="AM40" s="90">
        <f t="shared" si="6"/>
        <v>0</v>
      </c>
      <c r="AN40" s="90">
        <f t="shared" si="7"/>
        <v>0</v>
      </c>
      <c r="AO40" s="90">
        <f t="shared" si="8"/>
        <v>0</v>
      </c>
      <c r="AP40" s="90">
        <f t="shared" si="9"/>
        <v>0</v>
      </c>
      <c r="AQ40" s="90">
        <f t="shared" si="10"/>
        <v>0</v>
      </c>
      <c r="AR40" s="90">
        <f t="shared" si="11"/>
        <v>0</v>
      </c>
      <c r="AS40" s="90">
        <f t="shared" si="12"/>
        <v>0</v>
      </c>
      <c r="AT40" s="90">
        <f t="shared" si="13"/>
        <v>1</v>
      </c>
      <c r="AU40" s="90">
        <f t="shared" si="14"/>
        <v>0</v>
      </c>
      <c r="AV40" s="90">
        <f t="shared" si="15"/>
        <v>0</v>
      </c>
      <c r="AW40" s="90">
        <f t="shared" si="16"/>
        <v>0</v>
      </c>
      <c r="AX40" s="90">
        <f t="shared" si="17"/>
        <v>0</v>
      </c>
      <c r="AY40" s="90">
        <f t="shared" si="18"/>
        <v>0</v>
      </c>
      <c r="AZ40" s="90">
        <f t="shared" si="19"/>
        <v>0</v>
      </c>
      <c r="BA40" s="90">
        <f t="shared" si="20"/>
        <v>0</v>
      </c>
      <c r="BB40" s="90">
        <f t="shared" si="21"/>
        <v>1</v>
      </c>
    </row>
    <row r="41" spans="1:54">
      <c r="A41" s="87">
        <f>IF(INDEX(FORM!$A:$A,ROW())="","",ROW()-1)</f>
        <v>40</v>
      </c>
      <c r="B41" s="88">
        <f>IF($A41="","",INDEX(FORM!$A:$A,ROW()))</f>
        <v>46308.693759502297</v>
      </c>
      <c r="C41" s="87" t="str">
        <f>IF($A41="","",TRIM(INDEX(FORM!$B:$B,ROW())))</f>
        <v>RISMAN HILMI</v>
      </c>
      <c r="D41" s="87" t="str">
        <f>IF($A41="","",TRIM(INDEX(FORM!$C:$C,ROW())&amp;""))</f>
        <v>1511283</v>
      </c>
      <c r="E41" s="87" t="str">
        <f>IF($A41="","",UPPER(TRIM(INDEX(FORM!$D:$D,ROW()))))</f>
        <v>CIANJUR</v>
      </c>
      <c r="F41" s="87" t="str">
        <f>IF($A41="","",IFERROR(INDEX(PROGRES!$A$2:$A$92,MATCH(E41,PROGRES!$B$2:$B$92,0)),"-"))</f>
        <v>Jawa Barat</v>
      </c>
      <c r="G41" s="87" t="str">
        <f>IF($A41="","",UPPER(TRIM(INDEX(FORM!$F:$F,ROW()))))</f>
        <v>JABAR DKI BANTEN</v>
      </c>
      <c r="H41" s="87" t="str">
        <f>IF($A41="","",UPPER(TRIM(INDEX(FORM!$E:$E,ROW()))))</f>
        <v>CRO</v>
      </c>
      <c r="I41" s="87" t="str">
        <f>IF($A41="","",UPPER(TRIM(INDEX(FORM!$G:$G,ROW()))))</f>
        <v>MUDAH</v>
      </c>
      <c r="J41" s="87" t="str">
        <f>IF($A41="","",IF(ISNUMBER(SEARCH("Ya,",INDEX(FORM!$H:$H,ROW()))),"YA",IF(ISNUMBER(SEARCH("Cukup,",INDEX(FORM!$H:$H,ROW()))),"CUKUP",IF(ISNUMBER(SEARCH("Kurang,",INDEX(FORM!$H:$H,ROW()))),"KURANG",""))))</f>
        <v>YA</v>
      </c>
      <c r="K41" s="87" t="str">
        <f>IF($A41="","",UPPER(TRIM(INDEX(FORM!$J:$J,ROW()))))</f>
        <v>MUDAH</v>
      </c>
      <c r="L41" s="87">
        <f>IF($A41="","",IF(ISNUMBER(SEARCH("Aktivitas Harian",INDEX(FORM!$K:$K,ROW()))),1,0))</f>
        <v>1</v>
      </c>
      <c r="M41" s="87">
        <f>IF($A41="","",IF(ISNUMBER(SEARCH("Aktivitas Mingguan",INDEX(FORM!$K:$K,ROW()))),1,0))</f>
        <v>0</v>
      </c>
      <c r="N41" s="87">
        <f>IF($A41="","",IF(ISNUMBER(SEARCH("Aktivitas Bulanan",INDEX(FORM!$K:$K,ROW()))),1,0))</f>
        <v>0</v>
      </c>
      <c r="O41" s="87">
        <f>IF($A41="","",IF(ISNUMBER(SEARCH("Overview Cabang",INDEX(FORM!$K:$K,ROW()))),1,0))</f>
        <v>0</v>
      </c>
      <c r="P41" s="87">
        <f>IF($A41="","",IFERROR(VLOOKUP(I41,DATA!$AH$9:$AI$13,2,0),""))</f>
        <v>3</v>
      </c>
      <c r="Q41" s="87">
        <f>IF($A41="","",IFERROR(VLOOKUP(J41,DATA!$AH$9:$AI$13,2,0),""))</f>
        <v>3</v>
      </c>
      <c r="R41" s="87">
        <f>IF($A41="","",IFERROR(VLOOKUP(K41,DATA!$AH$9:$AI$13,2,0),""))</f>
        <v>3</v>
      </c>
      <c r="S41" s="89">
        <f t="shared" si="0"/>
        <v>3</v>
      </c>
      <c r="T41" s="87">
        <f>IF($A41="","",IF(COUNTIF($D$2:D41,D41)=1,1,0))</f>
        <v>1</v>
      </c>
      <c r="U41" s="87" t="str">
        <f>IF($A41="","",IF(F41="-","Cabang tdk ada",IF(IFERROR(VLOOKUP(G41,#REF!,1,0),"")="","",IF(INDEX(DATA!$AH$2:$AH$5,MATCH(G41,DATA!$AI$2:$AI$5,0))&lt;&gt;F41,"Wilayah beda","OK"))))</f>
        <v/>
      </c>
      <c r="V41" s="87" t="str">
        <f>IF($A41="","",TRIM(INDEX(FORM!$I:$I,ROW())&amp;""))</f>
        <v>Sudah cukup</v>
      </c>
      <c r="W41" s="87" t="str">
        <f>IF($A41="","",TRIM(INDEX(FORM!$L:$L,ROW())&amp;""))</f>
        <v>Tidak ada</v>
      </c>
      <c r="X41" s="87" t="str">
        <f>IF($A41="","",TRIM(INDEX(FORM!$M:$M,ROW())&amp;""))</f>
        <v>Mohon untuk menampilkan team sales</v>
      </c>
      <c r="Y41" s="8">
        <f>IF($A41="","",IFERROR(MATCH(F41,DATA!$AH$2:$AH$5,0),9)*10000+A41)</f>
        <v>10040</v>
      </c>
      <c r="Z41" s="87" t="str">
        <f t="shared" si="1"/>
        <v>Tidak ada masukan / sudah baik</v>
      </c>
      <c r="AA41" s="87" t="str">
        <f t="shared" si="2"/>
        <v>Tidak ada masukan / sudah baik</v>
      </c>
      <c r="AB41" s="87" t="str">
        <f t="shared" si="3"/>
        <v>Struktur Organisasi, PIC &amp; Tim</v>
      </c>
      <c r="AC41" s="87"/>
      <c r="AD41" s="87"/>
      <c r="AE41" s="87"/>
      <c r="AK41" s="90">
        <f t="shared" si="4"/>
        <v>0</v>
      </c>
      <c r="AL41" s="90">
        <f t="shared" si="5"/>
        <v>0</v>
      </c>
      <c r="AM41" s="90">
        <f t="shared" si="6"/>
        <v>0</v>
      </c>
      <c r="AN41" s="90">
        <f t="shared" si="7"/>
        <v>0</v>
      </c>
      <c r="AO41" s="90">
        <f t="shared" si="8"/>
        <v>0</v>
      </c>
      <c r="AP41" s="90">
        <f t="shared" si="9"/>
        <v>0</v>
      </c>
      <c r="AQ41" s="90">
        <f t="shared" si="10"/>
        <v>0</v>
      </c>
      <c r="AR41" s="90">
        <f t="shared" si="11"/>
        <v>0</v>
      </c>
      <c r="AS41" s="90">
        <f t="shared" si="12"/>
        <v>0</v>
      </c>
      <c r="AT41" s="90">
        <f t="shared" si="13"/>
        <v>1</v>
      </c>
      <c r="AU41" s="90">
        <f t="shared" si="14"/>
        <v>0</v>
      </c>
      <c r="AV41" s="90">
        <f t="shared" si="15"/>
        <v>0</v>
      </c>
      <c r="AW41" s="90">
        <f t="shared" si="16"/>
        <v>0</v>
      </c>
      <c r="AX41" s="90">
        <f t="shared" si="17"/>
        <v>0</v>
      </c>
      <c r="AY41" s="90">
        <f t="shared" si="18"/>
        <v>0</v>
      </c>
      <c r="AZ41" s="90">
        <f t="shared" si="19"/>
        <v>0</v>
      </c>
      <c r="BA41" s="90">
        <f t="shared" si="20"/>
        <v>0</v>
      </c>
      <c r="BB41" s="90">
        <f t="shared" si="21"/>
        <v>1</v>
      </c>
    </row>
    <row r="42" spans="1:54">
      <c r="A42" s="87">
        <f>IF(INDEX(FORM!$A:$A,ROW())="","",ROW()-1)</f>
        <v>41</v>
      </c>
      <c r="B42" s="88">
        <f>IF($A42="","",INDEX(FORM!$A:$A,ROW()))</f>
        <v>46308.694285393503</v>
      </c>
      <c r="C42" s="87" t="str">
        <f>IF($A42="","",TRIM(INDEX(FORM!$B:$B,ROW())))</f>
        <v>Khalid Al Faiz</v>
      </c>
      <c r="D42" s="87" t="str">
        <f>IF($A42="","",TRIM(INDEX(FORM!$C:$C,ROW())&amp;""))</f>
        <v>1510598</v>
      </c>
      <c r="E42" s="87" t="str">
        <f>IF($A42="","",UPPER(TRIM(INDEX(FORM!$D:$D,ROW()))))</f>
        <v>CIANJUR</v>
      </c>
      <c r="F42" s="87" t="str">
        <f>IF($A42="","",IFERROR(INDEX(PROGRES!$A$2:$A$92,MATCH(E42,PROGRES!$B$2:$B$92,0)),"-"))</f>
        <v>Jawa Barat</v>
      </c>
      <c r="G42" s="87" t="str">
        <f>IF($A42="","",UPPER(TRIM(INDEX(FORM!$F:$F,ROW()))))</f>
        <v>JABAR DKI BANTEN</v>
      </c>
      <c r="H42" s="87" t="str">
        <f>IF($A42="","",UPPER(TRIM(INDEX(FORM!$E:$E,ROW()))))</f>
        <v>CRO</v>
      </c>
      <c r="I42" s="87" t="str">
        <f>IF($A42="","",UPPER(TRIM(INDEX(FORM!$G:$G,ROW()))))</f>
        <v>SULIT</v>
      </c>
      <c r="J42" s="87" t="str">
        <f>IF($A42="","",IF(ISNUMBER(SEARCH("Ya,",INDEX(FORM!$H:$H,ROW()))),"YA",IF(ISNUMBER(SEARCH("Cukup,",INDEX(FORM!$H:$H,ROW()))),"CUKUP",IF(ISNUMBER(SEARCH("Kurang,",INDEX(FORM!$H:$H,ROW()))),"KURANG",""))))</f>
        <v>KURANG</v>
      </c>
      <c r="K42" s="87" t="str">
        <f>IF($A42="","",UPPER(TRIM(INDEX(FORM!$J:$J,ROW()))))</f>
        <v>CUKUP</v>
      </c>
      <c r="L42" s="87">
        <f>IF($A42="","",IF(ISNUMBER(SEARCH("Aktivitas Harian",INDEX(FORM!$K:$K,ROW()))),1,0))</f>
        <v>0</v>
      </c>
      <c r="M42" s="87">
        <f>IF($A42="","",IF(ISNUMBER(SEARCH("Aktivitas Mingguan",INDEX(FORM!$K:$K,ROW()))),1,0))</f>
        <v>0</v>
      </c>
      <c r="N42" s="87">
        <f>IF($A42="","",IF(ISNUMBER(SEARCH("Aktivitas Bulanan",INDEX(FORM!$K:$K,ROW()))),1,0))</f>
        <v>0</v>
      </c>
      <c r="O42" s="87">
        <f>IF($A42="","",IF(ISNUMBER(SEARCH("Overview Cabang",INDEX(FORM!$K:$K,ROW()))),1,0))</f>
        <v>1</v>
      </c>
      <c r="P42" s="87">
        <f>IF($A42="","",IFERROR(VLOOKUP(I42,DATA!$AH$9:$AI$13,2,0),""))</f>
        <v>1</v>
      </c>
      <c r="Q42" s="87">
        <f>IF($A42="","",IFERROR(VLOOKUP(J42,DATA!$AH$9:$AI$13,2,0),""))</f>
        <v>1</v>
      </c>
      <c r="R42" s="87">
        <f>IF($A42="","",IFERROR(VLOOKUP(K42,DATA!$AH$9:$AI$13,2,0),""))</f>
        <v>2</v>
      </c>
      <c r="S42" s="89">
        <f t="shared" si="0"/>
        <v>1.3333333333333333</v>
      </c>
      <c r="T42" s="87">
        <f>IF($A42="","",IF(COUNTIF($D$2:D42,D42)=1,1,0))</f>
        <v>1</v>
      </c>
      <c r="U42" s="87" t="str">
        <f>IF($A42="","",IF(F42="-","Cabang tdk ada",IF(IFERROR(VLOOKUP(G42,#REF!,1,0),"")="","",IF(INDEX(DATA!$AH$2:$AH$5,MATCH(G42,DATA!$AI$2:$AI$5,0))&lt;&gt;F42,"Wilayah beda","OK"))))</f>
        <v/>
      </c>
      <c r="V42" s="87" t="str">
        <f>IF($A42="","",TRIM(INDEX(FORM!$I:$I,ROW())&amp;""))</f>
        <v>Bikin lebih sederhana user interface</v>
      </c>
      <c r="W42" s="87" t="str">
        <f>IF($A42="","",TRIM(INDEX(FORM!$L:$L,ROW())&amp;""))</f>
        <v>Cukup</v>
      </c>
      <c r="X42" s="87" t="str">
        <f>IF($A42="","",TRIM(INDEX(FORM!$M:$M,ROW())&amp;""))</f>
        <v>Handbook dirasa tdk trlalu urgent karena proses pedoman operasional sid akan lebih efektif di laksanakan oleh manager operasional</v>
      </c>
      <c r="Y42" s="8">
        <f>IF($A42="","",IFERROR(MATCH(F42,DATA!$AH$2:$AH$5,0),9)*10000+A42)</f>
        <v>10041</v>
      </c>
      <c r="Z42" s="87" t="str">
        <f t="shared" si="1"/>
        <v>Penyederhanaan &amp; Ringkas Isi</v>
      </c>
      <c r="AA42" s="87" t="str">
        <f t="shared" si="2"/>
        <v>Tidak ada masukan / sudah baik</v>
      </c>
      <c r="AB42" s="87" t="str">
        <f t="shared" si="3"/>
        <v>Lainnya (perlu dibaca manual)</v>
      </c>
      <c r="AC42" s="87"/>
      <c r="AD42" s="87"/>
      <c r="AE42" s="87"/>
      <c r="AK42" s="90">
        <f t="shared" si="4"/>
        <v>0</v>
      </c>
      <c r="AL42" s="90">
        <f t="shared" si="5"/>
        <v>0</v>
      </c>
      <c r="AM42" s="90">
        <f t="shared" si="6"/>
        <v>0</v>
      </c>
      <c r="AN42" s="90">
        <f t="shared" si="7"/>
        <v>0</v>
      </c>
      <c r="AO42" s="90">
        <f t="shared" si="8"/>
        <v>0</v>
      </c>
      <c r="AP42" s="90">
        <f t="shared" si="9"/>
        <v>0</v>
      </c>
      <c r="AQ42" s="90">
        <f t="shared" si="10"/>
        <v>1</v>
      </c>
      <c r="AR42" s="90">
        <f t="shared" si="11"/>
        <v>0</v>
      </c>
      <c r="AS42" s="90">
        <f t="shared" si="12"/>
        <v>0</v>
      </c>
      <c r="AT42" s="90">
        <f t="shared" si="13"/>
        <v>0</v>
      </c>
      <c r="AU42" s="90">
        <f t="shared" si="14"/>
        <v>0</v>
      </c>
      <c r="AV42" s="90">
        <f t="shared" si="15"/>
        <v>0</v>
      </c>
      <c r="AW42" s="90">
        <f t="shared" si="16"/>
        <v>0</v>
      </c>
      <c r="AX42" s="90">
        <f t="shared" si="17"/>
        <v>0</v>
      </c>
      <c r="AY42" s="90">
        <f t="shared" si="18"/>
        <v>0</v>
      </c>
      <c r="AZ42" s="90">
        <f t="shared" si="19"/>
        <v>0</v>
      </c>
      <c r="BA42" s="90">
        <f t="shared" si="20"/>
        <v>1</v>
      </c>
      <c r="BB42" s="90">
        <f t="shared" si="21"/>
        <v>1</v>
      </c>
    </row>
    <row r="43" spans="1:54" s="5" customFormat="1" hidden="1">
      <c r="A43" s="8">
        <f>IF(INDEX(FORM!$A:$A,ROW())="","",ROW()-1)</f>
        <v>42</v>
      </c>
      <c r="B43" s="41">
        <f>IF($A43="","",INDEX(FORM!$A:$A,ROW()))</f>
        <v>46308.6943948958</v>
      </c>
      <c r="C43" s="8" t="str">
        <f>IF($A43="","",TRIM(INDEX(FORM!$B:$B,ROW())))</f>
        <v>Moh.Izdadul Ibdad</v>
      </c>
      <c r="D43" s="8" t="str">
        <f>IF($A43="","",TRIM(INDEX(FORM!$C:$C,ROW())&amp;""))</f>
        <v>80430</v>
      </c>
      <c r="E43" s="8" t="str">
        <f>IF($A43="","",UPPER(TRIM(INDEX(FORM!$D:$D,ROW()))))</f>
        <v>MAJALENGKA</v>
      </c>
      <c r="F43" s="8" t="str">
        <f>IF($A43="","",IFERROR(INDEX(PROGRES!$A$2:$A$92,MATCH(E43,PROGRES!$B$2:$B$92,0)),"-"))</f>
        <v>Jawa Barat</v>
      </c>
      <c r="G43" s="8" t="str">
        <f>IF($A43="","",UPPER(TRIM(INDEX(FORM!$F:$F,ROW()))))</f>
        <v>JABAR DKI BANTEN</v>
      </c>
      <c r="H43" s="8" t="str">
        <f>IF($A43="","",UPPER(TRIM(INDEX(FORM!$E:$E,ROW()))))</f>
        <v>BM</v>
      </c>
      <c r="I43" s="8" t="str">
        <f>IF($A43="","",UPPER(TRIM(INDEX(FORM!$G:$G,ROW()))))</f>
        <v>MUDAH</v>
      </c>
      <c r="J43" s="8" t="str">
        <f>IF($A43="","",IF(ISNUMBER(SEARCH("Ya,",INDEX(FORM!$H:$H,ROW()))),"YA",IF(ISNUMBER(SEARCH("Cukup,",INDEX(FORM!$H:$H,ROW()))),"CUKUP",IF(ISNUMBER(SEARCH("Kurang,",INDEX(FORM!$H:$H,ROW()))),"KURANG",""))))</f>
        <v>YA</v>
      </c>
      <c r="K43" s="8" t="str">
        <f>IF($A43="","",UPPER(TRIM(INDEX(FORM!$J:$J,ROW()))))</f>
        <v>CUKUP</v>
      </c>
      <c r="L43" s="8">
        <f>IF($A43="","",IF(ISNUMBER(SEARCH("Aktivitas Harian",INDEX(FORM!$K:$K,ROW()))),1,0))</f>
        <v>1</v>
      </c>
      <c r="M43" s="8">
        <f>IF($A43="","",IF(ISNUMBER(SEARCH("Aktivitas Mingguan",INDEX(FORM!$K:$K,ROW()))),1,0))</f>
        <v>0</v>
      </c>
      <c r="N43" s="8">
        <f>IF($A43="","",IF(ISNUMBER(SEARCH("Aktivitas Bulanan",INDEX(FORM!$K:$K,ROW()))),1,0))</f>
        <v>0</v>
      </c>
      <c r="O43" s="8">
        <f>IF($A43="","",IF(ISNUMBER(SEARCH("Overview Cabang",INDEX(FORM!$K:$K,ROW()))),1,0))</f>
        <v>0</v>
      </c>
      <c r="P43" s="8">
        <f>IF($A43="","",IFERROR(VLOOKUP(I43,DATA!$AH$9:$AI$13,2,0),""))</f>
        <v>3</v>
      </c>
      <c r="Q43" s="8">
        <f>IF($A43="","",IFERROR(VLOOKUP(J43,DATA!$AH$9:$AI$13,2,0),""))</f>
        <v>3</v>
      </c>
      <c r="R43" s="8">
        <f>IF($A43="","",IFERROR(VLOOKUP(K43,DATA!$AH$9:$AI$13,2,0),""))</f>
        <v>2</v>
      </c>
      <c r="S43" s="42">
        <f t="shared" si="0"/>
        <v>2.6666666666666665</v>
      </c>
      <c r="T43" s="8">
        <f>IF($A43="","",IF(COUNTIF($D$2:D43,D43)=1,1,0))</f>
        <v>1</v>
      </c>
      <c r="U43" s="8" t="str">
        <f>IF($A43="","",IF(F43="-","Cabang tdk ada",IF(IFERROR(VLOOKUP(G43,#REF!,1,0),"")="","",IF(INDEX(DATA!$AH$2:$AH$5,MATCH(G43,DATA!$AI$2:$AI$5,0))&lt;&gt;F43,"Wilayah beda","OK"))))</f>
        <v/>
      </c>
      <c r="V43" s="8" t="str">
        <f>IF($A43="","",TRIM(INDEX(FORM!$I:$I,ROW())&amp;""))</f>
        <v>Sudah cukup, untuk handbook memang harus simple dan ringan tampilannya supaya ketika dibuka lewat hp tetap lancar</v>
      </c>
      <c r="W43" s="8" t="str">
        <f>IF($A43="","",TRIM(INDEX(FORM!$L:$L,ROW())&amp;""))</f>
        <v>Rekon piutang</v>
      </c>
      <c r="X43" s="8" t="str">
        <f>IF($A43="","",TRIM(INDEX(FORM!$M:$M,ROW())&amp;""))</f>
        <v>Sudah cukup bagus</v>
      </c>
      <c r="Y43" s="8">
        <f>IF($A43="","",IFERROR(MATCH(F43,DATA!$AH$2:$AH$5,0),9)*10000+A43)</f>
        <v>10042</v>
      </c>
      <c r="Z43" s="8" t="str">
        <f t="shared" si="1"/>
        <v>Tidak ada masukan / sudah baik</v>
      </c>
      <c r="AA43" s="8" t="str">
        <f t="shared" si="2"/>
        <v>Piutang &amp; Pelanggan Bermasalah</v>
      </c>
      <c r="AB43" s="8" t="str">
        <f t="shared" si="3"/>
        <v>Tidak ada masukan / sudah baik</v>
      </c>
      <c r="AC43" s="8"/>
      <c r="AD43" s="8"/>
      <c r="AE43" s="8"/>
      <c r="AK43" s="5">
        <f t="shared" si="4"/>
        <v>0</v>
      </c>
      <c r="AL43" s="5">
        <f t="shared" si="5"/>
        <v>0</v>
      </c>
      <c r="AM43" s="5">
        <f t="shared" si="6"/>
        <v>0</v>
      </c>
      <c r="AN43" s="5">
        <f t="shared" si="7"/>
        <v>0</v>
      </c>
      <c r="AO43" s="5">
        <f t="shared" si="8"/>
        <v>0</v>
      </c>
      <c r="AP43" s="5">
        <f t="shared" si="9"/>
        <v>0</v>
      </c>
      <c r="AQ43" s="5">
        <f t="shared" si="10"/>
        <v>0</v>
      </c>
      <c r="AR43" s="5">
        <f t="shared" si="11"/>
        <v>0</v>
      </c>
      <c r="AS43" s="5">
        <f t="shared" si="12"/>
        <v>0</v>
      </c>
      <c r="AT43" s="5">
        <f t="shared" si="13"/>
        <v>0</v>
      </c>
      <c r="AU43" s="5">
        <f t="shared" si="14"/>
        <v>0</v>
      </c>
      <c r="AV43" s="5">
        <f t="shared" si="15"/>
        <v>0</v>
      </c>
      <c r="AW43" s="5">
        <f t="shared" si="16"/>
        <v>1</v>
      </c>
      <c r="AX43" s="5">
        <f t="shared" si="17"/>
        <v>0</v>
      </c>
      <c r="AY43" s="5">
        <f t="shared" si="18"/>
        <v>0</v>
      </c>
      <c r="AZ43" s="5">
        <f t="shared" si="19"/>
        <v>0</v>
      </c>
      <c r="BA43" s="5">
        <f t="shared" si="20"/>
        <v>0</v>
      </c>
      <c r="BB43" s="5">
        <f t="shared" si="21"/>
        <v>1</v>
      </c>
    </row>
    <row r="44" spans="1:54" s="5" customFormat="1" hidden="1">
      <c r="A44" s="8">
        <f>IF(INDEX(FORM!$A:$A,ROW())="","",ROW()-1)</f>
        <v>43</v>
      </c>
      <c r="B44" s="41">
        <f>IF($A44="","",INDEX(FORM!$A:$A,ROW()))</f>
        <v>46308.695597175902</v>
      </c>
      <c r="C44" s="8" t="str">
        <f>IF($A44="","",TRIM(INDEX(FORM!$B:$B,ROW())))</f>
        <v>MOH KOSIM</v>
      </c>
      <c r="D44" s="8" t="str">
        <f>IF($A44="","",TRIM(INDEX(FORM!$C:$C,ROW())&amp;""))</f>
        <v>89118191</v>
      </c>
      <c r="E44" s="8" t="str">
        <f>IF($A44="","",UPPER(TRIM(INDEX(FORM!$D:$D,ROW()))))</f>
        <v>CIANJUR</v>
      </c>
      <c r="F44" s="8" t="str">
        <f>IF($A44="","",IFERROR(INDEX(PROGRES!$A$2:$A$92,MATCH(E44,PROGRES!$B$2:$B$92,0)),"-"))</f>
        <v>Jawa Barat</v>
      </c>
      <c r="G44" s="8" t="str">
        <f>IF($A44="","",UPPER(TRIM(INDEX(FORM!$F:$F,ROW()))))</f>
        <v>JABAR DKI BANTEN</v>
      </c>
      <c r="H44" s="8" t="str">
        <f>IF($A44="","",UPPER(TRIM(INDEX(FORM!$E:$E,ROW()))))</f>
        <v>BM</v>
      </c>
      <c r="I44" s="8" t="str">
        <f>IF($A44="","",UPPER(TRIM(INDEX(FORM!$G:$G,ROW()))))</f>
        <v>MUDAH</v>
      </c>
      <c r="J44" s="8" t="str">
        <f>IF($A44="","",IF(ISNUMBER(SEARCH("Ya,",INDEX(FORM!$H:$H,ROW()))),"YA",IF(ISNUMBER(SEARCH("Cukup,",INDEX(FORM!$H:$H,ROW()))),"CUKUP",IF(ISNUMBER(SEARCH("Kurang,",INDEX(FORM!$H:$H,ROW()))),"KURANG",""))))</f>
        <v>YA</v>
      </c>
      <c r="K44" s="8" t="str">
        <f>IF($A44="","",UPPER(TRIM(INDEX(FORM!$J:$J,ROW()))))</f>
        <v>MUDAH</v>
      </c>
      <c r="L44" s="8">
        <f>IF($A44="","",IF(ISNUMBER(SEARCH("Aktivitas Harian",INDEX(FORM!$K:$K,ROW()))),1,0))</f>
        <v>1</v>
      </c>
      <c r="M44" s="8">
        <f>IF($A44="","",IF(ISNUMBER(SEARCH("Aktivitas Mingguan",INDEX(FORM!$K:$K,ROW()))),1,0))</f>
        <v>0</v>
      </c>
      <c r="N44" s="8">
        <f>IF($A44="","",IF(ISNUMBER(SEARCH("Aktivitas Bulanan",INDEX(FORM!$K:$K,ROW()))),1,0))</f>
        <v>0</v>
      </c>
      <c r="O44" s="8">
        <f>IF($A44="","",IF(ISNUMBER(SEARCH("Overview Cabang",INDEX(FORM!$K:$K,ROW()))),1,0))</f>
        <v>0</v>
      </c>
      <c r="P44" s="8">
        <f>IF($A44="","",IFERROR(VLOOKUP(I44,DATA!$AH$9:$AI$13,2,0),""))</f>
        <v>3</v>
      </c>
      <c r="Q44" s="8">
        <f>IF($A44="","",IFERROR(VLOOKUP(J44,DATA!$AH$9:$AI$13,2,0),""))</f>
        <v>3</v>
      </c>
      <c r="R44" s="8">
        <f>IF($A44="","",IFERROR(VLOOKUP(K44,DATA!$AH$9:$AI$13,2,0),""))</f>
        <v>3</v>
      </c>
      <c r="S44" s="42">
        <f t="shared" si="0"/>
        <v>3</v>
      </c>
      <c r="T44" s="8">
        <f>IF($A44="","",IF(COUNTIF($D$2:D44,D44)=1,1,0))</f>
        <v>1</v>
      </c>
      <c r="U44" s="8" t="str">
        <f>IF($A44="","",IF(F44="-","Cabang tdk ada",IF(IFERROR(VLOOKUP(G44,#REF!,1,0),"")="","",IF(INDEX(DATA!$AH$2:$AH$5,MATCH(G44,DATA!$AI$2:$AI$5,0))&lt;&gt;F44,"Wilayah beda","OK"))))</f>
        <v/>
      </c>
      <c r="V44" s="8" t="str">
        <f>IF($A44="","",TRIM(INDEX(FORM!$I:$I,ROW())&amp;""))</f>
        <v>CUKUP BAGUS</v>
      </c>
      <c r="W44" s="8" t="str">
        <f>IF($A44="","",TRIM(INDEX(FORM!$L:$L,ROW())&amp;""))</f>
        <v>aman</v>
      </c>
      <c r="X44" s="8" t="str">
        <f>IF($A44="","",TRIM(INDEX(FORM!$M:$M,ROW())&amp;""))</f>
        <v>sediakan template untuk surat menyurat seperti korin dll</v>
      </c>
      <c r="Y44" s="8">
        <f>IF($A44="","",IFERROR(MATCH(F44,DATA!$AH$2:$AH$5,0),9)*10000+A44)</f>
        <v>10043</v>
      </c>
      <c r="Z44" s="8" t="str">
        <f t="shared" si="1"/>
        <v>Tidak ada masukan / sudah baik</v>
      </c>
      <c r="AA44" s="8" t="str">
        <f t="shared" si="2"/>
        <v>Tidak ada masukan / sudah baik</v>
      </c>
      <c r="AB44" s="8" t="str">
        <f t="shared" si="3"/>
        <v>Penambahan Materi &amp; Template</v>
      </c>
      <c r="AC44" s="8"/>
      <c r="AD44" s="8"/>
      <c r="AE44" s="8"/>
      <c r="AK44" s="5">
        <f t="shared" si="4"/>
        <v>0</v>
      </c>
      <c r="AL44" s="5">
        <f t="shared" si="5"/>
        <v>0</v>
      </c>
      <c r="AM44" s="5">
        <f t="shared" si="6"/>
        <v>0</v>
      </c>
      <c r="AN44" s="5">
        <f t="shared" si="7"/>
        <v>0</v>
      </c>
      <c r="AO44" s="5">
        <f t="shared" si="8"/>
        <v>0</v>
      </c>
      <c r="AP44" s="5">
        <f t="shared" si="9"/>
        <v>0</v>
      </c>
      <c r="AQ44" s="5">
        <f t="shared" si="10"/>
        <v>0</v>
      </c>
      <c r="AR44" s="5">
        <f t="shared" si="11"/>
        <v>1</v>
      </c>
      <c r="AS44" s="5">
        <f t="shared" si="12"/>
        <v>0</v>
      </c>
      <c r="AT44" s="5">
        <f t="shared" si="13"/>
        <v>0</v>
      </c>
      <c r="AU44" s="5">
        <f t="shared" si="14"/>
        <v>0</v>
      </c>
      <c r="AV44" s="5">
        <f t="shared" si="15"/>
        <v>0</v>
      </c>
      <c r="AW44" s="5">
        <f t="shared" si="16"/>
        <v>0</v>
      </c>
      <c r="AX44" s="5">
        <f t="shared" si="17"/>
        <v>0</v>
      </c>
      <c r="AY44" s="5">
        <f t="shared" si="18"/>
        <v>0</v>
      </c>
      <c r="AZ44" s="5">
        <f t="shared" si="19"/>
        <v>0</v>
      </c>
      <c r="BA44" s="5">
        <f t="shared" si="20"/>
        <v>0</v>
      </c>
      <c r="BB44" s="5">
        <f t="shared" si="21"/>
        <v>1</v>
      </c>
    </row>
    <row r="45" spans="1:54">
      <c r="A45" s="87">
        <f>IF(INDEX(FORM!$A:$A,ROW())="","",ROW()-1)</f>
        <v>44</v>
      </c>
      <c r="B45" s="88">
        <f>IF($A45="","",INDEX(FORM!$A:$A,ROW()))</f>
        <v>46308.6960708681</v>
      </c>
      <c r="C45" s="87" t="str">
        <f>IF($A45="","",TRIM(INDEX(FORM!$B:$B,ROW())))</f>
        <v>Agus Rahman</v>
      </c>
      <c r="D45" s="87" t="str">
        <f>IF($A45="","",TRIM(INDEX(FORM!$C:$C,ROW())&amp;""))</f>
        <v>1511297</v>
      </c>
      <c r="E45" s="87" t="str">
        <f>IF($A45="","",UPPER(TRIM(INDEX(FORM!$D:$D,ROW()))))</f>
        <v>SLEMAN</v>
      </c>
      <c r="F45" s="87" t="str">
        <f>IF($A45="","",IFERROR(INDEX(PROGRES!$A$2:$A$92,MATCH(E45,PROGRES!$B$2:$B$92,0)),"-"))</f>
        <v>Jawa Tengah</v>
      </c>
      <c r="G45" s="87" t="str">
        <f>IF($A45="","",UPPER(TRIM(INDEX(FORM!$F:$F,ROW()))))</f>
        <v>LUAR PULAU</v>
      </c>
      <c r="H45" s="87" t="str">
        <f>IF($A45="","",UPPER(TRIM(INDEX(FORM!$E:$E,ROW()))))</f>
        <v>CRO</v>
      </c>
      <c r="I45" s="87" t="str">
        <f>IF($A45="","",UPPER(TRIM(INDEX(FORM!$G:$G,ROW()))))</f>
        <v>CUKUP</v>
      </c>
      <c r="J45" s="87" t="str">
        <f>IF($A45="","",IF(ISNUMBER(SEARCH("Ya,",INDEX(FORM!$H:$H,ROW()))),"YA",IF(ISNUMBER(SEARCH("Cukup,",INDEX(FORM!$H:$H,ROW()))),"CUKUP",IF(ISNUMBER(SEARCH("Kurang,",INDEX(FORM!$H:$H,ROW()))),"KURANG",""))))</f>
        <v>CUKUP</v>
      </c>
      <c r="K45" s="87" t="str">
        <f>IF($A45="","",UPPER(TRIM(INDEX(FORM!$J:$J,ROW()))))</f>
        <v>CUKUP</v>
      </c>
      <c r="L45" s="87">
        <f>IF($A45="","",IF(ISNUMBER(SEARCH("Aktivitas Harian",INDEX(FORM!$K:$K,ROW()))),1,0))</f>
        <v>1</v>
      </c>
      <c r="M45" s="87">
        <f>IF($A45="","",IF(ISNUMBER(SEARCH("Aktivitas Mingguan",INDEX(FORM!$K:$K,ROW()))),1,0))</f>
        <v>1</v>
      </c>
      <c r="N45" s="87">
        <f>IF($A45="","",IF(ISNUMBER(SEARCH("Aktivitas Bulanan",INDEX(FORM!$K:$K,ROW()))),1,0))</f>
        <v>0</v>
      </c>
      <c r="O45" s="87">
        <f>IF($A45="","",IF(ISNUMBER(SEARCH("Overview Cabang",INDEX(FORM!$K:$K,ROW()))),1,0))</f>
        <v>1</v>
      </c>
      <c r="P45" s="87">
        <f>IF($A45="","",IFERROR(VLOOKUP(I45,DATA!$AH$9:$AI$13,2,0),""))</f>
        <v>2</v>
      </c>
      <c r="Q45" s="87">
        <f>IF($A45="","",IFERROR(VLOOKUP(J45,DATA!$AH$9:$AI$13,2,0),""))</f>
        <v>2</v>
      </c>
      <c r="R45" s="87">
        <f>IF($A45="","",IFERROR(VLOOKUP(K45,DATA!$AH$9:$AI$13,2,0),""))</f>
        <v>2</v>
      </c>
      <c r="S45" s="89">
        <f t="shared" si="0"/>
        <v>2</v>
      </c>
      <c r="T45" s="87">
        <f>IF($A45="","",IF(COUNTIF($D$2:D45,D45)=1,1,0))</f>
        <v>1</v>
      </c>
      <c r="U45" s="87" t="str">
        <f>IF($A45="","",IF(F45="-","Cabang tdk ada",IF(IFERROR(VLOOKUP(G45,#REF!,1,0),"")="","",IF(INDEX(DATA!$AH$2:$AH$5,MATCH(G45,DATA!$AI$2:$AI$5,0))&lt;&gt;F45,"Wilayah beda","OK"))))</f>
        <v/>
      </c>
      <c r="V45" s="87" t="str">
        <f>IF($A45="","",TRIM(INDEX(FORM!$I:$I,ROW())&amp;""))</f>
        <v>Mungkin bisa lebih jelas menu untuk tiap posisi karyawan</v>
      </c>
      <c r="W45" s="87" t="str">
        <f>IF($A45="","",TRIM(INDEX(FORM!$L:$L,ROW())&amp;""))</f>
        <v>-</v>
      </c>
      <c r="X45" s="87" t="str">
        <f>IF($A45="","",TRIM(INDEX(FORM!$M:$M,ROW())&amp;""))</f>
        <v>Mungkin lebih ringkas jika panduan handbook ini ada pada 1 aplikasi kerja dan tidak perlu lewat website.</v>
      </c>
      <c r="Y45" s="8">
        <f>IF($A45="","",IFERROR(MATCH(F45,DATA!$AH$2:$AH$5,0),9)*10000+A45)</f>
        <v>20044</v>
      </c>
      <c r="Z45" s="87" t="str">
        <f t="shared" si="1"/>
        <v>Menu per Jabatan / Navigasi</v>
      </c>
      <c r="AA45" s="87" t="str">
        <f t="shared" si="2"/>
        <v>Tidak ada masukan / sudah baik</v>
      </c>
      <c r="AB45" s="87" t="str">
        <f t="shared" si="3"/>
        <v>Integrasi ke SACS / Aplikasi Kerja</v>
      </c>
      <c r="AC45" s="87"/>
      <c r="AD45" s="87"/>
      <c r="AE45" s="87"/>
      <c r="AK45" s="90">
        <f t="shared" si="4"/>
        <v>0</v>
      </c>
      <c r="AL45" s="90">
        <f t="shared" si="5"/>
        <v>0</v>
      </c>
      <c r="AM45" s="90">
        <f t="shared" si="6"/>
        <v>0</v>
      </c>
      <c r="AN45" s="90">
        <f t="shared" si="7"/>
        <v>1</v>
      </c>
      <c r="AO45" s="90">
        <f t="shared" si="8"/>
        <v>1</v>
      </c>
      <c r="AP45" s="90">
        <f t="shared" si="9"/>
        <v>0</v>
      </c>
      <c r="AQ45" s="90">
        <f t="shared" si="10"/>
        <v>0</v>
      </c>
      <c r="AR45" s="90">
        <f t="shared" si="11"/>
        <v>0</v>
      </c>
      <c r="AS45" s="90">
        <f t="shared" si="12"/>
        <v>0</v>
      </c>
      <c r="AT45" s="90">
        <f t="shared" si="13"/>
        <v>0</v>
      </c>
      <c r="AU45" s="90">
        <f t="shared" si="14"/>
        <v>0</v>
      </c>
      <c r="AV45" s="90">
        <f t="shared" si="15"/>
        <v>0</v>
      </c>
      <c r="AW45" s="90">
        <f t="shared" si="16"/>
        <v>0</v>
      </c>
      <c r="AX45" s="90">
        <f t="shared" si="17"/>
        <v>0</v>
      </c>
      <c r="AY45" s="90">
        <f t="shared" si="18"/>
        <v>0</v>
      </c>
      <c r="AZ45" s="90">
        <f t="shared" si="19"/>
        <v>0</v>
      </c>
      <c r="BA45" s="90">
        <f t="shared" si="20"/>
        <v>0</v>
      </c>
      <c r="BB45" s="90">
        <f t="shared" si="21"/>
        <v>1</v>
      </c>
    </row>
    <row r="46" spans="1:54" s="5" customFormat="1" hidden="1">
      <c r="A46" s="8">
        <f>IF(INDEX(FORM!$A:$A,ROW())="","",ROW()-1)</f>
        <v>45</v>
      </c>
      <c r="B46" s="41">
        <f>IF($A46="","",INDEX(FORM!$A:$A,ROW()))</f>
        <v>46308.696581481498</v>
      </c>
      <c r="C46" s="8" t="str">
        <f>IF($A46="","",TRIM(INDEX(FORM!$B:$B,ROW())))</f>
        <v>Mohammad hafid</v>
      </c>
      <c r="D46" s="8" t="str">
        <f>IF($A46="","",TRIM(INDEX(FORM!$C:$C,ROW())&amp;""))</f>
        <v>89218183</v>
      </c>
      <c r="E46" s="8" t="str">
        <f>IF($A46="","",UPPER(TRIM(INDEX(FORM!$D:$D,ROW()))))</f>
        <v>PURWOREJO</v>
      </c>
      <c r="F46" s="8" t="str">
        <f>IF($A46="","",IFERROR(INDEX(PROGRES!$A$2:$A$92,MATCH(E46,PROGRES!$B$2:$B$92,0)),"-"))</f>
        <v>Jawa Tengah</v>
      </c>
      <c r="G46" s="8" t="str">
        <f>IF($A46="","",UPPER(TRIM(INDEX(FORM!$F:$F,ROW()))))</f>
        <v>JATENG DIY</v>
      </c>
      <c r="H46" s="8" t="str">
        <f>IF($A46="","",UPPER(TRIM(INDEX(FORM!$E:$E,ROW()))))</f>
        <v>BM</v>
      </c>
      <c r="I46" s="8" t="str">
        <f>IF($A46="","",UPPER(TRIM(INDEX(FORM!$G:$G,ROW()))))</f>
        <v>CUKUP</v>
      </c>
      <c r="J46" s="8" t="str">
        <f>IF($A46="","",IF(ISNUMBER(SEARCH("Ya,",INDEX(FORM!$H:$H,ROW()))),"YA",IF(ISNUMBER(SEARCH("Cukup,",INDEX(FORM!$H:$H,ROW()))),"CUKUP",IF(ISNUMBER(SEARCH("Kurang,",INDEX(FORM!$H:$H,ROW()))),"KURANG",""))))</f>
        <v>CUKUP</v>
      </c>
      <c r="K46" s="8" t="str">
        <f>IF($A46="","",UPPER(TRIM(INDEX(FORM!$J:$J,ROW()))))</f>
        <v>MUDAH</v>
      </c>
      <c r="L46" s="8">
        <f>IF($A46="","",IF(ISNUMBER(SEARCH("Aktivitas Harian",INDEX(FORM!$K:$K,ROW()))),1,0))</f>
        <v>1</v>
      </c>
      <c r="M46" s="8">
        <f>IF($A46="","",IF(ISNUMBER(SEARCH("Aktivitas Mingguan",INDEX(FORM!$K:$K,ROW()))),1,0))</f>
        <v>1</v>
      </c>
      <c r="N46" s="8">
        <f>IF($A46="","",IF(ISNUMBER(SEARCH("Aktivitas Bulanan",INDEX(FORM!$K:$K,ROW()))),1,0))</f>
        <v>1</v>
      </c>
      <c r="O46" s="8">
        <f>IF($A46="","",IF(ISNUMBER(SEARCH("Overview Cabang",INDEX(FORM!$K:$K,ROW()))),1,0))</f>
        <v>0</v>
      </c>
      <c r="P46" s="8">
        <f>IF($A46="","",IFERROR(VLOOKUP(I46,DATA!$AH$9:$AI$13,2,0),""))</f>
        <v>2</v>
      </c>
      <c r="Q46" s="8">
        <f>IF($A46="","",IFERROR(VLOOKUP(J46,DATA!$AH$9:$AI$13,2,0),""))</f>
        <v>2</v>
      </c>
      <c r="R46" s="8">
        <f>IF($A46="","",IFERROR(VLOOKUP(K46,DATA!$AH$9:$AI$13,2,0),""))</f>
        <v>3</v>
      </c>
      <c r="S46" s="42">
        <f t="shared" si="0"/>
        <v>2.3333333333333335</v>
      </c>
      <c r="T46" s="8">
        <f>IF($A46="","",IF(COUNTIF($D$2:D46,D46)=1,1,0))</f>
        <v>1</v>
      </c>
      <c r="U46" s="8" t="str">
        <f>IF($A46="","",IF(F46="-","Cabang tdk ada",IF(IFERROR(VLOOKUP(G46,#REF!,1,0),"")="","",IF(INDEX(DATA!$AH$2:$AH$5,MATCH(G46,DATA!$AI$2:$AI$5,0))&lt;&gt;F46,"Wilayah beda","OK"))))</f>
        <v/>
      </c>
      <c r="V46" s="8" t="str">
        <f>IF($A46="","",TRIM(INDEX(FORM!$I:$I,ROW())&amp;""))</f>
        <v>Lumayan baik</v>
      </c>
      <c r="W46" s="8" t="str">
        <f>IF($A46="","",TRIM(INDEX(FORM!$L:$L,ROW())&amp;""))</f>
        <v>Tidak ada</v>
      </c>
      <c r="X46" s="8" t="str">
        <f>IF($A46="","",TRIM(INDEX(FORM!$M:$M,ROW())&amp;""))</f>
        <v>Terus berinovasi</v>
      </c>
      <c r="Y46" s="8">
        <f>IF($A46="","",IFERROR(MATCH(F46,DATA!$AH$2:$AH$5,0),9)*10000+A46)</f>
        <v>20045</v>
      </c>
      <c r="Z46" s="8" t="str">
        <f t="shared" si="1"/>
        <v>Tidak ada masukan / sudah baik</v>
      </c>
      <c r="AA46" s="8" t="str">
        <f t="shared" si="2"/>
        <v>Tidak ada masukan / sudah baik</v>
      </c>
      <c r="AB46" s="8" t="str">
        <f t="shared" si="3"/>
        <v>Saran Umum Peningkatan</v>
      </c>
      <c r="AC46" s="8"/>
      <c r="AD46" s="8"/>
      <c r="AE46" s="8"/>
      <c r="AK46" s="5">
        <f t="shared" si="4"/>
        <v>0</v>
      </c>
      <c r="AL46" s="5">
        <f t="shared" si="5"/>
        <v>0</v>
      </c>
      <c r="AM46" s="5">
        <f t="shared" si="6"/>
        <v>0</v>
      </c>
      <c r="AN46" s="5">
        <f t="shared" si="7"/>
        <v>0</v>
      </c>
      <c r="AO46" s="5">
        <f t="shared" si="8"/>
        <v>0</v>
      </c>
      <c r="AP46" s="5">
        <f t="shared" si="9"/>
        <v>0</v>
      </c>
      <c r="AQ46" s="5">
        <f t="shared" si="10"/>
        <v>0</v>
      </c>
      <c r="AR46" s="5">
        <f t="shared" si="11"/>
        <v>0</v>
      </c>
      <c r="AS46" s="5">
        <f t="shared" si="12"/>
        <v>0</v>
      </c>
      <c r="AT46" s="5">
        <f t="shared" si="13"/>
        <v>0</v>
      </c>
      <c r="AU46" s="5">
        <f t="shared" si="14"/>
        <v>0</v>
      </c>
      <c r="AV46" s="5">
        <f t="shared" si="15"/>
        <v>0</v>
      </c>
      <c r="AW46" s="5">
        <f t="shared" si="16"/>
        <v>0</v>
      </c>
      <c r="AX46" s="5">
        <f t="shared" si="17"/>
        <v>0</v>
      </c>
      <c r="AY46" s="5">
        <f t="shared" si="18"/>
        <v>0</v>
      </c>
      <c r="AZ46" s="5">
        <f t="shared" si="19"/>
        <v>1</v>
      </c>
      <c r="BA46" s="5">
        <f t="shared" si="20"/>
        <v>0</v>
      </c>
      <c r="BB46" s="5">
        <f t="shared" si="21"/>
        <v>1</v>
      </c>
    </row>
    <row r="47" spans="1:54">
      <c r="A47" s="87">
        <f>IF(INDEX(FORM!$A:$A,ROW())="","",ROW()-1)</f>
        <v>46</v>
      </c>
      <c r="B47" s="88">
        <f>IF($A47="","",INDEX(FORM!$A:$A,ROW()))</f>
        <v>46308.696648807898</v>
      </c>
      <c r="C47" s="87" t="str">
        <f>IF($A47="","",TRIM(INDEX(FORM!$B:$B,ROW())))</f>
        <v>DENI NURBAYA</v>
      </c>
      <c r="D47" s="87" t="str">
        <f>IF($A47="","",TRIM(INDEX(FORM!$C:$C,ROW())&amp;""))</f>
        <v>1511256</v>
      </c>
      <c r="E47" s="87" t="str">
        <f>IF($A47="","",UPPER(TRIM(INDEX(FORM!$D:$D,ROW()))))</f>
        <v>CIANJUR</v>
      </c>
      <c r="F47" s="87" t="str">
        <f>IF($A47="","",IFERROR(INDEX(PROGRES!$A$2:$A$92,MATCH(E47,PROGRES!$B$2:$B$92,0)),"-"))</f>
        <v>Jawa Barat</v>
      </c>
      <c r="G47" s="87" t="str">
        <f>IF($A47="","",UPPER(TRIM(INDEX(FORM!$F:$F,ROW()))))</f>
        <v>JABAR DKI BANTEN</v>
      </c>
      <c r="H47" s="87" t="str">
        <f>IF($A47="","",UPPER(TRIM(INDEX(FORM!$E:$E,ROW()))))</f>
        <v>CRO</v>
      </c>
      <c r="I47" s="87" t="str">
        <f>IF($A47="","",UPPER(TRIM(INDEX(FORM!$G:$G,ROW()))))</f>
        <v>MUDAH</v>
      </c>
      <c r="J47" s="87" t="str">
        <f>IF($A47="","",IF(ISNUMBER(SEARCH("Ya,",INDEX(FORM!$H:$H,ROW()))),"YA",IF(ISNUMBER(SEARCH("Cukup,",INDEX(FORM!$H:$H,ROW()))),"CUKUP",IF(ISNUMBER(SEARCH("Kurang,",INDEX(FORM!$H:$H,ROW()))),"KURANG",""))))</f>
        <v>CUKUP</v>
      </c>
      <c r="K47" s="87" t="str">
        <f>IF($A47="","",UPPER(TRIM(INDEX(FORM!$J:$J,ROW()))))</f>
        <v>CUKUP</v>
      </c>
      <c r="L47" s="87">
        <f>IF($A47="","",IF(ISNUMBER(SEARCH("Aktivitas Harian",INDEX(FORM!$K:$K,ROW()))),1,0))</f>
        <v>0</v>
      </c>
      <c r="M47" s="87">
        <f>IF($A47="","",IF(ISNUMBER(SEARCH("Aktivitas Mingguan",INDEX(FORM!$K:$K,ROW()))),1,0))</f>
        <v>0</v>
      </c>
      <c r="N47" s="87">
        <f>IF($A47="","",IF(ISNUMBER(SEARCH("Aktivitas Bulanan",INDEX(FORM!$K:$K,ROW()))),1,0))</f>
        <v>1</v>
      </c>
      <c r="O47" s="87">
        <f>IF($A47="","",IF(ISNUMBER(SEARCH("Overview Cabang",INDEX(FORM!$K:$K,ROW()))),1,0))</f>
        <v>0</v>
      </c>
      <c r="P47" s="87">
        <f>IF($A47="","",IFERROR(VLOOKUP(I47,DATA!$AH$9:$AI$13,2,0),""))</f>
        <v>3</v>
      </c>
      <c r="Q47" s="87">
        <f>IF($A47="","",IFERROR(VLOOKUP(J47,DATA!$AH$9:$AI$13,2,0),""))</f>
        <v>2</v>
      </c>
      <c r="R47" s="87">
        <f>IF($A47="","",IFERROR(VLOOKUP(K47,DATA!$AH$9:$AI$13,2,0),""))</f>
        <v>2</v>
      </c>
      <c r="S47" s="89">
        <f t="shared" si="0"/>
        <v>2.3333333333333335</v>
      </c>
      <c r="T47" s="87">
        <f>IF($A47="","",IF(COUNTIF($D$2:D47,D47)=1,1,0))</f>
        <v>1</v>
      </c>
      <c r="U47" s="87" t="str">
        <f>IF($A47="","",IF(F47="-","Cabang tdk ada",IF(IFERROR(VLOOKUP(G47,#REF!,1,0),"")="","",IF(INDEX(DATA!$AH$2:$AH$5,MATCH(G47,DATA!$AI$2:$AI$5,0))&lt;&gt;F47,"Wilayah beda","OK"))))</f>
        <v/>
      </c>
      <c r="V47" s="87" t="str">
        <f>IF($A47="","",TRIM(INDEX(FORM!$I:$I,ROW())&amp;""))</f>
        <v>Cukup bagus,tinggal tambah beberafa tamoilan saja agar lebih menarik.</v>
      </c>
      <c r="W47" s="87" t="str">
        <f>IF($A47="","",TRIM(INDEX(FORM!$L:$L,ROW())&amp;""))</f>
        <v>sudah pas dan sangat membantu.</v>
      </c>
      <c r="X47" s="87" t="str">
        <f>IF($A47="","",TRIM(INDEX(FORM!$M:$M,ROW())&amp;""))</f>
        <v>belum ada.</v>
      </c>
      <c r="Y47" s="8">
        <f>IF($A47="","",IFERROR(MATCH(F47,DATA!$AH$2:$AH$5,0),9)*10000+A47)</f>
        <v>10046</v>
      </c>
      <c r="Z47" s="87" t="str">
        <f t="shared" si="1"/>
        <v>Desain, Warna &amp; Font</v>
      </c>
      <c r="AA47" s="87" t="str">
        <f t="shared" si="2"/>
        <v>Tidak ada masukan / sudah baik</v>
      </c>
      <c r="AB47" s="87" t="str">
        <f t="shared" si="3"/>
        <v>Tidak ada masukan / sudah baik</v>
      </c>
      <c r="AC47" s="87"/>
      <c r="AD47" s="87"/>
      <c r="AE47" s="87"/>
      <c r="AK47" s="90">
        <f t="shared" si="4"/>
        <v>0</v>
      </c>
      <c r="AL47" s="90">
        <f t="shared" si="5"/>
        <v>0</v>
      </c>
      <c r="AM47" s="90">
        <f t="shared" si="6"/>
        <v>1</v>
      </c>
      <c r="AN47" s="90">
        <f t="shared" si="7"/>
        <v>0</v>
      </c>
      <c r="AO47" s="90">
        <f t="shared" si="8"/>
        <v>0</v>
      </c>
      <c r="AP47" s="90">
        <f t="shared" si="9"/>
        <v>0</v>
      </c>
      <c r="AQ47" s="90">
        <f t="shared" si="10"/>
        <v>0</v>
      </c>
      <c r="AR47" s="90">
        <f t="shared" si="11"/>
        <v>0</v>
      </c>
      <c r="AS47" s="90">
        <f t="shared" si="12"/>
        <v>0</v>
      </c>
      <c r="AT47" s="90">
        <f t="shared" si="13"/>
        <v>0</v>
      </c>
      <c r="AU47" s="90">
        <f t="shared" si="14"/>
        <v>0</v>
      </c>
      <c r="AV47" s="90">
        <f t="shared" si="15"/>
        <v>0</v>
      </c>
      <c r="AW47" s="90">
        <f t="shared" si="16"/>
        <v>0</v>
      </c>
      <c r="AX47" s="90">
        <f t="shared" si="17"/>
        <v>0</v>
      </c>
      <c r="AY47" s="90">
        <f t="shared" si="18"/>
        <v>0</v>
      </c>
      <c r="AZ47" s="90">
        <f t="shared" si="19"/>
        <v>0</v>
      </c>
      <c r="BA47" s="90">
        <f t="shared" si="20"/>
        <v>0</v>
      </c>
      <c r="BB47" s="90">
        <f t="shared" si="21"/>
        <v>1</v>
      </c>
    </row>
    <row r="48" spans="1:54">
      <c r="A48" s="87">
        <f>IF(INDEX(FORM!$A:$A,ROW())="","",ROW()-1)</f>
        <v>47</v>
      </c>
      <c r="B48" s="88">
        <f>IF($A48="","",INDEX(FORM!$A:$A,ROW()))</f>
        <v>46308.6971382755</v>
      </c>
      <c r="C48" s="87" t="str">
        <f>IF($A48="","",TRIM(INDEX(FORM!$B:$B,ROW())))</f>
        <v>Baihaki</v>
      </c>
      <c r="D48" s="87" t="str">
        <f>IF($A48="","",TRIM(INDEX(FORM!$C:$C,ROW())&amp;""))</f>
        <v>1510539</v>
      </c>
      <c r="E48" s="87" t="str">
        <f>IF($A48="","",UPPER(TRIM(INDEX(FORM!$D:$D,ROW()))))</f>
        <v>BANJARMASIN</v>
      </c>
      <c r="F48" s="87" t="str">
        <f>IF($A48="","",IFERROR(INDEX(PROGRES!$A$2:$A$92,MATCH(E48,PROGRES!$B$2:$B$92,0)),"-"))</f>
        <v>Luar Pulau</v>
      </c>
      <c r="G48" s="87" t="str">
        <f>IF($A48="","",UPPER(TRIM(INDEX(FORM!$F:$F,ROW()))))</f>
        <v>LUAR PULAU</v>
      </c>
      <c r="H48" s="87" t="str">
        <f>IF($A48="","",UPPER(TRIM(INDEX(FORM!$E:$E,ROW()))))</f>
        <v>CRO</v>
      </c>
      <c r="I48" s="87" t="str">
        <f>IF($A48="","",UPPER(TRIM(INDEX(FORM!$G:$G,ROW()))))</f>
        <v>CUKUP</v>
      </c>
      <c r="J48" s="87" t="str">
        <f>IF($A48="","",IF(ISNUMBER(SEARCH("Ya,",INDEX(FORM!$H:$H,ROW()))),"YA",IF(ISNUMBER(SEARCH("Cukup,",INDEX(FORM!$H:$H,ROW()))),"CUKUP",IF(ISNUMBER(SEARCH("Kurang,",INDEX(FORM!$H:$H,ROW()))),"KURANG",""))))</f>
        <v>YA</v>
      </c>
      <c r="K48" s="87" t="str">
        <f>IF($A48="","",UPPER(TRIM(INDEX(FORM!$J:$J,ROW()))))</f>
        <v>MUDAH</v>
      </c>
      <c r="L48" s="87">
        <f>IF($A48="","",IF(ISNUMBER(SEARCH("Aktivitas Harian",INDEX(FORM!$K:$K,ROW()))),1,0))</f>
        <v>1</v>
      </c>
      <c r="M48" s="87">
        <f>IF($A48="","",IF(ISNUMBER(SEARCH("Aktivitas Mingguan",INDEX(FORM!$K:$K,ROW()))),1,0))</f>
        <v>0</v>
      </c>
      <c r="N48" s="87">
        <f>IF($A48="","",IF(ISNUMBER(SEARCH("Aktivitas Bulanan",INDEX(FORM!$K:$K,ROW()))),1,0))</f>
        <v>0</v>
      </c>
      <c r="O48" s="87">
        <f>IF($A48="","",IF(ISNUMBER(SEARCH("Overview Cabang",INDEX(FORM!$K:$K,ROW()))),1,0))</f>
        <v>0</v>
      </c>
      <c r="P48" s="87">
        <f>IF($A48="","",IFERROR(VLOOKUP(I48,DATA!$AH$9:$AI$13,2,0),""))</f>
        <v>2</v>
      </c>
      <c r="Q48" s="87">
        <f>IF($A48="","",IFERROR(VLOOKUP(J48,DATA!$AH$9:$AI$13,2,0),""))</f>
        <v>3</v>
      </c>
      <c r="R48" s="87">
        <f>IF($A48="","",IFERROR(VLOOKUP(K48,DATA!$AH$9:$AI$13,2,0),""))</f>
        <v>3</v>
      </c>
      <c r="S48" s="89">
        <f t="shared" si="0"/>
        <v>2.6666666666666665</v>
      </c>
      <c r="T48" s="87">
        <f>IF($A48="","",IF(COUNTIF($D$2:D48,D48)=1,1,0))</f>
        <v>1</v>
      </c>
      <c r="U48" s="87" t="str">
        <f>IF($A48="","",IF(F48="-","Cabang tdk ada",IF(IFERROR(VLOOKUP(G48,#REF!,1,0),"")="","",IF(INDEX(DATA!$AH$2:$AH$5,MATCH(G48,DATA!$AI$2:$AI$5,0))&lt;&gt;F48,"Wilayah beda","OK"))))</f>
        <v/>
      </c>
      <c r="V48" s="87" t="str">
        <f>IF($A48="","",TRIM(INDEX(FORM!$I:$I,ROW())&amp;""))</f>
        <v>Sudah lumayan bagus</v>
      </c>
      <c r="W48" s="87" t="str">
        <f>IF($A48="","",TRIM(INDEX(FORM!$L:$L,ROW())&amp;""))</f>
        <v>Sudah cukup lengkap</v>
      </c>
      <c r="X48" s="87" t="str">
        <f>IF($A48="","",TRIM(INDEX(FORM!$M:$M,ROW())&amp;""))</f>
        <v>Cukup baik</v>
      </c>
      <c r="Y48" s="8">
        <f>IF($A48="","",IFERROR(MATCH(F48,DATA!$AH$2:$AH$5,0),9)*10000+A48)</f>
        <v>40047</v>
      </c>
      <c r="Z48" s="87" t="str">
        <f t="shared" si="1"/>
        <v>Tidak ada masukan / sudah baik</v>
      </c>
      <c r="AA48" s="87" t="str">
        <f t="shared" si="2"/>
        <v>Tidak ada masukan / sudah baik</v>
      </c>
      <c r="AB48" s="87" t="str">
        <f t="shared" si="3"/>
        <v>Tidak ada masukan / sudah baik</v>
      </c>
      <c r="AC48" s="87"/>
      <c r="AD48" s="87"/>
      <c r="AE48" s="87"/>
      <c r="AK48" s="90">
        <f t="shared" si="4"/>
        <v>0</v>
      </c>
      <c r="AL48" s="90">
        <f t="shared" si="5"/>
        <v>0</v>
      </c>
      <c r="AM48" s="90">
        <f t="shared" si="6"/>
        <v>0</v>
      </c>
      <c r="AN48" s="90">
        <f t="shared" si="7"/>
        <v>0</v>
      </c>
      <c r="AO48" s="90">
        <f t="shared" si="8"/>
        <v>0</v>
      </c>
      <c r="AP48" s="90">
        <f t="shared" si="9"/>
        <v>0</v>
      </c>
      <c r="AQ48" s="90">
        <f t="shared" si="10"/>
        <v>0</v>
      </c>
      <c r="AR48" s="90">
        <f t="shared" si="11"/>
        <v>0</v>
      </c>
      <c r="AS48" s="90">
        <f t="shared" si="12"/>
        <v>0</v>
      </c>
      <c r="AT48" s="90">
        <f t="shared" si="13"/>
        <v>0</v>
      </c>
      <c r="AU48" s="90">
        <f t="shared" si="14"/>
        <v>0</v>
      </c>
      <c r="AV48" s="90">
        <f t="shared" si="15"/>
        <v>0</v>
      </c>
      <c r="AW48" s="90">
        <f t="shared" si="16"/>
        <v>0</v>
      </c>
      <c r="AX48" s="90">
        <f t="shared" si="17"/>
        <v>0</v>
      </c>
      <c r="AY48" s="90">
        <f t="shared" si="18"/>
        <v>0</v>
      </c>
      <c r="AZ48" s="90">
        <f t="shared" si="19"/>
        <v>0</v>
      </c>
      <c r="BA48" s="90">
        <f t="shared" si="20"/>
        <v>0</v>
      </c>
      <c r="BB48" s="90">
        <f t="shared" si="21"/>
        <v>0</v>
      </c>
    </row>
    <row r="49" spans="1:54" s="5" customFormat="1" hidden="1">
      <c r="A49" s="8">
        <f>IF(INDEX(FORM!$A:$A,ROW())="","",ROW()-1)</f>
        <v>48</v>
      </c>
      <c r="B49" s="41">
        <f>IF($A49="","",INDEX(FORM!$A:$A,ROW()))</f>
        <v>46308.697570821801</v>
      </c>
      <c r="C49" s="8" t="str">
        <f>IF($A49="","",TRIM(INDEX(FORM!$B:$B,ROW())))</f>
        <v>Tri Cahyono</v>
      </c>
      <c r="D49" s="8" t="str">
        <f>IF($A49="","",TRIM(INDEX(FORM!$C:$C,ROW())&amp;""))</f>
        <v>1511005</v>
      </c>
      <c r="E49" s="8" t="str">
        <f>IF($A49="","",UPPER(TRIM(INDEX(FORM!$D:$D,ROW()))))</f>
        <v>JEMBRANA</v>
      </c>
      <c r="F49" s="8" t="str">
        <f>IF($A49="","",IFERROR(INDEX(PROGRES!$A$2:$A$92,MATCH(E49,PROGRES!$B$2:$B$92,0)),"-"))</f>
        <v>Luar Pulau</v>
      </c>
      <c r="G49" s="8" t="str">
        <f>IF($A49="","",UPPER(TRIM(INDEX(FORM!$F:$F,ROW()))))</f>
        <v>LUAR PULAU</v>
      </c>
      <c r="H49" s="8" t="str">
        <f>IF($A49="","",UPPER(TRIM(INDEX(FORM!$E:$E,ROW()))))</f>
        <v>BAO</v>
      </c>
      <c r="I49" s="8" t="str">
        <f>IF($A49="","",UPPER(TRIM(INDEX(FORM!$G:$G,ROW()))))</f>
        <v>CUKUP</v>
      </c>
      <c r="J49" s="8" t="str">
        <f>IF($A49="","",IF(ISNUMBER(SEARCH("Ya,",INDEX(FORM!$H:$H,ROW()))),"YA",IF(ISNUMBER(SEARCH("Cukup,",INDEX(FORM!$H:$H,ROW()))),"CUKUP",IF(ISNUMBER(SEARCH("Kurang,",INDEX(FORM!$H:$H,ROW()))),"KURANG",""))))</f>
        <v>CUKUP</v>
      </c>
      <c r="K49" s="8" t="str">
        <f>IF($A49="","",UPPER(TRIM(INDEX(FORM!$J:$J,ROW()))))</f>
        <v>CUKUP</v>
      </c>
      <c r="L49" s="8">
        <f>IF($A49="","",IF(ISNUMBER(SEARCH("Aktivitas Harian",INDEX(FORM!$K:$K,ROW()))),1,0))</f>
        <v>1</v>
      </c>
      <c r="M49" s="8">
        <f>IF($A49="","",IF(ISNUMBER(SEARCH("Aktivitas Mingguan",INDEX(FORM!$K:$K,ROW()))),1,0))</f>
        <v>0</v>
      </c>
      <c r="N49" s="8">
        <f>IF($A49="","",IF(ISNUMBER(SEARCH("Aktivitas Bulanan",INDEX(FORM!$K:$K,ROW()))),1,0))</f>
        <v>0</v>
      </c>
      <c r="O49" s="8">
        <f>IF($A49="","",IF(ISNUMBER(SEARCH("Overview Cabang",INDEX(FORM!$K:$K,ROW()))),1,0))</f>
        <v>0</v>
      </c>
      <c r="P49" s="8">
        <f>IF($A49="","",IFERROR(VLOOKUP(I49,DATA!$AH$9:$AI$13,2,0),""))</f>
        <v>2</v>
      </c>
      <c r="Q49" s="8">
        <f>IF($A49="","",IFERROR(VLOOKUP(J49,DATA!$AH$9:$AI$13,2,0),""))</f>
        <v>2</v>
      </c>
      <c r="R49" s="8">
        <f>IF($A49="","",IFERROR(VLOOKUP(K49,DATA!$AH$9:$AI$13,2,0),""))</f>
        <v>2</v>
      </c>
      <c r="S49" s="42">
        <f t="shared" si="0"/>
        <v>2</v>
      </c>
      <c r="T49" s="8">
        <f>IF($A49="","",IF(COUNTIF($D$2:D49,D49)=1,1,0))</f>
        <v>1</v>
      </c>
      <c r="U49" s="8" t="str">
        <f>IF($A49="","",IF(F49="-","Cabang tdk ada",IF(IFERROR(VLOOKUP(G49,#REF!,1,0),"")="","",IF(INDEX(DATA!$AH$2:$AH$5,MATCH(G49,DATA!$AI$2:$AI$5,0))&lt;&gt;F49,"Wilayah beda","OK"))))</f>
        <v/>
      </c>
      <c r="V49" s="8" t="str">
        <f>IF($A49="","",TRIM(INDEX(FORM!$I:$I,ROW())&amp;""))</f>
        <v>Semoga lebih user friendly</v>
      </c>
      <c r="W49" s="8" t="str">
        <f>IF($A49="","",TRIM(INDEX(FORM!$L:$L,ROW())&amp;""))</f>
        <v>Tidak ada</v>
      </c>
      <c r="X49" s="8" t="str">
        <f>IF($A49="","",TRIM(INDEX(FORM!$M:$M,ROW())&amp;""))</f>
        <v>Lebih baik hanbok ada dalam 1 aplikasi kerja</v>
      </c>
      <c r="Y49" s="8">
        <f>IF($A49="","",IFERROR(MATCH(F49,DATA!$AH$2:$AH$5,0),9)*10000+A49)</f>
        <v>40048</v>
      </c>
      <c r="Z49" s="8" t="str">
        <f t="shared" si="1"/>
        <v>Desain, Warna &amp; Font</v>
      </c>
      <c r="AA49" s="8" t="str">
        <f t="shared" si="2"/>
        <v>Tidak ada masukan / sudah baik</v>
      </c>
      <c r="AB49" s="8" t="str">
        <f t="shared" si="3"/>
        <v>Integrasi ke SACS / Aplikasi Kerja</v>
      </c>
      <c r="AC49" s="8"/>
      <c r="AD49" s="8"/>
      <c r="AE49" s="8"/>
      <c r="AK49" s="5">
        <f t="shared" si="4"/>
        <v>0</v>
      </c>
      <c r="AL49" s="5">
        <f t="shared" si="5"/>
        <v>0</v>
      </c>
      <c r="AM49" s="5">
        <f t="shared" si="6"/>
        <v>1</v>
      </c>
      <c r="AN49" s="5">
        <f t="shared" si="7"/>
        <v>0</v>
      </c>
      <c r="AO49" s="5">
        <f t="shared" si="8"/>
        <v>1</v>
      </c>
      <c r="AP49" s="5">
        <f t="shared" si="9"/>
        <v>0</v>
      </c>
      <c r="AQ49" s="5">
        <f t="shared" si="10"/>
        <v>0</v>
      </c>
      <c r="AR49" s="5">
        <f t="shared" si="11"/>
        <v>0</v>
      </c>
      <c r="AS49" s="5">
        <f t="shared" si="12"/>
        <v>0</v>
      </c>
      <c r="AT49" s="5">
        <f t="shared" si="13"/>
        <v>0</v>
      </c>
      <c r="AU49" s="5">
        <f t="shared" si="14"/>
        <v>0</v>
      </c>
      <c r="AV49" s="5">
        <f t="shared" si="15"/>
        <v>0</v>
      </c>
      <c r="AW49" s="5">
        <f t="shared" si="16"/>
        <v>0</v>
      </c>
      <c r="AX49" s="5">
        <f t="shared" si="17"/>
        <v>0</v>
      </c>
      <c r="AY49" s="5">
        <f t="shared" si="18"/>
        <v>0</v>
      </c>
      <c r="AZ49" s="5">
        <f t="shared" si="19"/>
        <v>0</v>
      </c>
      <c r="BA49" s="5">
        <f t="shared" si="20"/>
        <v>0</v>
      </c>
      <c r="BB49" s="5">
        <f t="shared" si="21"/>
        <v>1</v>
      </c>
    </row>
    <row r="50" spans="1:54" s="5" customFormat="1" hidden="1">
      <c r="A50" s="8">
        <f>IF(INDEX(FORM!$A:$A,ROW())="","",ROW()-1)</f>
        <v>49</v>
      </c>
      <c r="B50" s="41">
        <f>IF($A50="","",INDEX(FORM!$A:$A,ROW()))</f>
        <v>46308.697601608801</v>
      </c>
      <c r="C50" s="8" t="str">
        <f>IF($A50="","",TRIM(INDEX(FORM!$B:$B,ROW())))</f>
        <v>Dirga Rusdiansyah Pradana</v>
      </c>
      <c r="D50" s="8" t="str">
        <f>IF($A50="","",TRIM(INDEX(FORM!$C:$C,ROW())&amp;""))</f>
        <v>88919188</v>
      </c>
      <c r="E50" s="8" t="str">
        <f>IF($A50="","",UPPER(TRIM(INDEX(FORM!$D:$D,ROW()))))</f>
        <v>BANJARMASIN</v>
      </c>
      <c r="F50" s="8" t="str">
        <f>IF($A50="","",IFERROR(INDEX(PROGRES!$A$2:$A$92,MATCH(E50,PROGRES!$B$2:$B$92,0)),"-"))</f>
        <v>Luar Pulau</v>
      </c>
      <c r="G50" s="8" t="str">
        <f>IF($A50="","",UPPER(TRIM(INDEX(FORM!$F:$F,ROW()))))</f>
        <v>LUAR PULAU</v>
      </c>
      <c r="H50" s="8" t="str">
        <f>IF($A50="","",UPPER(TRIM(INDEX(FORM!$E:$E,ROW()))))</f>
        <v>BM</v>
      </c>
      <c r="I50" s="8" t="str">
        <f>IF($A50="","",UPPER(TRIM(INDEX(FORM!$G:$G,ROW()))))</f>
        <v>MUDAH</v>
      </c>
      <c r="J50" s="8" t="str">
        <f>IF($A50="","",IF(ISNUMBER(SEARCH("Ya,",INDEX(FORM!$H:$H,ROW()))),"YA",IF(ISNUMBER(SEARCH("Cukup,",INDEX(FORM!$H:$H,ROW()))),"CUKUP",IF(ISNUMBER(SEARCH("Kurang,",INDEX(FORM!$H:$H,ROW()))),"KURANG",""))))</f>
        <v>YA</v>
      </c>
      <c r="K50" s="8" t="str">
        <f>IF($A50="","",UPPER(TRIM(INDEX(FORM!$J:$J,ROW()))))</f>
        <v>CUKUP</v>
      </c>
      <c r="L50" s="8">
        <f>IF($A50="","",IF(ISNUMBER(SEARCH("Aktivitas Harian",INDEX(FORM!$K:$K,ROW()))),1,0))</f>
        <v>1</v>
      </c>
      <c r="M50" s="8">
        <f>IF($A50="","",IF(ISNUMBER(SEARCH("Aktivitas Mingguan",INDEX(FORM!$K:$K,ROW()))),1,0))</f>
        <v>1</v>
      </c>
      <c r="N50" s="8">
        <f>IF($A50="","",IF(ISNUMBER(SEARCH("Aktivitas Bulanan",INDEX(FORM!$K:$K,ROW()))),1,0))</f>
        <v>1</v>
      </c>
      <c r="O50" s="8">
        <f>IF($A50="","",IF(ISNUMBER(SEARCH("Overview Cabang",INDEX(FORM!$K:$K,ROW()))),1,0))</f>
        <v>1</v>
      </c>
      <c r="P50" s="8">
        <f>IF($A50="","",IFERROR(VLOOKUP(I50,DATA!$AH$9:$AI$13,2,0),""))</f>
        <v>3</v>
      </c>
      <c r="Q50" s="8">
        <f>IF($A50="","",IFERROR(VLOOKUP(J50,DATA!$AH$9:$AI$13,2,0),""))</f>
        <v>3</v>
      </c>
      <c r="R50" s="8">
        <f>IF($A50="","",IFERROR(VLOOKUP(K50,DATA!$AH$9:$AI$13,2,0),""))</f>
        <v>2</v>
      </c>
      <c r="S50" s="42">
        <f t="shared" si="0"/>
        <v>2.6666666666666665</v>
      </c>
      <c r="T50" s="8">
        <f>IF($A50="","",IF(COUNTIF($D$2:D50,D50)=1,1,0))</f>
        <v>1</v>
      </c>
      <c r="U50" s="8" t="str">
        <f>IF($A50="","",IF(F50="-","Cabang tdk ada",IF(IFERROR(VLOOKUP(G50,#REF!,1,0),"")="","",IF(INDEX(DATA!$AH$2:$AH$5,MATCH(G50,DATA!$AI$2:$AI$5,0))&lt;&gt;F50,"Wilayah beda","OK"))))</f>
        <v/>
      </c>
      <c r="V50" s="8" t="str">
        <f>IF($A50="","",TRIM(INDEX(FORM!$I:$I,ROW())&amp;""))</f>
        <v>Mungkin bisa di tambahkan dan selalu diupdate di handbook BM terkait PIC divisi yang di pusat, karena terkadang cabang minim info terkait PIC. (Ex : logistik untuk produk Tripilar, logistik besi, logistik semen perekat, dll)</v>
      </c>
      <c r="W50" s="8" t="str">
        <f>IF($A50="","",TRIM(INDEX(FORM!$L:$L,ROW())&amp;""))</f>
        <v>Rekonsiliasi piutang pelanggan belum ada di jobdesk</v>
      </c>
      <c r="X50" s="8" t="str">
        <f>IF($A50="","",TRIM(INDEX(FORM!$M:$M,ROW())&amp;""))</f>
        <v>Bisa di tambahkan PIC divisi lain yang ada di pusat beserta CPnnya, agar memudahkan BM yang ada di cabang untuk komunikasi.</v>
      </c>
      <c r="Y50" s="8">
        <f>IF($A50="","",IFERROR(MATCH(F50,DATA!$AH$2:$AH$5,0),9)*10000+A50)</f>
        <v>40049</v>
      </c>
      <c r="Z50" s="8" t="str">
        <f t="shared" si="1"/>
        <v>Kontak &amp; Informasi PIC</v>
      </c>
      <c r="AA50" s="8" t="str">
        <f t="shared" si="2"/>
        <v>Piutang &amp; Pelanggan Bermasalah</v>
      </c>
      <c r="AB50" s="8" t="str">
        <f t="shared" si="3"/>
        <v>Struktur Organisasi, PIC &amp; Tim</v>
      </c>
      <c r="AC50" s="8"/>
      <c r="AD50" s="8"/>
      <c r="AE50" s="8"/>
      <c r="AK50" s="5">
        <f t="shared" si="4"/>
        <v>0</v>
      </c>
      <c r="AL50" s="5">
        <f t="shared" si="5"/>
        <v>0</v>
      </c>
      <c r="AM50" s="5">
        <f t="shared" si="6"/>
        <v>0</v>
      </c>
      <c r="AN50" s="5">
        <f t="shared" si="7"/>
        <v>0</v>
      </c>
      <c r="AO50" s="5">
        <f t="shared" si="8"/>
        <v>0</v>
      </c>
      <c r="AP50" s="5">
        <f t="shared" si="9"/>
        <v>0</v>
      </c>
      <c r="AQ50" s="5">
        <f t="shared" si="10"/>
        <v>0</v>
      </c>
      <c r="AR50" s="5">
        <f t="shared" si="11"/>
        <v>0</v>
      </c>
      <c r="AS50" s="5">
        <f t="shared" si="12"/>
        <v>0</v>
      </c>
      <c r="AT50" s="5">
        <f t="shared" si="13"/>
        <v>1</v>
      </c>
      <c r="AU50" s="5">
        <f t="shared" si="14"/>
        <v>0</v>
      </c>
      <c r="AV50" s="5">
        <f t="shared" si="15"/>
        <v>0</v>
      </c>
      <c r="AW50" s="5">
        <f t="shared" si="16"/>
        <v>1</v>
      </c>
      <c r="AX50" s="5">
        <f t="shared" si="17"/>
        <v>0</v>
      </c>
      <c r="AY50" s="5">
        <f t="shared" si="18"/>
        <v>0</v>
      </c>
      <c r="AZ50" s="5">
        <f t="shared" si="19"/>
        <v>0</v>
      </c>
      <c r="BA50" s="5">
        <f t="shared" si="20"/>
        <v>0</v>
      </c>
      <c r="BB50" s="5">
        <f t="shared" si="21"/>
        <v>1</v>
      </c>
    </row>
    <row r="51" spans="1:54" s="5" customFormat="1" hidden="1">
      <c r="A51" s="8">
        <f>IF(INDEX(FORM!$A:$A,ROW())="","",ROW()-1)</f>
        <v>50</v>
      </c>
      <c r="B51" s="41">
        <f>IF($A51="","",INDEX(FORM!$A:$A,ROW()))</f>
        <v>46308.698810092603</v>
      </c>
      <c r="C51" s="8" t="str">
        <f>IF($A51="","",TRIM(INDEX(FORM!$B:$B,ROW())))</f>
        <v>DWIEYOGA ANDREY SUKAMTO</v>
      </c>
      <c r="D51" s="8" t="str">
        <f>IF($A51="","",TRIM(INDEX(FORM!$C:$C,ROW())&amp;""))</f>
        <v>1510982</v>
      </c>
      <c r="E51" s="8" t="str">
        <f>IF($A51="","",UPPER(TRIM(INDEX(FORM!$D:$D,ROW()))))</f>
        <v>BOGOR</v>
      </c>
      <c r="F51" s="8" t="str">
        <f>IF($A51="","",IFERROR(INDEX(PROGRES!$A$2:$A$92,MATCH(E51,PROGRES!$B$2:$B$92,0)),"-"))</f>
        <v>Jawa Barat</v>
      </c>
      <c r="G51" s="8" t="str">
        <f>IF($A51="","",UPPER(TRIM(INDEX(FORM!$F:$F,ROW()))))</f>
        <v>JABAR DKI BANTEN</v>
      </c>
      <c r="H51" s="8" t="str">
        <f>IF($A51="","",UPPER(TRIM(INDEX(FORM!$E:$E,ROW()))))</f>
        <v>BM</v>
      </c>
      <c r="I51" s="8" t="str">
        <f>IF($A51="","",UPPER(TRIM(INDEX(FORM!$G:$G,ROW()))))</f>
        <v>CUKUP</v>
      </c>
      <c r="J51" s="8" t="str">
        <f>IF($A51="","",IF(ISNUMBER(SEARCH("Ya,",INDEX(FORM!$H:$H,ROW()))),"YA",IF(ISNUMBER(SEARCH("Cukup,",INDEX(FORM!$H:$H,ROW()))),"CUKUP",IF(ISNUMBER(SEARCH("Kurang,",INDEX(FORM!$H:$H,ROW()))),"KURANG",""))))</f>
        <v>CUKUP</v>
      </c>
      <c r="K51" s="8" t="str">
        <f>IF($A51="","",UPPER(TRIM(INDEX(FORM!$J:$J,ROW()))))</f>
        <v>CUKUP</v>
      </c>
      <c r="L51" s="8">
        <f>IF($A51="","",IF(ISNUMBER(SEARCH("Aktivitas Harian",INDEX(FORM!$K:$K,ROW()))),1,0))</f>
        <v>0</v>
      </c>
      <c r="M51" s="8">
        <f>IF($A51="","",IF(ISNUMBER(SEARCH("Aktivitas Mingguan",INDEX(FORM!$K:$K,ROW()))),1,0))</f>
        <v>0</v>
      </c>
      <c r="N51" s="8">
        <f>IF($A51="","",IF(ISNUMBER(SEARCH("Aktivitas Bulanan",INDEX(FORM!$K:$K,ROW()))),1,0))</f>
        <v>1</v>
      </c>
      <c r="O51" s="8">
        <f>IF($A51="","",IF(ISNUMBER(SEARCH("Overview Cabang",INDEX(FORM!$K:$K,ROW()))),1,0))</f>
        <v>0</v>
      </c>
      <c r="P51" s="8">
        <f>IF($A51="","",IFERROR(VLOOKUP(I51,DATA!$AH$9:$AI$13,2,0),""))</f>
        <v>2</v>
      </c>
      <c r="Q51" s="8">
        <f>IF($A51="","",IFERROR(VLOOKUP(J51,DATA!$AH$9:$AI$13,2,0),""))</f>
        <v>2</v>
      </c>
      <c r="R51" s="8">
        <f>IF($A51="","",IFERROR(VLOOKUP(K51,DATA!$AH$9:$AI$13,2,0),""))</f>
        <v>2</v>
      </c>
      <c r="S51" s="42">
        <f t="shared" si="0"/>
        <v>2</v>
      </c>
      <c r="T51" s="8">
        <f>IF($A51="","",IF(COUNTIF($D$2:D51,D51)=1,1,0))</f>
        <v>1</v>
      </c>
      <c r="U51" s="8" t="str">
        <f>IF($A51="","",IF(F51="-","Cabang tdk ada",IF(IFERROR(VLOOKUP(G51,#REF!,1,0),"")="","",IF(INDEX(DATA!$AH$2:$AH$5,MATCH(G51,DATA!$AI$2:$AI$5,0))&lt;&gt;F51,"Wilayah beda","OK"))))</f>
        <v/>
      </c>
      <c r="V51" s="8" t="str">
        <f>IF($A51="","",TRIM(INDEX(FORM!$I:$I,ROW())&amp;""))</f>
        <v>Sudah bagus</v>
      </c>
      <c r="W51" s="8" t="str">
        <f>IF($A51="","",TRIM(INDEX(FORM!$L:$L,ROW())&amp;""))</f>
        <v>Sudah</v>
      </c>
      <c r="X51" s="8" t="str">
        <f>IF($A51="","",TRIM(INDEX(FORM!$M:$M,ROW())&amp;""))</f>
        <v>Sudah bagus</v>
      </c>
      <c r="Y51" s="8">
        <f>IF($A51="","",IFERROR(MATCH(F51,DATA!$AH$2:$AH$5,0),9)*10000+A51)</f>
        <v>10050</v>
      </c>
      <c r="Z51" s="8" t="str">
        <f t="shared" si="1"/>
        <v>Tidak ada masukan / sudah baik</v>
      </c>
      <c r="AA51" s="8" t="str">
        <f t="shared" si="2"/>
        <v>Tidak ada masukan / sudah baik</v>
      </c>
      <c r="AB51" s="8" t="str">
        <f t="shared" si="3"/>
        <v>Tidak ada masukan / sudah baik</v>
      </c>
      <c r="AC51" s="8"/>
      <c r="AD51" s="8"/>
      <c r="AE51" s="8"/>
      <c r="AK51" s="5">
        <f t="shared" si="4"/>
        <v>0</v>
      </c>
      <c r="AL51" s="5">
        <f t="shared" si="5"/>
        <v>0</v>
      </c>
      <c r="AM51" s="5">
        <f t="shared" si="6"/>
        <v>0</v>
      </c>
      <c r="AN51" s="5">
        <f t="shared" si="7"/>
        <v>0</v>
      </c>
      <c r="AO51" s="5">
        <f t="shared" si="8"/>
        <v>0</v>
      </c>
      <c r="AP51" s="5">
        <f t="shared" si="9"/>
        <v>0</v>
      </c>
      <c r="AQ51" s="5">
        <f t="shared" si="10"/>
        <v>0</v>
      </c>
      <c r="AR51" s="5">
        <f t="shared" si="11"/>
        <v>0</v>
      </c>
      <c r="AS51" s="5">
        <f t="shared" si="12"/>
        <v>0</v>
      </c>
      <c r="AT51" s="5">
        <f t="shared" si="13"/>
        <v>0</v>
      </c>
      <c r="AU51" s="5">
        <f t="shared" si="14"/>
        <v>0</v>
      </c>
      <c r="AV51" s="5">
        <f t="shared" si="15"/>
        <v>0</v>
      </c>
      <c r="AW51" s="5">
        <f t="shared" si="16"/>
        <v>0</v>
      </c>
      <c r="AX51" s="5">
        <f t="shared" si="17"/>
        <v>0</v>
      </c>
      <c r="AY51" s="5">
        <f t="shared" si="18"/>
        <v>0</v>
      </c>
      <c r="AZ51" s="5">
        <f t="shared" si="19"/>
        <v>0</v>
      </c>
      <c r="BA51" s="5">
        <f t="shared" si="20"/>
        <v>0</v>
      </c>
      <c r="BB51" s="5">
        <f t="shared" si="21"/>
        <v>0</v>
      </c>
    </row>
    <row r="52" spans="1:54" s="5" customFormat="1" hidden="1">
      <c r="A52" s="8">
        <f>IF(INDEX(FORM!$A:$A,ROW())="","",ROW()-1)</f>
        <v>51</v>
      </c>
      <c r="B52" s="41">
        <f>IF($A52="","",INDEX(FORM!$A:$A,ROW()))</f>
        <v>46308.700400428199</v>
      </c>
      <c r="C52" s="8" t="str">
        <f>IF($A52="","",TRIM(INDEX(FORM!$B:$B,ROW())))</f>
        <v>Joko Raharjo</v>
      </c>
      <c r="D52" s="8" t="str">
        <f>IF($A52="","",TRIM(INDEX(FORM!$C:$C,ROW())&amp;""))</f>
        <v>1511315</v>
      </c>
      <c r="E52" s="8" t="str">
        <f>IF($A52="","",UPPER(TRIM(INDEX(FORM!$D:$D,ROW()))))</f>
        <v>SALATIGA</v>
      </c>
      <c r="F52" s="8" t="str">
        <f>IF($A52="","",IFERROR(INDEX(PROGRES!$A$2:$A$92,MATCH(E52,PROGRES!$B$2:$B$92,0)),"-"))</f>
        <v>Jawa Tengah</v>
      </c>
      <c r="G52" s="8" t="str">
        <f>IF($A52="","",UPPER(TRIM(INDEX(FORM!$F:$F,ROW()))))</f>
        <v>JATENG DIY</v>
      </c>
      <c r="H52" s="8" t="str">
        <f>IF($A52="","",UPPER(TRIM(INDEX(FORM!$E:$E,ROW()))))</f>
        <v>BM</v>
      </c>
      <c r="I52" s="8" t="str">
        <f>IF($A52="","",UPPER(TRIM(INDEX(FORM!$G:$G,ROW()))))</f>
        <v>MUDAH</v>
      </c>
      <c r="J52" s="8" t="str">
        <f>IF($A52="","",IF(ISNUMBER(SEARCH("Ya,",INDEX(FORM!$H:$H,ROW()))),"YA",IF(ISNUMBER(SEARCH("Cukup,",INDEX(FORM!$H:$H,ROW()))),"CUKUP",IF(ISNUMBER(SEARCH("Kurang,",INDEX(FORM!$H:$H,ROW()))),"KURANG",""))))</f>
        <v>CUKUP</v>
      </c>
      <c r="K52" s="8" t="str">
        <f>IF($A52="","",UPPER(TRIM(INDEX(FORM!$J:$J,ROW()))))</f>
        <v>MUDAH</v>
      </c>
      <c r="L52" s="8">
        <f>IF($A52="","",IF(ISNUMBER(SEARCH("Aktivitas Harian",INDEX(FORM!$K:$K,ROW()))),1,0))</f>
        <v>0</v>
      </c>
      <c r="M52" s="8">
        <f>IF($A52="","",IF(ISNUMBER(SEARCH("Aktivitas Mingguan",INDEX(FORM!$K:$K,ROW()))),1,0))</f>
        <v>1</v>
      </c>
      <c r="N52" s="8">
        <f>IF($A52="","",IF(ISNUMBER(SEARCH("Aktivitas Bulanan",INDEX(FORM!$K:$K,ROW()))),1,0))</f>
        <v>0</v>
      </c>
      <c r="O52" s="8">
        <f>IF($A52="","",IF(ISNUMBER(SEARCH("Overview Cabang",INDEX(FORM!$K:$K,ROW()))),1,0))</f>
        <v>0</v>
      </c>
      <c r="P52" s="8">
        <f>IF($A52="","",IFERROR(VLOOKUP(I52,DATA!$AH$9:$AI$13,2,0),""))</f>
        <v>3</v>
      </c>
      <c r="Q52" s="8">
        <f>IF($A52="","",IFERROR(VLOOKUP(J52,DATA!$AH$9:$AI$13,2,0),""))</f>
        <v>2</v>
      </c>
      <c r="R52" s="8">
        <f>IF($A52="","",IFERROR(VLOOKUP(K52,DATA!$AH$9:$AI$13,2,0),""))</f>
        <v>3</v>
      </c>
      <c r="S52" s="42">
        <f t="shared" si="0"/>
        <v>2.6666666666666665</v>
      </c>
      <c r="T52" s="8">
        <f>IF($A52="","",IF(COUNTIF($D$2:D52,D52)=1,1,0))</f>
        <v>1</v>
      </c>
      <c r="U52" s="8" t="str">
        <f>IF($A52="","",IF(F52="-","Cabang tdk ada",IF(IFERROR(VLOOKUP(G52,#REF!,1,0),"")="","",IF(INDEX(DATA!$AH$2:$AH$5,MATCH(G52,DATA!$AI$2:$AI$5,0))&lt;&gt;F52,"Wilayah beda","OK"))))</f>
        <v/>
      </c>
      <c r="V52" s="8" t="str">
        <f>IF($A52="","",TRIM(INDEX(FORM!$I:$I,ROW())&amp;""))</f>
        <v>Sudah bagus mudah dipahami</v>
      </c>
      <c r="W52" s="8" t="str">
        <f>IF($A52="","",TRIM(INDEX(FORM!$L:$L,ROW())&amp;""))</f>
        <v>sudah masuk semua lengkap</v>
      </c>
      <c r="X52" s="8" t="str">
        <f>IF($A52="","",TRIM(INDEX(FORM!$M:$M,ROW())&amp;""))</f>
        <v>lebih dibuatka sesimple mungkin terkait penataan katanya</v>
      </c>
      <c r="Y52" s="8">
        <f>IF($A52="","",IFERROR(MATCH(F52,DATA!$AH$2:$AH$5,0),9)*10000+A52)</f>
        <v>20051</v>
      </c>
      <c r="Z52" s="8" t="str">
        <f t="shared" si="1"/>
        <v>Tidak ada masukan / sudah baik</v>
      </c>
      <c r="AA52" s="8" t="str">
        <f t="shared" si="2"/>
        <v>Tidak ada masukan / sudah baik</v>
      </c>
      <c r="AB52" s="8" t="str">
        <f t="shared" si="3"/>
        <v>Penyederhanaan Isi</v>
      </c>
      <c r="AC52" s="8"/>
      <c r="AD52" s="8"/>
      <c r="AE52" s="8"/>
      <c r="AK52" s="5">
        <f t="shared" si="4"/>
        <v>0</v>
      </c>
      <c r="AL52" s="5">
        <f t="shared" si="5"/>
        <v>0</v>
      </c>
      <c r="AM52" s="5">
        <f t="shared" si="6"/>
        <v>0</v>
      </c>
      <c r="AN52" s="5">
        <f t="shared" si="7"/>
        <v>0</v>
      </c>
      <c r="AO52" s="5">
        <f t="shared" si="8"/>
        <v>0</v>
      </c>
      <c r="AP52" s="5">
        <f t="shared" si="9"/>
        <v>0</v>
      </c>
      <c r="AQ52" s="5">
        <f t="shared" si="10"/>
        <v>1</v>
      </c>
      <c r="AR52" s="5">
        <f t="shared" si="11"/>
        <v>0</v>
      </c>
      <c r="AS52" s="5">
        <f t="shared" si="12"/>
        <v>0</v>
      </c>
      <c r="AT52" s="5">
        <f t="shared" si="13"/>
        <v>0</v>
      </c>
      <c r="AU52" s="5">
        <f t="shared" si="14"/>
        <v>0</v>
      </c>
      <c r="AV52" s="5">
        <f t="shared" si="15"/>
        <v>0</v>
      </c>
      <c r="AW52" s="5">
        <f t="shared" si="16"/>
        <v>0</v>
      </c>
      <c r="AX52" s="5">
        <f t="shared" si="17"/>
        <v>0</v>
      </c>
      <c r="AY52" s="5">
        <f t="shared" si="18"/>
        <v>0</v>
      </c>
      <c r="AZ52" s="5">
        <f t="shared" si="19"/>
        <v>0</v>
      </c>
      <c r="BA52" s="5">
        <f t="shared" si="20"/>
        <v>0</v>
      </c>
      <c r="BB52" s="5">
        <f t="shared" si="21"/>
        <v>1</v>
      </c>
    </row>
    <row r="53" spans="1:54" s="5" customFormat="1" hidden="1">
      <c r="A53" s="8">
        <f>IF(INDEX(FORM!$A:$A,ROW())="","",ROW()-1)</f>
        <v>52</v>
      </c>
      <c r="B53" s="41">
        <f>IF($A53="","",INDEX(FORM!$A:$A,ROW()))</f>
        <v>46308.700725613402</v>
      </c>
      <c r="C53" s="8" t="str">
        <f>IF($A53="","",TRIM(INDEX(FORM!$B:$B,ROW())))</f>
        <v>Muhammad Koharuddin</v>
      </c>
      <c r="D53" s="8" t="str">
        <f>IF($A53="","",TRIM(INDEX(FORM!$C:$C,ROW())&amp;""))</f>
        <v>1511072</v>
      </c>
      <c r="E53" s="8" t="str">
        <f>IF($A53="","",UPPER(TRIM(INDEX(FORM!$D:$D,ROW()))))</f>
        <v>PEKALONGAN</v>
      </c>
      <c r="F53" s="8" t="str">
        <f>IF($A53="","",IFERROR(INDEX(PROGRES!$A$2:$A$92,MATCH(E53,PROGRES!$B$2:$B$92,0)),"-"))</f>
        <v>Jawa Tengah</v>
      </c>
      <c r="G53" s="8" t="str">
        <f>IF($A53="","",UPPER(TRIM(INDEX(FORM!$F:$F,ROW()))))</f>
        <v>JATENG DIY</v>
      </c>
      <c r="H53" s="8" t="str">
        <f>IF($A53="","",UPPER(TRIM(INDEX(FORM!$E:$E,ROW()))))</f>
        <v>BM</v>
      </c>
      <c r="I53" s="8" t="str">
        <f>IF($A53="","",UPPER(TRIM(INDEX(FORM!$G:$G,ROW()))))</f>
        <v>MUDAH</v>
      </c>
      <c r="J53" s="8" t="str">
        <f>IF($A53="","",IF(ISNUMBER(SEARCH("Ya,",INDEX(FORM!$H:$H,ROW()))),"YA",IF(ISNUMBER(SEARCH("Cukup,",INDEX(FORM!$H:$H,ROW()))),"CUKUP",IF(ISNUMBER(SEARCH("Kurang,",INDEX(FORM!$H:$H,ROW()))),"KURANG",""))))</f>
        <v>YA</v>
      </c>
      <c r="K53" s="8" t="str">
        <f>IF($A53="","",UPPER(TRIM(INDEX(FORM!$J:$J,ROW()))))</f>
        <v>CUKUP</v>
      </c>
      <c r="L53" s="8">
        <f>IF($A53="","",IF(ISNUMBER(SEARCH("Aktivitas Harian",INDEX(FORM!$K:$K,ROW()))),1,0))</f>
        <v>0</v>
      </c>
      <c r="M53" s="8">
        <f>IF($A53="","",IF(ISNUMBER(SEARCH("Aktivitas Mingguan",INDEX(FORM!$K:$K,ROW()))),1,0))</f>
        <v>0</v>
      </c>
      <c r="N53" s="8">
        <f>IF($A53="","",IF(ISNUMBER(SEARCH("Aktivitas Bulanan",INDEX(FORM!$K:$K,ROW()))),1,0))</f>
        <v>0</v>
      </c>
      <c r="O53" s="8">
        <f>IF($A53="","",IF(ISNUMBER(SEARCH("Overview Cabang",INDEX(FORM!$K:$K,ROW()))),1,0))</f>
        <v>1</v>
      </c>
      <c r="P53" s="8">
        <f>IF($A53="","",IFERROR(VLOOKUP(I53,DATA!$AH$9:$AI$13,2,0),""))</f>
        <v>3</v>
      </c>
      <c r="Q53" s="8">
        <f>IF($A53="","",IFERROR(VLOOKUP(J53,DATA!$AH$9:$AI$13,2,0),""))</f>
        <v>3</v>
      </c>
      <c r="R53" s="8">
        <f>IF($A53="","",IFERROR(VLOOKUP(K53,DATA!$AH$9:$AI$13,2,0),""))</f>
        <v>2</v>
      </c>
      <c r="S53" s="42">
        <f t="shared" si="0"/>
        <v>2.6666666666666665</v>
      </c>
      <c r="T53" s="8">
        <f>IF($A53="","",IF(COUNTIF($D$2:D53,D53)=1,1,0))</f>
        <v>1</v>
      </c>
      <c r="U53" s="8" t="str">
        <f>IF($A53="","",IF(F53="-","Cabang tdk ada",IF(IFERROR(VLOOKUP(G53,#REF!,1,0),"")="","",IF(INDEX(DATA!$AH$2:$AH$5,MATCH(G53,DATA!$AI$2:$AI$5,0))&lt;&gt;F53,"Wilayah beda","OK"))))</f>
        <v/>
      </c>
      <c r="V53" s="8" t="str">
        <f>IF($A53="","",TRIM(INDEX(FORM!$I:$I,ROW())&amp;""))</f>
        <v>Ditingkatkan dan dikembangkan lebih baik lagi</v>
      </c>
      <c r="W53" s="8" t="str">
        <f>IF($A53="","",TRIM(INDEX(FORM!$L:$L,ROW())&amp;""))</f>
        <v>Hampir semua sudah</v>
      </c>
      <c r="X53" s="8" t="str">
        <f>IF($A53="","",TRIM(INDEX(FORM!$M:$M,ROW())&amp;""))</f>
        <v>Dikembangkan dan ditingkatkan lagi</v>
      </c>
      <c r="Y53" s="8">
        <f>IF($A53="","",IFERROR(MATCH(F53,DATA!$AH$2:$AH$5,0),9)*10000+A53)</f>
        <v>20052</v>
      </c>
      <c r="Z53" s="8" t="str">
        <f t="shared" si="1"/>
        <v>Saran Umum Peningkatan</v>
      </c>
      <c r="AA53" s="8" t="str">
        <f t="shared" si="2"/>
        <v>Tidak ada masukan / sudah baik</v>
      </c>
      <c r="AB53" s="8" t="str">
        <f t="shared" si="3"/>
        <v>Saran Umum Peningkatan</v>
      </c>
      <c r="AC53" s="8"/>
      <c r="AD53" s="8"/>
      <c r="AE53" s="8"/>
      <c r="AK53" s="5">
        <f t="shared" si="4"/>
        <v>0</v>
      </c>
      <c r="AL53" s="5">
        <f t="shared" si="5"/>
        <v>0</v>
      </c>
      <c r="AM53" s="5">
        <f t="shared" si="6"/>
        <v>0</v>
      </c>
      <c r="AN53" s="5">
        <f t="shared" si="7"/>
        <v>0</v>
      </c>
      <c r="AO53" s="5">
        <f t="shared" si="8"/>
        <v>0</v>
      </c>
      <c r="AP53" s="5">
        <f t="shared" si="9"/>
        <v>0</v>
      </c>
      <c r="AQ53" s="5">
        <f t="shared" si="10"/>
        <v>0</v>
      </c>
      <c r="AR53" s="5">
        <f t="shared" si="11"/>
        <v>0</v>
      </c>
      <c r="AS53" s="5">
        <f t="shared" si="12"/>
        <v>0</v>
      </c>
      <c r="AT53" s="5">
        <f t="shared" si="13"/>
        <v>0</v>
      </c>
      <c r="AU53" s="5">
        <f t="shared" si="14"/>
        <v>0</v>
      </c>
      <c r="AV53" s="5">
        <f t="shared" si="15"/>
        <v>0</v>
      </c>
      <c r="AW53" s="5">
        <f t="shared" si="16"/>
        <v>0</v>
      </c>
      <c r="AX53" s="5">
        <f t="shared" si="17"/>
        <v>0</v>
      </c>
      <c r="AY53" s="5">
        <f t="shared" si="18"/>
        <v>0</v>
      </c>
      <c r="AZ53" s="5">
        <f t="shared" si="19"/>
        <v>1</v>
      </c>
      <c r="BA53" s="5">
        <f t="shared" si="20"/>
        <v>0</v>
      </c>
      <c r="BB53" s="5">
        <f t="shared" si="21"/>
        <v>1</v>
      </c>
    </row>
    <row r="54" spans="1:54" s="5" customFormat="1" hidden="1">
      <c r="A54" s="8">
        <f>IF(INDEX(FORM!$A:$A,ROW())="","",ROW()-1)</f>
        <v>53</v>
      </c>
      <c r="B54" s="41">
        <f>IF($A54="","",INDEX(FORM!$A:$A,ROW()))</f>
        <v>46308.702868877299</v>
      </c>
      <c r="C54" s="8" t="str">
        <f>IF($A54="","",TRIM(INDEX(FORM!$B:$B,ROW())))</f>
        <v>Agus Nurohmad</v>
      </c>
      <c r="D54" s="8" t="str">
        <f>IF($A54="","",TRIM(INDEX(FORM!$C:$C,ROW())&amp;""))</f>
        <v>80492</v>
      </c>
      <c r="E54" s="8" t="str">
        <f>IF($A54="","",UPPER(TRIM(INDEX(FORM!$D:$D,ROW()))))</f>
        <v>SAMARINDA</v>
      </c>
      <c r="F54" s="8" t="str">
        <f>IF($A54="","",IFERROR(INDEX(PROGRES!$A$2:$A$92,MATCH(E54,PROGRES!$B$2:$B$92,0)),"-"))</f>
        <v>Luar Pulau</v>
      </c>
      <c r="G54" s="8" t="str">
        <f>IF($A54="","",UPPER(TRIM(INDEX(FORM!$F:$F,ROW()))))</f>
        <v>LUAR PULAU</v>
      </c>
      <c r="H54" s="8" t="str">
        <f>IF($A54="","",UPPER(TRIM(INDEX(FORM!$E:$E,ROW()))))</f>
        <v>BM</v>
      </c>
      <c r="I54" s="8" t="str">
        <f>IF($A54="","",UPPER(TRIM(INDEX(FORM!$G:$G,ROW()))))</f>
        <v>CUKUP</v>
      </c>
      <c r="J54" s="8" t="str">
        <f>IF($A54="","",IF(ISNUMBER(SEARCH("Ya,",INDEX(FORM!$H:$H,ROW()))),"YA",IF(ISNUMBER(SEARCH("Cukup,",INDEX(FORM!$H:$H,ROW()))),"CUKUP",IF(ISNUMBER(SEARCH("Kurang,",INDEX(FORM!$H:$H,ROW()))),"KURANG",""))))</f>
        <v>YA</v>
      </c>
      <c r="K54" s="8" t="str">
        <f>IF($A54="","",UPPER(TRIM(INDEX(FORM!$J:$J,ROW()))))</f>
        <v>MUDAH</v>
      </c>
      <c r="L54" s="8">
        <f>IF($A54="","",IF(ISNUMBER(SEARCH("Aktivitas Harian",INDEX(FORM!$K:$K,ROW()))),1,0))</f>
        <v>1</v>
      </c>
      <c r="M54" s="8">
        <f>IF($A54="","",IF(ISNUMBER(SEARCH("Aktivitas Mingguan",INDEX(FORM!$K:$K,ROW()))),1,0))</f>
        <v>0</v>
      </c>
      <c r="N54" s="8">
        <f>IF($A54="","",IF(ISNUMBER(SEARCH("Aktivitas Bulanan",INDEX(FORM!$K:$K,ROW()))),1,0))</f>
        <v>0</v>
      </c>
      <c r="O54" s="8">
        <f>IF($A54="","",IF(ISNUMBER(SEARCH("Overview Cabang",INDEX(FORM!$K:$K,ROW()))),1,0))</f>
        <v>0</v>
      </c>
      <c r="P54" s="8">
        <f>IF($A54="","",IFERROR(VLOOKUP(I54,DATA!$AH$9:$AI$13,2,0),""))</f>
        <v>2</v>
      </c>
      <c r="Q54" s="8">
        <f>IF($A54="","",IFERROR(VLOOKUP(J54,DATA!$AH$9:$AI$13,2,0),""))</f>
        <v>3</v>
      </c>
      <c r="R54" s="8">
        <f>IF($A54="","",IFERROR(VLOOKUP(K54,DATA!$AH$9:$AI$13,2,0),""))</f>
        <v>3</v>
      </c>
      <c r="S54" s="42">
        <f t="shared" si="0"/>
        <v>2.6666666666666665</v>
      </c>
      <c r="T54" s="8">
        <f>IF($A54="","",IF(COUNTIF($D$2:D54,D54)=1,1,0))</f>
        <v>1</v>
      </c>
      <c r="U54" s="8" t="str">
        <f>IF($A54="","",IF(F54="-","Cabang tdk ada",IF(IFERROR(VLOOKUP(G54,#REF!,1,0),"")="","",IF(INDEX(DATA!$AH$2:$AH$5,MATCH(G54,DATA!$AI$2:$AI$5,0))&lt;&gt;F54,"Wilayah beda","OK"))))</f>
        <v/>
      </c>
      <c r="V54" s="8" t="str">
        <f>IF($A54="","",TRIM(INDEX(FORM!$I:$I,ROW())&amp;""))</f>
        <v>Cukup mudah</v>
      </c>
      <c r="W54" s="8" t="str">
        <f>IF($A54="","",TRIM(INDEX(FORM!$L:$L,ROW())&amp;""))</f>
        <v>Tidak ada</v>
      </c>
      <c r="X54" s="8" t="str">
        <f>IF($A54="","",TRIM(INDEX(FORM!$M:$M,ROW())&amp;""))</f>
        <v>Bisa lebih mudah diakses dan simple</v>
      </c>
      <c r="Y54" s="8">
        <f>IF($A54="","",IFERROR(MATCH(F54,DATA!$AH$2:$AH$5,0),9)*10000+A54)</f>
        <v>40053</v>
      </c>
      <c r="Z54" s="8" t="str">
        <f t="shared" si="1"/>
        <v>Tidak ada masukan / sudah baik</v>
      </c>
      <c r="AA54" s="8" t="str">
        <f t="shared" si="2"/>
        <v>Tidak ada masukan / sudah baik</v>
      </c>
      <c r="AB54" s="8" t="str">
        <f t="shared" si="3"/>
        <v>Penyederhanaan Isi</v>
      </c>
      <c r="AC54" s="8"/>
      <c r="AD54" s="8"/>
      <c r="AE54" s="8"/>
      <c r="AK54" s="5">
        <f t="shared" si="4"/>
        <v>0</v>
      </c>
      <c r="AL54" s="5">
        <f t="shared" si="5"/>
        <v>0</v>
      </c>
      <c r="AM54" s="5">
        <f t="shared" si="6"/>
        <v>0</v>
      </c>
      <c r="AN54" s="5">
        <f t="shared" si="7"/>
        <v>0</v>
      </c>
      <c r="AO54" s="5">
        <f t="shared" si="8"/>
        <v>0</v>
      </c>
      <c r="AP54" s="5">
        <f t="shared" si="9"/>
        <v>0</v>
      </c>
      <c r="AQ54" s="5">
        <f t="shared" si="10"/>
        <v>1</v>
      </c>
      <c r="AR54" s="5">
        <f t="shared" si="11"/>
        <v>0</v>
      </c>
      <c r="AS54" s="5">
        <f t="shared" si="12"/>
        <v>0</v>
      </c>
      <c r="AT54" s="5">
        <f t="shared" si="13"/>
        <v>0</v>
      </c>
      <c r="AU54" s="5">
        <f t="shared" si="14"/>
        <v>0</v>
      </c>
      <c r="AV54" s="5">
        <f t="shared" si="15"/>
        <v>0</v>
      </c>
      <c r="AW54" s="5">
        <f t="shared" si="16"/>
        <v>0</v>
      </c>
      <c r="AX54" s="5">
        <f t="shared" si="17"/>
        <v>0</v>
      </c>
      <c r="AY54" s="5">
        <f t="shared" si="18"/>
        <v>0</v>
      </c>
      <c r="AZ54" s="5">
        <f t="shared" si="19"/>
        <v>0</v>
      </c>
      <c r="BA54" s="5">
        <f t="shared" si="20"/>
        <v>0</v>
      </c>
      <c r="BB54" s="5">
        <f t="shared" si="21"/>
        <v>1</v>
      </c>
    </row>
    <row r="55" spans="1:54">
      <c r="A55" s="87">
        <f>IF(INDEX(FORM!$A:$A,ROW())="","",ROW()-1)</f>
        <v>54</v>
      </c>
      <c r="B55" s="88">
        <f>IF($A55="","",INDEX(FORM!$A:$A,ROW()))</f>
        <v>46308.7049429861</v>
      </c>
      <c r="C55" s="87" t="str">
        <f>IF($A55="","",TRIM(INDEX(FORM!$B:$B,ROW())))</f>
        <v>Ghulam nahar adiba karim</v>
      </c>
      <c r="D55" s="87" t="str">
        <f>IF($A55="","",TRIM(INDEX(FORM!$C:$C,ROW())&amp;""))</f>
        <v>1510918</v>
      </c>
      <c r="E55" s="87" t="str">
        <f>IF($A55="","",UPPER(TRIM(INDEX(FORM!$D:$D,ROW()))))</f>
        <v>SALATIGA</v>
      </c>
      <c r="F55" s="87" t="str">
        <f>IF($A55="","",IFERROR(INDEX(PROGRES!$A$2:$A$92,MATCH(E55,PROGRES!$B$2:$B$92,0)),"-"))</f>
        <v>Jawa Tengah</v>
      </c>
      <c r="G55" s="87" t="str">
        <f>IF($A55="","",UPPER(TRIM(INDEX(FORM!$F:$F,ROW()))))</f>
        <v>JATENG DIY</v>
      </c>
      <c r="H55" s="87" t="str">
        <f>IF($A55="","",UPPER(TRIM(INDEX(FORM!$E:$E,ROW()))))</f>
        <v>CRO</v>
      </c>
      <c r="I55" s="87" t="str">
        <f>IF($A55="","",UPPER(TRIM(INDEX(FORM!$G:$G,ROW()))))</f>
        <v>MUDAH</v>
      </c>
      <c r="J55" s="87" t="str">
        <f>IF($A55="","",IF(ISNUMBER(SEARCH("Ya,",INDEX(FORM!$H:$H,ROW()))),"YA",IF(ISNUMBER(SEARCH("Cukup,",INDEX(FORM!$H:$H,ROW()))),"CUKUP",IF(ISNUMBER(SEARCH("Kurang,",INDEX(FORM!$H:$H,ROW()))),"KURANG",""))))</f>
        <v>CUKUP</v>
      </c>
      <c r="K55" s="87" t="str">
        <f>IF($A55="","",UPPER(TRIM(INDEX(FORM!$J:$J,ROW()))))</f>
        <v>CUKUP</v>
      </c>
      <c r="L55" s="87">
        <f>IF($A55="","",IF(ISNUMBER(SEARCH("Aktivitas Harian",INDEX(FORM!$K:$K,ROW()))),1,0))</f>
        <v>1</v>
      </c>
      <c r="M55" s="87">
        <f>IF($A55="","",IF(ISNUMBER(SEARCH("Aktivitas Mingguan",INDEX(FORM!$K:$K,ROW()))),1,0))</f>
        <v>1</v>
      </c>
      <c r="N55" s="87">
        <f>IF($A55="","",IF(ISNUMBER(SEARCH("Aktivitas Bulanan",INDEX(FORM!$K:$K,ROW()))),1,0))</f>
        <v>1</v>
      </c>
      <c r="O55" s="87">
        <f>IF($A55="","",IF(ISNUMBER(SEARCH("Overview Cabang",INDEX(FORM!$K:$K,ROW()))),1,0))</f>
        <v>1</v>
      </c>
      <c r="P55" s="87">
        <f>IF($A55="","",IFERROR(VLOOKUP(I55,DATA!$AH$9:$AI$13,2,0),""))</f>
        <v>3</v>
      </c>
      <c r="Q55" s="87">
        <f>IF($A55="","",IFERROR(VLOOKUP(J55,DATA!$AH$9:$AI$13,2,0),""))</f>
        <v>2</v>
      </c>
      <c r="R55" s="87">
        <f>IF($A55="","",IFERROR(VLOOKUP(K55,DATA!$AH$9:$AI$13,2,0),""))</f>
        <v>2</v>
      </c>
      <c r="S55" s="89">
        <f t="shared" si="0"/>
        <v>2.3333333333333335</v>
      </c>
      <c r="T55" s="87">
        <f>IF($A55="","",IF(COUNTIF($D$2:D55,D55)=1,1,0))</f>
        <v>1</v>
      </c>
      <c r="U55" s="87" t="str">
        <f>IF($A55="","",IF(F55="-","Cabang tdk ada",IF(IFERROR(VLOOKUP(G55,#REF!,1,0),"")="","",IF(INDEX(DATA!$AH$2:$AH$5,MATCH(G55,DATA!$AI$2:$AI$5,0))&lt;&gt;F55,"Wilayah beda","OK"))))</f>
        <v/>
      </c>
      <c r="V55" s="87" t="str">
        <f>IF($A55="","",TRIM(INDEX(FORM!$I:$I,ROW())&amp;""))</f>
        <v>Lebih meringkas materi karena dalam suatu website penjelasan panjang lebar terlalu membuat malas pembacanya</v>
      </c>
      <c r="W55" s="87" t="str">
        <f>IF($A55="","",TRIM(INDEX(FORM!$L:$L,ROW())&amp;""))</f>
        <v>Acuan sistem kerja</v>
      </c>
      <c r="X55" s="87" t="str">
        <f>IF($A55="","",TRIM(INDEX(FORM!$M:$M,ROW())&amp;""))</f>
        <v>Lebih baik dibuat jpg rinciannya tidak terlalu banyak ketikan</v>
      </c>
      <c r="Y55" s="8">
        <f>IF($A55="","",IFERROR(MATCH(F55,DATA!$AH$2:$AH$5,0),9)*10000+A55)</f>
        <v>20054</v>
      </c>
      <c r="Z55" s="87" t="str">
        <f t="shared" si="1"/>
        <v>Penyederhanaan &amp; Ringkas Isi</v>
      </c>
      <c r="AA55" s="87" t="str">
        <f t="shared" si="2"/>
        <v>Panduan Laporan &amp; Alur Kerja</v>
      </c>
      <c r="AB55" s="87" t="str">
        <f t="shared" si="3"/>
        <v>Tambah Video / Gambar / Flowchart</v>
      </c>
      <c r="AC55" s="87"/>
      <c r="AD55" s="87"/>
      <c r="AE55" s="87"/>
      <c r="AK55" s="90">
        <f t="shared" si="4"/>
        <v>0</v>
      </c>
      <c r="AL55" s="90">
        <f t="shared" si="5"/>
        <v>0</v>
      </c>
      <c r="AM55" s="90">
        <f t="shared" si="6"/>
        <v>0</v>
      </c>
      <c r="AN55" s="90">
        <f t="shared" si="7"/>
        <v>0</v>
      </c>
      <c r="AO55" s="90">
        <f t="shared" si="8"/>
        <v>0</v>
      </c>
      <c r="AP55" s="90">
        <f t="shared" si="9"/>
        <v>0</v>
      </c>
      <c r="AQ55" s="90">
        <f t="shared" si="10"/>
        <v>1</v>
      </c>
      <c r="AR55" s="90">
        <f t="shared" si="11"/>
        <v>0</v>
      </c>
      <c r="AS55" s="90">
        <f t="shared" si="12"/>
        <v>1</v>
      </c>
      <c r="AT55" s="90">
        <f t="shared" si="13"/>
        <v>0</v>
      </c>
      <c r="AU55" s="90">
        <f t="shared" si="14"/>
        <v>0</v>
      </c>
      <c r="AV55" s="90">
        <f t="shared" si="15"/>
        <v>0</v>
      </c>
      <c r="AW55" s="90">
        <f t="shared" si="16"/>
        <v>0</v>
      </c>
      <c r="AX55" s="90">
        <f t="shared" si="17"/>
        <v>0</v>
      </c>
      <c r="AY55" s="90">
        <f t="shared" si="18"/>
        <v>1</v>
      </c>
      <c r="AZ55" s="90">
        <f t="shared" si="19"/>
        <v>0</v>
      </c>
      <c r="BA55" s="90">
        <f t="shared" si="20"/>
        <v>0</v>
      </c>
      <c r="BB55" s="90">
        <f t="shared" si="21"/>
        <v>1</v>
      </c>
    </row>
    <row r="56" spans="1:54">
      <c r="A56" s="87">
        <f>IF(INDEX(FORM!$A:$A,ROW())="","",ROW()-1)</f>
        <v>55</v>
      </c>
      <c r="B56" s="88">
        <f>IF($A56="","",INDEX(FORM!$A:$A,ROW()))</f>
        <v>46308.707326145799</v>
      </c>
      <c r="C56" s="87" t="str">
        <f>IF($A56="","",TRIM(INDEX(FORM!$B:$B,ROW())))</f>
        <v>Heksa Indra P</v>
      </c>
      <c r="D56" s="87" t="str">
        <f>IF($A56="","",TRIM(INDEX(FORM!$C:$C,ROW())&amp;""))</f>
        <v>1511029</v>
      </c>
      <c r="E56" s="87" t="str">
        <f>IF($A56="","",UPPER(TRIM(INDEX(FORM!$D:$D,ROW()))))</f>
        <v>KLUNGKUNG</v>
      </c>
      <c r="F56" s="87" t="str">
        <f>IF($A56="","",IFERROR(INDEX(PROGRES!$A$2:$A$92,MATCH(E56,PROGRES!$B$2:$B$92,0)),"-"))</f>
        <v>Luar Pulau</v>
      </c>
      <c r="G56" s="87" t="str">
        <f>IF($A56="","",UPPER(TRIM(INDEX(FORM!$F:$F,ROW()))))</f>
        <v>LUAR PULAU</v>
      </c>
      <c r="H56" s="87" t="str">
        <f>IF($A56="","",UPPER(TRIM(INDEX(FORM!$E:$E,ROW()))))</f>
        <v>CRO</v>
      </c>
      <c r="I56" s="87" t="str">
        <f>IF($A56="","",UPPER(TRIM(INDEX(FORM!$G:$G,ROW()))))</f>
        <v>CUKUP</v>
      </c>
      <c r="J56" s="87" t="str">
        <f>IF($A56="","",IF(ISNUMBER(SEARCH("Ya,",INDEX(FORM!$H:$H,ROW()))),"YA",IF(ISNUMBER(SEARCH("Cukup,",INDEX(FORM!$H:$H,ROW()))),"CUKUP",IF(ISNUMBER(SEARCH("Kurang,",INDEX(FORM!$H:$H,ROW()))),"KURANG",""))))</f>
        <v>YA</v>
      </c>
      <c r="K56" s="87" t="str">
        <f>IF($A56="","",UPPER(TRIM(INDEX(FORM!$J:$J,ROW()))))</f>
        <v>CUKUP</v>
      </c>
      <c r="L56" s="87">
        <f>IF($A56="","",IF(ISNUMBER(SEARCH("Aktivitas Harian",INDEX(FORM!$K:$K,ROW()))),1,0))</f>
        <v>0</v>
      </c>
      <c r="M56" s="87">
        <f>IF($A56="","",IF(ISNUMBER(SEARCH("Aktivitas Mingguan",INDEX(FORM!$K:$K,ROW()))),1,0))</f>
        <v>0</v>
      </c>
      <c r="N56" s="87">
        <f>IF($A56="","",IF(ISNUMBER(SEARCH("Aktivitas Bulanan",INDEX(FORM!$K:$K,ROW()))),1,0))</f>
        <v>1</v>
      </c>
      <c r="O56" s="87">
        <f>IF($A56="","",IF(ISNUMBER(SEARCH("Overview Cabang",INDEX(FORM!$K:$K,ROW()))),1,0))</f>
        <v>1</v>
      </c>
      <c r="P56" s="87">
        <f>IF($A56="","",IFERROR(VLOOKUP(I56,DATA!$AH$9:$AI$13,2,0),""))</f>
        <v>2</v>
      </c>
      <c r="Q56" s="87">
        <f>IF($A56="","",IFERROR(VLOOKUP(J56,DATA!$AH$9:$AI$13,2,0),""))</f>
        <v>3</v>
      </c>
      <c r="R56" s="87">
        <f>IF($A56="","",IFERROR(VLOOKUP(K56,DATA!$AH$9:$AI$13,2,0),""))</f>
        <v>2</v>
      </c>
      <c r="S56" s="89">
        <f t="shared" si="0"/>
        <v>2.3333333333333335</v>
      </c>
      <c r="T56" s="87">
        <f>IF($A56="","",IF(COUNTIF($D$2:D56,D56)=1,1,0))</f>
        <v>1</v>
      </c>
      <c r="U56" s="87" t="str">
        <f>IF($A56="","",IF(F56="-","Cabang tdk ada",IF(IFERROR(VLOOKUP(G56,#REF!,1,0),"")="","",IF(INDEX(DATA!$AH$2:$AH$5,MATCH(G56,DATA!$AI$2:$AI$5,0))&lt;&gt;F56,"Wilayah beda","OK"))))</f>
        <v/>
      </c>
      <c r="V56" s="87" t="str">
        <f>IF($A56="","",TRIM(INDEX(FORM!$I:$I,ROW())&amp;""))</f>
        <v>Sudah sangat baik untuk tampilan dan aksesubilitasnya</v>
      </c>
      <c r="W56" s="87" t="str">
        <f>IF($A56="","",TRIM(INDEX(FORM!$L:$L,ROW())&amp;""))</f>
        <v>Sudah tercakup semuanya</v>
      </c>
      <c r="X56" s="87" t="str">
        <f>IF($A56="","",TRIM(INDEX(FORM!$M:$M,ROW())&amp;""))</f>
        <v>Sudah cukup baik dan sangat membantu</v>
      </c>
      <c r="Y56" s="8">
        <f>IF($A56="","",IFERROR(MATCH(F56,DATA!$AH$2:$AH$5,0),9)*10000+A56)</f>
        <v>40055</v>
      </c>
      <c r="Z56" s="87" t="str">
        <f t="shared" si="1"/>
        <v>Tidak ada masukan / sudah baik</v>
      </c>
      <c r="AA56" s="87" t="str">
        <f t="shared" si="2"/>
        <v>Tidak ada masukan / sudah baik</v>
      </c>
      <c r="AB56" s="87" t="str">
        <f t="shared" si="3"/>
        <v>Tidak ada masukan / sudah baik</v>
      </c>
      <c r="AC56" s="87"/>
      <c r="AD56" s="87"/>
      <c r="AE56" s="87"/>
      <c r="AK56" s="90">
        <f t="shared" si="4"/>
        <v>0</v>
      </c>
      <c r="AL56" s="90">
        <f t="shared" si="5"/>
        <v>0</v>
      </c>
      <c r="AM56" s="90">
        <f t="shared" si="6"/>
        <v>0</v>
      </c>
      <c r="AN56" s="90">
        <f t="shared" si="7"/>
        <v>0</v>
      </c>
      <c r="AO56" s="90">
        <f t="shared" si="8"/>
        <v>0</v>
      </c>
      <c r="AP56" s="90">
        <f t="shared" si="9"/>
        <v>0</v>
      </c>
      <c r="AQ56" s="90">
        <f t="shared" si="10"/>
        <v>0</v>
      </c>
      <c r="AR56" s="90">
        <f t="shared" si="11"/>
        <v>0</v>
      </c>
      <c r="AS56" s="90">
        <f t="shared" si="12"/>
        <v>0</v>
      </c>
      <c r="AT56" s="90">
        <f t="shared" si="13"/>
        <v>0</v>
      </c>
      <c r="AU56" s="90">
        <f t="shared" si="14"/>
        <v>0</v>
      </c>
      <c r="AV56" s="90">
        <f t="shared" si="15"/>
        <v>0</v>
      </c>
      <c r="AW56" s="90">
        <f t="shared" si="16"/>
        <v>0</v>
      </c>
      <c r="AX56" s="90">
        <f t="shared" si="17"/>
        <v>0</v>
      </c>
      <c r="AY56" s="90">
        <f t="shared" si="18"/>
        <v>0</v>
      </c>
      <c r="AZ56" s="90">
        <f t="shared" si="19"/>
        <v>0</v>
      </c>
      <c r="BA56" s="90">
        <f t="shared" si="20"/>
        <v>0</v>
      </c>
      <c r="BB56" s="90">
        <f t="shared" si="21"/>
        <v>0</v>
      </c>
    </row>
    <row r="57" spans="1:54">
      <c r="A57" s="87">
        <f>IF(INDEX(FORM!$A:$A,ROW())="","",ROW()-1)</f>
        <v>56</v>
      </c>
      <c r="B57" s="88">
        <f>IF($A57="","",INDEX(FORM!$A:$A,ROW()))</f>
        <v>46308.707371817101</v>
      </c>
      <c r="C57" s="87" t="str">
        <f>IF($A57="","",TRIM(INDEX(FORM!$B:$B,ROW())))</f>
        <v>Zein nur roziqin</v>
      </c>
      <c r="D57" s="87" t="str">
        <f>IF($A57="","",TRIM(INDEX(FORM!$C:$C,ROW())&amp;""))</f>
        <v>1511161</v>
      </c>
      <c r="E57" s="87" t="str">
        <f>IF($A57="","",UPPER(TRIM(INDEX(FORM!$D:$D,ROW()))))</f>
        <v>KLUNGKUNG</v>
      </c>
      <c r="F57" s="87" t="str">
        <f>IF($A57="","",IFERROR(INDEX(PROGRES!$A$2:$A$92,MATCH(E57,PROGRES!$B$2:$B$92,0)),"-"))</f>
        <v>Luar Pulau</v>
      </c>
      <c r="G57" s="87" t="str">
        <f>IF($A57="","",UPPER(TRIM(INDEX(FORM!$F:$F,ROW()))))</f>
        <v>LUAR PULAU</v>
      </c>
      <c r="H57" s="87" t="str">
        <f>IF($A57="","",UPPER(TRIM(INDEX(FORM!$E:$E,ROW()))))</f>
        <v>CRO</v>
      </c>
      <c r="I57" s="87" t="str">
        <f>IF($A57="","",UPPER(TRIM(INDEX(FORM!$G:$G,ROW()))))</f>
        <v>CUKUP</v>
      </c>
      <c r="J57" s="87" t="str">
        <f>IF($A57="","",IF(ISNUMBER(SEARCH("Ya,",INDEX(FORM!$H:$H,ROW()))),"YA",IF(ISNUMBER(SEARCH("Cukup,",INDEX(FORM!$H:$H,ROW()))),"CUKUP",IF(ISNUMBER(SEARCH("Kurang,",INDEX(FORM!$H:$H,ROW()))),"KURANG",""))))</f>
        <v>CUKUP</v>
      </c>
      <c r="K57" s="87" t="str">
        <f>IF($A57="","",UPPER(TRIM(INDEX(FORM!$J:$J,ROW()))))</f>
        <v>MUDAH</v>
      </c>
      <c r="L57" s="87">
        <f>IF($A57="","",IF(ISNUMBER(SEARCH("Aktivitas Harian",INDEX(FORM!$K:$K,ROW()))),1,0))</f>
        <v>1</v>
      </c>
      <c r="M57" s="87">
        <f>IF($A57="","",IF(ISNUMBER(SEARCH("Aktivitas Mingguan",INDEX(FORM!$K:$K,ROW()))),1,0))</f>
        <v>0</v>
      </c>
      <c r="N57" s="87">
        <f>IF($A57="","",IF(ISNUMBER(SEARCH("Aktivitas Bulanan",INDEX(FORM!$K:$K,ROW()))),1,0))</f>
        <v>0</v>
      </c>
      <c r="O57" s="87">
        <f>IF($A57="","",IF(ISNUMBER(SEARCH("Overview Cabang",INDEX(FORM!$K:$K,ROW()))),1,0))</f>
        <v>0</v>
      </c>
      <c r="P57" s="87">
        <f>IF($A57="","",IFERROR(VLOOKUP(I57,DATA!$AH$9:$AI$13,2,0),""))</f>
        <v>2</v>
      </c>
      <c r="Q57" s="87">
        <f>IF($A57="","",IFERROR(VLOOKUP(J57,DATA!$AH$9:$AI$13,2,0),""))</f>
        <v>2</v>
      </c>
      <c r="R57" s="87">
        <f>IF($A57="","",IFERROR(VLOOKUP(K57,DATA!$AH$9:$AI$13,2,0),""))</f>
        <v>3</v>
      </c>
      <c r="S57" s="89">
        <f t="shared" si="0"/>
        <v>2.3333333333333335</v>
      </c>
      <c r="T57" s="87">
        <f>IF($A57="","",IF(COUNTIF($D$2:D57,D57)=1,1,0))</f>
        <v>1</v>
      </c>
      <c r="U57" s="87" t="str">
        <f>IF($A57="","",IF(F57="-","Cabang tdk ada",IF(IFERROR(VLOOKUP(G57,#REF!,1,0),"")="","",IF(INDEX(DATA!$AH$2:$AH$5,MATCH(G57,DATA!$AI$2:$AI$5,0))&lt;&gt;F57,"Wilayah beda","OK"))))</f>
        <v/>
      </c>
      <c r="V57" s="87" t="str">
        <f>IF($A57="","",TRIM(INDEX(FORM!$I:$I,ROW())&amp;""))</f>
        <v>Lumayan bagus tampilan tetapi kecepatan akses ditingkatkan</v>
      </c>
      <c r="W57" s="87" t="str">
        <f>IF($A57="","",TRIM(INDEX(FORM!$L:$L,ROW())&amp;""))</f>
        <v>Penting sekali</v>
      </c>
      <c r="X57" s="87" t="str">
        <f>IF($A57="","",TRIM(INDEX(FORM!$M:$M,ROW())&amp;""))</f>
        <v>Belum ada saran</v>
      </c>
      <c r="Y57" s="8">
        <f>IF($A57="","",IFERROR(MATCH(F57,DATA!$AH$2:$AH$5,0),9)*10000+A57)</f>
        <v>40056</v>
      </c>
      <c r="Z57" s="87" t="str">
        <f t="shared" si="1"/>
        <v>Kecepatan &amp; Loading Website</v>
      </c>
      <c r="AA57" s="87" t="str">
        <f t="shared" si="2"/>
        <v>Tidak ada masukan / sudah baik</v>
      </c>
      <c r="AB57" s="87" t="str">
        <f t="shared" si="3"/>
        <v>Tidak ada masukan / sudah baik</v>
      </c>
      <c r="AC57" s="87"/>
      <c r="AD57" s="87"/>
      <c r="AE57" s="87"/>
      <c r="AK57" s="90">
        <f t="shared" si="4"/>
        <v>1</v>
      </c>
      <c r="AL57" s="90">
        <f t="shared" si="5"/>
        <v>0</v>
      </c>
      <c r="AM57" s="90">
        <f t="shared" si="6"/>
        <v>0</v>
      </c>
      <c r="AN57" s="90">
        <f t="shared" si="7"/>
        <v>0</v>
      </c>
      <c r="AO57" s="90">
        <f t="shared" si="8"/>
        <v>0</v>
      </c>
      <c r="AP57" s="90">
        <f t="shared" si="9"/>
        <v>0</v>
      </c>
      <c r="AQ57" s="90">
        <f t="shared" si="10"/>
        <v>0</v>
      </c>
      <c r="AR57" s="90">
        <f t="shared" si="11"/>
        <v>0</v>
      </c>
      <c r="AS57" s="90">
        <f t="shared" si="12"/>
        <v>0</v>
      </c>
      <c r="AT57" s="90">
        <f t="shared" si="13"/>
        <v>0</v>
      </c>
      <c r="AU57" s="90">
        <f t="shared" si="14"/>
        <v>0</v>
      </c>
      <c r="AV57" s="90">
        <f t="shared" si="15"/>
        <v>0</v>
      </c>
      <c r="AW57" s="90">
        <f t="shared" si="16"/>
        <v>0</v>
      </c>
      <c r="AX57" s="90">
        <f t="shared" si="17"/>
        <v>0</v>
      </c>
      <c r="AY57" s="90">
        <f t="shared" si="18"/>
        <v>0</v>
      </c>
      <c r="AZ57" s="90">
        <f t="shared" si="19"/>
        <v>0</v>
      </c>
      <c r="BA57" s="90">
        <f t="shared" si="20"/>
        <v>0</v>
      </c>
      <c r="BB57" s="90">
        <f t="shared" si="21"/>
        <v>1</v>
      </c>
    </row>
    <row r="58" spans="1:54" s="5" customFormat="1" hidden="1">
      <c r="A58" s="8">
        <f>IF(INDEX(FORM!$A:$A,ROW())="","",ROW()-1)</f>
        <v>57</v>
      </c>
      <c r="B58" s="41">
        <f>IF($A58="","",INDEX(FORM!$A:$A,ROW()))</f>
        <v>46308.710681909703</v>
      </c>
      <c r="C58" s="8" t="str">
        <f>IF($A58="","",TRIM(INDEX(FORM!$B:$B,ROW())))</f>
        <v>ZANU ADHI PUTRA</v>
      </c>
      <c r="D58" s="8" t="str">
        <f>IF($A58="","",TRIM(INDEX(FORM!$C:$C,ROW())&amp;""))</f>
        <v>1510695</v>
      </c>
      <c r="E58" s="8" t="str">
        <f>IF($A58="","",UPPER(TRIM(INDEX(FORM!$D:$D,ROW()))))</f>
        <v>SINGARAJA</v>
      </c>
      <c r="F58" s="8" t="str">
        <f>IF($A58="","",IFERROR(INDEX(PROGRES!$A$2:$A$92,MATCH(E58,PROGRES!$B$2:$B$92,0)),"-"))</f>
        <v>Luar Pulau</v>
      </c>
      <c r="G58" s="8" t="str">
        <f>IF($A58="","",UPPER(TRIM(INDEX(FORM!$F:$F,ROW()))))</f>
        <v>LUAR PULAU</v>
      </c>
      <c r="H58" s="8" t="str">
        <f>IF($A58="","",UPPER(TRIM(INDEX(FORM!$E:$E,ROW()))))</f>
        <v>BAO</v>
      </c>
      <c r="I58" s="8" t="str">
        <f>IF($A58="","",UPPER(TRIM(INDEX(FORM!$G:$G,ROW()))))</f>
        <v>MUDAH</v>
      </c>
      <c r="J58" s="8" t="str">
        <f>IF($A58="","",IF(ISNUMBER(SEARCH("Ya,",INDEX(FORM!$H:$H,ROW()))),"YA",IF(ISNUMBER(SEARCH("Cukup,",INDEX(FORM!$H:$H,ROW()))),"CUKUP",IF(ISNUMBER(SEARCH("Kurang,",INDEX(FORM!$H:$H,ROW()))),"KURANG",""))))</f>
        <v>YA</v>
      </c>
      <c r="K58" s="8" t="str">
        <f>IF($A58="","",UPPER(TRIM(INDEX(FORM!$J:$J,ROW()))))</f>
        <v>CUKUP</v>
      </c>
      <c r="L58" s="8">
        <f>IF($A58="","",IF(ISNUMBER(SEARCH("Aktivitas Harian",INDEX(FORM!$K:$K,ROW()))),1,0))</f>
        <v>0</v>
      </c>
      <c r="M58" s="8">
        <f>IF($A58="","",IF(ISNUMBER(SEARCH("Aktivitas Mingguan",INDEX(FORM!$K:$K,ROW()))),1,0))</f>
        <v>0</v>
      </c>
      <c r="N58" s="8">
        <f>IF($A58="","",IF(ISNUMBER(SEARCH("Aktivitas Bulanan",INDEX(FORM!$K:$K,ROW()))),1,0))</f>
        <v>0</v>
      </c>
      <c r="O58" s="8">
        <f>IF($A58="","",IF(ISNUMBER(SEARCH("Overview Cabang",INDEX(FORM!$K:$K,ROW()))),1,0))</f>
        <v>1</v>
      </c>
      <c r="P58" s="8">
        <f>IF($A58="","",IFERROR(VLOOKUP(I58,DATA!$AH$9:$AI$13,2,0),""))</f>
        <v>3</v>
      </c>
      <c r="Q58" s="8">
        <f>IF($A58="","",IFERROR(VLOOKUP(J58,DATA!$AH$9:$AI$13,2,0),""))</f>
        <v>3</v>
      </c>
      <c r="R58" s="8">
        <f>IF($A58="","",IFERROR(VLOOKUP(K58,DATA!$AH$9:$AI$13,2,0),""))</f>
        <v>2</v>
      </c>
      <c r="S58" s="42">
        <f t="shared" si="0"/>
        <v>2.6666666666666665</v>
      </c>
      <c r="T58" s="8">
        <f>IF($A58="","",IF(COUNTIF($D$2:D58,D58)=1,1,0))</f>
        <v>1</v>
      </c>
      <c r="U58" s="8" t="str">
        <f>IF($A58="","",IF(F58="-","Cabang tdk ada",IF(IFERROR(VLOOKUP(G58,#REF!,1,0),"")="","",IF(INDEX(DATA!$AH$2:$AH$5,MATCH(G58,DATA!$AI$2:$AI$5,0))&lt;&gt;F58,"Wilayah beda","OK"))))</f>
        <v/>
      </c>
      <c r="V58" s="8" t="str">
        <f>IF($A58="","",TRIM(INDEX(FORM!$I:$I,ROW())&amp;""))</f>
        <v>.</v>
      </c>
      <c r="W58" s="8" t="str">
        <f>IF($A58="","",TRIM(INDEX(FORM!$L:$L,ROW())&amp;""))</f>
        <v>BAGUS</v>
      </c>
      <c r="X58" s="8" t="str">
        <f>IF($A58="","",TRIM(INDEX(FORM!$M:$M,ROW())&amp;""))</f>
        <v>GOOD</v>
      </c>
      <c r="Y58" s="8">
        <f>IF($A58="","",IFERROR(MATCH(F58,DATA!$AH$2:$AH$5,0),9)*10000+A58)</f>
        <v>40057</v>
      </c>
      <c r="Z58" s="8" t="str">
        <f t="shared" si="1"/>
        <v>Tidak ada masukan / sudah baik</v>
      </c>
      <c r="AA58" s="8" t="str">
        <f t="shared" si="2"/>
        <v>Tidak ada masukan / sudah baik</v>
      </c>
      <c r="AB58" s="8" t="str">
        <f t="shared" si="3"/>
        <v>Tidak ada masukan / sudah baik</v>
      </c>
      <c r="AC58" s="8"/>
      <c r="AD58" s="8"/>
      <c r="AE58" s="8"/>
      <c r="AK58" s="5">
        <f t="shared" si="4"/>
        <v>0</v>
      </c>
      <c r="AL58" s="5">
        <f t="shared" si="5"/>
        <v>0</v>
      </c>
      <c r="AM58" s="5">
        <f t="shared" si="6"/>
        <v>0</v>
      </c>
      <c r="AN58" s="5">
        <f t="shared" si="7"/>
        <v>0</v>
      </c>
      <c r="AO58" s="5">
        <f t="shared" si="8"/>
        <v>0</v>
      </c>
      <c r="AP58" s="5">
        <f t="shared" si="9"/>
        <v>0</v>
      </c>
      <c r="AQ58" s="5">
        <f t="shared" si="10"/>
        <v>0</v>
      </c>
      <c r="AR58" s="5">
        <f t="shared" si="11"/>
        <v>0</v>
      </c>
      <c r="AS58" s="5">
        <f t="shared" si="12"/>
        <v>0</v>
      </c>
      <c r="AT58" s="5">
        <f t="shared" si="13"/>
        <v>0</v>
      </c>
      <c r="AU58" s="5">
        <f t="shared" si="14"/>
        <v>0</v>
      </c>
      <c r="AV58" s="5">
        <f t="shared" si="15"/>
        <v>0</v>
      </c>
      <c r="AW58" s="5">
        <f t="shared" si="16"/>
        <v>0</v>
      </c>
      <c r="AX58" s="5">
        <f t="shared" si="17"/>
        <v>0</v>
      </c>
      <c r="AY58" s="5">
        <f t="shared" si="18"/>
        <v>0</v>
      </c>
      <c r="AZ58" s="5">
        <f t="shared" si="19"/>
        <v>0</v>
      </c>
      <c r="BA58" s="5">
        <f t="shared" si="20"/>
        <v>0</v>
      </c>
      <c r="BB58" s="5">
        <f t="shared" si="21"/>
        <v>0</v>
      </c>
    </row>
    <row r="59" spans="1:54" s="5" customFormat="1" hidden="1">
      <c r="A59" s="8">
        <f>IF(INDEX(FORM!$A:$A,ROW())="","",ROW()-1)</f>
        <v>58</v>
      </c>
      <c r="B59" s="41">
        <f>IF($A59="","",INDEX(FORM!$A:$A,ROW()))</f>
        <v>46308.710828368101</v>
      </c>
      <c r="C59" s="8" t="str">
        <f>IF($A59="","",TRIM(INDEX(FORM!$B:$B,ROW())))</f>
        <v>RACHMAD INDRA KUNTJORO</v>
      </c>
      <c r="D59" s="8" t="str">
        <f>IF($A59="","",TRIM(INDEX(FORM!$C:$C,ROW())&amp;""))</f>
        <v>1510987</v>
      </c>
      <c r="E59" s="8" t="str">
        <f>IF($A59="","",UPPER(TRIM(INDEX(FORM!$D:$D,ROW()))))</f>
        <v>SUBANG</v>
      </c>
      <c r="F59" s="8" t="str">
        <f>IF($A59="","",IFERROR(INDEX(PROGRES!$A$2:$A$92,MATCH(E59,PROGRES!$B$2:$B$92,0)),"-"))</f>
        <v>Jawa Barat</v>
      </c>
      <c r="G59" s="8" t="str">
        <f>IF($A59="","",UPPER(TRIM(INDEX(FORM!$F:$F,ROW()))))</f>
        <v>JABAR DKI BANTEN</v>
      </c>
      <c r="H59" s="8" t="str">
        <f>IF($A59="","",UPPER(TRIM(INDEX(FORM!$E:$E,ROW()))))</f>
        <v>BM</v>
      </c>
      <c r="I59" s="8" t="str">
        <f>IF($A59="","",UPPER(TRIM(INDEX(FORM!$G:$G,ROW()))))</f>
        <v>CUKUP</v>
      </c>
      <c r="J59" s="8" t="str">
        <f>IF($A59="","",IF(ISNUMBER(SEARCH("Ya,",INDEX(FORM!$H:$H,ROW()))),"YA",IF(ISNUMBER(SEARCH("Cukup,",INDEX(FORM!$H:$H,ROW()))),"CUKUP",IF(ISNUMBER(SEARCH("Kurang,",INDEX(FORM!$H:$H,ROW()))),"KURANG",""))))</f>
        <v>CUKUP</v>
      </c>
      <c r="K59" s="8" t="str">
        <f>IF($A59="","",UPPER(TRIM(INDEX(FORM!$J:$J,ROW()))))</f>
        <v>CUKUP</v>
      </c>
      <c r="L59" s="8">
        <f>IF($A59="","",IF(ISNUMBER(SEARCH("Aktivitas Harian",INDEX(FORM!$K:$K,ROW()))),1,0))</f>
        <v>1</v>
      </c>
      <c r="M59" s="8">
        <f>IF($A59="","",IF(ISNUMBER(SEARCH("Aktivitas Mingguan",INDEX(FORM!$K:$K,ROW()))),1,0))</f>
        <v>1</v>
      </c>
      <c r="N59" s="8">
        <f>IF($A59="","",IF(ISNUMBER(SEARCH("Aktivitas Bulanan",INDEX(FORM!$K:$K,ROW()))),1,0))</f>
        <v>1</v>
      </c>
      <c r="O59" s="8">
        <f>IF($A59="","",IF(ISNUMBER(SEARCH("Overview Cabang",INDEX(FORM!$K:$K,ROW()))),1,0))</f>
        <v>0</v>
      </c>
      <c r="P59" s="8">
        <f>IF($A59="","",IFERROR(VLOOKUP(I59,DATA!$AH$9:$AI$13,2,0),""))</f>
        <v>2</v>
      </c>
      <c r="Q59" s="8">
        <f>IF($A59="","",IFERROR(VLOOKUP(J59,DATA!$AH$9:$AI$13,2,0),""))</f>
        <v>2</v>
      </c>
      <c r="R59" s="8">
        <f>IF($A59="","",IFERROR(VLOOKUP(K59,DATA!$AH$9:$AI$13,2,0),""))</f>
        <v>2</v>
      </c>
      <c r="S59" s="42">
        <f t="shared" si="0"/>
        <v>2</v>
      </c>
      <c r="T59" s="8">
        <f>IF($A59="","",IF(COUNTIF($D$2:D59,D59)=1,1,0))</f>
        <v>1</v>
      </c>
      <c r="U59" s="8" t="str">
        <f>IF($A59="","",IF(F59="-","Cabang tdk ada",IF(IFERROR(VLOOKUP(G59,#REF!,1,0),"")="","",IF(INDEX(DATA!$AH$2:$AH$5,MATCH(G59,DATA!$AI$2:$AI$5,0))&lt;&gt;F59,"Wilayah beda","OK"))))</f>
        <v/>
      </c>
      <c r="V59" s="8" t="str">
        <f>IF($A59="","",TRIM(INDEX(FORM!$I:$I,ROW())&amp;""))</f>
        <v>Sudah cukup bagus</v>
      </c>
      <c r="W59" s="8" t="str">
        <f>IF($A59="","",TRIM(INDEX(FORM!$L:$L,ROW())&amp;""))</f>
        <v>Untuk wilayah Jabar DKI Banten agar di tampilkan juga panduan/cara membuat laporan evaluasi melalui Aplikasi CP setiap harinya. Bisa melalui link Youtube, atau diagram, atau lainnya.</v>
      </c>
      <c r="X59" s="8" t="str">
        <f>IF($A59="","",TRIM(INDEX(FORM!$M:$M,ROW())&amp;""))</f>
        <v>Bisa lebih di berikan secara detail perihal step langkah yang harus dilakukan setiap harinya, mingguan dan bulanan</v>
      </c>
      <c r="Y59" s="8">
        <f>IF($A59="","",IFERROR(MATCH(F59,DATA!$AH$2:$AH$5,0),9)*10000+A59)</f>
        <v>10058</v>
      </c>
      <c r="Z59" s="8" t="str">
        <f t="shared" si="1"/>
        <v>Tidak ada masukan / sudah baik</v>
      </c>
      <c r="AA59" s="8" t="str">
        <f t="shared" si="2"/>
        <v>Panduan Laporan &amp; Alur Kerja</v>
      </c>
      <c r="AB59" s="8" t="str">
        <f t="shared" si="3"/>
        <v>Penambahan Materi &amp; Template</v>
      </c>
      <c r="AC59" s="8"/>
      <c r="AD59" s="8"/>
      <c r="AE59" s="8"/>
      <c r="AK59" s="5">
        <f t="shared" si="4"/>
        <v>0</v>
      </c>
      <c r="AL59" s="5">
        <f t="shared" si="5"/>
        <v>0</v>
      </c>
      <c r="AM59" s="5">
        <f t="shared" si="6"/>
        <v>0</v>
      </c>
      <c r="AN59" s="5">
        <f t="shared" si="7"/>
        <v>0</v>
      </c>
      <c r="AO59" s="5">
        <f t="shared" si="8"/>
        <v>0</v>
      </c>
      <c r="AP59" s="5">
        <f t="shared" si="9"/>
        <v>0</v>
      </c>
      <c r="AQ59" s="5">
        <f t="shared" si="10"/>
        <v>0</v>
      </c>
      <c r="AR59" s="5">
        <f t="shared" si="11"/>
        <v>1</v>
      </c>
      <c r="AS59" s="5">
        <f t="shared" si="12"/>
        <v>0</v>
      </c>
      <c r="AT59" s="5">
        <f t="shared" si="13"/>
        <v>0</v>
      </c>
      <c r="AU59" s="5">
        <f t="shared" si="14"/>
        <v>0</v>
      </c>
      <c r="AV59" s="5">
        <f t="shared" si="15"/>
        <v>0</v>
      </c>
      <c r="AW59" s="5">
        <f t="shared" si="16"/>
        <v>0</v>
      </c>
      <c r="AX59" s="5">
        <f t="shared" si="17"/>
        <v>0</v>
      </c>
      <c r="AY59" s="5">
        <f t="shared" si="18"/>
        <v>1</v>
      </c>
      <c r="AZ59" s="5">
        <f t="shared" si="19"/>
        <v>0</v>
      </c>
      <c r="BA59" s="5">
        <f t="shared" si="20"/>
        <v>0</v>
      </c>
      <c r="BB59" s="5">
        <f t="shared" si="21"/>
        <v>1</v>
      </c>
    </row>
    <row r="60" spans="1:54">
      <c r="A60" s="87">
        <f>IF(INDEX(FORM!$A:$A,ROW())="","",ROW()-1)</f>
        <v>59</v>
      </c>
      <c r="B60" s="88">
        <f>IF($A60="","",INDEX(FORM!$A:$A,ROW()))</f>
        <v>46308.711907939803</v>
      </c>
      <c r="C60" s="87" t="str">
        <f>IF($A60="","",TRIM(INDEX(FORM!$B:$B,ROW())))</f>
        <v>Budi yulianto</v>
      </c>
      <c r="D60" s="87" t="str">
        <f>IF($A60="","",TRIM(INDEX(FORM!$C:$C,ROW())&amp;""))</f>
        <v>1510693</v>
      </c>
      <c r="E60" s="87" t="str">
        <f>IF($A60="","",UPPER(TRIM(INDEX(FORM!$D:$D,ROW()))))</f>
        <v>SALATIGA</v>
      </c>
      <c r="F60" s="87" t="str">
        <f>IF($A60="","",IFERROR(INDEX(PROGRES!$A$2:$A$92,MATCH(E60,PROGRES!$B$2:$B$92,0)),"-"))</f>
        <v>Jawa Tengah</v>
      </c>
      <c r="G60" s="87" t="str">
        <f>IF($A60="","",UPPER(TRIM(INDEX(FORM!$F:$F,ROW()))))</f>
        <v>JATENG DIY</v>
      </c>
      <c r="H60" s="87" t="str">
        <f>IF($A60="","",UPPER(TRIM(INDEX(FORM!$E:$E,ROW()))))</f>
        <v>CRO</v>
      </c>
      <c r="I60" s="87" t="str">
        <f>IF($A60="","",UPPER(TRIM(INDEX(FORM!$G:$G,ROW()))))</f>
        <v>CUKUP</v>
      </c>
      <c r="J60" s="87" t="str">
        <f>IF($A60="","",IF(ISNUMBER(SEARCH("Ya,",INDEX(FORM!$H:$H,ROW()))),"YA",IF(ISNUMBER(SEARCH("Cukup,",INDEX(FORM!$H:$H,ROW()))),"CUKUP",IF(ISNUMBER(SEARCH("Kurang,",INDEX(FORM!$H:$H,ROW()))),"KURANG",""))))</f>
        <v>YA</v>
      </c>
      <c r="K60" s="87" t="str">
        <f>IF($A60="","",UPPER(TRIM(INDEX(FORM!$J:$J,ROW()))))</f>
        <v>CUKUP</v>
      </c>
      <c r="L60" s="87">
        <f>IF($A60="","",IF(ISNUMBER(SEARCH("Aktivitas Harian",INDEX(FORM!$K:$K,ROW()))),1,0))</f>
        <v>1</v>
      </c>
      <c r="M60" s="87">
        <f>IF($A60="","",IF(ISNUMBER(SEARCH("Aktivitas Mingguan",INDEX(FORM!$K:$K,ROW()))),1,0))</f>
        <v>1</v>
      </c>
      <c r="N60" s="87">
        <f>IF($A60="","",IF(ISNUMBER(SEARCH("Aktivitas Bulanan",INDEX(FORM!$K:$K,ROW()))),1,0))</f>
        <v>1</v>
      </c>
      <c r="O60" s="87">
        <f>IF($A60="","",IF(ISNUMBER(SEARCH("Overview Cabang",INDEX(FORM!$K:$K,ROW()))),1,0))</f>
        <v>0</v>
      </c>
      <c r="P60" s="87">
        <f>IF($A60="","",IFERROR(VLOOKUP(I60,DATA!$AH$9:$AI$13,2,0),""))</f>
        <v>2</v>
      </c>
      <c r="Q60" s="87">
        <f>IF($A60="","",IFERROR(VLOOKUP(J60,DATA!$AH$9:$AI$13,2,0),""))</f>
        <v>3</v>
      </c>
      <c r="R60" s="87">
        <f>IF($A60="","",IFERROR(VLOOKUP(K60,DATA!$AH$9:$AI$13,2,0),""))</f>
        <v>2</v>
      </c>
      <c r="S60" s="89">
        <f t="shared" si="0"/>
        <v>2.3333333333333335</v>
      </c>
      <c r="T60" s="87">
        <f>IF($A60="","",IF(COUNTIF($D$2:D60,D60)=1,1,0))</f>
        <v>1</v>
      </c>
      <c r="U60" s="87" t="str">
        <f>IF($A60="","",IF(F60="-","Cabang tdk ada",IF(IFERROR(VLOOKUP(G60,#REF!,1,0),"")="","",IF(INDEX(DATA!$AH$2:$AH$5,MATCH(G60,DATA!$AI$2:$AI$5,0))&lt;&gt;F60,"Wilayah beda","OK"))))</f>
        <v/>
      </c>
      <c r="V60" s="87" t="str">
        <f>IF($A60="","",TRIM(INDEX(FORM!$I:$I,ROW())&amp;""))</f>
        <v>Agar selalu ditingkatkan</v>
      </c>
      <c r="W60" s="87" t="str">
        <f>IF($A60="","",TRIM(INDEX(FORM!$L:$L,ROW())&amp;""))</f>
        <v>Tidak ada</v>
      </c>
      <c r="X60" s="87" t="str">
        <f>IF($A60="","",TRIM(INDEX(FORM!$M:$M,ROW())&amp;""))</f>
        <v>Agar selalu di tingkatkan</v>
      </c>
      <c r="Y60" s="8">
        <f>IF($A60="","",IFERROR(MATCH(F60,DATA!$AH$2:$AH$5,0),9)*10000+A60)</f>
        <v>20059</v>
      </c>
      <c r="Z60" s="87" t="str">
        <f t="shared" si="1"/>
        <v>Saran Umum Peningkatan</v>
      </c>
      <c r="AA60" s="87" t="str">
        <f t="shared" si="2"/>
        <v>Tidak ada masukan / sudah baik</v>
      </c>
      <c r="AB60" s="87" t="str">
        <f t="shared" si="3"/>
        <v>Saran Umum Peningkatan</v>
      </c>
      <c r="AC60" s="87"/>
      <c r="AD60" s="87"/>
      <c r="AE60" s="87"/>
      <c r="AK60" s="90">
        <f t="shared" si="4"/>
        <v>0</v>
      </c>
      <c r="AL60" s="90">
        <f t="shared" si="5"/>
        <v>0</v>
      </c>
      <c r="AM60" s="90">
        <f t="shared" si="6"/>
        <v>0</v>
      </c>
      <c r="AN60" s="90">
        <f t="shared" si="7"/>
        <v>0</v>
      </c>
      <c r="AO60" s="90">
        <f t="shared" si="8"/>
        <v>0</v>
      </c>
      <c r="AP60" s="90">
        <f t="shared" si="9"/>
        <v>0</v>
      </c>
      <c r="AQ60" s="90">
        <f t="shared" si="10"/>
        <v>0</v>
      </c>
      <c r="AR60" s="90">
        <f t="shared" si="11"/>
        <v>0</v>
      </c>
      <c r="AS60" s="90">
        <f t="shared" si="12"/>
        <v>0</v>
      </c>
      <c r="AT60" s="90">
        <f t="shared" si="13"/>
        <v>0</v>
      </c>
      <c r="AU60" s="90">
        <f t="shared" si="14"/>
        <v>0</v>
      </c>
      <c r="AV60" s="90">
        <f t="shared" si="15"/>
        <v>0</v>
      </c>
      <c r="AW60" s="90">
        <f t="shared" si="16"/>
        <v>0</v>
      </c>
      <c r="AX60" s="90">
        <f t="shared" si="17"/>
        <v>0</v>
      </c>
      <c r="AY60" s="90">
        <f t="shared" si="18"/>
        <v>0</v>
      </c>
      <c r="AZ60" s="90">
        <f t="shared" si="19"/>
        <v>1</v>
      </c>
      <c r="BA60" s="90">
        <f t="shared" si="20"/>
        <v>0</v>
      </c>
      <c r="BB60" s="90">
        <f t="shared" si="21"/>
        <v>1</v>
      </c>
    </row>
    <row r="61" spans="1:54" s="5" customFormat="1" hidden="1">
      <c r="A61" s="8">
        <f>IF(INDEX(FORM!$A:$A,ROW())="","",ROW()-1)</f>
        <v>60</v>
      </c>
      <c r="B61" s="41">
        <f>IF($A61="","",INDEX(FORM!$A:$A,ROW()))</f>
        <v>46308.714516597203</v>
      </c>
      <c r="C61" s="8" t="str">
        <f>IF($A61="","",TRIM(INDEX(FORM!$B:$B,ROW())))</f>
        <v>AHMAD URIL SHOFANI</v>
      </c>
      <c r="D61" s="8" t="str">
        <f>IF($A61="","",TRIM(INDEX(FORM!$C:$C,ROW())&amp;""))</f>
        <v>80460</v>
      </c>
      <c r="E61" s="8" t="str">
        <f>IF($A61="","",UPPER(TRIM(INDEX(FORM!$D:$D,ROW()))))</f>
        <v>SALATIGA</v>
      </c>
      <c r="F61" s="8" t="str">
        <f>IF($A61="","",IFERROR(INDEX(PROGRES!$A$2:$A$92,MATCH(E61,PROGRES!$B$2:$B$92,0)),"-"))</f>
        <v>Jawa Tengah</v>
      </c>
      <c r="G61" s="8" t="str">
        <f>IF($A61="","",UPPER(TRIM(INDEX(FORM!$F:$F,ROW()))))</f>
        <v>JATENG DIY</v>
      </c>
      <c r="H61" s="8" t="str">
        <f>IF($A61="","",UPPER(TRIM(INDEX(FORM!$E:$E,ROW()))))</f>
        <v>BAO</v>
      </c>
      <c r="I61" s="8" t="str">
        <f>IF($A61="","",UPPER(TRIM(INDEX(FORM!$G:$G,ROW()))))</f>
        <v>MUDAH</v>
      </c>
      <c r="J61" s="8" t="str">
        <f>IF($A61="","",IF(ISNUMBER(SEARCH("Ya,",INDEX(FORM!$H:$H,ROW()))),"YA",IF(ISNUMBER(SEARCH("Cukup,",INDEX(FORM!$H:$H,ROW()))),"CUKUP",IF(ISNUMBER(SEARCH("Kurang,",INDEX(FORM!$H:$H,ROW()))),"KURANG",""))))</f>
        <v>YA</v>
      </c>
      <c r="K61" s="8" t="str">
        <f>IF($A61="","",UPPER(TRIM(INDEX(FORM!$J:$J,ROW()))))</f>
        <v>MUDAH</v>
      </c>
      <c r="L61" s="8">
        <f>IF($A61="","",IF(ISNUMBER(SEARCH("Aktivitas Harian",INDEX(FORM!$K:$K,ROW()))),1,0))</f>
        <v>1</v>
      </c>
      <c r="M61" s="8">
        <f>IF($A61="","",IF(ISNUMBER(SEARCH("Aktivitas Mingguan",INDEX(FORM!$K:$K,ROW()))),1,0))</f>
        <v>1</v>
      </c>
      <c r="N61" s="8">
        <f>IF($A61="","",IF(ISNUMBER(SEARCH("Aktivitas Bulanan",INDEX(FORM!$K:$K,ROW()))),1,0))</f>
        <v>0</v>
      </c>
      <c r="O61" s="8">
        <f>IF($A61="","",IF(ISNUMBER(SEARCH("Overview Cabang",INDEX(FORM!$K:$K,ROW()))),1,0))</f>
        <v>1</v>
      </c>
      <c r="P61" s="8">
        <f>IF($A61="","",IFERROR(VLOOKUP(I61,DATA!$AH$9:$AI$13,2,0),""))</f>
        <v>3</v>
      </c>
      <c r="Q61" s="8">
        <f>IF($A61="","",IFERROR(VLOOKUP(J61,DATA!$AH$9:$AI$13,2,0),""))</f>
        <v>3</v>
      </c>
      <c r="R61" s="8">
        <f>IF($A61="","",IFERROR(VLOOKUP(K61,DATA!$AH$9:$AI$13,2,0),""))</f>
        <v>3</v>
      </c>
      <c r="S61" s="42">
        <f t="shared" si="0"/>
        <v>3</v>
      </c>
      <c r="T61" s="8">
        <f>IF($A61="","",IF(COUNTIF($D$2:D61,D61)=1,1,0))</f>
        <v>1</v>
      </c>
      <c r="U61" s="8" t="str">
        <f>IF($A61="","",IF(F61="-","Cabang tdk ada",IF(IFERROR(VLOOKUP(G61,#REF!,1,0),"")="","",IF(INDEX(DATA!$AH$2:$AH$5,MATCH(G61,DATA!$AI$2:$AI$5,0))&lt;&gt;F61,"Wilayah beda","OK"))))</f>
        <v/>
      </c>
      <c r="V61" s="8" t="str">
        <f>IF($A61="","",TRIM(INDEX(FORM!$I:$I,ROW())&amp;""))</f>
        <v>sudah cukup bagus, mungkin bisa dibuat lebih menarik lagi design nya</v>
      </c>
      <c r="W61" s="8" t="str">
        <f>IF($A61="","",TRIM(INDEX(FORM!$L:$L,ROW())&amp;""))</f>
        <v>tidak ada</v>
      </c>
      <c r="X61" s="8" t="str">
        <f>IF($A61="","",TRIM(INDEX(FORM!$M:$M,ROW())&amp;""))</f>
        <v>mungkin bisa ditambah untuk posisi lain, Misal ARO, RAO, AR, HSE DLL</v>
      </c>
      <c r="Y61" s="8">
        <f>IF($A61="","",IFERROR(MATCH(F61,DATA!$AH$2:$AH$5,0),9)*10000+A61)</f>
        <v>20060</v>
      </c>
      <c r="Z61" s="8" t="str">
        <f t="shared" si="1"/>
        <v>Desain, Warna &amp; Font</v>
      </c>
      <c r="AA61" s="8" t="str">
        <f t="shared" si="2"/>
        <v>Tidak ada masukan / sudah baik</v>
      </c>
      <c r="AB61" s="8" t="str">
        <f t="shared" si="3"/>
        <v>Penambahan Materi &amp; Template</v>
      </c>
      <c r="AC61" s="8"/>
      <c r="AD61" s="8"/>
      <c r="AE61" s="8"/>
      <c r="AK61" s="5">
        <f t="shared" si="4"/>
        <v>0</v>
      </c>
      <c r="AL61" s="5">
        <f t="shared" si="5"/>
        <v>0</v>
      </c>
      <c r="AM61" s="5">
        <f t="shared" si="6"/>
        <v>1</v>
      </c>
      <c r="AN61" s="5">
        <f t="shared" si="7"/>
        <v>0</v>
      </c>
      <c r="AO61" s="5">
        <f t="shared" si="8"/>
        <v>0</v>
      </c>
      <c r="AP61" s="5">
        <f t="shared" si="9"/>
        <v>0</v>
      </c>
      <c r="AQ61" s="5">
        <f t="shared" si="10"/>
        <v>0</v>
      </c>
      <c r="AR61" s="5">
        <f t="shared" si="11"/>
        <v>1</v>
      </c>
      <c r="AS61" s="5">
        <f t="shared" si="12"/>
        <v>0</v>
      </c>
      <c r="AT61" s="5">
        <f t="shared" si="13"/>
        <v>0</v>
      </c>
      <c r="AU61" s="5">
        <f t="shared" si="14"/>
        <v>0</v>
      </c>
      <c r="AV61" s="5">
        <f t="shared" si="15"/>
        <v>0</v>
      </c>
      <c r="AW61" s="5">
        <f t="shared" si="16"/>
        <v>0</v>
      </c>
      <c r="AX61" s="5">
        <f t="shared" si="17"/>
        <v>0</v>
      </c>
      <c r="AY61" s="5">
        <f t="shared" si="18"/>
        <v>0</v>
      </c>
      <c r="AZ61" s="5">
        <f t="shared" si="19"/>
        <v>0</v>
      </c>
      <c r="BA61" s="5">
        <f t="shared" si="20"/>
        <v>0</v>
      </c>
      <c r="BB61" s="5">
        <f t="shared" si="21"/>
        <v>1</v>
      </c>
    </row>
    <row r="62" spans="1:54" s="5" customFormat="1" hidden="1">
      <c r="A62" s="8">
        <f>IF(INDEX(FORM!$A:$A,ROW())="","",ROW()-1)</f>
        <v>61</v>
      </c>
      <c r="B62" s="41">
        <f>IF($A62="","",INDEX(FORM!$A:$A,ROW()))</f>
        <v>46308.721683796299</v>
      </c>
      <c r="C62" s="8" t="str">
        <f>IF($A62="","",TRIM(INDEX(FORM!$B:$B,ROW())))</f>
        <v>NANANG PURWOKO</v>
      </c>
      <c r="D62" s="8" t="str">
        <f>IF($A62="","",TRIM(INDEX(FORM!$C:$C,ROW())&amp;""))</f>
        <v>80465</v>
      </c>
      <c r="E62" s="8" t="str">
        <f>IF($A62="","",UPPER(TRIM(INDEX(FORM!$D:$D,ROW()))))</f>
        <v>SAYUNG</v>
      </c>
      <c r="F62" s="8" t="str">
        <f>IF($A62="","",IFERROR(INDEX(PROGRES!$A$2:$A$92,MATCH(E62,PROGRES!$B$2:$B$92,0)),"-"))</f>
        <v>Jawa Tengah</v>
      </c>
      <c r="G62" s="8" t="str">
        <f>IF($A62="","",UPPER(TRIM(INDEX(FORM!$F:$F,ROW()))))</f>
        <v>JATENG DIY</v>
      </c>
      <c r="H62" s="8" t="str">
        <f>IF($A62="","",UPPER(TRIM(INDEX(FORM!$E:$E,ROW()))))</f>
        <v>BAO</v>
      </c>
      <c r="I62" s="8" t="str">
        <f>IF($A62="","",UPPER(TRIM(INDEX(FORM!$G:$G,ROW()))))</f>
        <v>MUDAH</v>
      </c>
      <c r="J62" s="8" t="str">
        <f>IF($A62="","",IF(ISNUMBER(SEARCH("Ya,",INDEX(FORM!$H:$H,ROW()))),"YA",IF(ISNUMBER(SEARCH("Cukup,",INDEX(FORM!$H:$H,ROW()))),"CUKUP",IF(ISNUMBER(SEARCH("Kurang,",INDEX(FORM!$H:$H,ROW()))),"KURANG",""))))</f>
        <v>YA</v>
      </c>
      <c r="K62" s="8" t="str">
        <f>IF($A62="","",UPPER(TRIM(INDEX(FORM!$J:$J,ROW()))))</f>
        <v>CUKUP</v>
      </c>
      <c r="L62" s="8">
        <f>IF($A62="","",IF(ISNUMBER(SEARCH("Aktivitas Harian",INDEX(FORM!$K:$K,ROW()))),1,0))</f>
        <v>1</v>
      </c>
      <c r="M62" s="8">
        <f>IF($A62="","",IF(ISNUMBER(SEARCH("Aktivitas Mingguan",INDEX(FORM!$K:$K,ROW()))),1,0))</f>
        <v>0</v>
      </c>
      <c r="N62" s="8">
        <f>IF($A62="","",IF(ISNUMBER(SEARCH("Aktivitas Bulanan",INDEX(FORM!$K:$K,ROW()))),1,0))</f>
        <v>0</v>
      </c>
      <c r="O62" s="8">
        <f>IF($A62="","",IF(ISNUMBER(SEARCH("Overview Cabang",INDEX(FORM!$K:$K,ROW()))),1,0))</f>
        <v>0</v>
      </c>
      <c r="P62" s="8">
        <f>IF($A62="","",IFERROR(VLOOKUP(I62,DATA!$AH$9:$AI$13,2,0),""))</f>
        <v>3</v>
      </c>
      <c r="Q62" s="8">
        <f>IF($A62="","",IFERROR(VLOOKUP(J62,DATA!$AH$9:$AI$13,2,0),""))</f>
        <v>3</v>
      </c>
      <c r="R62" s="8">
        <f>IF($A62="","",IFERROR(VLOOKUP(K62,DATA!$AH$9:$AI$13,2,0),""))</f>
        <v>2</v>
      </c>
      <c r="S62" s="42">
        <f t="shared" si="0"/>
        <v>2.6666666666666665</v>
      </c>
      <c r="T62" s="8">
        <f>IF($A62="","",IF(COUNTIF($D$2:D62,D62)=1,1,0))</f>
        <v>1</v>
      </c>
      <c r="U62" s="8" t="str">
        <f>IF($A62="","",IF(F62="-","Cabang tdk ada",IF(IFERROR(VLOOKUP(G62,#REF!,1,0),"")="","",IF(INDEX(DATA!$AH$2:$AH$5,MATCH(G62,DATA!$AI$2:$AI$5,0))&lt;&gt;F62,"Wilayah beda","OK"))))</f>
        <v/>
      </c>
      <c r="V62" s="8" t="str">
        <f>IF($A62="","",TRIM(INDEX(FORM!$I:$I,ROW())&amp;""))</f>
        <v>LEBIH SOFT LAGI</v>
      </c>
      <c r="W62" s="8" t="str">
        <f>IF($A62="","",TRIM(INDEX(FORM!$L:$L,ROW())&amp;""))</f>
        <v>SUDAH</v>
      </c>
      <c r="X62" s="8" t="str">
        <f>IF($A62="","",TRIM(INDEX(FORM!$M:$M,ROW())&amp;""))</f>
        <v>SUDAH JOSJIS</v>
      </c>
      <c r="Y62" s="8">
        <f>IF($A62="","",IFERROR(MATCH(F62,DATA!$AH$2:$AH$5,0),9)*10000+A62)</f>
        <v>20061</v>
      </c>
      <c r="Z62" s="8" t="str">
        <f t="shared" si="1"/>
        <v>Desain, Warna &amp; Font</v>
      </c>
      <c r="AA62" s="8" t="str">
        <f t="shared" si="2"/>
        <v>Tidak ada masukan / sudah baik</v>
      </c>
      <c r="AB62" s="8" t="str">
        <f t="shared" si="3"/>
        <v>Tidak ada masukan / sudah baik</v>
      </c>
      <c r="AC62" s="8"/>
      <c r="AD62" s="8"/>
      <c r="AE62" s="8"/>
      <c r="AK62" s="5">
        <f t="shared" si="4"/>
        <v>0</v>
      </c>
      <c r="AL62" s="5">
        <f t="shared" si="5"/>
        <v>0</v>
      </c>
      <c r="AM62" s="5">
        <f t="shared" si="6"/>
        <v>1</v>
      </c>
      <c r="AN62" s="5">
        <f t="shared" si="7"/>
        <v>0</v>
      </c>
      <c r="AO62" s="5">
        <f t="shared" si="8"/>
        <v>0</v>
      </c>
      <c r="AP62" s="5">
        <f t="shared" si="9"/>
        <v>0</v>
      </c>
      <c r="AQ62" s="5">
        <f t="shared" si="10"/>
        <v>0</v>
      </c>
      <c r="AR62" s="5">
        <f t="shared" si="11"/>
        <v>0</v>
      </c>
      <c r="AS62" s="5">
        <f t="shared" si="12"/>
        <v>0</v>
      </c>
      <c r="AT62" s="5">
        <f t="shared" si="13"/>
        <v>0</v>
      </c>
      <c r="AU62" s="5">
        <f t="shared" si="14"/>
        <v>0</v>
      </c>
      <c r="AV62" s="5">
        <f t="shared" si="15"/>
        <v>0</v>
      </c>
      <c r="AW62" s="5">
        <f t="shared" si="16"/>
        <v>0</v>
      </c>
      <c r="AX62" s="5">
        <f t="shared" si="17"/>
        <v>0</v>
      </c>
      <c r="AY62" s="5">
        <f t="shared" si="18"/>
        <v>0</v>
      </c>
      <c r="AZ62" s="5">
        <f t="shared" si="19"/>
        <v>0</v>
      </c>
      <c r="BA62" s="5">
        <f t="shared" si="20"/>
        <v>0</v>
      </c>
      <c r="BB62" s="5">
        <f t="shared" si="21"/>
        <v>1</v>
      </c>
    </row>
    <row r="63" spans="1:54">
      <c r="A63" s="87">
        <f>IF(INDEX(FORM!$A:$A,ROW())="","",ROW()-1)</f>
        <v>62</v>
      </c>
      <c r="B63" s="88">
        <f>IF($A63="","",INDEX(FORM!$A:$A,ROW()))</f>
        <v>46308.723550219896</v>
      </c>
      <c r="C63" s="87" t="str">
        <f>IF($A63="","",TRIM(INDEX(FORM!$B:$B,ROW())))</f>
        <v>Hendri permana putra</v>
      </c>
      <c r="D63" s="87" t="str">
        <f>IF($A63="","",TRIM(INDEX(FORM!$C:$C,ROW())&amp;""))</f>
        <v>1510594</v>
      </c>
      <c r="E63" s="87" t="str">
        <f>IF($A63="","",UPPER(TRIM(INDEX(FORM!$D:$D,ROW()))))</f>
        <v>BANJARMASIN</v>
      </c>
      <c r="F63" s="87" t="str">
        <f>IF($A63="","",IFERROR(INDEX(PROGRES!$A$2:$A$92,MATCH(E63,PROGRES!$B$2:$B$92,0)),"-"))</f>
        <v>Luar Pulau</v>
      </c>
      <c r="G63" s="87" t="str">
        <f>IF($A63="","",UPPER(TRIM(INDEX(FORM!$F:$F,ROW()))))</f>
        <v>LUAR PULAU</v>
      </c>
      <c r="H63" s="87" t="str">
        <f>IF($A63="","",UPPER(TRIM(INDEX(FORM!$E:$E,ROW()))))</f>
        <v>CRO</v>
      </c>
      <c r="I63" s="87" t="str">
        <f>IF($A63="","",UPPER(TRIM(INDEX(FORM!$G:$G,ROW()))))</f>
        <v>MUDAH</v>
      </c>
      <c r="J63" s="87" t="str">
        <f>IF($A63="","",IF(ISNUMBER(SEARCH("Ya,",INDEX(FORM!$H:$H,ROW()))),"YA",IF(ISNUMBER(SEARCH("Cukup,",INDEX(FORM!$H:$H,ROW()))),"CUKUP",IF(ISNUMBER(SEARCH("Kurang,",INDEX(FORM!$H:$H,ROW()))),"KURANG",""))))</f>
        <v>YA</v>
      </c>
      <c r="K63" s="87" t="str">
        <f>IF($A63="","",UPPER(TRIM(INDEX(FORM!$J:$J,ROW()))))</f>
        <v>MUDAH</v>
      </c>
      <c r="L63" s="87">
        <f>IF($A63="","",IF(ISNUMBER(SEARCH("Aktivitas Harian",INDEX(FORM!$K:$K,ROW()))),1,0))</f>
        <v>1</v>
      </c>
      <c r="M63" s="87">
        <f>IF($A63="","",IF(ISNUMBER(SEARCH("Aktivitas Mingguan",INDEX(FORM!$K:$K,ROW()))),1,0))</f>
        <v>1</v>
      </c>
      <c r="N63" s="87">
        <f>IF($A63="","",IF(ISNUMBER(SEARCH("Aktivitas Bulanan",INDEX(FORM!$K:$K,ROW()))),1,0))</f>
        <v>1</v>
      </c>
      <c r="O63" s="87">
        <f>IF($A63="","",IF(ISNUMBER(SEARCH("Overview Cabang",INDEX(FORM!$K:$K,ROW()))),1,0))</f>
        <v>1</v>
      </c>
      <c r="P63" s="87">
        <f>IF($A63="","",IFERROR(VLOOKUP(I63,DATA!$AH$9:$AI$13,2,0),""))</f>
        <v>3</v>
      </c>
      <c r="Q63" s="87">
        <f>IF($A63="","",IFERROR(VLOOKUP(J63,DATA!$AH$9:$AI$13,2,0),""))</f>
        <v>3</v>
      </c>
      <c r="R63" s="87">
        <f>IF($A63="","",IFERROR(VLOOKUP(K63,DATA!$AH$9:$AI$13,2,0),""))</f>
        <v>3</v>
      </c>
      <c r="S63" s="89">
        <f t="shared" si="0"/>
        <v>3</v>
      </c>
      <c r="T63" s="87">
        <f>IF($A63="","",IF(COUNTIF($D$2:D63,D63)=1,1,0))</f>
        <v>1</v>
      </c>
      <c r="U63" s="87" t="str">
        <f>IF($A63="","",IF(F63="-","Cabang tdk ada",IF(IFERROR(VLOOKUP(G63,#REF!,1,0),"")="","",IF(INDEX(DATA!$AH$2:$AH$5,MATCH(G63,DATA!$AI$2:$AI$5,0))&lt;&gt;F63,"Wilayah beda","OK"))))</f>
        <v/>
      </c>
      <c r="V63" s="87" t="str">
        <f>IF($A63="","",TRIM(INDEX(FORM!$I:$I,ROW())&amp;""))</f>
        <v>Tidak ada</v>
      </c>
      <c r="W63" s="87" t="str">
        <f>IF($A63="","",TRIM(INDEX(FORM!$L:$L,ROW())&amp;""))</f>
        <v>Tidak ada</v>
      </c>
      <c r="X63" s="87" t="str">
        <f>IF($A63="","",TRIM(INDEX(FORM!$M:$M,ROW())&amp;""))</f>
        <v>Tidak ada</v>
      </c>
      <c r="Y63" s="8">
        <f>IF($A63="","",IFERROR(MATCH(F63,DATA!$AH$2:$AH$5,0),9)*10000+A63)</f>
        <v>40062</v>
      </c>
      <c r="Z63" s="87" t="str">
        <f t="shared" si="1"/>
        <v>Tidak ada masukan / sudah baik</v>
      </c>
      <c r="AA63" s="87" t="str">
        <f t="shared" si="2"/>
        <v>Tidak ada masukan / sudah baik</v>
      </c>
      <c r="AB63" s="87" t="str">
        <f t="shared" si="3"/>
        <v>Tidak ada masukan / sudah baik</v>
      </c>
      <c r="AC63" s="87"/>
      <c r="AD63" s="87"/>
      <c r="AE63" s="87"/>
      <c r="AK63" s="90">
        <f t="shared" si="4"/>
        <v>0</v>
      </c>
      <c r="AL63" s="90">
        <f t="shared" si="5"/>
        <v>0</v>
      </c>
      <c r="AM63" s="90">
        <f t="shared" si="6"/>
        <v>0</v>
      </c>
      <c r="AN63" s="90">
        <f t="shared" si="7"/>
        <v>0</v>
      </c>
      <c r="AO63" s="90">
        <f t="shared" si="8"/>
        <v>0</v>
      </c>
      <c r="AP63" s="90">
        <f t="shared" si="9"/>
        <v>0</v>
      </c>
      <c r="AQ63" s="90">
        <f t="shared" si="10"/>
        <v>0</v>
      </c>
      <c r="AR63" s="90">
        <f t="shared" si="11"/>
        <v>0</v>
      </c>
      <c r="AS63" s="90">
        <f t="shared" si="12"/>
        <v>0</v>
      </c>
      <c r="AT63" s="90">
        <f t="shared" si="13"/>
        <v>0</v>
      </c>
      <c r="AU63" s="90">
        <f t="shared" si="14"/>
        <v>0</v>
      </c>
      <c r="AV63" s="90">
        <f t="shared" si="15"/>
        <v>0</v>
      </c>
      <c r="AW63" s="90">
        <f t="shared" si="16"/>
        <v>0</v>
      </c>
      <c r="AX63" s="90">
        <f t="shared" si="17"/>
        <v>0</v>
      </c>
      <c r="AY63" s="90">
        <f t="shared" si="18"/>
        <v>0</v>
      </c>
      <c r="AZ63" s="90">
        <f t="shared" si="19"/>
        <v>0</v>
      </c>
      <c r="BA63" s="90">
        <f t="shared" si="20"/>
        <v>0</v>
      </c>
      <c r="BB63" s="90">
        <f t="shared" si="21"/>
        <v>0</v>
      </c>
    </row>
    <row r="64" spans="1:54">
      <c r="A64" s="87">
        <f>IF(INDEX(FORM!$A:$A,ROW())="","",ROW()-1)</f>
        <v>63</v>
      </c>
      <c r="B64" s="88">
        <f>IF($A64="","",INDEX(FORM!$A:$A,ROW()))</f>
        <v>46308.746613796298</v>
      </c>
      <c r="C64" s="87" t="str">
        <f>IF($A64="","",TRIM(INDEX(FORM!$B:$B,ROW())))</f>
        <v>Ni kadek Cinta S</v>
      </c>
      <c r="D64" s="87" t="str">
        <f>IF($A64="","",TRIM(INDEX(FORM!$C:$C,ROW())&amp;""))</f>
        <v>1511306</v>
      </c>
      <c r="E64" s="87" t="str">
        <f>IF($A64="","",UPPER(TRIM(INDEX(FORM!$D:$D,ROW()))))</f>
        <v>TABANAN</v>
      </c>
      <c r="F64" s="87" t="str">
        <f>IF($A64="","",IFERROR(INDEX(PROGRES!$A$2:$A$92,MATCH(E64,PROGRES!$B$2:$B$92,0)),"-"))</f>
        <v>Luar Pulau</v>
      </c>
      <c r="G64" s="87" t="str">
        <f>IF($A64="","",UPPER(TRIM(INDEX(FORM!$F:$F,ROW()))))</f>
        <v>LUAR PULAU</v>
      </c>
      <c r="H64" s="87" t="str">
        <f>IF($A64="","",UPPER(TRIM(INDEX(FORM!$E:$E,ROW()))))</f>
        <v>CRO</v>
      </c>
      <c r="I64" s="87" t="str">
        <f>IF($A64="","",UPPER(TRIM(INDEX(FORM!$G:$G,ROW()))))</f>
        <v>CUKUP</v>
      </c>
      <c r="J64" s="87" t="str">
        <f>IF($A64="","",IF(ISNUMBER(SEARCH("Ya,",INDEX(FORM!$H:$H,ROW()))),"YA",IF(ISNUMBER(SEARCH("Cukup,",INDEX(FORM!$H:$H,ROW()))),"CUKUP",IF(ISNUMBER(SEARCH("Kurang,",INDEX(FORM!$H:$H,ROW()))),"KURANG",""))))</f>
        <v>CUKUP</v>
      </c>
      <c r="K64" s="87" t="str">
        <f>IF($A64="","",UPPER(TRIM(INDEX(FORM!$J:$J,ROW()))))</f>
        <v>CUKUP</v>
      </c>
      <c r="L64" s="87">
        <f>IF($A64="","",IF(ISNUMBER(SEARCH("Aktivitas Harian",INDEX(FORM!$K:$K,ROW()))),1,0))</f>
        <v>1</v>
      </c>
      <c r="M64" s="87">
        <f>IF($A64="","",IF(ISNUMBER(SEARCH("Aktivitas Mingguan",INDEX(FORM!$K:$K,ROW()))),1,0))</f>
        <v>0</v>
      </c>
      <c r="N64" s="87">
        <f>IF($A64="","",IF(ISNUMBER(SEARCH("Aktivitas Bulanan",INDEX(FORM!$K:$K,ROW()))),1,0))</f>
        <v>0</v>
      </c>
      <c r="O64" s="87">
        <f>IF($A64="","",IF(ISNUMBER(SEARCH("Overview Cabang",INDEX(FORM!$K:$K,ROW()))),1,0))</f>
        <v>0</v>
      </c>
      <c r="P64" s="87">
        <f>IF($A64="","",IFERROR(VLOOKUP(I64,DATA!$AH$9:$AI$13,2,0),""))</f>
        <v>2</v>
      </c>
      <c r="Q64" s="87">
        <f>IF($A64="","",IFERROR(VLOOKUP(J64,DATA!$AH$9:$AI$13,2,0),""))</f>
        <v>2</v>
      </c>
      <c r="R64" s="87">
        <f>IF($A64="","",IFERROR(VLOOKUP(K64,DATA!$AH$9:$AI$13,2,0),""))</f>
        <v>2</v>
      </c>
      <c r="S64" s="89">
        <f t="shared" si="0"/>
        <v>2</v>
      </c>
      <c r="T64" s="87">
        <f>IF($A64="","",IF(COUNTIF($D$2:D64,D64)=1,1,0))</f>
        <v>1</v>
      </c>
      <c r="U64" s="87" t="str">
        <f>IF($A64="","",IF(F64="-","Cabang tdk ada",IF(IFERROR(VLOOKUP(G64,#REF!,1,0),"")="","",IF(INDEX(DATA!$AH$2:$AH$5,MATCH(G64,DATA!$AI$2:$AI$5,0))&lt;&gt;F64,"Wilayah beda","OK"))))</f>
        <v/>
      </c>
      <c r="V64" s="87" t="str">
        <f>IF($A64="","",TRIM(INDEX(FORM!$I:$I,ROW())&amp;""))</f>
        <v>Cukup mudah diakses</v>
      </c>
      <c r="W64" s="87" t="str">
        <f>IF($A64="","",TRIM(INDEX(FORM!$L:$L,ROW())&amp;""))</f>
        <v>Tidak</v>
      </c>
      <c r="X64" s="87" t="str">
        <f>IF($A64="","",TRIM(INDEX(FORM!$M:$M,ROW())&amp;""))</f>
        <v>Cukup</v>
      </c>
      <c r="Y64" s="8">
        <f>IF($A64="","",IFERROR(MATCH(F64,DATA!$AH$2:$AH$5,0),9)*10000+A64)</f>
        <v>40063</v>
      </c>
      <c r="Z64" s="87" t="str">
        <f t="shared" si="1"/>
        <v>Tidak ada masukan / sudah baik</v>
      </c>
      <c r="AA64" s="87" t="str">
        <f t="shared" si="2"/>
        <v>Tidak ada masukan / sudah baik</v>
      </c>
      <c r="AB64" s="87" t="str">
        <f t="shared" si="3"/>
        <v>Tidak ada masukan / sudah baik</v>
      </c>
      <c r="AC64" s="87"/>
      <c r="AD64" s="87"/>
      <c r="AE64" s="87"/>
      <c r="AK64" s="90">
        <f t="shared" si="4"/>
        <v>0</v>
      </c>
      <c r="AL64" s="90">
        <f t="shared" si="5"/>
        <v>0</v>
      </c>
      <c r="AM64" s="90">
        <f t="shared" si="6"/>
        <v>0</v>
      </c>
      <c r="AN64" s="90">
        <f t="shared" si="7"/>
        <v>0</v>
      </c>
      <c r="AO64" s="90">
        <f t="shared" si="8"/>
        <v>0</v>
      </c>
      <c r="AP64" s="90">
        <f t="shared" si="9"/>
        <v>0</v>
      </c>
      <c r="AQ64" s="90">
        <f t="shared" si="10"/>
        <v>0</v>
      </c>
      <c r="AR64" s="90">
        <f t="shared" si="11"/>
        <v>0</v>
      </c>
      <c r="AS64" s="90">
        <f t="shared" si="12"/>
        <v>0</v>
      </c>
      <c r="AT64" s="90">
        <f t="shared" si="13"/>
        <v>0</v>
      </c>
      <c r="AU64" s="90">
        <f t="shared" si="14"/>
        <v>0</v>
      </c>
      <c r="AV64" s="90">
        <f t="shared" si="15"/>
        <v>0</v>
      </c>
      <c r="AW64" s="90">
        <f t="shared" si="16"/>
        <v>0</v>
      </c>
      <c r="AX64" s="90">
        <f t="shared" si="17"/>
        <v>0</v>
      </c>
      <c r="AY64" s="90">
        <f t="shared" si="18"/>
        <v>0</v>
      </c>
      <c r="AZ64" s="90">
        <f t="shared" si="19"/>
        <v>0</v>
      </c>
      <c r="BA64" s="90">
        <f t="shared" si="20"/>
        <v>0</v>
      </c>
      <c r="BB64" s="90">
        <f t="shared" si="21"/>
        <v>0</v>
      </c>
    </row>
    <row r="65" spans="1:54">
      <c r="A65" s="87">
        <f>IF(INDEX(FORM!$A:$A,ROW())="","",ROW()-1)</f>
        <v>64</v>
      </c>
      <c r="B65" s="88">
        <f>IF($A65="","",INDEX(FORM!$A:$A,ROW()))</f>
        <v>46308.7470185532</v>
      </c>
      <c r="C65" s="87" t="str">
        <f>IF($A65="","",TRIM(INDEX(FORM!$B:$B,ROW())))</f>
        <v>Rahmat Hidayat Iskandar</v>
      </c>
      <c r="D65" s="87" t="str">
        <f>IF($A65="","",TRIM(INDEX(FORM!$C:$C,ROW())&amp;""))</f>
        <v>1510876</v>
      </c>
      <c r="E65" s="87" t="str">
        <f>IF($A65="","",UPPER(TRIM(INDEX(FORM!$D:$D,ROW()))))</f>
        <v>SAMARINDA</v>
      </c>
      <c r="F65" s="87" t="str">
        <f>IF($A65="","",IFERROR(INDEX(PROGRES!$A$2:$A$92,MATCH(E65,PROGRES!$B$2:$B$92,0)),"-"))</f>
        <v>Luar Pulau</v>
      </c>
      <c r="G65" s="87" t="str">
        <f>IF($A65="","",UPPER(TRIM(INDEX(FORM!$F:$F,ROW()))))</f>
        <v>LUAR PULAU</v>
      </c>
      <c r="H65" s="87" t="str">
        <f>IF($A65="","",UPPER(TRIM(INDEX(FORM!$E:$E,ROW()))))</f>
        <v>CRO</v>
      </c>
      <c r="I65" s="87" t="str">
        <f>IF($A65="","",UPPER(TRIM(INDEX(FORM!$G:$G,ROW()))))</f>
        <v>MUDAH</v>
      </c>
      <c r="J65" s="87" t="str">
        <f>IF($A65="","",IF(ISNUMBER(SEARCH("Ya,",INDEX(FORM!$H:$H,ROW()))),"YA",IF(ISNUMBER(SEARCH("Cukup,",INDEX(FORM!$H:$H,ROW()))),"CUKUP",IF(ISNUMBER(SEARCH("Kurang,",INDEX(FORM!$H:$H,ROW()))),"KURANG",""))))</f>
        <v>YA</v>
      </c>
      <c r="K65" s="87" t="str">
        <f>IF($A65="","",UPPER(TRIM(INDEX(FORM!$J:$J,ROW()))))</f>
        <v>MUDAH</v>
      </c>
      <c r="L65" s="87">
        <f>IF($A65="","",IF(ISNUMBER(SEARCH("Aktivitas Harian",INDEX(FORM!$K:$K,ROW()))),1,0))</f>
        <v>1</v>
      </c>
      <c r="M65" s="87">
        <f>IF($A65="","",IF(ISNUMBER(SEARCH("Aktivitas Mingguan",INDEX(FORM!$K:$K,ROW()))),1,0))</f>
        <v>0</v>
      </c>
      <c r="N65" s="87">
        <f>IF($A65="","",IF(ISNUMBER(SEARCH("Aktivitas Bulanan",INDEX(FORM!$K:$K,ROW()))),1,0))</f>
        <v>0</v>
      </c>
      <c r="O65" s="87">
        <f>IF($A65="","",IF(ISNUMBER(SEARCH("Overview Cabang",INDEX(FORM!$K:$K,ROW()))),1,0))</f>
        <v>0</v>
      </c>
      <c r="P65" s="87">
        <f>IF($A65="","",IFERROR(VLOOKUP(I65,DATA!$AH$9:$AI$13,2,0),""))</f>
        <v>3</v>
      </c>
      <c r="Q65" s="87">
        <f>IF($A65="","",IFERROR(VLOOKUP(J65,DATA!$AH$9:$AI$13,2,0),""))</f>
        <v>3</v>
      </c>
      <c r="R65" s="87">
        <f>IF($A65="","",IFERROR(VLOOKUP(K65,DATA!$AH$9:$AI$13,2,0),""))</f>
        <v>3</v>
      </c>
      <c r="S65" s="89">
        <f t="shared" si="0"/>
        <v>3</v>
      </c>
      <c r="T65" s="87">
        <f>IF($A65="","",IF(COUNTIF($D$2:D65,D65)=1,1,0))</f>
        <v>1</v>
      </c>
      <c r="U65" s="87" t="str">
        <f>IF($A65="","",IF(F65="-","Cabang tdk ada",IF(IFERROR(VLOOKUP(G65,#REF!,1,0),"")="","",IF(INDEX(DATA!$AH$2:$AH$5,MATCH(G65,DATA!$AI$2:$AI$5,0))&lt;&gt;F65,"Wilayah beda","OK"))))</f>
        <v/>
      </c>
      <c r="V65" s="87" t="str">
        <f>IF($A65="","",TRIM(INDEX(FORM!$I:$I,ROW())&amp;""))</f>
        <v>Tampilan cukup baik dan mudah untuk dipahami</v>
      </c>
      <c r="W65" s="87" t="str">
        <f>IF($A65="","",TRIM(INDEX(FORM!$L:$L,ROW())&amp;""))</f>
        <v>Tidak ada</v>
      </c>
      <c r="X65" s="87" t="str">
        <f>IF($A65="","",TRIM(INDEX(FORM!$M:$M,ROW())&amp;""))</f>
        <v>Handbook sudah cukup baik</v>
      </c>
      <c r="Y65" s="8">
        <f>IF($A65="","",IFERROR(MATCH(F65,DATA!$AH$2:$AH$5,0),9)*10000+A65)</f>
        <v>40064</v>
      </c>
      <c r="Z65" s="87" t="str">
        <f t="shared" si="1"/>
        <v>Tidak ada masukan / sudah baik</v>
      </c>
      <c r="AA65" s="87" t="str">
        <f t="shared" si="2"/>
        <v>Tidak ada masukan / sudah baik</v>
      </c>
      <c r="AB65" s="87" t="str">
        <f t="shared" si="3"/>
        <v>Tidak ada masukan / sudah baik</v>
      </c>
      <c r="AC65" s="87"/>
      <c r="AD65" s="87"/>
      <c r="AE65" s="87"/>
      <c r="AK65" s="90">
        <f t="shared" si="4"/>
        <v>0</v>
      </c>
      <c r="AL65" s="90">
        <f t="shared" si="5"/>
        <v>0</v>
      </c>
      <c r="AM65" s="90">
        <f t="shared" si="6"/>
        <v>0</v>
      </c>
      <c r="AN65" s="90">
        <f t="shared" si="7"/>
        <v>0</v>
      </c>
      <c r="AO65" s="90">
        <f t="shared" si="8"/>
        <v>0</v>
      </c>
      <c r="AP65" s="90">
        <f t="shared" si="9"/>
        <v>0</v>
      </c>
      <c r="AQ65" s="90">
        <f t="shared" si="10"/>
        <v>0</v>
      </c>
      <c r="AR65" s="90">
        <f t="shared" si="11"/>
        <v>0</v>
      </c>
      <c r="AS65" s="90">
        <f t="shared" si="12"/>
        <v>0</v>
      </c>
      <c r="AT65" s="90">
        <f t="shared" si="13"/>
        <v>0</v>
      </c>
      <c r="AU65" s="90">
        <f t="shared" si="14"/>
        <v>0</v>
      </c>
      <c r="AV65" s="90">
        <f t="shared" si="15"/>
        <v>0</v>
      </c>
      <c r="AW65" s="90">
        <f t="shared" si="16"/>
        <v>0</v>
      </c>
      <c r="AX65" s="90">
        <f t="shared" si="17"/>
        <v>0</v>
      </c>
      <c r="AY65" s="90">
        <f t="shared" si="18"/>
        <v>0</v>
      </c>
      <c r="AZ65" s="90">
        <f t="shared" si="19"/>
        <v>0</v>
      </c>
      <c r="BA65" s="90">
        <f t="shared" si="20"/>
        <v>0</v>
      </c>
      <c r="BB65" s="90">
        <f t="shared" si="21"/>
        <v>0</v>
      </c>
    </row>
    <row r="66" spans="1:54" s="5" customFormat="1" hidden="1">
      <c r="A66" s="8">
        <f>IF(INDEX(FORM!$A:$A,ROW())="","",ROW()-1)</f>
        <v>65</v>
      </c>
      <c r="B66" s="41">
        <f>IF($A66="","",INDEX(FORM!$A:$A,ROW()))</f>
        <v>46308.747508935201</v>
      </c>
      <c r="C66" s="8" t="str">
        <f>IF($A66="","",TRIM(INDEX(FORM!$B:$B,ROW())))</f>
        <v>Ayu Lendyana</v>
      </c>
      <c r="D66" s="8" t="str">
        <f>IF($A66="","",TRIM(INDEX(FORM!$C:$C,ROW())&amp;""))</f>
        <v>1510871</v>
      </c>
      <c r="E66" s="8" t="str">
        <f>IF($A66="","",UPPER(TRIM(INDEX(FORM!$D:$D,ROW()))))</f>
        <v>MAJALENGKA</v>
      </c>
      <c r="F66" s="8" t="str">
        <f>IF($A66="","",IFERROR(INDEX(PROGRES!$A$2:$A$92,MATCH(E66,PROGRES!$B$2:$B$92,0)),"-"))</f>
        <v>Jawa Barat</v>
      </c>
      <c r="G66" s="8" t="str">
        <f>IF($A66="","",UPPER(TRIM(INDEX(FORM!$F:$F,ROW()))))</f>
        <v>JABAR DKI BANTEN</v>
      </c>
      <c r="H66" s="8" t="str">
        <f>IF($A66="","",UPPER(TRIM(INDEX(FORM!$E:$E,ROW()))))</f>
        <v>BAO</v>
      </c>
      <c r="I66" s="8" t="str">
        <f>IF($A66="","",UPPER(TRIM(INDEX(FORM!$G:$G,ROW()))))</f>
        <v>MUDAH</v>
      </c>
      <c r="J66" s="8" t="str">
        <f>IF($A66="","",IF(ISNUMBER(SEARCH("Ya,",INDEX(FORM!$H:$H,ROW()))),"YA",IF(ISNUMBER(SEARCH("Cukup,",INDEX(FORM!$H:$H,ROW()))),"CUKUP",IF(ISNUMBER(SEARCH("Kurang,",INDEX(FORM!$H:$H,ROW()))),"KURANG",""))))</f>
        <v>YA</v>
      </c>
      <c r="K66" s="8" t="str">
        <f>IF($A66="","",UPPER(TRIM(INDEX(FORM!$J:$J,ROW()))))</f>
        <v>MUDAH</v>
      </c>
      <c r="L66" s="8">
        <f>IF($A66="","",IF(ISNUMBER(SEARCH("Aktivitas Harian",INDEX(FORM!$K:$K,ROW()))),1,0))</f>
        <v>1</v>
      </c>
      <c r="M66" s="8">
        <f>IF($A66="","",IF(ISNUMBER(SEARCH("Aktivitas Mingguan",INDEX(FORM!$K:$K,ROW()))),1,0))</f>
        <v>0</v>
      </c>
      <c r="N66" s="8">
        <f>IF($A66="","",IF(ISNUMBER(SEARCH("Aktivitas Bulanan",INDEX(FORM!$K:$K,ROW()))),1,0))</f>
        <v>0</v>
      </c>
      <c r="O66" s="8">
        <f>IF($A66="","",IF(ISNUMBER(SEARCH("Overview Cabang",INDEX(FORM!$K:$K,ROW()))),1,0))</f>
        <v>0</v>
      </c>
      <c r="P66" s="8">
        <f>IF($A66="","",IFERROR(VLOOKUP(I66,DATA!$AH$9:$AI$13,2,0),""))</f>
        <v>3</v>
      </c>
      <c r="Q66" s="8">
        <f>IF($A66="","",IFERROR(VLOOKUP(J66,DATA!$AH$9:$AI$13,2,0),""))</f>
        <v>3</v>
      </c>
      <c r="R66" s="8">
        <f>IF($A66="","",IFERROR(VLOOKUP(K66,DATA!$AH$9:$AI$13,2,0),""))</f>
        <v>3</v>
      </c>
      <c r="S66" s="42">
        <f t="shared" ref="S66:S129" si="22">IF($A66="","",IFERROR(AVERAGE(P66:R66),""))</f>
        <v>3</v>
      </c>
      <c r="T66" s="8">
        <f>IF($A66="","",IF(COUNTIF($D$2:D66,D66)=1,1,0))</f>
        <v>1</v>
      </c>
      <c r="U66" s="8" t="str">
        <f>IF($A66="","",IF(F66="-","Cabang tdk ada",IF(IFERROR(VLOOKUP(G66,#REF!,1,0),"")="","",IF(INDEX(DATA!$AH$2:$AH$5,MATCH(G66,DATA!$AI$2:$AI$5,0))&lt;&gt;F66,"Wilayah beda","OK"))))</f>
        <v/>
      </c>
      <c r="V66" s="8" t="str">
        <f>IF($A66="","",TRIM(INDEX(FORM!$I:$I,ROW())&amp;""))</f>
        <v>-</v>
      </c>
      <c r="W66" s="8" t="str">
        <f>IF($A66="","",TRIM(INDEX(FORM!$L:$L,ROW())&amp;""))</f>
        <v>-</v>
      </c>
      <c r="X66" s="8" t="str">
        <f>IF($A66="","",TRIM(INDEX(FORM!$M:$M,ROW())&amp;""))</f>
        <v>-</v>
      </c>
      <c r="Y66" s="8">
        <f>IF($A66="","",IFERROR(MATCH(F66,DATA!$AH$2:$AH$5,0),9)*10000+A66)</f>
        <v>10065</v>
      </c>
      <c r="Z66" s="8" t="str">
        <f t="shared" ref="Z66:Z129" si="23">IF($A66="","",IF(LEN(SUBSTITUTE(SUBSTITUTE(SUBSTITUTE(V66,"-",""),".",""),"?",""))&lt;2,"Tidak ada masukan / sudah baik",IF(OR(ISNUMBER(SEARCH("memang harus",V66&amp;" "))),"Tidak ada masukan / sudah baik",IF(OR(ISNUMBER(SEARCH("lemot",V66&amp;" ")),ISNUMBER(SEARCH("loading",V66&amp;" ")),ISNUMBER(SEARCH("lambat",V66&amp;" ")),ISNUMBER(SEARCH("kecepatan",V66&amp;" ")),ISNUMBER(SEARCH("koneksi",V66&amp;" ")),ISNUMBER(SEARCH("eroro",V66&amp;" ")),ISNUMBER(SEARCH("error",V66&amp;" ")),ISNUMBER(SEARCH("ketutup",V66&amp;" "))),"Kecepatan &amp; Loading Website",IF(OR(ISNUMBER(SEARCH("kontak",V66&amp;" ")),ISNUMBER(SEARCH("pic",V66&amp;" ")),ISNUMBER(SEARCH("darurat",V66&amp;" "))),"Kontak &amp; Informasi PIC",IF(OR(ISNUMBER(SEARCH("sacs",V66&amp;" ")),ISNUMBER(SEARCH("aplikasi",V66&amp;" ")),ISNUMBER(SEARCH("kinerja",V66&amp;" ")),ISNUMBER(SEARCH("seluruh cabang",V66&amp;" "))),"Integrasi dengan SACS / Aplikasi",IF(OR(ISNUMBER(SEARCH("mobile",V66&amp;" ")),ISNUMBER(SEARCH("lebih responsif",V66&amp;" ")),ISNUMBER(SEARCH("scroll",V66&amp;" ")),ISNUMBER(SEARCH("melebar",V66&amp;" "))),"Tampilan di HP (Responsif)",IF(OR(ISNUMBER(SEARCH("simpel",V66&amp;" ")),ISNUMBER(SEARCH("simple",V66&amp;" ")),ISNUMBER(SEARCH("sederhana",V66&amp;" ")),ISNUMBER(SEARCH("ringkas",V66&amp;" ")),ISNUMBER(SEARCH("intinya",V66&amp;" ")),ISNUMBER(SEARCH("panjang lebar",V66&amp;" ")),ISNUMBER(SEARCH("mudah dipahami lagi",V66&amp;" ")),ISNUMBER(SEARCH("tata letak",V66&amp;" ")),ISNUMBER(SEARCH("harus mencari",V66&amp;" "))),"Penyederhanaan &amp; Ringkas Isi",IF(OR(ISNUMBER(SEARCH("menu ",V66&amp;" ")),ISNUMBER(SEARCH("tiap posisi",V66&amp;" ")),ISNUMBER(SEARCH("pilihan antara",V66&amp;" "))),"Menu per Jabatan / Navigasi",IF(OR(ISNUMBER(SEARCH("video",V66&amp;" ")),ISNUMBER(SEARCH("vidio",V66&amp;" ")),ISNUMBER(SEARCH("bagan",V66&amp;" ")),ISNUMBER(SEARCH("gambar",V66&amp;" ")),ISNUMBER(SEARCH("qna",V66&amp;" "))),"Tambah Video / Bagan",IF(OR(ISNUMBER(SEARCH("menarik",V66&amp;" ")),ISNUMBER(SEARCH("design",V66&amp;" ")),ISNUMBER(SEARCH("desain",V66&amp;" ")),ISNUMBER(SEARCH("font",V66&amp;" ")),ISNUMBER(SEARCH("warna",V66&amp;" ")),ISNUMBER(SEARCH("soft",V66&amp;" ")),ISNUMBER(SEARCH("kaku",V66&amp;" ")),ISNUMBER(SEARCH("elegan",V66&amp;" ")),ISNUMBER(SEARCH("grafis",V66&amp;" ")),ISNUMBER(SEARCH("visual",V66&amp;" ")),ISNUMBER(SEARCH("logo",V66&amp;" ")),ISNUMBER(SEARCH("jenuh",V66&amp;" ")),ISNUMBER(SEARCH("abu",V66&amp;" ")),ISNUMBER(SEARCH("tampilannya",V66&amp;" ")),ISNUMBER(SEARCH("tampilan dibuat",V66&amp;" ")),ISNUMBER(SEARCH("tamoilan",V66&amp;" ")),ISNUMBER(SEARCH("lebih user friendly",V66&amp;" "))),"Desain, Warna &amp; Font",IF(OR(ISNUMBER(SEARCH("perbanyak",V66&amp;" ")),ISNUMBER(SEARCH("jabarkan",V66&amp;" ")),ISNUMBER(SEARCH("jobdesk",V66&amp;" ")),ISNUMBER(SEARCH("pengajuan",V66&amp;" ")),ISNUMBER(SEARCH("informasi",V66&amp;" "))),"Penambahan Isi / Penjelasan",IF(OR(ISNUMBER(SEARCH("tingkat",V66&amp;" ")),ISNUMBER(SEARCH("kembang",V66&amp;" ")),ISNUMBER(SEARCH("lebih baik lagi",V66&amp;" ")),ISNUMBER(SEARCH("maksimal",V66&amp;" ")),ISNUMBER(SEARCH("penikatan",V66&amp;" "))),"Saran Umum Peningkatan",IF(OR(ISNUMBER(SEARCH("tidak",V66&amp;" ")),ISNUMBER(SEARCH("tdk",V66&amp;" ")),ISNUMBER(SEARCH("sudah",V66&amp;" ")),ISNUMBER(SEARCH("sdh",V66&amp;" ")),ISNUMBER(SEARCH("cukup",V66&amp;" ")),ISNUMBER(SEARCH("baik",V66&amp;" ")),ISNUMBER(SEARCH("bagus",V66&amp;" ")),ISNUMBER(SEARCH("ok",V66&amp;" ")),ISNUMBER(SEARCH("good",V66&amp;" ")),ISNUMBER(SEARCH("aman",V66&amp;" ")),ISNUMBER(SEARCH("lanjut",V66&amp;" ")),ISNUMBER(SEARCH("mantap",V66&amp;" ")),ISNUMBER(SEARCH("josjis",V66&amp;" ")),ISNUMBER(SEARCH("lumayan",V66&amp;" ")),ISNUMBER(SEARCH("mudah",V66&amp;" ")),ISNUMBER(SEARCH("belum",V66&amp;" ")),ISNUMBER(SEARCH("membantu",V66&amp;" ")),ISNUMBER(SEARCH("comment",V66&amp;" ")),ISNUMBER(SEARCH("lengkap",V66&amp;" ")),ISNUMBER(SEARCH("tercakup",V66&amp;" ")),ISNUMBER(SEARCH("mencakup",V66&amp;" ")),ISNUMBER(SEARCH("semua",V66&amp;" ")),ISNUMBER(SEARCH("penting",V66&amp;" ")),ISNUMBER(SEARCH("terangkum",V66&amp;" ")),ISNUMBER(SEARCH("pas",V66&amp;" ")),ISNUMBER(SEARCH("berjalan",V66&amp;" ")),ISNUMBER(SEARCH("sesuai",V66&amp;" "))),"Tidak ada masukan / sudah baik","Lainnya (perlu dibaca manual)"))))))))))))))</f>
        <v>Tidak ada masukan / sudah baik</v>
      </c>
      <c r="AA66" s="8" t="str">
        <f t="shared" ref="AA66:AA129" si="24">IF($A66="","",IF(LEN(SUBSTITUTE(SUBSTITUTE(SUBSTITUTE(W66,"-",""),".",""),"?",""))&lt;2,"Tidak ada masukan / sudah baik",IF(OR(ISNUMBER(SEARCH("tampilan",W66&amp;" ")),ISNUMBER(SEARCH("lemot",W66&amp;" "))),"Bukan Terkait SOP (Tampilan / Akses)",IF(OR(ISNUMBER(SEARCH("sanksi",W66&amp;" ")),ISNUMBER(SEARCH("pelanggaran",W66&amp;" ")),ISNUMBER(SEARCH("larangan",W66&amp;" ")),ISNUMBER(SEARCH("rekening pribadi",W66&amp;" "))),"Sanksi &amp; Pelanggaran SOP",IF(OR(ISNUMBER(SEARCH("npl",W66&amp;" ")),ISNUMBER(SEARCH("piutang",W66&amp;" ")),ISNUMBER(SEARCH("rekon",W66&amp;" ")),ISNUMBER(SEARCH("overdue",W66&amp;" ")),ISNUMBER(SEARCH("restruk",W66&amp;" ")),ISNUMBER(SEARCH("tempo",W66&amp;" "))),"Piutang &amp; Pelanggan Bermasalah",IF(OR(ISNUMBER(SEARCH("kiriman",W66&amp;" ")),ISNUMBER(SEARCH("pengiriman",W66&amp;" ")),ISNUMBER(SEARCH("retur",W66&amp;" ")),ISNUMBER(SEARCH("barang",W66&amp;" "))),"Pengiriman, Retur &amp; Logistik",IF(OR(ISNUMBER(SEARCH("contact",W66&amp;" ")),ISNUMBER(SEARCH("kontak",W66&amp;" ")),ISNUMBER(SEARCH("pic",W66&amp;" ")),ISNUMBER(SEARCH("berwenang",W66&amp;" ")),ISNUMBER(SEARCH("follow up",W66&amp;" ")),ISNUMBER(SEARCH("eskalasi",W66&amp;" "))),"Kontak PIC &amp; Eskalasi",IF(OR(ISNUMBER(SEARCH("laporan evaluasi",W66&amp;" ")),ISNUMBER(SEARCH("aplikasi cp",W66&amp;" ")),ISNUMBER(SEARCH("flowchart",W66&amp;" ")),ISNUMBER(SEARCH("acuan",W66&amp;" ")),ISNUMBER(SEARCH("poa",W66&amp;" ")),ISNUMBER(SEARCH("aktifitas",W66&amp;" ")),ISNUMBER(SEARCH("aktivitas",W66&amp;" "))),"Panduan Laporan &amp; Alur Kerja",IF(OR(ISNUMBER(SEARCH("notifikasi",W66&amp;" ")),ISNUMBER(SEARCH("pembaruan",W66&amp;" ")),ISNUMBER(SEARCH("perubahan",W66&amp;" ")),ISNUMBER(SEARCH("update",W66&amp;" "))),"Pembaruan &amp; Notifikasi SOP",IF(OR(ISNUMBER(SEARCH("tidak",W66&amp;" ")),ISNUMBER(SEARCH("tdk",W66&amp;" ")),ISNUMBER(SEARCH("sudah",W66&amp;" ")),ISNUMBER(SEARCH("sdh",W66&amp;" ")),ISNUMBER(SEARCH("cukup",W66&amp;" ")),ISNUMBER(SEARCH("baik",W66&amp;" ")),ISNUMBER(SEARCH("bagus",W66&amp;" ")),ISNUMBER(SEARCH("ok",W66&amp;" ")),ISNUMBER(SEARCH("good",W66&amp;" ")),ISNUMBER(SEARCH("aman",W66&amp;" ")),ISNUMBER(SEARCH("lanjut",W66&amp;" ")),ISNUMBER(SEARCH("mantap",W66&amp;" ")),ISNUMBER(SEARCH("josjis",W66&amp;" ")),ISNUMBER(SEARCH("lumayan",W66&amp;" ")),ISNUMBER(SEARCH("mudah",W66&amp;" ")),ISNUMBER(SEARCH("belum",W66&amp;" ")),ISNUMBER(SEARCH("membantu",W66&amp;" ")),ISNUMBER(SEARCH("comment",W66&amp;" ")),ISNUMBER(SEARCH("lengkap",W66&amp;" ")),ISNUMBER(SEARCH("tercakup",W66&amp;" ")),ISNUMBER(SEARCH("mencakup",W66&amp;" ")),ISNUMBER(SEARCH("semua",W66&amp;" ")),ISNUMBER(SEARCH("penting",W66&amp;" ")),ISNUMBER(SEARCH("terangkum",W66&amp;" ")),ISNUMBER(SEARCH("pas",W66&amp;" ")),ISNUMBER(SEARCH("berjalan",W66&amp;" ")),ISNUMBER(SEARCH("sesuai",W66&amp;" "))),"Tidak ada masukan / sudah baik","Lainnya (perlu dibaca manual)"))))))))))</f>
        <v>Tidak ada masukan / sudah baik</v>
      </c>
      <c r="AB66" s="8" t="str">
        <f t="shared" ref="AB66:AB129" si="25">IF($A66="","",IF(LEN(SUBSTITUTE(SUBSTITUTE(SUBSTITUTE(X66,"-",""),".",""),"?",""))&lt;2,"Tidak ada masukan / sudah baik",IF(OR(ISNUMBER(SEARCH("urgent",X66&amp;" "))),"Lainnya (perlu dibaca manual)",IF(OR(ISNUMBER(SEARCH("struktur organisasi",X66&amp;" ")),ISNUMBER(SEARCH("pic",X66&amp;" ")),ISNUMBER(SEARCH("cp",X66&amp;" ")),ISNUMBER(SEARCH("personil",X66&amp;" ")),ISNUMBER(SEARCH("sales",X66&amp;" ")),ISNUMBER(SEARCH("muka",X66&amp;" ")),ISNUMBER(SEARCH("eskalasi",X66&amp;" "))),"Struktur Organisasi, PIC &amp; Tim",IF(OR(ISNUMBER(SEARCH("lemot",X66&amp;" ")),ISNUMBER(SEARCH("lambat",X66&amp;" ")),ISNUMBER(SEARCH("memuat",X66&amp;" ")),ISNUMBER(SEARCH("koneksi",X66&amp;" "))),"Kecepatan Akses Website",IF(OR(ISNUMBER(SEARCH("sacs",X66&amp;" ")),ISNUMBER(SEARCH("aplikasi",X66&amp;" "))),"Integrasi ke SACS / Aplikasi Kerja",IF(OR(ISNUMBER(SEARCH("dashboard",X66&amp;" ")),ISNUMBER(SEARCH("kpi",X66&amp;" ")),ISNUMBER(SEARCH("database",X66&amp;" ")),ISNUMBER(SEARCH("kinerja",X66&amp;" ")),ISNUMBER(SEARCH("seluruh cabang",X66&amp;" "))),"Fitur Baru (Dashboard / KPI / Database)",IF(OR(ISNUMBER(SEARCH("video",X66&amp;" ")),ISNUMBER(SEARCH("gambar",X66&amp;" ")),ISNUMBER(SEARCH("jpg",X66&amp;" ")),ISNUMBER(SEARCH("flowchart",X66&amp;" ")),ISNUMBER(SEARCH("tutorial",X66&amp;" "))),"Tambah Video / Gambar / Flowchart",IF(OR(ISNUMBER(SEARCH("template",X66&amp;" ")),ISNUMBER(SEARCH("surat",X66&amp;" ")),ISNUMBER(SEARCH("korin",X66&amp;" ")),ISNUMBER(SEARCH("overdue",X66&amp;" ")),ISNUMBER(SEARCH("restruk",X66&amp;" ")),ISNUMBER(SEARCH("tempo",X66&amp;" ")),ISNUMBER(SEARCH("larangan",X66&amp;" ")),ISNUMBER(SEARCH("posisi lain",X66&amp;" ")),ISNUMBER(SEARCH("jobdesk",X66&amp;" ")),ISNUMBER(SEARCH("jobdisk",X66&amp;" ")),ISNUMBER(SEARCH("langkah",X66&amp;" ")),ISNUMBER(SEARCH("detail",X66&amp;" ")),ISNUMBER(SEARCH("panduan",X66&amp;" ")),ISNUMBER(SEARCH("lengkap lagi",X66&amp;" ")),ISNUMBER(SEARCH("tips",X66&amp;" "))),"Penambahan Materi &amp; Template",IF(OR(ISNUMBER(SEARCH("simpel",X66&amp;" ")),ISNUMBER(SEARCH("simple",X66&amp;" ")),ISNUMBER(SEARCH("ringkas",X66&amp;" ")),ISNUMBER(SEARCH("monoton",X66&amp;" ")),ISNUMBER(SEARCH("penataan",X66&amp;" "))),"Penyederhanaan Isi",IF(OR(ISNUMBER(SEARCH("menarik",X66&amp;" ")),ISNUMBER(SEARCH("design",X66&amp;" ")),ISNUMBER(SEARCH("desain",X66&amp;" ")),ISNUMBER(SEARCH("tampilan",X66&amp;" ")),ISNUMBER(SEARCH("kaku",X66&amp;" ")),ISNUMBER(SEARCH("user friendly",X66&amp;" "))),"Desain Tampilan",IF(OR(ISNUMBER(SEARCH("update",X66&amp;" ")),ISNUMBER(SEARCH("terbaru",X66&amp;" ")),ISNUMBER(SEARCH("terkini",X66&amp;" ")),ISNUMBER(SEARCH("uptodate",X66&amp;" "))),"Update Informasi Berkala",IF(OR(ISNUMBER(SEARCH("tingkat",X66&amp;" ")),ISNUMBER(SEARCH("kembang",X66&amp;" ")),ISNUMBER(SEARCH("inovasi",X66&amp;" ")),ISNUMBER(SEARCH("maintenance",X66&amp;" "))),"Saran Umum Peningkatan",IF(OR(ISNUMBER(SEARCH("tidak",X66&amp;" ")),ISNUMBER(SEARCH("tdk",X66&amp;" ")),ISNUMBER(SEARCH("sudah",X66&amp;" ")),ISNUMBER(SEARCH("sdh",X66&amp;" ")),ISNUMBER(SEARCH("cukup",X66&amp;" ")),ISNUMBER(SEARCH("baik",X66&amp;" ")),ISNUMBER(SEARCH("bagus",X66&amp;" ")),ISNUMBER(SEARCH("ok",X66&amp;" ")),ISNUMBER(SEARCH("good",X66&amp;" ")),ISNUMBER(SEARCH("aman",X66&amp;" ")),ISNUMBER(SEARCH("lanjut",X66&amp;" ")),ISNUMBER(SEARCH("mantap",X66&amp;" ")),ISNUMBER(SEARCH("josjis",X66&amp;" ")),ISNUMBER(SEARCH("lumayan",X66&amp;" ")),ISNUMBER(SEARCH("mudah",X66&amp;" ")),ISNUMBER(SEARCH("belum",X66&amp;" ")),ISNUMBER(SEARCH("membantu",X66&amp;" ")),ISNUMBER(SEARCH("comment",X66&amp;" ")),ISNUMBER(SEARCH("lengkap",X66&amp;" ")),ISNUMBER(SEARCH("tercakup",X66&amp;" ")),ISNUMBER(SEARCH("mencakup",X66&amp;" ")),ISNUMBER(SEARCH("semua",X66&amp;" ")),ISNUMBER(SEARCH("penting",X66&amp;" ")),ISNUMBER(SEARCH("terangkum",X66&amp;" ")),ISNUMBER(SEARCH("pas",X66&amp;" ")),ISNUMBER(SEARCH("berjalan",X66&amp;" ")),ISNUMBER(SEARCH("sesuai",X66&amp;" "))),"Tidak ada masukan / sudah baik","Lainnya (perlu dibaca manual)"))))))))))))))</f>
        <v>Tidak ada masukan / sudah baik</v>
      </c>
      <c r="AC66" s="8"/>
      <c r="AD66" s="8"/>
      <c r="AE66" s="8"/>
      <c r="AK66" s="5">
        <f t="shared" ref="AK66:AK129" si="26">IF($A66="","",IF(OR($Z66="Kecepatan &amp; Loading Website",$AB66="Kecepatan Akses Website",AND($AA66="Bukan Terkait SOP (Tampilan / Akses)",OR(ISNUMBER(SEARCH("lemot",$W66)),ISNUMBER(SEARCH("loading",$W66)),ISNUMBER(SEARCH("lambat",$W66))))),1,0))</f>
        <v>0</v>
      </c>
      <c r="AL66" s="5">
        <f t="shared" ref="AL66:AL129" si="27">IF($A66="","",IF(OR($Z66="Tampilan di HP (Responsif)"),1,0))</f>
        <v>0</v>
      </c>
      <c r="AM66" s="5">
        <f t="shared" ref="AM66:AM129" si="28">IF($A66="","",IF(OR($Z66="Desain, Warna &amp; Font",$AB66="Desain Tampilan",AND($AA66="Bukan Terkait SOP (Tampilan / Akses)",NOT(OR(ISNUMBER(SEARCH("lemot",$W66)),ISNUMBER(SEARCH("loading",$W66)),ISNUMBER(SEARCH("lambat",$W66)))))),1,0))</f>
        <v>0</v>
      </c>
      <c r="AN66" s="5">
        <f t="shared" ref="AN66:AN129" si="29">IF($A66="","",IF(OR($Z66="Menu per Jabatan / Navigasi"),1,0))</f>
        <v>0</v>
      </c>
      <c r="AO66" s="5">
        <f t="shared" ref="AO66:AO129" si="30">IF($A66="","",IF(OR($Z66="Integrasi dengan SACS / Aplikasi",$AB66="Integrasi ke SACS / Aplikasi Kerja"),1,0))</f>
        <v>0</v>
      </c>
      <c r="AP66" s="5">
        <f t="shared" ref="AP66:AP129" si="31">IF($A66="","",IF(OR($AB66="Fitur Baru (Dashboard / KPI / Database)"),1,0))</f>
        <v>0</v>
      </c>
      <c r="AQ66" s="5">
        <f t="shared" ref="AQ66:AQ129" si="32">IF($A66="","",IF(OR($Z66="Penyederhanaan &amp; Ringkas Isi",$AB66="Penyederhanaan Isi"),1,0))</f>
        <v>0</v>
      </c>
      <c r="AR66" s="5">
        <f t="shared" ref="AR66:AR129" si="33">IF($A66="","",IF(OR($Z66="Penambahan Isi / Penjelasan",$AB66="Penambahan Materi &amp; Template"),1,0))</f>
        <v>0</v>
      </c>
      <c r="AS66" s="5">
        <f t="shared" ref="AS66:AS129" si="34">IF($A66="","",IF(OR($Z66="Tambah Video / Bagan",$AB66="Tambah Video / Gambar / Flowchart"),1,0))</f>
        <v>0</v>
      </c>
      <c r="AT66" s="5">
        <f t="shared" ref="AT66:AT129" si="35">IF($A66="","",IF(OR($Z66="Kontak &amp; Informasi PIC",$AA66="Kontak PIC &amp; Eskalasi",$AB66="Struktur Organisasi, PIC &amp; Tim"),1,0))</f>
        <v>0</v>
      </c>
      <c r="AU66" s="5">
        <f t="shared" ref="AU66:AU129" si="36">IF($A66="","",IF(OR($AA66="Pembaruan &amp; Notifikasi SOP",$AB66="Update Informasi Berkala"),1,0))</f>
        <v>0</v>
      </c>
      <c r="AV66" s="5">
        <f t="shared" ref="AV66:AV129" si="37">IF($A66="","",IF(OR($AA66="Sanksi &amp; Pelanggaran SOP"),1,0))</f>
        <v>0</v>
      </c>
      <c r="AW66" s="5">
        <f t="shared" ref="AW66:AW129" si="38">IF($A66="","",IF(OR($AA66="Piutang &amp; Pelanggan Bermasalah"),1,0))</f>
        <v>0</v>
      </c>
      <c r="AX66" s="5">
        <f t="shared" ref="AX66:AX129" si="39">IF($A66="","",IF(OR($AA66="Pengiriman, Retur &amp; Logistik"),1,0))</f>
        <v>0</v>
      </c>
      <c r="AY66" s="5">
        <f t="shared" ref="AY66:AY129" si="40">IF($A66="","",IF(OR($AA66="Panduan Laporan &amp; Alur Kerja"),1,0))</f>
        <v>0</v>
      </c>
      <c r="AZ66" s="5">
        <f t="shared" ref="AZ66:AZ129" si="41">IF($A66="","",IF(OR($Z66="Saran Umum Peningkatan",$AB66="Saran Umum Peningkatan"),1,0))</f>
        <v>0</v>
      </c>
      <c r="BA66" s="5">
        <f t="shared" ref="BA66:BA129" si="42">IF($A66="","",IF(OR($Z66="Lainnya (perlu dibaca manual)",$AA66="Lainnya (perlu dibaca manual)",$AB66="Lainnya (perlu dibaca manual)"),1,0))</f>
        <v>0</v>
      </c>
      <c r="BB66" s="5">
        <f t="shared" ref="BB66:BB129" si="43">IF($A66="","",IF(AND($Z66="Tidak ada masukan / sudah baik",$AA66="Tidak ada masukan / sudah baik",$AB66="Tidak ada masukan / sudah baik"),0,1))</f>
        <v>0</v>
      </c>
    </row>
    <row r="67" spans="1:54">
      <c r="A67" s="87">
        <f>IF(INDEX(FORM!$A:$A,ROW())="","",ROW()-1)</f>
        <v>66</v>
      </c>
      <c r="B67" s="88">
        <f>IF($A67="","",INDEX(FORM!$A:$A,ROW()))</f>
        <v>46308.7564070023</v>
      </c>
      <c r="C67" s="87" t="str">
        <f>IF($A67="","",TRIM(INDEX(FORM!$B:$B,ROW())))</f>
        <v>Rudiana</v>
      </c>
      <c r="D67" s="87" t="str">
        <f>IF($A67="","",TRIM(INDEX(FORM!$C:$C,ROW())&amp;""))</f>
        <v>1511165</v>
      </c>
      <c r="E67" s="87" t="str">
        <f>IF($A67="","",UPPER(TRIM(INDEX(FORM!$D:$D,ROW()))))</f>
        <v>SUBANG</v>
      </c>
      <c r="F67" s="87" t="str">
        <f>IF($A67="","",IFERROR(INDEX(PROGRES!$A$2:$A$92,MATCH(E67,PROGRES!$B$2:$B$92,0)),"-"))</f>
        <v>Jawa Barat</v>
      </c>
      <c r="G67" s="87" t="str">
        <f>IF($A67="","",UPPER(TRIM(INDEX(FORM!$F:$F,ROW()))))</f>
        <v>JABAR DKI BANTEN</v>
      </c>
      <c r="H67" s="87" t="str">
        <f>IF($A67="","",UPPER(TRIM(INDEX(FORM!$E:$E,ROW()))))</f>
        <v>CRO</v>
      </c>
      <c r="I67" s="87" t="str">
        <f>IF($A67="","",UPPER(TRIM(INDEX(FORM!$G:$G,ROW()))))</f>
        <v>CUKUP</v>
      </c>
      <c r="J67" s="87" t="str">
        <f>IF($A67="","",IF(ISNUMBER(SEARCH("Ya,",INDEX(FORM!$H:$H,ROW()))),"YA",IF(ISNUMBER(SEARCH("Cukup,",INDEX(FORM!$H:$H,ROW()))),"CUKUP",IF(ISNUMBER(SEARCH("Kurang,",INDEX(FORM!$H:$H,ROW()))),"KURANG",""))))</f>
        <v>YA</v>
      </c>
      <c r="K67" s="87" t="str">
        <f>IF($A67="","",UPPER(TRIM(INDEX(FORM!$J:$J,ROW()))))</f>
        <v>MUDAH</v>
      </c>
      <c r="L67" s="87">
        <f>IF($A67="","",IF(ISNUMBER(SEARCH("Aktivitas Harian",INDEX(FORM!$K:$K,ROW()))),1,0))</f>
        <v>1</v>
      </c>
      <c r="M67" s="87">
        <f>IF($A67="","",IF(ISNUMBER(SEARCH("Aktivitas Mingguan",INDEX(FORM!$K:$K,ROW()))),1,0))</f>
        <v>0</v>
      </c>
      <c r="N67" s="87">
        <f>IF($A67="","",IF(ISNUMBER(SEARCH("Aktivitas Bulanan",INDEX(FORM!$K:$K,ROW()))),1,0))</f>
        <v>1</v>
      </c>
      <c r="O67" s="87">
        <f>IF($A67="","",IF(ISNUMBER(SEARCH("Overview Cabang",INDEX(FORM!$K:$K,ROW()))),1,0))</f>
        <v>0</v>
      </c>
      <c r="P67" s="87">
        <f>IF($A67="","",IFERROR(VLOOKUP(I67,DATA!$AH$9:$AI$13,2,0),""))</f>
        <v>2</v>
      </c>
      <c r="Q67" s="87">
        <f>IF($A67="","",IFERROR(VLOOKUP(J67,DATA!$AH$9:$AI$13,2,0),""))</f>
        <v>3</v>
      </c>
      <c r="R67" s="87">
        <f>IF($A67="","",IFERROR(VLOOKUP(K67,DATA!$AH$9:$AI$13,2,0),""))</f>
        <v>3</v>
      </c>
      <c r="S67" s="89">
        <f t="shared" si="22"/>
        <v>2.6666666666666665</v>
      </c>
      <c r="T67" s="87">
        <f>IF($A67="","",IF(COUNTIF($D$2:D67,D67)=1,1,0))</f>
        <v>1</v>
      </c>
      <c r="U67" s="87" t="str">
        <f>IF($A67="","",IF(F67="-","Cabang tdk ada",IF(IFERROR(VLOOKUP(G67,#REF!,1,0),"")="","",IF(INDEX(DATA!$AH$2:$AH$5,MATCH(G67,DATA!$AI$2:$AI$5,0))&lt;&gt;F67,"Wilayah beda","OK"))))</f>
        <v/>
      </c>
      <c r="V67" s="87" t="str">
        <f>IF($A67="","",TRIM(INDEX(FORM!$I:$I,ROW())&amp;""))</f>
        <v>Lebih di perbanyak lagi i formasinya</v>
      </c>
      <c r="W67" s="87" t="str">
        <f>IF($A67="","",TRIM(INDEX(FORM!$L:$L,ROW())&amp;""))</f>
        <v>Tidak ada</v>
      </c>
      <c r="X67" s="87" t="str">
        <f>IF($A67="","",TRIM(INDEX(FORM!$M:$M,ROW())&amp;""))</f>
        <v>Sudah baik</v>
      </c>
      <c r="Y67" s="8">
        <f>IF($A67="","",IFERROR(MATCH(F67,DATA!$AH$2:$AH$5,0),9)*10000+A67)</f>
        <v>10066</v>
      </c>
      <c r="Z67" s="87" t="str">
        <f t="shared" si="23"/>
        <v>Penambahan Isi / Penjelasan</v>
      </c>
      <c r="AA67" s="87" t="str">
        <f t="shared" si="24"/>
        <v>Tidak ada masukan / sudah baik</v>
      </c>
      <c r="AB67" s="87" t="str">
        <f t="shared" si="25"/>
        <v>Tidak ada masukan / sudah baik</v>
      </c>
      <c r="AC67" s="87"/>
      <c r="AD67" s="87"/>
      <c r="AE67" s="87"/>
      <c r="AK67" s="90">
        <f t="shared" si="26"/>
        <v>0</v>
      </c>
      <c r="AL67" s="90">
        <f t="shared" si="27"/>
        <v>0</v>
      </c>
      <c r="AM67" s="90">
        <f t="shared" si="28"/>
        <v>0</v>
      </c>
      <c r="AN67" s="90">
        <f t="shared" si="29"/>
        <v>0</v>
      </c>
      <c r="AO67" s="90">
        <f t="shared" si="30"/>
        <v>0</v>
      </c>
      <c r="AP67" s="90">
        <f t="shared" si="31"/>
        <v>0</v>
      </c>
      <c r="AQ67" s="90">
        <f t="shared" si="32"/>
        <v>0</v>
      </c>
      <c r="AR67" s="90">
        <f t="shared" si="33"/>
        <v>1</v>
      </c>
      <c r="AS67" s="90">
        <f t="shared" si="34"/>
        <v>0</v>
      </c>
      <c r="AT67" s="90">
        <f t="shared" si="35"/>
        <v>0</v>
      </c>
      <c r="AU67" s="90">
        <f t="shared" si="36"/>
        <v>0</v>
      </c>
      <c r="AV67" s="90">
        <f t="shared" si="37"/>
        <v>0</v>
      </c>
      <c r="AW67" s="90">
        <f t="shared" si="38"/>
        <v>0</v>
      </c>
      <c r="AX67" s="90">
        <f t="shared" si="39"/>
        <v>0</v>
      </c>
      <c r="AY67" s="90">
        <f t="shared" si="40"/>
        <v>0</v>
      </c>
      <c r="AZ67" s="90">
        <f t="shared" si="41"/>
        <v>0</v>
      </c>
      <c r="BA67" s="90">
        <f t="shared" si="42"/>
        <v>0</v>
      </c>
      <c r="BB67" s="90">
        <f t="shared" si="43"/>
        <v>1</v>
      </c>
    </row>
    <row r="68" spans="1:54">
      <c r="A68" s="87">
        <f>IF(INDEX(FORM!$A:$A,ROW())="","",ROW()-1)</f>
        <v>67</v>
      </c>
      <c r="B68" s="88">
        <f>IF($A68="","",INDEX(FORM!$A:$A,ROW()))</f>
        <v>46308.7615360532</v>
      </c>
      <c r="C68" s="87" t="str">
        <f>IF($A68="","",TRIM(INDEX(FORM!$B:$B,ROW())))</f>
        <v>Priyadi prasetyo</v>
      </c>
      <c r="D68" s="87" t="str">
        <f>IF($A68="","",TRIM(INDEX(FORM!$C:$C,ROW())&amp;""))</f>
        <v>1511241</v>
      </c>
      <c r="E68" s="87" t="str">
        <f>IF($A68="","",UPPER(TRIM(INDEX(FORM!$D:$D,ROW()))))</f>
        <v>SALATIGA</v>
      </c>
      <c r="F68" s="87" t="str">
        <f>IF($A68="","",IFERROR(INDEX(PROGRES!$A$2:$A$92,MATCH(E68,PROGRES!$B$2:$B$92,0)),"-"))</f>
        <v>Jawa Tengah</v>
      </c>
      <c r="G68" s="87" t="str">
        <f>IF($A68="","",UPPER(TRIM(INDEX(FORM!$F:$F,ROW()))))</f>
        <v>JATENG DIY</v>
      </c>
      <c r="H68" s="87" t="str">
        <f>IF($A68="","",UPPER(TRIM(INDEX(FORM!$E:$E,ROW()))))</f>
        <v>CRO</v>
      </c>
      <c r="I68" s="87" t="str">
        <f>IF($A68="","",UPPER(TRIM(INDEX(FORM!$G:$G,ROW()))))</f>
        <v>CUKUP</v>
      </c>
      <c r="J68" s="87" t="str">
        <f>IF($A68="","",IF(ISNUMBER(SEARCH("Ya,",INDEX(FORM!$H:$H,ROW()))),"YA",IF(ISNUMBER(SEARCH("Cukup,",INDEX(FORM!$H:$H,ROW()))),"CUKUP",IF(ISNUMBER(SEARCH("Kurang,",INDEX(FORM!$H:$H,ROW()))),"KURANG",""))))</f>
        <v>YA</v>
      </c>
      <c r="K68" s="87" t="str">
        <f>IF($A68="","",UPPER(TRIM(INDEX(FORM!$J:$J,ROW()))))</f>
        <v>CUKUP</v>
      </c>
      <c r="L68" s="87">
        <f>IF($A68="","",IF(ISNUMBER(SEARCH("Aktivitas Harian",INDEX(FORM!$K:$K,ROW()))),1,0))</f>
        <v>1</v>
      </c>
      <c r="M68" s="87">
        <f>IF($A68="","",IF(ISNUMBER(SEARCH("Aktivitas Mingguan",INDEX(FORM!$K:$K,ROW()))),1,0))</f>
        <v>0</v>
      </c>
      <c r="N68" s="87">
        <f>IF($A68="","",IF(ISNUMBER(SEARCH("Aktivitas Bulanan",INDEX(FORM!$K:$K,ROW()))),1,0))</f>
        <v>0</v>
      </c>
      <c r="O68" s="87">
        <f>IF($A68="","",IF(ISNUMBER(SEARCH("Overview Cabang",INDEX(FORM!$K:$K,ROW()))),1,0))</f>
        <v>0</v>
      </c>
      <c r="P68" s="87">
        <f>IF($A68="","",IFERROR(VLOOKUP(I68,DATA!$AH$9:$AI$13,2,0),""))</f>
        <v>2</v>
      </c>
      <c r="Q68" s="87">
        <f>IF($A68="","",IFERROR(VLOOKUP(J68,DATA!$AH$9:$AI$13,2,0),""))</f>
        <v>3</v>
      </c>
      <c r="R68" s="87">
        <f>IF($A68="","",IFERROR(VLOOKUP(K68,DATA!$AH$9:$AI$13,2,0),""))</f>
        <v>2</v>
      </c>
      <c r="S68" s="89">
        <f t="shared" si="22"/>
        <v>2.3333333333333335</v>
      </c>
      <c r="T68" s="87">
        <f>IF($A68="","",IF(COUNTIF($D$2:D68,D68)=1,1,0))</f>
        <v>1</v>
      </c>
      <c r="U68" s="87" t="str">
        <f>IF($A68="","",IF(F68="-","Cabang tdk ada",IF(IFERROR(VLOOKUP(G68,#REF!,1,0),"")="","",IF(INDEX(DATA!$AH$2:$AH$5,MATCH(G68,DATA!$AI$2:$AI$5,0))&lt;&gt;F68,"Wilayah beda","OK"))))</f>
        <v/>
      </c>
      <c r="V68" s="87" t="str">
        <f>IF($A68="","",TRIM(INDEX(FORM!$I:$I,ROW())&amp;""))</f>
        <v>Sudah baik</v>
      </c>
      <c r="W68" s="87" t="str">
        <f>IF($A68="","",TRIM(INDEX(FORM!$L:$L,ROW())&amp;""))</f>
        <v>Tidak</v>
      </c>
      <c r="X68" s="87" t="str">
        <f>IF($A68="","",TRIM(INDEX(FORM!$M:$M,ROW())&amp;""))</f>
        <v>Buat lebih ringkas agar tidak terlalu monoton</v>
      </c>
      <c r="Y68" s="8">
        <f>IF($A68="","",IFERROR(MATCH(F68,DATA!$AH$2:$AH$5,0),9)*10000+A68)</f>
        <v>20067</v>
      </c>
      <c r="Z68" s="87" t="str">
        <f t="shared" si="23"/>
        <v>Tidak ada masukan / sudah baik</v>
      </c>
      <c r="AA68" s="87" t="str">
        <f t="shared" si="24"/>
        <v>Tidak ada masukan / sudah baik</v>
      </c>
      <c r="AB68" s="87" t="str">
        <f t="shared" si="25"/>
        <v>Penyederhanaan Isi</v>
      </c>
      <c r="AC68" s="87"/>
      <c r="AD68" s="87"/>
      <c r="AE68" s="87"/>
      <c r="AK68" s="90">
        <f t="shared" si="26"/>
        <v>0</v>
      </c>
      <c r="AL68" s="90">
        <f t="shared" si="27"/>
        <v>0</v>
      </c>
      <c r="AM68" s="90">
        <f t="shared" si="28"/>
        <v>0</v>
      </c>
      <c r="AN68" s="90">
        <f t="shared" si="29"/>
        <v>0</v>
      </c>
      <c r="AO68" s="90">
        <f t="shared" si="30"/>
        <v>0</v>
      </c>
      <c r="AP68" s="90">
        <f t="shared" si="31"/>
        <v>0</v>
      </c>
      <c r="AQ68" s="90">
        <f t="shared" si="32"/>
        <v>1</v>
      </c>
      <c r="AR68" s="90">
        <f t="shared" si="33"/>
        <v>0</v>
      </c>
      <c r="AS68" s="90">
        <f t="shared" si="34"/>
        <v>0</v>
      </c>
      <c r="AT68" s="90">
        <f t="shared" si="35"/>
        <v>0</v>
      </c>
      <c r="AU68" s="90">
        <f t="shared" si="36"/>
        <v>0</v>
      </c>
      <c r="AV68" s="90">
        <f t="shared" si="37"/>
        <v>0</v>
      </c>
      <c r="AW68" s="90">
        <f t="shared" si="38"/>
        <v>0</v>
      </c>
      <c r="AX68" s="90">
        <f t="shared" si="39"/>
        <v>0</v>
      </c>
      <c r="AY68" s="90">
        <f t="shared" si="40"/>
        <v>0</v>
      </c>
      <c r="AZ68" s="90">
        <f t="shared" si="41"/>
        <v>0</v>
      </c>
      <c r="BA68" s="90">
        <f t="shared" si="42"/>
        <v>0</v>
      </c>
      <c r="BB68" s="90">
        <f t="shared" si="43"/>
        <v>1</v>
      </c>
    </row>
    <row r="69" spans="1:54">
      <c r="A69" s="87">
        <f>IF(INDEX(FORM!$A:$A,ROW())="","",ROW()-1)</f>
        <v>68</v>
      </c>
      <c r="B69" s="88">
        <f>IF($A69="","",INDEX(FORM!$A:$A,ROW()))</f>
        <v>46308.768018402799</v>
      </c>
      <c r="C69" s="87" t="str">
        <f>IF($A69="","",TRIM(INDEX(FORM!$B:$B,ROW())))</f>
        <v>UMAR HADID SETIANTO</v>
      </c>
      <c r="D69" s="87" t="str">
        <f>IF($A69="","",TRIM(INDEX(FORM!$C:$C,ROW())&amp;""))</f>
        <v>1510948</v>
      </c>
      <c r="E69" s="87" t="str">
        <f>IF($A69="","",UPPER(TRIM(INDEX(FORM!$D:$D,ROW()))))</f>
        <v>KLATEN</v>
      </c>
      <c r="F69" s="87" t="str">
        <f>IF($A69="","",IFERROR(INDEX(PROGRES!$A$2:$A$92,MATCH(E69,PROGRES!$B$2:$B$92,0)),"-"))</f>
        <v>Jawa Tengah</v>
      </c>
      <c r="G69" s="87" t="str">
        <f>IF($A69="","",UPPER(TRIM(INDEX(FORM!$F:$F,ROW()))))</f>
        <v>JATENG DIY</v>
      </c>
      <c r="H69" s="87" t="str">
        <f>IF($A69="","",UPPER(TRIM(INDEX(FORM!$E:$E,ROW()))))</f>
        <v>CRO</v>
      </c>
      <c r="I69" s="87" t="str">
        <f>IF($A69="","",UPPER(TRIM(INDEX(FORM!$G:$G,ROW()))))</f>
        <v>CUKUP</v>
      </c>
      <c r="J69" s="87" t="str">
        <f>IF($A69="","",IF(ISNUMBER(SEARCH("Ya,",INDEX(FORM!$H:$H,ROW()))),"YA",IF(ISNUMBER(SEARCH("Cukup,",INDEX(FORM!$H:$H,ROW()))),"CUKUP",IF(ISNUMBER(SEARCH("Kurang,",INDEX(FORM!$H:$H,ROW()))),"KURANG",""))))</f>
        <v>CUKUP</v>
      </c>
      <c r="K69" s="87" t="str">
        <f>IF($A69="","",UPPER(TRIM(INDEX(FORM!$J:$J,ROW()))))</f>
        <v>CUKUP</v>
      </c>
      <c r="L69" s="87">
        <f>IF($A69="","",IF(ISNUMBER(SEARCH("Aktivitas Harian",INDEX(FORM!$K:$K,ROW()))),1,0))</f>
        <v>0</v>
      </c>
      <c r="M69" s="87">
        <f>IF($A69="","",IF(ISNUMBER(SEARCH("Aktivitas Mingguan",INDEX(FORM!$K:$K,ROW()))),1,0))</f>
        <v>1</v>
      </c>
      <c r="N69" s="87">
        <f>IF($A69="","",IF(ISNUMBER(SEARCH("Aktivitas Bulanan",INDEX(FORM!$K:$K,ROW()))),1,0))</f>
        <v>0</v>
      </c>
      <c r="O69" s="87">
        <f>IF($A69="","",IF(ISNUMBER(SEARCH("Overview Cabang",INDEX(FORM!$K:$K,ROW()))),1,0))</f>
        <v>0</v>
      </c>
      <c r="P69" s="87">
        <f>IF($A69="","",IFERROR(VLOOKUP(I69,DATA!$AH$9:$AI$13,2,0),""))</f>
        <v>2</v>
      </c>
      <c r="Q69" s="87">
        <f>IF($A69="","",IFERROR(VLOOKUP(J69,DATA!$AH$9:$AI$13,2,0),""))</f>
        <v>2</v>
      </c>
      <c r="R69" s="87">
        <f>IF($A69="","",IFERROR(VLOOKUP(K69,DATA!$AH$9:$AI$13,2,0),""))</f>
        <v>2</v>
      </c>
      <c r="S69" s="89">
        <f t="shared" si="22"/>
        <v>2</v>
      </c>
      <c r="T69" s="87">
        <f>IF($A69="","",IF(COUNTIF($D$2:D69,D69)=1,1,0))</f>
        <v>1</v>
      </c>
      <c r="U69" s="87" t="str">
        <f>IF($A69="","",IF(F69="-","Cabang tdk ada",IF(IFERROR(VLOOKUP(G69,#REF!,1,0),"")="","",IF(INDEX(DATA!$AH$2:$AH$5,MATCH(G69,DATA!$AI$2:$AI$5,0))&lt;&gt;F69,"Wilayah beda","OK"))))</f>
        <v/>
      </c>
      <c r="V69" s="87" t="str">
        <f>IF($A69="","",TRIM(INDEX(FORM!$I:$I,ROW())&amp;""))</f>
        <v>Dimohon aplikasi dibuat simple lagi dan utk koneksi akses nya jangan lemot</v>
      </c>
      <c r="W69" s="87" t="str">
        <f>IF($A69="","",TRIM(INDEX(FORM!$L:$L,ROW())&amp;""))</f>
        <v>Saya rasa sudah semua , cuman terkadang lemot sekali</v>
      </c>
      <c r="X69" s="87" t="str">
        <f>IF($A69="","",TRIM(INDEX(FORM!$M:$M,ROW())&amp;""))</f>
        <v>Lebih dibuat sesimple mungkin dan koneksinya jangan lemot</v>
      </c>
      <c r="Y69" s="8">
        <f>IF($A69="","",IFERROR(MATCH(F69,DATA!$AH$2:$AH$5,0),9)*10000+A69)</f>
        <v>20068</v>
      </c>
      <c r="Z69" s="87" t="str">
        <f t="shared" si="23"/>
        <v>Kecepatan &amp; Loading Website</v>
      </c>
      <c r="AA69" s="87" t="str">
        <f t="shared" si="24"/>
        <v>Bukan Terkait SOP (Tampilan / Akses)</v>
      </c>
      <c r="AB69" s="87" t="str">
        <f t="shared" si="25"/>
        <v>Kecepatan Akses Website</v>
      </c>
      <c r="AC69" s="87"/>
      <c r="AD69" s="87"/>
      <c r="AE69" s="87"/>
      <c r="AK69" s="90">
        <f t="shared" si="26"/>
        <v>1</v>
      </c>
      <c r="AL69" s="90">
        <f t="shared" si="27"/>
        <v>0</v>
      </c>
      <c r="AM69" s="90">
        <f t="shared" si="28"/>
        <v>0</v>
      </c>
      <c r="AN69" s="90">
        <f t="shared" si="29"/>
        <v>0</v>
      </c>
      <c r="AO69" s="90">
        <f t="shared" si="30"/>
        <v>0</v>
      </c>
      <c r="AP69" s="90">
        <f t="shared" si="31"/>
        <v>0</v>
      </c>
      <c r="AQ69" s="90">
        <f t="shared" si="32"/>
        <v>0</v>
      </c>
      <c r="AR69" s="90">
        <f t="shared" si="33"/>
        <v>0</v>
      </c>
      <c r="AS69" s="90">
        <f t="shared" si="34"/>
        <v>0</v>
      </c>
      <c r="AT69" s="90">
        <f t="shared" si="35"/>
        <v>0</v>
      </c>
      <c r="AU69" s="90">
        <f t="shared" si="36"/>
        <v>0</v>
      </c>
      <c r="AV69" s="90">
        <f t="shared" si="37"/>
        <v>0</v>
      </c>
      <c r="AW69" s="90">
        <f t="shared" si="38"/>
        <v>0</v>
      </c>
      <c r="AX69" s="90">
        <f t="shared" si="39"/>
        <v>0</v>
      </c>
      <c r="AY69" s="90">
        <f t="shared" si="40"/>
        <v>0</v>
      </c>
      <c r="AZ69" s="90">
        <f t="shared" si="41"/>
        <v>0</v>
      </c>
      <c r="BA69" s="90">
        <f t="shared" si="42"/>
        <v>0</v>
      </c>
      <c r="BB69" s="90">
        <f t="shared" si="43"/>
        <v>1</v>
      </c>
    </row>
    <row r="70" spans="1:54">
      <c r="A70" s="87">
        <f>IF(INDEX(FORM!$A:$A,ROW())="","",ROW()-1)</f>
        <v>69</v>
      </c>
      <c r="B70" s="88">
        <f>IF($A70="","",INDEX(FORM!$A:$A,ROW()))</f>
        <v>46308.771574953702</v>
      </c>
      <c r="C70" s="87" t="str">
        <f>IF($A70="","",TRIM(INDEX(FORM!$B:$B,ROW())))</f>
        <v>Slamet budi laksono</v>
      </c>
      <c r="D70" s="87" t="str">
        <f>IF($A70="","",TRIM(INDEX(FORM!$C:$C,ROW())&amp;""))</f>
        <v>1511349</v>
      </c>
      <c r="E70" s="87" t="str">
        <f>IF($A70="","",UPPER(TRIM(INDEX(FORM!$D:$D,ROW()))))</f>
        <v>SINGARAJA</v>
      </c>
      <c r="F70" s="87" t="str">
        <f>IF($A70="","",IFERROR(INDEX(PROGRES!$A$2:$A$92,MATCH(E70,PROGRES!$B$2:$B$92,0)),"-"))</f>
        <v>Luar Pulau</v>
      </c>
      <c r="G70" s="87" t="str">
        <f>IF($A70="","",UPPER(TRIM(INDEX(FORM!$F:$F,ROW()))))</f>
        <v>LUAR PULAU</v>
      </c>
      <c r="H70" s="87" t="str">
        <f>IF($A70="","",UPPER(TRIM(INDEX(FORM!$E:$E,ROW()))))</f>
        <v>CRO</v>
      </c>
      <c r="I70" s="87" t="str">
        <f>IF($A70="","",UPPER(TRIM(INDEX(FORM!$G:$G,ROW()))))</f>
        <v>MUDAH</v>
      </c>
      <c r="J70" s="87" t="str">
        <f>IF($A70="","",IF(ISNUMBER(SEARCH("Ya,",INDEX(FORM!$H:$H,ROW()))),"YA",IF(ISNUMBER(SEARCH("Cukup,",INDEX(FORM!$H:$H,ROW()))),"CUKUP",IF(ISNUMBER(SEARCH("Kurang,",INDEX(FORM!$H:$H,ROW()))),"KURANG",""))))</f>
        <v>YA</v>
      </c>
      <c r="K70" s="87" t="str">
        <f>IF($A70="","",UPPER(TRIM(INDEX(FORM!$J:$J,ROW()))))</f>
        <v>MUDAH</v>
      </c>
      <c r="L70" s="87">
        <f>IF($A70="","",IF(ISNUMBER(SEARCH("Aktivitas Harian",INDEX(FORM!$K:$K,ROW()))),1,0))</f>
        <v>1</v>
      </c>
      <c r="M70" s="87">
        <f>IF($A70="","",IF(ISNUMBER(SEARCH("Aktivitas Mingguan",INDEX(FORM!$K:$K,ROW()))),1,0))</f>
        <v>0</v>
      </c>
      <c r="N70" s="87">
        <f>IF($A70="","",IF(ISNUMBER(SEARCH("Aktivitas Bulanan",INDEX(FORM!$K:$K,ROW()))),1,0))</f>
        <v>0</v>
      </c>
      <c r="O70" s="87">
        <f>IF($A70="","",IF(ISNUMBER(SEARCH("Overview Cabang",INDEX(FORM!$K:$K,ROW()))),1,0))</f>
        <v>0</v>
      </c>
      <c r="P70" s="87">
        <f>IF($A70="","",IFERROR(VLOOKUP(I70,DATA!$AH$9:$AI$13,2,0),""))</f>
        <v>3</v>
      </c>
      <c r="Q70" s="87">
        <f>IF($A70="","",IFERROR(VLOOKUP(J70,DATA!$AH$9:$AI$13,2,0),""))</f>
        <v>3</v>
      </c>
      <c r="R70" s="87">
        <f>IF($A70="","",IFERROR(VLOOKUP(K70,DATA!$AH$9:$AI$13,2,0),""))</f>
        <v>3</v>
      </c>
      <c r="S70" s="89">
        <f t="shared" si="22"/>
        <v>3</v>
      </c>
      <c r="T70" s="87">
        <f>IF($A70="","",IF(COUNTIF($D$2:D70,D70)=1,1,0))</f>
        <v>1</v>
      </c>
      <c r="U70" s="87" t="str">
        <f>IF($A70="","",IF(F70="-","Cabang tdk ada",IF(IFERROR(VLOOKUP(G70,#REF!,1,0),"")="","",IF(INDEX(DATA!$AH$2:$AH$5,MATCH(G70,DATA!$AI$2:$AI$5,0))&lt;&gt;F70,"Wilayah beda","OK"))))</f>
        <v/>
      </c>
      <c r="V70" s="87" t="str">
        <f>IF($A70="","",TRIM(INDEX(FORM!$I:$I,ROW())&amp;""))</f>
        <v>Sudah baik</v>
      </c>
      <c r="W70" s="87" t="str">
        <f>IF($A70="","",TRIM(INDEX(FORM!$L:$L,ROW())&amp;""))</f>
        <v>Sudah semua tercakup</v>
      </c>
      <c r="X70" s="87" t="str">
        <f>IF($A70="","",TRIM(INDEX(FORM!$M:$M,ROW())&amp;""))</f>
        <v>Mungkin bisa nanti dijadikan dashboard CRO utk pencapaian penjualan, penagihan, dll yg bisa berguna utk kita memonitoring kerja kita</v>
      </c>
      <c r="Y70" s="8">
        <f>IF($A70="","",IFERROR(MATCH(F70,DATA!$AH$2:$AH$5,0),9)*10000+A70)</f>
        <v>40069</v>
      </c>
      <c r="Z70" s="87" t="str">
        <f t="shared" si="23"/>
        <v>Tidak ada masukan / sudah baik</v>
      </c>
      <c r="AA70" s="87" t="str">
        <f t="shared" si="24"/>
        <v>Tidak ada masukan / sudah baik</v>
      </c>
      <c r="AB70" s="87" t="str">
        <f t="shared" si="25"/>
        <v>Fitur Baru (Dashboard / KPI / Database)</v>
      </c>
      <c r="AC70" s="87"/>
      <c r="AD70" s="87"/>
      <c r="AE70" s="87"/>
      <c r="AK70" s="90">
        <f t="shared" si="26"/>
        <v>0</v>
      </c>
      <c r="AL70" s="90">
        <f t="shared" si="27"/>
        <v>0</v>
      </c>
      <c r="AM70" s="90">
        <f t="shared" si="28"/>
        <v>0</v>
      </c>
      <c r="AN70" s="90">
        <f t="shared" si="29"/>
        <v>0</v>
      </c>
      <c r="AO70" s="90">
        <f t="shared" si="30"/>
        <v>0</v>
      </c>
      <c r="AP70" s="90">
        <f t="shared" si="31"/>
        <v>1</v>
      </c>
      <c r="AQ70" s="90">
        <f t="shared" si="32"/>
        <v>0</v>
      </c>
      <c r="AR70" s="90">
        <f t="shared" si="33"/>
        <v>0</v>
      </c>
      <c r="AS70" s="90">
        <f t="shared" si="34"/>
        <v>0</v>
      </c>
      <c r="AT70" s="90">
        <f t="shared" si="35"/>
        <v>0</v>
      </c>
      <c r="AU70" s="90">
        <f t="shared" si="36"/>
        <v>0</v>
      </c>
      <c r="AV70" s="90">
        <f t="shared" si="37"/>
        <v>0</v>
      </c>
      <c r="AW70" s="90">
        <f t="shared" si="38"/>
        <v>0</v>
      </c>
      <c r="AX70" s="90">
        <f t="shared" si="39"/>
        <v>0</v>
      </c>
      <c r="AY70" s="90">
        <f t="shared" si="40"/>
        <v>0</v>
      </c>
      <c r="AZ70" s="90">
        <f t="shared" si="41"/>
        <v>0</v>
      </c>
      <c r="BA70" s="90">
        <f t="shared" si="42"/>
        <v>0</v>
      </c>
      <c r="BB70" s="90">
        <f t="shared" si="43"/>
        <v>1</v>
      </c>
    </row>
    <row r="71" spans="1:54">
      <c r="A71" s="87">
        <f>IF(INDEX(FORM!$A:$A,ROW())="","",ROW()-1)</f>
        <v>70</v>
      </c>
      <c r="B71" s="88">
        <f>IF($A71="","",INDEX(FORM!$A:$A,ROW()))</f>
        <v>46308.788718715303</v>
      </c>
      <c r="C71" s="87" t="str">
        <f>IF($A71="","",TRIM(INDEX(FORM!$B:$B,ROW())))</f>
        <v>SUNARYO</v>
      </c>
      <c r="D71" s="87" t="str">
        <f>IF($A71="","",TRIM(INDEX(FORM!$C:$C,ROW())&amp;""))</f>
        <v>1511262</v>
      </c>
      <c r="E71" s="87" t="str">
        <f>IF($A71="","",UPPER(TRIM(INDEX(FORM!$D:$D,ROW()))))</f>
        <v>SUBANG</v>
      </c>
      <c r="F71" s="87" t="str">
        <f>IF($A71="","",IFERROR(INDEX(PROGRES!$A$2:$A$92,MATCH(E71,PROGRES!$B$2:$B$92,0)),"-"))</f>
        <v>Jawa Barat</v>
      </c>
      <c r="G71" s="87" t="str">
        <f>IF($A71="","",UPPER(TRIM(INDEX(FORM!$F:$F,ROW()))))</f>
        <v>JABAR DKI BANTEN</v>
      </c>
      <c r="H71" s="87" t="str">
        <f>IF($A71="","",UPPER(TRIM(INDEX(FORM!$E:$E,ROW()))))</f>
        <v>CRO</v>
      </c>
      <c r="I71" s="87" t="str">
        <f>IF($A71="","",UPPER(TRIM(INDEX(FORM!$G:$G,ROW()))))</f>
        <v>CUKUP</v>
      </c>
      <c r="J71" s="87" t="str">
        <f>IF($A71="","",IF(ISNUMBER(SEARCH("Ya,",INDEX(FORM!$H:$H,ROW()))),"YA",IF(ISNUMBER(SEARCH("Cukup,",INDEX(FORM!$H:$H,ROW()))),"CUKUP",IF(ISNUMBER(SEARCH("Kurang,",INDEX(FORM!$H:$H,ROW()))),"KURANG",""))))</f>
        <v>CUKUP</v>
      </c>
      <c r="K71" s="87" t="str">
        <f>IF($A71="","",UPPER(TRIM(INDEX(FORM!$J:$J,ROW()))))</f>
        <v>CUKUP</v>
      </c>
      <c r="L71" s="87">
        <f>IF($A71="","",IF(ISNUMBER(SEARCH("Aktivitas Harian",INDEX(FORM!$K:$K,ROW()))),1,0))</f>
        <v>1</v>
      </c>
      <c r="M71" s="87">
        <f>IF($A71="","",IF(ISNUMBER(SEARCH("Aktivitas Mingguan",INDEX(FORM!$K:$K,ROW()))),1,0))</f>
        <v>0</v>
      </c>
      <c r="N71" s="87">
        <f>IF($A71="","",IF(ISNUMBER(SEARCH("Aktivitas Bulanan",INDEX(FORM!$K:$K,ROW()))),1,0))</f>
        <v>0</v>
      </c>
      <c r="O71" s="87">
        <f>IF($A71="","",IF(ISNUMBER(SEARCH("Overview Cabang",INDEX(FORM!$K:$K,ROW()))),1,0))</f>
        <v>0</v>
      </c>
      <c r="P71" s="87">
        <f>IF($A71="","",IFERROR(VLOOKUP(I71,DATA!$AH$9:$AI$13,2,0),""))</f>
        <v>2</v>
      </c>
      <c r="Q71" s="87">
        <f>IF($A71="","",IFERROR(VLOOKUP(J71,DATA!$AH$9:$AI$13,2,0),""))</f>
        <v>2</v>
      </c>
      <c r="R71" s="87">
        <f>IF($A71="","",IFERROR(VLOOKUP(K71,DATA!$AH$9:$AI$13,2,0),""))</f>
        <v>2</v>
      </c>
      <c r="S71" s="89">
        <f t="shared" si="22"/>
        <v>2</v>
      </c>
      <c r="T71" s="87">
        <f>IF($A71="","",IF(COUNTIF($D$2:D71,D71)=1,1,0))</f>
        <v>1</v>
      </c>
      <c r="U71" s="87" t="str">
        <f>IF($A71="","",IF(F71="-","Cabang tdk ada",IF(IFERROR(VLOOKUP(G71,#REF!,1,0),"")="","",IF(INDEX(DATA!$AH$2:$AH$5,MATCH(G71,DATA!$AI$2:$AI$5,0))&lt;&gt;F71,"Wilayah beda","OK"))))</f>
        <v/>
      </c>
      <c r="V71" s="87" t="str">
        <f>IF($A71="","",TRIM(INDEX(FORM!$I:$I,ROW())&amp;""))</f>
        <v>Tampilannya kurang melebar jadi harus di scroll ke samping</v>
      </c>
      <c r="W71" s="87" t="str">
        <f>IF($A71="","",TRIM(INDEX(FORM!$L:$L,ROW())&amp;""))</f>
        <v>Cukup</v>
      </c>
      <c r="X71" s="87" t="str">
        <f>IF($A71="","",TRIM(INDEX(FORM!$M:$M,ROW())&amp;""))</f>
        <v>Cukup</v>
      </c>
      <c r="Y71" s="8">
        <f>IF($A71="","",IFERROR(MATCH(F71,DATA!$AH$2:$AH$5,0),9)*10000+A71)</f>
        <v>10070</v>
      </c>
      <c r="Z71" s="87" t="str">
        <f t="shared" si="23"/>
        <v>Tampilan di HP (Responsif)</v>
      </c>
      <c r="AA71" s="87" t="str">
        <f t="shared" si="24"/>
        <v>Tidak ada masukan / sudah baik</v>
      </c>
      <c r="AB71" s="87" t="str">
        <f t="shared" si="25"/>
        <v>Tidak ada masukan / sudah baik</v>
      </c>
      <c r="AC71" s="87"/>
      <c r="AD71" s="87"/>
      <c r="AE71" s="87"/>
      <c r="AK71" s="90">
        <f t="shared" si="26"/>
        <v>0</v>
      </c>
      <c r="AL71" s="90">
        <f t="shared" si="27"/>
        <v>1</v>
      </c>
      <c r="AM71" s="90">
        <f t="shared" si="28"/>
        <v>0</v>
      </c>
      <c r="AN71" s="90">
        <f t="shared" si="29"/>
        <v>0</v>
      </c>
      <c r="AO71" s="90">
        <f t="shared" si="30"/>
        <v>0</v>
      </c>
      <c r="AP71" s="90">
        <f t="shared" si="31"/>
        <v>0</v>
      </c>
      <c r="AQ71" s="90">
        <f t="shared" si="32"/>
        <v>0</v>
      </c>
      <c r="AR71" s="90">
        <f t="shared" si="33"/>
        <v>0</v>
      </c>
      <c r="AS71" s="90">
        <f t="shared" si="34"/>
        <v>0</v>
      </c>
      <c r="AT71" s="90">
        <f t="shared" si="35"/>
        <v>0</v>
      </c>
      <c r="AU71" s="90">
        <f t="shared" si="36"/>
        <v>0</v>
      </c>
      <c r="AV71" s="90">
        <f t="shared" si="37"/>
        <v>0</v>
      </c>
      <c r="AW71" s="90">
        <f t="shared" si="38"/>
        <v>0</v>
      </c>
      <c r="AX71" s="90">
        <f t="shared" si="39"/>
        <v>0</v>
      </c>
      <c r="AY71" s="90">
        <f t="shared" si="40"/>
        <v>0</v>
      </c>
      <c r="AZ71" s="90">
        <f t="shared" si="41"/>
        <v>0</v>
      </c>
      <c r="BA71" s="90">
        <f t="shared" si="42"/>
        <v>0</v>
      </c>
      <c r="BB71" s="90">
        <f t="shared" si="43"/>
        <v>1</v>
      </c>
    </row>
    <row r="72" spans="1:54" s="5" customFormat="1" hidden="1">
      <c r="A72" s="8">
        <f>IF(INDEX(FORM!$A:$A,ROW())="","",ROW()-1)</f>
        <v>71</v>
      </c>
      <c r="B72" s="41">
        <f>IF($A72="","",INDEX(FORM!$A:$A,ROW()))</f>
        <v>46309.283147488401</v>
      </c>
      <c r="C72" s="8" t="str">
        <f>IF($A72="","",TRIM(INDEX(FORM!$B:$B,ROW())))</f>
        <v>SENDY MARTIN</v>
      </c>
      <c r="D72" s="8" t="str">
        <f>IF($A72="","",TRIM(INDEX(FORM!$C:$C,ROW())&amp;""))</f>
        <v>80490</v>
      </c>
      <c r="E72" s="8" t="str">
        <f>IF($A72="","",UPPER(TRIM(INDEX(FORM!$D:$D,ROW()))))</f>
        <v>CEPU</v>
      </c>
      <c r="F72" s="8" t="str">
        <f>IF($A72="","",IFERROR(INDEX(PROGRES!$A$2:$A$92,MATCH(E72,PROGRES!$B$2:$B$92,0)),"-"))</f>
        <v>Jawa Tengah</v>
      </c>
      <c r="G72" s="8" t="str">
        <f>IF($A72="","",UPPER(TRIM(INDEX(FORM!$F:$F,ROW()))))</f>
        <v>JATENG DIY</v>
      </c>
      <c r="H72" s="8" t="str">
        <f>IF($A72="","",UPPER(TRIM(INDEX(FORM!$E:$E,ROW()))))</f>
        <v>BM</v>
      </c>
      <c r="I72" s="8" t="str">
        <f>IF($A72="","",UPPER(TRIM(INDEX(FORM!$G:$G,ROW()))))</f>
        <v>MUDAH</v>
      </c>
      <c r="J72" s="8" t="str">
        <f>IF($A72="","",IF(ISNUMBER(SEARCH("Ya,",INDEX(FORM!$H:$H,ROW()))),"YA",IF(ISNUMBER(SEARCH("Cukup,",INDEX(FORM!$H:$H,ROW()))),"CUKUP",IF(ISNUMBER(SEARCH("Kurang,",INDEX(FORM!$H:$H,ROW()))),"KURANG",""))))</f>
        <v>YA</v>
      </c>
      <c r="K72" s="8" t="str">
        <f>IF($A72="","",UPPER(TRIM(INDEX(FORM!$J:$J,ROW()))))</f>
        <v>MUDAH</v>
      </c>
      <c r="L72" s="8">
        <f>IF($A72="","",IF(ISNUMBER(SEARCH("Aktivitas Harian",INDEX(FORM!$K:$K,ROW()))),1,0))</f>
        <v>0</v>
      </c>
      <c r="M72" s="8">
        <f>IF($A72="","",IF(ISNUMBER(SEARCH("Aktivitas Mingguan",INDEX(FORM!$K:$K,ROW()))),1,0))</f>
        <v>0</v>
      </c>
      <c r="N72" s="8">
        <f>IF($A72="","",IF(ISNUMBER(SEARCH("Aktivitas Bulanan",INDEX(FORM!$K:$K,ROW()))),1,0))</f>
        <v>0</v>
      </c>
      <c r="O72" s="8">
        <f>IF($A72="","",IF(ISNUMBER(SEARCH("Overview Cabang",INDEX(FORM!$K:$K,ROW()))),1,0))</f>
        <v>1</v>
      </c>
      <c r="P72" s="8">
        <f>IF($A72="","",IFERROR(VLOOKUP(I72,DATA!$AH$9:$AI$13,2,0),""))</f>
        <v>3</v>
      </c>
      <c r="Q72" s="8">
        <f>IF($A72="","",IFERROR(VLOOKUP(J72,DATA!$AH$9:$AI$13,2,0),""))</f>
        <v>3</v>
      </c>
      <c r="R72" s="8">
        <f>IF($A72="","",IFERROR(VLOOKUP(K72,DATA!$AH$9:$AI$13,2,0),""))</f>
        <v>3</v>
      </c>
      <c r="S72" s="42">
        <f t="shared" si="22"/>
        <v>3</v>
      </c>
      <c r="T72" s="8">
        <f>IF($A72="","",IF(COUNTIF($D$2:D72,D72)=1,1,0))</f>
        <v>0</v>
      </c>
      <c r="U72" s="8" t="str">
        <f>IF($A72="","",IF(F72="-","Cabang tdk ada",IF(IFERROR(VLOOKUP(G72,#REF!,1,0),"")="","",IF(INDEX(DATA!$AH$2:$AH$5,MATCH(G72,DATA!$AI$2:$AI$5,0))&lt;&gt;F72,"Wilayah beda","OK"))))</f>
        <v/>
      </c>
      <c r="V72" s="8" t="str">
        <f>IF($A72="","",TRIM(INDEX(FORM!$I:$I,ROW())&amp;""))</f>
        <v>Cukup</v>
      </c>
      <c r="W72" s="8" t="str">
        <f>IF($A72="","",TRIM(INDEX(FORM!$L:$L,ROW())&amp;""))</f>
        <v>Tidak ada</v>
      </c>
      <c r="X72" s="8" t="str">
        <f>IF($A72="","",TRIM(INDEX(FORM!$M:$M,ROW())&amp;""))</f>
        <v>Cukup</v>
      </c>
      <c r="Y72" s="8">
        <f>IF($A72="","",IFERROR(MATCH(F72,DATA!$AH$2:$AH$5,0),9)*10000+A72)</f>
        <v>20071</v>
      </c>
      <c r="Z72" s="8" t="str">
        <f t="shared" si="23"/>
        <v>Tidak ada masukan / sudah baik</v>
      </c>
      <c r="AA72" s="8" t="str">
        <f t="shared" si="24"/>
        <v>Tidak ada masukan / sudah baik</v>
      </c>
      <c r="AB72" s="8" t="str">
        <f t="shared" si="25"/>
        <v>Tidak ada masukan / sudah baik</v>
      </c>
      <c r="AC72" s="8"/>
      <c r="AD72" s="8"/>
      <c r="AE72" s="8"/>
      <c r="AK72" s="5">
        <f t="shared" si="26"/>
        <v>0</v>
      </c>
      <c r="AL72" s="5">
        <f t="shared" si="27"/>
        <v>0</v>
      </c>
      <c r="AM72" s="5">
        <f t="shared" si="28"/>
        <v>0</v>
      </c>
      <c r="AN72" s="5">
        <f t="shared" si="29"/>
        <v>0</v>
      </c>
      <c r="AO72" s="5">
        <f t="shared" si="30"/>
        <v>0</v>
      </c>
      <c r="AP72" s="5">
        <f t="shared" si="31"/>
        <v>0</v>
      </c>
      <c r="AQ72" s="5">
        <f t="shared" si="32"/>
        <v>0</v>
      </c>
      <c r="AR72" s="5">
        <f t="shared" si="33"/>
        <v>0</v>
      </c>
      <c r="AS72" s="5">
        <f t="shared" si="34"/>
        <v>0</v>
      </c>
      <c r="AT72" s="5">
        <f t="shared" si="35"/>
        <v>0</v>
      </c>
      <c r="AU72" s="5">
        <f t="shared" si="36"/>
        <v>0</v>
      </c>
      <c r="AV72" s="5">
        <f t="shared" si="37"/>
        <v>0</v>
      </c>
      <c r="AW72" s="5">
        <f t="shared" si="38"/>
        <v>0</v>
      </c>
      <c r="AX72" s="5">
        <f t="shared" si="39"/>
        <v>0</v>
      </c>
      <c r="AY72" s="5">
        <f t="shared" si="40"/>
        <v>0</v>
      </c>
      <c r="AZ72" s="5">
        <f t="shared" si="41"/>
        <v>0</v>
      </c>
      <c r="BA72" s="5">
        <f t="shared" si="42"/>
        <v>0</v>
      </c>
      <c r="BB72" s="5">
        <f t="shared" si="43"/>
        <v>0</v>
      </c>
    </row>
    <row r="73" spans="1:54" s="5" customFormat="1" hidden="1">
      <c r="A73" s="8">
        <f>IF(INDEX(FORM!$A:$A,ROW())="","",ROW()-1)</f>
        <v>72</v>
      </c>
      <c r="B73" s="41">
        <f>IF($A73="","",INDEX(FORM!$A:$A,ROW()))</f>
        <v>46309.382846967601</v>
      </c>
      <c r="C73" s="8" t="str">
        <f>IF($A73="","",TRIM(INDEX(FORM!$B:$B,ROW())))</f>
        <v>Diatmika Wanda Prayoga</v>
      </c>
      <c r="D73" s="8" t="str">
        <f>IF($A73="","",TRIM(INDEX(FORM!$C:$C,ROW())&amp;""))</f>
        <v>88919187</v>
      </c>
      <c r="E73" s="8" t="str">
        <f>IF($A73="","",UPPER(TRIM(INDEX(FORM!$D:$D,ROW()))))</f>
        <v>SERANG</v>
      </c>
      <c r="F73" s="8" t="str">
        <f>IF($A73="","",IFERROR(INDEX(PROGRES!$A$2:$A$92,MATCH(E73,PROGRES!$B$2:$B$92,0)),"-"))</f>
        <v>Jawa Barat</v>
      </c>
      <c r="G73" s="8" t="str">
        <f>IF($A73="","",UPPER(TRIM(INDEX(FORM!$F:$F,ROW()))))</f>
        <v>JABAR DKI BANTEN</v>
      </c>
      <c r="H73" s="8" t="str">
        <f>IF($A73="","",UPPER(TRIM(INDEX(FORM!$E:$E,ROW()))))</f>
        <v>BM</v>
      </c>
      <c r="I73" s="8" t="str">
        <f>IF($A73="","",UPPER(TRIM(INDEX(FORM!$G:$G,ROW()))))</f>
        <v>MUDAH</v>
      </c>
      <c r="J73" s="8" t="str">
        <f>IF($A73="","",IF(ISNUMBER(SEARCH("Ya,",INDEX(FORM!$H:$H,ROW()))),"YA",IF(ISNUMBER(SEARCH("Cukup,",INDEX(FORM!$H:$H,ROW()))),"CUKUP",IF(ISNUMBER(SEARCH("Kurang,",INDEX(FORM!$H:$H,ROW()))),"KURANG",""))))</f>
        <v>YA</v>
      </c>
      <c r="K73" s="8" t="str">
        <f>IF($A73="","",UPPER(TRIM(INDEX(FORM!$J:$J,ROW()))))</f>
        <v>CUKUP</v>
      </c>
      <c r="L73" s="8">
        <f>IF($A73="","",IF(ISNUMBER(SEARCH("Aktivitas Harian",INDEX(FORM!$K:$K,ROW()))),1,0))</f>
        <v>1</v>
      </c>
      <c r="M73" s="8">
        <f>IF($A73="","",IF(ISNUMBER(SEARCH("Aktivitas Mingguan",INDEX(FORM!$K:$K,ROW()))),1,0))</f>
        <v>1</v>
      </c>
      <c r="N73" s="8">
        <f>IF($A73="","",IF(ISNUMBER(SEARCH("Aktivitas Bulanan",INDEX(FORM!$K:$K,ROW()))),1,0))</f>
        <v>1</v>
      </c>
      <c r="O73" s="8">
        <f>IF($A73="","",IF(ISNUMBER(SEARCH("Overview Cabang",INDEX(FORM!$K:$K,ROW()))),1,0))</f>
        <v>1</v>
      </c>
      <c r="P73" s="8">
        <f>IF($A73="","",IFERROR(VLOOKUP(I73,DATA!$AH$9:$AI$13,2,0),""))</f>
        <v>3</v>
      </c>
      <c r="Q73" s="8">
        <f>IF($A73="","",IFERROR(VLOOKUP(J73,DATA!$AH$9:$AI$13,2,0),""))</f>
        <v>3</v>
      </c>
      <c r="R73" s="8">
        <f>IF($A73="","",IFERROR(VLOOKUP(K73,DATA!$AH$9:$AI$13,2,0),""))</f>
        <v>2</v>
      </c>
      <c r="S73" s="42">
        <f t="shared" si="22"/>
        <v>2.6666666666666665</v>
      </c>
      <c r="T73" s="8">
        <f>IF($A73="","",IF(COUNTIF($D$2:D73,D73)=1,1,0))</f>
        <v>1</v>
      </c>
      <c r="U73" s="8" t="str">
        <f>IF($A73="","",IF(F73="-","Cabang tdk ada",IF(IFERROR(VLOOKUP(G73,#REF!,1,0),"")="","",IF(INDEX(DATA!$AH$2:$AH$5,MATCH(G73,DATA!$AI$2:$AI$5,0))&lt;&gt;F73,"Wilayah beda","OK"))))</f>
        <v/>
      </c>
      <c r="V73" s="8" t="str">
        <f>IF($A73="","",TRIM(INDEX(FORM!$I:$I,ROW())&amp;""))</f>
        <v>Lanjutkan</v>
      </c>
      <c r="W73" s="8" t="str">
        <f>IF($A73="","",TRIM(INDEX(FORM!$L:$L,ROW())&amp;""))</f>
        <v>Sudah ada</v>
      </c>
      <c r="X73" s="8" t="str">
        <f>IF($A73="","",TRIM(INDEX(FORM!$M:$M,ROW())&amp;""))</f>
        <v>Menampilkan update tips-tips kerja efektif terkini sesuai jobdesk</v>
      </c>
      <c r="Y73" s="8">
        <f>IF($A73="","",IFERROR(MATCH(F73,DATA!$AH$2:$AH$5,0),9)*10000+A73)</f>
        <v>10072</v>
      </c>
      <c r="Z73" s="8" t="str">
        <f t="shared" si="23"/>
        <v>Tidak ada masukan / sudah baik</v>
      </c>
      <c r="AA73" s="8" t="str">
        <f t="shared" si="24"/>
        <v>Tidak ada masukan / sudah baik</v>
      </c>
      <c r="AB73" s="8" t="str">
        <f t="shared" si="25"/>
        <v>Penambahan Materi &amp; Template</v>
      </c>
      <c r="AC73" s="8"/>
      <c r="AD73" s="8"/>
      <c r="AE73" s="8"/>
      <c r="AK73" s="5">
        <f t="shared" si="26"/>
        <v>0</v>
      </c>
      <c r="AL73" s="5">
        <f t="shared" si="27"/>
        <v>0</v>
      </c>
      <c r="AM73" s="5">
        <f t="shared" si="28"/>
        <v>0</v>
      </c>
      <c r="AN73" s="5">
        <f t="shared" si="29"/>
        <v>0</v>
      </c>
      <c r="AO73" s="5">
        <f t="shared" si="30"/>
        <v>0</v>
      </c>
      <c r="AP73" s="5">
        <f t="shared" si="31"/>
        <v>0</v>
      </c>
      <c r="AQ73" s="5">
        <f t="shared" si="32"/>
        <v>0</v>
      </c>
      <c r="AR73" s="5">
        <f t="shared" si="33"/>
        <v>1</v>
      </c>
      <c r="AS73" s="5">
        <f t="shared" si="34"/>
        <v>0</v>
      </c>
      <c r="AT73" s="5">
        <f t="shared" si="35"/>
        <v>0</v>
      </c>
      <c r="AU73" s="5">
        <f t="shared" si="36"/>
        <v>0</v>
      </c>
      <c r="AV73" s="5">
        <f t="shared" si="37"/>
        <v>0</v>
      </c>
      <c r="AW73" s="5">
        <f t="shared" si="38"/>
        <v>0</v>
      </c>
      <c r="AX73" s="5">
        <f t="shared" si="39"/>
        <v>0</v>
      </c>
      <c r="AY73" s="5">
        <f t="shared" si="40"/>
        <v>0</v>
      </c>
      <c r="AZ73" s="5">
        <f t="shared" si="41"/>
        <v>0</v>
      </c>
      <c r="BA73" s="5">
        <f t="shared" si="42"/>
        <v>0</v>
      </c>
      <c r="BB73" s="5">
        <f t="shared" si="43"/>
        <v>1</v>
      </c>
    </row>
    <row r="74" spans="1:54" s="5" customFormat="1" hidden="1">
      <c r="A74" s="8">
        <f>IF(INDEX(FORM!$A:$A,ROW())="","",ROW()-1)</f>
        <v>73</v>
      </c>
      <c r="B74" s="41">
        <f>IF($A74="","",INDEX(FORM!$A:$A,ROW()))</f>
        <v>46309.390714641202</v>
      </c>
      <c r="C74" s="8" t="str">
        <f>IF($A74="","",TRIM(INDEX(FORM!$B:$B,ROW())))</f>
        <v>RANIAH TASYA NUGRAHA</v>
      </c>
      <c r="D74" s="8" t="str">
        <f>IF($A74="","",TRIM(INDEX(FORM!$C:$C,ROW())&amp;""))</f>
        <v>1510661</v>
      </c>
      <c r="E74" s="8" t="str">
        <f>IF($A74="","",UPPER(TRIM(INDEX(FORM!$D:$D,ROW()))))</f>
        <v>DENPASAR</v>
      </c>
      <c r="F74" s="8" t="str">
        <f>IF($A74="","",IFERROR(INDEX(PROGRES!$A$2:$A$92,MATCH(E74,PROGRES!$B$2:$B$92,0)),"-"))</f>
        <v>Luar Pulau</v>
      </c>
      <c r="G74" s="8" t="str">
        <f>IF($A74="","",UPPER(TRIM(INDEX(FORM!$F:$F,ROW()))))</f>
        <v>LUAR PULAU</v>
      </c>
      <c r="H74" s="8" t="str">
        <f>IF($A74="","",UPPER(TRIM(INDEX(FORM!$E:$E,ROW()))))</f>
        <v>BAO</v>
      </c>
      <c r="I74" s="8" t="str">
        <f>IF($A74="","",UPPER(TRIM(INDEX(FORM!$G:$G,ROW()))))</f>
        <v>MUDAH</v>
      </c>
      <c r="J74" s="8" t="str">
        <f>IF($A74="","",IF(ISNUMBER(SEARCH("Ya,",INDEX(FORM!$H:$H,ROW()))),"YA",IF(ISNUMBER(SEARCH("Cukup,",INDEX(FORM!$H:$H,ROW()))),"CUKUP",IF(ISNUMBER(SEARCH("Kurang,",INDEX(FORM!$H:$H,ROW()))),"KURANG",""))))</f>
        <v>YA</v>
      </c>
      <c r="K74" s="8" t="str">
        <f>IF($A74="","",UPPER(TRIM(INDEX(FORM!$J:$J,ROW()))))</f>
        <v>MUDAH</v>
      </c>
      <c r="L74" s="8">
        <f>IF($A74="","",IF(ISNUMBER(SEARCH("Aktivitas Harian",INDEX(FORM!$K:$K,ROW()))),1,0))</f>
        <v>1</v>
      </c>
      <c r="M74" s="8">
        <f>IF($A74="","",IF(ISNUMBER(SEARCH("Aktivitas Mingguan",INDEX(FORM!$K:$K,ROW()))),1,0))</f>
        <v>1</v>
      </c>
      <c r="N74" s="8">
        <f>IF($A74="","",IF(ISNUMBER(SEARCH("Aktivitas Bulanan",INDEX(FORM!$K:$K,ROW()))),1,0))</f>
        <v>1</v>
      </c>
      <c r="O74" s="8">
        <f>IF($A74="","",IF(ISNUMBER(SEARCH("Overview Cabang",INDEX(FORM!$K:$K,ROW()))),1,0))</f>
        <v>1</v>
      </c>
      <c r="P74" s="8">
        <f>IF($A74="","",IFERROR(VLOOKUP(I74,DATA!$AH$9:$AI$13,2,0),""))</f>
        <v>3</v>
      </c>
      <c r="Q74" s="8">
        <f>IF($A74="","",IFERROR(VLOOKUP(J74,DATA!$AH$9:$AI$13,2,0),""))</f>
        <v>3</v>
      </c>
      <c r="R74" s="8">
        <f>IF($A74="","",IFERROR(VLOOKUP(K74,DATA!$AH$9:$AI$13,2,0),""))</f>
        <v>3</v>
      </c>
      <c r="S74" s="42">
        <f t="shared" si="22"/>
        <v>3</v>
      </c>
      <c r="T74" s="8">
        <f>IF($A74="","",IF(COUNTIF($D$2:D74,D74)=1,1,0))</f>
        <v>1</v>
      </c>
      <c r="U74" s="8" t="str">
        <f>IF($A74="","",IF(F74="-","Cabang tdk ada",IF(IFERROR(VLOOKUP(G74,#REF!,1,0),"")="","",IF(INDEX(DATA!$AH$2:$AH$5,MATCH(G74,DATA!$AI$2:$AI$5,0))&lt;&gt;F74,"Wilayah beda","OK"))))</f>
        <v/>
      </c>
      <c r="V74" s="8" t="str">
        <f>IF($A74="","",TRIM(INDEX(FORM!$I:$I,ROW())&amp;""))</f>
        <v>sudah bagus</v>
      </c>
      <c r="W74" s="8" t="str">
        <f>IF($A74="","",TRIM(INDEX(FORM!$L:$L,ROW())&amp;""))</f>
        <v>tidak</v>
      </c>
      <c r="X74" s="8" t="str">
        <f>IF($A74="","",TRIM(INDEX(FORM!$M:$M,ROW())&amp;""))</f>
        <v>sudah cukup baik</v>
      </c>
      <c r="Y74" s="8">
        <f>IF($A74="","",IFERROR(MATCH(F74,DATA!$AH$2:$AH$5,0),9)*10000+A74)</f>
        <v>40073</v>
      </c>
      <c r="Z74" s="8" t="str">
        <f t="shared" si="23"/>
        <v>Tidak ada masukan / sudah baik</v>
      </c>
      <c r="AA74" s="8" t="str">
        <f t="shared" si="24"/>
        <v>Tidak ada masukan / sudah baik</v>
      </c>
      <c r="AB74" s="8" t="str">
        <f t="shared" si="25"/>
        <v>Tidak ada masukan / sudah baik</v>
      </c>
      <c r="AC74" s="8"/>
      <c r="AD74" s="8"/>
      <c r="AE74" s="8"/>
      <c r="AK74" s="5">
        <f t="shared" si="26"/>
        <v>0</v>
      </c>
      <c r="AL74" s="5">
        <f t="shared" si="27"/>
        <v>0</v>
      </c>
      <c r="AM74" s="5">
        <f t="shared" si="28"/>
        <v>0</v>
      </c>
      <c r="AN74" s="5">
        <f t="shared" si="29"/>
        <v>0</v>
      </c>
      <c r="AO74" s="5">
        <f t="shared" si="30"/>
        <v>0</v>
      </c>
      <c r="AP74" s="5">
        <f t="shared" si="31"/>
        <v>0</v>
      </c>
      <c r="AQ74" s="5">
        <f t="shared" si="32"/>
        <v>0</v>
      </c>
      <c r="AR74" s="5">
        <f t="shared" si="33"/>
        <v>0</v>
      </c>
      <c r="AS74" s="5">
        <f t="shared" si="34"/>
        <v>0</v>
      </c>
      <c r="AT74" s="5">
        <f t="shared" si="35"/>
        <v>0</v>
      </c>
      <c r="AU74" s="5">
        <f t="shared" si="36"/>
        <v>0</v>
      </c>
      <c r="AV74" s="5">
        <f t="shared" si="37"/>
        <v>0</v>
      </c>
      <c r="AW74" s="5">
        <f t="shared" si="38"/>
        <v>0</v>
      </c>
      <c r="AX74" s="5">
        <f t="shared" si="39"/>
        <v>0</v>
      </c>
      <c r="AY74" s="5">
        <f t="shared" si="40"/>
        <v>0</v>
      </c>
      <c r="AZ74" s="5">
        <f t="shared" si="41"/>
        <v>0</v>
      </c>
      <c r="BA74" s="5">
        <f t="shared" si="42"/>
        <v>0</v>
      </c>
      <c r="BB74" s="5">
        <f t="shared" si="43"/>
        <v>0</v>
      </c>
    </row>
    <row r="75" spans="1:54">
      <c r="A75" s="87">
        <f>IF(INDEX(FORM!$A:$A,ROW())="","",ROW()-1)</f>
        <v>74</v>
      </c>
      <c r="B75" s="88">
        <f>IF($A75="","",INDEX(FORM!$A:$A,ROW()))</f>
        <v>46309.390936955999</v>
      </c>
      <c r="C75" s="87" t="str">
        <f>IF($A75="","",TRIM(INDEX(FORM!$B:$B,ROW())))</f>
        <v>Rama Rezka Ramdhana</v>
      </c>
      <c r="D75" s="87" t="str">
        <f>IF($A75="","",TRIM(INDEX(FORM!$C:$C,ROW())&amp;""))</f>
        <v>1511294</v>
      </c>
      <c r="E75" s="87" t="str">
        <f>IF($A75="","",UPPER(TRIM(INDEX(FORM!$D:$D,ROW()))))</f>
        <v>SERANG</v>
      </c>
      <c r="F75" s="87" t="str">
        <f>IF($A75="","",IFERROR(INDEX(PROGRES!$A$2:$A$92,MATCH(E75,PROGRES!$B$2:$B$92,0)),"-"))</f>
        <v>Jawa Barat</v>
      </c>
      <c r="G75" s="87" t="str">
        <f>IF($A75="","",UPPER(TRIM(INDEX(FORM!$F:$F,ROW()))))</f>
        <v>JABAR DKI BANTEN</v>
      </c>
      <c r="H75" s="87" t="str">
        <f>IF($A75="","",UPPER(TRIM(INDEX(FORM!$E:$E,ROW()))))</f>
        <v>CRO</v>
      </c>
      <c r="I75" s="87" t="str">
        <f>IF($A75="","",UPPER(TRIM(INDEX(FORM!$G:$G,ROW()))))</f>
        <v>CUKUP</v>
      </c>
      <c r="J75" s="87" t="str">
        <f>IF($A75="","",IF(ISNUMBER(SEARCH("Ya,",INDEX(FORM!$H:$H,ROW()))),"YA",IF(ISNUMBER(SEARCH("Cukup,",INDEX(FORM!$H:$H,ROW()))),"CUKUP",IF(ISNUMBER(SEARCH("Kurang,",INDEX(FORM!$H:$H,ROW()))),"KURANG",""))))</f>
        <v>CUKUP</v>
      </c>
      <c r="K75" s="87" t="str">
        <f>IF($A75="","",UPPER(TRIM(INDEX(FORM!$J:$J,ROW()))))</f>
        <v>CUKUP</v>
      </c>
      <c r="L75" s="87">
        <f>IF($A75="","",IF(ISNUMBER(SEARCH("Aktivitas Harian",INDEX(FORM!$K:$K,ROW()))),1,0))</f>
        <v>1</v>
      </c>
      <c r="M75" s="87">
        <f>IF($A75="","",IF(ISNUMBER(SEARCH("Aktivitas Mingguan",INDEX(FORM!$K:$K,ROW()))),1,0))</f>
        <v>0</v>
      </c>
      <c r="N75" s="87">
        <f>IF($A75="","",IF(ISNUMBER(SEARCH("Aktivitas Bulanan",INDEX(FORM!$K:$K,ROW()))),1,0))</f>
        <v>0</v>
      </c>
      <c r="O75" s="87">
        <f>IF($A75="","",IF(ISNUMBER(SEARCH("Overview Cabang",INDEX(FORM!$K:$K,ROW()))),1,0))</f>
        <v>0</v>
      </c>
      <c r="P75" s="87">
        <f>IF($A75="","",IFERROR(VLOOKUP(I75,DATA!$AH$9:$AI$13,2,0),""))</f>
        <v>2</v>
      </c>
      <c r="Q75" s="87">
        <f>IF($A75="","",IFERROR(VLOOKUP(J75,DATA!$AH$9:$AI$13,2,0),""))</f>
        <v>2</v>
      </c>
      <c r="R75" s="87">
        <f>IF($A75="","",IFERROR(VLOOKUP(K75,DATA!$AH$9:$AI$13,2,0),""))</f>
        <v>2</v>
      </c>
      <c r="S75" s="89">
        <f t="shared" si="22"/>
        <v>2</v>
      </c>
      <c r="T75" s="87">
        <f>IF($A75="","",IF(COUNTIF($D$2:D75,D75)=1,1,0))</f>
        <v>1</v>
      </c>
      <c r="U75" s="87" t="str">
        <f>IF($A75="","",IF(F75="-","Cabang tdk ada",IF(IFERROR(VLOOKUP(G75,#REF!,1,0),"")="","",IF(INDEX(DATA!$AH$2:$AH$5,MATCH(G75,DATA!$AI$2:$AI$5,0))&lt;&gt;F75,"Wilayah beda","OK"))))</f>
        <v/>
      </c>
      <c r="V75" s="87" t="str">
        <f>IF($A75="","",TRIM(INDEX(FORM!$I:$I,ROW())&amp;""))</f>
        <v>Cukup</v>
      </c>
      <c r="W75" s="87" t="str">
        <f>IF($A75="","",TRIM(INDEX(FORM!$L:$L,ROW())&amp;""))</f>
        <v>Tidak ada</v>
      </c>
      <c r="X75" s="87" t="str">
        <f>IF($A75="","",TRIM(INDEX(FORM!$M:$M,ROW())&amp;""))</f>
        <v>Maintenance yang perlu dijaga</v>
      </c>
      <c r="Y75" s="8">
        <f>IF($A75="","",IFERROR(MATCH(F75,DATA!$AH$2:$AH$5,0),9)*10000+A75)</f>
        <v>10074</v>
      </c>
      <c r="Z75" s="87" t="str">
        <f t="shared" si="23"/>
        <v>Tidak ada masukan / sudah baik</v>
      </c>
      <c r="AA75" s="87" t="str">
        <f t="shared" si="24"/>
        <v>Tidak ada masukan / sudah baik</v>
      </c>
      <c r="AB75" s="87" t="str">
        <f t="shared" si="25"/>
        <v>Saran Umum Peningkatan</v>
      </c>
      <c r="AC75" s="87"/>
      <c r="AD75" s="87"/>
      <c r="AE75" s="87"/>
      <c r="AK75" s="90">
        <f t="shared" si="26"/>
        <v>0</v>
      </c>
      <c r="AL75" s="90">
        <f t="shared" si="27"/>
        <v>0</v>
      </c>
      <c r="AM75" s="90">
        <f t="shared" si="28"/>
        <v>0</v>
      </c>
      <c r="AN75" s="90">
        <f t="shared" si="29"/>
        <v>0</v>
      </c>
      <c r="AO75" s="90">
        <f t="shared" si="30"/>
        <v>0</v>
      </c>
      <c r="AP75" s="90">
        <f t="shared" si="31"/>
        <v>0</v>
      </c>
      <c r="AQ75" s="90">
        <f t="shared" si="32"/>
        <v>0</v>
      </c>
      <c r="AR75" s="90">
        <f t="shared" si="33"/>
        <v>0</v>
      </c>
      <c r="AS75" s="90">
        <f t="shared" si="34"/>
        <v>0</v>
      </c>
      <c r="AT75" s="90">
        <f t="shared" si="35"/>
        <v>0</v>
      </c>
      <c r="AU75" s="90">
        <f t="shared" si="36"/>
        <v>0</v>
      </c>
      <c r="AV75" s="90">
        <f t="shared" si="37"/>
        <v>0</v>
      </c>
      <c r="AW75" s="90">
        <f t="shared" si="38"/>
        <v>0</v>
      </c>
      <c r="AX75" s="90">
        <f t="shared" si="39"/>
        <v>0</v>
      </c>
      <c r="AY75" s="90">
        <f t="shared" si="40"/>
        <v>0</v>
      </c>
      <c r="AZ75" s="90">
        <f t="shared" si="41"/>
        <v>1</v>
      </c>
      <c r="BA75" s="90">
        <f t="shared" si="42"/>
        <v>0</v>
      </c>
      <c r="BB75" s="90">
        <f t="shared" si="43"/>
        <v>1</v>
      </c>
    </row>
    <row r="76" spans="1:54" s="5" customFormat="1" hidden="1">
      <c r="A76" s="8">
        <f>IF(INDEX(FORM!$A:$A,ROW())="","",ROW()-1)</f>
        <v>75</v>
      </c>
      <c r="B76" s="41">
        <f>IF($A76="","",INDEX(FORM!$A:$A,ROW()))</f>
        <v>46309.396092338</v>
      </c>
      <c r="C76" s="8" t="str">
        <f>IF($A76="","",TRIM(INDEX(FORM!$B:$B,ROW())))</f>
        <v>Bagus Suryo Fitrianto</v>
      </c>
      <c r="D76" s="8" t="str">
        <f>IF($A76="","",TRIM(INDEX(FORM!$C:$C,ROW())&amp;""))</f>
        <v>1511348</v>
      </c>
      <c r="E76" s="8" t="str">
        <f>IF($A76="","",UPPER(TRIM(INDEX(FORM!$D:$D,ROW()))))</f>
        <v>SERANG</v>
      </c>
      <c r="F76" s="8" t="str">
        <f>IF($A76="","",IFERROR(INDEX(PROGRES!$A$2:$A$92,MATCH(E76,PROGRES!$B$2:$B$92,0)),"-"))</f>
        <v>Jawa Barat</v>
      </c>
      <c r="G76" s="8" t="str">
        <f>IF($A76="","",UPPER(TRIM(INDEX(FORM!$F:$F,ROW()))))</f>
        <v>JABAR DKI BANTEN</v>
      </c>
      <c r="H76" s="8" t="str">
        <f>IF($A76="","",UPPER(TRIM(INDEX(FORM!$E:$E,ROW()))))</f>
        <v>BAO</v>
      </c>
      <c r="I76" s="8" t="str">
        <f>IF($A76="","",UPPER(TRIM(INDEX(FORM!$G:$G,ROW()))))</f>
        <v>MUDAH</v>
      </c>
      <c r="J76" s="8" t="str">
        <f>IF($A76="","",IF(ISNUMBER(SEARCH("Ya,",INDEX(FORM!$H:$H,ROW()))),"YA",IF(ISNUMBER(SEARCH("Cukup,",INDEX(FORM!$H:$H,ROW()))),"CUKUP",IF(ISNUMBER(SEARCH("Kurang,",INDEX(FORM!$H:$H,ROW()))),"KURANG",""))))</f>
        <v>YA</v>
      </c>
      <c r="K76" s="8" t="str">
        <f>IF($A76="","",UPPER(TRIM(INDEX(FORM!$J:$J,ROW()))))</f>
        <v>CUKUP</v>
      </c>
      <c r="L76" s="8">
        <f>IF($A76="","",IF(ISNUMBER(SEARCH("Aktivitas Harian",INDEX(FORM!$K:$K,ROW()))),1,0))</f>
        <v>1</v>
      </c>
      <c r="M76" s="8">
        <f>IF($A76="","",IF(ISNUMBER(SEARCH("Aktivitas Mingguan",INDEX(FORM!$K:$K,ROW()))),1,0))</f>
        <v>0</v>
      </c>
      <c r="N76" s="8">
        <f>IF($A76="","",IF(ISNUMBER(SEARCH("Aktivitas Bulanan",INDEX(FORM!$K:$K,ROW()))),1,0))</f>
        <v>0</v>
      </c>
      <c r="O76" s="8">
        <f>IF($A76="","",IF(ISNUMBER(SEARCH("Overview Cabang",INDEX(FORM!$K:$K,ROW()))),1,0))</f>
        <v>0</v>
      </c>
      <c r="P76" s="8">
        <f>IF($A76="","",IFERROR(VLOOKUP(I76,DATA!$AH$9:$AI$13,2,0),""))</f>
        <v>3</v>
      </c>
      <c r="Q76" s="8">
        <f>IF($A76="","",IFERROR(VLOOKUP(J76,DATA!$AH$9:$AI$13,2,0),""))</f>
        <v>3</v>
      </c>
      <c r="R76" s="8">
        <f>IF($A76="","",IFERROR(VLOOKUP(K76,DATA!$AH$9:$AI$13,2,0),""))</f>
        <v>2</v>
      </c>
      <c r="S76" s="42">
        <f t="shared" si="22"/>
        <v>2.6666666666666665</v>
      </c>
      <c r="T76" s="8">
        <f>IF($A76="","",IF(COUNTIF($D$2:D76,D76)=1,1,0))</f>
        <v>1</v>
      </c>
      <c r="U76" s="8" t="str">
        <f>IF($A76="","",IF(F76="-","Cabang tdk ada",IF(IFERROR(VLOOKUP(G76,#REF!,1,0),"")="","",IF(INDEX(DATA!$AH$2:$AH$5,MATCH(G76,DATA!$AI$2:$AI$5,0))&lt;&gt;F76,"Wilayah beda","OK"))))</f>
        <v/>
      </c>
      <c r="V76" s="8" t="str">
        <f>IF($A76="","",TRIM(INDEX(FORM!$I:$I,ROW())&amp;""))</f>
        <v>Sudah Cukup Bagus</v>
      </c>
      <c r="W76" s="8" t="str">
        <f>IF($A76="","",TRIM(INDEX(FORM!$L:$L,ROW())&amp;""))</f>
        <v>Tidak Ada</v>
      </c>
      <c r="X76" s="8" t="str">
        <f>IF($A76="","",TRIM(INDEX(FORM!$M:$M,ROW())&amp;""))</f>
        <v>Sudah Cukup Baik</v>
      </c>
      <c r="Y76" s="8">
        <f>IF($A76="","",IFERROR(MATCH(F76,DATA!$AH$2:$AH$5,0),9)*10000+A76)</f>
        <v>10075</v>
      </c>
      <c r="Z76" s="8" t="str">
        <f t="shared" si="23"/>
        <v>Tidak ada masukan / sudah baik</v>
      </c>
      <c r="AA76" s="8" t="str">
        <f t="shared" si="24"/>
        <v>Tidak ada masukan / sudah baik</v>
      </c>
      <c r="AB76" s="8" t="str">
        <f t="shared" si="25"/>
        <v>Tidak ada masukan / sudah baik</v>
      </c>
      <c r="AC76" s="8"/>
      <c r="AD76" s="8"/>
      <c r="AE76" s="8"/>
      <c r="AK76" s="5">
        <f t="shared" si="26"/>
        <v>0</v>
      </c>
      <c r="AL76" s="5">
        <f t="shared" si="27"/>
        <v>0</v>
      </c>
      <c r="AM76" s="5">
        <f t="shared" si="28"/>
        <v>0</v>
      </c>
      <c r="AN76" s="5">
        <f t="shared" si="29"/>
        <v>0</v>
      </c>
      <c r="AO76" s="5">
        <f t="shared" si="30"/>
        <v>0</v>
      </c>
      <c r="AP76" s="5">
        <f t="shared" si="31"/>
        <v>0</v>
      </c>
      <c r="AQ76" s="5">
        <f t="shared" si="32"/>
        <v>0</v>
      </c>
      <c r="AR76" s="5">
        <f t="shared" si="33"/>
        <v>0</v>
      </c>
      <c r="AS76" s="5">
        <f t="shared" si="34"/>
        <v>0</v>
      </c>
      <c r="AT76" s="5">
        <f t="shared" si="35"/>
        <v>0</v>
      </c>
      <c r="AU76" s="5">
        <f t="shared" si="36"/>
        <v>0</v>
      </c>
      <c r="AV76" s="5">
        <f t="shared" si="37"/>
        <v>0</v>
      </c>
      <c r="AW76" s="5">
        <f t="shared" si="38"/>
        <v>0</v>
      </c>
      <c r="AX76" s="5">
        <f t="shared" si="39"/>
        <v>0</v>
      </c>
      <c r="AY76" s="5">
        <f t="shared" si="40"/>
        <v>0</v>
      </c>
      <c r="AZ76" s="5">
        <f t="shared" si="41"/>
        <v>0</v>
      </c>
      <c r="BA76" s="5">
        <f t="shared" si="42"/>
        <v>0</v>
      </c>
      <c r="BB76" s="5">
        <f t="shared" si="43"/>
        <v>0</v>
      </c>
    </row>
    <row r="77" spans="1:54">
      <c r="A77" s="87">
        <f>IF(INDEX(FORM!$A:$A,ROW())="","",ROW()-1)</f>
        <v>76</v>
      </c>
      <c r="B77" s="88">
        <f>IF($A77="","",INDEX(FORM!$A:$A,ROW()))</f>
        <v>46309.402002604198</v>
      </c>
      <c r="C77" s="87" t="str">
        <f>IF($A77="","",TRIM(INDEX(FORM!$B:$B,ROW())))</f>
        <v>Miftahul farid</v>
      </c>
      <c r="D77" s="87" t="str">
        <f>IF($A77="","",TRIM(INDEX(FORM!$C:$C,ROW())&amp;""))</f>
        <v>1511057</v>
      </c>
      <c r="E77" s="87" t="str">
        <f>IF($A77="","",UPPER(TRIM(INDEX(FORM!$D:$D,ROW()))))</f>
        <v>SERANG</v>
      </c>
      <c r="F77" s="87" t="str">
        <f>IF($A77="","",IFERROR(INDEX(PROGRES!$A$2:$A$92,MATCH(E77,PROGRES!$B$2:$B$92,0)),"-"))</f>
        <v>Jawa Barat</v>
      </c>
      <c r="G77" s="87" t="str">
        <f>IF($A77="","",UPPER(TRIM(INDEX(FORM!$F:$F,ROW()))))</f>
        <v>JABAR DKI BANTEN</v>
      </c>
      <c r="H77" s="87" t="str">
        <f>IF($A77="","",UPPER(TRIM(INDEX(FORM!$E:$E,ROW()))))</f>
        <v>CRO</v>
      </c>
      <c r="I77" s="87" t="str">
        <f>IF($A77="","",UPPER(TRIM(INDEX(FORM!$G:$G,ROW()))))</f>
        <v>CUKUP</v>
      </c>
      <c r="J77" s="87" t="str">
        <f>IF($A77="","",IF(ISNUMBER(SEARCH("Ya,",INDEX(FORM!$H:$H,ROW()))),"YA",IF(ISNUMBER(SEARCH("Cukup,",INDEX(FORM!$H:$H,ROW()))),"CUKUP",IF(ISNUMBER(SEARCH("Kurang,",INDEX(FORM!$H:$H,ROW()))),"KURANG",""))))</f>
        <v>YA</v>
      </c>
      <c r="K77" s="87" t="str">
        <f>IF($A77="","",UPPER(TRIM(INDEX(FORM!$J:$J,ROW()))))</f>
        <v>CUKUP</v>
      </c>
      <c r="L77" s="87">
        <f>IF($A77="","",IF(ISNUMBER(SEARCH("Aktivitas Harian",INDEX(FORM!$K:$K,ROW()))),1,0))</f>
        <v>0</v>
      </c>
      <c r="M77" s="87">
        <f>IF($A77="","",IF(ISNUMBER(SEARCH("Aktivitas Mingguan",INDEX(FORM!$K:$K,ROW()))),1,0))</f>
        <v>0</v>
      </c>
      <c r="N77" s="87">
        <f>IF($A77="","",IF(ISNUMBER(SEARCH("Aktivitas Bulanan",INDEX(FORM!$K:$K,ROW()))),1,0))</f>
        <v>1</v>
      </c>
      <c r="O77" s="87">
        <f>IF($A77="","",IF(ISNUMBER(SEARCH("Overview Cabang",INDEX(FORM!$K:$K,ROW()))),1,0))</f>
        <v>0</v>
      </c>
      <c r="P77" s="87">
        <f>IF($A77="","",IFERROR(VLOOKUP(I77,DATA!$AH$9:$AI$13,2,0),""))</f>
        <v>2</v>
      </c>
      <c r="Q77" s="87">
        <f>IF($A77="","",IFERROR(VLOOKUP(J77,DATA!$AH$9:$AI$13,2,0),""))</f>
        <v>3</v>
      </c>
      <c r="R77" s="87">
        <f>IF($A77="","",IFERROR(VLOOKUP(K77,DATA!$AH$9:$AI$13,2,0),""))</f>
        <v>2</v>
      </c>
      <c r="S77" s="89">
        <f t="shared" si="22"/>
        <v>2.3333333333333335</v>
      </c>
      <c r="T77" s="87">
        <f>IF($A77="","",IF(COUNTIF($D$2:D77,D77)=1,1,0))</f>
        <v>1</v>
      </c>
      <c r="U77" s="87" t="str">
        <f>IF($A77="","",IF(F77="-","Cabang tdk ada",IF(IFERROR(VLOOKUP(G77,#REF!,1,0),"")="","",IF(INDEX(DATA!$AH$2:$AH$5,MATCH(G77,DATA!$AI$2:$AI$5,0))&lt;&gt;F77,"Wilayah beda","OK"))))</f>
        <v/>
      </c>
      <c r="V77" s="87" t="str">
        <f>IF($A77="","",TRIM(INDEX(FORM!$I:$I,ROW())&amp;""))</f>
        <v>Sudah bagus dan support hp Android</v>
      </c>
      <c r="W77" s="87" t="str">
        <f>IF($A77="","",TRIM(INDEX(FORM!$L:$L,ROW())&amp;""))</f>
        <v>Tidak ada</v>
      </c>
      <c r="X77" s="87" t="str">
        <f>IF($A77="","",TRIM(INDEX(FORM!$M:$M,ROW())&amp;""))</f>
        <v>Tidak ada saran, karena selebihnya sudah cukup bagus</v>
      </c>
      <c r="Y77" s="8">
        <f>IF($A77="","",IFERROR(MATCH(F77,DATA!$AH$2:$AH$5,0),9)*10000+A77)</f>
        <v>10076</v>
      </c>
      <c r="Z77" s="87" t="str">
        <f t="shared" si="23"/>
        <v>Tidak ada masukan / sudah baik</v>
      </c>
      <c r="AA77" s="87" t="str">
        <f t="shared" si="24"/>
        <v>Tidak ada masukan / sudah baik</v>
      </c>
      <c r="AB77" s="87" t="str">
        <f t="shared" si="25"/>
        <v>Tidak ada masukan / sudah baik</v>
      </c>
      <c r="AC77" s="87"/>
      <c r="AD77" s="87"/>
      <c r="AE77" s="87"/>
      <c r="AK77" s="90">
        <f t="shared" si="26"/>
        <v>0</v>
      </c>
      <c r="AL77" s="90">
        <f t="shared" si="27"/>
        <v>0</v>
      </c>
      <c r="AM77" s="90">
        <f t="shared" si="28"/>
        <v>0</v>
      </c>
      <c r="AN77" s="90">
        <f t="shared" si="29"/>
        <v>0</v>
      </c>
      <c r="AO77" s="90">
        <f t="shared" si="30"/>
        <v>0</v>
      </c>
      <c r="AP77" s="90">
        <f t="shared" si="31"/>
        <v>0</v>
      </c>
      <c r="AQ77" s="90">
        <f t="shared" si="32"/>
        <v>0</v>
      </c>
      <c r="AR77" s="90">
        <f t="shared" si="33"/>
        <v>0</v>
      </c>
      <c r="AS77" s="90">
        <f t="shared" si="34"/>
        <v>0</v>
      </c>
      <c r="AT77" s="90">
        <f t="shared" si="35"/>
        <v>0</v>
      </c>
      <c r="AU77" s="90">
        <f t="shared" si="36"/>
        <v>0</v>
      </c>
      <c r="AV77" s="90">
        <f t="shared" si="37"/>
        <v>0</v>
      </c>
      <c r="AW77" s="90">
        <f t="shared" si="38"/>
        <v>0</v>
      </c>
      <c r="AX77" s="90">
        <f t="shared" si="39"/>
        <v>0</v>
      </c>
      <c r="AY77" s="90">
        <f t="shared" si="40"/>
        <v>0</v>
      </c>
      <c r="AZ77" s="90">
        <f t="shared" si="41"/>
        <v>0</v>
      </c>
      <c r="BA77" s="90">
        <f t="shared" si="42"/>
        <v>0</v>
      </c>
      <c r="BB77" s="90">
        <f t="shared" si="43"/>
        <v>0</v>
      </c>
    </row>
    <row r="78" spans="1:54">
      <c r="A78" s="87">
        <f>IF(INDEX(FORM!$A:$A,ROW())="","",ROW()-1)</f>
        <v>77</v>
      </c>
      <c r="B78" s="88">
        <f>IF($A78="","",INDEX(FORM!$A:$A,ROW()))</f>
        <v>46309.535960138899</v>
      </c>
      <c r="C78" s="87" t="str">
        <f>IF($A78="","",TRIM(INDEX(FORM!$B:$B,ROW())))</f>
        <v>PANDU ESA PRATAMA</v>
      </c>
      <c r="D78" s="87" t="str">
        <f>IF($A78="","",TRIM(INDEX(FORM!$C:$C,ROW())&amp;""))</f>
        <v>1511369</v>
      </c>
      <c r="E78" s="87" t="str">
        <f>IF($A78="","",UPPER(TRIM(INDEX(FORM!$D:$D,ROW()))))</f>
        <v>SERANG</v>
      </c>
      <c r="F78" s="87" t="str">
        <f>IF($A78="","",IFERROR(INDEX(PROGRES!$A$2:$A$92,MATCH(E78,PROGRES!$B$2:$B$92,0)),"-"))</f>
        <v>Jawa Barat</v>
      </c>
      <c r="G78" s="87" t="str">
        <f>IF($A78="","",UPPER(TRIM(INDEX(FORM!$F:$F,ROW()))))</f>
        <v>JABAR DKI BANTEN</v>
      </c>
      <c r="H78" s="87" t="str">
        <f>IF($A78="","",UPPER(TRIM(INDEX(FORM!$E:$E,ROW()))))</f>
        <v>CRO</v>
      </c>
      <c r="I78" s="87" t="str">
        <f>IF($A78="","",UPPER(TRIM(INDEX(FORM!$G:$G,ROW()))))</f>
        <v>MUDAH</v>
      </c>
      <c r="J78" s="87" t="str">
        <f>IF($A78="","",IF(ISNUMBER(SEARCH("Ya,",INDEX(FORM!$H:$H,ROW()))),"YA",IF(ISNUMBER(SEARCH("Cukup,",INDEX(FORM!$H:$H,ROW()))),"CUKUP",IF(ISNUMBER(SEARCH("Kurang,",INDEX(FORM!$H:$H,ROW()))),"KURANG",""))))</f>
        <v>YA</v>
      </c>
      <c r="K78" s="87" t="str">
        <f>IF($A78="","",UPPER(TRIM(INDEX(FORM!$J:$J,ROW()))))</f>
        <v>CUKUP</v>
      </c>
      <c r="L78" s="87">
        <f>IF($A78="","",IF(ISNUMBER(SEARCH("Aktivitas Harian",INDEX(FORM!$K:$K,ROW()))),1,0))</f>
        <v>0</v>
      </c>
      <c r="M78" s="87">
        <f>IF($A78="","",IF(ISNUMBER(SEARCH("Aktivitas Mingguan",INDEX(FORM!$K:$K,ROW()))),1,0))</f>
        <v>0</v>
      </c>
      <c r="N78" s="87">
        <f>IF($A78="","",IF(ISNUMBER(SEARCH("Aktivitas Bulanan",INDEX(FORM!$K:$K,ROW()))),1,0))</f>
        <v>0</v>
      </c>
      <c r="O78" s="87">
        <f>IF($A78="","",IF(ISNUMBER(SEARCH("Overview Cabang",INDEX(FORM!$K:$K,ROW()))),1,0))</f>
        <v>1</v>
      </c>
      <c r="P78" s="87">
        <f>IF($A78="","",IFERROR(VLOOKUP(I78,DATA!$AH$9:$AI$13,2,0),""))</f>
        <v>3</v>
      </c>
      <c r="Q78" s="87">
        <f>IF($A78="","",IFERROR(VLOOKUP(J78,DATA!$AH$9:$AI$13,2,0),""))</f>
        <v>3</v>
      </c>
      <c r="R78" s="87">
        <f>IF($A78="","",IFERROR(VLOOKUP(K78,DATA!$AH$9:$AI$13,2,0),""))</f>
        <v>2</v>
      </c>
      <c r="S78" s="89">
        <f t="shared" si="22"/>
        <v>2.6666666666666665</v>
      </c>
      <c r="T78" s="87">
        <f>IF($A78="","",IF(COUNTIF($D$2:D78,D78)=1,1,0))</f>
        <v>1</v>
      </c>
      <c r="U78" s="87" t="str">
        <f>IF($A78="","",IF(F78="-","Cabang tdk ada",IF(IFERROR(VLOOKUP(G78,#REF!,1,0),"")="","",IF(INDEX(DATA!$AH$2:$AH$5,MATCH(G78,DATA!$AI$2:$AI$5,0))&lt;&gt;F78,"Wilayah beda","OK"))))</f>
        <v/>
      </c>
      <c r="V78" s="87" t="str">
        <f>IF($A78="","",TRIM(INDEX(FORM!$I:$I,ROW())&amp;""))</f>
        <v>Tidak ada kritik</v>
      </c>
      <c r="W78" s="87" t="str">
        <f>IF($A78="","",TRIM(INDEX(FORM!$L:$L,ROW())&amp;""))</f>
        <v>Tdk ada</v>
      </c>
      <c r="X78" s="87" t="str">
        <f>IF($A78="","",TRIM(INDEX(FORM!$M:$M,ROW())&amp;""))</f>
        <v>Tdk ada saran</v>
      </c>
      <c r="Y78" s="8">
        <f>IF($A78="","",IFERROR(MATCH(F78,DATA!$AH$2:$AH$5,0),9)*10000+A78)</f>
        <v>10077</v>
      </c>
      <c r="Z78" s="87" t="str">
        <f t="shared" si="23"/>
        <v>Tidak ada masukan / sudah baik</v>
      </c>
      <c r="AA78" s="87" t="str">
        <f t="shared" si="24"/>
        <v>Tidak ada masukan / sudah baik</v>
      </c>
      <c r="AB78" s="87" t="str">
        <f t="shared" si="25"/>
        <v>Tidak ada masukan / sudah baik</v>
      </c>
      <c r="AC78" s="87"/>
      <c r="AD78" s="87"/>
      <c r="AE78" s="87"/>
      <c r="AK78" s="90">
        <f t="shared" si="26"/>
        <v>0</v>
      </c>
      <c r="AL78" s="90">
        <f t="shared" si="27"/>
        <v>0</v>
      </c>
      <c r="AM78" s="90">
        <f t="shared" si="28"/>
        <v>0</v>
      </c>
      <c r="AN78" s="90">
        <f t="shared" si="29"/>
        <v>0</v>
      </c>
      <c r="AO78" s="90">
        <f t="shared" si="30"/>
        <v>0</v>
      </c>
      <c r="AP78" s="90">
        <f t="shared" si="31"/>
        <v>0</v>
      </c>
      <c r="AQ78" s="90">
        <f t="shared" si="32"/>
        <v>0</v>
      </c>
      <c r="AR78" s="90">
        <f t="shared" si="33"/>
        <v>0</v>
      </c>
      <c r="AS78" s="90">
        <f t="shared" si="34"/>
        <v>0</v>
      </c>
      <c r="AT78" s="90">
        <f t="shared" si="35"/>
        <v>0</v>
      </c>
      <c r="AU78" s="90">
        <f t="shared" si="36"/>
        <v>0</v>
      </c>
      <c r="AV78" s="90">
        <f t="shared" si="37"/>
        <v>0</v>
      </c>
      <c r="AW78" s="90">
        <f t="shared" si="38"/>
        <v>0</v>
      </c>
      <c r="AX78" s="90">
        <f t="shared" si="39"/>
        <v>0</v>
      </c>
      <c r="AY78" s="90">
        <f t="shared" si="40"/>
        <v>0</v>
      </c>
      <c r="AZ78" s="90">
        <f t="shared" si="41"/>
        <v>0</v>
      </c>
      <c r="BA78" s="90">
        <f t="shared" si="42"/>
        <v>0</v>
      </c>
      <c r="BB78" s="90">
        <f t="shared" si="43"/>
        <v>0</v>
      </c>
    </row>
    <row r="79" spans="1:54" s="5" customFormat="1" hidden="1">
      <c r="A79" s="8">
        <f>IF(INDEX(FORM!$A:$A,ROW())="","",ROW()-1)</f>
        <v>78</v>
      </c>
      <c r="B79" s="41">
        <f>IF($A79="","",INDEX(FORM!$A:$A,ROW()))</f>
        <v>46309.703437824101</v>
      </c>
      <c r="C79" s="8" t="str">
        <f>IF($A79="","",TRIM(INDEX(FORM!$B:$B,ROW())))</f>
        <v>Aditya Dwi Setianto</v>
      </c>
      <c r="D79" s="8" t="str">
        <f>IF($A79="","",TRIM(INDEX(FORM!$C:$C,ROW())&amp;""))</f>
        <v>80407</v>
      </c>
      <c r="E79" s="8" t="str">
        <f>IF($A79="","",UPPER(TRIM(INDEX(FORM!$D:$D,ROW()))))</f>
        <v>KARAWANG</v>
      </c>
      <c r="F79" s="8" t="str">
        <f>IF($A79="","",IFERROR(INDEX(PROGRES!$A$2:$A$92,MATCH(E79,PROGRES!$B$2:$B$92,0)),"-"))</f>
        <v>Jawa Barat</v>
      </c>
      <c r="G79" s="8" t="str">
        <f>IF($A79="","",UPPER(TRIM(INDEX(FORM!$F:$F,ROW()))))</f>
        <v>JABAR DKI BANTEN</v>
      </c>
      <c r="H79" s="8" t="str">
        <f>IF($A79="","",UPPER(TRIM(INDEX(FORM!$E:$E,ROW()))))</f>
        <v>BM</v>
      </c>
      <c r="I79" s="8" t="str">
        <f>IF($A79="","",UPPER(TRIM(INDEX(FORM!$G:$G,ROW()))))</f>
        <v>MUDAH</v>
      </c>
      <c r="J79" s="8" t="str">
        <f>IF($A79="","",IF(ISNUMBER(SEARCH("Ya,",INDEX(FORM!$H:$H,ROW()))),"YA",IF(ISNUMBER(SEARCH("Cukup,",INDEX(FORM!$H:$H,ROW()))),"CUKUP",IF(ISNUMBER(SEARCH("Kurang,",INDEX(FORM!$H:$H,ROW()))),"KURANG",""))))</f>
        <v>YA</v>
      </c>
      <c r="K79" s="8" t="str">
        <f>IF($A79="","",UPPER(TRIM(INDEX(FORM!$J:$J,ROW()))))</f>
        <v>MUDAH</v>
      </c>
      <c r="L79" s="8">
        <f>IF($A79="","",IF(ISNUMBER(SEARCH("Aktivitas Harian",INDEX(FORM!$K:$K,ROW()))),1,0))</f>
        <v>0</v>
      </c>
      <c r="M79" s="8">
        <f>IF($A79="","",IF(ISNUMBER(SEARCH("Aktivitas Mingguan",INDEX(FORM!$K:$K,ROW()))),1,0))</f>
        <v>0</v>
      </c>
      <c r="N79" s="8">
        <f>IF($A79="","",IF(ISNUMBER(SEARCH("Aktivitas Bulanan",INDEX(FORM!$K:$K,ROW()))),1,0))</f>
        <v>0</v>
      </c>
      <c r="O79" s="8">
        <f>IF($A79="","",IF(ISNUMBER(SEARCH("Overview Cabang",INDEX(FORM!$K:$K,ROW()))),1,0))</f>
        <v>1</v>
      </c>
      <c r="P79" s="8">
        <f>IF($A79="","",IFERROR(VLOOKUP(I79,DATA!$AH$9:$AI$13,2,0),""))</f>
        <v>3</v>
      </c>
      <c r="Q79" s="8">
        <f>IF($A79="","",IFERROR(VLOOKUP(J79,DATA!$AH$9:$AI$13,2,0),""))</f>
        <v>3</v>
      </c>
      <c r="R79" s="8">
        <f>IF($A79="","",IFERROR(VLOOKUP(K79,DATA!$AH$9:$AI$13,2,0),""))</f>
        <v>3</v>
      </c>
      <c r="S79" s="42">
        <f t="shared" si="22"/>
        <v>3</v>
      </c>
      <c r="T79" s="8">
        <f>IF($A79="","",IF(COUNTIF($D$2:D79,D79)=1,1,0))</f>
        <v>1</v>
      </c>
      <c r="U79" s="8" t="str">
        <f>IF($A79="","",IF(F79="-","Cabang tdk ada",IF(IFERROR(VLOOKUP(G79,#REF!,1,0),"")="","",IF(INDEX(DATA!$AH$2:$AH$5,MATCH(G79,DATA!$AI$2:$AI$5,0))&lt;&gt;F79,"Wilayah beda","OK"))))</f>
        <v/>
      </c>
      <c r="V79" s="8" t="str">
        <f>IF($A79="","",TRIM(INDEX(FORM!$I:$I,ROW())&amp;""))</f>
        <v>Tidak ada</v>
      </c>
      <c r="W79" s="8" t="str">
        <f>IF($A79="","",TRIM(INDEX(FORM!$L:$L,ROW())&amp;""))</f>
        <v>Sudah lengkap</v>
      </c>
      <c r="X79" s="8" t="str">
        <f>IF($A79="","",TRIM(INDEX(FORM!$M:$M,ROW())&amp;""))</f>
        <v>Lebih simpel dan dibuat lebih ringkas dengan gambar</v>
      </c>
      <c r="Y79" s="8">
        <f>IF($A79="","",IFERROR(MATCH(F79,DATA!$AH$2:$AH$5,0),9)*10000+A79)</f>
        <v>10078</v>
      </c>
      <c r="Z79" s="8" t="str">
        <f t="shared" si="23"/>
        <v>Tidak ada masukan / sudah baik</v>
      </c>
      <c r="AA79" s="8" t="str">
        <f t="shared" si="24"/>
        <v>Tidak ada masukan / sudah baik</v>
      </c>
      <c r="AB79" s="8" t="str">
        <f t="shared" si="25"/>
        <v>Tambah Video / Gambar / Flowchart</v>
      </c>
      <c r="AC79" s="8"/>
      <c r="AD79" s="8"/>
      <c r="AE79" s="8"/>
      <c r="AK79" s="5">
        <f t="shared" si="26"/>
        <v>0</v>
      </c>
      <c r="AL79" s="5">
        <f t="shared" si="27"/>
        <v>0</v>
      </c>
      <c r="AM79" s="5">
        <f t="shared" si="28"/>
        <v>0</v>
      </c>
      <c r="AN79" s="5">
        <f t="shared" si="29"/>
        <v>0</v>
      </c>
      <c r="AO79" s="5">
        <f t="shared" si="30"/>
        <v>0</v>
      </c>
      <c r="AP79" s="5">
        <f t="shared" si="31"/>
        <v>0</v>
      </c>
      <c r="AQ79" s="5">
        <f t="shared" si="32"/>
        <v>0</v>
      </c>
      <c r="AR79" s="5">
        <f t="shared" si="33"/>
        <v>0</v>
      </c>
      <c r="AS79" s="5">
        <f t="shared" si="34"/>
        <v>1</v>
      </c>
      <c r="AT79" s="5">
        <f t="shared" si="35"/>
        <v>0</v>
      </c>
      <c r="AU79" s="5">
        <f t="shared" si="36"/>
        <v>0</v>
      </c>
      <c r="AV79" s="5">
        <f t="shared" si="37"/>
        <v>0</v>
      </c>
      <c r="AW79" s="5">
        <f t="shared" si="38"/>
        <v>0</v>
      </c>
      <c r="AX79" s="5">
        <f t="shared" si="39"/>
        <v>0</v>
      </c>
      <c r="AY79" s="5">
        <f t="shared" si="40"/>
        <v>0</v>
      </c>
      <c r="AZ79" s="5">
        <f t="shared" si="41"/>
        <v>0</v>
      </c>
      <c r="BA79" s="5">
        <f t="shared" si="42"/>
        <v>0</v>
      </c>
      <c r="BB79" s="5">
        <f t="shared" si="43"/>
        <v>1</v>
      </c>
    </row>
    <row r="80" spans="1:54">
      <c r="A80" s="87">
        <f>IF(INDEX(FORM!$A:$A,ROW())="","",ROW()-1)</f>
        <v>79</v>
      </c>
      <c r="B80" s="88">
        <f>IF($A80="","",INDEX(FORM!$A:$A,ROW()))</f>
        <v>46309.705493043999</v>
      </c>
      <c r="C80" s="87" t="str">
        <f>IF($A80="","",TRIM(INDEX(FORM!$B:$B,ROW())))</f>
        <v>Angga tristriawan</v>
      </c>
      <c r="D80" s="87" t="str">
        <f>IF($A80="","",TRIM(INDEX(FORM!$C:$C,ROW())&amp;""))</f>
        <v>80439</v>
      </c>
      <c r="E80" s="87" t="str">
        <f>IF($A80="","",UPPER(TRIM(INDEX(FORM!$D:$D,ROW()))))</f>
        <v>SRAGEN</v>
      </c>
      <c r="F80" s="87" t="str">
        <f>IF($A80="","",IFERROR(INDEX(PROGRES!$A$2:$A$92,MATCH(E80,PROGRES!$B$2:$B$92,0)),"-"))</f>
        <v>Jawa Tengah</v>
      </c>
      <c r="G80" s="87" t="str">
        <f>IF($A80="","",UPPER(TRIM(INDEX(FORM!$F:$F,ROW()))))</f>
        <v>JATENG DIY</v>
      </c>
      <c r="H80" s="87" t="str">
        <f>IF($A80="","",UPPER(TRIM(INDEX(FORM!$E:$E,ROW()))))</f>
        <v>CRO</v>
      </c>
      <c r="I80" s="87" t="str">
        <f>IF($A80="","",UPPER(TRIM(INDEX(FORM!$G:$G,ROW()))))</f>
        <v>CUKUP</v>
      </c>
      <c r="J80" s="87" t="str">
        <f>IF($A80="","",IF(ISNUMBER(SEARCH("Ya,",INDEX(FORM!$H:$H,ROW()))),"YA",IF(ISNUMBER(SEARCH("Cukup,",INDEX(FORM!$H:$H,ROW()))),"CUKUP",IF(ISNUMBER(SEARCH("Kurang,",INDEX(FORM!$H:$H,ROW()))),"KURANG",""))))</f>
        <v>CUKUP</v>
      </c>
      <c r="K80" s="87" t="str">
        <f>IF($A80="","",UPPER(TRIM(INDEX(FORM!$J:$J,ROW()))))</f>
        <v>CUKUP</v>
      </c>
      <c r="L80" s="87">
        <f>IF($A80="","",IF(ISNUMBER(SEARCH("Aktivitas Harian",INDEX(FORM!$K:$K,ROW()))),1,0))</f>
        <v>1</v>
      </c>
      <c r="M80" s="87">
        <f>IF($A80="","",IF(ISNUMBER(SEARCH("Aktivitas Mingguan",INDEX(FORM!$K:$K,ROW()))),1,0))</f>
        <v>0</v>
      </c>
      <c r="N80" s="87">
        <f>IF($A80="","",IF(ISNUMBER(SEARCH("Aktivitas Bulanan",INDEX(FORM!$K:$K,ROW()))),1,0))</f>
        <v>0</v>
      </c>
      <c r="O80" s="87">
        <f>IF($A80="","",IF(ISNUMBER(SEARCH("Overview Cabang",INDEX(FORM!$K:$K,ROW()))),1,0))</f>
        <v>0</v>
      </c>
      <c r="P80" s="87">
        <f>IF($A80="","",IFERROR(VLOOKUP(I80,DATA!$AH$9:$AI$13,2,0),""))</f>
        <v>2</v>
      </c>
      <c r="Q80" s="87">
        <f>IF($A80="","",IFERROR(VLOOKUP(J80,DATA!$AH$9:$AI$13,2,0),""))</f>
        <v>2</v>
      </c>
      <c r="R80" s="87">
        <f>IF($A80="","",IFERROR(VLOOKUP(K80,DATA!$AH$9:$AI$13,2,0),""))</f>
        <v>2</v>
      </c>
      <c r="S80" s="89">
        <f t="shared" si="22"/>
        <v>2</v>
      </c>
      <c r="T80" s="87">
        <f>IF($A80="","",IF(COUNTIF($D$2:D80,D80)=1,1,0))</f>
        <v>1</v>
      </c>
      <c r="U80" s="87" t="str">
        <f>IF($A80="","",IF(F80="-","Cabang tdk ada",IF(IFERROR(VLOOKUP(G80,#REF!,1,0),"")="","",IF(INDEX(DATA!$AH$2:$AH$5,MATCH(G80,DATA!$AI$2:$AI$5,0))&lt;&gt;F80,"Wilayah beda","OK"))))</f>
        <v/>
      </c>
      <c r="V80" s="87" t="str">
        <f>IF($A80="","",TRIM(INDEX(FORM!$I:$I,ROW())&amp;""))</f>
        <v>Sudah baik</v>
      </c>
      <c r="W80" s="87" t="str">
        <f>IF($A80="","",TRIM(INDEX(FORM!$L:$L,ROW())&amp;""))</f>
        <v>Tidak ada</v>
      </c>
      <c r="X80" s="87" t="str">
        <f>IF($A80="","",TRIM(INDEX(FORM!$M:$M,ROW())&amp;""))</f>
        <v>Mudah di akses</v>
      </c>
      <c r="Y80" s="8">
        <f>IF($A80="","",IFERROR(MATCH(F80,DATA!$AH$2:$AH$5,0),9)*10000+A80)</f>
        <v>20079</v>
      </c>
      <c r="Z80" s="87" t="str">
        <f t="shared" si="23"/>
        <v>Tidak ada masukan / sudah baik</v>
      </c>
      <c r="AA80" s="87" t="str">
        <f t="shared" si="24"/>
        <v>Tidak ada masukan / sudah baik</v>
      </c>
      <c r="AB80" s="87" t="str">
        <f t="shared" si="25"/>
        <v>Tidak ada masukan / sudah baik</v>
      </c>
      <c r="AC80" s="87"/>
      <c r="AD80" s="87"/>
      <c r="AE80" s="87"/>
      <c r="AK80" s="90">
        <f t="shared" si="26"/>
        <v>0</v>
      </c>
      <c r="AL80" s="90">
        <f t="shared" si="27"/>
        <v>0</v>
      </c>
      <c r="AM80" s="90">
        <f t="shared" si="28"/>
        <v>0</v>
      </c>
      <c r="AN80" s="90">
        <f t="shared" si="29"/>
        <v>0</v>
      </c>
      <c r="AO80" s="90">
        <f t="shared" si="30"/>
        <v>0</v>
      </c>
      <c r="AP80" s="90">
        <f t="shared" si="31"/>
        <v>0</v>
      </c>
      <c r="AQ80" s="90">
        <f t="shared" si="32"/>
        <v>0</v>
      </c>
      <c r="AR80" s="90">
        <f t="shared" si="33"/>
        <v>0</v>
      </c>
      <c r="AS80" s="90">
        <f t="shared" si="34"/>
        <v>0</v>
      </c>
      <c r="AT80" s="90">
        <f t="shared" si="35"/>
        <v>0</v>
      </c>
      <c r="AU80" s="90">
        <f t="shared" si="36"/>
        <v>0</v>
      </c>
      <c r="AV80" s="90">
        <f t="shared" si="37"/>
        <v>0</v>
      </c>
      <c r="AW80" s="90">
        <f t="shared" si="38"/>
        <v>0</v>
      </c>
      <c r="AX80" s="90">
        <f t="shared" si="39"/>
        <v>0</v>
      </c>
      <c r="AY80" s="90">
        <f t="shared" si="40"/>
        <v>0</v>
      </c>
      <c r="AZ80" s="90">
        <f t="shared" si="41"/>
        <v>0</v>
      </c>
      <c r="BA80" s="90">
        <f t="shared" si="42"/>
        <v>0</v>
      </c>
      <c r="BB80" s="90">
        <f t="shared" si="43"/>
        <v>0</v>
      </c>
    </row>
    <row r="81" spans="1:54" s="5" customFormat="1" hidden="1">
      <c r="A81" s="8">
        <f>IF(INDEX(FORM!$A:$A,ROW())="","",ROW()-1)</f>
        <v>80</v>
      </c>
      <c r="B81" s="41">
        <f>IF($A81="","",INDEX(FORM!$A:$A,ROW()))</f>
        <v>46309.706628287</v>
      </c>
      <c r="C81" s="8" t="str">
        <f>IF($A81="","",TRIM(INDEX(FORM!$B:$B,ROW())))</f>
        <v>NOVIANTI. P</v>
      </c>
      <c r="D81" s="8" t="str">
        <f>IF($A81="","",TRIM(INDEX(FORM!$C:$C,ROW())&amp;""))</f>
        <v>1511344</v>
      </c>
      <c r="E81" s="8" t="str">
        <f>IF($A81="","",UPPER(TRIM(INDEX(FORM!$D:$D,ROW()))))</f>
        <v>SAMARINDA</v>
      </c>
      <c r="F81" s="8" t="str">
        <f>IF($A81="","",IFERROR(INDEX(PROGRES!$A$2:$A$92,MATCH(E81,PROGRES!$B$2:$B$92,0)),"-"))</f>
        <v>Luar Pulau</v>
      </c>
      <c r="G81" s="8" t="str">
        <f>IF($A81="","",UPPER(TRIM(INDEX(FORM!$F:$F,ROW()))))</f>
        <v>LUAR PULAU</v>
      </c>
      <c r="H81" s="8" t="str">
        <f>IF($A81="","",UPPER(TRIM(INDEX(FORM!$E:$E,ROW()))))</f>
        <v>BAO</v>
      </c>
      <c r="I81" s="8" t="str">
        <f>IF($A81="","",UPPER(TRIM(INDEX(FORM!$G:$G,ROW()))))</f>
        <v>MUDAH</v>
      </c>
      <c r="J81" s="8" t="str">
        <f>IF($A81="","",IF(ISNUMBER(SEARCH("Ya,",INDEX(FORM!$H:$H,ROW()))),"YA",IF(ISNUMBER(SEARCH("Cukup,",INDEX(FORM!$H:$H,ROW()))),"CUKUP",IF(ISNUMBER(SEARCH("Kurang,",INDEX(FORM!$H:$H,ROW()))),"KURANG",""))))</f>
        <v>YA</v>
      </c>
      <c r="K81" s="8" t="str">
        <f>IF($A81="","",UPPER(TRIM(INDEX(FORM!$J:$J,ROW()))))</f>
        <v>CUKUP</v>
      </c>
      <c r="L81" s="8">
        <f>IF($A81="","",IF(ISNUMBER(SEARCH("Aktivitas Harian",INDEX(FORM!$K:$K,ROW()))),1,0))</f>
        <v>1</v>
      </c>
      <c r="M81" s="8">
        <f>IF($A81="","",IF(ISNUMBER(SEARCH("Aktivitas Mingguan",INDEX(FORM!$K:$K,ROW()))),1,0))</f>
        <v>0</v>
      </c>
      <c r="N81" s="8">
        <f>IF($A81="","",IF(ISNUMBER(SEARCH("Aktivitas Bulanan",INDEX(FORM!$K:$K,ROW()))),1,0))</f>
        <v>0</v>
      </c>
      <c r="O81" s="8">
        <f>IF($A81="","",IF(ISNUMBER(SEARCH("Overview Cabang",INDEX(FORM!$K:$K,ROW()))),1,0))</f>
        <v>0</v>
      </c>
      <c r="P81" s="8">
        <f>IF($A81="","",IFERROR(VLOOKUP(I81,DATA!$AH$9:$AI$13,2,0),""))</f>
        <v>3</v>
      </c>
      <c r="Q81" s="8">
        <f>IF($A81="","",IFERROR(VLOOKUP(J81,DATA!$AH$9:$AI$13,2,0),""))</f>
        <v>3</v>
      </c>
      <c r="R81" s="8">
        <f>IF($A81="","",IFERROR(VLOOKUP(K81,DATA!$AH$9:$AI$13,2,0),""))</f>
        <v>2</v>
      </c>
      <c r="S81" s="42">
        <f t="shared" si="22"/>
        <v>2.6666666666666665</v>
      </c>
      <c r="T81" s="8">
        <f>IF($A81="","",IF(COUNTIF($D$2:D81,D81)=1,1,0))</f>
        <v>1</v>
      </c>
      <c r="U81" s="8" t="str">
        <f>IF($A81="","",IF(F81="-","Cabang tdk ada",IF(IFERROR(VLOOKUP(G81,#REF!,1,0),"")="","",IF(INDEX(DATA!$AH$2:$AH$5,MATCH(G81,DATA!$AI$2:$AI$5,0))&lt;&gt;F81,"Wilayah beda","OK"))))</f>
        <v/>
      </c>
      <c r="V81" s="8" t="str">
        <f>IF($A81="","",TRIM(INDEX(FORM!$I:$I,ROW())&amp;""))</f>
        <v>TAMPILAN SANGAT MUDAH DIBACA DAN DIMENGERTI</v>
      </c>
      <c r="W81" s="8" t="str">
        <f>IF($A81="","",TRIM(INDEX(FORM!$L:$L,ROW())&amp;""))</f>
        <v>SUDAH MENCAKUP SEMUA</v>
      </c>
      <c r="X81" s="8" t="str">
        <f>IF($A81="","",TRIM(INDEX(FORM!$M:$M,ROW())&amp;""))</f>
        <v>-</v>
      </c>
      <c r="Y81" s="8">
        <f>IF($A81="","",IFERROR(MATCH(F81,DATA!$AH$2:$AH$5,0),9)*10000+A81)</f>
        <v>40080</v>
      </c>
      <c r="Z81" s="8" t="str">
        <f t="shared" si="23"/>
        <v>Tidak ada masukan / sudah baik</v>
      </c>
      <c r="AA81" s="8" t="str">
        <f t="shared" si="24"/>
        <v>Tidak ada masukan / sudah baik</v>
      </c>
      <c r="AB81" s="8" t="str">
        <f t="shared" si="25"/>
        <v>Tidak ada masukan / sudah baik</v>
      </c>
      <c r="AC81" s="8"/>
      <c r="AD81" s="8"/>
      <c r="AE81" s="8"/>
      <c r="AK81" s="5">
        <f t="shared" si="26"/>
        <v>0</v>
      </c>
      <c r="AL81" s="5">
        <f t="shared" si="27"/>
        <v>0</v>
      </c>
      <c r="AM81" s="5">
        <f t="shared" si="28"/>
        <v>0</v>
      </c>
      <c r="AN81" s="5">
        <f t="shared" si="29"/>
        <v>0</v>
      </c>
      <c r="AO81" s="5">
        <f t="shared" si="30"/>
        <v>0</v>
      </c>
      <c r="AP81" s="5">
        <f t="shared" si="31"/>
        <v>0</v>
      </c>
      <c r="AQ81" s="5">
        <f t="shared" si="32"/>
        <v>0</v>
      </c>
      <c r="AR81" s="5">
        <f t="shared" si="33"/>
        <v>0</v>
      </c>
      <c r="AS81" s="5">
        <f t="shared" si="34"/>
        <v>0</v>
      </c>
      <c r="AT81" s="5">
        <f t="shared" si="35"/>
        <v>0</v>
      </c>
      <c r="AU81" s="5">
        <f t="shared" si="36"/>
        <v>0</v>
      </c>
      <c r="AV81" s="5">
        <f t="shared" si="37"/>
        <v>0</v>
      </c>
      <c r="AW81" s="5">
        <f t="shared" si="38"/>
        <v>0</v>
      </c>
      <c r="AX81" s="5">
        <f t="shared" si="39"/>
        <v>0</v>
      </c>
      <c r="AY81" s="5">
        <f t="shared" si="40"/>
        <v>0</v>
      </c>
      <c r="AZ81" s="5">
        <f t="shared" si="41"/>
        <v>0</v>
      </c>
      <c r="BA81" s="5">
        <f t="shared" si="42"/>
        <v>0</v>
      </c>
      <c r="BB81" s="5">
        <f t="shared" si="43"/>
        <v>0</v>
      </c>
    </row>
    <row r="82" spans="1:54">
      <c r="A82" s="87">
        <f>IF(INDEX(FORM!$A:$A,ROW())="","",ROW()-1)</f>
        <v>81</v>
      </c>
      <c r="B82" s="88">
        <f>IF($A82="","",INDEX(FORM!$A:$A,ROW()))</f>
        <v>46309.707206458297</v>
      </c>
      <c r="C82" s="87" t="str">
        <f>IF($A82="","",TRIM(INDEX(FORM!$B:$B,ROW())))</f>
        <v>MUH. ALFAN MASYKUR KURNIAWAN</v>
      </c>
      <c r="D82" s="87" t="str">
        <f>IF($A82="","",TRIM(INDEX(FORM!$C:$C,ROW())&amp;""))</f>
        <v>1510659</v>
      </c>
      <c r="E82" s="87" t="str">
        <f>IF($A82="","",UPPER(TRIM(INDEX(FORM!$D:$D,ROW()))))</f>
        <v>KEBUMEN</v>
      </c>
      <c r="F82" s="87" t="str">
        <f>IF($A82="","",IFERROR(INDEX(PROGRES!$A$2:$A$92,MATCH(E82,PROGRES!$B$2:$B$92,0)),"-"))</f>
        <v>Jawa Tengah</v>
      </c>
      <c r="G82" s="87" t="str">
        <f>IF($A82="","",UPPER(TRIM(INDEX(FORM!$F:$F,ROW()))))</f>
        <v>JATENG DIY</v>
      </c>
      <c r="H82" s="87" t="str">
        <f>IF($A82="","",UPPER(TRIM(INDEX(FORM!$E:$E,ROW()))))</f>
        <v>CRO</v>
      </c>
      <c r="I82" s="87" t="str">
        <f>IF($A82="","",UPPER(TRIM(INDEX(FORM!$G:$G,ROW()))))</f>
        <v>CUKUP</v>
      </c>
      <c r="J82" s="87" t="str">
        <f>IF($A82="","",IF(ISNUMBER(SEARCH("Ya,",INDEX(FORM!$H:$H,ROW()))),"YA",IF(ISNUMBER(SEARCH("Cukup,",INDEX(FORM!$H:$H,ROW()))),"CUKUP",IF(ISNUMBER(SEARCH("Kurang,",INDEX(FORM!$H:$H,ROW()))),"KURANG",""))))</f>
        <v>CUKUP</v>
      </c>
      <c r="K82" s="87" t="str">
        <f>IF($A82="","",UPPER(TRIM(INDEX(FORM!$J:$J,ROW()))))</f>
        <v>CUKUP</v>
      </c>
      <c r="L82" s="87">
        <f>IF($A82="","",IF(ISNUMBER(SEARCH("Aktivitas Harian",INDEX(FORM!$K:$K,ROW()))),1,0))</f>
        <v>0</v>
      </c>
      <c r="M82" s="87">
        <f>IF($A82="","",IF(ISNUMBER(SEARCH("Aktivitas Mingguan",INDEX(FORM!$K:$K,ROW()))),1,0))</f>
        <v>1</v>
      </c>
      <c r="N82" s="87">
        <f>IF($A82="","",IF(ISNUMBER(SEARCH("Aktivitas Bulanan",INDEX(FORM!$K:$K,ROW()))),1,0))</f>
        <v>0</v>
      </c>
      <c r="O82" s="87">
        <f>IF($A82="","",IF(ISNUMBER(SEARCH("Overview Cabang",INDEX(FORM!$K:$K,ROW()))),1,0))</f>
        <v>0</v>
      </c>
      <c r="P82" s="87">
        <f>IF($A82="","",IFERROR(VLOOKUP(I82,DATA!$AH$9:$AI$13,2,0),""))</f>
        <v>2</v>
      </c>
      <c r="Q82" s="87">
        <f>IF($A82="","",IFERROR(VLOOKUP(J82,DATA!$AH$9:$AI$13,2,0),""))</f>
        <v>2</v>
      </c>
      <c r="R82" s="87">
        <f>IF($A82="","",IFERROR(VLOOKUP(K82,DATA!$AH$9:$AI$13,2,0),""))</f>
        <v>2</v>
      </c>
      <c r="S82" s="89">
        <f t="shared" si="22"/>
        <v>2</v>
      </c>
      <c r="T82" s="87">
        <f>IF($A82="","",IF(COUNTIF($D$2:D82,D82)=1,1,0))</f>
        <v>1</v>
      </c>
      <c r="U82" s="87" t="str">
        <f>IF($A82="","",IF(F82="-","Cabang tdk ada",IF(IFERROR(VLOOKUP(G82,#REF!,1,0),"")="","",IF(INDEX(DATA!$AH$2:$AH$5,MATCH(G82,DATA!$AI$2:$AI$5,0))&lt;&gt;F82,"Wilayah beda","OK"))))</f>
        <v/>
      </c>
      <c r="V82" s="87" t="str">
        <f>IF($A82="","",TRIM(INDEX(FORM!$I:$I,ROW())&amp;""))</f>
        <v>Lebih bagus jika dalam bentuk bagan bagan supaya lebih mudah untuk dipahami</v>
      </c>
      <c r="W82" s="87" t="str">
        <f>IF($A82="","",TRIM(INDEX(FORM!$L:$L,ROW())&amp;""))</f>
        <v>Semua SOP sudah tercantum dalam e book yang dibagikan</v>
      </c>
      <c r="X82" s="87" t="str">
        <f>IF($A82="","",TRIM(INDEX(FORM!$M:$M,ROW())&amp;""))</f>
        <v>Lebih diperbanyak untuk gambar agar lebih menarik</v>
      </c>
      <c r="Y82" s="8">
        <f>IF($A82="","",IFERROR(MATCH(F82,DATA!$AH$2:$AH$5,0),9)*10000+A82)</f>
        <v>20081</v>
      </c>
      <c r="Z82" s="87" t="str">
        <f t="shared" si="23"/>
        <v>Tambah Video / Bagan</v>
      </c>
      <c r="AA82" s="87" t="str">
        <f t="shared" si="24"/>
        <v>Tidak ada masukan / sudah baik</v>
      </c>
      <c r="AB82" s="87" t="str">
        <f t="shared" si="25"/>
        <v>Tambah Video / Gambar / Flowchart</v>
      </c>
      <c r="AC82" s="87"/>
      <c r="AD82" s="87"/>
      <c r="AE82" s="87"/>
      <c r="AK82" s="90">
        <f t="shared" si="26"/>
        <v>0</v>
      </c>
      <c r="AL82" s="90">
        <f t="shared" si="27"/>
        <v>0</v>
      </c>
      <c r="AM82" s="90">
        <f t="shared" si="28"/>
        <v>0</v>
      </c>
      <c r="AN82" s="90">
        <f t="shared" si="29"/>
        <v>0</v>
      </c>
      <c r="AO82" s="90">
        <f t="shared" si="30"/>
        <v>0</v>
      </c>
      <c r="AP82" s="90">
        <f t="shared" si="31"/>
        <v>0</v>
      </c>
      <c r="AQ82" s="90">
        <f t="shared" si="32"/>
        <v>0</v>
      </c>
      <c r="AR82" s="90">
        <f t="shared" si="33"/>
        <v>0</v>
      </c>
      <c r="AS82" s="90">
        <f t="shared" si="34"/>
        <v>1</v>
      </c>
      <c r="AT82" s="90">
        <f t="shared" si="35"/>
        <v>0</v>
      </c>
      <c r="AU82" s="90">
        <f t="shared" si="36"/>
        <v>0</v>
      </c>
      <c r="AV82" s="90">
        <f t="shared" si="37"/>
        <v>0</v>
      </c>
      <c r="AW82" s="90">
        <f t="shared" si="38"/>
        <v>0</v>
      </c>
      <c r="AX82" s="90">
        <f t="shared" si="39"/>
        <v>0</v>
      </c>
      <c r="AY82" s="90">
        <f t="shared" si="40"/>
        <v>0</v>
      </c>
      <c r="AZ82" s="90">
        <f t="shared" si="41"/>
        <v>0</v>
      </c>
      <c r="BA82" s="90">
        <f t="shared" si="42"/>
        <v>0</v>
      </c>
      <c r="BB82" s="90">
        <f t="shared" si="43"/>
        <v>1</v>
      </c>
    </row>
    <row r="83" spans="1:54">
      <c r="A83" s="87">
        <f>IF(INDEX(FORM!$A:$A,ROW())="","",ROW()-1)</f>
        <v>82</v>
      </c>
      <c r="B83" s="88">
        <f>IF($A83="","",INDEX(FORM!$A:$A,ROW()))</f>
        <v>46309.711460057901</v>
      </c>
      <c r="C83" s="87" t="str">
        <f>IF($A83="","",TRIM(INDEX(FORM!$B:$B,ROW())))</f>
        <v>ACHMAD NAHYA FILLAH</v>
      </c>
      <c r="D83" s="87" t="str">
        <f>IF($A83="","",TRIM(INDEX(FORM!$C:$C,ROW())&amp;""))</f>
        <v>1510616</v>
      </c>
      <c r="E83" s="87" t="str">
        <f>IF($A83="","",UPPER(TRIM(INDEX(FORM!$D:$D,ROW()))))</f>
        <v>KLUNGKUNG</v>
      </c>
      <c r="F83" s="87" t="str">
        <f>IF($A83="","",IFERROR(INDEX(PROGRES!$A$2:$A$92,MATCH(E83,PROGRES!$B$2:$B$92,0)),"-"))</f>
        <v>Luar Pulau</v>
      </c>
      <c r="G83" s="87" t="str">
        <f>IF($A83="","",UPPER(TRIM(INDEX(FORM!$F:$F,ROW()))))</f>
        <v>LUAR PULAU</v>
      </c>
      <c r="H83" s="87" t="str">
        <f>IF($A83="","",UPPER(TRIM(INDEX(FORM!$E:$E,ROW()))))</f>
        <v>CRO</v>
      </c>
      <c r="I83" s="87" t="str">
        <f>IF($A83="","",UPPER(TRIM(INDEX(FORM!$G:$G,ROW()))))</f>
        <v>MUDAH</v>
      </c>
      <c r="J83" s="87" t="str">
        <f>IF($A83="","",IF(ISNUMBER(SEARCH("Ya,",INDEX(FORM!$H:$H,ROW()))),"YA",IF(ISNUMBER(SEARCH("Cukup,",INDEX(FORM!$H:$H,ROW()))),"CUKUP",IF(ISNUMBER(SEARCH("Kurang,",INDEX(FORM!$H:$H,ROW()))),"KURANG",""))))</f>
        <v>YA</v>
      </c>
      <c r="K83" s="87" t="str">
        <f>IF($A83="","",UPPER(TRIM(INDEX(FORM!$J:$J,ROW()))))</f>
        <v>MUDAH</v>
      </c>
      <c r="L83" s="87">
        <f>IF($A83="","",IF(ISNUMBER(SEARCH("Aktivitas Harian",INDEX(FORM!$K:$K,ROW()))),1,0))</f>
        <v>1</v>
      </c>
      <c r="M83" s="87">
        <f>IF($A83="","",IF(ISNUMBER(SEARCH("Aktivitas Mingguan",INDEX(FORM!$K:$K,ROW()))),1,0))</f>
        <v>0</v>
      </c>
      <c r="N83" s="87">
        <f>IF($A83="","",IF(ISNUMBER(SEARCH("Aktivitas Bulanan",INDEX(FORM!$K:$K,ROW()))),1,0))</f>
        <v>0</v>
      </c>
      <c r="O83" s="87">
        <f>IF($A83="","",IF(ISNUMBER(SEARCH("Overview Cabang",INDEX(FORM!$K:$K,ROW()))),1,0))</f>
        <v>0</v>
      </c>
      <c r="P83" s="87">
        <f>IF($A83="","",IFERROR(VLOOKUP(I83,DATA!$AH$9:$AI$13,2,0),""))</f>
        <v>3</v>
      </c>
      <c r="Q83" s="87">
        <f>IF($A83="","",IFERROR(VLOOKUP(J83,DATA!$AH$9:$AI$13,2,0),""))</f>
        <v>3</v>
      </c>
      <c r="R83" s="87">
        <f>IF($A83="","",IFERROR(VLOOKUP(K83,DATA!$AH$9:$AI$13,2,0),""))</f>
        <v>3</v>
      </c>
      <c r="S83" s="89">
        <f t="shared" si="22"/>
        <v>3</v>
      </c>
      <c r="T83" s="87">
        <f>IF($A83="","",IF(COUNTIF($D$2:D83,D83)=1,1,0))</f>
        <v>1</v>
      </c>
      <c r="U83" s="87" t="str">
        <f>IF($A83="","",IF(F83="-","Cabang tdk ada",IF(IFERROR(VLOOKUP(G83,#REF!,1,0),"")="","",IF(INDEX(DATA!$AH$2:$AH$5,MATCH(G83,DATA!$AI$2:$AI$5,0))&lt;&gt;F83,"Wilayah beda","OK"))))</f>
        <v/>
      </c>
      <c r="V83" s="87" t="str">
        <f>IF($A83="","",TRIM(INDEX(FORM!$I:$I,ROW())&amp;""))</f>
        <v>Sudah sangat baik</v>
      </c>
      <c r="W83" s="87" t="str">
        <f>IF($A83="","",TRIM(INDEX(FORM!$L:$L,ROW())&amp;""))</f>
        <v>Sudah terangkum semua</v>
      </c>
      <c r="X83" s="87" t="str">
        <f>IF($A83="","",TRIM(INDEX(FORM!$M:$M,ROW())&amp;""))</f>
        <v>Sejauh ini sudah sangat bagus</v>
      </c>
      <c r="Y83" s="8">
        <f>IF($A83="","",IFERROR(MATCH(F83,DATA!$AH$2:$AH$5,0),9)*10000+A83)</f>
        <v>40082</v>
      </c>
      <c r="Z83" s="87" t="str">
        <f t="shared" si="23"/>
        <v>Tidak ada masukan / sudah baik</v>
      </c>
      <c r="AA83" s="87" t="str">
        <f t="shared" si="24"/>
        <v>Tidak ada masukan / sudah baik</v>
      </c>
      <c r="AB83" s="87" t="str">
        <f t="shared" si="25"/>
        <v>Tidak ada masukan / sudah baik</v>
      </c>
      <c r="AC83" s="87"/>
      <c r="AD83" s="87"/>
      <c r="AE83" s="87"/>
      <c r="AK83" s="90">
        <f t="shared" si="26"/>
        <v>0</v>
      </c>
      <c r="AL83" s="90">
        <f t="shared" si="27"/>
        <v>0</v>
      </c>
      <c r="AM83" s="90">
        <f t="shared" si="28"/>
        <v>0</v>
      </c>
      <c r="AN83" s="90">
        <f t="shared" si="29"/>
        <v>0</v>
      </c>
      <c r="AO83" s="90">
        <f t="shared" si="30"/>
        <v>0</v>
      </c>
      <c r="AP83" s="90">
        <f t="shared" si="31"/>
        <v>0</v>
      </c>
      <c r="AQ83" s="90">
        <f t="shared" si="32"/>
        <v>0</v>
      </c>
      <c r="AR83" s="90">
        <f t="shared" si="33"/>
        <v>0</v>
      </c>
      <c r="AS83" s="90">
        <f t="shared" si="34"/>
        <v>0</v>
      </c>
      <c r="AT83" s="90">
        <f t="shared" si="35"/>
        <v>0</v>
      </c>
      <c r="AU83" s="90">
        <f t="shared" si="36"/>
        <v>0</v>
      </c>
      <c r="AV83" s="90">
        <f t="shared" si="37"/>
        <v>0</v>
      </c>
      <c r="AW83" s="90">
        <f t="shared" si="38"/>
        <v>0</v>
      </c>
      <c r="AX83" s="90">
        <f t="shared" si="39"/>
        <v>0</v>
      </c>
      <c r="AY83" s="90">
        <f t="shared" si="40"/>
        <v>0</v>
      </c>
      <c r="AZ83" s="90">
        <f t="shared" si="41"/>
        <v>0</v>
      </c>
      <c r="BA83" s="90">
        <f t="shared" si="42"/>
        <v>0</v>
      </c>
      <c r="BB83" s="90">
        <f t="shared" si="43"/>
        <v>0</v>
      </c>
    </row>
    <row r="84" spans="1:54" s="5" customFormat="1" hidden="1">
      <c r="A84" s="8">
        <f>IF(INDEX(FORM!$A:$A,ROW())="","",ROW()-1)</f>
        <v>83</v>
      </c>
      <c r="B84" s="41">
        <f>IF($A84="","",INDEX(FORM!$A:$A,ROW()))</f>
        <v>46309.714193379601</v>
      </c>
      <c r="C84" s="8" t="str">
        <f>IF($A84="","",TRIM(INDEX(FORM!$B:$B,ROW())))</f>
        <v>ARIF MUTTAQIN</v>
      </c>
      <c r="D84" s="8" t="str">
        <f>IF($A84="","",TRIM(INDEX(FORM!$C:$C,ROW())&amp;""))</f>
        <v>1511314</v>
      </c>
      <c r="E84" s="8" t="str">
        <f>IF($A84="","",UPPER(TRIM(INDEX(FORM!$D:$D,ROW()))))</f>
        <v>SRAGEN</v>
      </c>
      <c r="F84" s="8" t="str">
        <f>IF($A84="","",IFERROR(INDEX(PROGRES!$A$2:$A$92,MATCH(E84,PROGRES!$B$2:$B$92,0)),"-"))</f>
        <v>Jawa Tengah</v>
      </c>
      <c r="G84" s="8" t="str">
        <f>IF($A84="","",UPPER(TRIM(INDEX(FORM!$F:$F,ROW()))))</f>
        <v>JATENG DIY</v>
      </c>
      <c r="H84" s="8" t="str">
        <f>IF($A84="","",UPPER(TRIM(INDEX(FORM!$E:$E,ROW()))))</f>
        <v>BAO</v>
      </c>
      <c r="I84" s="8" t="str">
        <f>IF($A84="","",UPPER(TRIM(INDEX(FORM!$G:$G,ROW()))))</f>
        <v>MUDAH</v>
      </c>
      <c r="J84" s="8" t="str">
        <f>IF($A84="","",IF(ISNUMBER(SEARCH("Ya,",INDEX(FORM!$H:$H,ROW()))),"YA",IF(ISNUMBER(SEARCH("Cukup,",INDEX(FORM!$H:$H,ROW()))),"CUKUP",IF(ISNUMBER(SEARCH("Kurang,",INDEX(FORM!$H:$H,ROW()))),"KURANG",""))))</f>
        <v>YA</v>
      </c>
      <c r="K84" s="8" t="str">
        <f>IF($A84="","",UPPER(TRIM(INDEX(FORM!$J:$J,ROW()))))</f>
        <v>MUDAH</v>
      </c>
      <c r="L84" s="8">
        <f>IF($A84="","",IF(ISNUMBER(SEARCH("Aktivitas Harian",INDEX(FORM!$K:$K,ROW()))),1,0))</f>
        <v>1</v>
      </c>
      <c r="M84" s="8">
        <f>IF($A84="","",IF(ISNUMBER(SEARCH("Aktivitas Mingguan",INDEX(FORM!$K:$K,ROW()))),1,0))</f>
        <v>0</v>
      </c>
      <c r="N84" s="8">
        <f>IF($A84="","",IF(ISNUMBER(SEARCH("Aktivitas Bulanan",INDEX(FORM!$K:$K,ROW()))),1,0))</f>
        <v>0</v>
      </c>
      <c r="O84" s="8">
        <f>IF($A84="","",IF(ISNUMBER(SEARCH("Overview Cabang",INDEX(FORM!$K:$K,ROW()))),1,0))</f>
        <v>0</v>
      </c>
      <c r="P84" s="8">
        <f>IF($A84="","",IFERROR(VLOOKUP(I84,DATA!$AH$9:$AI$13,2,0),""))</f>
        <v>3</v>
      </c>
      <c r="Q84" s="8">
        <f>IF($A84="","",IFERROR(VLOOKUP(J84,DATA!$AH$9:$AI$13,2,0),""))</f>
        <v>3</v>
      </c>
      <c r="R84" s="8">
        <f>IF($A84="","",IFERROR(VLOOKUP(K84,DATA!$AH$9:$AI$13,2,0),""))</f>
        <v>3</v>
      </c>
      <c r="S84" s="42">
        <f t="shared" si="22"/>
        <v>3</v>
      </c>
      <c r="T84" s="8">
        <f>IF($A84="","",IF(COUNTIF($D$2:D84,D84)=1,1,0))</f>
        <v>1</v>
      </c>
      <c r="U84" s="8" t="str">
        <f>IF($A84="","",IF(F84="-","Cabang tdk ada",IF(IFERROR(VLOOKUP(G84,#REF!,1,0),"")="","",IF(INDEX(DATA!$AH$2:$AH$5,MATCH(G84,DATA!$AI$2:$AI$5,0))&lt;&gt;F84,"Wilayah beda","OK"))))</f>
        <v/>
      </c>
      <c r="V84" s="8" t="str">
        <f>IF($A84="","",TRIM(INDEX(FORM!$I:$I,ROW())&amp;""))</f>
        <v>Untuk webnya tulisan materinya bisa dibuat font yang lebih menarik</v>
      </c>
      <c r="W84" s="8" t="str">
        <f>IF($A84="","",TRIM(INDEX(FORM!$L:$L,ROW())&amp;""))</f>
        <v>Sudah tercakup lengkap</v>
      </c>
      <c r="X84" s="8" t="str">
        <f>IF($A84="","",TRIM(INDEX(FORM!$M:$M,ROW())&amp;""))</f>
        <v>Untuk tampilan webnya bisa dibuat lebih menarik lagi agar menarik untuk dibaca dan lebih cepat untuk memuat halaman website ketika diakses</v>
      </c>
      <c r="Y84" s="8">
        <f>IF($A84="","",IFERROR(MATCH(F84,DATA!$AH$2:$AH$5,0),9)*10000+A84)</f>
        <v>20083</v>
      </c>
      <c r="Z84" s="8" t="str">
        <f t="shared" si="23"/>
        <v>Desain, Warna &amp; Font</v>
      </c>
      <c r="AA84" s="8" t="str">
        <f t="shared" si="24"/>
        <v>Tidak ada masukan / sudah baik</v>
      </c>
      <c r="AB84" s="8" t="str">
        <f t="shared" si="25"/>
        <v>Kecepatan Akses Website</v>
      </c>
      <c r="AC84" s="8"/>
      <c r="AD84" s="8"/>
      <c r="AE84" s="8"/>
      <c r="AK84" s="5">
        <f t="shared" si="26"/>
        <v>1</v>
      </c>
      <c r="AL84" s="5">
        <f t="shared" si="27"/>
        <v>0</v>
      </c>
      <c r="AM84" s="5">
        <f t="shared" si="28"/>
        <v>1</v>
      </c>
      <c r="AN84" s="5">
        <f t="shared" si="29"/>
        <v>0</v>
      </c>
      <c r="AO84" s="5">
        <f t="shared" si="30"/>
        <v>0</v>
      </c>
      <c r="AP84" s="5">
        <f t="shared" si="31"/>
        <v>0</v>
      </c>
      <c r="AQ84" s="5">
        <f t="shared" si="32"/>
        <v>0</v>
      </c>
      <c r="AR84" s="5">
        <f t="shared" si="33"/>
        <v>0</v>
      </c>
      <c r="AS84" s="5">
        <f t="shared" si="34"/>
        <v>0</v>
      </c>
      <c r="AT84" s="5">
        <f t="shared" si="35"/>
        <v>0</v>
      </c>
      <c r="AU84" s="5">
        <f t="shared" si="36"/>
        <v>0</v>
      </c>
      <c r="AV84" s="5">
        <f t="shared" si="37"/>
        <v>0</v>
      </c>
      <c r="AW84" s="5">
        <f t="shared" si="38"/>
        <v>0</v>
      </c>
      <c r="AX84" s="5">
        <f t="shared" si="39"/>
        <v>0</v>
      </c>
      <c r="AY84" s="5">
        <f t="shared" si="40"/>
        <v>0</v>
      </c>
      <c r="AZ84" s="5">
        <f t="shared" si="41"/>
        <v>0</v>
      </c>
      <c r="BA84" s="5">
        <f t="shared" si="42"/>
        <v>0</v>
      </c>
      <c r="BB84" s="5">
        <f t="shared" si="43"/>
        <v>1</v>
      </c>
    </row>
    <row r="85" spans="1:54" s="5" customFormat="1" hidden="1">
      <c r="A85" s="8">
        <f>IF(INDEX(FORM!$A:$A,ROW())="","",ROW()-1)</f>
        <v>84</v>
      </c>
      <c r="B85" s="41">
        <f>IF($A85="","",INDEX(FORM!$A:$A,ROW()))</f>
        <v>46309.716949166701</v>
      </c>
      <c r="C85" s="8" t="str">
        <f>IF($A85="","",TRIM(INDEX(FORM!$B:$B,ROW())))</f>
        <v>ADE SUPRAYOGI</v>
      </c>
      <c r="D85" s="8" t="str">
        <f>IF($A85="","",TRIM(INDEX(FORM!$C:$C,ROW())&amp;""))</f>
        <v>1510637</v>
      </c>
      <c r="E85" s="8" t="str">
        <f>IF($A85="","",UPPER(TRIM(INDEX(FORM!$D:$D,ROW()))))</f>
        <v>KULONPROGO</v>
      </c>
      <c r="F85" s="8" t="str">
        <f>IF($A85="","",IFERROR(INDEX(PROGRES!$A$2:$A$92,MATCH(E85,PROGRES!$B$2:$B$92,0)),"-"))</f>
        <v>Jawa Tengah</v>
      </c>
      <c r="G85" s="8" t="str">
        <f>IF($A85="","",UPPER(TRIM(INDEX(FORM!$F:$F,ROW()))))</f>
        <v>JATENG DIY</v>
      </c>
      <c r="H85" s="8" t="str">
        <f>IF($A85="","",UPPER(TRIM(INDEX(FORM!$E:$E,ROW()))))</f>
        <v>BAO</v>
      </c>
      <c r="I85" s="8" t="str">
        <f>IF($A85="","",UPPER(TRIM(INDEX(FORM!$G:$G,ROW()))))</f>
        <v>CUKUP</v>
      </c>
      <c r="J85" s="8" t="str">
        <f>IF($A85="","",IF(ISNUMBER(SEARCH("Ya,",INDEX(FORM!$H:$H,ROW()))),"YA",IF(ISNUMBER(SEARCH("Cukup,",INDEX(FORM!$H:$H,ROW()))),"CUKUP",IF(ISNUMBER(SEARCH("Kurang,",INDEX(FORM!$H:$H,ROW()))),"KURANG",""))))</f>
        <v>KURANG</v>
      </c>
      <c r="K85" s="8" t="str">
        <f>IF($A85="","",UPPER(TRIM(INDEX(FORM!$J:$J,ROW()))))</f>
        <v>CUKUP</v>
      </c>
      <c r="L85" s="8">
        <f>IF($A85="","",IF(ISNUMBER(SEARCH("Aktivitas Harian",INDEX(FORM!$K:$K,ROW()))),1,0))</f>
        <v>1</v>
      </c>
      <c r="M85" s="8">
        <f>IF($A85="","",IF(ISNUMBER(SEARCH("Aktivitas Mingguan",INDEX(FORM!$K:$K,ROW()))),1,0))</f>
        <v>1</v>
      </c>
      <c r="N85" s="8">
        <f>IF($A85="","",IF(ISNUMBER(SEARCH("Aktivitas Bulanan",INDEX(FORM!$K:$K,ROW()))),1,0))</f>
        <v>1</v>
      </c>
      <c r="O85" s="8">
        <f>IF($A85="","",IF(ISNUMBER(SEARCH("Overview Cabang",INDEX(FORM!$K:$K,ROW()))),1,0))</f>
        <v>1</v>
      </c>
      <c r="P85" s="8">
        <f>IF($A85="","",IFERROR(VLOOKUP(I85,DATA!$AH$9:$AI$13,2,0),""))</f>
        <v>2</v>
      </c>
      <c r="Q85" s="8">
        <f>IF($A85="","",IFERROR(VLOOKUP(J85,DATA!$AH$9:$AI$13,2,0),""))</f>
        <v>1</v>
      </c>
      <c r="R85" s="8">
        <f>IF($A85="","",IFERROR(VLOOKUP(K85,DATA!$AH$9:$AI$13,2,0),""))</f>
        <v>2</v>
      </c>
      <c r="S85" s="42">
        <f t="shared" si="22"/>
        <v>1.6666666666666667</v>
      </c>
      <c r="T85" s="8">
        <f>IF($A85="","",IF(COUNTIF($D$2:D85,D85)=1,1,0))</f>
        <v>1</v>
      </c>
      <c r="U85" s="8" t="str">
        <f>IF($A85="","",IF(F85="-","Cabang tdk ada",IF(IFERROR(VLOOKUP(G85,#REF!,1,0),"")="","",IF(INDEX(DATA!$AH$2:$AH$5,MATCH(G85,DATA!$AI$2:$AI$5,0))&lt;&gt;F85,"Wilayah beda","OK"))))</f>
        <v/>
      </c>
      <c r="V85" s="8" t="str">
        <f>IF($A85="","",TRIM(INDEX(FORM!$I:$I,ROW())&amp;""))</f>
        <v>TIDAK ADA LOGO SID</v>
      </c>
      <c r="W85" s="8" t="str">
        <f>IF($A85="","",TRIM(INDEX(FORM!$L:$L,ROW())&amp;""))</f>
        <v>KONDISI DIMANA CABANG TIDAK ADA POA. FLOWCHART GAMBARAN BESAR AKTIFITAS HARIAN BAO</v>
      </c>
      <c r="X85" s="8" t="str">
        <f>IF($A85="","",TRIM(INDEX(FORM!$M:$M,ROW())&amp;""))</f>
        <v>WEB HANYA MENAMPILKAN FLOWCHART GAMBARAN BESARNYA, UNTUK LEBIH DETAL BARU BERALIH LINK KE GOOGLE DOCUMENT</v>
      </c>
      <c r="Y85" s="8">
        <f>IF($A85="","",IFERROR(MATCH(F85,DATA!$AH$2:$AH$5,0),9)*10000+A85)</f>
        <v>20084</v>
      </c>
      <c r="Z85" s="8" t="str">
        <f t="shared" si="23"/>
        <v>Desain, Warna &amp; Font</v>
      </c>
      <c r="AA85" s="8" t="str">
        <f t="shared" si="24"/>
        <v>Panduan Laporan &amp; Alur Kerja</v>
      </c>
      <c r="AB85" s="8" t="str">
        <f t="shared" si="25"/>
        <v>Tambah Video / Gambar / Flowchart</v>
      </c>
      <c r="AC85" s="8"/>
      <c r="AD85" s="8"/>
      <c r="AE85" s="8"/>
      <c r="AK85" s="5">
        <f t="shared" si="26"/>
        <v>0</v>
      </c>
      <c r="AL85" s="5">
        <f t="shared" si="27"/>
        <v>0</v>
      </c>
      <c r="AM85" s="5">
        <f t="shared" si="28"/>
        <v>1</v>
      </c>
      <c r="AN85" s="5">
        <f t="shared" si="29"/>
        <v>0</v>
      </c>
      <c r="AO85" s="5">
        <f t="shared" si="30"/>
        <v>0</v>
      </c>
      <c r="AP85" s="5">
        <f t="shared" si="31"/>
        <v>0</v>
      </c>
      <c r="AQ85" s="5">
        <f t="shared" si="32"/>
        <v>0</v>
      </c>
      <c r="AR85" s="5">
        <f t="shared" si="33"/>
        <v>0</v>
      </c>
      <c r="AS85" s="5">
        <f t="shared" si="34"/>
        <v>1</v>
      </c>
      <c r="AT85" s="5">
        <f t="shared" si="35"/>
        <v>0</v>
      </c>
      <c r="AU85" s="5">
        <f t="shared" si="36"/>
        <v>0</v>
      </c>
      <c r="AV85" s="5">
        <f t="shared" si="37"/>
        <v>0</v>
      </c>
      <c r="AW85" s="5">
        <f t="shared" si="38"/>
        <v>0</v>
      </c>
      <c r="AX85" s="5">
        <f t="shared" si="39"/>
        <v>0</v>
      </c>
      <c r="AY85" s="5">
        <f t="shared" si="40"/>
        <v>1</v>
      </c>
      <c r="AZ85" s="5">
        <f t="shared" si="41"/>
        <v>0</v>
      </c>
      <c r="BA85" s="5">
        <f t="shared" si="42"/>
        <v>0</v>
      </c>
      <c r="BB85" s="5">
        <f t="shared" si="43"/>
        <v>1</v>
      </c>
    </row>
    <row r="86" spans="1:54">
      <c r="A86" s="87">
        <f>IF(INDEX(FORM!$A:$A,ROW())="","",ROW()-1)</f>
        <v>85</v>
      </c>
      <c r="B86" s="88">
        <f>IF($A86="","",INDEX(FORM!$A:$A,ROW()))</f>
        <v>46309.7256769792</v>
      </c>
      <c r="C86" s="87" t="str">
        <f>IF($A86="","",TRIM(INDEX(FORM!$B:$B,ROW())))</f>
        <v>Ita Miptahudin</v>
      </c>
      <c r="D86" s="87" t="str">
        <f>IF($A86="","",TRIM(INDEX(FORM!$C:$C,ROW())&amp;""))</f>
        <v>1511237</v>
      </c>
      <c r="E86" s="87" t="str">
        <f>IF($A86="","",UPPER(TRIM(INDEX(FORM!$D:$D,ROW()))))</f>
        <v>MAJALENGKA</v>
      </c>
      <c r="F86" s="87" t="str">
        <f>IF($A86="","",IFERROR(INDEX(PROGRES!$A$2:$A$92,MATCH(E86,PROGRES!$B$2:$B$92,0)),"-"))</f>
        <v>Jawa Barat</v>
      </c>
      <c r="G86" s="87" t="str">
        <f>IF($A86="","",UPPER(TRIM(INDEX(FORM!$F:$F,ROW()))))</f>
        <v>JABAR DKI BANTEN</v>
      </c>
      <c r="H86" s="87" t="str">
        <f>IF($A86="","",UPPER(TRIM(INDEX(FORM!$E:$E,ROW()))))</f>
        <v>CRO</v>
      </c>
      <c r="I86" s="87" t="str">
        <f>IF($A86="","",UPPER(TRIM(INDEX(FORM!$G:$G,ROW()))))</f>
        <v>MUDAH</v>
      </c>
      <c r="J86" s="87" t="str">
        <f>IF($A86="","",IF(ISNUMBER(SEARCH("Ya,",INDEX(FORM!$H:$H,ROW()))),"YA",IF(ISNUMBER(SEARCH("Cukup,",INDEX(FORM!$H:$H,ROW()))),"CUKUP",IF(ISNUMBER(SEARCH("Kurang,",INDEX(FORM!$H:$H,ROW()))),"KURANG",""))))</f>
        <v>YA</v>
      </c>
      <c r="K86" s="87" t="str">
        <f>IF($A86="","",UPPER(TRIM(INDEX(FORM!$J:$J,ROW()))))</f>
        <v>CUKUP</v>
      </c>
      <c r="L86" s="87">
        <f>IF($A86="","",IF(ISNUMBER(SEARCH("Aktivitas Harian",INDEX(FORM!$K:$K,ROW()))),1,0))</f>
        <v>1</v>
      </c>
      <c r="M86" s="87">
        <f>IF($A86="","",IF(ISNUMBER(SEARCH("Aktivitas Mingguan",INDEX(FORM!$K:$K,ROW()))),1,0))</f>
        <v>0</v>
      </c>
      <c r="N86" s="87">
        <f>IF($A86="","",IF(ISNUMBER(SEARCH("Aktivitas Bulanan",INDEX(FORM!$K:$K,ROW()))),1,0))</f>
        <v>0</v>
      </c>
      <c r="O86" s="87">
        <f>IF($A86="","",IF(ISNUMBER(SEARCH("Overview Cabang",INDEX(FORM!$K:$K,ROW()))),1,0))</f>
        <v>0</v>
      </c>
      <c r="P86" s="87">
        <f>IF($A86="","",IFERROR(VLOOKUP(I86,DATA!$AH$9:$AI$13,2,0),""))</f>
        <v>3</v>
      </c>
      <c r="Q86" s="87">
        <f>IF($A86="","",IFERROR(VLOOKUP(J86,DATA!$AH$9:$AI$13,2,0),""))</f>
        <v>3</v>
      </c>
      <c r="R86" s="87">
        <f>IF($A86="","",IFERROR(VLOOKUP(K86,DATA!$AH$9:$AI$13,2,0),""))</f>
        <v>2</v>
      </c>
      <c r="S86" s="89">
        <f t="shared" si="22"/>
        <v>2.6666666666666665</v>
      </c>
      <c r="T86" s="87">
        <f>IF($A86="","",IF(COUNTIF($D$2:D86,D86)=1,1,0))</f>
        <v>1</v>
      </c>
      <c r="U86" s="87" t="str">
        <f>IF($A86="","",IF(F86="-","Cabang tdk ada",IF(IFERROR(VLOOKUP(G86,#REF!,1,0),"")="","",IF(INDEX(DATA!$AH$2:$AH$5,MATCH(G86,DATA!$AI$2:$AI$5,0))&lt;&gt;F86,"Wilayah beda","OK"))))</f>
        <v/>
      </c>
      <c r="V86" s="87" t="str">
        <f>IF($A86="","",TRIM(INDEX(FORM!$I:$I,ROW())&amp;""))</f>
        <v>Tampilan Cukup user friendly</v>
      </c>
      <c r="W86" s="87" t="str">
        <f>IF($A86="","",TRIM(INDEX(FORM!$L:$L,ROW())&amp;""))</f>
        <v>Tidak ada</v>
      </c>
      <c r="X86" s="87" t="str">
        <f>IF($A86="","",TRIM(INDEX(FORM!$M:$M,ROW())&amp;""))</f>
        <v>Mungkin bisa dibuatkan video tutorial/panduan atau video pelatihan lainnya untuk pengembangan skill CrO</v>
      </c>
      <c r="Y86" s="8">
        <f>IF($A86="","",IFERROR(MATCH(F86,DATA!$AH$2:$AH$5,0),9)*10000+A86)</f>
        <v>10085</v>
      </c>
      <c r="Z86" s="87" t="str">
        <f t="shared" si="23"/>
        <v>Tidak ada masukan / sudah baik</v>
      </c>
      <c r="AA86" s="87" t="str">
        <f t="shared" si="24"/>
        <v>Tidak ada masukan / sudah baik</v>
      </c>
      <c r="AB86" s="87" t="str">
        <f t="shared" si="25"/>
        <v>Tambah Video / Gambar / Flowchart</v>
      </c>
      <c r="AC86" s="87"/>
      <c r="AD86" s="87"/>
      <c r="AE86" s="87"/>
      <c r="AK86" s="90">
        <f t="shared" si="26"/>
        <v>0</v>
      </c>
      <c r="AL86" s="90">
        <f t="shared" si="27"/>
        <v>0</v>
      </c>
      <c r="AM86" s="90">
        <f t="shared" si="28"/>
        <v>0</v>
      </c>
      <c r="AN86" s="90">
        <f t="shared" si="29"/>
        <v>0</v>
      </c>
      <c r="AO86" s="90">
        <f t="shared" si="30"/>
        <v>0</v>
      </c>
      <c r="AP86" s="90">
        <f t="shared" si="31"/>
        <v>0</v>
      </c>
      <c r="AQ86" s="90">
        <f t="shared" si="32"/>
        <v>0</v>
      </c>
      <c r="AR86" s="90">
        <f t="shared" si="33"/>
        <v>0</v>
      </c>
      <c r="AS86" s="90">
        <f t="shared" si="34"/>
        <v>1</v>
      </c>
      <c r="AT86" s="90">
        <f t="shared" si="35"/>
        <v>0</v>
      </c>
      <c r="AU86" s="90">
        <f t="shared" si="36"/>
        <v>0</v>
      </c>
      <c r="AV86" s="90">
        <f t="shared" si="37"/>
        <v>0</v>
      </c>
      <c r="AW86" s="90">
        <f t="shared" si="38"/>
        <v>0</v>
      </c>
      <c r="AX86" s="90">
        <f t="shared" si="39"/>
        <v>0</v>
      </c>
      <c r="AY86" s="90">
        <f t="shared" si="40"/>
        <v>0</v>
      </c>
      <c r="AZ86" s="90">
        <f t="shared" si="41"/>
        <v>0</v>
      </c>
      <c r="BA86" s="90">
        <f t="shared" si="42"/>
        <v>0</v>
      </c>
      <c r="BB86" s="90">
        <f t="shared" si="43"/>
        <v>1</v>
      </c>
    </row>
    <row r="87" spans="1:54" s="5" customFormat="1" hidden="1">
      <c r="A87" s="8">
        <f>IF(INDEX(FORM!$A:$A,ROW())="","",ROW()-1)</f>
        <v>86</v>
      </c>
      <c r="B87" s="41">
        <f>IF($A87="","",INDEX(FORM!$A:$A,ROW()))</f>
        <v>46309.7284991204</v>
      </c>
      <c r="C87" s="8" t="str">
        <f>IF($A87="","",TRIM(INDEX(FORM!$B:$B,ROW())))</f>
        <v>Andreas Indardianto</v>
      </c>
      <c r="D87" s="8" t="str">
        <f>IF($A87="","",TRIM(INDEX(FORM!$C:$C,ROW())&amp;""))</f>
        <v>1510589</v>
      </c>
      <c r="E87" s="8" t="str">
        <f>IF($A87="","",UPPER(TRIM(INDEX(FORM!$D:$D,ROW()))))</f>
        <v>KEBUMEN</v>
      </c>
      <c r="F87" s="8" t="str">
        <f>IF($A87="","",IFERROR(INDEX(PROGRES!$A$2:$A$92,MATCH(E87,PROGRES!$B$2:$B$92,0)),"-"))</f>
        <v>Jawa Tengah</v>
      </c>
      <c r="G87" s="8" t="str">
        <f>IF($A87="","",UPPER(TRIM(INDEX(FORM!$F:$F,ROW()))))</f>
        <v>JATENG DIY</v>
      </c>
      <c r="H87" s="8" t="str">
        <f>IF($A87="","",UPPER(TRIM(INDEX(FORM!$E:$E,ROW()))))</f>
        <v>BAO</v>
      </c>
      <c r="I87" s="8" t="str">
        <f>IF($A87="","",UPPER(TRIM(INDEX(FORM!$G:$G,ROW()))))</f>
        <v>CUKUP</v>
      </c>
      <c r="J87" s="8" t="str">
        <f>IF($A87="","",IF(ISNUMBER(SEARCH("Ya,",INDEX(FORM!$H:$H,ROW()))),"YA",IF(ISNUMBER(SEARCH("Cukup,",INDEX(FORM!$H:$H,ROW()))),"CUKUP",IF(ISNUMBER(SEARCH("Kurang,",INDEX(FORM!$H:$H,ROW()))),"KURANG",""))))</f>
        <v>CUKUP</v>
      </c>
      <c r="K87" s="8" t="str">
        <f>IF($A87="","",UPPER(TRIM(INDEX(FORM!$J:$J,ROW()))))</f>
        <v>CUKUP</v>
      </c>
      <c r="L87" s="8">
        <f>IF($A87="","",IF(ISNUMBER(SEARCH("Aktivitas Harian",INDEX(FORM!$K:$K,ROW()))),1,0))</f>
        <v>1</v>
      </c>
      <c r="M87" s="8">
        <f>IF($A87="","",IF(ISNUMBER(SEARCH("Aktivitas Mingguan",INDEX(FORM!$K:$K,ROW()))),1,0))</f>
        <v>1</v>
      </c>
      <c r="N87" s="8">
        <f>IF($A87="","",IF(ISNUMBER(SEARCH("Aktivitas Bulanan",INDEX(FORM!$K:$K,ROW()))),1,0))</f>
        <v>1</v>
      </c>
      <c r="O87" s="8">
        <f>IF($A87="","",IF(ISNUMBER(SEARCH("Overview Cabang",INDEX(FORM!$K:$K,ROW()))),1,0))</f>
        <v>0</v>
      </c>
      <c r="P87" s="8">
        <f>IF($A87="","",IFERROR(VLOOKUP(I87,DATA!$AH$9:$AI$13,2,0),""))</f>
        <v>2</v>
      </c>
      <c r="Q87" s="8">
        <f>IF($A87="","",IFERROR(VLOOKUP(J87,DATA!$AH$9:$AI$13,2,0),""))</f>
        <v>2</v>
      </c>
      <c r="R87" s="8">
        <f>IF($A87="","",IFERROR(VLOOKUP(K87,DATA!$AH$9:$AI$13,2,0),""))</f>
        <v>2</v>
      </c>
      <c r="S87" s="42">
        <f t="shared" si="22"/>
        <v>2</v>
      </c>
      <c r="T87" s="8">
        <f>IF($A87="","",IF(COUNTIF($D$2:D87,D87)=1,1,0))</f>
        <v>1</v>
      </c>
      <c r="U87" s="8" t="str">
        <f>IF($A87="","",IF(F87="-","Cabang tdk ada",IF(IFERROR(VLOOKUP(G87,#REF!,1,0),"")="","",IF(INDEX(DATA!$AH$2:$AH$5,MATCH(G87,DATA!$AI$2:$AI$5,0))&lt;&gt;F87,"Wilayah beda","OK"))))</f>
        <v/>
      </c>
      <c r="V87" s="8" t="str">
        <f>IF($A87="","",TRIM(INDEX(FORM!$I:$I,ROW())&amp;""))</f>
        <v>sudah cukup baik.</v>
      </c>
      <c r="W87" s="8" t="str">
        <f>IF($A87="","",TRIM(INDEX(FORM!$L:$L,ROW())&amp;""))</f>
        <v>-</v>
      </c>
      <c r="X87" s="8" t="str">
        <f>IF($A87="","",TRIM(INDEX(FORM!$M:$M,ROW())&amp;""))</f>
        <v>-</v>
      </c>
      <c r="Y87" s="8">
        <f>IF($A87="","",IFERROR(MATCH(F87,DATA!$AH$2:$AH$5,0),9)*10000+A87)</f>
        <v>20086</v>
      </c>
      <c r="Z87" s="8" t="str">
        <f t="shared" si="23"/>
        <v>Tidak ada masukan / sudah baik</v>
      </c>
      <c r="AA87" s="8" t="str">
        <f t="shared" si="24"/>
        <v>Tidak ada masukan / sudah baik</v>
      </c>
      <c r="AB87" s="8" t="str">
        <f t="shared" si="25"/>
        <v>Tidak ada masukan / sudah baik</v>
      </c>
      <c r="AC87" s="8"/>
      <c r="AD87" s="8"/>
      <c r="AE87" s="8"/>
      <c r="AK87" s="5">
        <f t="shared" si="26"/>
        <v>0</v>
      </c>
      <c r="AL87" s="5">
        <f t="shared" si="27"/>
        <v>0</v>
      </c>
      <c r="AM87" s="5">
        <f t="shared" si="28"/>
        <v>0</v>
      </c>
      <c r="AN87" s="5">
        <f t="shared" si="29"/>
        <v>0</v>
      </c>
      <c r="AO87" s="5">
        <f t="shared" si="30"/>
        <v>0</v>
      </c>
      <c r="AP87" s="5">
        <f t="shared" si="31"/>
        <v>0</v>
      </c>
      <c r="AQ87" s="5">
        <f t="shared" si="32"/>
        <v>0</v>
      </c>
      <c r="AR87" s="5">
        <f t="shared" si="33"/>
        <v>0</v>
      </c>
      <c r="AS87" s="5">
        <f t="shared" si="34"/>
        <v>0</v>
      </c>
      <c r="AT87" s="5">
        <f t="shared" si="35"/>
        <v>0</v>
      </c>
      <c r="AU87" s="5">
        <f t="shared" si="36"/>
        <v>0</v>
      </c>
      <c r="AV87" s="5">
        <f t="shared" si="37"/>
        <v>0</v>
      </c>
      <c r="AW87" s="5">
        <f t="shared" si="38"/>
        <v>0</v>
      </c>
      <c r="AX87" s="5">
        <f t="shared" si="39"/>
        <v>0</v>
      </c>
      <c r="AY87" s="5">
        <f t="shared" si="40"/>
        <v>0</v>
      </c>
      <c r="AZ87" s="5">
        <f t="shared" si="41"/>
        <v>0</v>
      </c>
      <c r="BA87" s="5">
        <f t="shared" si="42"/>
        <v>0</v>
      </c>
      <c r="BB87" s="5">
        <f t="shared" si="43"/>
        <v>0</v>
      </c>
    </row>
    <row r="88" spans="1:54">
      <c r="A88" s="87">
        <f>IF(INDEX(FORM!$A:$A,ROW())="","",ROW()-1)</f>
        <v>87</v>
      </c>
      <c r="B88" s="88">
        <f>IF($A88="","",INDEX(FORM!$A:$A,ROW()))</f>
        <v>46309.732724039401</v>
      </c>
      <c r="C88" s="87" t="str">
        <f>IF($A88="","",TRIM(INDEX(FORM!$B:$B,ROW())))</f>
        <v>Arif tri sugiartono</v>
      </c>
      <c r="D88" s="87" t="str">
        <f>IF($A88="","",TRIM(INDEX(FORM!$C:$C,ROW())&amp;""))</f>
        <v>1511158</v>
      </c>
      <c r="E88" s="87" t="str">
        <f>IF($A88="","",UPPER(TRIM(INDEX(FORM!$D:$D,ROW()))))</f>
        <v>KEBUMEN</v>
      </c>
      <c r="F88" s="87" t="str">
        <f>IF($A88="","",IFERROR(INDEX(PROGRES!$A$2:$A$92,MATCH(E88,PROGRES!$B$2:$B$92,0)),"-"))</f>
        <v>Jawa Tengah</v>
      </c>
      <c r="G88" s="87" t="str">
        <f>IF($A88="","",UPPER(TRIM(INDEX(FORM!$F:$F,ROW()))))</f>
        <v>JATENG DIY</v>
      </c>
      <c r="H88" s="87" t="str">
        <f>IF($A88="","",UPPER(TRIM(INDEX(FORM!$E:$E,ROW()))))</f>
        <v>CRO</v>
      </c>
      <c r="I88" s="87" t="str">
        <f>IF($A88="","",UPPER(TRIM(INDEX(FORM!$G:$G,ROW()))))</f>
        <v>MUDAH</v>
      </c>
      <c r="J88" s="87" t="str">
        <f>IF($A88="","",IF(ISNUMBER(SEARCH("Ya,",INDEX(FORM!$H:$H,ROW()))),"YA",IF(ISNUMBER(SEARCH("Cukup,",INDEX(FORM!$H:$H,ROW()))),"CUKUP",IF(ISNUMBER(SEARCH("Kurang,",INDEX(FORM!$H:$H,ROW()))),"KURANG",""))))</f>
        <v>YA</v>
      </c>
      <c r="K88" s="87" t="str">
        <f>IF($A88="","",UPPER(TRIM(INDEX(FORM!$J:$J,ROW()))))</f>
        <v>MUDAH</v>
      </c>
      <c r="L88" s="87">
        <f>IF($A88="","",IF(ISNUMBER(SEARCH("Aktivitas Harian",INDEX(FORM!$K:$K,ROW()))),1,0))</f>
        <v>1</v>
      </c>
      <c r="M88" s="87">
        <f>IF($A88="","",IF(ISNUMBER(SEARCH("Aktivitas Mingguan",INDEX(FORM!$K:$K,ROW()))),1,0))</f>
        <v>0</v>
      </c>
      <c r="N88" s="87">
        <f>IF($A88="","",IF(ISNUMBER(SEARCH("Aktivitas Bulanan",INDEX(FORM!$K:$K,ROW()))),1,0))</f>
        <v>0</v>
      </c>
      <c r="O88" s="87">
        <f>IF($A88="","",IF(ISNUMBER(SEARCH("Overview Cabang",INDEX(FORM!$K:$K,ROW()))),1,0))</f>
        <v>0</v>
      </c>
      <c r="P88" s="87">
        <f>IF($A88="","",IFERROR(VLOOKUP(I88,DATA!$AH$9:$AI$13,2,0),""))</f>
        <v>3</v>
      </c>
      <c r="Q88" s="87">
        <f>IF($A88="","",IFERROR(VLOOKUP(J88,DATA!$AH$9:$AI$13,2,0),""))</f>
        <v>3</v>
      </c>
      <c r="R88" s="87">
        <f>IF($A88="","",IFERROR(VLOOKUP(K88,DATA!$AH$9:$AI$13,2,0),""))</f>
        <v>3</v>
      </c>
      <c r="S88" s="89">
        <f t="shared" si="22"/>
        <v>3</v>
      </c>
      <c r="T88" s="87">
        <f>IF($A88="","",IF(COUNTIF($D$2:D88,D88)=1,1,0))</f>
        <v>1</v>
      </c>
      <c r="U88" s="87" t="str">
        <f>IF($A88="","",IF(F88="-","Cabang tdk ada",IF(IFERROR(VLOOKUP(G88,#REF!,1,0),"")="","",IF(INDEX(DATA!$AH$2:$AH$5,MATCH(G88,DATA!$AI$2:$AI$5,0))&lt;&gt;F88,"Wilayah beda","OK"))))</f>
        <v/>
      </c>
      <c r="V88" s="87" t="str">
        <f>IF($A88="","",TRIM(INDEX(FORM!$I:$I,ROW())&amp;""))</f>
        <v>Di beberapa menu ada yg masih lama untuk loadingnya</v>
      </c>
      <c r="W88" s="87" t="str">
        <f>IF($A88="","",TRIM(INDEX(FORM!$L:$L,ROW())&amp;""))</f>
        <v>Tidak ada</v>
      </c>
      <c r="X88" s="87" t="str">
        <f>IF($A88="","",TRIM(INDEX(FORM!$M:$M,ROW())&amp;""))</f>
        <v>Lebih di buat simple untuk di beberapa menu</v>
      </c>
      <c r="Y88" s="8">
        <f>IF($A88="","",IFERROR(MATCH(F88,DATA!$AH$2:$AH$5,0),9)*10000+A88)</f>
        <v>20087</v>
      </c>
      <c r="Z88" s="87" t="str">
        <f t="shared" si="23"/>
        <v>Kecepatan &amp; Loading Website</v>
      </c>
      <c r="AA88" s="87" t="str">
        <f t="shared" si="24"/>
        <v>Tidak ada masukan / sudah baik</v>
      </c>
      <c r="AB88" s="87" t="str">
        <f t="shared" si="25"/>
        <v>Penyederhanaan Isi</v>
      </c>
      <c r="AC88" s="87"/>
      <c r="AD88" s="87"/>
      <c r="AE88" s="87"/>
      <c r="AK88" s="90">
        <f t="shared" si="26"/>
        <v>1</v>
      </c>
      <c r="AL88" s="90">
        <f t="shared" si="27"/>
        <v>0</v>
      </c>
      <c r="AM88" s="90">
        <f t="shared" si="28"/>
        <v>0</v>
      </c>
      <c r="AN88" s="90">
        <f t="shared" si="29"/>
        <v>0</v>
      </c>
      <c r="AO88" s="90">
        <f t="shared" si="30"/>
        <v>0</v>
      </c>
      <c r="AP88" s="90">
        <f t="shared" si="31"/>
        <v>0</v>
      </c>
      <c r="AQ88" s="90">
        <f t="shared" si="32"/>
        <v>1</v>
      </c>
      <c r="AR88" s="90">
        <f t="shared" si="33"/>
        <v>0</v>
      </c>
      <c r="AS88" s="90">
        <f t="shared" si="34"/>
        <v>0</v>
      </c>
      <c r="AT88" s="90">
        <f t="shared" si="35"/>
        <v>0</v>
      </c>
      <c r="AU88" s="90">
        <f t="shared" si="36"/>
        <v>0</v>
      </c>
      <c r="AV88" s="90">
        <f t="shared" si="37"/>
        <v>0</v>
      </c>
      <c r="AW88" s="90">
        <f t="shared" si="38"/>
        <v>0</v>
      </c>
      <c r="AX88" s="90">
        <f t="shared" si="39"/>
        <v>0</v>
      </c>
      <c r="AY88" s="90">
        <f t="shared" si="40"/>
        <v>0</v>
      </c>
      <c r="AZ88" s="90">
        <f t="shared" si="41"/>
        <v>0</v>
      </c>
      <c r="BA88" s="90">
        <f t="shared" si="42"/>
        <v>0</v>
      </c>
      <c r="BB88" s="90">
        <f t="shared" si="43"/>
        <v>1</v>
      </c>
    </row>
    <row r="89" spans="1:54">
      <c r="A89" s="87">
        <f>IF(INDEX(FORM!$A:$A,ROW())="","",ROW()-1)</f>
        <v>88</v>
      </c>
      <c r="B89" s="88">
        <f>IF($A89="","",INDEX(FORM!$A:$A,ROW()))</f>
        <v>46309.740172002297</v>
      </c>
      <c r="C89" s="87" t="str">
        <f>IF($A89="","",TRIM(INDEX(FORM!$B:$B,ROW())))</f>
        <v>Muhammad riyanto</v>
      </c>
      <c r="D89" s="87" t="str">
        <f>IF($A89="","",TRIM(INDEX(FORM!$C:$C,ROW())&amp;""))</f>
        <v>1510964</v>
      </c>
      <c r="E89" s="87" t="str">
        <f>IF($A89="","",UPPER(TRIM(INDEX(FORM!$D:$D,ROW()))))</f>
        <v>MAJALENGKA</v>
      </c>
      <c r="F89" s="87" t="str">
        <f>IF($A89="","",IFERROR(INDEX(PROGRES!$A$2:$A$92,MATCH(E89,PROGRES!$B$2:$B$92,0)),"-"))</f>
        <v>Jawa Barat</v>
      </c>
      <c r="G89" s="87" t="str">
        <f>IF($A89="","",UPPER(TRIM(INDEX(FORM!$F:$F,ROW()))))</f>
        <v>JABAR DKI BANTEN</v>
      </c>
      <c r="H89" s="87" t="str">
        <f>IF($A89="","",UPPER(TRIM(INDEX(FORM!$E:$E,ROW()))))</f>
        <v>CRO</v>
      </c>
      <c r="I89" s="87" t="str">
        <f>IF($A89="","",UPPER(TRIM(INDEX(FORM!$G:$G,ROW()))))</f>
        <v>CUKUP</v>
      </c>
      <c r="J89" s="87" t="str">
        <f>IF($A89="","",IF(ISNUMBER(SEARCH("Ya,",INDEX(FORM!$H:$H,ROW()))),"YA",IF(ISNUMBER(SEARCH("Cukup,",INDEX(FORM!$H:$H,ROW()))),"CUKUP",IF(ISNUMBER(SEARCH("Kurang,",INDEX(FORM!$H:$H,ROW()))),"KURANG",""))))</f>
        <v>YA</v>
      </c>
      <c r="K89" s="87" t="str">
        <f>IF($A89="","",UPPER(TRIM(INDEX(FORM!$J:$J,ROW()))))</f>
        <v>CUKUP</v>
      </c>
      <c r="L89" s="87">
        <f>IF($A89="","",IF(ISNUMBER(SEARCH("Aktivitas Harian",INDEX(FORM!$K:$K,ROW()))),1,0))</f>
        <v>1</v>
      </c>
      <c r="M89" s="87">
        <f>IF($A89="","",IF(ISNUMBER(SEARCH("Aktivitas Mingguan",INDEX(FORM!$K:$K,ROW()))),1,0))</f>
        <v>0</v>
      </c>
      <c r="N89" s="87">
        <f>IF($A89="","",IF(ISNUMBER(SEARCH("Aktivitas Bulanan",INDEX(FORM!$K:$K,ROW()))),1,0))</f>
        <v>0</v>
      </c>
      <c r="O89" s="87">
        <f>IF($A89="","",IF(ISNUMBER(SEARCH("Overview Cabang",INDEX(FORM!$K:$K,ROW()))),1,0))</f>
        <v>0</v>
      </c>
      <c r="P89" s="87">
        <f>IF($A89="","",IFERROR(VLOOKUP(I89,DATA!$AH$9:$AI$13,2,0),""))</f>
        <v>2</v>
      </c>
      <c r="Q89" s="87">
        <f>IF($A89="","",IFERROR(VLOOKUP(J89,DATA!$AH$9:$AI$13,2,0),""))</f>
        <v>3</v>
      </c>
      <c r="R89" s="87">
        <f>IF($A89="","",IFERROR(VLOOKUP(K89,DATA!$AH$9:$AI$13,2,0),""))</f>
        <v>2</v>
      </c>
      <c r="S89" s="89">
        <f t="shared" si="22"/>
        <v>2.3333333333333335</v>
      </c>
      <c r="T89" s="87">
        <f>IF($A89="","",IF(COUNTIF($D$2:D89,D89)=1,1,0))</f>
        <v>1</v>
      </c>
      <c r="U89" s="87" t="str">
        <f>IF($A89="","",IF(F89="-","Cabang tdk ada",IF(IFERROR(VLOOKUP(G89,#REF!,1,0),"")="","",IF(INDEX(DATA!$AH$2:$AH$5,MATCH(G89,DATA!$AI$2:$AI$5,0))&lt;&gt;F89,"Wilayah beda","OK"))))</f>
        <v/>
      </c>
      <c r="V89" s="87" t="str">
        <f>IF($A89="","",TRIM(INDEX(FORM!$I:$I,ROW())&amp;""))</f>
        <v>Tidak ada</v>
      </c>
      <c r="W89" s="87" t="str">
        <f>IF($A89="","",TRIM(INDEX(FORM!$L:$L,ROW())&amp;""))</f>
        <v>Tidak ada</v>
      </c>
      <c r="X89" s="87" t="str">
        <f>IF($A89="","",TRIM(INDEX(FORM!$M:$M,ROW())&amp;""))</f>
        <v>Cukup</v>
      </c>
      <c r="Y89" s="8">
        <f>IF($A89="","",IFERROR(MATCH(F89,DATA!$AH$2:$AH$5,0),9)*10000+A89)</f>
        <v>10088</v>
      </c>
      <c r="Z89" s="87" t="str">
        <f t="shared" si="23"/>
        <v>Tidak ada masukan / sudah baik</v>
      </c>
      <c r="AA89" s="87" t="str">
        <f t="shared" si="24"/>
        <v>Tidak ada masukan / sudah baik</v>
      </c>
      <c r="AB89" s="87" t="str">
        <f t="shared" si="25"/>
        <v>Tidak ada masukan / sudah baik</v>
      </c>
      <c r="AC89" s="87"/>
      <c r="AD89" s="87"/>
      <c r="AE89" s="87"/>
      <c r="AK89" s="90">
        <f t="shared" si="26"/>
        <v>0</v>
      </c>
      <c r="AL89" s="90">
        <f t="shared" si="27"/>
        <v>0</v>
      </c>
      <c r="AM89" s="90">
        <f t="shared" si="28"/>
        <v>0</v>
      </c>
      <c r="AN89" s="90">
        <f t="shared" si="29"/>
        <v>0</v>
      </c>
      <c r="AO89" s="90">
        <f t="shared" si="30"/>
        <v>0</v>
      </c>
      <c r="AP89" s="90">
        <f t="shared" si="31"/>
        <v>0</v>
      </c>
      <c r="AQ89" s="90">
        <f t="shared" si="32"/>
        <v>0</v>
      </c>
      <c r="AR89" s="90">
        <f t="shared" si="33"/>
        <v>0</v>
      </c>
      <c r="AS89" s="90">
        <f t="shared" si="34"/>
        <v>0</v>
      </c>
      <c r="AT89" s="90">
        <f t="shared" si="35"/>
        <v>0</v>
      </c>
      <c r="AU89" s="90">
        <f t="shared" si="36"/>
        <v>0</v>
      </c>
      <c r="AV89" s="90">
        <f t="shared" si="37"/>
        <v>0</v>
      </c>
      <c r="AW89" s="90">
        <f t="shared" si="38"/>
        <v>0</v>
      </c>
      <c r="AX89" s="90">
        <f t="shared" si="39"/>
        <v>0</v>
      </c>
      <c r="AY89" s="90">
        <f t="shared" si="40"/>
        <v>0</v>
      </c>
      <c r="AZ89" s="90">
        <f t="shared" si="41"/>
        <v>0</v>
      </c>
      <c r="BA89" s="90">
        <f t="shared" si="42"/>
        <v>0</v>
      </c>
      <c r="BB89" s="90">
        <f t="shared" si="43"/>
        <v>0</v>
      </c>
    </row>
    <row r="90" spans="1:54">
      <c r="A90" s="87">
        <f>IF(INDEX(FORM!$A:$A,ROW())="","",ROW()-1)</f>
        <v>89</v>
      </c>
      <c r="B90" s="88">
        <f>IF($A90="","",INDEX(FORM!$A:$A,ROW()))</f>
        <v>46309.740314212999</v>
      </c>
      <c r="C90" s="87" t="str">
        <f>IF($A90="","",TRIM(INDEX(FORM!$B:$B,ROW())))</f>
        <v>Teguh Aditya Arisusila</v>
      </c>
      <c r="D90" s="87" t="str">
        <f>IF($A90="","",TRIM(INDEX(FORM!$C:$C,ROW())&amp;""))</f>
        <v>1511227</v>
      </c>
      <c r="E90" s="87" t="str">
        <f>IF($A90="","",UPPER(TRIM(INDEX(FORM!$D:$D,ROW()))))</f>
        <v>SRAGEN</v>
      </c>
      <c r="F90" s="87" t="str">
        <f>IF($A90="","",IFERROR(INDEX(PROGRES!$A$2:$A$92,MATCH(E90,PROGRES!$B$2:$B$92,0)),"-"))</f>
        <v>Jawa Tengah</v>
      </c>
      <c r="G90" s="87" t="str">
        <f>IF($A90="","",UPPER(TRIM(INDEX(FORM!$F:$F,ROW()))))</f>
        <v>JATENG DIY</v>
      </c>
      <c r="H90" s="87" t="str">
        <f>IF($A90="","",UPPER(TRIM(INDEX(FORM!$E:$E,ROW()))))</f>
        <v>CRO</v>
      </c>
      <c r="I90" s="87" t="str">
        <f>IF($A90="","",UPPER(TRIM(INDEX(FORM!$G:$G,ROW()))))</f>
        <v>MUDAH</v>
      </c>
      <c r="J90" s="87" t="str">
        <f>IF($A90="","",IF(ISNUMBER(SEARCH("Ya,",INDEX(FORM!$H:$H,ROW()))),"YA",IF(ISNUMBER(SEARCH("Cukup,",INDEX(FORM!$H:$H,ROW()))),"CUKUP",IF(ISNUMBER(SEARCH("Kurang,",INDEX(FORM!$H:$H,ROW()))),"KURANG",""))))</f>
        <v>YA</v>
      </c>
      <c r="K90" s="87" t="str">
        <f>IF($A90="","",UPPER(TRIM(INDEX(FORM!$J:$J,ROW()))))</f>
        <v>MUDAH</v>
      </c>
      <c r="L90" s="87">
        <f>IF($A90="","",IF(ISNUMBER(SEARCH("Aktivitas Harian",INDEX(FORM!$K:$K,ROW()))),1,0))</f>
        <v>1</v>
      </c>
      <c r="M90" s="87">
        <f>IF($A90="","",IF(ISNUMBER(SEARCH("Aktivitas Mingguan",INDEX(FORM!$K:$K,ROW()))),1,0))</f>
        <v>0</v>
      </c>
      <c r="N90" s="87">
        <f>IF($A90="","",IF(ISNUMBER(SEARCH("Aktivitas Bulanan",INDEX(FORM!$K:$K,ROW()))),1,0))</f>
        <v>0</v>
      </c>
      <c r="O90" s="87">
        <f>IF($A90="","",IF(ISNUMBER(SEARCH("Overview Cabang",INDEX(FORM!$K:$K,ROW()))),1,0))</f>
        <v>0</v>
      </c>
      <c r="P90" s="87">
        <f>IF($A90="","",IFERROR(VLOOKUP(I90,DATA!$AH$9:$AI$13,2,0),""))</f>
        <v>3</v>
      </c>
      <c r="Q90" s="87">
        <f>IF($A90="","",IFERROR(VLOOKUP(J90,DATA!$AH$9:$AI$13,2,0),""))</f>
        <v>3</v>
      </c>
      <c r="R90" s="87">
        <f>IF($A90="","",IFERROR(VLOOKUP(K90,DATA!$AH$9:$AI$13,2,0),""))</f>
        <v>3</v>
      </c>
      <c r="S90" s="89">
        <f t="shared" si="22"/>
        <v>3</v>
      </c>
      <c r="T90" s="87">
        <f>IF($A90="","",IF(COUNTIF($D$2:D90,D90)=1,1,0))</f>
        <v>1</v>
      </c>
      <c r="U90" s="87" t="str">
        <f>IF($A90="","",IF(F90="-","Cabang tdk ada",IF(IFERROR(VLOOKUP(G90,#REF!,1,0),"")="","",IF(INDEX(DATA!$AH$2:$AH$5,MATCH(G90,DATA!$AI$2:$AI$5,0))&lt;&gt;F90,"Wilayah beda","OK"))))</f>
        <v/>
      </c>
      <c r="V90" s="87" t="str">
        <f>IF($A90="","",TRIM(INDEX(FORM!$I:$I,ROW())&amp;""))</f>
        <v>Sudah baik</v>
      </c>
      <c r="W90" s="87" t="str">
        <f>IF($A90="","",TRIM(INDEX(FORM!$L:$L,ROW())&amp;""))</f>
        <v>Tidak</v>
      </c>
      <c r="X90" s="87" t="str">
        <f>IF($A90="","",TRIM(INDEX(FORM!$M:$M,ROW())&amp;""))</f>
        <v>Sudah baik</v>
      </c>
      <c r="Y90" s="8">
        <f>IF($A90="","",IFERROR(MATCH(F90,DATA!$AH$2:$AH$5,0),9)*10000+A90)</f>
        <v>20089</v>
      </c>
      <c r="Z90" s="87" t="str">
        <f t="shared" si="23"/>
        <v>Tidak ada masukan / sudah baik</v>
      </c>
      <c r="AA90" s="87" t="str">
        <f t="shared" si="24"/>
        <v>Tidak ada masukan / sudah baik</v>
      </c>
      <c r="AB90" s="87" t="str">
        <f t="shared" si="25"/>
        <v>Tidak ada masukan / sudah baik</v>
      </c>
      <c r="AC90" s="87"/>
      <c r="AD90" s="87"/>
      <c r="AE90" s="87"/>
      <c r="AK90" s="90">
        <f t="shared" si="26"/>
        <v>0</v>
      </c>
      <c r="AL90" s="90">
        <f t="shared" si="27"/>
        <v>0</v>
      </c>
      <c r="AM90" s="90">
        <f t="shared" si="28"/>
        <v>0</v>
      </c>
      <c r="AN90" s="90">
        <f t="shared" si="29"/>
        <v>0</v>
      </c>
      <c r="AO90" s="90">
        <f t="shared" si="30"/>
        <v>0</v>
      </c>
      <c r="AP90" s="90">
        <f t="shared" si="31"/>
        <v>0</v>
      </c>
      <c r="AQ90" s="90">
        <f t="shared" si="32"/>
        <v>0</v>
      </c>
      <c r="AR90" s="90">
        <f t="shared" si="33"/>
        <v>0</v>
      </c>
      <c r="AS90" s="90">
        <f t="shared" si="34"/>
        <v>0</v>
      </c>
      <c r="AT90" s="90">
        <f t="shared" si="35"/>
        <v>0</v>
      </c>
      <c r="AU90" s="90">
        <f t="shared" si="36"/>
        <v>0</v>
      </c>
      <c r="AV90" s="90">
        <f t="shared" si="37"/>
        <v>0</v>
      </c>
      <c r="AW90" s="90">
        <f t="shared" si="38"/>
        <v>0</v>
      </c>
      <c r="AX90" s="90">
        <f t="shared" si="39"/>
        <v>0</v>
      </c>
      <c r="AY90" s="90">
        <f t="shared" si="40"/>
        <v>0</v>
      </c>
      <c r="AZ90" s="90">
        <f t="shared" si="41"/>
        <v>0</v>
      </c>
      <c r="BA90" s="90">
        <f t="shared" si="42"/>
        <v>0</v>
      </c>
      <c r="BB90" s="90">
        <f t="shared" si="43"/>
        <v>0</v>
      </c>
    </row>
    <row r="91" spans="1:54" s="5" customFormat="1" hidden="1">
      <c r="A91" s="8">
        <f>IF(INDEX(FORM!$A:$A,ROW())="","",ROW()-1)</f>
        <v>90</v>
      </c>
      <c r="B91" s="41">
        <f>IF($A91="","",INDEX(FORM!$A:$A,ROW()))</f>
        <v>46309.785693055601</v>
      </c>
      <c r="C91" s="8" t="str">
        <f>IF($A91="","",TRIM(INDEX(FORM!$B:$B,ROW())))</f>
        <v>Rachmad Fajar Ramadhan</v>
      </c>
      <c r="D91" s="8" t="str">
        <f>IF($A91="","",TRIM(INDEX(FORM!$C:$C,ROW())&amp;""))</f>
        <v>1510499</v>
      </c>
      <c r="E91" s="8" t="str">
        <f>IF($A91="","",UPPER(TRIM(INDEX(FORM!$D:$D,ROW()))))</f>
        <v>WONOGIRI</v>
      </c>
      <c r="F91" s="8" t="str">
        <f>IF($A91="","",IFERROR(INDEX(PROGRES!$A$2:$A$92,MATCH(E91,PROGRES!$B$2:$B$92,0)),"-"))</f>
        <v>Jawa Tengah</v>
      </c>
      <c r="G91" s="8" t="str">
        <f>IF($A91="","",UPPER(TRIM(INDEX(FORM!$F:$F,ROW()))))</f>
        <v>JATENG DIY</v>
      </c>
      <c r="H91" s="8" t="str">
        <f>IF($A91="","",UPPER(TRIM(INDEX(FORM!$E:$E,ROW()))))</f>
        <v>BM</v>
      </c>
      <c r="I91" s="8" t="str">
        <f>IF($A91="","",UPPER(TRIM(INDEX(FORM!$G:$G,ROW()))))</f>
        <v>MUDAH</v>
      </c>
      <c r="J91" s="8" t="str">
        <f>IF($A91="","",IF(ISNUMBER(SEARCH("Ya,",INDEX(FORM!$H:$H,ROW()))),"YA",IF(ISNUMBER(SEARCH("Cukup,",INDEX(FORM!$H:$H,ROW()))),"CUKUP",IF(ISNUMBER(SEARCH("Kurang,",INDEX(FORM!$H:$H,ROW()))),"KURANG",""))))</f>
        <v>YA</v>
      </c>
      <c r="K91" s="8" t="str">
        <f>IF($A91="","",UPPER(TRIM(INDEX(FORM!$J:$J,ROW()))))</f>
        <v>MUDAH</v>
      </c>
      <c r="L91" s="8">
        <f>IF($A91="","",IF(ISNUMBER(SEARCH("Aktivitas Harian",INDEX(FORM!$K:$K,ROW()))),1,0))</f>
        <v>1</v>
      </c>
      <c r="M91" s="8">
        <f>IF($A91="","",IF(ISNUMBER(SEARCH("Aktivitas Mingguan",INDEX(FORM!$K:$K,ROW()))),1,0))</f>
        <v>0</v>
      </c>
      <c r="N91" s="8">
        <f>IF($A91="","",IF(ISNUMBER(SEARCH("Aktivitas Bulanan",INDEX(FORM!$K:$K,ROW()))),1,0))</f>
        <v>0</v>
      </c>
      <c r="O91" s="8">
        <f>IF($A91="","",IF(ISNUMBER(SEARCH("Overview Cabang",INDEX(FORM!$K:$K,ROW()))),1,0))</f>
        <v>0</v>
      </c>
      <c r="P91" s="8">
        <f>IF($A91="","",IFERROR(VLOOKUP(I91,DATA!$AH$9:$AI$13,2,0),""))</f>
        <v>3</v>
      </c>
      <c r="Q91" s="8">
        <f>IF($A91="","",IFERROR(VLOOKUP(J91,DATA!$AH$9:$AI$13,2,0),""))</f>
        <v>3</v>
      </c>
      <c r="R91" s="8">
        <f>IF($A91="","",IFERROR(VLOOKUP(K91,DATA!$AH$9:$AI$13,2,0),""))</f>
        <v>3</v>
      </c>
      <c r="S91" s="42">
        <f t="shared" si="22"/>
        <v>3</v>
      </c>
      <c r="T91" s="8">
        <f>IF($A91="","",IF(COUNTIF($D$2:D91,D91)=1,1,0))</f>
        <v>1</v>
      </c>
      <c r="U91" s="8" t="str">
        <f>IF($A91="","",IF(F91="-","Cabang tdk ada",IF(IFERROR(VLOOKUP(G91,#REF!,1,0),"")="","",IF(INDEX(DATA!$AH$2:$AH$5,MATCH(G91,DATA!$AI$2:$AI$5,0))&lt;&gt;F91,"Wilayah beda","OK"))))</f>
        <v/>
      </c>
      <c r="V91" s="8" t="str">
        <f>IF($A91="","",TRIM(INDEX(FORM!$I:$I,ROW())&amp;""))</f>
        <v>Sudah Cukup Bagus</v>
      </c>
      <c r="W91" s="8" t="str">
        <f>IF($A91="","",TRIM(INDEX(FORM!$L:$L,ROW())&amp;""))</f>
        <v>Tidak</v>
      </c>
      <c r="X91" s="8" t="str">
        <f>IF($A91="","",TRIM(INDEX(FORM!$M:$M,ROW())&amp;""))</f>
        <v>Sudah Cukup Bagus</v>
      </c>
      <c r="Y91" s="8">
        <f>IF($A91="","",IFERROR(MATCH(F91,DATA!$AH$2:$AH$5,0),9)*10000+A91)</f>
        <v>20090</v>
      </c>
      <c r="Z91" s="8" t="str">
        <f t="shared" si="23"/>
        <v>Tidak ada masukan / sudah baik</v>
      </c>
      <c r="AA91" s="8" t="str">
        <f t="shared" si="24"/>
        <v>Tidak ada masukan / sudah baik</v>
      </c>
      <c r="AB91" s="8" t="str">
        <f t="shared" si="25"/>
        <v>Tidak ada masukan / sudah baik</v>
      </c>
      <c r="AC91" s="8"/>
      <c r="AD91" s="8"/>
      <c r="AE91" s="8"/>
      <c r="AK91" s="5">
        <f t="shared" si="26"/>
        <v>0</v>
      </c>
      <c r="AL91" s="5">
        <f t="shared" si="27"/>
        <v>0</v>
      </c>
      <c r="AM91" s="5">
        <f t="shared" si="28"/>
        <v>0</v>
      </c>
      <c r="AN91" s="5">
        <f t="shared" si="29"/>
        <v>0</v>
      </c>
      <c r="AO91" s="5">
        <f t="shared" si="30"/>
        <v>0</v>
      </c>
      <c r="AP91" s="5">
        <f t="shared" si="31"/>
        <v>0</v>
      </c>
      <c r="AQ91" s="5">
        <f t="shared" si="32"/>
        <v>0</v>
      </c>
      <c r="AR91" s="5">
        <f t="shared" si="33"/>
        <v>0</v>
      </c>
      <c r="AS91" s="5">
        <f t="shared" si="34"/>
        <v>0</v>
      </c>
      <c r="AT91" s="5">
        <f t="shared" si="35"/>
        <v>0</v>
      </c>
      <c r="AU91" s="5">
        <f t="shared" si="36"/>
        <v>0</v>
      </c>
      <c r="AV91" s="5">
        <f t="shared" si="37"/>
        <v>0</v>
      </c>
      <c r="AW91" s="5">
        <f t="shared" si="38"/>
        <v>0</v>
      </c>
      <c r="AX91" s="5">
        <f t="shared" si="39"/>
        <v>0</v>
      </c>
      <c r="AY91" s="5">
        <f t="shared" si="40"/>
        <v>0</v>
      </c>
      <c r="AZ91" s="5">
        <f t="shared" si="41"/>
        <v>0</v>
      </c>
      <c r="BA91" s="5">
        <f t="shared" si="42"/>
        <v>0</v>
      </c>
      <c r="BB91" s="5">
        <f t="shared" si="43"/>
        <v>0</v>
      </c>
    </row>
    <row r="92" spans="1:54" s="5" customFormat="1" hidden="1">
      <c r="A92" s="8">
        <f>IF(INDEX(FORM!$A:$A,ROW())="","",ROW()-1)</f>
        <v>91</v>
      </c>
      <c r="B92" s="41">
        <f>IF($A92="","",INDEX(FORM!$A:$A,ROW()))</f>
        <v>46309.790811493098</v>
      </c>
      <c r="C92" s="8" t="str">
        <f>IF($A92="","",TRIM(INDEX(FORM!$B:$B,ROW())))</f>
        <v>ADITYA MAHENDRA</v>
      </c>
      <c r="D92" s="8" t="str">
        <f>IF($A92="","",TRIM(INDEX(FORM!$C:$C,ROW())&amp;""))</f>
        <v>02303</v>
      </c>
      <c r="E92" s="8" t="str">
        <f>IF($A92="","",UPPER(TRIM(INDEX(FORM!$D:$D,ROW()))))</f>
        <v>WONOGIRI</v>
      </c>
      <c r="F92" s="8" t="str">
        <f>IF($A92="","",IFERROR(INDEX(PROGRES!$A$2:$A$92,MATCH(E92,PROGRES!$B$2:$B$92,0)),"-"))</f>
        <v>Jawa Tengah</v>
      </c>
      <c r="G92" s="8" t="str">
        <f>IF($A92="","",UPPER(TRIM(INDEX(FORM!$F:$F,ROW()))))</f>
        <v>JATENG DIY</v>
      </c>
      <c r="H92" s="8" t="str">
        <f>IF($A92="","",UPPER(TRIM(INDEX(FORM!$E:$E,ROW()))))</f>
        <v>BAO</v>
      </c>
      <c r="I92" s="8" t="str">
        <f>IF($A92="","",UPPER(TRIM(INDEX(FORM!$G:$G,ROW()))))</f>
        <v>MUDAH</v>
      </c>
      <c r="J92" s="8" t="str">
        <f>IF($A92="","",IF(ISNUMBER(SEARCH("Ya,",INDEX(FORM!$H:$H,ROW()))),"YA",IF(ISNUMBER(SEARCH("Cukup,",INDEX(FORM!$H:$H,ROW()))),"CUKUP",IF(ISNUMBER(SEARCH("Kurang,",INDEX(FORM!$H:$H,ROW()))),"KURANG",""))))</f>
        <v>YA</v>
      </c>
      <c r="K92" s="8" t="str">
        <f>IF($A92="","",UPPER(TRIM(INDEX(FORM!$J:$J,ROW()))))</f>
        <v>MUDAH</v>
      </c>
      <c r="L92" s="8">
        <f>IF($A92="","",IF(ISNUMBER(SEARCH("Aktivitas Harian",INDEX(FORM!$K:$K,ROW()))),1,0))</f>
        <v>1</v>
      </c>
      <c r="M92" s="8">
        <f>IF($A92="","",IF(ISNUMBER(SEARCH("Aktivitas Mingguan",INDEX(FORM!$K:$K,ROW()))),1,0))</f>
        <v>1</v>
      </c>
      <c r="N92" s="8">
        <f>IF($A92="","",IF(ISNUMBER(SEARCH("Aktivitas Bulanan",INDEX(FORM!$K:$K,ROW()))),1,0))</f>
        <v>1</v>
      </c>
      <c r="O92" s="8">
        <f>IF($A92="","",IF(ISNUMBER(SEARCH("Overview Cabang",INDEX(FORM!$K:$K,ROW()))),1,0))</f>
        <v>0</v>
      </c>
      <c r="P92" s="8">
        <f>IF($A92="","",IFERROR(VLOOKUP(I92,DATA!$AH$9:$AI$13,2,0),""))</f>
        <v>3</v>
      </c>
      <c r="Q92" s="8">
        <f>IF($A92="","",IFERROR(VLOOKUP(J92,DATA!$AH$9:$AI$13,2,0),""))</f>
        <v>3</v>
      </c>
      <c r="R92" s="8">
        <f>IF($A92="","",IFERROR(VLOOKUP(K92,DATA!$AH$9:$AI$13,2,0),""))</f>
        <v>3</v>
      </c>
      <c r="S92" s="42">
        <f t="shared" si="22"/>
        <v>3</v>
      </c>
      <c r="T92" s="8">
        <f>IF($A92="","",IF(COUNTIF($D$2:D92,D92)=1,1,0))</f>
        <v>1</v>
      </c>
      <c r="U92" s="8" t="str">
        <f>IF($A92="","",IF(F92="-","Cabang tdk ada",IF(IFERROR(VLOOKUP(G92,#REF!,1,0),"")="","",IF(INDEX(DATA!$AH$2:$AH$5,MATCH(G92,DATA!$AI$2:$AI$5,0))&lt;&gt;F92,"Wilayah beda","OK"))))</f>
        <v/>
      </c>
      <c r="V92" s="8" t="str">
        <f>IF($A92="","",TRIM(INDEX(FORM!$I:$I,ROW())&amp;""))</f>
        <v>design dan kerapian fontnya lebih diperbagus</v>
      </c>
      <c r="W92" s="8" t="str">
        <f>IF($A92="","",TRIM(INDEX(FORM!$L:$L,ROW())&amp;""))</f>
        <v>tidak ada</v>
      </c>
      <c r="X92" s="8" t="str">
        <f>IF($A92="","",TRIM(INDEX(FORM!$M:$M,ROW())&amp;""))</f>
        <v>kedepannya handbook ini juga bisa mengakses untuk KPI dari BM, BAO &amp; CRO</v>
      </c>
      <c r="Y92" s="8">
        <f>IF($A92="","",IFERROR(MATCH(F92,DATA!$AH$2:$AH$5,0),9)*10000+A92)</f>
        <v>20091</v>
      </c>
      <c r="Z92" s="8" t="str">
        <f t="shared" si="23"/>
        <v>Desain, Warna &amp; Font</v>
      </c>
      <c r="AA92" s="8" t="str">
        <f t="shared" si="24"/>
        <v>Tidak ada masukan / sudah baik</v>
      </c>
      <c r="AB92" s="8" t="str">
        <f t="shared" si="25"/>
        <v>Fitur Baru (Dashboard / KPI / Database)</v>
      </c>
      <c r="AC92" s="8"/>
      <c r="AD92" s="8"/>
      <c r="AE92" s="8"/>
      <c r="AK92" s="5">
        <f t="shared" si="26"/>
        <v>0</v>
      </c>
      <c r="AL92" s="5">
        <f t="shared" si="27"/>
        <v>0</v>
      </c>
      <c r="AM92" s="5">
        <f t="shared" si="28"/>
        <v>1</v>
      </c>
      <c r="AN92" s="5">
        <f t="shared" si="29"/>
        <v>0</v>
      </c>
      <c r="AO92" s="5">
        <f t="shared" si="30"/>
        <v>0</v>
      </c>
      <c r="AP92" s="5">
        <f t="shared" si="31"/>
        <v>1</v>
      </c>
      <c r="AQ92" s="5">
        <f t="shared" si="32"/>
        <v>0</v>
      </c>
      <c r="AR92" s="5">
        <f t="shared" si="33"/>
        <v>0</v>
      </c>
      <c r="AS92" s="5">
        <f t="shared" si="34"/>
        <v>0</v>
      </c>
      <c r="AT92" s="5">
        <f t="shared" si="35"/>
        <v>0</v>
      </c>
      <c r="AU92" s="5">
        <f t="shared" si="36"/>
        <v>0</v>
      </c>
      <c r="AV92" s="5">
        <f t="shared" si="37"/>
        <v>0</v>
      </c>
      <c r="AW92" s="5">
        <f t="shared" si="38"/>
        <v>0</v>
      </c>
      <c r="AX92" s="5">
        <f t="shared" si="39"/>
        <v>0</v>
      </c>
      <c r="AY92" s="5">
        <f t="shared" si="40"/>
        <v>0</v>
      </c>
      <c r="AZ92" s="5">
        <f t="shared" si="41"/>
        <v>0</v>
      </c>
      <c r="BA92" s="5">
        <f t="shared" si="42"/>
        <v>0</v>
      </c>
      <c r="BB92" s="5">
        <f t="shared" si="43"/>
        <v>1</v>
      </c>
    </row>
    <row r="93" spans="1:54">
      <c r="A93" s="87">
        <f>IF(INDEX(FORM!$A:$A,ROW())="","",ROW()-1)</f>
        <v>92</v>
      </c>
      <c r="B93" s="88">
        <f>IF($A93="","",INDEX(FORM!$A:$A,ROW()))</f>
        <v>46310.365165219897</v>
      </c>
      <c r="C93" s="87" t="str">
        <f>IF($A93="","",TRIM(INDEX(FORM!$B:$B,ROW())))</f>
        <v>Zakaria</v>
      </c>
      <c r="D93" s="87" t="str">
        <f>IF($A93="","",TRIM(INDEX(FORM!$C:$C,ROW())&amp;""))</f>
        <v>1511114</v>
      </c>
      <c r="E93" s="87" t="str">
        <f>IF($A93="","",UPPER(TRIM(INDEX(FORM!$D:$D,ROW()))))</f>
        <v>TANGERANG</v>
      </c>
      <c r="F93" s="87" t="str">
        <f>IF($A93="","",IFERROR(INDEX(PROGRES!$A$2:$A$92,MATCH(E93,PROGRES!$B$2:$B$92,0)),"-"))</f>
        <v>Jawa Barat</v>
      </c>
      <c r="G93" s="87" t="str">
        <f>IF($A93="","",UPPER(TRIM(INDEX(FORM!$F:$F,ROW()))))</f>
        <v>JABAR DKI BANTEN</v>
      </c>
      <c r="H93" s="87" t="str">
        <f>IF($A93="","",UPPER(TRIM(INDEX(FORM!$E:$E,ROW()))))</f>
        <v>CRO</v>
      </c>
      <c r="I93" s="87" t="str">
        <f>IF($A93="","",UPPER(TRIM(INDEX(FORM!$G:$G,ROW()))))</f>
        <v>MUDAH</v>
      </c>
      <c r="J93" s="87" t="str">
        <f>IF($A93="","",IF(ISNUMBER(SEARCH("Ya,",INDEX(FORM!$H:$H,ROW()))),"YA",IF(ISNUMBER(SEARCH("Cukup,",INDEX(FORM!$H:$H,ROW()))),"CUKUP",IF(ISNUMBER(SEARCH("Kurang,",INDEX(FORM!$H:$H,ROW()))),"KURANG",""))))</f>
        <v>YA</v>
      </c>
      <c r="K93" s="87" t="str">
        <f>IF($A93="","",UPPER(TRIM(INDEX(FORM!$J:$J,ROW()))))</f>
        <v>CUKUP</v>
      </c>
      <c r="L93" s="87">
        <f>IF($A93="","",IF(ISNUMBER(SEARCH("Aktivitas Harian",INDEX(FORM!$K:$K,ROW()))),1,0))</f>
        <v>1</v>
      </c>
      <c r="M93" s="87">
        <f>IF($A93="","",IF(ISNUMBER(SEARCH("Aktivitas Mingguan",INDEX(FORM!$K:$K,ROW()))),1,0))</f>
        <v>0</v>
      </c>
      <c r="N93" s="87">
        <f>IF($A93="","",IF(ISNUMBER(SEARCH("Aktivitas Bulanan",INDEX(FORM!$K:$K,ROW()))),1,0))</f>
        <v>0</v>
      </c>
      <c r="O93" s="87">
        <f>IF($A93="","",IF(ISNUMBER(SEARCH("Overview Cabang",INDEX(FORM!$K:$K,ROW()))),1,0))</f>
        <v>0</v>
      </c>
      <c r="P93" s="87">
        <f>IF($A93="","",IFERROR(VLOOKUP(I93,DATA!$AH$9:$AI$13,2,0),""))</f>
        <v>3</v>
      </c>
      <c r="Q93" s="87">
        <f>IF($A93="","",IFERROR(VLOOKUP(J93,DATA!$AH$9:$AI$13,2,0),""))</f>
        <v>3</v>
      </c>
      <c r="R93" s="87">
        <f>IF($A93="","",IFERROR(VLOOKUP(K93,DATA!$AH$9:$AI$13,2,0),""))</f>
        <v>2</v>
      </c>
      <c r="S93" s="89">
        <f t="shared" si="22"/>
        <v>2.6666666666666665</v>
      </c>
      <c r="T93" s="87">
        <f>IF($A93="","",IF(COUNTIF($D$2:D93,D93)=1,1,0))</f>
        <v>1</v>
      </c>
      <c r="U93" s="87" t="str">
        <f>IF($A93="","",IF(F93="-","Cabang tdk ada",IF(IFERROR(VLOOKUP(G93,#REF!,1,0),"")="","",IF(INDEX(DATA!$AH$2:$AH$5,MATCH(G93,DATA!$AI$2:$AI$5,0))&lt;&gt;F93,"Wilayah beda","OK"))))</f>
        <v/>
      </c>
      <c r="V93" s="87" t="str">
        <f>IF($A93="","",TRIM(INDEX(FORM!$I:$I,ROW())&amp;""))</f>
        <v>Baik</v>
      </c>
      <c r="W93" s="87" t="str">
        <f>IF($A93="","",TRIM(INDEX(FORM!$L:$L,ROW())&amp;""))</f>
        <v>Tidak</v>
      </c>
      <c r="X93" s="87" t="str">
        <f>IF($A93="","",TRIM(INDEX(FORM!$M:$M,ROW())&amp;""))</f>
        <v>Lanjutkan ,bagus</v>
      </c>
      <c r="Y93" s="8">
        <f>IF($A93="","",IFERROR(MATCH(F93,DATA!$AH$2:$AH$5,0),9)*10000+A93)</f>
        <v>10092</v>
      </c>
      <c r="Z93" s="87" t="str">
        <f t="shared" si="23"/>
        <v>Tidak ada masukan / sudah baik</v>
      </c>
      <c r="AA93" s="87" t="str">
        <f t="shared" si="24"/>
        <v>Tidak ada masukan / sudah baik</v>
      </c>
      <c r="AB93" s="87" t="str">
        <f t="shared" si="25"/>
        <v>Tidak ada masukan / sudah baik</v>
      </c>
      <c r="AC93" s="87"/>
      <c r="AD93" s="87"/>
      <c r="AE93" s="87"/>
      <c r="AK93" s="90">
        <f t="shared" si="26"/>
        <v>0</v>
      </c>
      <c r="AL93" s="90">
        <f t="shared" si="27"/>
        <v>0</v>
      </c>
      <c r="AM93" s="90">
        <f t="shared" si="28"/>
        <v>0</v>
      </c>
      <c r="AN93" s="90">
        <f t="shared" si="29"/>
        <v>0</v>
      </c>
      <c r="AO93" s="90">
        <f t="shared" si="30"/>
        <v>0</v>
      </c>
      <c r="AP93" s="90">
        <f t="shared" si="31"/>
        <v>0</v>
      </c>
      <c r="AQ93" s="90">
        <f t="shared" si="32"/>
        <v>0</v>
      </c>
      <c r="AR93" s="90">
        <f t="shared" si="33"/>
        <v>0</v>
      </c>
      <c r="AS93" s="90">
        <f t="shared" si="34"/>
        <v>0</v>
      </c>
      <c r="AT93" s="90">
        <f t="shared" si="35"/>
        <v>0</v>
      </c>
      <c r="AU93" s="90">
        <f t="shared" si="36"/>
        <v>0</v>
      </c>
      <c r="AV93" s="90">
        <f t="shared" si="37"/>
        <v>0</v>
      </c>
      <c r="AW93" s="90">
        <f t="shared" si="38"/>
        <v>0</v>
      </c>
      <c r="AX93" s="90">
        <f t="shared" si="39"/>
        <v>0</v>
      </c>
      <c r="AY93" s="90">
        <f t="shared" si="40"/>
        <v>0</v>
      </c>
      <c r="AZ93" s="90">
        <f t="shared" si="41"/>
        <v>0</v>
      </c>
      <c r="BA93" s="90">
        <f t="shared" si="42"/>
        <v>0</v>
      </c>
      <c r="BB93" s="90">
        <f t="shared" si="43"/>
        <v>0</v>
      </c>
    </row>
    <row r="94" spans="1:54" s="5" customFormat="1" hidden="1">
      <c r="A94" s="8">
        <f>IF(INDEX(FORM!$A:$A,ROW())="","",ROW()-1)</f>
        <v>93</v>
      </c>
      <c r="B94" s="41">
        <f>IF($A94="","",INDEX(FORM!$A:$A,ROW()))</f>
        <v>46310.386204733797</v>
      </c>
      <c r="C94" s="8" t="str">
        <f>IF($A94="","",TRIM(INDEX(FORM!$B:$B,ROW())))</f>
        <v>Muhammad Zainul</v>
      </c>
      <c r="D94" s="8" t="str">
        <f>IF($A94="","",TRIM(INDEX(FORM!$C:$C,ROW())&amp;""))</f>
        <v>80478</v>
      </c>
      <c r="E94" s="8" t="str">
        <f>IF($A94="","",UPPER(TRIM(INDEX(FORM!$D:$D,ROW()))))</f>
        <v>UNGARAN</v>
      </c>
      <c r="F94" s="8" t="str">
        <f>IF($A94="","",IFERROR(INDEX(PROGRES!$A$2:$A$92,MATCH(E94,PROGRES!$B$2:$B$92,0)),"-"))</f>
        <v>Jawa Tengah</v>
      </c>
      <c r="G94" s="8" t="str">
        <f>IF($A94="","",UPPER(TRIM(INDEX(FORM!$F:$F,ROW()))))</f>
        <v>JATENG DIY</v>
      </c>
      <c r="H94" s="8" t="str">
        <f>IF($A94="","",UPPER(TRIM(INDEX(FORM!$E:$E,ROW()))))</f>
        <v>BM</v>
      </c>
      <c r="I94" s="8" t="str">
        <f>IF($A94="","",UPPER(TRIM(INDEX(FORM!$G:$G,ROW()))))</f>
        <v>MUDAH</v>
      </c>
      <c r="J94" s="8" t="str">
        <f>IF($A94="","",IF(ISNUMBER(SEARCH("Ya,",INDEX(FORM!$H:$H,ROW()))),"YA",IF(ISNUMBER(SEARCH("Cukup,",INDEX(FORM!$H:$H,ROW()))),"CUKUP",IF(ISNUMBER(SEARCH("Kurang,",INDEX(FORM!$H:$H,ROW()))),"KURANG",""))))</f>
        <v>YA</v>
      </c>
      <c r="K94" s="8" t="str">
        <f>IF($A94="","",UPPER(TRIM(INDEX(FORM!$J:$J,ROW()))))</f>
        <v>CUKUP</v>
      </c>
      <c r="L94" s="8">
        <f>IF($A94="","",IF(ISNUMBER(SEARCH("Aktivitas Harian",INDEX(FORM!$K:$K,ROW()))),1,0))</f>
        <v>0</v>
      </c>
      <c r="M94" s="8">
        <f>IF($A94="","",IF(ISNUMBER(SEARCH("Aktivitas Mingguan",INDEX(FORM!$K:$K,ROW()))),1,0))</f>
        <v>0</v>
      </c>
      <c r="N94" s="8">
        <f>IF($A94="","",IF(ISNUMBER(SEARCH("Aktivitas Bulanan",INDEX(FORM!$K:$K,ROW()))),1,0))</f>
        <v>0</v>
      </c>
      <c r="O94" s="8">
        <f>IF($A94="","",IF(ISNUMBER(SEARCH("Overview Cabang",INDEX(FORM!$K:$K,ROW()))),1,0))</f>
        <v>1</v>
      </c>
      <c r="P94" s="8">
        <f>IF($A94="","",IFERROR(VLOOKUP(I94,DATA!$AH$9:$AI$13,2,0),""))</f>
        <v>3</v>
      </c>
      <c r="Q94" s="8">
        <f>IF($A94="","",IFERROR(VLOOKUP(J94,DATA!$AH$9:$AI$13,2,0),""))</f>
        <v>3</v>
      </c>
      <c r="R94" s="8">
        <f>IF($A94="","",IFERROR(VLOOKUP(K94,DATA!$AH$9:$AI$13,2,0),""))</f>
        <v>2</v>
      </c>
      <c r="S94" s="42">
        <f t="shared" si="22"/>
        <v>2.6666666666666665</v>
      </c>
      <c r="T94" s="8">
        <f>IF($A94="","",IF(COUNTIF($D$2:D94,D94)=1,1,0))</f>
        <v>1</v>
      </c>
      <c r="U94" s="8" t="str">
        <f>IF($A94="","",IF(F94="-","Cabang tdk ada",IF(IFERROR(VLOOKUP(G94,#REF!,1,0),"")="","",IF(INDEX(DATA!$AH$2:$AH$5,MATCH(G94,DATA!$AI$2:$AI$5,0))&lt;&gt;F94,"Wilayah beda","OK"))))</f>
        <v/>
      </c>
      <c r="V94" s="8" t="str">
        <f>IF($A94="","",TRIM(INDEX(FORM!$I:$I,ROW())&amp;""))</f>
        <v>sudah cukup bagus, tinggal design atau tampilan dibuat lebih soft / tidak kaku</v>
      </c>
      <c r="W94" s="8" t="str">
        <f>IF($A94="","",TRIM(INDEX(FORM!$L:$L,ROW())&amp;""))</f>
        <v>cukup</v>
      </c>
      <c r="X94" s="8" t="str">
        <f>IF($A94="","",TRIM(INDEX(FORM!$M:$M,ROW())&amp;""))</f>
        <v>design / tampilan dibuat agar tidak kaku</v>
      </c>
      <c r="Y94" s="8">
        <f>IF($A94="","",IFERROR(MATCH(F94,DATA!$AH$2:$AH$5,0),9)*10000+A94)</f>
        <v>20093</v>
      </c>
      <c r="Z94" s="8" t="str">
        <f t="shared" si="23"/>
        <v>Desain, Warna &amp; Font</v>
      </c>
      <c r="AA94" s="8" t="str">
        <f t="shared" si="24"/>
        <v>Tidak ada masukan / sudah baik</v>
      </c>
      <c r="AB94" s="8" t="str">
        <f t="shared" si="25"/>
        <v>Desain Tampilan</v>
      </c>
      <c r="AC94" s="8"/>
      <c r="AD94" s="8"/>
      <c r="AE94" s="8"/>
      <c r="AK94" s="5">
        <f t="shared" si="26"/>
        <v>0</v>
      </c>
      <c r="AL94" s="5">
        <f t="shared" si="27"/>
        <v>0</v>
      </c>
      <c r="AM94" s="5">
        <f t="shared" si="28"/>
        <v>1</v>
      </c>
      <c r="AN94" s="5">
        <f t="shared" si="29"/>
        <v>0</v>
      </c>
      <c r="AO94" s="5">
        <f t="shared" si="30"/>
        <v>0</v>
      </c>
      <c r="AP94" s="5">
        <f t="shared" si="31"/>
        <v>0</v>
      </c>
      <c r="AQ94" s="5">
        <f t="shared" si="32"/>
        <v>0</v>
      </c>
      <c r="AR94" s="5">
        <f t="shared" si="33"/>
        <v>0</v>
      </c>
      <c r="AS94" s="5">
        <f t="shared" si="34"/>
        <v>0</v>
      </c>
      <c r="AT94" s="5">
        <f t="shared" si="35"/>
        <v>0</v>
      </c>
      <c r="AU94" s="5">
        <f t="shared" si="36"/>
        <v>0</v>
      </c>
      <c r="AV94" s="5">
        <f t="shared" si="37"/>
        <v>0</v>
      </c>
      <c r="AW94" s="5">
        <f t="shared" si="38"/>
        <v>0</v>
      </c>
      <c r="AX94" s="5">
        <f t="shared" si="39"/>
        <v>0</v>
      </c>
      <c r="AY94" s="5">
        <f t="shared" si="40"/>
        <v>0</v>
      </c>
      <c r="AZ94" s="5">
        <f t="shared" si="41"/>
        <v>0</v>
      </c>
      <c r="BA94" s="5">
        <f t="shared" si="42"/>
        <v>0</v>
      </c>
      <c r="BB94" s="5">
        <f t="shared" si="43"/>
        <v>1</v>
      </c>
    </row>
    <row r="95" spans="1:54">
      <c r="A95" s="87">
        <f>IF(INDEX(FORM!$A:$A,ROW())="","",ROW()-1)</f>
        <v>94</v>
      </c>
      <c r="B95" s="88">
        <f>IF($A95="","",INDEX(FORM!$A:$A,ROW()))</f>
        <v>46310.387722013897</v>
      </c>
      <c r="C95" s="87" t="str">
        <f>IF($A95="","",TRIM(INDEX(FORM!$B:$B,ROW())))</f>
        <v>Setya adde christiyanto</v>
      </c>
      <c r="D95" s="87" t="str">
        <f>IF($A95="","",TRIM(INDEX(FORM!$C:$C,ROW())&amp;""))</f>
        <v>2511257</v>
      </c>
      <c r="E95" s="87" t="str">
        <f>IF($A95="","",UPPER(TRIM(INDEX(FORM!$D:$D,ROW()))))</f>
        <v>UNGARAN</v>
      </c>
      <c r="F95" s="87" t="str">
        <f>IF($A95="","",IFERROR(INDEX(PROGRES!$A$2:$A$92,MATCH(E95,PROGRES!$B$2:$B$92,0)),"-"))</f>
        <v>Jawa Tengah</v>
      </c>
      <c r="G95" s="87" t="str">
        <f>IF($A95="","",UPPER(TRIM(INDEX(FORM!$F:$F,ROW()))))</f>
        <v>JATENG DIY</v>
      </c>
      <c r="H95" s="87" t="str">
        <f>IF($A95="","",UPPER(TRIM(INDEX(FORM!$E:$E,ROW()))))</f>
        <v>CRO</v>
      </c>
      <c r="I95" s="87" t="str">
        <f>IF($A95="","",UPPER(TRIM(INDEX(FORM!$G:$G,ROW()))))</f>
        <v>CUKUP</v>
      </c>
      <c r="J95" s="87" t="str">
        <f>IF($A95="","",IF(ISNUMBER(SEARCH("Ya,",INDEX(FORM!$H:$H,ROW()))),"YA",IF(ISNUMBER(SEARCH("Cukup,",INDEX(FORM!$H:$H,ROW()))),"CUKUP",IF(ISNUMBER(SEARCH("Kurang,",INDEX(FORM!$H:$H,ROW()))),"KURANG",""))))</f>
        <v>CUKUP</v>
      </c>
      <c r="K95" s="87" t="str">
        <f>IF($A95="","",UPPER(TRIM(INDEX(FORM!$J:$J,ROW()))))</f>
        <v>CUKUP</v>
      </c>
      <c r="L95" s="87">
        <f>IF($A95="","",IF(ISNUMBER(SEARCH("Aktivitas Harian",INDEX(FORM!$K:$K,ROW()))),1,0))</f>
        <v>1</v>
      </c>
      <c r="M95" s="87">
        <f>IF($A95="","",IF(ISNUMBER(SEARCH("Aktivitas Mingguan",INDEX(FORM!$K:$K,ROW()))),1,0))</f>
        <v>1</v>
      </c>
      <c r="N95" s="87">
        <f>IF($A95="","",IF(ISNUMBER(SEARCH("Aktivitas Bulanan",INDEX(FORM!$K:$K,ROW()))),1,0))</f>
        <v>1</v>
      </c>
      <c r="O95" s="87">
        <f>IF($A95="","",IF(ISNUMBER(SEARCH("Overview Cabang",INDEX(FORM!$K:$K,ROW()))),1,0))</f>
        <v>0</v>
      </c>
      <c r="P95" s="87">
        <f>IF($A95="","",IFERROR(VLOOKUP(I95,DATA!$AH$9:$AI$13,2,0),""))</f>
        <v>2</v>
      </c>
      <c r="Q95" s="87">
        <f>IF($A95="","",IFERROR(VLOOKUP(J95,DATA!$AH$9:$AI$13,2,0),""))</f>
        <v>2</v>
      </c>
      <c r="R95" s="87">
        <f>IF($A95="","",IFERROR(VLOOKUP(K95,DATA!$AH$9:$AI$13,2,0),""))</f>
        <v>2</v>
      </c>
      <c r="S95" s="89">
        <f t="shared" si="22"/>
        <v>2</v>
      </c>
      <c r="T95" s="87">
        <f>IF($A95="","",IF(COUNTIF($D$2:D95,D95)=1,1,0))</f>
        <v>1</v>
      </c>
      <c r="U95" s="87" t="str">
        <f>IF($A95="","",IF(F95="-","Cabang tdk ada",IF(IFERROR(VLOOKUP(G95,#REF!,1,0),"")="","",IF(INDEX(DATA!$AH$2:$AH$5,MATCH(G95,DATA!$AI$2:$AI$5,0))&lt;&gt;F95,"Wilayah beda","OK"))))</f>
        <v/>
      </c>
      <c r="V95" s="87" t="str">
        <f>IF($A95="","",TRIM(INDEX(FORM!$I:$I,ROW())&amp;""))</f>
        <v>Kurang ringkas tata letaknya dan harus mencari</v>
      </c>
      <c r="W95" s="87" t="str">
        <f>IF($A95="","",TRIM(INDEX(FORM!$L:$L,ROW())&amp;""))</f>
        <v>Tidak ada</v>
      </c>
      <c r="X95" s="87" t="str">
        <f>IF($A95="","",TRIM(INDEX(FORM!$M:$M,ROW())&amp;""))</f>
        <v>Dibuat lebih user friendly lagi dan kemungkinan bisa simpan data database pelanggan</v>
      </c>
      <c r="Y95" s="8">
        <f>IF($A95="","",IFERROR(MATCH(F95,DATA!$AH$2:$AH$5,0),9)*10000+A95)</f>
        <v>20094</v>
      </c>
      <c r="Z95" s="87" t="str">
        <f t="shared" si="23"/>
        <v>Penyederhanaan &amp; Ringkas Isi</v>
      </c>
      <c r="AA95" s="87" t="str">
        <f t="shared" si="24"/>
        <v>Tidak ada masukan / sudah baik</v>
      </c>
      <c r="AB95" s="87" t="str">
        <f t="shared" si="25"/>
        <v>Fitur Baru (Dashboard / KPI / Database)</v>
      </c>
      <c r="AC95" s="87"/>
      <c r="AD95" s="87"/>
      <c r="AE95" s="87"/>
      <c r="AK95" s="90">
        <f t="shared" si="26"/>
        <v>0</v>
      </c>
      <c r="AL95" s="90">
        <f t="shared" si="27"/>
        <v>0</v>
      </c>
      <c r="AM95" s="90">
        <f t="shared" si="28"/>
        <v>0</v>
      </c>
      <c r="AN95" s="90">
        <f t="shared" si="29"/>
        <v>0</v>
      </c>
      <c r="AO95" s="90">
        <f t="shared" si="30"/>
        <v>0</v>
      </c>
      <c r="AP95" s="90">
        <f t="shared" si="31"/>
        <v>1</v>
      </c>
      <c r="AQ95" s="90">
        <f t="shared" si="32"/>
        <v>1</v>
      </c>
      <c r="AR95" s="90">
        <f t="shared" si="33"/>
        <v>0</v>
      </c>
      <c r="AS95" s="90">
        <f t="shared" si="34"/>
        <v>0</v>
      </c>
      <c r="AT95" s="90">
        <f t="shared" si="35"/>
        <v>0</v>
      </c>
      <c r="AU95" s="90">
        <f t="shared" si="36"/>
        <v>0</v>
      </c>
      <c r="AV95" s="90">
        <f t="shared" si="37"/>
        <v>0</v>
      </c>
      <c r="AW95" s="90">
        <f t="shared" si="38"/>
        <v>0</v>
      </c>
      <c r="AX95" s="90">
        <f t="shared" si="39"/>
        <v>0</v>
      </c>
      <c r="AY95" s="90">
        <f t="shared" si="40"/>
        <v>0</v>
      </c>
      <c r="AZ95" s="90">
        <f t="shared" si="41"/>
        <v>0</v>
      </c>
      <c r="BA95" s="90">
        <f t="shared" si="42"/>
        <v>0</v>
      </c>
      <c r="BB95" s="90">
        <f t="shared" si="43"/>
        <v>1</v>
      </c>
    </row>
    <row r="96" spans="1:54">
      <c r="A96" s="87">
        <f>IF(INDEX(FORM!$A:$A,ROW())="","",ROW()-1)</f>
        <v>95</v>
      </c>
      <c r="B96" s="88">
        <f>IF($A96="","",INDEX(FORM!$A:$A,ROW()))</f>
        <v>46310.387802291698</v>
      </c>
      <c r="C96" s="87" t="str">
        <f>IF($A96="","",TRIM(INDEX(FORM!$B:$B,ROW())))</f>
        <v>Gilang sukma prastya jati</v>
      </c>
      <c r="D96" s="87" t="str">
        <f>IF($A96="","",TRIM(INDEX(FORM!$C:$C,ROW())&amp;""))</f>
        <v>1511049</v>
      </c>
      <c r="E96" s="87" t="str">
        <f>IF($A96="","",UPPER(TRIM(INDEX(FORM!$D:$D,ROW()))))</f>
        <v>UNGARAN</v>
      </c>
      <c r="F96" s="87" t="str">
        <f>IF($A96="","",IFERROR(INDEX(PROGRES!$A$2:$A$92,MATCH(E96,PROGRES!$B$2:$B$92,0)),"-"))</f>
        <v>Jawa Tengah</v>
      </c>
      <c r="G96" s="87" t="str">
        <f>IF($A96="","",UPPER(TRIM(INDEX(FORM!$F:$F,ROW()))))</f>
        <v>JATENG DIY</v>
      </c>
      <c r="H96" s="87" t="str">
        <f>IF($A96="","",UPPER(TRIM(INDEX(FORM!$E:$E,ROW()))))</f>
        <v>CRO</v>
      </c>
      <c r="I96" s="87" t="str">
        <f>IF($A96="","",UPPER(TRIM(INDEX(FORM!$G:$G,ROW()))))</f>
        <v>CUKUP</v>
      </c>
      <c r="J96" s="87" t="str">
        <f>IF($A96="","",IF(ISNUMBER(SEARCH("Ya,",INDEX(FORM!$H:$H,ROW()))),"YA",IF(ISNUMBER(SEARCH("Cukup,",INDEX(FORM!$H:$H,ROW()))),"CUKUP",IF(ISNUMBER(SEARCH("Kurang,",INDEX(FORM!$H:$H,ROW()))),"KURANG",""))))</f>
        <v>YA</v>
      </c>
      <c r="K96" s="87" t="str">
        <f>IF($A96="","",UPPER(TRIM(INDEX(FORM!$J:$J,ROW()))))</f>
        <v>CUKUP</v>
      </c>
      <c r="L96" s="87">
        <f>IF($A96="","",IF(ISNUMBER(SEARCH("Aktivitas Harian",INDEX(FORM!$K:$K,ROW()))),1,0))</f>
        <v>1</v>
      </c>
      <c r="M96" s="87">
        <f>IF($A96="","",IF(ISNUMBER(SEARCH("Aktivitas Mingguan",INDEX(FORM!$K:$K,ROW()))),1,0))</f>
        <v>0</v>
      </c>
      <c r="N96" s="87">
        <f>IF($A96="","",IF(ISNUMBER(SEARCH("Aktivitas Bulanan",INDEX(FORM!$K:$K,ROW()))),1,0))</f>
        <v>0</v>
      </c>
      <c r="O96" s="87">
        <f>IF($A96="","",IF(ISNUMBER(SEARCH("Overview Cabang",INDEX(FORM!$K:$K,ROW()))),1,0))</f>
        <v>0</v>
      </c>
      <c r="P96" s="87">
        <f>IF($A96="","",IFERROR(VLOOKUP(I96,DATA!$AH$9:$AI$13,2,0),""))</f>
        <v>2</v>
      </c>
      <c r="Q96" s="87">
        <f>IF($A96="","",IFERROR(VLOOKUP(J96,DATA!$AH$9:$AI$13,2,0),""))</f>
        <v>3</v>
      </c>
      <c r="R96" s="87">
        <f>IF($A96="","",IFERROR(VLOOKUP(K96,DATA!$AH$9:$AI$13,2,0),""))</f>
        <v>2</v>
      </c>
      <c r="S96" s="89">
        <f t="shared" si="22"/>
        <v>2.3333333333333335</v>
      </c>
      <c r="T96" s="87">
        <f>IF($A96="","",IF(COUNTIF($D$2:D96,D96)=1,1,0))</f>
        <v>1</v>
      </c>
      <c r="U96" s="87" t="str">
        <f>IF($A96="","",IF(F96="-","Cabang tdk ada",IF(IFERROR(VLOOKUP(G96,#REF!,1,0),"")="","",IF(INDEX(DATA!$AH$2:$AH$5,MATCH(G96,DATA!$AI$2:$AI$5,0))&lt;&gt;F96,"Wilayah beda","OK"))))</f>
        <v/>
      </c>
      <c r="V96" s="87" t="str">
        <f>IF($A96="","",TRIM(INDEX(FORM!$I:$I,ROW())&amp;""))</f>
        <v>tidak ada</v>
      </c>
      <c r="W96" s="87" t="str">
        <f>IF($A96="","",TRIM(INDEX(FORM!$L:$L,ROW())&amp;""))</f>
        <v>tidak ad</v>
      </c>
      <c r="X96" s="87" t="str">
        <f>IF($A96="","",TRIM(INDEX(FORM!$M:$M,ROW())&amp;""))</f>
        <v>tidak ada</v>
      </c>
      <c r="Y96" s="8">
        <f>IF($A96="","",IFERROR(MATCH(F96,DATA!$AH$2:$AH$5,0),9)*10000+A96)</f>
        <v>20095</v>
      </c>
      <c r="Z96" s="87" t="str">
        <f t="shared" si="23"/>
        <v>Tidak ada masukan / sudah baik</v>
      </c>
      <c r="AA96" s="87" t="str">
        <f t="shared" si="24"/>
        <v>Tidak ada masukan / sudah baik</v>
      </c>
      <c r="AB96" s="87" t="str">
        <f t="shared" si="25"/>
        <v>Tidak ada masukan / sudah baik</v>
      </c>
      <c r="AC96" s="87"/>
      <c r="AD96" s="87"/>
      <c r="AE96" s="87"/>
      <c r="AK96" s="90">
        <f t="shared" si="26"/>
        <v>0</v>
      </c>
      <c r="AL96" s="90">
        <f t="shared" si="27"/>
        <v>0</v>
      </c>
      <c r="AM96" s="90">
        <f t="shared" si="28"/>
        <v>0</v>
      </c>
      <c r="AN96" s="90">
        <f t="shared" si="29"/>
        <v>0</v>
      </c>
      <c r="AO96" s="90">
        <f t="shared" si="30"/>
        <v>0</v>
      </c>
      <c r="AP96" s="90">
        <f t="shared" si="31"/>
        <v>0</v>
      </c>
      <c r="AQ96" s="90">
        <f t="shared" si="32"/>
        <v>0</v>
      </c>
      <c r="AR96" s="90">
        <f t="shared" si="33"/>
        <v>0</v>
      </c>
      <c r="AS96" s="90">
        <f t="shared" si="34"/>
        <v>0</v>
      </c>
      <c r="AT96" s="90">
        <f t="shared" si="35"/>
        <v>0</v>
      </c>
      <c r="AU96" s="90">
        <f t="shared" si="36"/>
        <v>0</v>
      </c>
      <c r="AV96" s="90">
        <f t="shared" si="37"/>
        <v>0</v>
      </c>
      <c r="AW96" s="90">
        <f t="shared" si="38"/>
        <v>0</v>
      </c>
      <c r="AX96" s="90">
        <f t="shared" si="39"/>
        <v>0</v>
      </c>
      <c r="AY96" s="90">
        <f t="shared" si="40"/>
        <v>0</v>
      </c>
      <c r="AZ96" s="90">
        <f t="shared" si="41"/>
        <v>0</v>
      </c>
      <c r="BA96" s="90">
        <f t="shared" si="42"/>
        <v>0</v>
      </c>
      <c r="BB96" s="90">
        <f t="shared" si="43"/>
        <v>0</v>
      </c>
    </row>
    <row r="97" spans="1:54" s="5" customFormat="1" hidden="1">
      <c r="A97" s="8">
        <f>IF(INDEX(FORM!$A:$A,ROW())="","",ROW()-1)</f>
        <v>96</v>
      </c>
      <c r="B97" s="41">
        <f>IF($A97="","",INDEX(FORM!$A:$A,ROW()))</f>
        <v>46310.389745312503</v>
      </c>
      <c r="C97" s="8" t="str">
        <f>IF($A97="","",TRIM(INDEX(FORM!$B:$B,ROW())))</f>
        <v>Fariz iman teguh rahardjo</v>
      </c>
      <c r="D97" s="8" t="str">
        <f>IF($A97="","",TRIM(INDEX(FORM!$C:$C,ROW())&amp;""))</f>
        <v>1510785</v>
      </c>
      <c r="E97" s="8" t="str">
        <f>IF($A97="","",UPPER(TRIM(INDEX(FORM!$D:$D,ROW()))))</f>
        <v>TRENGGALEK</v>
      </c>
      <c r="F97" s="8" t="str">
        <f>IF($A97="","",IFERROR(INDEX(PROGRES!$A$2:$A$92,MATCH(E97,PROGRES!$B$2:$B$92,0)),"-"))</f>
        <v>Jawa Timur</v>
      </c>
      <c r="G97" s="8" t="str">
        <f>IF($A97="","",UPPER(TRIM(INDEX(FORM!$F:$F,ROW()))))</f>
        <v>JATIM</v>
      </c>
      <c r="H97" s="8" t="str">
        <f>IF($A97="","",UPPER(TRIM(INDEX(FORM!$E:$E,ROW()))))</f>
        <v>BAO</v>
      </c>
      <c r="I97" s="8" t="str">
        <f>IF($A97="","",UPPER(TRIM(INDEX(FORM!$G:$G,ROW()))))</f>
        <v>MUDAH</v>
      </c>
      <c r="J97" s="8" t="str">
        <f>IF($A97="","",IF(ISNUMBER(SEARCH("Ya,",INDEX(FORM!$H:$H,ROW()))),"YA",IF(ISNUMBER(SEARCH("Cukup,",INDEX(FORM!$H:$H,ROW()))),"CUKUP",IF(ISNUMBER(SEARCH("Kurang,",INDEX(FORM!$H:$H,ROW()))),"KURANG",""))))</f>
        <v>YA</v>
      </c>
      <c r="K97" s="8" t="str">
        <f>IF($A97="","",UPPER(TRIM(INDEX(FORM!$J:$J,ROW()))))</f>
        <v>CUKUP</v>
      </c>
      <c r="L97" s="8">
        <f>IF($A97="","",IF(ISNUMBER(SEARCH("Aktivitas Harian",INDEX(FORM!$K:$K,ROW()))),1,0))</f>
        <v>1</v>
      </c>
      <c r="M97" s="8">
        <f>IF($A97="","",IF(ISNUMBER(SEARCH("Aktivitas Mingguan",INDEX(FORM!$K:$K,ROW()))),1,0))</f>
        <v>1</v>
      </c>
      <c r="N97" s="8">
        <f>IF($A97="","",IF(ISNUMBER(SEARCH("Aktivitas Bulanan",INDEX(FORM!$K:$K,ROW()))),1,0))</f>
        <v>0</v>
      </c>
      <c r="O97" s="8">
        <f>IF($A97="","",IF(ISNUMBER(SEARCH("Overview Cabang",INDEX(FORM!$K:$K,ROW()))),1,0))</f>
        <v>1</v>
      </c>
      <c r="P97" s="8">
        <f>IF($A97="","",IFERROR(VLOOKUP(I97,DATA!$AH$9:$AI$13,2,0),""))</f>
        <v>3</v>
      </c>
      <c r="Q97" s="8">
        <f>IF($A97="","",IFERROR(VLOOKUP(J97,DATA!$AH$9:$AI$13,2,0),""))</f>
        <v>3</v>
      </c>
      <c r="R97" s="8">
        <f>IF($A97="","",IFERROR(VLOOKUP(K97,DATA!$AH$9:$AI$13,2,0),""))</f>
        <v>2</v>
      </c>
      <c r="S97" s="42">
        <f t="shared" si="22"/>
        <v>2.6666666666666665</v>
      </c>
      <c r="T97" s="8">
        <f>IF($A97="","",IF(COUNTIF($D$2:D97,D97)=1,1,0))</f>
        <v>1</v>
      </c>
      <c r="U97" s="8" t="str">
        <f>IF($A97="","",IF(F97="-","Cabang tdk ada",IF(IFERROR(VLOOKUP(G97,#REF!,1,0),"")="","",IF(INDEX(DATA!$AH$2:$AH$5,MATCH(G97,DATA!$AI$2:$AI$5,0))&lt;&gt;F97,"Wilayah beda","OK"))))</f>
        <v/>
      </c>
      <c r="V97" s="8" t="str">
        <f>IF($A97="","",TRIM(INDEX(FORM!$I:$I,ROW())&amp;""))</f>
        <v>Lebih elegan dan simple</v>
      </c>
      <c r="W97" s="8" t="str">
        <f>IF($A97="","",TRIM(INDEX(FORM!$L:$L,ROW())&amp;""))</f>
        <v>Sudah</v>
      </c>
      <c r="X97" s="8" t="str">
        <f>IF($A97="","",TRIM(INDEX(FORM!$M:$M,ROW())&amp;""))</f>
        <v>Memaksimalkan jobdisk sesuai handbook</v>
      </c>
      <c r="Y97" s="8">
        <f>IF($A97="","",IFERROR(MATCH(F97,DATA!$AH$2:$AH$5,0),9)*10000+A97)</f>
        <v>30096</v>
      </c>
      <c r="Z97" s="8" t="str">
        <f t="shared" si="23"/>
        <v>Penyederhanaan &amp; Ringkas Isi</v>
      </c>
      <c r="AA97" s="8" t="str">
        <f t="shared" si="24"/>
        <v>Tidak ada masukan / sudah baik</v>
      </c>
      <c r="AB97" s="8" t="str">
        <f t="shared" si="25"/>
        <v>Penambahan Materi &amp; Template</v>
      </c>
      <c r="AC97" s="8"/>
      <c r="AD97" s="8"/>
      <c r="AE97" s="8"/>
      <c r="AK97" s="5">
        <f t="shared" si="26"/>
        <v>0</v>
      </c>
      <c r="AL97" s="5">
        <f t="shared" si="27"/>
        <v>0</v>
      </c>
      <c r="AM97" s="5">
        <f t="shared" si="28"/>
        <v>0</v>
      </c>
      <c r="AN97" s="5">
        <f t="shared" si="29"/>
        <v>0</v>
      </c>
      <c r="AO97" s="5">
        <f t="shared" si="30"/>
        <v>0</v>
      </c>
      <c r="AP97" s="5">
        <f t="shared" si="31"/>
        <v>0</v>
      </c>
      <c r="AQ97" s="5">
        <f t="shared" si="32"/>
        <v>1</v>
      </c>
      <c r="AR97" s="5">
        <f t="shared" si="33"/>
        <v>1</v>
      </c>
      <c r="AS97" s="5">
        <f t="shared" si="34"/>
        <v>0</v>
      </c>
      <c r="AT97" s="5">
        <f t="shared" si="35"/>
        <v>0</v>
      </c>
      <c r="AU97" s="5">
        <f t="shared" si="36"/>
        <v>0</v>
      </c>
      <c r="AV97" s="5">
        <f t="shared" si="37"/>
        <v>0</v>
      </c>
      <c r="AW97" s="5">
        <f t="shared" si="38"/>
        <v>0</v>
      </c>
      <c r="AX97" s="5">
        <f t="shared" si="39"/>
        <v>0</v>
      </c>
      <c r="AY97" s="5">
        <f t="shared" si="40"/>
        <v>0</v>
      </c>
      <c r="AZ97" s="5">
        <f t="shared" si="41"/>
        <v>0</v>
      </c>
      <c r="BA97" s="5">
        <f t="shared" si="42"/>
        <v>0</v>
      </c>
      <c r="BB97" s="5">
        <f t="shared" si="43"/>
        <v>1</v>
      </c>
    </row>
    <row r="98" spans="1:54">
      <c r="A98" s="87">
        <f>IF(INDEX(FORM!$A:$A,ROW())="","",ROW()-1)</f>
        <v>97</v>
      </c>
      <c r="B98" s="88">
        <f>IF($A98="","",INDEX(FORM!$A:$A,ROW()))</f>
        <v>46310.391453229196</v>
      </c>
      <c r="C98" s="87" t="str">
        <f>IF($A98="","",TRIM(INDEX(FORM!$B:$B,ROW())))</f>
        <v>wahyu prasetyo wibowo</v>
      </c>
      <c r="D98" s="87" t="str">
        <f>IF($A98="","",TRIM(INDEX(FORM!$C:$C,ROW())&amp;""))</f>
        <v>1510978</v>
      </c>
      <c r="E98" s="87" t="str">
        <f>IF($A98="","",UPPER(TRIM(INDEX(FORM!$D:$D,ROW()))))</f>
        <v>PONOROGO</v>
      </c>
      <c r="F98" s="87" t="str">
        <f>IF($A98="","",IFERROR(INDEX(PROGRES!$A$2:$A$92,MATCH(E98,PROGRES!$B$2:$B$92,0)),"-"))</f>
        <v>Jawa Timur</v>
      </c>
      <c r="G98" s="87" t="str">
        <f>IF($A98="","",UPPER(TRIM(INDEX(FORM!$F:$F,ROW()))))</f>
        <v>JATIM</v>
      </c>
      <c r="H98" s="87" t="str">
        <f>IF($A98="","",UPPER(TRIM(INDEX(FORM!$E:$E,ROW()))))</f>
        <v>CRO</v>
      </c>
      <c r="I98" s="87" t="str">
        <f>IF($A98="","",UPPER(TRIM(INDEX(FORM!$G:$G,ROW()))))</f>
        <v>CUKUP</v>
      </c>
      <c r="J98" s="87" t="str">
        <f>IF($A98="","",IF(ISNUMBER(SEARCH("Ya,",INDEX(FORM!$H:$H,ROW()))),"YA",IF(ISNUMBER(SEARCH("Cukup,",INDEX(FORM!$H:$H,ROW()))),"CUKUP",IF(ISNUMBER(SEARCH("Kurang,",INDEX(FORM!$H:$H,ROW()))),"KURANG",""))))</f>
        <v>CUKUP</v>
      </c>
      <c r="K98" s="87" t="str">
        <f>IF($A98="","",UPPER(TRIM(INDEX(FORM!$J:$J,ROW()))))</f>
        <v>CUKUP</v>
      </c>
      <c r="L98" s="87">
        <f>IF($A98="","",IF(ISNUMBER(SEARCH("Aktivitas Harian",INDEX(FORM!$K:$K,ROW()))),1,0))</f>
        <v>0</v>
      </c>
      <c r="M98" s="87">
        <f>IF($A98="","",IF(ISNUMBER(SEARCH("Aktivitas Mingguan",INDEX(FORM!$K:$K,ROW()))),1,0))</f>
        <v>0</v>
      </c>
      <c r="N98" s="87">
        <f>IF($A98="","",IF(ISNUMBER(SEARCH("Aktivitas Bulanan",INDEX(FORM!$K:$K,ROW()))),1,0))</f>
        <v>1</v>
      </c>
      <c r="O98" s="87">
        <f>IF($A98="","",IF(ISNUMBER(SEARCH("Overview Cabang",INDEX(FORM!$K:$K,ROW()))),1,0))</f>
        <v>0</v>
      </c>
      <c r="P98" s="87">
        <f>IF($A98="","",IFERROR(VLOOKUP(I98,DATA!$AH$9:$AI$13,2,0),""))</f>
        <v>2</v>
      </c>
      <c r="Q98" s="87">
        <f>IF($A98="","",IFERROR(VLOOKUP(J98,DATA!$AH$9:$AI$13,2,0),""))</f>
        <v>2</v>
      </c>
      <c r="R98" s="87">
        <f>IF($A98="","",IFERROR(VLOOKUP(K98,DATA!$AH$9:$AI$13,2,0),""))</f>
        <v>2</v>
      </c>
      <c r="S98" s="89">
        <f t="shared" si="22"/>
        <v>2</v>
      </c>
      <c r="T98" s="87">
        <f>IF($A98="","",IF(COUNTIF($D$2:D98,D98)=1,1,0))</f>
        <v>1</v>
      </c>
      <c r="U98" s="87" t="str">
        <f>IF($A98="","",IF(F98="-","Cabang tdk ada",IF(IFERROR(VLOOKUP(G98,#REF!,1,0),"")="","",IF(INDEX(DATA!$AH$2:$AH$5,MATCH(G98,DATA!$AI$2:$AI$5,0))&lt;&gt;F98,"Wilayah beda","OK"))))</f>
        <v/>
      </c>
      <c r="V98" s="87" t="str">
        <f>IF($A98="","",TRIM(INDEX(FORM!$I:$I,ROW())&amp;""))</f>
        <v>sistem masih lambat, jika buka dengan hp sering ketutup perintah lain</v>
      </c>
      <c r="W98" s="87" t="str">
        <f>IF($A98="","",TRIM(INDEX(FORM!$L:$L,ROW())&amp;""))</f>
        <v>sudah</v>
      </c>
      <c r="X98" s="87" t="str">
        <f>IF($A98="","",TRIM(INDEX(FORM!$M:$M,ROW())&amp;""))</f>
        <v>lanjutkan</v>
      </c>
      <c r="Y98" s="8">
        <f>IF($A98="","",IFERROR(MATCH(F98,DATA!$AH$2:$AH$5,0),9)*10000+A98)</f>
        <v>30097</v>
      </c>
      <c r="Z98" s="87" t="str">
        <f t="shared" si="23"/>
        <v>Kecepatan &amp; Loading Website</v>
      </c>
      <c r="AA98" s="87" t="str">
        <f t="shared" si="24"/>
        <v>Tidak ada masukan / sudah baik</v>
      </c>
      <c r="AB98" s="87" t="str">
        <f t="shared" si="25"/>
        <v>Tidak ada masukan / sudah baik</v>
      </c>
      <c r="AC98" s="87"/>
      <c r="AD98" s="87"/>
      <c r="AE98" s="87"/>
      <c r="AK98" s="90">
        <f t="shared" si="26"/>
        <v>1</v>
      </c>
      <c r="AL98" s="90">
        <f t="shared" si="27"/>
        <v>0</v>
      </c>
      <c r="AM98" s="90">
        <f t="shared" si="28"/>
        <v>0</v>
      </c>
      <c r="AN98" s="90">
        <f t="shared" si="29"/>
        <v>0</v>
      </c>
      <c r="AO98" s="90">
        <f t="shared" si="30"/>
        <v>0</v>
      </c>
      <c r="AP98" s="90">
        <f t="shared" si="31"/>
        <v>0</v>
      </c>
      <c r="AQ98" s="90">
        <f t="shared" si="32"/>
        <v>0</v>
      </c>
      <c r="AR98" s="90">
        <f t="shared" si="33"/>
        <v>0</v>
      </c>
      <c r="AS98" s="90">
        <f t="shared" si="34"/>
        <v>0</v>
      </c>
      <c r="AT98" s="90">
        <f t="shared" si="35"/>
        <v>0</v>
      </c>
      <c r="AU98" s="90">
        <f t="shared" si="36"/>
        <v>0</v>
      </c>
      <c r="AV98" s="90">
        <f t="shared" si="37"/>
        <v>0</v>
      </c>
      <c r="AW98" s="90">
        <f t="shared" si="38"/>
        <v>0</v>
      </c>
      <c r="AX98" s="90">
        <f t="shared" si="39"/>
        <v>0</v>
      </c>
      <c r="AY98" s="90">
        <f t="shared" si="40"/>
        <v>0</v>
      </c>
      <c r="AZ98" s="90">
        <f t="shared" si="41"/>
        <v>0</v>
      </c>
      <c r="BA98" s="90">
        <f t="shared" si="42"/>
        <v>0</v>
      </c>
      <c r="BB98" s="90">
        <f t="shared" si="43"/>
        <v>1</v>
      </c>
    </row>
    <row r="99" spans="1:54" s="5" customFormat="1" hidden="1">
      <c r="A99" s="8">
        <f>IF(INDEX(FORM!$A:$A,ROW())="","",ROW()-1)</f>
        <v>98</v>
      </c>
      <c r="B99" s="41">
        <f>IF($A99="","",INDEX(FORM!$A:$A,ROW()))</f>
        <v>46310.394059687504</v>
      </c>
      <c r="C99" s="8" t="str">
        <f>IF($A99="","",TRIM(INDEX(FORM!$B:$B,ROW())))</f>
        <v>KURNILA INUNG SAFITRI AL KHOIR</v>
      </c>
      <c r="D99" s="8" t="str">
        <f>IF($A99="","",TRIM(INDEX(FORM!$C:$C,ROW())&amp;""))</f>
        <v>1510768</v>
      </c>
      <c r="E99" s="8" t="str">
        <f>IF($A99="","",UPPER(TRIM(INDEX(FORM!$D:$D,ROW()))))</f>
        <v>UNGARAN</v>
      </c>
      <c r="F99" s="8" t="str">
        <f>IF($A99="","",IFERROR(INDEX(PROGRES!$A$2:$A$92,MATCH(E99,PROGRES!$B$2:$B$92,0)),"-"))</f>
        <v>Jawa Tengah</v>
      </c>
      <c r="G99" s="8" t="str">
        <f>IF($A99="","",UPPER(TRIM(INDEX(FORM!$F:$F,ROW()))))</f>
        <v>JATENG DIY</v>
      </c>
      <c r="H99" s="8" t="str">
        <f>IF($A99="","",UPPER(TRIM(INDEX(FORM!$E:$E,ROW()))))</f>
        <v>BAO</v>
      </c>
      <c r="I99" s="8" t="str">
        <f>IF($A99="","",UPPER(TRIM(INDEX(FORM!$G:$G,ROW()))))</f>
        <v>MUDAH</v>
      </c>
      <c r="J99" s="8" t="str">
        <f>IF($A99="","",IF(ISNUMBER(SEARCH("Ya,",INDEX(FORM!$H:$H,ROW()))),"YA",IF(ISNUMBER(SEARCH("Cukup,",INDEX(FORM!$H:$H,ROW()))),"CUKUP",IF(ISNUMBER(SEARCH("Kurang,",INDEX(FORM!$H:$H,ROW()))),"KURANG",""))))</f>
        <v>YA</v>
      </c>
      <c r="K99" s="8" t="str">
        <f>IF($A99="","",UPPER(TRIM(INDEX(FORM!$J:$J,ROW()))))</f>
        <v>MUDAH</v>
      </c>
      <c r="L99" s="8">
        <f>IF($A99="","",IF(ISNUMBER(SEARCH("Aktivitas Harian",INDEX(FORM!$K:$K,ROW()))),1,0))</f>
        <v>1</v>
      </c>
      <c r="M99" s="8">
        <f>IF($A99="","",IF(ISNUMBER(SEARCH("Aktivitas Mingguan",INDEX(FORM!$K:$K,ROW()))),1,0))</f>
        <v>1</v>
      </c>
      <c r="N99" s="8">
        <f>IF($A99="","",IF(ISNUMBER(SEARCH("Aktivitas Bulanan",INDEX(FORM!$K:$K,ROW()))),1,0))</f>
        <v>1</v>
      </c>
      <c r="O99" s="8">
        <f>IF($A99="","",IF(ISNUMBER(SEARCH("Overview Cabang",INDEX(FORM!$K:$K,ROW()))),1,0))</f>
        <v>1</v>
      </c>
      <c r="P99" s="8">
        <f>IF($A99="","",IFERROR(VLOOKUP(I99,DATA!$AH$9:$AI$13,2,0),""))</f>
        <v>3</v>
      </c>
      <c r="Q99" s="8">
        <f>IF($A99="","",IFERROR(VLOOKUP(J99,DATA!$AH$9:$AI$13,2,0),""))</f>
        <v>3</v>
      </c>
      <c r="R99" s="8">
        <f>IF($A99="","",IFERROR(VLOOKUP(K99,DATA!$AH$9:$AI$13,2,0),""))</f>
        <v>3</v>
      </c>
      <c r="S99" s="42">
        <f t="shared" si="22"/>
        <v>3</v>
      </c>
      <c r="T99" s="8">
        <f>IF($A99="","",IF(COUNTIF($D$2:D99,D99)=1,1,0))</f>
        <v>1</v>
      </c>
      <c r="U99" s="8" t="str">
        <f>IF($A99="","",IF(F99="-","Cabang tdk ada",IF(IFERROR(VLOOKUP(G99,#REF!,1,0),"")="","",IF(INDEX(DATA!$AH$2:$AH$5,MATCH(G99,DATA!$AI$2:$AI$5,0))&lt;&gt;F99,"Wilayah beda","OK"))))</f>
        <v/>
      </c>
      <c r="V99" s="8" t="str">
        <f>IF($A99="","",TRIM(INDEX(FORM!$I:$I,ROW())&amp;""))</f>
        <v>lebih di jabarkan lagi jobdesknya</v>
      </c>
      <c r="W99" s="8" t="str">
        <f>IF($A99="","",TRIM(INDEX(FORM!$L:$L,ROW())&amp;""))</f>
        <v>cukup</v>
      </c>
      <c r="X99" s="8" t="str">
        <f>IF($A99="","",TRIM(INDEX(FORM!$M:$M,ROW())&amp;""))</f>
        <v>lebih di jabarkan lagi jobdesknya</v>
      </c>
      <c r="Y99" s="8">
        <f>IF($A99="","",IFERROR(MATCH(F99,DATA!$AH$2:$AH$5,0),9)*10000+A99)</f>
        <v>20098</v>
      </c>
      <c r="Z99" s="8" t="str">
        <f t="shared" si="23"/>
        <v>Penambahan Isi / Penjelasan</v>
      </c>
      <c r="AA99" s="8" t="str">
        <f t="shared" si="24"/>
        <v>Tidak ada masukan / sudah baik</v>
      </c>
      <c r="AB99" s="8" t="str">
        <f t="shared" si="25"/>
        <v>Penambahan Materi &amp; Template</v>
      </c>
      <c r="AC99" s="8"/>
      <c r="AD99" s="8"/>
      <c r="AE99" s="8"/>
      <c r="AK99" s="5">
        <f t="shared" si="26"/>
        <v>0</v>
      </c>
      <c r="AL99" s="5">
        <f t="shared" si="27"/>
        <v>0</v>
      </c>
      <c r="AM99" s="5">
        <f t="shared" si="28"/>
        <v>0</v>
      </c>
      <c r="AN99" s="5">
        <f t="shared" si="29"/>
        <v>0</v>
      </c>
      <c r="AO99" s="5">
        <f t="shared" si="30"/>
        <v>0</v>
      </c>
      <c r="AP99" s="5">
        <f t="shared" si="31"/>
        <v>0</v>
      </c>
      <c r="AQ99" s="5">
        <f t="shared" si="32"/>
        <v>0</v>
      </c>
      <c r="AR99" s="5">
        <f t="shared" si="33"/>
        <v>1</v>
      </c>
      <c r="AS99" s="5">
        <f t="shared" si="34"/>
        <v>0</v>
      </c>
      <c r="AT99" s="5">
        <f t="shared" si="35"/>
        <v>0</v>
      </c>
      <c r="AU99" s="5">
        <f t="shared" si="36"/>
        <v>0</v>
      </c>
      <c r="AV99" s="5">
        <f t="shared" si="37"/>
        <v>0</v>
      </c>
      <c r="AW99" s="5">
        <f t="shared" si="38"/>
        <v>0</v>
      </c>
      <c r="AX99" s="5">
        <f t="shared" si="39"/>
        <v>0</v>
      </c>
      <c r="AY99" s="5">
        <f t="shared" si="40"/>
        <v>0</v>
      </c>
      <c r="AZ99" s="5">
        <f t="shared" si="41"/>
        <v>0</v>
      </c>
      <c r="BA99" s="5">
        <f t="shared" si="42"/>
        <v>0</v>
      </c>
      <c r="BB99" s="5">
        <f t="shared" si="43"/>
        <v>1</v>
      </c>
    </row>
    <row r="100" spans="1:54" s="5" customFormat="1" hidden="1">
      <c r="A100" s="8">
        <f>IF(INDEX(FORM!$A:$A,ROW())="","",ROW()-1)</f>
        <v>99</v>
      </c>
      <c r="B100" s="41">
        <f>IF($A100="","",INDEX(FORM!$A:$A,ROW()))</f>
        <v>46310.401154571802</v>
      </c>
      <c r="C100" s="8" t="str">
        <f>IF($A100="","",TRIM(INDEX(FORM!$B:$B,ROW())))</f>
        <v>BAGOSA MAYRENO PUTRA</v>
      </c>
      <c r="D100" s="8" t="str">
        <f>IF($A100="","",TRIM(INDEX(FORM!$C:$C,ROW())&amp;""))</f>
        <v>80453</v>
      </c>
      <c r="E100" s="8" t="str">
        <f>IF($A100="","",UPPER(TRIM(INDEX(FORM!$D:$D,ROW()))))</f>
        <v>NGAWI</v>
      </c>
      <c r="F100" s="8" t="str">
        <f>IF($A100="","",IFERROR(INDEX(PROGRES!$A$2:$A$92,MATCH(E100,PROGRES!$B$2:$B$92,0)),"-"))</f>
        <v>Jawa Timur</v>
      </c>
      <c r="G100" s="8" t="str">
        <f>IF($A100="","",UPPER(TRIM(INDEX(FORM!$F:$F,ROW()))))</f>
        <v>JATIM</v>
      </c>
      <c r="H100" s="8" t="str">
        <f>IF($A100="","",UPPER(TRIM(INDEX(FORM!$E:$E,ROW()))))</f>
        <v>BAO</v>
      </c>
      <c r="I100" s="8" t="str">
        <f>IF($A100="","",UPPER(TRIM(INDEX(FORM!$G:$G,ROW()))))</f>
        <v>CUKUP</v>
      </c>
      <c r="J100" s="8" t="str">
        <f>IF($A100="","",IF(ISNUMBER(SEARCH("Ya,",INDEX(FORM!$H:$H,ROW()))),"YA",IF(ISNUMBER(SEARCH("Cukup,",INDEX(FORM!$H:$H,ROW()))),"CUKUP",IF(ISNUMBER(SEARCH("Kurang,",INDEX(FORM!$H:$H,ROW()))),"KURANG",""))))</f>
        <v>YA</v>
      </c>
      <c r="K100" s="8" t="str">
        <f>IF($A100="","",UPPER(TRIM(INDEX(FORM!$J:$J,ROW()))))</f>
        <v>MUDAH</v>
      </c>
      <c r="L100" s="8">
        <f>IF($A100="","",IF(ISNUMBER(SEARCH("Aktivitas Harian",INDEX(FORM!$K:$K,ROW()))),1,0))</f>
        <v>0</v>
      </c>
      <c r="M100" s="8">
        <f>IF($A100="","",IF(ISNUMBER(SEARCH("Aktivitas Mingguan",INDEX(FORM!$K:$K,ROW()))),1,0))</f>
        <v>0</v>
      </c>
      <c r="N100" s="8">
        <f>IF($A100="","",IF(ISNUMBER(SEARCH("Aktivitas Bulanan",INDEX(FORM!$K:$K,ROW()))),1,0))</f>
        <v>0</v>
      </c>
      <c r="O100" s="8">
        <f>IF($A100="","",IF(ISNUMBER(SEARCH("Overview Cabang",INDEX(FORM!$K:$K,ROW()))),1,0))</f>
        <v>1</v>
      </c>
      <c r="P100" s="8">
        <f>IF($A100="","",IFERROR(VLOOKUP(I100,DATA!$AH$9:$AI$13,2,0),""))</f>
        <v>2</v>
      </c>
      <c r="Q100" s="8">
        <f>IF($A100="","",IFERROR(VLOOKUP(J100,DATA!$AH$9:$AI$13,2,0),""))</f>
        <v>3</v>
      </c>
      <c r="R100" s="8">
        <f>IF($A100="","",IFERROR(VLOOKUP(K100,DATA!$AH$9:$AI$13,2,0),""))</f>
        <v>3</v>
      </c>
      <c r="S100" s="42">
        <f t="shared" si="22"/>
        <v>2.6666666666666665</v>
      </c>
      <c r="T100" s="8">
        <f>IF($A100="","",IF(COUNTIF($D$2:D100,D100)=1,1,0))</f>
        <v>1</v>
      </c>
      <c r="U100" s="8" t="str">
        <f>IF($A100="","",IF(F100="-","Cabang tdk ada",IF(IFERROR(VLOOKUP(G100,#REF!,1,0),"")="","",IF(INDEX(DATA!$AH$2:$AH$5,MATCH(G100,DATA!$AI$2:$AI$5,0))&lt;&gt;F100,"Wilayah beda","OK"))))</f>
        <v/>
      </c>
      <c r="V100" s="8" t="str">
        <f>IF($A100="","",TRIM(INDEX(FORM!$I:$I,ROW())&amp;""))</f>
        <v>-</v>
      </c>
      <c r="W100" s="8" t="str">
        <f>IF($A100="","",TRIM(INDEX(FORM!$L:$L,ROW())&amp;""))</f>
        <v>Tidak ada</v>
      </c>
      <c r="X100" s="8" t="str">
        <f>IF($A100="","",TRIM(INDEX(FORM!$M:$M,ROW())&amp;""))</f>
        <v>-</v>
      </c>
      <c r="Y100" s="8">
        <f>IF($A100="","",IFERROR(MATCH(F100,DATA!$AH$2:$AH$5,0),9)*10000+A100)</f>
        <v>30099</v>
      </c>
      <c r="Z100" s="8" t="str">
        <f t="shared" si="23"/>
        <v>Tidak ada masukan / sudah baik</v>
      </c>
      <c r="AA100" s="8" t="str">
        <f t="shared" si="24"/>
        <v>Tidak ada masukan / sudah baik</v>
      </c>
      <c r="AB100" s="8" t="str">
        <f t="shared" si="25"/>
        <v>Tidak ada masukan / sudah baik</v>
      </c>
      <c r="AC100" s="8"/>
      <c r="AD100" s="8"/>
      <c r="AE100" s="8"/>
      <c r="AK100" s="5">
        <f t="shared" si="26"/>
        <v>0</v>
      </c>
      <c r="AL100" s="5">
        <f t="shared" si="27"/>
        <v>0</v>
      </c>
      <c r="AM100" s="5">
        <f t="shared" si="28"/>
        <v>0</v>
      </c>
      <c r="AN100" s="5">
        <f t="shared" si="29"/>
        <v>0</v>
      </c>
      <c r="AO100" s="5">
        <f t="shared" si="30"/>
        <v>0</v>
      </c>
      <c r="AP100" s="5">
        <f t="shared" si="31"/>
        <v>0</v>
      </c>
      <c r="AQ100" s="5">
        <f t="shared" si="32"/>
        <v>0</v>
      </c>
      <c r="AR100" s="5">
        <f t="shared" si="33"/>
        <v>0</v>
      </c>
      <c r="AS100" s="5">
        <f t="shared" si="34"/>
        <v>0</v>
      </c>
      <c r="AT100" s="5">
        <f t="shared" si="35"/>
        <v>0</v>
      </c>
      <c r="AU100" s="5">
        <f t="shared" si="36"/>
        <v>0</v>
      </c>
      <c r="AV100" s="5">
        <f t="shared" si="37"/>
        <v>0</v>
      </c>
      <c r="AW100" s="5">
        <f t="shared" si="38"/>
        <v>0</v>
      </c>
      <c r="AX100" s="5">
        <f t="shared" si="39"/>
        <v>0</v>
      </c>
      <c r="AY100" s="5">
        <f t="shared" si="40"/>
        <v>0</v>
      </c>
      <c r="AZ100" s="5">
        <f t="shared" si="41"/>
        <v>0</v>
      </c>
      <c r="BA100" s="5">
        <f t="shared" si="42"/>
        <v>0</v>
      </c>
      <c r="BB100" s="5">
        <f t="shared" si="43"/>
        <v>0</v>
      </c>
    </row>
    <row r="101" spans="1:54">
      <c r="A101" s="87">
        <f>IF(INDEX(FORM!$A:$A,ROW())="","",ROW()-1)</f>
        <v>100</v>
      </c>
      <c r="B101" s="88">
        <f>IF($A101="","",INDEX(FORM!$A:$A,ROW()))</f>
        <v>46310.401639351898</v>
      </c>
      <c r="C101" s="87" t="str">
        <f>IF($A101="","",TRIM(INDEX(FORM!$B:$B,ROW())))</f>
        <v>Wildan Mawardi</v>
      </c>
      <c r="D101" s="87" t="str">
        <f>IF($A101="","",TRIM(INDEX(FORM!$C:$C,ROW())&amp;""))</f>
        <v>1510718</v>
      </c>
      <c r="E101" s="87" t="str">
        <f>IF($A101="","",UPPER(TRIM(INDEX(FORM!$D:$D,ROW()))))</f>
        <v>PEKALONGAN</v>
      </c>
      <c r="F101" s="87" t="str">
        <f>IF($A101="","",IFERROR(INDEX(PROGRES!$A$2:$A$92,MATCH(E101,PROGRES!$B$2:$B$92,0)),"-"))</f>
        <v>Jawa Tengah</v>
      </c>
      <c r="G101" s="87" t="str">
        <f>IF($A101="","",UPPER(TRIM(INDEX(FORM!$F:$F,ROW()))))</f>
        <v>JATENG DIY</v>
      </c>
      <c r="H101" s="87" t="str">
        <f>IF($A101="","",UPPER(TRIM(INDEX(FORM!$E:$E,ROW()))))</f>
        <v>CRO</v>
      </c>
      <c r="I101" s="87" t="str">
        <f>IF($A101="","",UPPER(TRIM(INDEX(FORM!$G:$G,ROW()))))</f>
        <v>MUDAH</v>
      </c>
      <c r="J101" s="87" t="str">
        <f>IF($A101="","",IF(ISNUMBER(SEARCH("Ya,",INDEX(FORM!$H:$H,ROW()))),"YA",IF(ISNUMBER(SEARCH("Cukup,",INDEX(FORM!$H:$H,ROW()))),"CUKUP",IF(ISNUMBER(SEARCH("Kurang,",INDEX(FORM!$H:$H,ROW()))),"KURANG",""))))</f>
        <v>YA</v>
      </c>
      <c r="K101" s="87" t="str">
        <f>IF($A101="","",UPPER(TRIM(INDEX(FORM!$J:$J,ROW()))))</f>
        <v>MUDAH</v>
      </c>
      <c r="L101" s="87">
        <f>IF($A101="","",IF(ISNUMBER(SEARCH("Aktivitas Harian",INDEX(FORM!$K:$K,ROW()))),1,0))</f>
        <v>1</v>
      </c>
      <c r="M101" s="87">
        <f>IF($A101="","",IF(ISNUMBER(SEARCH("Aktivitas Mingguan",INDEX(FORM!$K:$K,ROW()))),1,0))</f>
        <v>0</v>
      </c>
      <c r="N101" s="87">
        <f>IF($A101="","",IF(ISNUMBER(SEARCH("Aktivitas Bulanan",INDEX(FORM!$K:$K,ROW()))),1,0))</f>
        <v>0</v>
      </c>
      <c r="O101" s="87">
        <f>IF($A101="","",IF(ISNUMBER(SEARCH("Overview Cabang",INDEX(FORM!$K:$K,ROW()))),1,0))</f>
        <v>0</v>
      </c>
      <c r="P101" s="87">
        <f>IF($A101="","",IFERROR(VLOOKUP(I101,DATA!$AH$9:$AI$13,2,0),""))</f>
        <v>3</v>
      </c>
      <c r="Q101" s="87">
        <f>IF($A101="","",IFERROR(VLOOKUP(J101,DATA!$AH$9:$AI$13,2,0),""))</f>
        <v>3</v>
      </c>
      <c r="R101" s="87">
        <f>IF($A101="","",IFERROR(VLOOKUP(K101,DATA!$AH$9:$AI$13,2,0),""))</f>
        <v>3</v>
      </c>
      <c r="S101" s="89">
        <f t="shared" si="22"/>
        <v>3</v>
      </c>
      <c r="T101" s="87">
        <f>IF($A101="","",IF(COUNTIF($D$2:D101,D101)=1,1,0))</f>
        <v>1</v>
      </c>
      <c r="U101" s="87" t="str">
        <f>IF($A101="","",IF(F101="-","Cabang tdk ada",IF(IFERROR(VLOOKUP(G101,#REF!,1,0),"")="","",IF(INDEX(DATA!$AH$2:$AH$5,MATCH(G101,DATA!$AI$2:$AI$5,0))&lt;&gt;F101,"Wilayah beda","OK"))))</f>
        <v/>
      </c>
      <c r="V101" s="87" t="str">
        <f>IF($A101="","",TRIM(INDEX(FORM!$I:$I,ROW())&amp;""))</f>
        <v>No comment</v>
      </c>
      <c r="W101" s="87" t="str">
        <f>IF($A101="","",TRIM(INDEX(FORM!$L:$L,ROW())&amp;""))</f>
        <v>Tidak ada</v>
      </c>
      <c r="X101" s="87" t="str">
        <f>IF($A101="","",TRIM(INDEX(FORM!$M:$M,ROW())&amp;""))</f>
        <v>Tidak aada</v>
      </c>
      <c r="Y101" s="8">
        <f>IF($A101="","",IFERROR(MATCH(F101,DATA!$AH$2:$AH$5,0),9)*10000+A101)</f>
        <v>20100</v>
      </c>
      <c r="Z101" s="87" t="str">
        <f t="shared" si="23"/>
        <v>Tidak ada masukan / sudah baik</v>
      </c>
      <c r="AA101" s="87" t="str">
        <f t="shared" si="24"/>
        <v>Tidak ada masukan / sudah baik</v>
      </c>
      <c r="AB101" s="87" t="str">
        <f t="shared" si="25"/>
        <v>Tidak ada masukan / sudah baik</v>
      </c>
      <c r="AC101" s="87"/>
      <c r="AD101" s="87"/>
      <c r="AE101" s="87"/>
      <c r="AK101" s="90">
        <f t="shared" si="26"/>
        <v>0</v>
      </c>
      <c r="AL101" s="90">
        <f t="shared" si="27"/>
        <v>0</v>
      </c>
      <c r="AM101" s="90">
        <f t="shared" si="28"/>
        <v>0</v>
      </c>
      <c r="AN101" s="90">
        <f t="shared" si="29"/>
        <v>0</v>
      </c>
      <c r="AO101" s="90">
        <f t="shared" si="30"/>
        <v>0</v>
      </c>
      <c r="AP101" s="90">
        <f t="shared" si="31"/>
        <v>0</v>
      </c>
      <c r="AQ101" s="90">
        <f t="shared" si="32"/>
        <v>0</v>
      </c>
      <c r="AR101" s="90">
        <f t="shared" si="33"/>
        <v>0</v>
      </c>
      <c r="AS101" s="90">
        <f t="shared" si="34"/>
        <v>0</v>
      </c>
      <c r="AT101" s="90">
        <f t="shared" si="35"/>
        <v>0</v>
      </c>
      <c r="AU101" s="90">
        <f t="shared" si="36"/>
        <v>0</v>
      </c>
      <c r="AV101" s="90">
        <f t="shared" si="37"/>
        <v>0</v>
      </c>
      <c r="AW101" s="90">
        <f t="shared" si="38"/>
        <v>0</v>
      </c>
      <c r="AX101" s="90">
        <f t="shared" si="39"/>
        <v>0</v>
      </c>
      <c r="AY101" s="90">
        <f t="shared" si="40"/>
        <v>0</v>
      </c>
      <c r="AZ101" s="90">
        <f t="shared" si="41"/>
        <v>0</v>
      </c>
      <c r="BA101" s="90">
        <f t="shared" si="42"/>
        <v>0</v>
      </c>
      <c r="BB101" s="90">
        <f t="shared" si="43"/>
        <v>0</v>
      </c>
    </row>
    <row r="102" spans="1:54">
      <c r="A102" s="87">
        <f>IF(INDEX(FORM!$A:$A,ROW())="","",ROW()-1)</f>
        <v>101</v>
      </c>
      <c r="B102" s="88">
        <f>IF($A102="","",INDEX(FORM!$A:$A,ROW()))</f>
        <v>46310.402035011597</v>
      </c>
      <c r="C102" s="87" t="str">
        <f>IF($A102="","",TRIM(INDEX(FORM!$B:$B,ROW())))</f>
        <v>Riza saikholis lami</v>
      </c>
      <c r="D102" s="87" t="str">
        <f>IF($A102="","",TRIM(INDEX(FORM!$C:$C,ROW())&amp;""))</f>
        <v>1511197</v>
      </c>
      <c r="E102" s="87" t="str">
        <f>IF($A102="","",UPPER(TRIM(INDEX(FORM!$D:$D,ROW()))))</f>
        <v>BOJONEGORO</v>
      </c>
      <c r="F102" s="87" t="str">
        <f>IF($A102="","",IFERROR(INDEX(PROGRES!$A$2:$A$92,MATCH(E102,PROGRES!$B$2:$B$92,0)),"-"))</f>
        <v>Jawa Timur</v>
      </c>
      <c r="G102" s="87" t="str">
        <f>IF($A102="","",UPPER(TRIM(INDEX(FORM!$F:$F,ROW()))))</f>
        <v>JATIM</v>
      </c>
      <c r="H102" s="87" t="str">
        <f>IF($A102="","",UPPER(TRIM(INDEX(FORM!$E:$E,ROW()))))</f>
        <v>CRO</v>
      </c>
      <c r="I102" s="87" t="str">
        <f>IF($A102="","",UPPER(TRIM(INDEX(FORM!$G:$G,ROW()))))</f>
        <v>CUKUP</v>
      </c>
      <c r="J102" s="87" t="str">
        <f>IF($A102="","",IF(ISNUMBER(SEARCH("Ya,",INDEX(FORM!$H:$H,ROW()))),"YA",IF(ISNUMBER(SEARCH("Cukup,",INDEX(FORM!$H:$H,ROW()))),"CUKUP",IF(ISNUMBER(SEARCH("Kurang,",INDEX(FORM!$H:$H,ROW()))),"KURANG",""))))</f>
        <v>YA</v>
      </c>
      <c r="K102" s="87" t="str">
        <f>IF($A102="","",UPPER(TRIM(INDEX(FORM!$J:$J,ROW()))))</f>
        <v>MUDAH</v>
      </c>
      <c r="L102" s="87">
        <f>IF($A102="","",IF(ISNUMBER(SEARCH("Aktivitas Harian",INDEX(FORM!$K:$K,ROW()))),1,0))</f>
        <v>1</v>
      </c>
      <c r="M102" s="87">
        <f>IF($A102="","",IF(ISNUMBER(SEARCH("Aktivitas Mingguan",INDEX(FORM!$K:$K,ROW()))),1,0))</f>
        <v>0</v>
      </c>
      <c r="N102" s="87">
        <f>IF($A102="","",IF(ISNUMBER(SEARCH("Aktivitas Bulanan",INDEX(FORM!$K:$K,ROW()))),1,0))</f>
        <v>0</v>
      </c>
      <c r="O102" s="87">
        <f>IF($A102="","",IF(ISNUMBER(SEARCH("Overview Cabang",INDEX(FORM!$K:$K,ROW()))),1,0))</f>
        <v>0</v>
      </c>
      <c r="P102" s="87">
        <f>IF($A102="","",IFERROR(VLOOKUP(I102,DATA!$AH$9:$AI$13,2,0),""))</f>
        <v>2</v>
      </c>
      <c r="Q102" s="87">
        <f>IF($A102="","",IFERROR(VLOOKUP(J102,DATA!$AH$9:$AI$13,2,0),""))</f>
        <v>3</v>
      </c>
      <c r="R102" s="87">
        <f>IF($A102="","",IFERROR(VLOOKUP(K102,DATA!$AH$9:$AI$13,2,0),""))</f>
        <v>3</v>
      </c>
      <c r="S102" s="89">
        <f t="shared" si="22"/>
        <v>2.6666666666666665</v>
      </c>
      <c r="T102" s="87">
        <f>IF($A102="","",IF(COUNTIF($D$2:D102,D102)=1,1,0))</f>
        <v>1</v>
      </c>
      <c r="U102" s="87" t="str">
        <f>IF($A102="","",IF(F102="-","Cabang tdk ada",IF(IFERROR(VLOOKUP(G102,#REF!,1,0),"")="","",IF(INDEX(DATA!$AH$2:$AH$5,MATCH(G102,DATA!$AI$2:$AI$5,0))&lt;&gt;F102,"Wilayah beda","OK"))))</f>
        <v/>
      </c>
      <c r="V102" s="87" t="str">
        <f>IF($A102="","",TRIM(INDEX(FORM!$I:$I,ROW())&amp;""))</f>
        <v>Website sudah bagus</v>
      </c>
      <c r="W102" s="87" t="str">
        <f>IF($A102="","",TRIM(INDEX(FORM!$L:$L,ROW())&amp;""))</f>
        <v>Sudah cukup</v>
      </c>
      <c r="X102" s="87" t="str">
        <f>IF($A102="","",TRIM(INDEX(FORM!$M:$M,ROW())&amp;""))</f>
        <v>Agar di tingkatkan lagi website terkadang masih lemot ke tika di akses banyak user</v>
      </c>
      <c r="Y102" s="8">
        <f>IF($A102="","",IFERROR(MATCH(F102,DATA!$AH$2:$AH$5,0),9)*10000+A102)</f>
        <v>30101</v>
      </c>
      <c r="Z102" s="87" t="str">
        <f t="shared" si="23"/>
        <v>Tidak ada masukan / sudah baik</v>
      </c>
      <c r="AA102" s="87" t="str">
        <f t="shared" si="24"/>
        <v>Tidak ada masukan / sudah baik</v>
      </c>
      <c r="AB102" s="87" t="str">
        <f t="shared" si="25"/>
        <v>Kecepatan Akses Website</v>
      </c>
      <c r="AC102" s="87"/>
      <c r="AD102" s="87"/>
      <c r="AE102" s="87"/>
      <c r="AK102" s="90">
        <f t="shared" si="26"/>
        <v>1</v>
      </c>
      <c r="AL102" s="90">
        <f t="shared" si="27"/>
        <v>0</v>
      </c>
      <c r="AM102" s="90">
        <f t="shared" si="28"/>
        <v>0</v>
      </c>
      <c r="AN102" s="90">
        <f t="shared" si="29"/>
        <v>0</v>
      </c>
      <c r="AO102" s="90">
        <f t="shared" si="30"/>
        <v>0</v>
      </c>
      <c r="AP102" s="90">
        <f t="shared" si="31"/>
        <v>0</v>
      </c>
      <c r="AQ102" s="90">
        <f t="shared" si="32"/>
        <v>0</v>
      </c>
      <c r="AR102" s="90">
        <f t="shared" si="33"/>
        <v>0</v>
      </c>
      <c r="AS102" s="90">
        <f t="shared" si="34"/>
        <v>0</v>
      </c>
      <c r="AT102" s="90">
        <f t="shared" si="35"/>
        <v>0</v>
      </c>
      <c r="AU102" s="90">
        <f t="shared" si="36"/>
        <v>0</v>
      </c>
      <c r="AV102" s="90">
        <f t="shared" si="37"/>
        <v>0</v>
      </c>
      <c r="AW102" s="90">
        <f t="shared" si="38"/>
        <v>0</v>
      </c>
      <c r="AX102" s="90">
        <f t="shared" si="39"/>
        <v>0</v>
      </c>
      <c r="AY102" s="90">
        <f t="shared" si="40"/>
        <v>0</v>
      </c>
      <c r="AZ102" s="90">
        <f t="shared" si="41"/>
        <v>0</v>
      </c>
      <c r="BA102" s="90">
        <f t="shared" si="42"/>
        <v>0</v>
      </c>
      <c r="BB102" s="90">
        <f t="shared" si="43"/>
        <v>1</v>
      </c>
    </row>
    <row r="103" spans="1:54">
      <c r="A103" s="87">
        <f>IF(INDEX(FORM!$A:$A,ROW())="","",ROW()-1)</f>
        <v>102</v>
      </c>
      <c r="B103" s="88">
        <f>IF($A103="","",INDEX(FORM!$A:$A,ROW()))</f>
        <v>46310.4020648843</v>
      </c>
      <c r="C103" s="87" t="str">
        <f>IF($A103="","",TRIM(INDEX(FORM!$B:$B,ROW())))</f>
        <v>muhamad alfaian jauhari</v>
      </c>
      <c r="D103" s="87" t="str">
        <f>IF($A103="","",TRIM(INDEX(FORM!$C:$C,ROW())&amp;""))</f>
        <v>1510737</v>
      </c>
      <c r="E103" s="87" t="str">
        <f>IF($A103="","",UPPER(TRIM(INDEX(FORM!$D:$D,ROW()))))</f>
        <v>UNGARAN</v>
      </c>
      <c r="F103" s="87" t="str">
        <f>IF($A103="","",IFERROR(INDEX(PROGRES!$A$2:$A$92,MATCH(E103,PROGRES!$B$2:$B$92,0)),"-"))</f>
        <v>Jawa Tengah</v>
      </c>
      <c r="G103" s="87" t="str">
        <f>IF($A103="","",UPPER(TRIM(INDEX(FORM!$F:$F,ROW()))))</f>
        <v>JATENG DIY</v>
      </c>
      <c r="H103" s="87" t="str">
        <f>IF($A103="","",UPPER(TRIM(INDEX(FORM!$E:$E,ROW()))))</f>
        <v>CRO</v>
      </c>
      <c r="I103" s="87" t="str">
        <f>IF($A103="","",UPPER(TRIM(INDEX(FORM!$G:$G,ROW()))))</f>
        <v>MUDAH</v>
      </c>
      <c r="J103" s="87" t="str">
        <f>IF($A103="","",IF(ISNUMBER(SEARCH("Ya,",INDEX(FORM!$H:$H,ROW()))),"YA",IF(ISNUMBER(SEARCH("Cukup,",INDEX(FORM!$H:$H,ROW()))),"CUKUP",IF(ISNUMBER(SEARCH("Kurang,",INDEX(FORM!$H:$H,ROW()))),"KURANG",""))))</f>
        <v>YA</v>
      </c>
      <c r="K103" s="87" t="str">
        <f>IF($A103="","",UPPER(TRIM(INDEX(FORM!$J:$J,ROW()))))</f>
        <v>CUKUP</v>
      </c>
      <c r="L103" s="87">
        <f>IF($A103="","",IF(ISNUMBER(SEARCH("Aktivitas Harian",INDEX(FORM!$K:$K,ROW()))),1,0))</f>
        <v>1</v>
      </c>
      <c r="M103" s="87">
        <f>IF($A103="","",IF(ISNUMBER(SEARCH("Aktivitas Mingguan",INDEX(FORM!$K:$K,ROW()))),1,0))</f>
        <v>0</v>
      </c>
      <c r="N103" s="87">
        <f>IF($A103="","",IF(ISNUMBER(SEARCH("Aktivitas Bulanan",INDEX(FORM!$K:$K,ROW()))),1,0))</f>
        <v>0</v>
      </c>
      <c r="O103" s="87">
        <f>IF($A103="","",IF(ISNUMBER(SEARCH("Overview Cabang",INDEX(FORM!$K:$K,ROW()))),1,0))</f>
        <v>0</v>
      </c>
      <c r="P103" s="87">
        <f>IF($A103="","",IFERROR(VLOOKUP(I103,DATA!$AH$9:$AI$13,2,0),""))</f>
        <v>3</v>
      </c>
      <c r="Q103" s="87">
        <f>IF($A103="","",IFERROR(VLOOKUP(J103,DATA!$AH$9:$AI$13,2,0),""))</f>
        <v>3</v>
      </c>
      <c r="R103" s="87">
        <f>IF($A103="","",IFERROR(VLOOKUP(K103,DATA!$AH$9:$AI$13,2,0),""))</f>
        <v>2</v>
      </c>
      <c r="S103" s="89">
        <f t="shared" si="22"/>
        <v>2.6666666666666665</v>
      </c>
      <c r="T103" s="87">
        <f>IF($A103="","",IF(COUNTIF($D$2:D103,D103)=1,1,0))</f>
        <v>1</v>
      </c>
      <c r="U103" s="87" t="str">
        <f>IF($A103="","",IF(F103="-","Cabang tdk ada",IF(IFERROR(VLOOKUP(G103,#REF!,1,0),"")="","",IF(INDEX(DATA!$AH$2:$AH$5,MATCH(G103,DATA!$AI$2:$AI$5,0))&lt;&gt;F103,"Wilayah beda","OK"))))</f>
        <v/>
      </c>
      <c r="V103" s="87" t="str">
        <f>IF($A103="","",TRIM(INDEX(FORM!$I:$I,ROW())&amp;""))</f>
        <v>cukup</v>
      </c>
      <c r="W103" s="87" t="str">
        <f>IF($A103="","",TRIM(INDEX(FORM!$L:$L,ROW())&amp;""))</f>
        <v>semua sudah tercakup dalam handbook</v>
      </c>
      <c r="X103" s="87" t="str">
        <f>IF($A103="","",TRIM(INDEX(FORM!$M:$M,ROW())&amp;""))</f>
        <v>untuk tampilan bisa lebih simple</v>
      </c>
      <c r="Y103" s="8">
        <f>IF($A103="","",IFERROR(MATCH(F103,DATA!$AH$2:$AH$5,0),9)*10000+A103)</f>
        <v>20102</v>
      </c>
      <c r="Z103" s="87" t="str">
        <f t="shared" si="23"/>
        <v>Tidak ada masukan / sudah baik</v>
      </c>
      <c r="AA103" s="87" t="str">
        <f t="shared" si="24"/>
        <v>Tidak ada masukan / sudah baik</v>
      </c>
      <c r="AB103" s="87" t="str">
        <f t="shared" si="25"/>
        <v>Penyederhanaan Isi</v>
      </c>
      <c r="AC103" s="87"/>
      <c r="AD103" s="87"/>
      <c r="AE103" s="87"/>
      <c r="AK103" s="90">
        <f t="shared" si="26"/>
        <v>0</v>
      </c>
      <c r="AL103" s="90">
        <f t="shared" si="27"/>
        <v>0</v>
      </c>
      <c r="AM103" s="90">
        <f t="shared" si="28"/>
        <v>0</v>
      </c>
      <c r="AN103" s="90">
        <f t="shared" si="29"/>
        <v>0</v>
      </c>
      <c r="AO103" s="90">
        <f t="shared" si="30"/>
        <v>0</v>
      </c>
      <c r="AP103" s="90">
        <f t="shared" si="31"/>
        <v>0</v>
      </c>
      <c r="AQ103" s="90">
        <f t="shared" si="32"/>
        <v>1</v>
      </c>
      <c r="AR103" s="90">
        <f t="shared" si="33"/>
        <v>0</v>
      </c>
      <c r="AS103" s="90">
        <f t="shared" si="34"/>
        <v>0</v>
      </c>
      <c r="AT103" s="90">
        <f t="shared" si="35"/>
        <v>0</v>
      </c>
      <c r="AU103" s="90">
        <f t="shared" si="36"/>
        <v>0</v>
      </c>
      <c r="AV103" s="90">
        <f t="shared" si="37"/>
        <v>0</v>
      </c>
      <c r="AW103" s="90">
        <f t="shared" si="38"/>
        <v>0</v>
      </c>
      <c r="AX103" s="90">
        <f t="shared" si="39"/>
        <v>0</v>
      </c>
      <c r="AY103" s="90">
        <f t="shared" si="40"/>
        <v>0</v>
      </c>
      <c r="AZ103" s="90">
        <f t="shared" si="41"/>
        <v>0</v>
      </c>
      <c r="BA103" s="90">
        <f t="shared" si="42"/>
        <v>0</v>
      </c>
      <c r="BB103" s="90">
        <f t="shared" si="43"/>
        <v>1</v>
      </c>
    </row>
    <row r="104" spans="1:54">
      <c r="A104" s="87">
        <f>IF(INDEX(FORM!$A:$A,ROW())="","",ROW()-1)</f>
        <v>103</v>
      </c>
      <c r="B104" s="88">
        <f>IF($A104="","",INDEX(FORM!$A:$A,ROW()))</f>
        <v>46310.402430891198</v>
      </c>
      <c r="C104" s="87" t="str">
        <f>IF($A104="","",TRIM(INDEX(FORM!$B:$B,ROW())))</f>
        <v>Rizki Wakid Khasbulloh</v>
      </c>
      <c r="D104" s="87" t="str">
        <f>IF($A104="","",TRIM(INDEX(FORM!$C:$C,ROW())&amp;""))</f>
        <v>1510857</v>
      </c>
      <c r="E104" s="87" t="str">
        <f>IF($A104="","",UPPER(TRIM(INDEX(FORM!$D:$D,ROW()))))</f>
        <v>TULUNGAGUNG</v>
      </c>
      <c r="F104" s="87" t="str">
        <f>IF($A104="","",IFERROR(INDEX(PROGRES!$A$2:$A$92,MATCH(E104,PROGRES!$B$2:$B$92,0)),"-"))</f>
        <v>Jawa Timur</v>
      </c>
      <c r="G104" s="87" t="str">
        <f>IF($A104="","",UPPER(TRIM(INDEX(FORM!$F:$F,ROW()))))</f>
        <v>JATIM</v>
      </c>
      <c r="H104" s="87" t="str">
        <f>IF($A104="","",UPPER(TRIM(INDEX(FORM!$E:$E,ROW()))))</f>
        <v>CRO</v>
      </c>
      <c r="I104" s="87" t="str">
        <f>IF($A104="","",UPPER(TRIM(INDEX(FORM!$G:$G,ROW()))))</f>
        <v>MUDAH</v>
      </c>
      <c r="J104" s="87" t="str">
        <f>IF($A104="","",IF(ISNUMBER(SEARCH("Ya,",INDEX(FORM!$H:$H,ROW()))),"YA",IF(ISNUMBER(SEARCH("Cukup,",INDEX(FORM!$H:$H,ROW()))),"CUKUP",IF(ISNUMBER(SEARCH("Kurang,",INDEX(FORM!$H:$H,ROW()))),"KURANG",""))))</f>
        <v>YA</v>
      </c>
      <c r="K104" s="87" t="str">
        <f>IF($A104="","",UPPER(TRIM(INDEX(FORM!$J:$J,ROW()))))</f>
        <v>MUDAH</v>
      </c>
      <c r="L104" s="87">
        <f>IF($A104="","",IF(ISNUMBER(SEARCH("Aktivitas Harian",INDEX(FORM!$K:$K,ROW()))),1,0))</f>
        <v>1</v>
      </c>
      <c r="M104" s="87">
        <f>IF($A104="","",IF(ISNUMBER(SEARCH("Aktivitas Mingguan",INDEX(FORM!$K:$K,ROW()))),1,0))</f>
        <v>0</v>
      </c>
      <c r="N104" s="87">
        <f>IF($A104="","",IF(ISNUMBER(SEARCH("Aktivitas Bulanan",INDEX(FORM!$K:$K,ROW()))),1,0))</f>
        <v>0</v>
      </c>
      <c r="O104" s="87">
        <f>IF($A104="","",IF(ISNUMBER(SEARCH("Overview Cabang",INDEX(FORM!$K:$K,ROW()))),1,0))</f>
        <v>1</v>
      </c>
      <c r="P104" s="87">
        <f>IF($A104="","",IFERROR(VLOOKUP(I104,DATA!$AH$9:$AI$13,2,0),""))</f>
        <v>3</v>
      </c>
      <c r="Q104" s="87">
        <f>IF($A104="","",IFERROR(VLOOKUP(J104,DATA!$AH$9:$AI$13,2,0),""))</f>
        <v>3</v>
      </c>
      <c r="R104" s="87">
        <f>IF($A104="","",IFERROR(VLOOKUP(K104,DATA!$AH$9:$AI$13,2,0),""))</f>
        <v>3</v>
      </c>
      <c r="S104" s="89">
        <f t="shared" si="22"/>
        <v>3</v>
      </c>
      <c r="T104" s="87">
        <f>IF($A104="","",IF(COUNTIF($D$2:D104,D104)=1,1,0))</f>
        <v>1</v>
      </c>
      <c r="U104" s="87" t="str">
        <f>IF($A104="","",IF(F104="-","Cabang tdk ada",IF(IFERROR(VLOOKUP(G104,#REF!,1,0),"")="","",IF(INDEX(DATA!$AH$2:$AH$5,MATCH(G104,DATA!$AI$2:$AI$5,0))&lt;&gt;F104,"Wilayah beda","OK"))))</f>
        <v/>
      </c>
      <c r="V104" s="87" t="str">
        <f>IF($A104="","",TRIM(INDEX(FORM!$I:$I,ROW())&amp;""))</f>
        <v>Tambahkan menu seluruh cabang, termasuk kinerja kantor pusat</v>
      </c>
      <c r="W104" s="87" t="str">
        <f>IF($A104="","",TRIM(INDEX(FORM!$L:$L,ROW())&amp;""))</f>
        <v>Tidak ada</v>
      </c>
      <c r="X104" s="87" t="str">
        <f>IF($A104="","",TRIM(INDEX(FORM!$M:$M,ROW())&amp;""))</f>
        <v>Tambahkan menu seluruh cabang, termasuk kinerja kantor pusat</v>
      </c>
      <c r="Y104" s="8">
        <f>IF($A104="","",IFERROR(MATCH(F104,DATA!$AH$2:$AH$5,0),9)*10000+A104)</f>
        <v>30103</v>
      </c>
      <c r="Z104" s="87" t="str">
        <f t="shared" si="23"/>
        <v>Integrasi dengan SACS / Aplikasi</v>
      </c>
      <c r="AA104" s="87" t="str">
        <f t="shared" si="24"/>
        <v>Tidak ada masukan / sudah baik</v>
      </c>
      <c r="AB104" s="87" t="str">
        <f t="shared" si="25"/>
        <v>Fitur Baru (Dashboard / KPI / Database)</v>
      </c>
      <c r="AC104" s="87"/>
      <c r="AD104" s="87"/>
      <c r="AE104" s="87"/>
      <c r="AK104" s="90">
        <f t="shared" si="26"/>
        <v>0</v>
      </c>
      <c r="AL104" s="90">
        <f t="shared" si="27"/>
        <v>0</v>
      </c>
      <c r="AM104" s="90">
        <f t="shared" si="28"/>
        <v>0</v>
      </c>
      <c r="AN104" s="90">
        <f t="shared" si="29"/>
        <v>0</v>
      </c>
      <c r="AO104" s="90">
        <f t="shared" si="30"/>
        <v>1</v>
      </c>
      <c r="AP104" s="90">
        <f t="shared" si="31"/>
        <v>1</v>
      </c>
      <c r="AQ104" s="90">
        <f t="shared" si="32"/>
        <v>0</v>
      </c>
      <c r="AR104" s="90">
        <f t="shared" si="33"/>
        <v>0</v>
      </c>
      <c r="AS104" s="90">
        <f t="shared" si="34"/>
        <v>0</v>
      </c>
      <c r="AT104" s="90">
        <f t="shared" si="35"/>
        <v>0</v>
      </c>
      <c r="AU104" s="90">
        <f t="shared" si="36"/>
        <v>0</v>
      </c>
      <c r="AV104" s="90">
        <f t="shared" si="37"/>
        <v>0</v>
      </c>
      <c r="AW104" s="90">
        <f t="shared" si="38"/>
        <v>0</v>
      </c>
      <c r="AX104" s="90">
        <f t="shared" si="39"/>
        <v>0</v>
      </c>
      <c r="AY104" s="90">
        <f t="shared" si="40"/>
        <v>0</v>
      </c>
      <c r="AZ104" s="90">
        <f t="shared" si="41"/>
        <v>0</v>
      </c>
      <c r="BA104" s="90">
        <f t="shared" si="42"/>
        <v>0</v>
      </c>
      <c r="BB104" s="90">
        <f t="shared" si="43"/>
        <v>1</v>
      </c>
    </row>
    <row r="105" spans="1:54" s="5" customFormat="1" hidden="1">
      <c r="A105" s="8">
        <f>IF(INDEX(FORM!$A:$A,ROW())="","",ROW()-1)</f>
        <v>104</v>
      </c>
      <c r="B105" s="41">
        <f>IF($A105="","",INDEX(FORM!$A:$A,ROW()))</f>
        <v>46310.402622419002</v>
      </c>
      <c r="C105" s="8" t="str">
        <f>IF($A105="","",TRIM(INDEX(FORM!$B:$B,ROW())))</f>
        <v>Choirul Andhi</v>
      </c>
      <c r="D105" s="8" t="str">
        <f>IF($A105="","",TRIM(INDEX(FORM!$C:$C,ROW())&amp;""))</f>
        <v>1511316</v>
      </c>
      <c r="E105" s="8" t="str">
        <f>IF($A105="","",UPPER(TRIM(INDEX(FORM!$D:$D,ROW()))))</f>
        <v>PEKALONGAN</v>
      </c>
      <c r="F105" s="8" t="str">
        <f>IF($A105="","",IFERROR(INDEX(PROGRES!$A$2:$A$92,MATCH(E105,PROGRES!$B$2:$B$92,0)),"-"))</f>
        <v>Jawa Tengah</v>
      </c>
      <c r="G105" s="8" t="str">
        <f>IF($A105="","",UPPER(TRIM(INDEX(FORM!$F:$F,ROW()))))</f>
        <v>JATENG DIY</v>
      </c>
      <c r="H105" s="8" t="str">
        <f>IF($A105="","",UPPER(TRIM(INDEX(FORM!$E:$E,ROW()))))</f>
        <v>BAO</v>
      </c>
      <c r="I105" s="8" t="str">
        <f>IF($A105="","",UPPER(TRIM(INDEX(FORM!$G:$G,ROW()))))</f>
        <v>CUKUP</v>
      </c>
      <c r="J105" s="8" t="str">
        <f>IF($A105="","",IF(ISNUMBER(SEARCH("Ya,",INDEX(FORM!$H:$H,ROW()))),"YA",IF(ISNUMBER(SEARCH("Cukup,",INDEX(FORM!$H:$H,ROW()))),"CUKUP",IF(ISNUMBER(SEARCH("Kurang,",INDEX(FORM!$H:$H,ROW()))),"KURANG",""))))</f>
        <v>CUKUP</v>
      </c>
      <c r="K105" s="8" t="str">
        <f>IF($A105="","",UPPER(TRIM(INDEX(FORM!$J:$J,ROW()))))</f>
        <v>MUDAH</v>
      </c>
      <c r="L105" s="8">
        <f>IF($A105="","",IF(ISNUMBER(SEARCH("Aktivitas Harian",INDEX(FORM!$K:$K,ROW()))),1,0))</f>
        <v>1</v>
      </c>
      <c r="M105" s="8">
        <f>IF($A105="","",IF(ISNUMBER(SEARCH("Aktivitas Mingguan",INDEX(FORM!$K:$K,ROW()))),1,0))</f>
        <v>0</v>
      </c>
      <c r="N105" s="8">
        <f>IF($A105="","",IF(ISNUMBER(SEARCH("Aktivitas Bulanan",INDEX(FORM!$K:$K,ROW()))),1,0))</f>
        <v>0</v>
      </c>
      <c r="O105" s="8">
        <f>IF($A105="","",IF(ISNUMBER(SEARCH("Overview Cabang",INDEX(FORM!$K:$K,ROW()))),1,0))</f>
        <v>0</v>
      </c>
      <c r="P105" s="8">
        <f>IF($A105="","",IFERROR(VLOOKUP(I105,DATA!$AH$9:$AI$13,2,0),""))</f>
        <v>2</v>
      </c>
      <c r="Q105" s="8">
        <f>IF($A105="","",IFERROR(VLOOKUP(J105,DATA!$AH$9:$AI$13,2,0),""))</f>
        <v>2</v>
      </c>
      <c r="R105" s="8">
        <f>IF($A105="","",IFERROR(VLOOKUP(K105,DATA!$AH$9:$AI$13,2,0),""))</f>
        <v>3</v>
      </c>
      <c r="S105" s="42">
        <f t="shared" si="22"/>
        <v>2.3333333333333335</v>
      </c>
      <c r="T105" s="8">
        <f>IF($A105="","",IF(COUNTIF($D$2:D105,D105)=1,1,0))</f>
        <v>1</v>
      </c>
      <c r="U105" s="8" t="str">
        <f>IF($A105="","",IF(F105="-","Cabang tdk ada",IF(IFERROR(VLOOKUP(G105,#REF!,1,0),"")="","",IF(INDEX(DATA!$AH$2:$AH$5,MATCH(G105,DATA!$AI$2:$AI$5,0))&lt;&gt;F105,"Wilayah beda","OK"))))</f>
        <v/>
      </c>
      <c r="V105" s="8" t="str">
        <f>IF($A105="","",TRIM(INDEX(FORM!$I:$I,ROW())&amp;""))</f>
        <v>masih agak lemot ketika buka website</v>
      </c>
      <c r="W105" s="8" t="str">
        <f>IF($A105="","",TRIM(INDEX(FORM!$L:$L,ROW())&amp;""))</f>
        <v>Sdh cukup</v>
      </c>
      <c r="X105" s="8" t="str">
        <f>IF($A105="","",TRIM(INDEX(FORM!$M:$M,ROW())&amp;""))</f>
        <v>tdk ada</v>
      </c>
      <c r="Y105" s="8">
        <f>IF($A105="","",IFERROR(MATCH(F105,DATA!$AH$2:$AH$5,0),9)*10000+A105)</f>
        <v>20104</v>
      </c>
      <c r="Z105" s="8" t="str">
        <f t="shared" si="23"/>
        <v>Kecepatan &amp; Loading Website</v>
      </c>
      <c r="AA105" s="8" t="str">
        <f t="shared" si="24"/>
        <v>Tidak ada masukan / sudah baik</v>
      </c>
      <c r="AB105" s="8" t="str">
        <f t="shared" si="25"/>
        <v>Tidak ada masukan / sudah baik</v>
      </c>
      <c r="AC105" s="8"/>
      <c r="AD105" s="8"/>
      <c r="AE105" s="8"/>
      <c r="AK105" s="5">
        <f t="shared" si="26"/>
        <v>1</v>
      </c>
      <c r="AL105" s="5">
        <f t="shared" si="27"/>
        <v>0</v>
      </c>
      <c r="AM105" s="5">
        <f t="shared" si="28"/>
        <v>0</v>
      </c>
      <c r="AN105" s="5">
        <f t="shared" si="29"/>
        <v>0</v>
      </c>
      <c r="AO105" s="5">
        <f t="shared" si="30"/>
        <v>0</v>
      </c>
      <c r="AP105" s="5">
        <f t="shared" si="31"/>
        <v>0</v>
      </c>
      <c r="AQ105" s="5">
        <f t="shared" si="32"/>
        <v>0</v>
      </c>
      <c r="AR105" s="5">
        <f t="shared" si="33"/>
        <v>0</v>
      </c>
      <c r="AS105" s="5">
        <f t="shared" si="34"/>
        <v>0</v>
      </c>
      <c r="AT105" s="5">
        <f t="shared" si="35"/>
        <v>0</v>
      </c>
      <c r="AU105" s="5">
        <f t="shared" si="36"/>
        <v>0</v>
      </c>
      <c r="AV105" s="5">
        <f t="shared" si="37"/>
        <v>0</v>
      </c>
      <c r="AW105" s="5">
        <f t="shared" si="38"/>
        <v>0</v>
      </c>
      <c r="AX105" s="5">
        <f t="shared" si="39"/>
        <v>0</v>
      </c>
      <c r="AY105" s="5">
        <f t="shared" si="40"/>
        <v>0</v>
      </c>
      <c r="AZ105" s="5">
        <f t="shared" si="41"/>
        <v>0</v>
      </c>
      <c r="BA105" s="5">
        <f t="shared" si="42"/>
        <v>0</v>
      </c>
      <c r="BB105" s="5">
        <f t="shared" si="43"/>
        <v>1</v>
      </c>
    </row>
    <row r="106" spans="1:54" s="5" customFormat="1" hidden="1">
      <c r="A106" s="8">
        <f>IF(INDEX(FORM!$A:$A,ROW())="","",ROW()-1)</f>
        <v>105</v>
      </c>
      <c r="B106" s="41">
        <f>IF($A106="","",INDEX(FORM!$A:$A,ROW()))</f>
        <v>46310.403557604201</v>
      </c>
      <c r="C106" s="8" t="str">
        <f>IF($A106="","",TRIM(INDEX(FORM!$B:$B,ROW())))</f>
        <v>Sulih</v>
      </c>
      <c r="D106" s="8" t="str">
        <f>IF($A106="","",TRIM(INDEX(FORM!$C:$C,ROW())&amp;""))</f>
        <v>00845</v>
      </c>
      <c r="E106" s="8" t="str">
        <f>IF($A106="","",UPPER(TRIM(INDEX(FORM!$D:$D,ROW()))))</f>
        <v>KEDIRI</v>
      </c>
      <c r="F106" s="8" t="str">
        <f>IF($A106="","",IFERROR(INDEX(PROGRES!$A$2:$A$92,MATCH(E106,PROGRES!$B$2:$B$92,0)),"-"))</f>
        <v>Jawa Timur</v>
      </c>
      <c r="G106" s="8" t="str">
        <f>IF($A106="","",UPPER(TRIM(INDEX(FORM!$F:$F,ROW()))))</f>
        <v>JATIM</v>
      </c>
      <c r="H106" s="8" t="str">
        <f>IF($A106="","",UPPER(TRIM(INDEX(FORM!$E:$E,ROW()))))</f>
        <v>BM</v>
      </c>
      <c r="I106" s="8" t="str">
        <f>IF($A106="","",UPPER(TRIM(INDEX(FORM!$G:$G,ROW()))))</f>
        <v>CUKUP</v>
      </c>
      <c r="J106" s="8" t="str">
        <f>IF($A106="","",IF(ISNUMBER(SEARCH("Ya,",INDEX(FORM!$H:$H,ROW()))),"YA",IF(ISNUMBER(SEARCH("Cukup,",INDEX(FORM!$H:$H,ROW()))),"CUKUP",IF(ISNUMBER(SEARCH("Kurang,",INDEX(FORM!$H:$H,ROW()))),"KURANG",""))))</f>
        <v>YA</v>
      </c>
      <c r="K106" s="8" t="str">
        <f>IF($A106="","",UPPER(TRIM(INDEX(FORM!$J:$J,ROW()))))</f>
        <v>CUKUP</v>
      </c>
      <c r="L106" s="8">
        <f>IF($A106="","",IF(ISNUMBER(SEARCH("Aktivitas Harian",INDEX(FORM!$K:$K,ROW()))),1,0))</f>
        <v>0</v>
      </c>
      <c r="M106" s="8">
        <f>IF($A106="","",IF(ISNUMBER(SEARCH("Aktivitas Mingguan",INDEX(FORM!$K:$K,ROW()))),1,0))</f>
        <v>0</v>
      </c>
      <c r="N106" s="8">
        <f>IF($A106="","",IF(ISNUMBER(SEARCH("Aktivitas Bulanan",INDEX(FORM!$K:$K,ROW()))),1,0))</f>
        <v>1</v>
      </c>
      <c r="O106" s="8">
        <f>IF($A106="","",IF(ISNUMBER(SEARCH("Overview Cabang",INDEX(FORM!$K:$K,ROW()))),1,0))</f>
        <v>0</v>
      </c>
      <c r="P106" s="8">
        <f>IF($A106="","",IFERROR(VLOOKUP(I106,DATA!$AH$9:$AI$13,2,0),""))</f>
        <v>2</v>
      </c>
      <c r="Q106" s="8">
        <f>IF($A106="","",IFERROR(VLOOKUP(J106,DATA!$AH$9:$AI$13,2,0),""))</f>
        <v>3</v>
      </c>
      <c r="R106" s="8">
        <f>IF($A106="","",IFERROR(VLOOKUP(K106,DATA!$AH$9:$AI$13,2,0),""))</f>
        <v>2</v>
      </c>
      <c r="S106" s="42">
        <f t="shared" si="22"/>
        <v>2.3333333333333335</v>
      </c>
      <c r="T106" s="8">
        <f>IF($A106="","",IF(COUNTIF($D$2:D106,D106)=1,1,0))</f>
        <v>1</v>
      </c>
      <c r="U106" s="8" t="str">
        <f>IF($A106="","",IF(F106="-","Cabang tdk ada",IF(IFERROR(VLOOKUP(G106,#REF!,1,0),"")="","",IF(INDEX(DATA!$AH$2:$AH$5,MATCH(G106,DATA!$AI$2:$AI$5,0))&lt;&gt;F106,"Wilayah beda","OK"))))</f>
        <v/>
      </c>
      <c r="V106" s="8" t="str">
        <f>IF($A106="","",TRIM(INDEX(FORM!$I:$I,ROW())&amp;""))</f>
        <v>-</v>
      </c>
      <c r="W106" s="8" t="str">
        <f>IF($A106="","",TRIM(INDEX(FORM!$L:$L,ROW())&amp;""))</f>
        <v>-</v>
      </c>
      <c r="X106" s="8" t="str">
        <f>IF($A106="","",TRIM(INDEX(FORM!$M:$M,ROW())&amp;""))</f>
        <v>-</v>
      </c>
      <c r="Y106" s="8">
        <f>IF($A106="","",IFERROR(MATCH(F106,DATA!$AH$2:$AH$5,0),9)*10000+A106)</f>
        <v>30105</v>
      </c>
      <c r="Z106" s="8" t="str">
        <f t="shared" si="23"/>
        <v>Tidak ada masukan / sudah baik</v>
      </c>
      <c r="AA106" s="8" t="str">
        <f t="shared" si="24"/>
        <v>Tidak ada masukan / sudah baik</v>
      </c>
      <c r="AB106" s="8" t="str">
        <f t="shared" si="25"/>
        <v>Tidak ada masukan / sudah baik</v>
      </c>
      <c r="AC106" s="8"/>
      <c r="AD106" s="8"/>
      <c r="AE106" s="8"/>
      <c r="AK106" s="5">
        <f t="shared" si="26"/>
        <v>0</v>
      </c>
      <c r="AL106" s="5">
        <f t="shared" si="27"/>
        <v>0</v>
      </c>
      <c r="AM106" s="5">
        <f t="shared" si="28"/>
        <v>0</v>
      </c>
      <c r="AN106" s="5">
        <f t="shared" si="29"/>
        <v>0</v>
      </c>
      <c r="AO106" s="5">
        <f t="shared" si="30"/>
        <v>0</v>
      </c>
      <c r="AP106" s="5">
        <f t="shared" si="31"/>
        <v>0</v>
      </c>
      <c r="AQ106" s="5">
        <f t="shared" si="32"/>
        <v>0</v>
      </c>
      <c r="AR106" s="5">
        <f t="shared" si="33"/>
        <v>0</v>
      </c>
      <c r="AS106" s="5">
        <f t="shared" si="34"/>
        <v>0</v>
      </c>
      <c r="AT106" s="5">
        <f t="shared" si="35"/>
        <v>0</v>
      </c>
      <c r="AU106" s="5">
        <f t="shared" si="36"/>
        <v>0</v>
      </c>
      <c r="AV106" s="5">
        <f t="shared" si="37"/>
        <v>0</v>
      </c>
      <c r="AW106" s="5">
        <f t="shared" si="38"/>
        <v>0</v>
      </c>
      <c r="AX106" s="5">
        <f t="shared" si="39"/>
        <v>0</v>
      </c>
      <c r="AY106" s="5">
        <f t="shared" si="40"/>
        <v>0</v>
      </c>
      <c r="AZ106" s="5">
        <f t="shared" si="41"/>
        <v>0</v>
      </c>
      <c r="BA106" s="5">
        <f t="shared" si="42"/>
        <v>0</v>
      </c>
      <c r="BB106" s="5">
        <f t="shared" si="43"/>
        <v>0</v>
      </c>
    </row>
    <row r="107" spans="1:54">
      <c r="A107" s="87">
        <f>IF(INDEX(FORM!$A:$A,ROW())="","",ROW()-1)</f>
        <v>106</v>
      </c>
      <c r="B107" s="88">
        <f>IF($A107="","",INDEX(FORM!$A:$A,ROW()))</f>
        <v>46310.404930162003</v>
      </c>
      <c r="C107" s="87" t="str">
        <f>IF($A107="","",TRIM(INDEX(FORM!$B:$B,ROW())))</f>
        <v>Dimas prasetyawan</v>
      </c>
      <c r="D107" s="87" t="str">
        <f>IF($A107="","",TRIM(INDEX(FORM!$C:$C,ROW())&amp;""))</f>
        <v>1510516</v>
      </c>
      <c r="E107" s="87" t="str">
        <f>IF($A107="","",UPPER(TRIM(INDEX(FORM!$D:$D,ROW()))))</f>
        <v>BONDOWOSO</v>
      </c>
      <c r="F107" s="87" t="str">
        <f>IF($A107="","",IFERROR(INDEX(PROGRES!$A$2:$A$92,MATCH(E107,PROGRES!$B$2:$B$92,0)),"-"))</f>
        <v>Jawa Timur</v>
      </c>
      <c r="G107" s="87" t="str">
        <f>IF($A107="","",UPPER(TRIM(INDEX(FORM!$F:$F,ROW()))))</f>
        <v>JATIM</v>
      </c>
      <c r="H107" s="87" t="str">
        <f>IF($A107="","",UPPER(TRIM(INDEX(FORM!$E:$E,ROW()))))</f>
        <v>CRO</v>
      </c>
      <c r="I107" s="87" t="str">
        <f>IF($A107="","",UPPER(TRIM(INDEX(FORM!$G:$G,ROW()))))</f>
        <v>MUDAH</v>
      </c>
      <c r="J107" s="87" t="str">
        <f>IF($A107="","",IF(ISNUMBER(SEARCH("Ya,",INDEX(FORM!$H:$H,ROW()))),"YA",IF(ISNUMBER(SEARCH("Cukup,",INDEX(FORM!$H:$H,ROW()))),"CUKUP",IF(ISNUMBER(SEARCH("Kurang,",INDEX(FORM!$H:$H,ROW()))),"KURANG",""))))</f>
        <v>YA</v>
      </c>
      <c r="K107" s="87" t="str">
        <f>IF($A107="","",UPPER(TRIM(INDEX(FORM!$J:$J,ROW()))))</f>
        <v>CUKUP</v>
      </c>
      <c r="L107" s="87">
        <f>IF($A107="","",IF(ISNUMBER(SEARCH("Aktivitas Harian",INDEX(FORM!$K:$K,ROW()))),1,0))</f>
        <v>0</v>
      </c>
      <c r="M107" s="87">
        <f>IF($A107="","",IF(ISNUMBER(SEARCH("Aktivitas Mingguan",INDEX(FORM!$K:$K,ROW()))),1,0))</f>
        <v>1</v>
      </c>
      <c r="N107" s="87">
        <f>IF($A107="","",IF(ISNUMBER(SEARCH("Aktivitas Bulanan",INDEX(FORM!$K:$K,ROW()))),1,0))</f>
        <v>0</v>
      </c>
      <c r="O107" s="87">
        <f>IF($A107="","",IF(ISNUMBER(SEARCH("Overview Cabang",INDEX(FORM!$K:$K,ROW()))),1,0))</f>
        <v>0</v>
      </c>
      <c r="P107" s="87">
        <f>IF($A107="","",IFERROR(VLOOKUP(I107,DATA!$AH$9:$AI$13,2,0),""))</f>
        <v>3</v>
      </c>
      <c r="Q107" s="87">
        <f>IF($A107="","",IFERROR(VLOOKUP(J107,DATA!$AH$9:$AI$13,2,0),""))</f>
        <v>3</v>
      </c>
      <c r="R107" s="87">
        <f>IF($A107="","",IFERROR(VLOOKUP(K107,DATA!$AH$9:$AI$13,2,0),""))</f>
        <v>2</v>
      </c>
      <c r="S107" s="89">
        <f t="shared" si="22"/>
        <v>2.6666666666666665</v>
      </c>
      <c r="T107" s="87">
        <f>IF($A107="","",IF(COUNTIF($D$2:D107,D107)=1,1,0))</f>
        <v>1</v>
      </c>
      <c r="U107" s="87" t="str">
        <f>IF($A107="","",IF(F107="-","Cabang tdk ada",IF(IFERROR(VLOOKUP(G107,#REF!,1,0),"")="","",IF(INDEX(DATA!$AH$2:$AH$5,MATCH(G107,DATA!$AI$2:$AI$5,0))&lt;&gt;F107,"Wilayah beda","OK"))))</f>
        <v/>
      </c>
      <c r="V107" s="87" t="str">
        <f>IF($A107="","",TRIM(INDEX(FORM!$I:$I,ROW())&amp;""))</f>
        <v>Sudah cukup bagus .</v>
      </c>
      <c r="W107" s="87" t="str">
        <f>IF($A107="","",TRIM(INDEX(FORM!$L:$L,ROW())&amp;""))</f>
        <v>Sudah lengkap</v>
      </c>
      <c r="X107" s="87" t="str">
        <f>IF($A107="","",TRIM(INDEX(FORM!$M:$M,ROW())&amp;""))</f>
        <v>Mekanisme pelanggan yang masuk tempo .. seperti pengajuan overdue dan restruk</v>
      </c>
      <c r="Y107" s="8">
        <f>IF($A107="","",IFERROR(MATCH(F107,DATA!$AH$2:$AH$5,0),9)*10000+A107)</f>
        <v>30106</v>
      </c>
      <c r="Z107" s="87" t="str">
        <f t="shared" si="23"/>
        <v>Tidak ada masukan / sudah baik</v>
      </c>
      <c r="AA107" s="87" t="str">
        <f t="shared" si="24"/>
        <v>Tidak ada masukan / sudah baik</v>
      </c>
      <c r="AB107" s="87" t="str">
        <f t="shared" si="25"/>
        <v>Penambahan Materi &amp; Template</v>
      </c>
      <c r="AC107" s="87"/>
      <c r="AD107" s="87"/>
      <c r="AE107" s="87"/>
      <c r="AK107" s="90">
        <f t="shared" si="26"/>
        <v>0</v>
      </c>
      <c r="AL107" s="90">
        <f t="shared" si="27"/>
        <v>0</v>
      </c>
      <c r="AM107" s="90">
        <f t="shared" si="28"/>
        <v>0</v>
      </c>
      <c r="AN107" s="90">
        <f t="shared" si="29"/>
        <v>0</v>
      </c>
      <c r="AO107" s="90">
        <f t="shared" si="30"/>
        <v>0</v>
      </c>
      <c r="AP107" s="90">
        <f t="shared" si="31"/>
        <v>0</v>
      </c>
      <c r="AQ107" s="90">
        <f t="shared" si="32"/>
        <v>0</v>
      </c>
      <c r="AR107" s="90">
        <f t="shared" si="33"/>
        <v>1</v>
      </c>
      <c r="AS107" s="90">
        <f t="shared" si="34"/>
        <v>0</v>
      </c>
      <c r="AT107" s="90">
        <f t="shared" si="35"/>
        <v>0</v>
      </c>
      <c r="AU107" s="90">
        <f t="shared" si="36"/>
        <v>0</v>
      </c>
      <c r="AV107" s="90">
        <f t="shared" si="37"/>
        <v>0</v>
      </c>
      <c r="AW107" s="90">
        <f t="shared" si="38"/>
        <v>0</v>
      </c>
      <c r="AX107" s="90">
        <f t="shared" si="39"/>
        <v>0</v>
      </c>
      <c r="AY107" s="90">
        <f t="shared" si="40"/>
        <v>0</v>
      </c>
      <c r="AZ107" s="90">
        <f t="shared" si="41"/>
        <v>0</v>
      </c>
      <c r="BA107" s="90">
        <f t="shared" si="42"/>
        <v>0</v>
      </c>
      <c r="BB107" s="90">
        <f t="shared" si="43"/>
        <v>1</v>
      </c>
    </row>
    <row r="108" spans="1:54" s="5" customFormat="1" hidden="1">
      <c r="A108" s="8">
        <f>IF(INDEX(FORM!$A:$A,ROW())="","",ROW()-1)</f>
        <v>107</v>
      </c>
      <c r="B108" s="41">
        <f>IF($A108="","",INDEX(FORM!$A:$A,ROW()))</f>
        <v>46310.405426979203</v>
      </c>
      <c r="C108" s="8" t="str">
        <f>IF($A108="","",TRIM(INDEX(FORM!$B:$B,ROW())))</f>
        <v>Ayu Iwantari</v>
      </c>
      <c r="D108" s="8" t="str">
        <f>IF($A108="","",TRIM(INDEX(FORM!$C:$C,ROW())&amp;""))</f>
        <v>80454</v>
      </c>
      <c r="E108" s="8" t="str">
        <f>IF($A108="","",UPPER(TRIM(INDEX(FORM!$D:$D,ROW()))))</f>
        <v>MAGETAN</v>
      </c>
      <c r="F108" s="8" t="str">
        <f>IF($A108="","",IFERROR(INDEX(PROGRES!$A$2:$A$92,MATCH(E108,PROGRES!$B$2:$B$92,0)),"-"))</f>
        <v>Jawa Timur</v>
      </c>
      <c r="G108" s="8" t="str">
        <f>IF($A108="","",UPPER(TRIM(INDEX(FORM!$F:$F,ROW()))))</f>
        <v>JATIM</v>
      </c>
      <c r="H108" s="8" t="str">
        <f>IF($A108="","",UPPER(TRIM(INDEX(FORM!$E:$E,ROW()))))</f>
        <v>BAO</v>
      </c>
      <c r="I108" s="8" t="str">
        <f>IF($A108="","",UPPER(TRIM(INDEX(FORM!$G:$G,ROW()))))</f>
        <v>MUDAH</v>
      </c>
      <c r="J108" s="8" t="str">
        <f>IF($A108="","",IF(ISNUMBER(SEARCH("Ya,",INDEX(FORM!$H:$H,ROW()))),"YA",IF(ISNUMBER(SEARCH("Cukup,",INDEX(FORM!$H:$H,ROW()))),"CUKUP",IF(ISNUMBER(SEARCH("Kurang,",INDEX(FORM!$H:$H,ROW()))),"KURANG",""))))</f>
        <v>YA</v>
      </c>
      <c r="K108" s="8" t="str">
        <f>IF($A108="","",UPPER(TRIM(INDEX(FORM!$J:$J,ROW()))))</f>
        <v>MUDAH</v>
      </c>
      <c r="L108" s="8">
        <f>IF($A108="","",IF(ISNUMBER(SEARCH("Aktivitas Harian",INDEX(FORM!$K:$K,ROW()))),1,0))</f>
        <v>1</v>
      </c>
      <c r="M108" s="8">
        <f>IF($A108="","",IF(ISNUMBER(SEARCH("Aktivitas Mingguan",INDEX(FORM!$K:$K,ROW()))),1,0))</f>
        <v>0</v>
      </c>
      <c r="N108" s="8">
        <f>IF($A108="","",IF(ISNUMBER(SEARCH("Aktivitas Bulanan",INDEX(FORM!$K:$K,ROW()))),1,0))</f>
        <v>0</v>
      </c>
      <c r="O108" s="8">
        <f>IF($A108="","",IF(ISNUMBER(SEARCH("Overview Cabang",INDEX(FORM!$K:$K,ROW()))),1,0))</f>
        <v>0</v>
      </c>
      <c r="P108" s="8">
        <f>IF($A108="","",IFERROR(VLOOKUP(I108,DATA!$AH$9:$AI$13,2,0),""))</f>
        <v>3</v>
      </c>
      <c r="Q108" s="8">
        <f>IF($A108="","",IFERROR(VLOOKUP(J108,DATA!$AH$9:$AI$13,2,0),""))</f>
        <v>3</v>
      </c>
      <c r="R108" s="8">
        <f>IF($A108="","",IFERROR(VLOOKUP(K108,DATA!$AH$9:$AI$13,2,0),""))</f>
        <v>3</v>
      </c>
      <c r="S108" s="42">
        <f t="shared" si="22"/>
        <v>3</v>
      </c>
      <c r="T108" s="8">
        <f>IF($A108="","",IF(COUNTIF($D$2:D108,D108)=1,1,0))</f>
        <v>1</v>
      </c>
      <c r="U108" s="8" t="str">
        <f>IF($A108="","",IF(F108="-","Cabang tdk ada",IF(IFERROR(VLOOKUP(G108,#REF!,1,0),"")="","",IF(INDEX(DATA!$AH$2:$AH$5,MATCH(G108,DATA!$AI$2:$AI$5,0))&lt;&gt;F108,"Wilayah beda","OK"))))</f>
        <v/>
      </c>
      <c r="V108" s="8" t="str">
        <f>IF($A108="","",TRIM(INDEX(FORM!$I:$I,ROW())&amp;""))</f>
        <v>Dibuat lbh menarik lagi agar org suka berkunjung ke webnya</v>
      </c>
      <c r="W108" s="8" t="str">
        <f>IF($A108="","",TRIM(INDEX(FORM!$L:$L,ROW())&amp;""))</f>
        <v>Terkait manajemen pengiriman manual</v>
      </c>
      <c r="X108" s="8" t="str">
        <f>IF($A108="","",TRIM(INDEX(FORM!$M:$M,ROW())&amp;""))</f>
        <v>Semoga lbh banyak panduannya dan bisa jdi web perusahaan dan karyawan</v>
      </c>
      <c r="Y108" s="8">
        <f>IF($A108="","",IFERROR(MATCH(F108,DATA!$AH$2:$AH$5,0),9)*10000+A108)</f>
        <v>30107</v>
      </c>
      <c r="Z108" s="8" t="str">
        <f t="shared" si="23"/>
        <v>Desain, Warna &amp; Font</v>
      </c>
      <c r="AA108" s="8" t="str">
        <f t="shared" si="24"/>
        <v>Pengiriman, Retur &amp; Logistik</v>
      </c>
      <c r="AB108" s="8" t="str">
        <f t="shared" si="25"/>
        <v>Penambahan Materi &amp; Template</v>
      </c>
      <c r="AC108" s="8"/>
      <c r="AD108" s="8"/>
      <c r="AE108" s="8"/>
      <c r="AK108" s="5">
        <f t="shared" si="26"/>
        <v>0</v>
      </c>
      <c r="AL108" s="5">
        <f t="shared" si="27"/>
        <v>0</v>
      </c>
      <c r="AM108" s="5">
        <f t="shared" si="28"/>
        <v>1</v>
      </c>
      <c r="AN108" s="5">
        <f t="shared" si="29"/>
        <v>0</v>
      </c>
      <c r="AO108" s="5">
        <f t="shared" si="30"/>
        <v>0</v>
      </c>
      <c r="AP108" s="5">
        <f t="shared" si="31"/>
        <v>0</v>
      </c>
      <c r="AQ108" s="5">
        <f t="shared" si="32"/>
        <v>0</v>
      </c>
      <c r="AR108" s="5">
        <f t="shared" si="33"/>
        <v>1</v>
      </c>
      <c r="AS108" s="5">
        <f t="shared" si="34"/>
        <v>0</v>
      </c>
      <c r="AT108" s="5">
        <f t="shared" si="35"/>
        <v>0</v>
      </c>
      <c r="AU108" s="5">
        <f t="shared" si="36"/>
        <v>0</v>
      </c>
      <c r="AV108" s="5">
        <f t="shared" si="37"/>
        <v>0</v>
      </c>
      <c r="AW108" s="5">
        <f t="shared" si="38"/>
        <v>0</v>
      </c>
      <c r="AX108" s="5">
        <f t="shared" si="39"/>
        <v>1</v>
      </c>
      <c r="AY108" s="5">
        <f t="shared" si="40"/>
        <v>0</v>
      </c>
      <c r="AZ108" s="5">
        <f t="shared" si="41"/>
        <v>0</v>
      </c>
      <c r="BA108" s="5">
        <f t="shared" si="42"/>
        <v>0</v>
      </c>
      <c r="BB108" s="5">
        <f t="shared" si="43"/>
        <v>1</v>
      </c>
    </row>
    <row r="109" spans="1:54" s="5" customFormat="1" hidden="1">
      <c r="A109" s="8">
        <f>IF(INDEX(FORM!$A:$A,ROW())="","",ROW()-1)</f>
        <v>108</v>
      </c>
      <c r="B109" s="41">
        <f>IF($A109="","",INDEX(FORM!$A:$A,ROW()))</f>
        <v>46310.410269305597</v>
      </c>
      <c r="C109" s="8" t="str">
        <f>IF($A109="","",TRIM(INDEX(FORM!$B:$B,ROW())))</f>
        <v>Mochammad Zainuddin Mustofa</v>
      </c>
      <c r="D109" s="8" t="str">
        <f>IF($A109="","",TRIM(INDEX(FORM!$C:$C,ROW())&amp;""))</f>
        <v>80464</v>
      </c>
      <c r="E109" s="8" t="str">
        <f>IF($A109="","",UPPER(TRIM(INDEX(FORM!$D:$D,ROW()))))</f>
        <v>JOMBANG</v>
      </c>
      <c r="F109" s="8" t="str">
        <f>IF($A109="","",IFERROR(INDEX(PROGRES!$A$2:$A$92,MATCH(E109,PROGRES!$B$2:$B$92,0)),"-"))</f>
        <v>Jawa Timur</v>
      </c>
      <c r="G109" s="8" t="str">
        <f>IF($A109="","",UPPER(TRIM(INDEX(FORM!$F:$F,ROW()))))</f>
        <v>JATIM</v>
      </c>
      <c r="H109" s="8" t="str">
        <f>IF($A109="","",UPPER(TRIM(INDEX(FORM!$E:$E,ROW()))))</f>
        <v>BAO</v>
      </c>
      <c r="I109" s="8" t="str">
        <f>IF($A109="","",UPPER(TRIM(INDEX(FORM!$G:$G,ROW()))))</f>
        <v>MUDAH</v>
      </c>
      <c r="J109" s="8" t="str">
        <f>IF($A109="","",IF(ISNUMBER(SEARCH("Ya,",INDEX(FORM!$H:$H,ROW()))),"YA",IF(ISNUMBER(SEARCH("Cukup,",INDEX(FORM!$H:$H,ROW()))),"CUKUP",IF(ISNUMBER(SEARCH("Kurang,",INDEX(FORM!$H:$H,ROW()))),"KURANG",""))))</f>
        <v>YA</v>
      </c>
      <c r="K109" s="8" t="str">
        <f>IF($A109="","",UPPER(TRIM(INDEX(FORM!$J:$J,ROW()))))</f>
        <v>MUDAH</v>
      </c>
      <c r="L109" s="8">
        <f>IF($A109="","",IF(ISNUMBER(SEARCH("Aktivitas Harian",INDEX(FORM!$K:$K,ROW()))),1,0))</f>
        <v>1</v>
      </c>
      <c r="M109" s="8">
        <f>IF($A109="","",IF(ISNUMBER(SEARCH("Aktivitas Mingguan",INDEX(FORM!$K:$K,ROW()))),1,0))</f>
        <v>1</v>
      </c>
      <c r="N109" s="8">
        <f>IF($A109="","",IF(ISNUMBER(SEARCH("Aktivitas Bulanan",INDEX(FORM!$K:$K,ROW()))),1,0))</f>
        <v>1</v>
      </c>
      <c r="O109" s="8">
        <f>IF($A109="","",IF(ISNUMBER(SEARCH("Overview Cabang",INDEX(FORM!$K:$K,ROW()))),1,0))</f>
        <v>1</v>
      </c>
      <c r="P109" s="8">
        <f>IF($A109="","",IFERROR(VLOOKUP(I109,DATA!$AH$9:$AI$13,2,0),""))</f>
        <v>3</v>
      </c>
      <c r="Q109" s="8">
        <f>IF($A109="","",IFERROR(VLOOKUP(J109,DATA!$AH$9:$AI$13,2,0),""))</f>
        <v>3</v>
      </c>
      <c r="R109" s="8">
        <f>IF($A109="","",IFERROR(VLOOKUP(K109,DATA!$AH$9:$AI$13,2,0),""))</f>
        <v>3</v>
      </c>
      <c r="S109" s="42">
        <f t="shared" si="22"/>
        <v>3</v>
      </c>
      <c r="T109" s="8">
        <f>IF($A109="","",IF(COUNTIF($D$2:D109,D109)=1,1,0))</f>
        <v>1</v>
      </c>
      <c r="U109" s="8" t="str">
        <f>IF($A109="","",IF(F109="-","Cabang tdk ada",IF(IFERROR(VLOOKUP(G109,#REF!,1,0),"")="","",IF(INDEX(DATA!$AH$2:$AH$5,MATCH(G109,DATA!$AI$2:$AI$5,0))&lt;&gt;F109,"Wilayah beda","OK"))))</f>
        <v/>
      </c>
      <c r="V109" s="8" t="str">
        <f>IF($A109="","",TRIM(INDEX(FORM!$I:$I,ROW())&amp;""))</f>
        <v>Ditingkatkan</v>
      </c>
      <c r="W109" s="8" t="str">
        <f>IF($A109="","",TRIM(INDEX(FORM!$L:$L,ROW())&amp;""))</f>
        <v>Belum</v>
      </c>
      <c r="X109" s="8" t="str">
        <f>IF($A109="","",TRIM(INDEX(FORM!$M:$M,ROW())&amp;""))</f>
        <v>Ditingkatkan</v>
      </c>
      <c r="Y109" s="8">
        <f>IF($A109="","",IFERROR(MATCH(F109,DATA!$AH$2:$AH$5,0),9)*10000+A109)</f>
        <v>30108</v>
      </c>
      <c r="Z109" s="8" t="str">
        <f t="shared" si="23"/>
        <v>Saran Umum Peningkatan</v>
      </c>
      <c r="AA109" s="8" t="str">
        <f t="shared" si="24"/>
        <v>Tidak ada masukan / sudah baik</v>
      </c>
      <c r="AB109" s="8" t="str">
        <f t="shared" si="25"/>
        <v>Saran Umum Peningkatan</v>
      </c>
      <c r="AC109" s="8"/>
      <c r="AD109" s="8"/>
      <c r="AE109" s="8"/>
      <c r="AK109" s="5">
        <f t="shared" si="26"/>
        <v>0</v>
      </c>
      <c r="AL109" s="5">
        <f t="shared" si="27"/>
        <v>0</v>
      </c>
      <c r="AM109" s="5">
        <f t="shared" si="28"/>
        <v>0</v>
      </c>
      <c r="AN109" s="5">
        <f t="shared" si="29"/>
        <v>0</v>
      </c>
      <c r="AO109" s="5">
        <f t="shared" si="30"/>
        <v>0</v>
      </c>
      <c r="AP109" s="5">
        <f t="shared" si="31"/>
        <v>0</v>
      </c>
      <c r="AQ109" s="5">
        <f t="shared" si="32"/>
        <v>0</v>
      </c>
      <c r="AR109" s="5">
        <f t="shared" si="33"/>
        <v>0</v>
      </c>
      <c r="AS109" s="5">
        <f t="shared" si="34"/>
        <v>0</v>
      </c>
      <c r="AT109" s="5">
        <f t="shared" si="35"/>
        <v>0</v>
      </c>
      <c r="AU109" s="5">
        <f t="shared" si="36"/>
        <v>0</v>
      </c>
      <c r="AV109" s="5">
        <f t="shared" si="37"/>
        <v>0</v>
      </c>
      <c r="AW109" s="5">
        <f t="shared" si="38"/>
        <v>0</v>
      </c>
      <c r="AX109" s="5">
        <f t="shared" si="39"/>
        <v>0</v>
      </c>
      <c r="AY109" s="5">
        <f t="shared" si="40"/>
        <v>0</v>
      </c>
      <c r="AZ109" s="5">
        <f t="shared" si="41"/>
        <v>1</v>
      </c>
      <c r="BA109" s="5">
        <f t="shared" si="42"/>
        <v>0</v>
      </c>
      <c r="BB109" s="5">
        <f t="shared" si="43"/>
        <v>1</v>
      </c>
    </row>
    <row r="110" spans="1:54">
      <c r="A110" s="87">
        <f>IF(INDEX(FORM!$A:$A,ROW())="","",ROW()-1)</f>
        <v>109</v>
      </c>
      <c r="B110" s="88">
        <f>IF($A110="","",INDEX(FORM!$A:$A,ROW()))</f>
        <v>46310.410479293998</v>
      </c>
      <c r="C110" s="87" t="str">
        <f>IF($A110="","",TRIM(INDEX(FORM!$B:$B,ROW())))</f>
        <v>Dadang ane erlanda</v>
      </c>
      <c r="D110" s="87" t="str">
        <f>IF($A110="","",TRIM(INDEX(FORM!$C:$C,ROW())&amp;""))</f>
        <v>1510777</v>
      </c>
      <c r="E110" s="87" t="str">
        <f>IF($A110="","",UPPER(TRIM(INDEX(FORM!$D:$D,ROW()))))</f>
        <v>BONDOWOSO</v>
      </c>
      <c r="F110" s="87" t="str">
        <f>IF($A110="","",IFERROR(INDEX(PROGRES!$A$2:$A$92,MATCH(E110,PROGRES!$B$2:$B$92,0)),"-"))</f>
        <v>Jawa Timur</v>
      </c>
      <c r="G110" s="87" t="str">
        <f>IF($A110="","",UPPER(TRIM(INDEX(FORM!$F:$F,ROW()))))</f>
        <v>JATIM</v>
      </c>
      <c r="H110" s="87" t="str">
        <f>IF($A110="","",UPPER(TRIM(INDEX(FORM!$E:$E,ROW()))))</f>
        <v>CRO</v>
      </c>
      <c r="I110" s="87" t="str">
        <f>IF($A110="","",UPPER(TRIM(INDEX(FORM!$G:$G,ROW()))))</f>
        <v>MUDAH</v>
      </c>
      <c r="J110" s="87" t="str">
        <f>IF($A110="","",IF(ISNUMBER(SEARCH("Ya,",INDEX(FORM!$H:$H,ROW()))),"YA",IF(ISNUMBER(SEARCH("Cukup,",INDEX(FORM!$H:$H,ROW()))),"CUKUP",IF(ISNUMBER(SEARCH("Kurang,",INDEX(FORM!$H:$H,ROW()))),"KURANG",""))))</f>
        <v>YA</v>
      </c>
      <c r="K110" s="87" t="str">
        <f>IF($A110="","",UPPER(TRIM(INDEX(FORM!$J:$J,ROW()))))</f>
        <v>CUKUP</v>
      </c>
      <c r="L110" s="87">
        <f>IF($A110="","",IF(ISNUMBER(SEARCH("Aktivitas Harian",INDEX(FORM!$K:$K,ROW()))),1,0))</f>
        <v>1</v>
      </c>
      <c r="M110" s="87">
        <f>IF($A110="","",IF(ISNUMBER(SEARCH("Aktivitas Mingguan",INDEX(FORM!$K:$K,ROW()))),1,0))</f>
        <v>0</v>
      </c>
      <c r="N110" s="87">
        <f>IF($A110="","",IF(ISNUMBER(SEARCH("Aktivitas Bulanan",INDEX(FORM!$K:$K,ROW()))),1,0))</f>
        <v>0</v>
      </c>
      <c r="O110" s="87">
        <f>IF($A110="","",IF(ISNUMBER(SEARCH("Overview Cabang",INDEX(FORM!$K:$K,ROW()))),1,0))</f>
        <v>0</v>
      </c>
      <c r="P110" s="87">
        <f>IF($A110="","",IFERROR(VLOOKUP(I110,DATA!$AH$9:$AI$13,2,0),""))</f>
        <v>3</v>
      </c>
      <c r="Q110" s="87">
        <f>IF($A110="","",IFERROR(VLOOKUP(J110,DATA!$AH$9:$AI$13,2,0),""))</f>
        <v>3</v>
      </c>
      <c r="R110" s="87">
        <f>IF($A110="","",IFERROR(VLOOKUP(K110,DATA!$AH$9:$AI$13,2,0),""))</f>
        <v>2</v>
      </c>
      <c r="S110" s="89">
        <f t="shared" si="22"/>
        <v>2.6666666666666665</v>
      </c>
      <c r="T110" s="87">
        <f>IF($A110="","",IF(COUNTIF($D$2:D110,D110)=1,1,0))</f>
        <v>1</v>
      </c>
      <c r="U110" s="87" t="str">
        <f>IF($A110="","",IF(F110="-","Cabang tdk ada",IF(IFERROR(VLOOKUP(G110,#REF!,1,0),"")="","",IF(INDEX(DATA!$AH$2:$AH$5,MATCH(G110,DATA!$AI$2:$AI$5,0))&lt;&gt;F110,"Wilayah beda","OK"))))</f>
        <v/>
      </c>
      <c r="V110" s="87" t="str">
        <f>IF($A110="","",TRIM(INDEX(FORM!$I:$I,ROW())&amp;""))</f>
        <v>Sudah cukup dan mudah di baca</v>
      </c>
      <c r="W110" s="87" t="str">
        <f>IF($A110="","",TRIM(INDEX(FORM!$L:$L,ROW())&amp;""))</f>
        <v>Tidak ada</v>
      </c>
      <c r="X110" s="87" t="str">
        <f>IF($A110="","",TRIM(INDEX(FORM!$M:$M,ROW())&amp;""))</f>
        <v>Sudah cukup baik</v>
      </c>
      <c r="Y110" s="8">
        <f>IF($A110="","",IFERROR(MATCH(F110,DATA!$AH$2:$AH$5,0),9)*10000+A110)</f>
        <v>30109</v>
      </c>
      <c r="Z110" s="87" t="str">
        <f t="shared" si="23"/>
        <v>Tidak ada masukan / sudah baik</v>
      </c>
      <c r="AA110" s="87" t="str">
        <f t="shared" si="24"/>
        <v>Tidak ada masukan / sudah baik</v>
      </c>
      <c r="AB110" s="87" t="str">
        <f t="shared" si="25"/>
        <v>Tidak ada masukan / sudah baik</v>
      </c>
      <c r="AC110" s="87"/>
      <c r="AD110" s="87"/>
      <c r="AE110" s="87"/>
      <c r="AK110" s="90">
        <f t="shared" si="26"/>
        <v>0</v>
      </c>
      <c r="AL110" s="90">
        <f t="shared" si="27"/>
        <v>0</v>
      </c>
      <c r="AM110" s="90">
        <f t="shared" si="28"/>
        <v>0</v>
      </c>
      <c r="AN110" s="90">
        <f t="shared" si="29"/>
        <v>0</v>
      </c>
      <c r="AO110" s="90">
        <f t="shared" si="30"/>
        <v>0</v>
      </c>
      <c r="AP110" s="90">
        <f t="shared" si="31"/>
        <v>0</v>
      </c>
      <c r="AQ110" s="90">
        <f t="shared" si="32"/>
        <v>0</v>
      </c>
      <c r="AR110" s="90">
        <f t="shared" si="33"/>
        <v>0</v>
      </c>
      <c r="AS110" s="90">
        <f t="shared" si="34"/>
        <v>0</v>
      </c>
      <c r="AT110" s="90">
        <f t="shared" si="35"/>
        <v>0</v>
      </c>
      <c r="AU110" s="90">
        <f t="shared" si="36"/>
        <v>0</v>
      </c>
      <c r="AV110" s="90">
        <f t="shared" si="37"/>
        <v>0</v>
      </c>
      <c r="AW110" s="90">
        <f t="shared" si="38"/>
        <v>0</v>
      </c>
      <c r="AX110" s="90">
        <f t="shared" si="39"/>
        <v>0</v>
      </c>
      <c r="AY110" s="90">
        <f t="shared" si="40"/>
        <v>0</v>
      </c>
      <c r="AZ110" s="90">
        <f t="shared" si="41"/>
        <v>0</v>
      </c>
      <c r="BA110" s="90">
        <f t="shared" si="42"/>
        <v>0</v>
      </c>
      <c r="BB110" s="90">
        <f t="shared" si="43"/>
        <v>0</v>
      </c>
    </row>
    <row r="111" spans="1:54">
      <c r="A111" s="87">
        <f>IF(INDEX(FORM!$A:$A,ROW())="","",ROW()-1)</f>
        <v>110</v>
      </c>
      <c r="B111" s="88">
        <f>IF($A111="","",INDEX(FORM!$A:$A,ROW()))</f>
        <v>46310.418198715299</v>
      </c>
      <c r="C111" s="87" t="str">
        <f>IF($A111="","",TRIM(INDEX(FORM!$B:$B,ROW())))</f>
        <v>Ario Dewanto</v>
      </c>
      <c r="D111" s="87" t="str">
        <f>IF($A111="","",TRIM(INDEX(FORM!$C:$C,ROW())&amp;""))</f>
        <v>1511366</v>
      </c>
      <c r="E111" s="87" t="str">
        <f>IF($A111="","",UPPER(TRIM(INDEX(FORM!$D:$D,ROW()))))</f>
        <v>PEKALONGAN</v>
      </c>
      <c r="F111" s="87" t="str">
        <f>IF($A111="","",IFERROR(INDEX(PROGRES!$A$2:$A$92,MATCH(E111,PROGRES!$B$2:$B$92,0)),"-"))</f>
        <v>Jawa Tengah</v>
      </c>
      <c r="G111" s="87" t="str">
        <f>IF($A111="","",UPPER(TRIM(INDEX(FORM!$F:$F,ROW()))))</f>
        <v>JATENG DIY</v>
      </c>
      <c r="H111" s="87" t="str">
        <f>IF($A111="","",UPPER(TRIM(INDEX(FORM!$E:$E,ROW()))))</f>
        <v>CRO</v>
      </c>
      <c r="I111" s="87" t="str">
        <f>IF($A111="","",UPPER(TRIM(INDEX(FORM!$G:$G,ROW()))))</f>
        <v>MUDAH</v>
      </c>
      <c r="J111" s="87" t="str">
        <f>IF($A111="","",IF(ISNUMBER(SEARCH("Ya,",INDEX(FORM!$H:$H,ROW()))),"YA",IF(ISNUMBER(SEARCH("Cukup,",INDEX(FORM!$H:$H,ROW()))),"CUKUP",IF(ISNUMBER(SEARCH("Kurang,",INDEX(FORM!$H:$H,ROW()))),"KURANG",""))))</f>
        <v>YA</v>
      </c>
      <c r="K111" s="87" t="str">
        <f>IF($A111="","",UPPER(TRIM(INDEX(FORM!$J:$J,ROW()))))</f>
        <v>MUDAH</v>
      </c>
      <c r="L111" s="87">
        <f>IF($A111="","",IF(ISNUMBER(SEARCH("Aktivitas Harian",INDEX(FORM!$K:$K,ROW()))),1,0))</f>
        <v>1</v>
      </c>
      <c r="M111" s="87">
        <f>IF($A111="","",IF(ISNUMBER(SEARCH("Aktivitas Mingguan",INDEX(FORM!$K:$K,ROW()))),1,0))</f>
        <v>0</v>
      </c>
      <c r="N111" s="87">
        <f>IF($A111="","",IF(ISNUMBER(SEARCH("Aktivitas Bulanan",INDEX(FORM!$K:$K,ROW()))),1,0))</f>
        <v>0</v>
      </c>
      <c r="O111" s="87">
        <f>IF($A111="","",IF(ISNUMBER(SEARCH("Overview Cabang",INDEX(FORM!$K:$K,ROW()))),1,0))</f>
        <v>0</v>
      </c>
      <c r="P111" s="87">
        <f>IF($A111="","",IFERROR(VLOOKUP(I111,DATA!$AH$9:$AI$13,2,0),""))</f>
        <v>3</v>
      </c>
      <c r="Q111" s="87">
        <f>IF($A111="","",IFERROR(VLOOKUP(J111,DATA!$AH$9:$AI$13,2,0),""))</f>
        <v>3</v>
      </c>
      <c r="R111" s="87">
        <f>IF($A111="","",IFERROR(VLOOKUP(K111,DATA!$AH$9:$AI$13,2,0),""))</f>
        <v>3</v>
      </c>
      <c r="S111" s="89">
        <f t="shared" si="22"/>
        <v>3</v>
      </c>
      <c r="T111" s="87">
        <f>IF($A111="","",IF(COUNTIF($D$2:D111,D111)=1,1,0))</f>
        <v>1</v>
      </c>
      <c r="U111" s="87" t="str">
        <f>IF($A111="","",IF(F111="-","Cabang tdk ada",IF(IFERROR(VLOOKUP(G111,#REF!,1,0),"")="","",IF(INDEX(DATA!$AH$2:$AH$5,MATCH(G111,DATA!$AI$2:$AI$5,0))&lt;&gt;F111,"Wilayah beda","OK"))))</f>
        <v/>
      </c>
      <c r="V111" s="87" t="str">
        <f>IF($A111="","",TRIM(INDEX(FORM!$I:$I,ROW())&amp;""))</f>
        <v>Sudah Bagus tapi lebih disempurnakan untuk tampilannya agar lebih bagus</v>
      </c>
      <c r="W111" s="87" t="str">
        <f>IF($A111="","",TRIM(INDEX(FORM!$L:$L,ROW())&amp;""))</f>
        <v>Tidak</v>
      </c>
      <c r="X111" s="87" t="str">
        <f>IF($A111="","",TRIM(INDEX(FORM!$M:$M,ROW())&amp;""))</f>
        <v>Tampilannya agar lebih bagus</v>
      </c>
      <c r="Y111" s="8">
        <f>IF($A111="","",IFERROR(MATCH(F111,DATA!$AH$2:$AH$5,0),9)*10000+A111)</f>
        <v>20110</v>
      </c>
      <c r="Z111" s="87" t="str">
        <f t="shared" si="23"/>
        <v>Desain, Warna &amp; Font</v>
      </c>
      <c r="AA111" s="87" t="str">
        <f t="shared" si="24"/>
        <v>Tidak ada masukan / sudah baik</v>
      </c>
      <c r="AB111" s="87" t="str">
        <f t="shared" si="25"/>
        <v>Desain Tampilan</v>
      </c>
      <c r="AC111" s="87"/>
      <c r="AD111" s="87"/>
      <c r="AE111" s="87"/>
      <c r="AK111" s="90">
        <f t="shared" si="26"/>
        <v>0</v>
      </c>
      <c r="AL111" s="90">
        <f t="shared" si="27"/>
        <v>0</v>
      </c>
      <c r="AM111" s="90">
        <f t="shared" si="28"/>
        <v>1</v>
      </c>
      <c r="AN111" s="90">
        <f t="shared" si="29"/>
        <v>0</v>
      </c>
      <c r="AO111" s="90">
        <f t="shared" si="30"/>
        <v>0</v>
      </c>
      <c r="AP111" s="90">
        <f t="shared" si="31"/>
        <v>0</v>
      </c>
      <c r="AQ111" s="90">
        <f t="shared" si="32"/>
        <v>0</v>
      </c>
      <c r="AR111" s="90">
        <f t="shared" si="33"/>
        <v>0</v>
      </c>
      <c r="AS111" s="90">
        <f t="shared" si="34"/>
        <v>0</v>
      </c>
      <c r="AT111" s="90">
        <f t="shared" si="35"/>
        <v>0</v>
      </c>
      <c r="AU111" s="90">
        <f t="shared" si="36"/>
        <v>0</v>
      </c>
      <c r="AV111" s="90">
        <f t="shared" si="37"/>
        <v>0</v>
      </c>
      <c r="AW111" s="90">
        <f t="shared" si="38"/>
        <v>0</v>
      </c>
      <c r="AX111" s="90">
        <f t="shared" si="39"/>
        <v>0</v>
      </c>
      <c r="AY111" s="90">
        <f t="shared" si="40"/>
        <v>0</v>
      </c>
      <c r="AZ111" s="90">
        <f t="shared" si="41"/>
        <v>0</v>
      </c>
      <c r="BA111" s="90">
        <f t="shared" si="42"/>
        <v>0</v>
      </c>
      <c r="BB111" s="90">
        <f t="shared" si="43"/>
        <v>1</v>
      </c>
    </row>
    <row r="112" spans="1:54" s="5" customFormat="1" hidden="1">
      <c r="A112" s="8">
        <f>IF(INDEX(FORM!$A:$A,ROW())="","",ROW()-1)</f>
        <v>111</v>
      </c>
      <c r="B112" s="41">
        <f>IF($A112="","",INDEX(FORM!$A:$A,ROW()))</f>
        <v>46310.422327719898</v>
      </c>
      <c r="C112" s="8" t="str">
        <f>IF($A112="","",TRIM(INDEX(FORM!$B:$B,ROW())))</f>
        <v>Ainul Yaqin</v>
      </c>
      <c r="D112" s="8" t="str">
        <f>IF($A112="","",TRIM(INDEX(FORM!$C:$C,ROW())&amp;""))</f>
        <v>88611119</v>
      </c>
      <c r="E112" s="8" t="str">
        <f>IF($A112="","",UPPER(TRIM(INDEX(FORM!$D:$D,ROW()))))</f>
        <v>TULUNGAGUNG</v>
      </c>
      <c r="F112" s="8" t="str">
        <f>IF($A112="","",IFERROR(INDEX(PROGRES!$A$2:$A$92,MATCH(E112,PROGRES!$B$2:$B$92,0)),"-"))</f>
        <v>Jawa Timur</v>
      </c>
      <c r="G112" s="8" t="str">
        <f>IF($A112="","",UPPER(TRIM(INDEX(FORM!$F:$F,ROW()))))</f>
        <v>JATIM</v>
      </c>
      <c r="H112" s="8" t="str">
        <f>IF($A112="","",UPPER(TRIM(INDEX(FORM!$E:$E,ROW()))))</f>
        <v>BM</v>
      </c>
      <c r="I112" s="8" t="str">
        <f>IF($A112="","",UPPER(TRIM(INDEX(FORM!$G:$G,ROW()))))</f>
        <v>MUDAH</v>
      </c>
      <c r="J112" s="8" t="str">
        <f>IF($A112="","",IF(ISNUMBER(SEARCH("Ya,",INDEX(FORM!$H:$H,ROW()))),"YA",IF(ISNUMBER(SEARCH("Cukup,",INDEX(FORM!$H:$H,ROW()))),"CUKUP",IF(ISNUMBER(SEARCH("Kurang,",INDEX(FORM!$H:$H,ROW()))),"KURANG",""))))</f>
        <v>YA</v>
      </c>
      <c r="K112" s="8" t="str">
        <f>IF($A112="","",UPPER(TRIM(INDEX(FORM!$J:$J,ROW()))))</f>
        <v>MUDAH</v>
      </c>
      <c r="L112" s="8">
        <f>IF($A112="","",IF(ISNUMBER(SEARCH("Aktivitas Harian",INDEX(FORM!$K:$K,ROW()))),1,0))</f>
        <v>0</v>
      </c>
      <c r="M112" s="8">
        <f>IF($A112="","",IF(ISNUMBER(SEARCH("Aktivitas Mingguan",INDEX(FORM!$K:$K,ROW()))),1,0))</f>
        <v>1</v>
      </c>
      <c r="N112" s="8">
        <f>IF($A112="","",IF(ISNUMBER(SEARCH("Aktivitas Bulanan",INDEX(FORM!$K:$K,ROW()))),1,0))</f>
        <v>0</v>
      </c>
      <c r="O112" s="8">
        <f>IF($A112="","",IF(ISNUMBER(SEARCH("Overview Cabang",INDEX(FORM!$K:$K,ROW()))),1,0))</f>
        <v>0</v>
      </c>
      <c r="P112" s="8">
        <f>IF($A112="","",IFERROR(VLOOKUP(I112,DATA!$AH$9:$AI$13,2,0),""))</f>
        <v>3</v>
      </c>
      <c r="Q112" s="8">
        <f>IF($A112="","",IFERROR(VLOOKUP(J112,DATA!$AH$9:$AI$13,2,0),""))</f>
        <v>3</v>
      </c>
      <c r="R112" s="8">
        <f>IF($A112="","",IFERROR(VLOOKUP(K112,DATA!$AH$9:$AI$13,2,0),""))</f>
        <v>3</v>
      </c>
      <c r="S112" s="42">
        <f t="shared" si="22"/>
        <v>3</v>
      </c>
      <c r="T112" s="8">
        <f>IF($A112="","",IF(COUNTIF($D$2:D112,D112)=1,1,0))</f>
        <v>1</v>
      </c>
      <c r="U112" s="8" t="str">
        <f>IF($A112="","",IF(F112="-","Cabang tdk ada",IF(IFERROR(VLOOKUP(G112,#REF!,1,0),"")="","",IF(INDEX(DATA!$AH$2:$AH$5,MATCH(G112,DATA!$AI$2:$AI$5,0))&lt;&gt;F112,"Wilayah beda","OK"))))</f>
        <v/>
      </c>
      <c r="V112" s="8" t="str">
        <f>IF($A112="","",TRIM(INDEX(FORM!$I:$I,ROW())&amp;""))</f>
        <v>Cukup bagus karena mudah diakses dan dipahami</v>
      </c>
      <c r="W112" s="8" t="str">
        <f>IF($A112="","",TRIM(INDEX(FORM!$L:$L,ROW())&amp;""))</f>
        <v>Baiknya didalam handbook dilampirkan sanksi atas pelanggaran SOP karena masih terjadi pembayaran pelanggan ke rekening pribadi pegawai</v>
      </c>
      <c r="X112" s="8" t="str">
        <f>IF($A112="","",TRIM(INDEX(FORM!$M:$M,ROW())&amp;""))</f>
        <v>Ditambahkan yang merupakan larangan dari SOP sehingga buat reminder tim cabang</v>
      </c>
      <c r="Y112" s="8">
        <f>IF($A112="","",IFERROR(MATCH(F112,DATA!$AH$2:$AH$5,0),9)*10000+A112)</f>
        <v>30111</v>
      </c>
      <c r="Z112" s="8" t="str">
        <f t="shared" si="23"/>
        <v>Tidak ada masukan / sudah baik</v>
      </c>
      <c r="AA112" s="8" t="str">
        <f t="shared" si="24"/>
        <v>Sanksi &amp; Pelanggaran SOP</v>
      </c>
      <c r="AB112" s="8" t="str">
        <f t="shared" si="25"/>
        <v>Penambahan Materi &amp; Template</v>
      </c>
      <c r="AC112" s="8"/>
      <c r="AD112" s="8"/>
      <c r="AE112" s="8"/>
      <c r="AK112" s="5">
        <f t="shared" si="26"/>
        <v>0</v>
      </c>
      <c r="AL112" s="5">
        <f t="shared" si="27"/>
        <v>0</v>
      </c>
      <c r="AM112" s="5">
        <f t="shared" si="28"/>
        <v>0</v>
      </c>
      <c r="AN112" s="5">
        <f t="shared" si="29"/>
        <v>0</v>
      </c>
      <c r="AO112" s="5">
        <f t="shared" si="30"/>
        <v>0</v>
      </c>
      <c r="AP112" s="5">
        <f t="shared" si="31"/>
        <v>0</v>
      </c>
      <c r="AQ112" s="5">
        <f t="shared" si="32"/>
        <v>0</v>
      </c>
      <c r="AR112" s="5">
        <f t="shared" si="33"/>
        <v>1</v>
      </c>
      <c r="AS112" s="5">
        <f t="shared" si="34"/>
        <v>0</v>
      </c>
      <c r="AT112" s="5">
        <f t="shared" si="35"/>
        <v>0</v>
      </c>
      <c r="AU112" s="5">
        <f t="shared" si="36"/>
        <v>0</v>
      </c>
      <c r="AV112" s="5">
        <f t="shared" si="37"/>
        <v>1</v>
      </c>
      <c r="AW112" s="5">
        <f t="shared" si="38"/>
        <v>0</v>
      </c>
      <c r="AX112" s="5">
        <f t="shared" si="39"/>
        <v>0</v>
      </c>
      <c r="AY112" s="5">
        <f t="shared" si="40"/>
        <v>0</v>
      </c>
      <c r="AZ112" s="5">
        <f t="shared" si="41"/>
        <v>0</v>
      </c>
      <c r="BA112" s="5">
        <f t="shared" si="42"/>
        <v>0</v>
      </c>
      <c r="BB112" s="5">
        <f t="shared" si="43"/>
        <v>1</v>
      </c>
    </row>
    <row r="113" spans="1:54">
      <c r="A113" s="87">
        <f>IF(INDEX(FORM!$A:$A,ROW())="","",ROW()-1)</f>
        <v>112</v>
      </c>
      <c r="B113" s="88">
        <f>IF($A113="","",INDEX(FORM!$A:$A,ROW()))</f>
        <v>46310.424061423597</v>
      </c>
      <c r="C113" s="87" t="str">
        <f>IF($A113="","",TRIM(INDEX(FORM!$B:$B,ROW())))</f>
        <v>M NURI MIROBBI</v>
      </c>
      <c r="D113" s="87" t="str">
        <f>IF($A113="","",TRIM(INDEX(FORM!$C:$C,ROW())&amp;""))</f>
        <v>1510587</v>
      </c>
      <c r="E113" s="87" t="str">
        <f>IF($A113="","",UPPER(TRIM(INDEX(FORM!$D:$D,ROW()))))</f>
        <v>BOJONEGORO</v>
      </c>
      <c r="F113" s="87" t="str">
        <f>IF($A113="","",IFERROR(INDEX(PROGRES!$A$2:$A$92,MATCH(E113,PROGRES!$B$2:$B$92,0)),"-"))</f>
        <v>Jawa Timur</v>
      </c>
      <c r="G113" s="87" t="str">
        <f>IF($A113="","",UPPER(TRIM(INDEX(FORM!$F:$F,ROW()))))</f>
        <v>JATIM</v>
      </c>
      <c r="H113" s="87" t="str">
        <f>IF($A113="","",UPPER(TRIM(INDEX(FORM!$E:$E,ROW()))))</f>
        <v>CRO</v>
      </c>
      <c r="I113" s="87" t="str">
        <f>IF($A113="","",UPPER(TRIM(INDEX(FORM!$G:$G,ROW()))))</f>
        <v>CUKUP</v>
      </c>
      <c r="J113" s="87" t="str">
        <f>IF($A113="","",IF(ISNUMBER(SEARCH("Ya,",INDEX(FORM!$H:$H,ROW()))),"YA",IF(ISNUMBER(SEARCH("Cukup,",INDEX(FORM!$H:$H,ROW()))),"CUKUP",IF(ISNUMBER(SEARCH("Kurang,",INDEX(FORM!$H:$H,ROW()))),"KURANG",""))))</f>
        <v>YA</v>
      </c>
      <c r="K113" s="87" t="str">
        <f>IF($A113="","",UPPER(TRIM(INDEX(FORM!$J:$J,ROW()))))</f>
        <v>MUDAH</v>
      </c>
      <c r="L113" s="87">
        <f>IF($A113="","",IF(ISNUMBER(SEARCH("Aktivitas Harian",INDEX(FORM!$K:$K,ROW()))),1,0))</f>
        <v>1</v>
      </c>
      <c r="M113" s="87">
        <f>IF($A113="","",IF(ISNUMBER(SEARCH("Aktivitas Mingguan",INDEX(FORM!$K:$K,ROW()))),1,0))</f>
        <v>0</v>
      </c>
      <c r="N113" s="87">
        <f>IF($A113="","",IF(ISNUMBER(SEARCH("Aktivitas Bulanan",INDEX(FORM!$K:$K,ROW()))),1,0))</f>
        <v>0</v>
      </c>
      <c r="O113" s="87">
        <f>IF($A113="","",IF(ISNUMBER(SEARCH("Overview Cabang",INDEX(FORM!$K:$K,ROW()))),1,0))</f>
        <v>0</v>
      </c>
      <c r="P113" s="87">
        <f>IF($A113="","",IFERROR(VLOOKUP(I113,DATA!$AH$9:$AI$13,2,0),""))</f>
        <v>2</v>
      </c>
      <c r="Q113" s="87">
        <f>IF($A113="","",IFERROR(VLOOKUP(J113,DATA!$AH$9:$AI$13,2,0),""))</f>
        <v>3</v>
      </c>
      <c r="R113" s="87">
        <f>IF($A113="","",IFERROR(VLOOKUP(K113,DATA!$AH$9:$AI$13,2,0),""))</f>
        <v>3</v>
      </c>
      <c r="S113" s="89">
        <f t="shared" si="22"/>
        <v>2.6666666666666665</v>
      </c>
      <c r="T113" s="87">
        <f>IF($A113="","",IF(COUNTIF($D$2:D113,D113)=1,1,0))</f>
        <v>1</v>
      </c>
      <c r="U113" s="87" t="str">
        <f>IF($A113="","",IF(F113="-","Cabang tdk ada",IF(IFERROR(VLOOKUP(G113,#REF!,1,0),"")="","",IF(INDEX(DATA!$AH$2:$AH$5,MATCH(G113,DATA!$AI$2:$AI$5,0))&lt;&gt;F113,"Wilayah beda","OK"))))</f>
        <v/>
      </c>
      <c r="V113" s="87" t="str">
        <f>IF($A113="","",TRIM(INDEX(FORM!$I:$I,ROW())&amp;""))</f>
        <v>untuk prosedur pengajuan yg berhububgan langsung dg keputusan pasar harus fast respon</v>
      </c>
      <c r="W113" s="87" t="str">
        <f>IF($A113="","",TRIM(INDEX(FORM!$L:$L,ROW())&amp;""))</f>
        <v>tidak ada, sudah cukup</v>
      </c>
      <c r="X113" s="87" t="str">
        <f>IF($A113="","",TRIM(INDEX(FORM!$M:$M,ROW())&amp;""))</f>
        <v>lebih update dan berinovasi dg kemajuan/moderenisasi</v>
      </c>
      <c r="Y113" s="8">
        <f>IF($A113="","",IFERROR(MATCH(F113,DATA!$AH$2:$AH$5,0),9)*10000+A113)</f>
        <v>30112</v>
      </c>
      <c r="Z113" s="87" t="str">
        <f t="shared" si="23"/>
        <v>Penambahan Isi / Penjelasan</v>
      </c>
      <c r="AA113" s="87" t="str">
        <f t="shared" si="24"/>
        <v>Tidak ada masukan / sudah baik</v>
      </c>
      <c r="AB113" s="87" t="str">
        <f t="shared" si="25"/>
        <v>Update Informasi Berkala</v>
      </c>
      <c r="AC113" s="87"/>
      <c r="AD113" s="87"/>
      <c r="AE113" s="87"/>
      <c r="AK113" s="90">
        <f t="shared" si="26"/>
        <v>0</v>
      </c>
      <c r="AL113" s="90">
        <f t="shared" si="27"/>
        <v>0</v>
      </c>
      <c r="AM113" s="90">
        <f t="shared" si="28"/>
        <v>0</v>
      </c>
      <c r="AN113" s="90">
        <f t="shared" si="29"/>
        <v>0</v>
      </c>
      <c r="AO113" s="90">
        <f t="shared" si="30"/>
        <v>0</v>
      </c>
      <c r="AP113" s="90">
        <f t="shared" si="31"/>
        <v>0</v>
      </c>
      <c r="AQ113" s="90">
        <f t="shared" si="32"/>
        <v>0</v>
      </c>
      <c r="AR113" s="90">
        <f t="shared" si="33"/>
        <v>1</v>
      </c>
      <c r="AS113" s="90">
        <f t="shared" si="34"/>
        <v>0</v>
      </c>
      <c r="AT113" s="90">
        <f t="shared" si="35"/>
        <v>0</v>
      </c>
      <c r="AU113" s="90">
        <f t="shared" si="36"/>
        <v>1</v>
      </c>
      <c r="AV113" s="90">
        <f t="shared" si="37"/>
        <v>0</v>
      </c>
      <c r="AW113" s="90">
        <f t="shared" si="38"/>
        <v>0</v>
      </c>
      <c r="AX113" s="90">
        <f t="shared" si="39"/>
        <v>0</v>
      </c>
      <c r="AY113" s="90">
        <f t="shared" si="40"/>
        <v>0</v>
      </c>
      <c r="AZ113" s="90">
        <f t="shared" si="41"/>
        <v>0</v>
      </c>
      <c r="BA113" s="90">
        <f t="shared" si="42"/>
        <v>0</v>
      </c>
      <c r="BB113" s="90">
        <f t="shared" si="43"/>
        <v>1</v>
      </c>
    </row>
    <row r="114" spans="1:54">
      <c r="A114" s="87">
        <f>IF(INDEX(FORM!$A:$A,ROW())="","",ROW()-1)</f>
        <v>113</v>
      </c>
      <c r="B114" s="88">
        <f>IF($A114="","",INDEX(FORM!$A:$A,ROW()))</f>
        <v>46310.426044016203</v>
      </c>
      <c r="C114" s="87" t="str">
        <f>IF($A114="","",TRIM(INDEX(FORM!$B:$B,ROW())))</f>
        <v>Edi purwanto</v>
      </c>
      <c r="D114" s="87" t="str">
        <f>IF($A114="","",TRIM(INDEX(FORM!$C:$C,ROW())&amp;""))</f>
        <v>00910</v>
      </c>
      <c r="E114" s="87" t="str">
        <f>IF($A114="","",UPPER(TRIM(INDEX(FORM!$D:$D,ROW()))))</f>
        <v>MAGETAN</v>
      </c>
      <c r="F114" s="87" t="str">
        <f>IF($A114="","",IFERROR(INDEX(PROGRES!$A$2:$A$92,MATCH(E114,PROGRES!$B$2:$B$92,0)),"-"))</f>
        <v>Jawa Timur</v>
      </c>
      <c r="G114" s="87" t="str">
        <f>IF($A114="","",UPPER(TRIM(INDEX(FORM!$F:$F,ROW()))))</f>
        <v>JATIM</v>
      </c>
      <c r="H114" s="87" t="str">
        <f>IF($A114="","",UPPER(TRIM(INDEX(FORM!$E:$E,ROW()))))</f>
        <v>CRO</v>
      </c>
      <c r="I114" s="87" t="str">
        <f>IF($A114="","",UPPER(TRIM(INDEX(FORM!$G:$G,ROW()))))</f>
        <v>MUDAH</v>
      </c>
      <c r="J114" s="87" t="str">
        <f>IF($A114="","",IF(ISNUMBER(SEARCH("Ya,",INDEX(FORM!$H:$H,ROW()))),"YA",IF(ISNUMBER(SEARCH("Cukup,",INDEX(FORM!$H:$H,ROW()))),"CUKUP",IF(ISNUMBER(SEARCH("Kurang,",INDEX(FORM!$H:$H,ROW()))),"KURANG",""))))</f>
        <v>YA</v>
      </c>
      <c r="K114" s="87" t="str">
        <f>IF($A114="","",UPPER(TRIM(INDEX(FORM!$J:$J,ROW()))))</f>
        <v>MUDAH</v>
      </c>
      <c r="L114" s="87">
        <f>IF($A114="","",IF(ISNUMBER(SEARCH("Aktivitas Harian",INDEX(FORM!$K:$K,ROW()))),1,0))</f>
        <v>1</v>
      </c>
      <c r="M114" s="87">
        <f>IF($A114="","",IF(ISNUMBER(SEARCH("Aktivitas Mingguan",INDEX(FORM!$K:$K,ROW()))),1,0))</f>
        <v>0</v>
      </c>
      <c r="N114" s="87">
        <f>IF($A114="","",IF(ISNUMBER(SEARCH("Aktivitas Bulanan",INDEX(FORM!$K:$K,ROW()))),1,0))</f>
        <v>0</v>
      </c>
      <c r="O114" s="87">
        <f>IF($A114="","",IF(ISNUMBER(SEARCH("Overview Cabang",INDEX(FORM!$K:$K,ROW()))),1,0))</f>
        <v>0</v>
      </c>
      <c r="P114" s="87">
        <f>IF($A114="","",IFERROR(VLOOKUP(I114,DATA!$AH$9:$AI$13,2,0),""))</f>
        <v>3</v>
      </c>
      <c r="Q114" s="87">
        <f>IF($A114="","",IFERROR(VLOOKUP(J114,DATA!$AH$9:$AI$13,2,0),""))</f>
        <v>3</v>
      </c>
      <c r="R114" s="87">
        <f>IF($A114="","",IFERROR(VLOOKUP(K114,DATA!$AH$9:$AI$13,2,0),""))</f>
        <v>3</v>
      </c>
      <c r="S114" s="89">
        <f t="shared" si="22"/>
        <v>3</v>
      </c>
      <c r="T114" s="87">
        <f>IF($A114="","",IF(COUNTIF($D$2:D114,D114)=1,1,0))</f>
        <v>1</v>
      </c>
      <c r="U114" s="87" t="str">
        <f>IF($A114="","",IF(F114="-","Cabang tdk ada",IF(IFERROR(VLOOKUP(G114,#REF!,1,0),"")="","",IF(INDEX(DATA!$AH$2:$AH$5,MATCH(G114,DATA!$AI$2:$AI$5,0))&lt;&gt;F114,"Wilayah beda","OK"))))</f>
        <v/>
      </c>
      <c r="V114" s="87" t="str">
        <f>IF($A114="","",TRIM(INDEX(FORM!$I:$I,ROW())&amp;""))</f>
        <v>Sudah bagus</v>
      </c>
      <c r="W114" s="87" t="str">
        <f>IF($A114="","",TRIM(INDEX(FORM!$L:$L,ROW())&amp;""))</f>
        <v>Sudah semua</v>
      </c>
      <c r="X114" s="87" t="str">
        <f>IF($A114="","",TRIM(INDEX(FORM!$M:$M,ROW())&amp;""))</f>
        <v>Sudah cukup</v>
      </c>
      <c r="Y114" s="8">
        <f>IF($A114="","",IFERROR(MATCH(F114,DATA!$AH$2:$AH$5,0),9)*10000+A114)</f>
        <v>30113</v>
      </c>
      <c r="Z114" s="87" t="str">
        <f t="shared" si="23"/>
        <v>Tidak ada masukan / sudah baik</v>
      </c>
      <c r="AA114" s="87" t="str">
        <f t="shared" si="24"/>
        <v>Tidak ada masukan / sudah baik</v>
      </c>
      <c r="AB114" s="87" t="str">
        <f t="shared" si="25"/>
        <v>Tidak ada masukan / sudah baik</v>
      </c>
      <c r="AC114" s="87"/>
      <c r="AD114" s="87"/>
      <c r="AE114" s="87"/>
      <c r="AK114" s="90">
        <f t="shared" si="26"/>
        <v>0</v>
      </c>
      <c r="AL114" s="90">
        <f t="shared" si="27"/>
        <v>0</v>
      </c>
      <c r="AM114" s="90">
        <f t="shared" si="28"/>
        <v>0</v>
      </c>
      <c r="AN114" s="90">
        <f t="shared" si="29"/>
        <v>0</v>
      </c>
      <c r="AO114" s="90">
        <f t="shared" si="30"/>
        <v>0</v>
      </c>
      <c r="AP114" s="90">
        <f t="shared" si="31"/>
        <v>0</v>
      </c>
      <c r="AQ114" s="90">
        <f t="shared" si="32"/>
        <v>0</v>
      </c>
      <c r="AR114" s="90">
        <f t="shared" si="33"/>
        <v>0</v>
      </c>
      <c r="AS114" s="90">
        <f t="shared" si="34"/>
        <v>0</v>
      </c>
      <c r="AT114" s="90">
        <f t="shared" si="35"/>
        <v>0</v>
      </c>
      <c r="AU114" s="90">
        <f t="shared" si="36"/>
        <v>0</v>
      </c>
      <c r="AV114" s="90">
        <f t="shared" si="37"/>
        <v>0</v>
      </c>
      <c r="AW114" s="90">
        <f t="shared" si="38"/>
        <v>0</v>
      </c>
      <c r="AX114" s="90">
        <f t="shared" si="39"/>
        <v>0</v>
      </c>
      <c r="AY114" s="90">
        <f t="shared" si="40"/>
        <v>0</v>
      </c>
      <c r="AZ114" s="90">
        <f t="shared" si="41"/>
        <v>0</v>
      </c>
      <c r="BA114" s="90">
        <f t="shared" si="42"/>
        <v>0</v>
      </c>
      <c r="BB114" s="90">
        <f t="shared" si="43"/>
        <v>0</v>
      </c>
    </row>
    <row r="115" spans="1:54" s="5" customFormat="1" hidden="1">
      <c r="A115" s="8">
        <f>IF(INDEX(FORM!$A:$A,ROW())="","",ROW()-1)</f>
        <v>114</v>
      </c>
      <c r="B115" s="41">
        <f>IF($A115="","",INDEX(FORM!$A:$A,ROW()))</f>
        <v>46310.428586516202</v>
      </c>
      <c r="C115" s="8" t="str">
        <f>IF($A115="","",TRIM(INDEX(FORM!$B:$B,ROW())))</f>
        <v>ILHAM BAGUS ARDIONO</v>
      </c>
      <c r="D115" s="8" t="str">
        <f>IF($A115="","",TRIM(INDEX(FORM!$C:$C,ROW())&amp;""))</f>
        <v>1511106</v>
      </c>
      <c r="E115" s="8" t="str">
        <f>IF($A115="","",UPPER(TRIM(INDEX(FORM!$D:$D,ROW()))))</f>
        <v>BONDOWOSO</v>
      </c>
      <c r="F115" s="8" t="str">
        <f>IF($A115="","",IFERROR(INDEX(PROGRES!$A$2:$A$92,MATCH(E115,PROGRES!$B$2:$B$92,0)),"-"))</f>
        <v>Jawa Timur</v>
      </c>
      <c r="G115" s="8" t="str">
        <f>IF($A115="","",UPPER(TRIM(INDEX(FORM!$F:$F,ROW()))))</f>
        <v>JATIM</v>
      </c>
      <c r="H115" s="8" t="str">
        <f>IF($A115="","",UPPER(TRIM(INDEX(FORM!$E:$E,ROW()))))</f>
        <v>BM</v>
      </c>
      <c r="I115" s="8" t="str">
        <f>IF($A115="","",UPPER(TRIM(INDEX(FORM!$G:$G,ROW()))))</f>
        <v>MUDAH</v>
      </c>
      <c r="J115" s="8" t="str">
        <f>IF($A115="","",IF(ISNUMBER(SEARCH("Ya,",INDEX(FORM!$H:$H,ROW()))),"YA",IF(ISNUMBER(SEARCH("Cukup,",INDEX(FORM!$H:$H,ROW()))),"CUKUP",IF(ISNUMBER(SEARCH("Kurang,",INDEX(FORM!$H:$H,ROW()))),"KURANG",""))))</f>
        <v>YA</v>
      </c>
      <c r="K115" s="8" t="str">
        <f>IF($A115="","",UPPER(TRIM(INDEX(FORM!$J:$J,ROW()))))</f>
        <v>CUKUP</v>
      </c>
      <c r="L115" s="8">
        <f>IF($A115="","",IF(ISNUMBER(SEARCH("Aktivitas Harian",INDEX(FORM!$K:$K,ROW()))),1,0))</f>
        <v>1</v>
      </c>
      <c r="M115" s="8">
        <f>IF($A115="","",IF(ISNUMBER(SEARCH("Aktivitas Mingguan",INDEX(FORM!$K:$K,ROW()))),1,0))</f>
        <v>1</v>
      </c>
      <c r="N115" s="8">
        <f>IF($A115="","",IF(ISNUMBER(SEARCH("Aktivitas Bulanan",INDEX(FORM!$K:$K,ROW()))),1,0))</f>
        <v>1</v>
      </c>
      <c r="O115" s="8">
        <f>IF($A115="","",IF(ISNUMBER(SEARCH("Overview Cabang",INDEX(FORM!$K:$K,ROW()))),1,0))</f>
        <v>1</v>
      </c>
      <c r="P115" s="8">
        <f>IF($A115="","",IFERROR(VLOOKUP(I115,DATA!$AH$9:$AI$13,2,0),""))</f>
        <v>3</v>
      </c>
      <c r="Q115" s="8">
        <f>IF($A115="","",IFERROR(VLOOKUP(J115,DATA!$AH$9:$AI$13,2,0),""))</f>
        <v>3</v>
      </c>
      <c r="R115" s="8">
        <f>IF($A115="","",IFERROR(VLOOKUP(K115,DATA!$AH$9:$AI$13,2,0),""))</f>
        <v>2</v>
      </c>
      <c r="S115" s="42">
        <f t="shared" si="22"/>
        <v>2.6666666666666665</v>
      </c>
      <c r="T115" s="8">
        <f>IF($A115="","",IF(COUNTIF($D$2:D115,D115)=1,1,0))</f>
        <v>1</v>
      </c>
      <c r="U115" s="8" t="str">
        <f>IF($A115="","",IF(F115="-","Cabang tdk ada",IF(IFERROR(VLOOKUP(G115,#REF!,1,0),"")="","",IF(INDEX(DATA!$AH$2:$AH$5,MATCH(G115,DATA!$AI$2:$AI$5,0))&lt;&gt;F115,"Wilayah beda","OK"))))</f>
        <v/>
      </c>
      <c r="V115" s="8" t="str">
        <f>IF($A115="","",TRIM(INDEX(FORM!$I:$I,ROW())&amp;""))</f>
        <v>TAMPILAN SUDAH BAGUS DAN MUDAH DIPAHAMI</v>
      </c>
      <c r="W115" s="8" t="str">
        <f>IF($A115="","",TRIM(INDEX(FORM!$L:$L,ROW())&amp;""))</f>
        <v>SUDAH BANYAK MENCAKUP SEMUA SOP OPERASIONAL CABANG</v>
      </c>
      <c r="X115" s="8" t="str">
        <f>IF($A115="","",TRIM(INDEX(FORM!$M:$M,ROW())&amp;""))</f>
        <v>SELALU UPTODATE UNTUK INFORMASI TERBARU</v>
      </c>
      <c r="Y115" s="8">
        <f>IF($A115="","",IFERROR(MATCH(F115,DATA!$AH$2:$AH$5,0),9)*10000+A115)</f>
        <v>30114</v>
      </c>
      <c r="Z115" s="8" t="str">
        <f t="shared" si="23"/>
        <v>Tidak ada masukan / sudah baik</v>
      </c>
      <c r="AA115" s="8" t="str">
        <f t="shared" si="24"/>
        <v>Tidak ada masukan / sudah baik</v>
      </c>
      <c r="AB115" s="8" t="str">
        <f t="shared" si="25"/>
        <v>Update Informasi Berkala</v>
      </c>
      <c r="AC115" s="8"/>
      <c r="AD115" s="8"/>
      <c r="AE115" s="8"/>
      <c r="AK115" s="5">
        <f t="shared" si="26"/>
        <v>0</v>
      </c>
      <c r="AL115" s="5">
        <f t="shared" si="27"/>
        <v>0</v>
      </c>
      <c r="AM115" s="5">
        <f t="shared" si="28"/>
        <v>0</v>
      </c>
      <c r="AN115" s="5">
        <f t="shared" si="29"/>
        <v>0</v>
      </c>
      <c r="AO115" s="5">
        <f t="shared" si="30"/>
        <v>0</v>
      </c>
      <c r="AP115" s="5">
        <f t="shared" si="31"/>
        <v>0</v>
      </c>
      <c r="AQ115" s="5">
        <f t="shared" si="32"/>
        <v>0</v>
      </c>
      <c r="AR115" s="5">
        <f t="shared" si="33"/>
        <v>0</v>
      </c>
      <c r="AS115" s="5">
        <f t="shared" si="34"/>
        <v>0</v>
      </c>
      <c r="AT115" s="5">
        <f t="shared" si="35"/>
        <v>0</v>
      </c>
      <c r="AU115" s="5">
        <f t="shared" si="36"/>
        <v>1</v>
      </c>
      <c r="AV115" s="5">
        <f t="shared" si="37"/>
        <v>0</v>
      </c>
      <c r="AW115" s="5">
        <f t="shared" si="38"/>
        <v>0</v>
      </c>
      <c r="AX115" s="5">
        <f t="shared" si="39"/>
        <v>0</v>
      </c>
      <c r="AY115" s="5">
        <f t="shared" si="40"/>
        <v>0</v>
      </c>
      <c r="AZ115" s="5">
        <f t="shared" si="41"/>
        <v>0</v>
      </c>
      <c r="BA115" s="5">
        <f t="shared" si="42"/>
        <v>0</v>
      </c>
      <c r="BB115" s="5">
        <f t="shared" si="43"/>
        <v>1</v>
      </c>
    </row>
    <row r="116" spans="1:54" s="5" customFormat="1" hidden="1">
      <c r="A116" s="8">
        <f>IF(INDEX(FORM!$A:$A,ROW())="","",ROW()-1)</f>
        <v>115</v>
      </c>
      <c r="B116" s="41">
        <f>IF($A116="","",INDEX(FORM!$A:$A,ROW()))</f>
        <v>46310.546571134299</v>
      </c>
      <c r="C116" s="8" t="str">
        <f>IF($A116="","",TRIM(INDEX(FORM!$B:$B,ROW())))</f>
        <v>agus supriyanto</v>
      </c>
      <c r="D116" s="8" t="str">
        <f>IF($A116="","",TRIM(INDEX(FORM!$C:$C,ROW())&amp;""))</f>
        <v>02276</v>
      </c>
      <c r="E116" s="8" t="str">
        <f>IF($A116="","",UPPER(TRIM(INDEX(FORM!$D:$D,ROW()))))</f>
        <v>BANJARNEGARA</v>
      </c>
      <c r="F116" s="8" t="str">
        <f>IF($A116="","",IFERROR(INDEX(PROGRES!$A$2:$A$92,MATCH(E116,PROGRES!$B$2:$B$92,0)),"-"))</f>
        <v>Jawa Tengah</v>
      </c>
      <c r="G116" s="8" t="str">
        <f>IF($A116="","",UPPER(TRIM(INDEX(FORM!$F:$F,ROW()))))</f>
        <v>JATENG DIY</v>
      </c>
      <c r="H116" s="8" t="str">
        <f>IF($A116="","",UPPER(TRIM(INDEX(FORM!$E:$E,ROW()))))</f>
        <v>BM</v>
      </c>
      <c r="I116" s="8" t="str">
        <f>IF($A116="","",UPPER(TRIM(INDEX(FORM!$G:$G,ROW()))))</f>
        <v>CUKUP</v>
      </c>
      <c r="J116" s="8" t="str">
        <f>IF($A116="","",IF(ISNUMBER(SEARCH("Ya,",INDEX(FORM!$H:$H,ROW()))),"YA",IF(ISNUMBER(SEARCH("Cukup,",INDEX(FORM!$H:$H,ROW()))),"CUKUP",IF(ISNUMBER(SEARCH("Kurang,",INDEX(FORM!$H:$H,ROW()))),"KURANG",""))))</f>
        <v>CUKUP</v>
      </c>
      <c r="K116" s="8" t="str">
        <f>IF($A116="","",UPPER(TRIM(INDEX(FORM!$J:$J,ROW()))))</f>
        <v>CUKUP</v>
      </c>
      <c r="L116" s="8">
        <f>IF($A116="","",IF(ISNUMBER(SEARCH("Aktivitas Harian",INDEX(FORM!$K:$K,ROW()))),1,0))</f>
        <v>1</v>
      </c>
      <c r="M116" s="8">
        <f>IF($A116="","",IF(ISNUMBER(SEARCH("Aktivitas Mingguan",INDEX(FORM!$K:$K,ROW()))),1,0))</f>
        <v>1</v>
      </c>
      <c r="N116" s="8">
        <f>IF($A116="","",IF(ISNUMBER(SEARCH("Aktivitas Bulanan",INDEX(FORM!$K:$K,ROW()))),1,0))</f>
        <v>1</v>
      </c>
      <c r="O116" s="8">
        <f>IF($A116="","",IF(ISNUMBER(SEARCH("Overview Cabang",INDEX(FORM!$K:$K,ROW()))),1,0))</f>
        <v>1</v>
      </c>
      <c r="P116" s="8">
        <f>IF($A116="","",IFERROR(VLOOKUP(I116,DATA!$AH$9:$AI$13,2,0),""))</f>
        <v>2</v>
      </c>
      <c r="Q116" s="8">
        <f>IF($A116="","",IFERROR(VLOOKUP(J116,DATA!$AH$9:$AI$13,2,0),""))</f>
        <v>2</v>
      </c>
      <c r="R116" s="8">
        <f>IF($A116="","",IFERROR(VLOOKUP(K116,DATA!$AH$9:$AI$13,2,0),""))</f>
        <v>2</v>
      </c>
      <c r="S116" s="42">
        <f t="shared" si="22"/>
        <v>2</v>
      </c>
      <c r="T116" s="8">
        <f>IF($A116="","",IF(COUNTIF($D$2:D116,D116)=1,1,0))</f>
        <v>1</v>
      </c>
      <c r="U116" s="8" t="str">
        <f>IF($A116="","",IF(F116="-","Cabang tdk ada",IF(IFERROR(VLOOKUP(G116,#REF!,1,0),"")="","",IF(INDEX(DATA!$AH$2:$AH$5,MATCH(G116,DATA!$AI$2:$AI$5,0))&lt;&gt;F116,"Wilayah beda","OK"))))</f>
        <v/>
      </c>
      <c r="V116" s="8" t="str">
        <f>IF($A116="","",TRIM(INDEX(FORM!$I:$I,ROW())&amp;""))</f>
        <v>beberapa tampilan begroudd tulisan bikin mata jenuh, tulisan abu2 membuat mata bekerja extra</v>
      </c>
      <c r="W116" s="8" t="str">
        <f>IF($A116="","",TRIM(INDEX(FORM!$L:$L,ROW())&amp;""))</f>
        <v>cukup</v>
      </c>
      <c r="X116" s="8" t="str">
        <f>IF($A116="","",TRIM(INDEX(FORM!$M:$M,ROW())&amp;""))</f>
        <v>sudah bagus</v>
      </c>
      <c r="Y116" s="8">
        <f>IF($A116="","",IFERROR(MATCH(F116,DATA!$AH$2:$AH$5,0),9)*10000+A116)</f>
        <v>20115</v>
      </c>
      <c r="Z116" s="8" t="str">
        <f t="shared" si="23"/>
        <v>Desain, Warna &amp; Font</v>
      </c>
      <c r="AA116" s="8" t="str">
        <f t="shared" si="24"/>
        <v>Tidak ada masukan / sudah baik</v>
      </c>
      <c r="AB116" s="8" t="str">
        <f t="shared" si="25"/>
        <v>Tidak ada masukan / sudah baik</v>
      </c>
      <c r="AC116" s="8"/>
      <c r="AD116" s="8"/>
      <c r="AE116" s="8"/>
      <c r="AK116" s="5">
        <f t="shared" si="26"/>
        <v>0</v>
      </c>
      <c r="AL116" s="5">
        <f t="shared" si="27"/>
        <v>0</v>
      </c>
      <c r="AM116" s="5">
        <f t="shared" si="28"/>
        <v>1</v>
      </c>
      <c r="AN116" s="5">
        <f t="shared" si="29"/>
        <v>0</v>
      </c>
      <c r="AO116" s="5">
        <f t="shared" si="30"/>
        <v>0</v>
      </c>
      <c r="AP116" s="5">
        <f t="shared" si="31"/>
        <v>0</v>
      </c>
      <c r="AQ116" s="5">
        <f t="shared" si="32"/>
        <v>0</v>
      </c>
      <c r="AR116" s="5">
        <f t="shared" si="33"/>
        <v>0</v>
      </c>
      <c r="AS116" s="5">
        <f t="shared" si="34"/>
        <v>0</v>
      </c>
      <c r="AT116" s="5">
        <f t="shared" si="35"/>
        <v>0</v>
      </c>
      <c r="AU116" s="5">
        <f t="shared" si="36"/>
        <v>0</v>
      </c>
      <c r="AV116" s="5">
        <f t="shared" si="37"/>
        <v>0</v>
      </c>
      <c r="AW116" s="5">
        <f t="shared" si="38"/>
        <v>0</v>
      </c>
      <c r="AX116" s="5">
        <f t="shared" si="39"/>
        <v>0</v>
      </c>
      <c r="AY116" s="5">
        <f t="shared" si="40"/>
        <v>0</v>
      </c>
      <c r="AZ116" s="5">
        <f t="shared" si="41"/>
        <v>0</v>
      </c>
      <c r="BA116" s="5">
        <f t="shared" si="42"/>
        <v>0</v>
      </c>
      <c r="BB116" s="5">
        <f t="shared" si="43"/>
        <v>1</v>
      </c>
    </row>
    <row r="117" spans="1:54">
      <c r="A117" s="87">
        <f>IF(INDEX(FORM!$A:$A,ROW())="","",ROW()-1)</f>
        <v>116</v>
      </c>
      <c r="B117" s="88">
        <f>IF($A117="","",INDEX(FORM!$A:$A,ROW()))</f>
        <v>46310.690925925897</v>
      </c>
      <c r="C117" s="87" t="str">
        <f>IF($A117="","",TRIM(INDEX(FORM!$B:$B,ROW())))</f>
        <v>AHYARROSIDI</v>
      </c>
      <c r="D117" s="87" t="str">
        <f>IF($A117="","",TRIM(INDEX(FORM!$C:$C,ROW())&amp;""))</f>
        <v>1511219</v>
      </c>
      <c r="E117" s="87" t="str">
        <f>IF($A117="","",UPPER(TRIM(INDEX(FORM!$D:$D,ROW()))))</f>
        <v>LOMBOK</v>
      </c>
      <c r="F117" s="87" t="str">
        <f>IF($A117="","",IFERROR(INDEX(PROGRES!$A$2:$A$92,MATCH(E117,PROGRES!$B$2:$B$92,0)),"-"))</f>
        <v>Luar Pulau</v>
      </c>
      <c r="G117" s="87" t="str">
        <f>IF($A117="","",UPPER(TRIM(INDEX(FORM!$F:$F,ROW()))))</f>
        <v>LUAR PULAU</v>
      </c>
      <c r="H117" s="87" t="str">
        <f>IF($A117="","",UPPER(TRIM(INDEX(FORM!$E:$E,ROW()))))</f>
        <v>CRO</v>
      </c>
      <c r="I117" s="87" t="str">
        <f>IF($A117="","",UPPER(TRIM(INDEX(FORM!$G:$G,ROW()))))</f>
        <v>MUDAH</v>
      </c>
      <c r="J117" s="87" t="str">
        <f>IF($A117="","",IF(ISNUMBER(SEARCH("Ya,",INDEX(FORM!$H:$H,ROW()))),"YA",IF(ISNUMBER(SEARCH("Cukup,",INDEX(FORM!$H:$H,ROW()))),"CUKUP",IF(ISNUMBER(SEARCH("Kurang,",INDEX(FORM!$H:$H,ROW()))),"KURANG",""))))</f>
        <v>YA</v>
      </c>
      <c r="K117" s="87" t="str">
        <f>IF($A117="","",UPPER(TRIM(INDEX(FORM!$J:$J,ROW()))))</f>
        <v>MUDAH</v>
      </c>
      <c r="L117" s="87">
        <f>IF($A117="","",IF(ISNUMBER(SEARCH("Aktivitas Harian",INDEX(FORM!$K:$K,ROW()))),1,0))</f>
        <v>1</v>
      </c>
      <c r="M117" s="87">
        <f>IF($A117="","",IF(ISNUMBER(SEARCH("Aktivitas Mingguan",INDEX(FORM!$K:$K,ROW()))),1,0))</f>
        <v>0</v>
      </c>
      <c r="N117" s="87">
        <f>IF($A117="","",IF(ISNUMBER(SEARCH("Aktivitas Bulanan",INDEX(FORM!$K:$K,ROW()))),1,0))</f>
        <v>0</v>
      </c>
      <c r="O117" s="87">
        <f>IF($A117="","",IF(ISNUMBER(SEARCH("Overview Cabang",INDEX(FORM!$K:$K,ROW()))),1,0))</f>
        <v>0</v>
      </c>
      <c r="P117" s="87">
        <f>IF($A117="","",IFERROR(VLOOKUP(I117,DATA!$AH$9:$AI$13,2,0),""))</f>
        <v>3</v>
      </c>
      <c r="Q117" s="87">
        <f>IF($A117="","",IFERROR(VLOOKUP(J117,DATA!$AH$9:$AI$13,2,0),""))</f>
        <v>3</v>
      </c>
      <c r="R117" s="87">
        <f>IF($A117="","",IFERROR(VLOOKUP(K117,DATA!$AH$9:$AI$13,2,0),""))</f>
        <v>3</v>
      </c>
      <c r="S117" s="89">
        <f t="shared" si="22"/>
        <v>3</v>
      </c>
      <c r="T117" s="87">
        <f>IF($A117="","",IF(COUNTIF($D$2:D117,D117)=1,1,0))</f>
        <v>1</v>
      </c>
      <c r="U117" s="87" t="str">
        <f>IF($A117="","",IF(F117="-","Cabang tdk ada",IF(IFERROR(VLOOKUP(G117,#REF!,1,0),"")="","",IF(INDEX(DATA!$AH$2:$AH$5,MATCH(G117,DATA!$AI$2:$AI$5,0))&lt;&gt;F117,"Wilayah beda","OK"))))</f>
        <v/>
      </c>
      <c r="V117" s="87" t="str">
        <f>IF($A117="","",TRIM(INDEX(FORM!$I:$I,ROW())&amp;""))</f>
        <v>-</v>
      </c>
      <c r="W117" s="87" t="str">
        <f>IF($A117="","",TRIM(INDEX(FORM!$L:$L,ROW())&amp;""))</f>
        <v>Tidak ada</v>
      </c>
      <c r="X117" s="87" t="str">
        <f>IF($A117="","",TRIM(INDEX(FORM!$M:$M,ROW())&amp;""))</f>
        <v>-</v>
      </c>
      <c r="Y117" s="8">
        <f>IF($A117="","",IFERROR(MATCH(F117,DATA!$AH$2:$AH$5,0),9)*10000+A117)</f>
        <v>40116</v>
      </c>
      <c r="Z117" s="87" t="str">
        <f t="shared" si="23"/>
        <v>Tidak ada masukan / sudah baik</v>
      </c>
      <c r="AA117" s="87" t="str">
        <f t="shared" si="24"/>
        <v>Tidak ada masukan / sudah baik</v>
      </c>
      <c r="AB117" s="87" t="str">
        <f t="shared" si="25"/>
        <v>Tidak ada masukan / sudah baik</v>
      </c>
      <c r="AC117" s="87"/>
      <c r="AD117" s="87"/>
      <c r="AE117" s="87"/>
      <c r="AK117" s="90">
        <f t="shared" si="26"/>
        <v>0</v>
      </c>
      <c r="AL117" s="90">
        <f t="shared" si="27"/>
        <v>0</v>
      </c>
      <c r="AM117" s="90">
        <f t="shared" si="28"/>
        <v>0</v>
      </c>
      <c r="AN117" s="90">
        <f t="shared" si="29"/>
        <v>0</v>
      </c>
      <c r="AO117" s="90">
        <f t="shared" si="30"/>
        <v>0</v>
      </c>
      <c r="AP117" s="90">
        <f t="shared" si="31"/>
        <v>0</v>
      </c>
      <c r="AQ117" s="90">
        <f t="shared" si="32"/>
        <v>0</v>
      </c>
      <c r="AR117" s="90">
        <f t="shared" si="33"/>
        <v>0</v>
      </c>
      <c r="AS117" s="90">
        <f t="shared" si="34"/>
        <v>0</v>
      </c>
      <c r="AT117" s="90">
        <f t="shared" si="35"/>
        <v>0</v>
      </c>
      <c r="AU117" s="90">
        <f t="shared" si="36"/>
        <v>0</v>
      </c>
      <c r="AV117" s="90">
        <f t="shared" si="37"/>
        <v>0</v>
      </c>
      <c r="AW117" s="90">
        <f t="shared" si="38"/>
        <v>0</v>
      </c>
      <c r="AX117" s="90">
        <f t="shared" si="39"/>
        <v>0</v>
      </c>
      <c r="AY117" s="90">
        <f t="shared" si="40"/>
        <v>0</v>
      </c>
      <c r="AZ117" s="90">
        <f t="shared" si="41"/>
        <v>0</v>
      </c>
      <c r="BA117" s="90">
        <f t="shared" si="42"/>
        <v>0</v>
      </c>
      <c r="BB117" s="90">
        <f t="shared" si="43"/>
        <v>0</v>
      </c>
    </row>
    <row r="118" spans="1:54">
      <c r="A118" s="87">
        <f>IF(INDEX(FORM!$A:$A,ROW())="","",ROW()-1)</f>
        <v>117</v>
      </c>
      <c r="B118" s="88">
        <f>IF($A118="","",INDEX(FORM!$A:$A,ROW()))</f>
        <v>46310.691736111097</v>
      </c>
      <c r="C118" s="87" t="str">
        <f>IF($A118="","",TRIM(INDEX(FORM!$B:$B,ROW())))</f>
        <v>NUR HUDA</v>
      </c>
      <c r="D118" s="87" t="str">
        <f>IF($A118="","",TRIM(INDEX(FORM!$C:$C,ROW())&amp;""))</f>
        <v>1511109</v>
      </c>
      <c r="E118" s="87" t="str">
        <f>IF($A118="","",UPPER(TRIM(INDEX(FORM!$D:$D,ROW()))))</f>
        <v>CEPU</v>
      </c>
      <c r="F118" s="87" t="str">
        <f>IF($A118="","",IFERROR(INDEX(PROGRES!$A$2:$A$92,MATCH(E118,PROGRES!$B$2:$B$92,0)),"-"))</f>
        <v>Jawa Tengah</v>
      </c>
      <c r="G118" s="87" t="str">
        <f>IF($A118="","",UPPER(TRIM(INDEX(FORM!$F:$F,ROW()))))</f>
        <v>JATENG DIY</v>
      </c>
      <c r="H118" s="87" t="str">
        <f>IF($A118="","",UPPER(TRIM(INDEX(FORM!$E:$E,ROW()))))</f>
        <v>CRO</v>
      </c>
      <c r="I118" s="87" t="str">
        <f>IF($A118="","",UPPER(TRIM(INDEX(FORM!$G:$G,ROW()))))</f>
        <v>CUKUP</v>
      </c>
      <c r="J118" s="87" t="str">
        <f>IF($A118="","",IF(ISNUMBER(SEARCH("Ya,",INDEX(FORM!$H:$H,ROW()))),"YA",IF(ISNUMBER(SEARCH("Cukup,",INDEX(FORM!$H:$H,ROW()))),"CUKUP",IF(ISNUMBER(SEARCH("Kurang,",INDEX(FORM!$H:$H,ROW()))),"KURANG",""))))</f>
        <v>CUKUP</v>
      </c>
      <c r="K118" s="87" t="str">
        <f>IF($A118="","",UPPER(TRIM(INDEX(FORM!$J:$J,ROW()))))</f>
        <v>CUKUP</v>
      </c>
      <c r="L118" s="87">
        <f>IF($A118="","",IF(ISNUMBER(SEARCH("Aktivitas Harian",INDEX(FORM!$K:$K,ROW()))),1,0))</f>
        <v>0</v>
      </c>
      <c r="M118" s="87">
        <f>IF($A118="","",IF(ISNUMBER(SEARCH("Aktivitas Mingguan",INDEX(FORM!$K:$K,ROW()))),1,0))</f>
        <v>0</v>
      </c>
      <c r="N118" s="87">
        <f>IF($A118="","",IF(ISNUMBER(SEARCH("Aktivitas Bulanan",INDEX(FORM!$K:$K,ROW()))),1,0))</f>
        <v>1</v>
      </c>
      <c r="O118" s="87">
        <f>IF($A118="","",IF(ISNUMBER(SEARCH("Overview Cabang",INDEX(FORM!$K:$K,ROW()))),1,0))</f>
        <v>0</v>
      </c>
      <c r="P118" s="87">
        <f>IF($A118="","",IFERROR(VLOOKUP(I118,DATA!$AH$9:$AI$13,2,0),""))</f>
        <v>2</v>
      </c>
      <c r="Q118" s="87">
        <f>IF($A118="","",IFERROR(VLOOKUP(J118,DATA!$AH$9:$AI$13,2,0),""))</f>
        <v>2</v>
      </c>
      <c r="R118" s="87">
        <f>IF($A118="","",IFERROR(VLOOKUP(K118,DATA!$AH$9:$AI$13,2,0),""))</f>
        <v>2</v>
      </c>
      <c r="S118" s="89">
        <f t="shared" si="22"/>
        <v>2</v>
      </c>
      <c r="T118" s="87">
        <f>IF($A118="","",IF(COUNTIF($D$2:D118,D118)=1,1,0))</f>
        <v>1</v>
      </c>
      <c r="U118" s="87" t="str">
        <f>IF($A118="","",IF(F118="-","Cabang tdk ada",IF(IFERROR(VLOOKUP(G118,#REF!,1,0),"")="","",IF(INDEX(DATA!$AH$2:$AH$5,MATCH(G118,DATA!$AI$2:$AI$5,0))&lt;&gt;F118,"Wilayah beda","OK"))))</f>
        <v/>
      </c>
      <c r="V118" s="87" t="str">
        <f>IF($A118="","",TRIM(INDEX(FORM!$I:$I,ROW())&amp;""))</f>
        <v>Untuk tampilan dan aksesibilitas website sudah cukup bagus, menarik dan mudah dipahami</v>
      </c>
      <c r="W118" s="87" t="str">
        <f>IF($A118="","",TRIM(INDEX(FORM!$L:$L,ROW())&amp;""))</f>
        <v>Tidak ada (Sudah mencakup semuanya)</v>
      </c>
      <c r="X118" s="87" t="str">
        <f>IF($A118="","",TRIM(INDEX(FORM!$M:$M,ROW())&amp;""))</f>
        <v>Ke depannya lebih dikembangkan lagi terkait tampilan websitenya agar lebih menarik untuk membacanya</v>
      </c>
      <c r="Y118" s="8">
        <f>IF($A118="","",IFERROR(MATCH(F118,DATA!$AH$2:$AH$5,0),9)*10000+A118)</f>
        <v>20117</v>
      </c>
      <c r="Z118" s="87" t="str">
        <f t="shared" si="23"/>
        <v>Desain, Warna &amp; Font</v>
      </c>
      <c r="AA118" s="87" t="str">
        <f t="shared" si="24"/>
        <v>Tidak ada masukan / sudah baik</v>
      </c>
      <c r="AB118" s="87" t="str">
        <f t="shared" si="25"/>
        <v>Desain Tampilan</v>
      </c>
      <c r="AC118" s="87"/>
      <c r="AD118" s="87"/>
      <c r="AE118" s="87"/>
      <c r="AK118" s="90">
        <f t="shared" si="26"/>
        <v>0</v>
      </c>
      <c r="AL118" s="90">
        <f t="shared" si="27"/>
        <v>0</v>
      </c>
      <c r="AM118" s="90">
        <f t="shared" si="28"/>
        <v>1</v>
      </c>
      <c r="AN118" s="90">
        <f t="shared" si="29"/>
        <v>0</v>
      </c>
      <c r="AO118" s="90">
        <f t="shared" si="30"/>
        <v>0</v>
      </c>
      <c r="AP118" s="90">
        <f t="shared" si="31"/>
        <v>0</v>
      </c>
      <c r="AQ118" s="90">
        <f t="shared" si="32"/>
        <v>0</v>
      </c>
      <c r="AR118" s="90">
        <f t="shared" si="33"/>
        <v>0</v>
      </c>
      <c r="AS118" s="90">
        <f t="shared" si="34"/>
        <v>0</v>
      </c>
      <c r="AT118" s="90">
        <f t="shared" si="35"/>
        <v>0</v>
      </c>
      <c r="AU118" s="90">
        <f t="shared" si="36"/>
        <v>0</v>
      </c>
      <c r="AV118" s="90">
        <f t="shared" si="37"/>
        <v>0</v>
      </c>
      <c r="AW118" s="90">
        <f t="shared" si="38"/>
        <v>0</v>
      </c>
      <c r="AX118" s="90">
        <f t="shared" si="39"/>
        <v>0</v>
      </c>
      <c r="AY118" s="90">
        <f t="shared" si="40"/>
        <v>0</v>
      </c>
      <c r="AZ118" s="90">
        <f t="shared" si="41"/>
        <v>0</v>
      </c>
      <c r="BA118" s="90">
        <f t="shared" si="42"/>
        <v>0</v>
      </c>
      <c r="BB118" s="90">
        <f t="shared" si="43"/>
        <v>1</v>
      </c>
    </row>
    <row r="119" spans="1:54">
      <c r="A119" s="87">
        <f>IF(INDEX(FORM!$A:$A,ROW())="","",ROW()-1)</f>
        <v>118</v>
      </c>
      <c r="B119" s="88">
        <f>IF($A119="","",INDEX(FORM!$A:$A,ROW()))</f>
        <v>46310.691770833299</v>
      </c>
      <c r="C119" s="87" t="str">
        <f>IF($A119="","",TRIM(INDEX(FORM!$B:$B,ROW())))</f>
        <v>Indra Jaya Satria</v>
      </c>
      <c r="D119" s="87" t="str">
        <f>IF($A119="","",TRIM(INDEX(FORM!$C:$C,ROW())&amp;""))</f>
        <v>1511220</v>
      </c>
      <c r="E119" s="87" t="str">
        <f>IF($A119="","",UPPER(TRIM(INDEX(FORM!$D:$D,ROW()))))</f>
        <v>BALIKPAPAN</v>
      </c>
      <c r="F119" s="87" t="str">
        <f>IF($A119="","",IFERROR(INDEX(PROGRES!$A$2:$A$92,MATCH(E119,PROGRES!$B$2:$B$92,0)),"-"))</f>
        <v>Luar Pulau</v>
      </c>
      <c r="G119" s="87" t="str">
        <f>IF($A119="","",UPPER(TRIM(INDEX(FORM!$F:$F,ROW()))))</f>
        <v>LUAR PULAU</v>
      </c>
      <c r="H119" s="87" t="str">
        <f>IF($A119="","",UPPER(TRIM(INDEX(FORM!$E:$E,ROW()))))</f>
        <v>CRO</v>
      </c>
      <c r="I119" s="87" t="str">
        <f>IF($A119="","",UPPER(TRIM(INDEX(FORM!$G:$G,ROW()))))</f>
        <v>CUKUP</v>
      </c>
      <c r="J119" s="87" t="str">
        <f>IF($A119="","",IF(ISNUMBER(SEARCH("Ya,",INDEX(FORM!$H:$H,ROW()))),"YA",IF(ISNUMBER(SEARCH("Cukup,",INDEX(FORM!$H:$H,ROW()))),"CUKUP",IF(ISNUMBER(SEARCH("Kurang,",INDEX(FORM!$H:$H,ROW()))),"KURANG",""))))</f>
        <v>CUKUP</v>
      </c>
      <c r="K119" s="87" t="str">
        <f>IF($A119="","",UPPER(TRIM(INDEX(FORM!$J:$J,ROW()))))</f>
        <v>CUKUP</v>
      </c>
      <c r="L119" s="87">
        <f>IF($A119="","",IF(ISNUMBER(SEARCH("Aktivitas Harian",INDEX(FORM!$K:$K,ROW()))),1,0))</f>
        <v>1</v>
      </c>
      <c r="M119" s="87">
        <f>IF($A119="","",IF(ISNUMBER(SEARCH("Aktivitas Mingguan",INDEX(FORM!$K:$K,ROW()))),1,0))</f>
        <v>0</v>
      </c>
      <c r="N119" s="87">
        <f>IF($A119="","",IF(ISNUMBER(SEARCH("Aktivitas Bulanan",INDEX(FORM!$K:$K,ROW()))),1,0))</f>
        <v>0</v>
      </c>
      <c r="O119" s="87">
        <f>IF($A119="","",IF(ISNUMBER(SEARCH("Overview Cabang",INDEX(FORM!$K:$K,ROW()))),1,0))</f>
        <v>0</v>
      </c>
      <c r="P119" s="87">
        <f>IF($A119="","",IFERROR(VLOOKUP(I119,DATA!$AH$9:$AI$13,2,0),""))</f>
        <v>2</v>
      </c>
      <c r="Q119" s="87">
        <f>IF($A119="","",IFERROR(VLOOKUP(J119,DATA!$AH$9:$AI$13,2,0),""))</f>
        <v>2</v>
      </c>
      <c r="R119" s="87">
        <f>IF($A119="","",IFERROR(VLOOKUP(K119,DATA!$AH$9:$AI$13,2,0),""))</f>
        <v>2</v>
      </c>
      <c r="S119" s="89">
        <f t="shared" si="22"/>
        <v>2</v>
      </c>
      <c r="T119" s="87">
        <f>IF($A119="","",IF(COUNTIF($D$2:D119,D119)=1,1,0))</f>
        <v>1</v>
      </c>
      <c r="U119" s="87" t="str">
        <f>IF($A119="","",IF(F119="-","Cabang tdk ada",IF(IFERROR(VLOOKUP(G119,#REF!,1,0),"")="","",IF(INDEX(DATA!$AH$2:$AH$5,MATCH(G119,DATA!$AI$2:$AI$5,0))&lt;&gt;F119,"Wilayah beda","OK"))))</f>
        <v/>
      </c>
      <c r="V119" s="87" t="str">
        <f>IF($A119="","",TRIM(INDEX(FORM!$I:$I,ROW())&amp;""))</f>
        <v>sudah cukup dan mudah dimengerti</v>
      </c>
      <c r="W119" s="87" t="str">
        <f>IF($A119="","",TRIM(INDEX(FORM!$L:$L,ROW())&amp;""))</f>
        <v>tidak ada</v>
      </c>
      <c r="X119" s="87" t="str">
        <f>IF($A119="","",TRIM(INDEX(FORM!$M:$M,ROW())&amp;""))</f>
        <v>Mungkin UI nya bisa di update lagi agar lebih kekinian dan lebih estetik</v>
      </c>
      <c r="Y119" s="8">
        <f>IF($A119="","",IFERROR(MATCH(F119,DATA!$AH$2:$AH$5,0),9)*10000+A119)</f>
        <v>40118</v>
      </c>
      <c r="Z119" s="87" t="str">
        <f t="shared" si="23"/>
        <v>Tidak ada masukan / sudah baik</v>
      </c>
      <c r="AA119" s="87" t="str">
        <f t="shared" si="24"/>
        <v>Tidak ada masukan / sudah baik</v>
      </c>
      <c r="AB119" s="87" t="str">
        <f t="shared" si="25"/>
        <v>Update Informasi Berkala</v>
      </c>
      <c r="AC119" s="87"/>
      <c r="AD119" s="87"/>
      <c r="AE119" s="87"/>
      <c r="AK119" s="90">
        <f t="shared" si="26"/>
        <v>0</v>
      </c>
      <c r="AL119" s="90">
        <f t="shared" si="27"/>
        <v>0</v>
      </c>
      <c r="AM119" s="90">
        <f t="shared" si="28"/>
        <v>0</v>
      </c>
      <c r="AN119" s="90">
        <f t="shared" si="29"/>
        <v>0</v>
      </c>
      <c r="AO119" s="90">
        <f t="shared" si="30"/>
        <v>0</v>
      </c>
      <c r="AP119" s="90">
        <f t="shared" si="31"/>
        <v>0</v>
      </c>
      <c r="AQ119" s="90">
        <f t="shared" si="32"/>
        <v>0</v>
      </c>
      <c r="AR119" s="90">
        <f t="shared" si="33"/>
        <v>0</v>
      </c>
      <c r="AS119" s="90">
        <f t="shared" si="34"/>
        <v>0</v>
      </c>
      <c r="AT119" s="90">
        <f t="shared" si="35"/>
        <v>0</v>
      </c>
      <c r="AU119" s="90">
        <f t="shared" si="36"/>
        <v>1</v>
      </c>
      <c r="AV119" s="90">
        <f t="shared" si="37"/>
        <v>0</v>
      </c>
      <c r="AW119" s="90">
        <f t="shared" si="38"/>
        <v>0</v>
      </c>
      <c r="AX119" s="90">
        <f t="shared" si="39"/>
        <v>0</v>
      </c>
      <c r="AY119" s="90">
        <f t="shared" si="40"/>
        <v>0</v>
      </c>
      <c r="AZ119" s="90">
        <f t="shared" si="41"/>
        <v>0</v>
      </c>
      <c r="BA119" s="90">
        <f t="shared" si="42"/>
        <v>0</v>
      </c>
      <c r="BB119" s="90">
        <f t="shared" si="43"/>
        <v>1</v>
      </c>
    </row>
    <row r="120" spans="1:54" s="5" customFormat="1" hidden="1">
      <c r="A120" s="8">
        <f>IF(INDEX(FORM!$A:$A,ROW())="","",ROW()-1)</f>
        <v>119</v>
      </c>
      <c r="B120" s="41">
        <f>IF($A120="","",INDEX(FORM!$A:$A,ROW()))</f>
        <v>46310.691817129598</v>
      </c>
      <c r="C120" s="8" t="str">
        <f>IF($A120="","",TRIM(INDEX(FORM!$B:$B,ROW())))</f>
        <v>Azhar Hawari</v>
      </c>
      <c r="D120" s="8" t="str">
        <f>IF($A120="","",TRIM(INDEX(FORM!$C:$C,ROW())&amp;""))</f>
        <v>2259</v>
      </c>
      <c r="E120" s="8" t="str">
        <f>IF($A120="","",UPPER(TRIM(INDEX(FORM!$D:$D,ROW()))))</f>
        <v>BALIKPAPAN</v>
      </c>
      <c r="F120" s="8" t="str">
        <f>IF($A120="","",IFERROR(INDEX(PROGRES!$A$2:$A$92,MATCH(E120,PROGRES!$B$2:$B$92,0)),"-"))</f>
        <v>Luar Pulau</v>
      </c>
      <c r="G120" s="8" t="str">
        <f>IF($A120="","",UPPER(TRIM(INDEX(FORM!$F:$F,ROW()))))</f>
        <v>LUAR PULAU</v>
      </c>
      <c r="H120" s="8" t="str">
        <f>IF($A120="","",UPPER(TRIM(INDEX(FORM!$E:$E,ROW()))))</f>
        <v>BM</v>
      </c>
      <c r="I120" s="8" t="str">
        <f>IF($A120="","",UPPER(TRIM(INDEX(FORM!$G:$G,ROW()))))</f>
        <v>MUDAH</v>
      </c>
      <c r="J120" s="8" t="str">
        <f>IF($A120="","",IF(ISNUMBER(SEARCH("Ya,",INDEX(FORM!$H:$H,ROW()))),"YA",IF(ISNUMBER(SEARCH("Cukup,",INDEX(FORM!$H:$H,ROW()))),"CUKUP",IF(ISNUMBER(SEARCH("Kurang,",INDEX(FORM!$H:$H,ROW()))),"KURANG",""))))</f>
        <v>YA</v>
      </c>
      <c r="K120" s="8" t="str">
        <f>IF($A120="","",UPPER(TRIM(INDEX(FORM!$J:$J,ROW()))))</f>
        <v>MUDAH</v>
      </c>
      <c r="L120" s="8">
        <f>IF($A120="","",IF(ISNUMBER(SEARCH("Aktivitas Harian",INDEX(FORM!$K:$K,ROW()))),1,0))</f>
        <v>1</v>
      </c>
      <c r="M120" s="8">
        <f>IF($A120="","",IF(ISNUMBER(SEARCH("Aktivitas Mingguan",INDEX(FORM!$K:$K,ROW()))),1,0))</f>
        <v>1</v>
      </c>
      <c r="N120" s="8">
        <f>IF($A120="","",IF(ISNUMBER(SEARCH("Aktivitas Bulanan",INDEX(FORM!$K:$K,ROW()))),1,0))</f>
        <v>1</v>
      </c>
      <c r="O120" s="8">
        <f>IF($A120="","",IF(ISNUMBER(SEARCH("Overview Cabang",INDEX(FORM!$K:$K,ROW()))),1,0))</f>
        <v>1</v>
      </c>
      <c r="P120" s="8">
        <f>IF($A120="","",IFERROR(VLOOKUP(I120,DATA!$AH$9:$AI$13,2,0),""))</f>
        <v>3</v>
      </c>
      <c r="Q120" s="8">
        <f>IF($A120="","",IFERROR(VLOOKUP(J120,DATA!$AH$9:$AI$13,2,0),""))</f>
        <v>3</v>
      </c>
      <c r="R120" s="8">
        <f>IF($A120="","",IFERROR(VLOOKUP(K120,DATA!$AH$9:$AI$13,2,0),""))</f>
        <v>3</v>
      </c>
      <c r="S120" s="42">
        <f t="shared" si="22"/>
        <v>3</v>
      </c>
      <c r="T120" s="8">
        <f>IF($A120="","",IF(COUNTIF($D$2:D120,D120)=1,1,0))</f>
        <v>1</v>
      </c>
      <c r="U120" s="8" t="str">
        <f>IF($A120="","",IF(F120="-","Cabang tdk ada",IF(IFERROR(VLOOKUP(G120,#REF!,1,0),"")="","",IF(INDEX(DATA!$AH$2:$AH$5,MATCH(G120,DATA!$AI$2:$AI$5,0))&lt;&gt;F120,"Wilayah beda","OK"))))</f>
        <v/>
      </c>
      <c r="V120" s="8" t="str">
        <f>IF($A120="","",TRIM(INDEX(FORM!$I:$I,ROW())&amp;""))</f>
        <v>Bagus</v>
      </c>
      <c r="W120" s="8" t="str">
        <f>IF($A120="","",TRIM(INDEX(FORM!$L:$L,ROW())&amp;""))</f>
        <v>Untuk cro Belum ada sop Toko baru harus cash dulu dan limit jangan diberikan semua</v>
      </c>
      <c r="X120" s="8" t="str">
        <f>IF($A120="","",TRIM(INDEX(FORM!$M:$M,ROW())&amp;""))</f>
        <v>Untuk handbook Cro Kalo bisa ada tambahan cara mengatasi penolakan, tips kunjungan agar bisa lebih dekat dengan pelanggan, teknik negosiasi dan closing</v>
      </c>
      <c r="Y120" s="8">
        <f>IF($A120="","",IFERROR(MATCH(F120,DATA!$AH$2:$AH$5,0),9)*10000+A120)</f>
        <v>40119</v>
      </c>
      <c r="Z120" s="8" t="str">
        <f t="shared" si="23"/>
        <v>Tidak ada masukan / sudah baik</v>
      </c>
      <c r="AA120" s="8" t="str">
        <f t="shared" si="24"/>
        <v>Tidak ada masukan / sudah baik</v>
      </c>
      <c r="AB120" s="8" t="str">
        <f t="shared" si="25"/>
        <v>Penambahan Materi &amp; Template</v>
      </c>
      <c r="AC120" s="8"/>
      <c r="AD120" s="8"/>
      <c r="AE120" s="8"/>
      <c r="AK120" s="5">
        <f t="shared" si="26"/>
        <v>0</v>
      </c>
      <c r="AL120" s="5">
        <f t="shared" si="27"/>
        <v>0</v>
      </c>
      <c r="AM120" s="5">
        <f t="shared" si="28"/>
        <v>0</v>
      </c>
      <c r="AN120" s="5">
        <f t="shared" si="29"/>
        <v>0</v>
      </c>
      <c r="AO120" s="5">
        <f t="shared" si="30"/>
        <v>0</v>
      </c>
      <c r="AP120" s="5">
        <f t="shared" si="31"/>
        <v>0</v>
      </c>
      <c r="AQ120" s="5">
        <f t="shared" si="32"/>
        <v>0</v>
      </c>
      <c r="AR120" s="5">
        <f t="shared" si="33"/>
        <v>1</v>
      </c>
      <c r="AS120" s="5">
        <f t="shared" si="34"/>
        <v>0</v>
      </c>
      <c r="AT120" s="5">
        <f t="shared" si="35"/>
        <v>0</v>
      </c>
      <c r="AU120" s="5">
        <f t="shared" si="36"/>
        <v>0</v>
      </c>
      <c r="AV120" s="5">
        <f t="shared" si="37"/>
        <v>0</v>
      </c>
      <c r="AW120" s="5">
        <f t="shared" si="38"/>
        <v>0</v>
      </c>
      <c r="AX120" s="5">
        <f t="shared" si="39"/>
        <v>0</v>
      </c>
      <c r="AY120" s="5">
        <f t="shared" si="40"/>
        <v>0</v>
      </c>
      <c r="AZ120" s="5">
        <f t="shared" si="41"/>
        <v>0</v>
      </c>
      <c r="BA120" s="5">
        <f t="shared" si="42"/>
        <v>0</v>
      </c>
      <c r="BB120" s="5">
        <f t="shared" si="43"/>
        <v>1</v>
      </c>
    </row>
    <row r="121" spans="1:54" s="5" customFormat="1" hidden="1">
      <c r="A121" s="8">
        <f>IF(INDEX(FORM!$A:$A,ROW())="","",ROW()-1)</f>
        <v>120</v>
      </c>
      <c r="B121" s="41">
        <f>IF($A121="","",INDEX(FORM!$A:$A,ROW()))</f>
        <v>46310.691886574103</v>
      </c>
      <c r="C121" s="8" t="str">
        <f>IF($A121="","",TRIM(INDEX(FORM!$B:$B,ROW())))</f>
        <v>Alief Raynaldi Muttaqin</v>
      </c>
      <c r="D121" s="8" t="str">
        <f>IF($A121="","",TRIM(INDEX(FORM!$C:$C,ROW())&amp;""))</f>
        <v>1511286</v>
      </c>
      <c r="E121" s="8" t="str">
        <f>IF($A121="","",UPPER(TRIM(INDEX(FORM!$D:$D,ROW()))))</f>
        <v>BALIKPAPAN</v>
      </c>
      <c r="F121" s="8" t="str">
        <f>IF($A121="","",IFERROR(INDEX(PROGRES!$A$2:$A$92,MATCH(E121,PROGRES!$B$2:$B$92,0)),"-"))</f>
        <v>Luar Pulau</v>
      </c>
      <c r="G121" s="8" t="str">
        <f>IF($A121="","",UPPER(TRIM(INDEX(FORM!$F:$F,ROW()))))</f>
        <v>LUAR PULAU</v>
      </c>
      <c r="H121" s="8" t="str">
        <f>IF($A121="","",UPPER(TRIM(INDEX(FORM!$E:$E,ROW()))))</f>
        <v>BAO</v>
      </c>
      <c r="I121" s="8" t="str">
        <f>IF($A121="","",UPPER(TRIM(INDEX(FORM!$G:$G,ROW()))))</f>
        <v>MUDAH</v>
      </c>
      <c r="J121" s="8" t="str">
        <f>IF($A121="","",IF(ISNUMBER(SEARCH("Ya,",INDEX(FORM!$H:$H,ROW()))),"YA",IF(ISNUMBER(SEARCH("Cukup,",INDEX(FORM!$H:$H,ROW()))),"CUKUP",IF(ISNUMBER(SEARCH("Kurang,",INDEX(FORM!$H:$H,ROW()))),"KURANG",""))))</f>
        <v>YA</v>
      </c>
      <c r="K121" s="8" t="str">
        <f>IF($A121="","",UPPER(TRIM(INDEX(FORM!$J:$J,ROW()))))</f>
        <v>MUDAH</v>
      </c>
      <c r="L121" s="8">
        <f>IF($A121="","",IF(ISNUMBER(SEARCH("Aktivitas Harian",INDEX(FORM!$K:$K,ROW()))),1,0))</f>
        <v>1</v>
      </c>
      <c r="M121" s="8">
        <f>IF($A121="","",IF(ISNUMBER(SEARCH("Aktivitas Mingguan",INDEX(FORM!$K:$K,ROW()))),1,0))</f>
        <v>1</v>
      </c>
      <c r="N121" s="8">
        <f>IF($A121="","",IF(ISNUMBER(SEARCH("Aktivitas Bulanan",INDEX(FORM!$K:$K,ROW()))),1,0))</f>
        <v>1</v>
      </c>
      <c r="O121" s="8">
        <f>IF($A121="","",IF(ISNUMBER(SEARCH("Overview Cabang",INDEX(FORM!$K:$K,ROW()))),1,0))</f>
        <v>1</v>
      </c>
      <c r="P121" s="8">
        <f>IF($A121="","",IFERROR(VLOOKUP(I121,DATA!$AH$9:$AI$13,2,0),""))</f>
        <v>3</v>
      </c>
      <c r="Q121" s="8">
        <f>IF($A121="","",IFERROR(VLOOKUP(J121,DATA!$AH$9:$AI$13,2,0),""))</f>
        <v>3</v>
      </c>
      <c r="R121" s="8">
        <f>IF($A121="","",IFERROR(VLOOKUP(K121,DATA!$AH$9:$AI$13,2,0),""))</f>
        <v>3</v>
      </c>
      <c r="S121" s="42">
        <f t="shared" si="22"/>
        <v>3</v>
      </c>
      <c r="T121" s="8">
        <f>IF($A121="","",IF(COUNTIF($D$2:D121,D121)=1,1,0))</f>
        <v>1</v>
      </c>
      <c r="U121" s="8" t="str">
        <f>IF($A121="","",IF(F121="-","Cabang tdk ada",IF(IFERROR(VLOOKUP(G121,#REF!,1,0),"")="","",IF(INDEX(DATA!$AH$2:$AH$5,MATCH(G121,DATA!$AI$2:$AI$5,0))&lt;&gt;F121,"Wilayah beda","OK"))))</f>
        <v/>
      </c>
      <c r="V121" s="8" t="str">
        <f>IF($A121="","",TRIM(INDEX(FORM!$I:$I,ROW())&amp;""))</f>
        <v>Sudah cukup bagus dan simple</v>
      </c>
      <c r="W121" s="8" t="str">
        <f>IF($A121="","",TRIM(INDEX(FORM!$L:$L,ROW())&amp;""))</f>
        <v>Tidak ada</v>
      </c>
      <c r="X121" s="8" t="str">
        <f>IF($A121="","",TRIM(INDEX(FORM!$M:$M,ROW())&amp;""))</f>
        <v>Tingkatkan efektivitasnya</v>
      </c>
      <c r="Y121" s="8">
        <f>IF($A121="","",IFERROR(MATCH(F121,DATA!$AH$2:$AH$5,0),9)*10000+A121)</f>
        <v>40120</v>
      </c>
      <c r="Z121" s="8" t="str">
        <f t="shared" si="23"/>
        <v>Penyederhanaan &amp; Ringkas Isi</v>
      </c>
      <c r="AA121" s="8" t="str">
        <f t="shared" si="24"/>
        <v>Tidak ada masukan / sudah baik</v>
      </c>
      <c r="AB121" s="8" t="str">
        <f t="shared" si="25"/>
        <v>Saran Umum Peningkatan</v>
      </c>
      <c r="AC121" s="8"/>
      <c r="AD121" s="8"/>
      <c r="AE121" s="8"/>
      <c r="AK121" s="5">
        <f t="shared" si="26"/>
        <v>0</v>
      </c>
      <c r="AL121" s="5">
        <f t="shared" si="27"/>
        <v>0</v>
      </c>
      <c r="AM121" s="5">
        <f t="shared" si="28"/>
        <v>0</v>
      </c>
      <c r="AN121" s="5">
        <f t="shared" si="29"/>
        <v>0</v>
      </c>
      <c r="AO121" s="5">
        <f t="shared" si="30"/>
        <v>0</v>
      </c>
      <c r="AP121" s="5">
        <f t="shared" si="31"/>
        <v>0</v>
      </c>
      <c r="AQ121" s="5">
        <f t="shared" si="32"/>
        <v>1</v>
      </c>
      <c r="AR121" s="5">
        <f t="shared" si="33"/>
        <v>0</v>
      </c>
      <c r="AS121" s="5">
        <f t="shared" si="34"/>
        <v>0</v>
      </c>
      <c r="AT121" s="5">
        <f t="shared" si="35"/>
        <v>0</v>
      </c>
      <c r="AU121" s="5">
        <f t="shared" si="36"/>
        <v>0</v>
      </c>
      <c r="AV121" s="5">
        <f t="shared" si="37"/>
        <v>0</v>
      </c>
      <c r="AW121" s="5">
        <f t="shared" si="38"/>
        <v>0</v>
      </c>
      <c r="AX121" s="5">
        <f t="shared" si="39"/>
        <v>0</v>
      </c>
      <c r="AY121" s="5">
        <f t="shared" si="40"/>
        <v>0</v>
      </c>
      <c r="AZ121" s="5">
        <f t="shared" si="41"/>
        <v>1</v>
      </c>
      <c r="BA121" s="5">
        <f t="shared" si="42"/>
        <v>0</v>
      </c>
      <c r="BB121" s="5">
        <f t="shared" si="43"/>
        <v>1</v>
      </c>
    </row>
    <row r="122" spans="1:54">
      <c r="A122" s="87">
        <f>IF(INDEX(FORM!$A:$A,ROW())="","",ROW()-1)</f>
        <v>121</v>
      </c>
      <c r="B122" s="88">
        <f>IF($A122="","",INDEX(FORM!$A:$A,ROW()))</f>
        <v>46310.691990740699</v>
      </c>
      <c r="C122" s="87" t="str">
        <f>IF($A122="","",TRIM(INDEX(FORM!$B:$B,ROW())))</f>
        <v>BAYU FITRANGGONO</v>
      </c>
      <c r="D122" s="87" t="str">
        <f>IF($A122="","",TRIM(INDEX(FORM!$C:$C,ROW())&amp;""))</f>
        <v>1511154</v>
      </c>
      <c r="E122" s="87" t="str">
        <f>IF($A122="","",UPPER(TRIM(INDEX(FORM!$D:$D,ROW()))))</f>
        <v>LOMBOK</v>
      </c>
      <c r="F122" s="87" t="str">
        <f>IF($A122="","",IFERROR(INDEX(PROGRES!$A$2:$A$92,MATCH(E122,PROGRES!$B$2:$B$92,0)),"-"))</f>
        <v>Luar Pulau</v>
      </c>
      <c r="G122" s="87" t="str">
        <f>IF($A122="","",UPPER(TRIM(INDEX(FORM!$F:$F,ROW()))))</f>
        <v>LUAR PULAU</v>
      </c>
      <c r="H122" s="87" t="str">
        <f>IF($A122="","",UPPER(TRIM(INDEX(FORM!$E:$E,ROW()))))</f>
        <v>CRO</v>
      </c>
      <c r="I122" s="87" t="str">
        <f>IF($A122="","",UPPER(TRIM(INDEX(FORM!$G:$G,ROW()))))</f>
        <v>MUDAH</v>
      </c>
      <c r="J122" s="87" t="str">
        <f>IF($A122="","",IF(ISNUMBER(SEARCH("Ya,",INDEX(FORM!$H:$H,ROW()))),"YA",IF(ISNUMBER(SEARCH("Cukup,",INDEX(FORM!$H:$H,ROW()))),"CUKUP",IF(ISNUMBER(SEARCH("Kurang,",INDEX(FORM!$H:$H,ROW()))),"KURANG",""))))</f>
        <v>YA</v>
      </c>
      <c r="K122" s="87" t="str">
        <f>IF($A122="","",UPPER(TRIM(INDEX(FORM!$J:$J,ROW()))))</f>
        <v>MUDAH</v>
      </c>
      <c r="L122" s="87">
        <f>IF($A122="","",IF(ISNUMBER(SEARCH("Aktivitas Harian",INDEX(FORM!$K:$K,ROW()))),1,0))</f>
        <v>1</v>
      </c>
      <c r="M122" s="87">
        <f>IF($A122="","",IF(ISNUMBER(SEARCH("Aktivitas Mingguan",INDEX(FORM!$K:$K,ROW()))),1,0))</f>
        <v>1</v>
      </c>
      <c r="N122" s="87">
        <f>IF($A122="","",IF(ISNUMBER(SEARCH("Aktivitas Bulanan",INDEX(FORM!$K:$K,ROW()))),1,0))</f>
        <v>1</v>
      </c>
      <c r="O122" s="87">
        <f>IF($A122="","",IF(ISNUMBER(SEARCH("Overview Cabang",INDEX(FORM!$K:$K,ROW()))),1,0))</f>
        <v>1</v>
      </c>
      <c r="P122" s="87">
        <f>IF($A122="","",IFERROR(VLOOKUP(I122,DATA!$AH$9:$AI$13,2,0),""))</f>
        <v>3</v>
      </c>
      <c r="Q122" s="87">
        <f>IF($A122="","",IFERROR(VLOOKUP(J122,DATA!$AH$9:$AI$13,2,0),""))</f>
        <v>3</v>
      </c>
      <c r="R122" s="87">
        <f>IF($A122="","",IFERROR(VLOOKUP(K122,DATA!$AH$9:$AI$13,2,0),""))</f>
        <v>3</v>
      </c>
      <c r="S122" s="89">
        <f t="shared" si="22"/>
        <v>3</v>
      </c>
      <c r="T122" s="87">
        <f>IF($A122="","",IF(COUNTIF($D$2:D122,D122)=1,1,0))</f>
        <v>1</v>
      </c>
      <c r="U122" s="87" t="str">
        <f>IF($A122="","",IF(F122="-","Cabang tdk ada",IF(IFERROR(VLOOKUP(G122,#REF!,1,0),"")="","",IF(INDEX(DATA!$AH$2:$AH$5,MATCH(G122,DATA!$AI$2:$AI$5,0))&lt;&gt;F122,"Wilayah beda","OK"))))</f>
        <v/>
      </c>
      <c r="V122" s="87" t="str">
        <f>IF($A122="","",TRIM(INDEX(FORM!$I:$I,ROW())&amp;""))</f>
        <v>-</v>
      </c>
      <c r="W122" s="87" t="str">
        <f>IF($A122="","",TRIM(INDEX(FORM!$L:$L,ROW())&amp;""))</f>
        <v>Tidak ada</v>
      </c>
      <c r="X122" s="87" t="str">
        <f>IF($A122="","",TRIM(INDEX(FORM!$M:$M,ROW())&amp;""))</f>
        <v>Tidak ada</v>
      </c>
      <c r="Y122" s="8">
        <f>IF($A122="","",IFERROR(MATCH(F122,DATA!$AH$2:$AH$5,0),9)*10000+A122)</f>
        <v>40121</v>
      </c>
      <c r="Z122" s="87" t="str">
        <f t="shared" si="23"/>
        <v>Tidak ada masukan / sudah baik</v>
      </c>
      <c r="AA122" s="87" t="str">
        <f t="shared" si="24"/>
        <v>Tidak ada masukan / sudah baik</v>
      </c>
      <c r="AB122" s="87" t="str">
        <f t="shared" si="25"/>
        <v>Tidak ada masukan / sudah baik</v>
      </c>
      <c r="AC122" s="87"/>
      <c r="AD122" s="87"/>
      <c r="AE122" s="87"/>
      <c r="AK122" s="90">
        <f t="shared" si="26"/>
        <v>0</v>
      </c>
      <c r="AL122" s="90">
        <f t="shared" si="27"/>
        <v>0</v>
      </c>
      <c r="AM122" s="90">
        <f t="shared" si="28"/>
        <v>0</v>
      </c>
      <c r="AN122" s="90">
        <f t="shared" si="29"/>
        <v>0</v>
      </c>
      <c r="AO122" s="90">
        <f t="shared" si="30"/>
        <v>0</v>
      </c>
      <c r="AP122" s="90">
        <f t="shared" si="31"/>
        <v>0</v>
      </c>
      <c r="AQ122" s="90">
        <f t="shared" si="32"/>
        <v>0</v>
      </c>
      <c r="AR122" s="90">
        <f t="shared" si="33"/>
        <v>0</v>
      </c>
      <c r="AS122" s="90">
        <f t="shared" si="34"/>
        <v>0</v>
      </c>
      <c r="AT122" s="90">
        <f t="shared" si="35"/>
        <v>0</v>
      </c>
      <c r="AU122" s="90">
        <f t="shared" si="36"/>
        <v>0</v>
      </c>
      <c r="AV122" s="90">
        <f t="shared" si="37"/>
        <v>0</v>
      </c>
      <c r="AW122" s="90">
        <f t="shared" si="38"/>
        <v>0</v>
      </c>
      <c r="AX122" s="90">
        <f t="shared" si="39"/>
        <v>0</v>
      </c>
      <c r="AY122" s="90">
        <f t="shared" si="40"/>
        <v>0</v>
      </c>
      <c r="AZ122" s="90">
        <f t="shared" si="41"/>
        <v>0</v>
      </c>
      <c r="BA122" s="90">
        <f t="shared" si="42"/>
        <v>0</v>
      </c>
      <c r="BB122" s="90">
        <f t="shared" si="43"/>
        <v>0</v>
      </c>
    </row>
    <row r="123" spans="1:54">
      <c r="A123" s="87">
        <f>IF(INDEX(FORM!$A:$A,ROW())="","",ROW()-1)</f>
        <v>122</v>
      </c>
      <c r="B123" s="88">
        <f>IF($A123="","",INDEX(FORM!$A:$A,ROW()))</f>
        <v>46310.692210648202</v>
      </c>
      <c r="C123" s="87" t="str">
        <f>IF($A123="","",TRIM(INDEX(FORM!$B:$B,ROW())))</f>
        <v>Robin kemal idris</v>
      </c>
      <c r="D123" s="87" t="str">
        <f>IF($A123="","",TRIM(INDEX(FORM!$C:$C,ROW())&amp;""))</f>
        <v>1510605</v>
      </c>
      <c r="E123" s="87" t="str">
        <f>IF($A123="","",UPPER(TRIM(INDEX(FORM!$D:$D,ROW()))))</f>
        <v>SINGARAJA</v>
      </c>
      <c r="F123" s="87" t="str">
        <f>IF($A123="","",IFERROR(INDEX(PROGRES!$A$2:$A$92,MATCH(E123,PROGRES!$B$2:$B$92,0)),"-"))</f>
        <v>Luar Pulau</v>
      </c>
      <c r="G123" s="87" t="str">
        <f>IF($A123="","",UPPER(TRIM(INDEX(FORM!$F:$F,ROW()))))</f>
        <v>LUAR PULAU</v>
      </c>
      <c r="H123" s="87" t="str">
        <f>IF($A123="","",UPPER(TRIM(INDEX(FORM!$E:$E,ROW()))))</f>
        <v>CRO</v>
      </c>
      <c r="I123" s="87" t="str">
        <f>IF($A123="","",UPPER(TRIM(INDEX(FORM!$G:$G,ROW()))))</f>
        <v>MUDAH</v>
      </c>
      <c r="J123" s="87" t="str">
        <f>IF($A123="","",IF(ISNUMBER(SEARCH("Ya,",INDEX(FORM!$H:$H,ROW()))),"YA",IF(ISNUMBER(SEARCH("Cukup,",INDEX(FORM!$H:$H,ROW()))),"CUKUP",IF(ISNUMBER(SEARCH("Kurang,",INDEX(FORM!$H:$H,ROW()))),"KURANG",""))))</f>
        <v>YA</v>
      </c>
      <c r="K123" s="87" t="str">
        <f>IF($A123="","",UPPER(TRIM(INDEX(FORM!$J:$J,ROW()))))</f>
        <v>MUDAH</v>
      </c>
      <c r="L123" s="87">
        <f>IF($A123="","",IF(ISNUMBER(SEARCH("Aktivitas Harian",INDEX(FORM!$K:$K,ROW()))),1,0))</f>
        <v>0</v>
      </c>
      <c r="M123" s="87">
        <f>IF($A123="","",IF(ISNUMBER(SEARCH("Aktivitas Mingguan",INDEX(FORM!$K:$K,ROW()))),1,0))</f>
        <v>1</v>
      </c>
      <c r="N123" s="87">
        <f>IF($A123="","",IF(ISNUMBER(SEARCH("Aktivitas Bulanan",INDEX(FORM!$K:$K,ROW()))),1,0))</f>
        <v>0</v>
      </c>
      <c r="O123" s="87">
        <f>IF($A123="","",IF(ISNUMBER(SEARCH("Overview Cabang",INDEX(FORM!$K:$K,ROW()))),1,0))</f>
        <v>1</v>
      </c>
      <c r="P123" s="87">
        <f>IF($A123="","",IFERROR(VLOOKUP(I123,DATA!$AH$9:$AI$13,2,0),""))</f>
        <v>3</v>
      </c>
      <c r="Q123" s="87">
        <f>IF($A123="","",IFERROR(VLOOKUP(J123,DATA!$AH$9:$AI$13,2,0),""))</f>
        <v>3</v>
      </c>
      <c r="R123" s="87">
        <f>IF($A123="","",IFERROR(VLOOKUP(K123,DATA!$AH$9:$AI$13,2,0),""))</f>
        <v>3</v>
      </c>
      <c r="S123" s="89">
        <f t="shared" si="22"/>
        <v>3</v>
      </c>
      <c r="T123" s="87">
        <f>IF($A123="","",IF(COUNTIF($D$2:D123,D123)=1,1,0))</f>
        <v>1</v>
      </c>
      <c r="U123" s="87" t="str">
        <f>IF($A123="","",IF(F123="-","Cabang tdk ada",IF(IFERROR(VLOOKUP(G123,#REF!,1,0),"")="","",IF(INDEX(DATA!$AH$2:$AH$5,MATCH(G123,DATA!$AI$2:$AI$5,0))&lt;&gt;F123,"Wilayah beda","OK"))))</f>
        <v/>
      </c>
      <c r="V123" s="87" t="str">
        <f>IF($A123="","",TRIM(INDEX(FORM!$I:$I,ROW())&amp;""))</f>
        <v>Sudah cukup</v>
      </c>
      <c r="W123" s="87" t="str">
        <f>IF($A123="","",TRIM(INDEX(FORM!$L:$L,ROW())&amp;""))</f>
        <v>Sudah lengkap semua</v>
      </c>
      <c r="X123" s="87" t="str">
        <f>IF($A123="","",TRIM(INDEX(FORM!$M:$M,ROW())&amp;""))</f>
        <v>Untuk sementara belum ada saran</v>
      </c>
      <c r="Y123" s="8">
        <f>IF($A123="","",IFERROR(MATCH(F123,DATA!$AH$2:$AH$5,0),9)*10000+A123)</f>
        <v>40122</v>
      </c>
      <c r="Z123" s="87" t="str">
        <f t="shared" si="23"/>
        <v>Tidak ada masukan / sudah baik</v>
      </c>
      <c r="AA123" s="87" t="str">
        <f t="shared" si="24"/>
        <v>Tidak ada masukan / sudah baik</v>
      </c>
      <c r="AB123" s="87" t="str">
        <f t="shared" si="25"/>
        <v>Tidak ada masukan / sudah baik</v>
      </c>
      <c r="AC123" s="87"/>
      <c r="AD123" s="87"/>
      <c r="AE123" s="87"/>
      <c r="AK123" s="90">
        <f t="shared" si="26"/>
        <v>0</v>
      </c>
      <c r="AL123" s="90">
        <f t="shared" si="27"/>
        <v>0</v>
      </c>
      <c r="AM123" s="90">
        <f t="shared" si="28"/>
        <v>0</v>
      </c>
      <c r="AN123" s="90">
        <f t="shared" si="29"/>
        <v>0</v>
      </c>
      <c r="AO123" s="90">
        <f t="shared" si="30"/>
        <v>0</v>
      </c>
      <c r="AP123" s="90">
        <f t="shared" si="31"/>
        <v>0</v>
      </c>
      <c r="AQ123" s="90">
        <f t="shared" si="32"/>
        <v>0</v>
      </c>
      <c r="AR123" s="90">
        <f t="shared" si="33"/>
        <v>0</v>
      </c>
      <c r="AS123" s="90">
        <f t="shared" si="34"/>
        <v>0</v>
      </c>
      <c r="AT123" s="90">
        <f t="shared" si="35"/>
        <v>0</v>
      </c>
      <c r="AU123" s="90">
        <f t="shared" si="36"/>
        <v>0</v>
      </c>
      <c r="AV123" s="90">
        <f t="shared" si="37"/>
        <v>0</v>
      </c>
      <c r="AW123" s="90">
        <f t="shared" si="38"/>
        <v>0</v>
      </c>
      <c r="AX123" s="90">
        <f t="shared" si="39"/>
        <v>0</v>
      </c>
      <c r="AY123" s="90">
        <f t="shared" si="40"/>
        <v>0</v>
      </c>
      <c r="AZ123" s="90">
        <f t="shared" si="41"/>
        <v>0</v>
      </c>
      <c r="BA123" s="90">
        <f t="shared" si="42"/>
        <v>0</v>
      </c>
      <c r="BB123" s="90">
        <f t="shared" si="43"/>
        <v>0</v>
      </c>
    </row>
    <row r="124" spans="1:54" s="5" customFormat="1" hidden="1">
      <c r="A124" s="8">
        <f>IF(INDEX(FORM!$A:$A,ROW())="","",ROW()-1)</f>
        <v>123</v>
      </c>
      <c r="B124" s="41">
        <f>IF($A124="","",INDEX(FORM!$A:$A,ROW()))</f>
        <v>46310.692303240699</v>
      </c>
      <c r="C124" s="8" t="str">
        <f>IF($A124="","",TRIM(INDEX(FORM!$B:$B,ROW())))</f>
        <v>RAHMANULLAH</v>
      </c>
      <c r="D124" s="8" t="str">
        <f>IF($A124="","",TRIM(INDEX(FORM!$C:$C,ROW())&amp;""))</f>
        <v>1144</v>
      </c>
      <c r="E124" s="8" t="str">
        <f>IF($A124="","",UPPER(TRIM(INDEX(FORM!$D:$D,ROW()))))</f>
        <v>MAGETAN</v>
      </c>
      <c r="F124" s="8" t="str">
        <f>IF($A124="","",IFERROR(INDEX(PROGRES!$A$2:$A$92,MATCH(E124,PROGRES!$B$2:$B$92,0)),"-"))</f>
        <v>Jawa Timur</v>
      </c>
      <c r="G124" s="8" t="str">
        <f>IF($A124="","",UPPER(TRIM(INDEX(FORM!$F:$F,ROW()))))</f>
        <v>JATIM</v>
      </c>
      <c r="H124" s="8" t="str">
        <f>IF($A124="","",UPPER(TRIM(INDEX(FORM!$E:$E,ROW()))))</f>
        <v>BM</v>
      </c>
      <c r="I124" s="8" t="str">
        <f>IF($A124="","",UPPER(TRIM(INDEX(FORM!$G:$G,ROW()))))</f>
        <v>MUDAH</v>
      </c>
      <c r="J124" s="8" t="str">
        <f>IF($A124="","",IF(ISNUMBER(SEARCH("Ya,",INDEX(FORM!$H:$H,ROW()))),"YA",IF(ISNUMBER(SEARCH("Cukup,",INDEX(FORM!$H:$H,ROW()))),"CUKUP",IF(ISNUMBER(SEARCH("Kurang,",INDEX(FORM!$H:$H,ROW()))),"KURANG",""))))</f>
        <v>CUKUP</v>
      </c>
      <c r="K124" s="8" t="str">
        <f>IF($A124="","",UPPER(TRIM(INDEX(FORM!$J:$J,ROW()))))</f>
        <v>CUKUP</v>
      </c>
      <c r="L124" s="8">
        <f>IF($A124="","",IF(ISNUMBER(SEARCH("Aktivitas Harian",INDEX(FORM!$K:$K,ROW()))),1,0))</f>
        <v>1</v>
      </c>
      <c r="M124" s="8">
        <f>IF($A124="","",IF(ISNUMBER(SEARCH("Aktivitas Mingguan",INDEX(FORM!$K:$K,ROW()))),1,0))</f>
        <v>0</v>
      </c>
      <c r="N124" s="8">
        <f>IF($A124="","",IF(ISNUMBER(SEARCH("Aktivitas Bulanan",INDEX(FORM!$K:$K,ROW()))),1,0))</f>
        <v>0</v>
      </c>
      <c r="O124" s="8">
        <f>IF($A124="","",IF(ISNUMBER(SEARCH("Overview Cabang",INDEX(FORM!$K:$K,ROW()))),1,0))</f>
        <v>0</v>
      </c>
      <c r="P124" s="8">
        <f>IF($A124="","",IFERROR(VLOOKUP(I124,DATA!$AH$9:$AI$13,2,0),""))</f>
        <v>3</v>
      </c>
      <c r="Q124" s="8">
        <f>IF($A124="","",IFERROR(VLOOKUP(J124,DATA!$AH$9:$AI$13,2,0),""))</f>
        <v>2</v>
      </c>
      <c r="R124" s="8">
        <f>IF($A124="","",IFERROR(VLOOKUP(K124,DATA!$AH$9:$AI$13,2,0),""))</f>
        <v>2</v>
      </c>
      <c r="S124" s="42">
        <f t="shared" si="22"/>
        <v>2.3333333333333335</v>
      </c>
      <c r="T124" s="8">
        <f>IF($A124="","",IF(COUNTIF($D$2:D124,D124)=1,1,0))</f>
        <v>1</v>
      </c>
      <c r="U124" s="8" t="str">
        <f>IF($A124="","",IF(F124="-","Cabang tdk ada",IF(IFERROR(VLOOKUP(G124,#REF!,1,0),"")="","",IF(INDEX(DATA!$AH$2:$AH$5,MATCH(G124,DATA!$AI$2:$AI$5,0))&lt;&gt;F124,"Wilayah beda","OK"))))</f>
        <v/>
      </c>
      <c r="V124" s="8" t="str">
        <f>IF($A124="","",TRIM(INDEX(FORM!$I:$I,ROW())&amp;""))</f>
        <v>Slide untuk uraian jobdesk masih terlalu baku, tidak ada timeline dalam pengerjaannya</v>
      </c>
      <c r="W124" s="8" t="str">
        <f>IF($A124="","",TRIM(INDEX(FORM!$L:$L,ROW())&amp;""))</f>
        <v>pengajuan split pelanggan harusnya melalui BAO</v>
      </c>
      <c r="X124" s="8" t="str">
        <f>IF($A124="","",TRIM(INDEX(FORM!$M:$M,ROW())&amp;""))</f>
        <v>review atas jobdesk harian</v>
      </c>
      <c r="Y124" s="8">
        <f>IF($A124="","",IFERROR(MATCH(F124,DATA!$AH$2:$AH$5,0),9)*10000+A124)</f>
        <v>30123</v>
      </c>
      <c r="Z124" s="8" t="str">
        <f t="shared" si="23"/>
        <v>Penambahan Isi / Penjelasan</v>
      </c>
      <c r="AA124" s="8" t="str">
        <f t="shared" si="24"/>
        <v>Lainnya (perlu dibaca manual)</v>
      </c>
      <c r="AB124" s="8" t="str">
        <f t="shared" si="25"/>
        <v>Penambahan Materi &amp; Template</v>
      </c>
      <c r="AC124" s="8"/>
      <c r="AD124" s="8"/>
      <c r="AE124" s="8"/>
      <c r="AK124" s="5">
        <f t="shared" si="26"/>
        <v>0</v>
      </c>
      <c r="AL124" s="5">
        <f t="shared" si="27"/>
        <v>0</v>
      </c>
      <c r="AM124" s="5">
        <f t="shared" si="28"/>
        <v>0</v>
      </c>
      <c r="AN124" s="5">
        <f t="shared" si="29"/>
        <v>0</v>
      </c>
      <c r="AO124" s="5">
        <f t="shared" si="30"/>
        <v>0</v>
      </c>
      <c r="AP124" s="5">
        <f t="shared" si="31"/>
        <v>0</v>
      </c>
      <c r="AQ124" s="5">
        <f t="shared" si="32"/>
        <v>0</v>
      </c>
      <c r="AR124" s="5">
        <f t="shared" si="33"/>
        <v>1</v>
      </c>
      <c r="AS124" s="5">
        <f t="shared" si="34"/>
        <v>0</v>
      </c>
      <c r="AT124" s="5">
        <f t="shared" si="35"/>
        <v>0</v>
      </c>
      <c r="AU124" s="5">
        <f t="shared" si="36"/>
        <v>0</v>
      </c>
      <c r="AV124" s="5">
        <f t="shared" si="37"/>
        <v>0</v>
      </c>
      <c r="AW124" s="5">
        <f t="shared" si="38"/>
        <v>0</v>
      </c>
      <c r="AX124" s="5">
        <f t="shared" si="39"/>
        <v>0</v>
      </c>
      <c r="AY124" s="5">
        <f t="shared" si="40"/>
        <v>0</v>
      </c>
      <c r="AZ124" s="5">
        <f t="shared" si="41"/>
        <v>0</v>
      </c>
      <c r="BA124" s="5">
        <f t="shared" si="42"/>
        <v>1</v>
      </c>
      <c r="BB124" s="5">
        <f t="shared" si="43"/>
        <v>1</v>
      </c>
    </row>
    <row r="125" spans="1:54" s="5" customFormat="1" hidden="1">
      <c r="A125" s="8">
        <f>IF(INDEX(FORM!$A:$A,ROW())="","",ROW()-1)</f>
        <v>124</v>
      </c>
      <c r="B125" s="41">
        <f>IF($A125="","",INDEX(FORM!$A:$A,ROW()))</f>
        <v>46310.692430555602</v>
      </c>
      <c r="C125" s="8" t="str">
        <f>IF($A125="","",TRIM(INDEX(FORM!$B:$B,ROW())))</f>
        <v>TRI BEKTI KI UTOMO</v>
      </c>
      <c r="D125" s="8" t="str">
        <f>IF($A125="","",TRIM(INDEX(FORM!$C:$C,ROW())&amp;""))</f>
        <v>1510577</v>
      </c>
      <c r="E125" s="8" t="str">
        <f>IF($A125="","",UPPER(TRIM(INDEX(FORM!$D:$D,ROW()))))</f>
        <v>BLORA</v>
      </c>
      <c r="F125" s="8" t="str">
        <f>IF($A125="","",IFERROR(INDEX(PROGRES!$A$2:$A$92,MATCH(E125,PROGRES!$B$2:$B$92,0)),"-"))</f>
        <v>Jawa Tengah</v>
      </c>
      <c r="G125" s="8" t="str">
        <f>IF($A125="","",UPPER(TRIM(INDEX(FORM!$F:$F,ROW()))))</f>
        <v>JATENG DIY</v>
      </c>
      <c r="H125" s="8" t="str">
        <f>IF($A125="","",UPPER(TRIM(INDEX(FORM!$E:$E,ROW()))))</f>
        <v>BAO</v>
      </c>
      <c r="I125" s="8" t="str">
        <f>IF($A125="","",UPPER(TRIM(INDEX(FORM!$G:$G,ROW()))))</f>
        <v>MUDAH</v>
      </c>
      <c r="J125" s="8" t="str">
        <f>IF($A125="","",IF(ISNUMBER(SEARCH("Ya,",INDEX(FORM!$H:$H,ROW()))),"YA",IF(ISNUMBER(SEARCH("Cukup,",INDEX(FORM!$H:$H,ROW()))),"CUKUP",IF(ISNUMBER(SEARCH("Kurang,",INDEX(FORM!$H:$H,ROW()))),"KURANG",""))))</f>
        <v>YA</v>
      </c>
      <c r="K125" s="8" t="str">
        <f>IF($A125="","",UPPER(TRIM(INDEX(FORM!$J:$J,ROW()))))</f>
        <v>MUDAH</v>
      </c>
      <c r="L125" s="8">
        <f>IF($A125="","",IF(ISNUMBER(SEARCH("Aktivitas Harian",INDEX(FORM!$K:$K,ROW()))),1,0))</f>
        <v>1</v>
      </c>
      <c r="M125" s="8">
        <f>IF($A125="","",IF(ISNUMBER(SEARCH("Aktivitas Mingguan",INDEX(FORM!$K:$K,ROW()))),1,0))</f>
        <v>0</v>
      </c>
      <c r="N125" s="8">
        <f>IF($A125="","",IF(ISNUMBER(SEARCH("Aktivitas Bulanan",INDEX(FORM!$K:$K,ROW()))),1,0))</f>
        <v>0</v>
      </c>
      <c r="O125" s="8">
        <f>IF($A125="","",IF(ISNUMBER(SEARCH("Overview Cabang",INDEX(FORM!$K:$K,ROW()))),1,0))</f>
        <v>0</v>
      </c>
      <c r="P125" s="8">
        <f>IF($A125="","",IFERROR(VLOOKUP(I125,DATA!$AH$9:$AI$13,2,0),""))</f>
        <v>3</v>
      </c>
      <c r="Q125" s="8">
        <f>IF($A125="","",IFERROR(VLOOKUP(J125,DATA!$AH$9:$AI$13,2,0),""))</f>
        <v>3</v>
      </c>
      <c r="R125" s="8">
        <f>IF($A125="","",IFERROR(VLOOKUP(K125,DATA!$AH$9:$AI$13,2,0),""))</f>
        <v>3</v>
      </c>
      <c r="S125" s="42">
        <f t="shared" si="22"/>
        <v>3</v>
      </c>
      <c r="T125" s="8">
        <f>IF($A125="","",IF(COUNTIF($D$2:D125,D125)=1,1,0))</f>
        <v>1</v>
      </c>
      <c r="U125" s="8" t="str">
        <f>IF($A125="","",IF(F125="-","Cabang tdk ada",IF(IFERROR(VLOOKUP(G125,#REF!,1,0),"")="","",IF(INDEX(DATA!$AH$2:$AH$5,MATCH(G125,DATA!$AI$2:$AI$5,0))&lt;&gt;F125,"Wilayah beda","OK"))))</f>
        <v/>
      </c>
      <c r="V125" s="8" t="str">
        <f>IF($A125="","",TRIM(INDEX(FORM!$I:$I,ROW())&amp;""))</f>
        <v>0</v>
      </c>
      <c r="W125" s="8" t="str">
        <f>IF($A125="","",TRIM(INDEX(FORM!$L:$L,ROW())&amp;""))</f>
        <v>CUKUP</v>
      </c>
      <c r="X125" s="8" t="str">
        <f>IF($A125="","",TRIM(INDEX(FORM!$M:$M,ROW())&amp;""))</f>
        <v>NOTHING</v>
      </c>
      <c r="Y125" s="8">
        <f>IF($A125="","",IFERROR(MATCH(F125,DATA!$AH$2:$AH$5,0),9)*10000+A125)</f>
        <v>20124</v>
      </c>
      <c r="Z125" s="8" t="str">
        <f t="shared" si="23"/>
        <v>Tidak ada masukan / sudah baik</v>
      </c>
      <c r="AA125" s="8" t="str">
        <f t="shared" si="24"/>
        <v>Tidak ada masukan / sudah baik</v>
      </c>
      <c r="AB125" s="8" t="str">
        <f t="shared" si="25"/>
        <v>Lainnya (perlu dibaca manual)</v>
      </c>
      <c r="AC125" s="8"/>
      <c r="AD125" s="8"/>
      <c r="AE125" s="8"/>
      <c r="AK125" s="5">
        <f t="shared" si="26"/>
        <v>0</v>
      </c>
      <c r="AL125" s="5">
        <f t="shared" si="27"/>
        <v>0</v>
      </c>
      <c r="AM125" s="5">
        <f t="shared" si="28"/>
        <v>0</v>
      </c>
      <c r="AN125" s="5">
        <f t="shared" si="29"/>
        <v>0</v>
      </c>
      <c r="AO125" s="5">
        <f t="shared" si="30"/>
        <v>0</v>
      </c>
      <c r="AP125" s="5">
        <f t="shared" si="31"/>
        <v>0</v>
      </c>
      <c r="AQ125" s="5">
        <f t="shared" si="32"/>
        <v>0</v>
      </c>
      <c r="AR125" s="5">
        <f t="shared" si="33"/>
        <v>0</v>
      </c>
      <c r="AS125" s="5">
        <f t="shared" si="34"/>
        <v>0</v>
      </c>
      <c r="AT125" s="5">
        <f t="shared" si="35"/>
        <v>0</v>
      </c>
      <c r="AU125" s="5">
        <f t="shared" si="36"/>
        <v>0</v>
      </c>
      <c r="AV125" s="5">
        <f t="shared" si="37"/>
        <v>0</v>
      </c>
      <c r="AW125" s="5">
        <f t="shared" si="38"/>
        <v>0</v>
      </c>
      <c r="AX125" s="5">
        <f t="shared" si="39"/>
        <v>0</v>
      </c>
      <c r="AY125" s="5">
        <f t="shared" si="40"/>
        <v>0</v>
      </c>
      <c r="AZ125" s="5">
        <f t="shared" si="41"/>
        <v>0</v>
      </c>
      <c r="BA125" s="5">
        <f t="shared" si="42"/>
        <v>1</v>
      </c>
      <c r="BB125" s="5">
        <f t="shared" si="43"/>
        <v>1</v>
      </c>
    </row>
    <row r="126" spans="1:54" s="5" customFormat="1" hidden="1">
      <c r="A126" s="8">
        <f>IF(INDEX(FORM!$A:$A,ROW())="","",ROW()-1)</f>
        <v>125</v>
      </c>
      <c r="B126" s="41">
        <f>IF($A126="","",INDEX(FORM!$A:$A,ROW()))</f>
        <v>46310.692488425899</v>
      </c>
      <c r="C126" s="8" t="str">
        <f>IF($A126="","",TRIM(INDEX(FORM!$B:$B,ROW())))</f>
        <v>SUMADANU BUDI TARUNA</v>
      </c>
      <c r="D126" s="8" t="str">
        <f>IF($A126="","",TRIM(INDEX(FORM!$C:$C,ROW())&amp;""))</f>
        <v>1511342</v>
      </c>
      <c r="E126" s="8" t="str">
        <f>IF($A126="","",UPPER(TRIM(INDEX(FORM!$D:$D,ROW()))))</f>
        <v>SUBANG</v>
      </c>
      <c r="F126" s="8" t="str">
        <f>IF($A126="","",IFERROR(INDEX(PROGRES!$A$2:$A$92,MATCH(E126,PROGRES!$B$2:$B$92,0)),"-"))</f>
        <v>Jawa Barat</v>
      </c>
      <c r="G126" s="8" t="str">
        <f>IF($A126="","",UPPER(TRIM(INDEX(FORM!$F:$F,ROW()))))</f>
        <v>JABAR DKI BANTEN</v>
      </c>
      <c r="H126" s="8" t="str">
        <f>IF($A126="","",UPPER(TRIM(INDEX(FORM!$E:$E,ROW()))))</f>
        <v>BAO</v>
      </c>
      <c r="I126" s="8" t="str">
        <f>IF($A126="","",UPPER(TRIM(INDEX(FORM!$G:$G,ROW()))))</f>
        <v>MUDAH</v>
      </c>
      <c r="J126" s="8" t="str">
        <f>IF($A126="","",IF(ISNUMBER(SEARCH("Ya,",INDEX(FORM!$H:$H,ROW()))),"YA",IF(ISNUMBER(SEARCH("Cukup,",INDEX(FORM!$H:$H,ROW()))),"CUKUP",IF(ISNUMBER(SEARCH("Kurang,",INDEX(FORM!$H:$H,ROW()))),"KURANG",""))))</f>
        <v>YA</v>
      </c>
      <c r="K126" s="8" t="str">
        <f>IF($A126="","",UPPER(TRIM(INDEX(FORM!$J:$J,ROW()))))</f>
        <v>MUDAH</v>
      </c>
      <c r="L126" s="8">
        <f>IF($A126="","",IF(ISNUMBER(SEARCH("Aktivitas Harian",INDEX(FORM!$K:$K,ROW()))),1,0))</f>
        <v>1</v>
      </c>
      <c r="M126" s="8">
        <f>IF($A126="","",IF(ISNUMBER(SEARCH("Aktivitas Mingguan",INDEX(FORM!$K:$K,ROW()))),1,0))</f>
        <v>0</v>
      </c>
      <c r="N126" s="8">
        <f>IF($A126="","",IF(ISNUMBER(SEARCH("Aktivitas Bulanan",INDEX(FORM!$K:$K,ROW()))),1,0))</f>
        <v>0</v>
      </c>
      <c r="O126" s="8">
        <f>IF($A126="","",IF(ISNUMBER(SEARCH("Overview Cabang",INDEX(FORM!$K:$K,ROW()))),1,0))</f>
        <v>0</v>
      </c>
      <c r="P126" s="8">
        <f>IF($A126="","",IFERROR(VLOOKUP(I126,DATA!$AH$9:$AI$13,2,0),""))</f>
        <v>3</v>
      </c>
      <c r="Q126" s="8">
        <f>IF($A126="","",IFERROR(VLOOKUP(J126,DATA!$AH$9:$AI$13,2,0),""))</f>
        <v>3</v>
      </c>
      <c r="R126" s="8">
        <f>IF($A126="","",IFERROR(VLOOKUP(K126,DATA!$AH$9:$AI$13,2,0),""))</f>
        <v>3</v>
      </c>
      <c r="S126" s="42">
        <f t="shared" si="22"/>
        <v>3</v>
      </c>
      <c r="T126" s="8">
        <f>IF($A126="","",IF(COUNTIF($D$2:D126,D126)=1,1,0))</f>
        <v>1</v>
      </c>
      <c r="U126" s="8" t="str">
        <f>IF($A126="","",IF(F126="-","Cabang tdk ada",IF(IFERROR(VLOOKUP(G126,#REF!,1,0),"")="","",IF(INDEX(DATA!$AH$2:$AH$5,MATCH(G126,DATA!$AI$2:$AI$5,0))&lt;&gt;F126,"Wilayah beda","OK"))))</f>
        <v/>
      </c>
      <c r="V126" s="8" t="str">
        <f>IF($A126="","",TRIM(INDEX(FORM!$I:$I,ROW())&amp;""))</f>
        <v>CUKUP</v>
      </c>
      <c r="W126" s="8" t="str">
        <f>IF($A126="","",TRIM(INDEX(FORM!$L:$L,ROW())&amp;""))</f>
        <v>TIDAK ADA</v>
      </c>
      <c r="X126" s="8" t="str">
        <f>IF($A126="","",TRIM(INDEX(FORM!$M:$M,ROW())&amp;""))</f>
        <v>SUDAH BAIK</v>
      </c>
      <c r="Y126" s="8">
        <f>IF($A126="","",IFERROR(MATCH(F126,DATA!$AH$2:$AH$5,0),9)*10000+A126)</f>
        <v>10125</v>
      </c>
      <c r="Z126" s="8" t="str">
        <f t="shared" si="23"/>
        <v>Tidak ada masukan / sudah baik</v>
      </c>
      <c r="AA126" s="8" t="str">
        <f t="shared" si="24"/>
        <v>Tidak ada masukan / sudah baik</v>
      </c>
      <c r="AB126" s="8" t="str">
        <f t="shared" si="25"/>
        <v>Tidak ada masukan / sudah baik</v>
      </c>
      <c r="AC126" s="8"/>
      <c r="AD126" s="8"/>
      <c r="AE126" s="8"/>
      <c r="AK126" s="5">
        <f t="shared" si="26"/>
        <v>0</v>
      </c>
      <c r="AL126" s="5">
        <f t="shared" si="27"/>
        <v>0</v>
      </c>
      <c r="AM126" s="5">
        <f t="shared" si="28"/>
        <v>0</v>
      </c>
      <c r="AN126" s="5">
        <f t="shared" si="29"/>
        <v>0</v>
      </c>
      <c r="AO126" s="5">
        <f t="shared" si="30"/>
        <v>0</v>
      </c>
      <c r="AP126" s="5">
        <f t="shared" si="31"/>
        <v>0</v>
      </c>
      <c r="AQ126" s="5">
        <f t="shared" si="32"/>
        <v>0</v>
      </c>
      <c r="AR126" s="5">
        <f t="shared" si="33"/>
        <v>0</v>
      </c>
      <c r="AS126" s="5">
        <f t="shared" si="34"/>
        <v>0</v>
      </c>
      <c r="AT126" s="5">
        <f t="shared" si="35"/>
        <v>0</v>
      </c>
      <c r="AU126" s="5">
        <f t="shared" si="36"/>
        <v>0</v>
      </c>
      <c r="AV126" s="5">
        <f t="shared" si="37"/>
        <v>0</v>
      </c>
      <c r="AW126" s="5">
        <f t="shared" si="38"/>
        <v>0</v>
      </c>
      <c r="AX126" s="5">
        <f t="shared" si="39"/>
        <v>0</v>
      </c>
      <c r="AY126" s="5">
        <f t="shared" si="40"/>
        <v>0</v>
      </c>
      <c r="AZ126" s="5">
        <f t="shared" si="41"/>
        <v>0</v>
      </c>
      <c r="BA126" s="5">
        <f t="shared" si="42"/>
        <v>0</v>
      </c>
      <c r="BB126" s="5">
        <f t="shared" si="43"/>
        <v>0</v>
      </c>
    </row>
    <row r="127" spans="1:54" s="5" customFormat="1" hidden="1">
      <c r="A127" s="8">
        <f>IF(INDEX(FORM!$A:$A,ROW())="","",ROW()-1)</f>
        <v>126</v>
      </c>
      <c r="B127" s="41">
        <f>IF($A127="","",INDEX(FORM!$A:$A,ROW()))</f>
        <v>46310.692638888897</v>
      </c>
      <c r="C127" s="8" t="str">
        <f>IF($A127="","",TRIM(INDEX(FORM!$B:$B,ROW())))</f>
        <v>Khaeril Wahyu Perdana</v>
      </c>
      <c r="D127" s="8" t="str">
        <f>IF($A127="","",TRIM(INDEX(FORM!$C:$C,ROW())&amp;""))</f>
        <v>1511019</v>
      </c>
      <c r="E127" s="8" t="str">
        <f>IF($A127="","",UPPER(TRIM(INDEX(FORM!$D:$D,ROW()))))</f>
        <v>LOMBOK</v>
      </c>
      <c r="F127" s="8" t="str">
        <f>IF($A127="","",IFERROR(INDEX(PROGRES!$A$2:$A$92,MATCH(E127,PROGRES!$B$2:$B$92,0)),"-"))</f>
        <v>Luar Pulau</v>
      </c>
      <c r="G127" s="8" t="str">
        <f>IF($A127="","",UPPER(TRIM(INDEX(FORM!$F:$F,ROW()))))</f>
        <v>LUAR PULAU</v>
      </c>
      <c r="H127" s="8" t="str">
        <f>IF($A127="","",UPPER(TRIM(INDEX(FORM!$E:$E,ROW()))))</f>
        <v>BAO</v>
      </c>
      <c r="I127" s="8" t="str">
        <f>IF($A127="","",UPPER(TRIM(INDEX(FORM!$G:$G,ROW()))))</f>
        <v>MUDAH</v>
      </c>
      <c r="J127" s="8" t="str">
        <f>IF($A127="","",IF(ISNUMBER(SEARCH("Ya,",INDEX(FORM!$H:$H,ROW()))),"YA",IF(ISNUMBER(SEARCH("Cukup,",INDEX(FORM!$H:$H,ROW()))),"CUKUP",IF(ISNUMBER(SEARCH("Kurang,",INDEX(FORM!$H:$H,ROW()))),"KURANG",""))))</f>
        <v>YA</v>
      </c>
      <c r="K127" s="8" t="str">
        <f>IF($A127="","",UPPER(TRIM(INDEX(FORM!$J:$J,ROW()))))</f>
        <v>CUKUP</v>
      </c>
      <c r="L127" s="8">
        <f>IF($A127="","",IF(ISNUMBER(SEARCH("Aktivitas Harian",INDEX(FORM!$K:$K,ROW()))),1,0))</f>
        <v>1</v>
      </c>
      <c r="M127" s="8">
        <f>IF($A127="","",IF(ISNUMBER(SEARCH("Aktivitas Mingguan",INDEX(FORM!$K:$K,ROW()))),1,0))</f>
        <v>0</v>
      </c>
      <c r="N127" s="8">
        <f>IF($A127="","",IF(ISNUMBER(SEARCH("Aktivitas Bulanan",INDEX(FORM!$K:$K,ROW()))),1,0))</f>
        <v>0</v>
      </c>
      <c r="O127" s="8">
        <f>IF($A127="","",IF(ISNUMBER(SEARCH("Overview Cabang",INDEX(FORM!$K:$K,ROW()))),1,0))</f>
        <v>0</v>
      </c>
      <c r="P127" s="8">
        <f>IF($A127="","",IFERROR(VLOOKUP(I127,DATA!$AH$9:$AI$13,2,0),""))</f>
        <v>3</v>
      </c>
      <c r="Q127" s="8">
        <f>IF($A127="","",IFERROR(VLOOKUP(J127,DATA!$AH$9:$AI$13,2,0),""))</f>
        <v>3</v>
      </c>
      <c r="R127" s="8">
        <f>IF($A127="","",IFERROR(VLOOKUP(K127,DATA!$AH$9:$AI$13,2,0),""))</f>
        <v>2</v>
      </c>
      <c r="S127" s="42">
        <f t="shared" si="22"/>
        <v>2.6666666666666665</v>
      </c>
      <c r="T127" s="8">
        <f>IF($A127="","",IF(COUNTIF($D$2:D127,D127)=1,1,0))</f>
        <v>1</v>
      </c>
      <c r="U127" s="8" t="str">
        <f>IF($A127="","",IF(F127="-","Cabang tdk ada",IF(IFERROR(VLOOKUP(G127,#REF!,1,0),"")="","",IF(INDEX(DATA!$AH$2:$AH$5,MATCH(G127,DATA!$AI$2:$AI$5,0))&lt;&gt;F127,"Wilayah beda","OK"))))</f>
        <v/>
      </c>
      <c r="V127" s="8" t="str">
        <f>IF($A127="","",TRIM(INDEX(FORM!$I:$I,ROW())&amp;""))</f>
        <v>Sudah baik dan mudah diakses</v>
      </c>
      <c r="W127" s="8" t="str">
        <f>IF($A127="","",TRIM(INDEX(FORM!$L:$L,ROW())&amp;""))</f>
        <v>Sejauh yg sudah dicek sudah mencakuo semua</v>
      </c>
      <c r="X127" s="8" t="str">
        <f>IF($A127="","",TRIM(INDEX(FORM!$M:$M,ROW())&amp;""))</f>
        <v>-</v>
      </c>
      <c r="Y127" s="8">
        <f>IF($A127="","",IFERROR(MATCH(F127,DATA!$AH$2:$AH$5,0),9)*10000+A127)</f>
        <v>40126</v>
      </c>
      <c r="Z127" s="8" t="str">
        <f t="shared" si="23"/>
        <v>Tidak ada masukan / sudah baik</v>
      </c>
      <c r="AA127" s="8" t="str">
        <f t="shared" si="24"/>
        <v>Tidak ada masukan / sudah baik</v>
      </c>
      <c r="AB127" s="8" t="str">
        <f t="shared" si="25"/>
        <v>Tidak ada masukan / sudah baik</v>
      </c>
      <c r="AC127" s="8"/>
      <c r="AD127" s="8"/>
      <c r="AE127" s="8"/>
      <c r="AK127" s="5">
        <f t="shared" si="26"/>
        <v>0</v>
      </c>
      <c r="AL127" s="5">
        <f t="shared" si="27"/>
        <v>0</v>
      </c>
      <c r="AM127" s="5">
        <f t="shared" si="28"/>
        <v>0</v>
      </c>
      <c r="AN127" s="5">
        <f t="shared" si="29"/>
        <v>0</v>
      </c>
      <c r="AO127" s="5">
        <f t="shared" si="30"/>
        <v>0</v>
      </c>
      <c r="AP127" s="5">
        <f t="shared" si="31"/>
        <v>0</v>
      </c>
      <c r="AQ127" s="5">
        <f t="shared" si="32"/>
        <v>0</v>
      </c>
      <c r="AR127" s="5">
        <f t="shared" si="33"/>
        <v>0</v>
      </c>
      <c r="AS127" s="5">
        <f t="shared" si="34"/>
        <v>0</v>
      </c>
      <c r="AT127" s="5">
        <f t="shared" si="35"/>
        <v>0</v>
      </c>
      <c r="AU127" s="5">
        <f t="shared" si="36"/>
        <v>0</v>
      </c>
      <c r="AV127" s="5">
        <f t="shared" si="37"/>
        <v>0</v>
      </c>
      <c r="AW127" s="5">
        <f t="shared" si="38"/>
        <v>0</v>
      </c>
      <c r="AX127" s="5">
        <f t="shared" si="39"/>
        <v>0</v>
      </c>
      <c r="AY127" s="5">
        <f t="shared" si="40"/>
        <v>0</v>
      </c>
      <c r="AZ127" s="5">
        <f t="shared" si="41"/>
        <v>0</v>
      </c>
      <c r="BA127" s="5">
        <f t="shared" si="42"/>
        <v>0</v>
      </c>
      <c r="BB127" s="5">
        <f t="shared" si="43"/>
        <v>0</v>
      </c>
    </row>
    <row r="128" spans="1:54" s="5" customFormat="1" hidden="1">
      <c r="A128" s="8">
        <f>IF(INDEX(FORM!$A:$A,ROW())="","",ROW()-1)</f>
        <v>127</v>
      </c>
      <c r="B128" s="41">
        <f>IF($A128="","",INDEX(FORM!$A:$A,ROW()))</f>
        <v>46310.694074074097</v>
      </c>
      <c r="C128" s="8" t="str">
        <f>IF($A128="","",TRIM(INDEX(FORM!$B:$B,ROW())))</f>
        <v>MUHAMMAD NAJIB HASBI</v>
      </c>
      <c r="D128" s="8" t="str">
        <f>IF($A128="","",TRIM(INDEX(FORM!$C:$C,ROW())&amp;""))</f>
        <v>80489</v>
      </c>
      <c r="E128" s="8" t="str">
        <f>IF($A128="","",UPPER(TRIM(INDEX(FORM!$D:$D,ROW()))))</f>
        <v>CIREBON</v>
      </c>
      <c r="F128" s="8" t="str">
        <f>IF($A128="","",IFERROR(INDEX(PROGRES!$A$2:$A$92,MATCH(E128,PROGRES!$B$2:$B$92,0)),"-"))</f>
        <v>Jawa Barat</v>
      </c>
      <c r="G128" s="8" t="str">
        <f>IF($A128="","",UPPER(TRIM(INDEX(FORM!$F:$F,ROW()))))</f>
        <v>JABAR DKI BANTEN</v>
      </c>
      <c r="H128" s="8" t="str">
        <f>IF($A128="","",UPPER(TRIM(INDEX(FORM!$E:$E,ROW()))))</f>
        <v>BM</v>
      </c>
      <c r="I128" s="8" t="str">
        <f>IF($A128="","",UPPER(TRIM(INDEX(FORM!$G:$G,ROW()))))</f>
        <v>MUDAH</v>
      </c>
      <c r="J128" s="8" t="str">
        <f>IF($A128="","",IF(ISNUMBER(SEARCH("Ya,",INDEX(FORM!$H:$H,ROW()))),"YA",IF(ISNUMBER(SEARCH("Cukup,",INDEX(FORM!$H:$H,ROW()))),"CUKUP",IF(ISNUMBER(SEARCH("Kurang,",INDEX(FORM!$H:$H,ROW()))),"KURANG",""))))</f>
        <v>CUKUP</v>
      </c>
      <c r="K128" s="8" t="str">
        <f>IF($A128="","",UPPER(TRIM(INDEX(FORM!$J:$J,ROW()))))</f>
        <v>MUDAH</v>
      </c>
      <c r="L128" s="8">
        <f>IF($A128="","",IF(ISNUMBER(SEARCH("Aktivitas Harian",INDEX(FORM!$K:$K,ROW()))),1,0))</f>
        <v>1</v>
      </c>
      <c r="M128" s="8">
        <f>IF($A128="","",IF(ISNUMBER(SEARCH("Aktivitas Mingguan",INDEX(FORM!$K:$K,ROW()))),1,0))</f>
        <v>1</v>
      </c>
      <c r="N128" s="8">
        <f>IF($A128="","",IF(ISNUMBER(SEARCH("Aktivitas Bulanan",INDEX(FORM!$K:$K,ROW()))),1,0))</f>
        <v>1</v>
      </c>
      <c r="O128" s="8">
        <f>IF($A128="","",IF(ISNUMBER(SEARCH("Overview Cabang",INDEX(FORM!$K:$K,ROW()))),1,0))</f>
        <v>1</v>
      </c>
      <c r="P128" s="8">
        <f>IF($A128="","",IFERROR(VLOOKUP(I128,DATA!$AH$9:$AI$13,2,0),""))</f>
        <v>3</v>
      </c>
      <c r="Q128" s="8">
        <f>IF($A128="","",IFERROR(VLOOKUP(J128,DATA!$AH$9:$AI$13,2,0),""))</f>
        <v>2</v>
      </c>
      <c r="R128" s="8">
        <f>IF($A128="","",IFERROR(VLOOKUP(K128,DATA!$AH$9:$AI$13,2,0),""))</f>
        <v>3</v>
      </c>
      <c r="S128" s="42">
        <f t="shared" si="22"/>
        <v>2.6666666666666665</v>
      </c>
      <c r="T128" s="8">
        <f>IF($A128="","",IF(COUNTIF($D$2:D128,D128)=1,1,0))</f>
        <v>1</v>
      </c>
      <c r="U128" s="8" t="str">
        <f>IF($A128="","",IF(F128="-","Cabang tdk ada",IF(IFERROR(VLOOKUP(G128,#REF!,1,0),"")="","",IF(INDEX(DATA!$AH$2:$AH$5,MATCH(G128,DATA!$AI$2:$AI$5,0))&lt;&gt;F128,"Wilayah beda","OK"))))</f>
        <v/>
      </c>
      <c r="V128" s="8" t="str">
        <f>IF($A128="","",TRIM(INDEX(FORM!$I:$I,ROW())&amp;""))</f>
        <v>mungkin handbook ini bisa dimasukan kedalam SACS, sehingga terintegrasi menjadi 1 sistem di SACS</v>
      </c>
      <c r="W128" s="8" t="str">
        <f>IF($A128="","",TRIM(INDEX(FORM!$L:$L,ROW())&amp;""))</f>
        <v>sudah cukup lengkap, akan tetapi saran handbook ini bisa di masukan ke dalam SACS, agar tidak keselip link nya</v>
      </c>
      <c r="X128" s="8" t="str">
        <f>IF($A128="","",TRIM(INDEX(FORM!$M:$M,ROW())&amp;""))</f>
        <v>saran handbook ini bisa di masukan ke dalam SACS, agar tidak keselip link nya</v>
      </c>
      <c r="Y128" s="8">
        <f>IF($A128="","",IFERROR(MATCH(F128,DATA!$AH$2:$AH$5,0),9)*10000+A128)</f>
        <v>10127</v>
      </c>
      <c r="Z128" s="8" t="str">
        <f t="shared" si="23"/>
        <v>Integrasi dengan SACS / Aplikasi</v>
      </c>
      <c r="AA128" s="8" t="str">
        <f t="shared" si="24"/>
        <v>Tidak ada masukan / sudah baik</v>
      </c>
      <c r="AB128" s="8" t="str">
        <f t="shared" si="25"/>
        <v>Integrasi ke SACS / Aplikasi Kerja</v>
      </c>
      <c r="AC128" s="8"/>
      <c r="AD128" s="8"/>
      <c r="AE128" s="8"/>
      <c r="AK128" s="5">
        <f t="shared" si="26"/>
        <v>0</v>
      </c>
      <c r="AL128" s="5">
        <f t="shared" si="27"/>
        <v>0</v>
      </c>
      <c r="AM128" s="5">
        <f t="shared" si="28"/>
        <v>0</v>
      </c>
      <c r="AN128" s="5">
        <f t="shared" si="29"/>
        <v>0</v>
      </c>
      <c r="AO128" s="5">
        <f t="shared" si="30"/>
        <v>1</v>
      </c>
      <c r="AP128" s="5">
        <f t="shared" si="31"/>
        <v>0</v>
      </c>
      <c r="AQ128" s="5">
        <f t="shared" si="32"/>
        <v>0</v>
      </c>
      <c r="AR128" s="5">
        <f t="shared" si="33"/>
        <v>0</v>
      </c>
      <c r="AS128" s="5">
        <f t="shared" si="34"/>
        <v>0</v>
      </c>
      <c r="AT128" s="5">
        <f t="shared" si="35"/>
        <v>0</v>
      </c>
      <c r="AU128" s="5">
        <f t="shared" si="36"/>
        <v>0</v>
      </c>
      <c r="AV128" s="5">
        <f t="shared" si="37"/>
        <v>0</v>
      </c>
      <c r="AW128" s="5">
        <f t="shared" si="38"/>
        <v>0</v>
      </c>
      <c r="AX128" s="5">
        <f t="shared" si="39"/>
        <v>0</v>
      </c>
      <c r="AY128" s="5">
        <f t="shared" si="40"/>
        <v>0</v>
      </c>
      <c r="AZ128" s="5">
        <f t="shared" si="41"/>
        <v>0</v>
      </c>
      <c r="BA128" s="5">
        <f t="shared" si="42"/>
        <v>0</v>
      </c>
      <c r="BB128" s="5">
        <f t="shared" si="43"/>
        <v>1</v>
      </c>
    </row>
    <row r="129" spans="1:54">
      <c r="A129" s="87">
        <f>IF(INDEX(FORM!$A:$A,ROW())="","",ROW()-1)</f>
        <v>128</v>
      </c>
      <c r="B129" s="88">
        <f>IF($A129="","",INDEX(FORM!$A:$A,ROW()))</f>
        <v>46310.694780092599</v>
      </c>
      <c r="C129" s="87" t="str">
        <f>IF($A129="","",TRIM(INDEX(FORM!$B:$B,ROW())))</f>
        <v>riansyah</v>
      </c>
      <c r="D129" s="87" t="str">
        <f>IF($A129="","",TRIM(INDEX(FORM!$C:$C,ROW())&amp;""))</f>
        <v>1511070</v>
      </c>
      <c r="E129" s="87" t="str">
        <f>IF($A129="","",UPPER(TRIM(INDEX(FORM!$D:$D,ROW()))))</f>
        <v>BANJARMASIN</v>
      </c>
      <c r="F129" s="87" t="str">
        <f>IF($A129="","",IFERROR(INDEX(PROGRES!$A$2:$A$92,MATCH(E129,PROGRES!$B$2:$B$92,0)),"-"))</f>
        <v>Luar Pulau</v>
      </c>
      <c r="G129" s="87" t="str">
        <f>IF($A129="","",UPPER(TRIM(INDEX(FORM!$F:$F,ROW()))))</f>
        <v>LUAR PULAU</v>
      </c>
      <c r="H129" s="87" t="str">
        <f>IF($A129="","",UPPER(TRIM(INDEX(FORM!$E:$E,ROW()))))</f>
        <v>CRO</v>
      </c>
      <c r="I129" s="87" t="str">
        <f>IF($A129="","",UPPER(TRIM(INDEX(FORM!$G:$G,ROW()))))</f>
        <v>MUDAH</v>
      </c>
      <c r="J129" s="87" t="str">
        <f>IF($A129="","",IF(ISNUMBER(SEARCH("Ya,",INDEX(FORM!$H:$H,ROW()))),"YA",IF(ISNUMBER(SEARCH("Cukup,",INDEX(FORM!$H:$H,ROW()))),"CUKUP",IF(ISNUMBER(SEARCH("Kurang,",INDEX(FORM!$H:$H,ROW()))),"KURANG",""))))</f>
        <v>YA</v>
      </c>
      <c r="K129" s="87" t="str">
        <f>IF($A129="","",UPPER(TRIM(INDEX(FORM!$J:$J,ROW()))))</f>
        <v>MUDAH</v>
      </c>
      <c r="L129" s="87">
        <f>IF($A129="","",IF(ISNUMBER(SEARCH("Aktivitas Harian",INDEX(FORM!$K:$K,ROW()))),1,0))</f>
        <v>1</v>
      </c>
      <c r="M129" s="87">
        <f>IF($A129="","",IF(ISNUMBER(SEARCH("Aktivitas Mingguan",INDEX(FORM!$K:$K,ROW()))),1,0))</f>
        <v>0</v>
      </c>
      <c r="N129" s="87">
        <f>IF($A129="","",IF(ISNUMBER(SEARCH("Aktivitas Bulanan",INDEX(FORM!$K:$K,ROW()))),1,0))</f>
        <v>0</v>
      </c>
      <c r="O129" s="87">
        <f>IF($A129="","",IF(ISNUMBER(SEARCH("Overview Cabang",INDEX(FORM!$K:$K,ROW()))),1,0))</f>
        <v>0</v>
      </c>
      <c r="P129" s="87">
        <f>IF($A129="","",IFERROR(VLOOKUP(I129,DATA!$AH$9:$AI$13,2,0),""))</f>
        <v>3</v>
      </c>
      <c r="Q129" s="87">
        <f>IF($A129="","",IFERROR(VLOOKUP(J129,DATA!$AH$9:$AI$13,2,0),""))</f>
        <v>3</v>
      </c>
      <c r="R129" s="87">
        <f>IF($A129="","",IFERROR(VLOOKUP(K129,DATA!$AH$9:$AI$13,2,0),""))</f>
        <v>3</v>
      </c>
      <c r="S129" s="89">
        <f t="shared" si="22"/>
        <v>3</v>
      </c>
      <c r="T129" s="87">
        <f>IF($A129="","",IF(COUNTIF($D$2:D129,D129)=1,1,0))</f>
        <v>1</v>
      </c>
      <c r="U129" s="87" t="str">
        <f>IF($A129="","",IF(F129="-","Cabang tdk ada",IF(IFERROR(VLOOKUP(G129,#REF!,1,0),"")="","",IF(INDEX(DATA!$AH$2:$AH$5,MATCH(G129,DATA!$AI$2:$AI$5,0))&lt;&gt;F129,"Wilayah beda","OK"))))</f>
        <v/>
      </c>
      <c r="V129" s="87" t="str">
        <f>IF($A129="","",TRIM(INDEX(FORM!$I:$I,ROW())&amp;""))</f>
        <v>bagus</v>
      </c>
      <c r="W129" s="87" t="str">
        <f>IF($A129="","",TRIM(INDEX(FORM!$L:$L,ROW())&amp;""))</f>
        <v>tidak ada</v>
      </c>
      <c r="X129" s="87" t="str">
        <f>IF($A129="","",TRIM(INDEX(FORM!$M:$M,ROW())&amp;""))</f>
        <v>sangat bagus</v>
      </c>
      <c r="Y129" s="8">
        <f>IF($A129="","",IFERROR(MATCH(F129,DATA!$AH$2:$AH$5,0),9)*10000+A129)</f>
        <v>40128</v>
      </c>
      <c r="Z129" s="87" t="str">
        <f t="shared" si="23"/>
        <v>Tidak ada masukan / sudah baik</v>
      </c>
      <c r="AA129" s="87" t="str">
        <f t="shared" si="24"/>
        <v>Tidak ada masukan / sudah baik</v>
      </c>
      <c r="AB129" s="87" t="str">
        <f t="shared" si="25"/>
        <v>Tidak ada masukan / sudah baik</v>
      </c>
      <c r="AC129" s="87"/>
      <c r="AD129" s="87"/>
      <c r="AE129" s="87"/>
      <c r="AK129" s="90">
        <f t="shared" si="26"/>
        <v>0</v>
      </c>
      <c r="AL129" s="90">
        <f t="shared" si="27"/>
        <v>0</v>
      </c>
      <c r="AM129" s="90">
        <f t="shared" si="28"/>
        <v>0</v>
      </c>
      <c r="AN129" s="90">
        <f t="shared" si="29"/>
        <v>0</v>
      </c>
      <c r="AO129" s="90">
        <f t="shared" si="30"/>
        <v>0</v>
      </c>
      <c r="AP129" s="90">
        <f t="shared" si="31"/>
        <v>0</v>
      </c>
      <c r="AQ129" s="90">
        <f t="shared" si="32"/>
        <v>0</v>
      </c>
      <c r="AR129" s="90">
        <f t="shared" si="33"/>
        <v>0</v>
      </c>
      <c r="AS129" s="90">
        <f t="shared" si="34"/>
        <v>0</v>
      </c>
      <c r="AT129" s="90">
        <f t="shared" si="35"/>
        <v>0</v>
      </c>
      <c r="AU129" s="90">
        <f t="shared" si="36"/>
        <v>0</v>
      </c>
      <c r="AV129" s="90">
        <f t="shared" si="37"/>
        <v>0</v>
      </c>
      <c r="AW129" s="90">
        <f t="shared" si="38"/>
        <v>0</v>
      </c>
      <c r="AX129" s="90">
        <f t="shared" si="39"/>
        <v>0</v>
      </c>
      <c r="AY129" s="90">
        <f t="shared" si="40"/>
        <v>0</v>
      </c>
      <c r="AZ129" s="90">
        <f t="shared" si="41"/>
        <v>0</v>
      </c>
      <c r="BA129" s="90">
        <f t="shared" si="42"/>
        <v>0</v>
      </c>
      <c r="BB129" s="90">
        <f t="shared" si="43"/>
        <v>0</v>
      </c>
    </row>
    <row r="130" spans="1:54">
      <c r="A130" s="87">
        <f>IF(INDEX(FORM!$A:$A,ROW())="","",ROW()-1)</f>
        <v>129</v>
      </c>
      <c r="B130" s="88">
        <f>IF($A130="","",INDEX(FORM!$A:$A,ROW()))</f>
        <v>46310.695034722201</v>
      </c>
      <c r="C130" s="87" t="str">
        <f>IF($A130="","",TRIM(INDEX(FORM!$B:$B,ROW())))</f>
        <v>Reynaldi Tegar Trisakti</v>
      </c>
      <c r="D130" s="87" t="str">
        <f>IF($A130="","",TRIM(INDEX(FORM!$C:$C,ROW())&amp;""))</f>
        <v>1510618</v>
      </c>
      <c r="E130" s="87" t="str">
        <f>IF($A130="","",UPPER(TRIM(INDEX(FORM!$D:$D,ROW()))))</f>
        <v>BLORA</v>
      </c>
      <c r="F130" s="87" t="str">
        <f>IF($A130="","",IFERROR(INDEX(PROGRES!$A$2:$A$92,MATCH(E130,PROGRES!$B$2:$B$92,0)),"-"))</f>
        <v>Jawa Tengah</v>
      </c>
      <c r="G130" s="87" t="str">
        <f>IF($A130="","",UPPER(TRIM(INDEX(FORM!$F:$F,ROW()))))</f>
        <v>JATENG DIY</v>
      </c>
      <c r="H130" s="87" t="str">
        <f>IF($A130="","",UPPER(TRIM(INDEX(FORM!$E:$E,ROW()))))</f>
        <v>CRO</v>
      </c>
      <c r="I130" s="87" t="str">
        <f>IF($A130="","",UPPER(TRIM(INDEX(FORM!$G:$G,ROW()))))</f>
        <v>CUKUP</v>
      </c>
      <c r="J130" s="87" t="str">
        <f>IF($A130="","",IF(ISNUMBER(SEARCH("Ya,",INDEX(FORM!$H:$H,ROW()))),"YA",IF(ISNUMBER(SEARCH("Cukup,",INDEX(FORM!$H:$H,ROW()))),"CUKUP",IF(ISNUMBER(SEARCH("Kurang,",INDEX(FORM!$H:$H,ROW()))),"KURANG",""))))</f>
        <v>CUKUP</v>
      </c>
      <c r="K130" s="87" t="str">
        <f>IF($A130="","",UPPER(TRIM(INDEX(FORM!$J:$J,ROW()))))</f>
        <v>MUDAH</v>
      </c>
      <c r="L130" s="87">
        <f>IF($A130="","",IF(ISNUMBER(SEARCH("Aktivitas Harian",INDEX(FORM!$K:$K,ROW()))),1,0))</f>
        <v>1</v>
      </c>
      <c r="M130" s="87">
        <f>IF($A130="","",IF(ISNUMBER(SEARCH("Aktivitas Mingguan",INDEX(FORM!$K:$K,ROW()))),1,0))</f>
        <v>1</v>
      </c>
      <c r="N130" s="87">
        <f>IF($A130="","",IF(ISNUMBER(SEARCH("Aktivitas Bulanan",INDEX(FORM!$K:$K,ROW()))),1,0))</f>
        <v>1</v>
      </c>
      <c r="O130" s="87">
        <f>IF($A130="","",IF(ISNUMBER(SEARCH("Overview Cabang",INDEX(FORM!$K:$K,ROW()))),1,0))</f>
        <v>1</v>
      </c>
      <c r="P130" s="87">
        <f>IF($A130="","",IFERROR(VLOOKUP(I130,DATA!$AH$9:$AI$13,2,0),""))</f>
        <v>2</v>
      </c>
      <c r="Q130" s="87">
        <f>IF($A130="","",IFERROR(VLOOKUP(J130,DATA!$AH$9:$AI$13,2,0),""))</f>
        <v>2</v>
      </c>
      <c r="R130" s="87">
        <f>IF($A130="","",IFERROR(VLOOKUP(K130,DATA!$AH$9:$AI$13,2,0),""))</f>
        <v>3</v>
      </c>
      <c r="S130" s="89">
        <f t="shared" ref="S130:S193" si="44">IF($A130="","",IFERROR(AVERAGE(P130:R130),""))</f>
        <v>2.3333333333333335</v>
      </c>
      <c r="T130" s="87">
        <f>IF($A130="","",IF(COUNTIF($D$2:D130,D130)=1,1,0))</f>
        <v>1</v>
      </c>
      <c r="U130" s="87" t="str">
        <f>IF($A130="","",IF(F130="-","Cabang tdk ada",IF(IFERROR(VLOOKUP(G130,#REF!,1,0),"")="","",IF(INDEX(DATA!$AH$2:$AH$5,MATCH(G130,DATA!$AI$2:$AI$5,0))&lt;&gt;F130,"Wilayah beda","OK"))))</f>
        <v/>
      </c>
      <c r="V130" s="87" t="str">
        <f>IF($A130="","",TRIM(INDEX(FORM!$I:$I,ROW())&amp;""))</f>
        <v>Bisa ditampilkan detail program, monitoring target program non semen untuk pelanggan, googleform untuk penambahan pelanggan baru.</v>
      </c>
      <c r="W130" s="87" t="str">
        <f>IF($A130="","",TRIM(INDEX(FORM!$L:$L,ROW())&amp;""))</f>
        <v>Tidak ada</v>
      </c>
      <c r="X130" s="87" t="str">
        <f>IF($A130="","",TRIM(INDEX(FORM!$M:$M,ROW())&amp;""))</f>
        <v>Sudah saya ketik diatas tadi.</v>
      </c>
      <c r="Y130" s="8">
        <f>IF($A130="","",IFERROR(MATCH(F130,DATA!$AH$2:$AH$5,0),9)*10000+A130)</f>
        <v>20129</v>
      </c>
      <c r="Z130" s="87" t="str">
        <f t="shared" ref="Z130:Z193" si="45">IF($A130="","",IF(LEN(SUBSTITUTE(SUBSTITUTE(SUBSTITUTE(V130,"-",""),".",""),"?",""))&lt;2,"Tidak ada masukan / sudah baik",IF(OR(ISNUMBER(SEARCH("memang harus",V130&amp;" "))),"Tidak ada masukan / sudah baik",IF(OR(ISNUMBER(SEARCH("lemot",V130&amp;" ")),ISNUMBER(SEARCH("loading",V130&amp;" ")),ISNUMBER(SEARCH("lambat",V130&amp;" ")),ISNUMBER(SEARCH("kecepatan",V130&amp;" ")),ISNUMBER(SEARCH("koneksi",V130&amp;" ")),ISNUMBER(SEARCH("eroro",V130&amp;" ")),ISNUMBER(SEARCH("error",V130&amp;" ")),ISNUMBER(SEARCH("ketutup",V130&amp;" "))),"Kecepatan &amp; Loading Website",IF(OR(ISNUMBER(SEARCH("kontak",V130&amp;" ")),ISNUMBER(SEARCH("pic",V130&amp;" ")),ISNUMBER(SEARCH("darurat",V130&amp;" "))),"Kontak &amp; Informasi PIC",IF(OR(ISNUMBER(SEARCH("sacs",V130&amp;" ")),ISNUMBER(SEARCH("aplikasi",V130&amp;" ")),ISNUMBER(SEARCH("kinerja",V130&amp;" ")),ISNUMBER(SEARCH("seluruh cabang",V130&amp;" "))),"Integrasi dengan SACS / Aplikasi",IF(OR(ISNUMBER(SEARCH("mobile",V130&amp;" ")),ISNUMBER(SEARCH("lebih responsif",V130&amp;" ")),ISNUMBER(SEARCH("scroll",V130&amp;" ")),ISNUMBER(SEARCH("melebar",V130&amp;" "))),"Tampilan di HP (Responsif)",IF(OR(ISNUMBER(SEARCH("simpel",V130&amp;" ")),ISNUMBER(SEARCH("simple",V130&amp;" ")),ISNUMBER(SEARCH("sederhana",V130&amp;" ")),ISNUMBER(SEARCH("ringkas",V130&amp;" ")),ISNUMBER(SEARCH("intinya",V130&amp;" ")),ISNUMBER(SEARCH("panjang lebar",V130&amp;" ")),ISNUMBER(SEARCH("mudah dipahami lagi",V130&amp;" ")),ISNUMBER(SEARCH("tata letak",V130&amp;" ")),ISNUMBER(SEARCH("harus mencari",V130&amp;" "))),"Penyederhanaan &amp; Ringkas Isi",IF(OR(ISNUMBER(SEARCH("menu ",V130&amp;" ")),ISNUMBER(SEARCH("tiap posisi",V130&amp;" ")),ISNUMBER(SEARCH("pilihan antara",V130&amp;" "))),"Menu per Jabatan / Navigasi",IF(OR(ISNUMBER(SEARCH("video",V130&amp;" ")),ISNUMBER(SEARCH("vidio",V130&amp;" ")),ISNUMBER(SEARCH("bagan",V130&amp;" ")),ISNUMBER(SEARCH("gambar",V130&amp;" ")),ISNUMBER(SEARCH("qna",V130&amp;" "))),"Tambah Video / Bagan",IF(OR(ISNUMBER(SEARCH("menarik",V130&amp;" ")),ISNUMBER(SEARCH("design",V130&amp;" ")),ISNUMBER(SEARCH("desain",V130&amp;" ")),ISNUMBER(SEARCH("font",V130&amp;" ")),ISNUMBER(SEARCH("warna",V130&amp;" ")),ISNUMBER(SEARCH("soft",V130&amp;" ")),ISNUMBER(SEARCH("kaku",V130&amp;" ")),ISNUMBER(SEARCH("elegan",V130&amp;" ")),ISNUMBER(SEARCH("grafis",V130&amp;" ")),ISNUMBER(SEARCH("visual",V130&amp;" ")),ISNUMBER(SEARCH("logo",V130&amp;" ")),ISNUMBER(SEARCH("jenuh",V130&amp;" ")),ISNUMBER(SEARCH("abu",V130&amp;" ")),ISNUMBER(SEARCH("tampilannya",V130&amp;" ")),ISNUMBER(SEARCH("tampilan dibuat",V130&amp;" ")),ISNUMBER(SEARCH("tamoilan",V130&amp;" ")),ISNUMBER(SEARCH("lebih user friendly",V130&amp;" "))),"Desain, Warna &amp; Font",IF(OR(ISNUMBER(SEARCH("perbanyak",V130&amp;" ")),ISNUMBER(SEARCH("jabarkan",V130&amp;" ")),ISNUMBER(SEARCH("jobdesk",V130&amp;" ")),ISNUMBER(SEARCH("pengajuan",V130&amp;" ")),ISNUMBER(SEARCH("informasi",V130&amp;" "))),"Penambahan Isi / Penjelasan",IF(OR(ISNUMBER(SEARCH("tingkat",V130&amp;" ")),ISNUMBER(SEARCH("kembang",V130&amp;" ")),ISNUMBER(SEARCH("lebih baik lagi",V130&amp;" ")),ISNUMBER(SEARCH("maksimal",V130&amp;" ")),ISNUMBER(SEARCH("penikatan",V130&amp;" "))),"Saran Umum Peningkatan",IF(OR(ISNUMBER(SEARCH("tidak",V130&amp;" ")),ISNUMBER(SEARCH("tdk",V130&amp;" ")),ISNUMBER(SEARCH("sudah",V130&amp;" ")),ISNUMBER(SEARCH("sdh",V130&amp;" ")),ISNUMBER(SEARCH("cukup",V130&amp;" ")),ISNUMBER(SEARCH("baik",V130&amp;" ")),ISNUMBER(SEARCH("bagus",V130&amp;" ")),ISNUMBER(SEARCH("ok",V130&amp;" ")),ISNUMBER(SEARCH("good",V130&amp;" ")),ISNUMBER(SEARCH("aman",V130&amp;" ")),ISNUMBER(SEARCH("lanjut",V130&amp;" ")),ISNUMBER(SEARCH("mantap",V130&amp;" ")),ISNUMBER(SEARCH("josjis",V130&amp;" ")),ISNUMBER(SEARCH("lumayan",V130&amp;" ")),ISNUMBER(SEARCH("mudah",V130&amp;" ")),ISNUMBER(SEARCH("belum",V130&amp;" ")),ISNUMBER(SEARCH("membantu",V130&amp;" ")),ISNUMBER(SEARCH("comment",V130&amp;" ")),ISNUMBER(SEARCH("lengkap",V130&amp;" ")),ISNUMBER(SEARCH("tercakup",V130&amp;" ")),ISNUMBER(SEARCH("mencakup",V130&amp;" ")),ISNUMBER(SEARCH("semua",V130&amp;" ")),ISNUMBER(SEARCH("penting",V130&amp;" ")),ISNUMBER(SEARCH("terangkum",V130&amp;" ")),ISNUMBER(SEARCH("pas",V130&amp;" ")),ISNUMBER(SEARCH("berjalan",V130&amp;" ")),ISNUMBER(SEARCH("sesuai",V130&amp;" "))),"Tidak ada masukan / sudah baik","Lainnya (perlu dibaca manual)"))))))))))))))</f>
        <v>Lainnya (perlu dibaca manual)</v>
      </c>
      <c r="AA130" s="87" t="str">
        <f t="shared" ref="AA130:AA193" si="46">IF($A130="","",IF(LEN(SUBSTITUTE(SUBSTITUTE(SUBSTITUTE(W130,"-",""),".",""),"?",""))&lt;2,"Tidak ada masukan / sudah baik",IF(OR(ISNUMBER(SEARCH("tampilan",W130&amp;" ")),ISNUMBER(SEARCH("lemot",W130&amp;" "))),"Bukan Terkait SOP (Tampilan / Akses)",IF(OR(ISNUMBER(SEARCH("sanksi",W130&amp;" ")),ISNUMBER(SEARCH("pelanggaran",W130&amp;" ")),ISNUMBER(SEARCH("larangan",W130&amp;" ")),ISNUMBER(SEARCH("rekening pribadi",W130&amp;" "))),"Sanksi &amp; Pelanggaran SOP",IF(OR(ISNUMBER(SEARCH("npl",W130&amp;" ")),ISNUMBER(SEARCH("piutang",W130&amp;" ")),ISNUMBER(SEARCH("rekon",W130&amp;" ")),ISNUMBER(SEARCH("overdue",W130&amp;" ")),ISNUMBER(SEARCH("restruk",W130&amp;" ")),ISNUMBER(SEARCH("tempo",W130&amp;" "))),"Piutang &amp; Pelanggan Bermasalah",IF(OR(ISNUMBER(SEARCH("kiriman",W130&amp;" ")),ISNUMBER(SEARCH("pengiriman",W130&amp;" ")),ISNUMBER(SEARCH("retur",W130&amp;" ")),ISNUMBER(SEARCH("barang",W130&amp;" "))),"Pengiriman, Retur &amp; Logistik",IF(OR(ISNUMBER(SEARCH("contact",W130&amp;" ")),ISNUMBER(SEARCH("kontak",W130&amp;" ")),ISNUMBER(SEARCH("pic",W130&amp;" ")),ISNUMBER(SEARCH("berwenang",W130&amp;" ")),ISNUMBER(SEARCH("follow up",W130&amp;" ")),ISNUMBER(SEARCH("eskalasi",W130&amp;" "))),"Kontak PIC &amp; Eskalasi",IF(OR(ISNUMBER(SEARCH("laporan evaluasi",W130&amp;" ")),ISNUMBER(SEARCH("aplikasi cp",W130&amp;" ")),ISNUMBER(SEARCH("flowchart",W130&amp;" ")),ISNUMBER(SEARCH("acuan",W130&amp;" ")),ISNUMBER(SEARCH("poa",W130&amp;" ")),ISNUMBER(SEARCH("aktifitas",W130&amp;" ")),ISNUMBER(SEARCH("aktivitas",W130&amp;" "))),"Panduan Laporan &amp; Alur Kerja",IF(OR(ISNUMBER(SEARCH("notifikasi",W130&amp;" ")),ISNUMBER(SEARCH("pembaruan",W130&amp;" ")),ISNUMBER(SEARCH("perubahan",W130&amp;" ")),ISNUMBER(SEARCH("update",W130&amp;" "))),"Pembaruan &amp; Notifikasi SOP",IF(OR(ISNUMBER(SEARCH("tidak",W130&amp;" ")),ISNUMBER(SEARCH("tdk",W130&amp;" ")),ISNUMBER(SEARCH("sudah",W130&amp;" ")),ISNUMBER(SEARCH("sdh",W130&amp;" ")),ISNUMBER(SEARCH("cukup",W130&amp;" ")),ISNUMBER(SEARCH("baik",W130&amp;" ")),ISNUMBER(SEARCH("bagus",W130&amp;" ")),ISNUMBER(SEARCH("ok",W130&amp;" ")),ISNUMBER(SEARCH("good",W130&amp;" ")),ISNUMBER(SEARCH("aman",W130&amp;" ")),ISNUMBER(SEARCH("lanjut",W130&amp;" ")),ISNUMBER(SEARCH("mantap",W130&amp;" ")),ISNUMBER(SEARCH("josjis",W130&amp;" ")),ISNUMBER(SEARCH("lumayan",W130&amp;" ")),ISNUMBER(SEARCH("mudah",W130&amp;" ")),ISNUMBER(SEARCH("belum",W130&amp;" ")),ISNUMBER(SEARCH("membantu",W130&amp;" ")),ISNUMBER(SEARCH("comment",W130&amp;" ")),ISNUMBER(SEARCH("lengkap",W130&amp;" ")),ISNUMBER(SEARCH("tercakup",W130&amp;" ")),ISNUMBER(SEARCH("mencakup",W130&amp;" ")),ISNUMBER(SEARCH("semua",W130&amp;" ")),ISNUMBER(SEARCH("penting",W130&amp;" ")),ISNUMBER(SEARCH("terangkum",W130&amp;" ")),ISNUMBER(SEARCH("pas",W130&amp;" ")),ISNUMBER(SEARCH("berjalan",W130&amp;" ")),ISNUMBER(SEARCH("sesuai",W130&amp;" "))),"Tidak ada masukan / sudah baik","Lainnya (perlu dibaca manual)"))))))))))</f>
        <v>Tidak ada masukan / sudah baik</v>
      </c>
      <c r="AB130" s="87" t="str">
        <f t="shared" ref="AB130:AB193" si="47">IF($A130="","",IF(LEN(SUBSTITUTE(SUBSTITUTE(SUBSTITUTE(X130,"-",""),".",""),"?",""))&lt;2,"Tidak ada masukan / sudah baik",IF(OR(ISNUMBER(SEARCH("urgent",X130&amp;" "))),"Lainnya (perlu dibaca manual)",IF(OR(ISNUMBER(SEARCH("struktur organisasi",X130&amp;" ")),ISNUMBER(SEARCH("pic",X130&amp;" ")),ISNUMBER(SEARCH("cp",X130&amp;" ")),ISNUMBER(SEARCH("personil",X130&amp;" ")),ISNUMBER(SEARCH("sales",X130&amp;" ")),ISNUMBER(SEARCH("muka",X130&amp;" ")),ISNUMBER(SEARCH("eskalasi",X130&amp;" "))),"Struktur Organisasi, PIC &amp; Tim",IF(OR(ISNUMBER(SEARCH("lemot",X130&amp;" ")),ISNUMBER(SEARCH("lambat",X130&amp;" ")),ISNUMBER(SEARCH("memuat",X130&amp;" ")),ISNUMBER(SEARCH("koneksi",X130&amp;" "))),"Kecepatan Akses Website",IF(OR(ISNUMBER(SEARCH("sacs",X130&amp;" ")),ISNUMBER(SEARCH("aplikasi",X130&amp;" "))),"Integrasi ke SACS / Aplikasi Kerja",IF(OR(ISNUMBER(SEARCH("dashboard",X130&amp;" ")),ISNUMBER(SEARCH("kpi",X130&amp;" ")),ISNUMBER(SEARCH("database",X130&amp;" ")),ISNUMBER(SEARCH("kinerja",X130&amp;" ")),ISNUMBER(SEARCH("seluruh cabang",X130&amp;" "))),"Fitur Baru (Dashboard / KPI / Database)",IF(OR(ISNUMBER(SEARCH("video",X130&amp;" ")),ISNUMBER(SEARCH("gambar",X130&amp;" ")),ISNUMBER(SEARCH("jpg",X130&amp;" ")),ISNUMBER(SEARCH("flowchart",X130&amp;" ")),ISNUMBER(SEARCH("tutorial",X130&amp;" "))),"Tambah Video / Gambar / Flowchart",IF(OR(ISNUMBER(SEARCH("template",X130&amp;" ")),ISNUMBER(SEARCH("surat",X130&amp;" ")),ISNUMBER(SEARCH("korin",X130&amp;" ")),ISNUMBER(SEARCH("overdue",X130&amp;" ")),ISNUMBER(SEARCH("restruk",X130&amp;" ")),ISNUMBER(SEARCH("tempo",X130&amp;" ")),ISNUMBER(SEARCH("larangan",X130&amp;" ")),ISNUMBER(SEARCH("posisi lain",X130&amp;" ")),ISNUMBER(SEARCH("jobdesk",X130&amp;" ")),ISNUMBER(SEARCH("jobdisk",X130&amp;" ")),ISNUMBER(SEARCH("langkah",X130&amp;" ")),ISNUMBER(SEARCH("detail",X130&amp;" ")),ISNUMBER(SEARCH("panduan",X130&amp;" ")),ISNUMBER(SEARCH("lengkap lagi",X130&amp;" ")),ISNUMBER(SEARCH("tips",X130&amp;" "))),"Penambahan Materi &amp; Template",IF(OR(ISNUMBER(SEARCH("simpel",X130&amp;" ")),ISNUMBER(SEARCH("simple",X130&amp;" ")),ISNUMBER(SEARCH("ringkas",X130&amp;" ")),ISNUMBER(SEARCH("monoton",X130&amp;" ")),ISNUMBER(SEARCH("penataan",X130&amp;" "))),"Penyederhanaan Isi",IF(OR(ISNUMBER(SEARCH("menarik",X130&amp;" ")),ISNUMBER(SEARCH("design",X130&amp;" ")),ISNUMBER(SEARCH("desain",X130&amp;" ")),ISNUMBER(SEARCH("tampilan",X130&amp;" ")),ISNUMBER(SEARCH("kaku",X130&amp;" ")),ISNUMBER(SEARCH("user friendly",X130&amp;" "))),"Desain Tampilan",IF(OR(ISNUMBER(SEARCH("update",X130&amp;" ")),ISNUMBER(SEARCH("terbaru",X130&amp;" ")),ISNUMBER(SEARCH("terkini",X130&amp;" ")),ISNUMBER(SEARCH("uptodate",X130&amp;" "))),"Update Informasi Berkala",IF(OR(ISNUMBER(SEARCH("tingkat",X130&amp;" ")),ISNUMBER(SEARCH("kembang",X130&amp;" ")),ISNUMBER(SEARCH("inovasi",X130&amp;" ")),ISNUMBER(SEARCH("maintenance",X130&amp;" "))),"Saran Umum Peningkatan",IF(OR(ISNUMBER(SEARCH("tidak",X130&amp;" ")),ISNUMBER(SEARCH("tdk",X130&amp;" ")),ISNUMBER(SEARCH("sudah",X130&amp;" ")),ISNUMBER(SEARCH("sdh",X130&amp;" ")),ISNUMBER(SEARCH("cukup",X130&amp;" ")),ISNUMBER(SEARCH("baik",X130&amp;" ")),ISNUMBER(SEARCH("bagus",X130&amp;" ")),ISNUMBER(SEARCH("ok",X130&amp;" ")),ISNUMBER(SEARCH("good",X130&amp;" ")),ISNUMBER(SEARCH("aman",X130&amp;" ")),ISNUMBER(SEARCH("lanjut",X130&amp;" ")),ISNUMBER(SEARCH("mantap",X130&amp;" ")),ISNUMBER(SEARCH("josjis",X130&amp;" ")),ISNUMBER(SEARCH("lumayan",X130&amp;" ")),ISNUMBER(SEARCH("mudah",X130&amp;" ")),ISNUMBER(SEARCH("belum",X130&amp;" ")),ISNUMBER(SEARCH("membantu",X130&amp;" ")),ISNUMBER(SEARCH("comment",X130&amp;" ")),ISNUMBER(SEARCH("lengkap",X130&amp;" ")),ISNUMBER(SEARCH("tercakup",X130&amp;" ")),ISNUMBER(SEARCH("mencakup",X130&amp;" ")),ISNUMBER(SEARCH("semua",X130&amp;" ")),ISNUMBER(SEARCH("penting",X130&amp;" ")),ISNUMBER(SEARCH("terangkum",X130&amp;" ")),ISNUMBER(SEARCH("pas",X130&amp;" ")),ISNUMBER(SEARCH("berjalan",X130&amp;" ")),ISNUMBER(SEARCH("sesuai",X130&amp;" "))),"Tidak ada masukan / sudah baik","Lainnya (perlu dibaca manual)"))))))))))))))</f>
        <v>Tidak ada masukan / sudah baik</v>
      </c>
      <c r="AC130" s="87"/>
      <c r="AD130" s="87"/>
      <c r="AE130" s="87"/>
      <c r="AK130" s="90">
        <f t="shared" ref="AK130:AK193" si="48">IF($A130="","",IF(OR($Z130="Kecepatan &amp; Loading Website",$AB130="Kecepatan Akses Website",AND($AA130="Bukan Terkait SOP (Tampilan / Akses)",OR(ISNUMBER(SEARCH("lemot",$W130)),ISNUMBER(SEARCH("loading",$W130)),ISNUMBER(SEARCH("lambat",$W130))))),1,0))</f>
        <v>0</v>
      </c>
      <c r="AL130" s="90">
        <f t="shared" ref="AL130:AL193" si="49">IF($A130="","",IF(OR($Z130="Tampilan di HP (Responsif)"),1,0))</f>
        <v>0</v>
      </c>
      <c r="AM130" s="90">
        <f t="shared" ref="AM130:AM193" si="50">IF($A130="","",IF(OR($Z130="Desain, Warna &amp; Font",$AB130="Desain Tampilan",AND($AA130="Bukan Terkait SOP (Tampilan / Akses)",NOT(OR(ISNUMBER(SEARCH("lemot",$W130)),ISNUMBER(SEARCH("loading",$W130)),ISNUMBER(SEARCH("lambat",$W130)))))),1,0))</f>
        <v>0</v>
      </c>
      <c r="AN130" s="90">
        <f t="shared" ref="AN130:AN193" si="51">IF($A130="","",IF(OR($Z130="Menu per Jabatan / Navigasi"),1,0))</f>
        <v>0</v>
      </c>
      <c r="AO130" s="90">
        <f t="shared" ref="AO130:AO193" si="52">IF($A130="","",IF(OR($Z130="Integrasi dengan SACS / Aplikasi",$AB130="Integrasi ke SACS / Aplikasi Kerja"),1,0))</f>
        <v>0</v>
      </c>
      <c r="AP130" s="90">
        <f t="shared" ref="AP130:AP193" si="53">IF($A130="","",IF(OR($AB130="Fitur Baru (Dashboard / KPI / Database)"),1,0))</f>
        <v>0</v>
      </c>
      <c r="AQ130" s="90">
        <f t="shared" ref="AQ130:AQ193" si="54">IF($A130="","",IF(OR($Z130="Penyederhanaan &amp; Ringkas Isi",$AB130="Penyederhanaan Isi"),1,0))</f>
        <v>0</v>
      </c>
      <c r="AR130" s="90">
        <f t="shared" ref="AR130:AR193" si="55">IF($A130="","",IF(OR($Z130="Penambahan Isi / Penjelasan",$AB130="Penambahan Materi &amp; Template"),1,0))</f>
        <v>0</v>
      </c>
      <c r="AS130" s="90">
        <f t="shared" ref="AS130:AS193" si="56">IF($A130="","",IF(OR($Z130="Tambah Video / Bagan",$AB130="Tambah Video / Gambar / Flowchart"),1,0))</f>
        <v>0</v>
      </c>
      <c r="AT130" s="90">
        <f t="shared" ref="AT130:AT193" si="57">IF($A130="","",IF(OR($Z130="Kontak &amp; Informasi PIC",$AA130="Kontak PIC &amp; Eskalasi",$AB130="Struktur Organisasi, PIC &amp; Tim"),1,0))</f>
        <v>0</v>
      </c>
      <c r="AU130" s="90">
        <f t="shared" ref="AU130:AU193" si="58">IF($A130="","",IF(OR($AA130="Pembaruan &amp; Notifikasi SOP",$AB130="Update Informasi Berkala"),1,0))</f>
        <v>0</v>
      </c>
      <c r="AV130" s="90">
        <f t="shared" ref="AV130:AV193" si="59">IF($A130="","",IF(OR($AA130="Sanksi &amp; Pelanggaran SOP"),1,0))</f>
        <v>0</v>
      </c>
      <c r="AW130" s="90">
        <f t="shared" ref="AW130:AW193" si="60">IF($A130="","",IF(OR($AA130="Piutang &amp; Pelanggan Bermasalah"),1,0))</f>
        <v>0</v>
      </c>
      <c r="AX130" s="90">
        <f t="shared" ref="AX130:AX193" si="61">IF($A130="","",IF(OR($AA130="Pengiriman, Retur &amp; Logistik"),1,0))</f>
        <v>0</v>
      </c>
      <c r="AY130" s="90">
        <f t="shared" ref="AY130:AY193" si="62">IF($A130="","",IF(OR($AA130="Panduan Laporan &amp; Alur Kerja"),1,0))</f>
        <v>0</v>
      </c>
      <c r="AZ130" s="90">
        <f t="shared" ref="AZ130:AZ193" si="63">IF($A130="","",IF(OR($Z130="Saran Umum Peningkatan",$AB130="Saran Umum Peningkatan"),1,0))</f>
        <v>0</v>
      </c>
      <c r="BA130" s="90">
        <f t="shared" ref="BA130:BA193" si="64">IF($A130="","",IF(OR($Z130="Lainnya (perlu dibaca manual)",$AA130="Lainnya (perlu dibaca manual)",$AB130="Lainnya (perlu dibaca manual)"),1,0))</f>
        <v>1</v>
      </c>
      <c r="BB130" s="90">
        <f t="shared" ref="BB130:BB193" si="65">IF($A130="","",IF(AND($Z130="Tidak ada masukan / sudah baik",$AA130="Tidak ada masukan / sudah baik",$AB130="Tidak ada masukan / sudah baik"),0,1))</f>
        <v>1</v>
      </c>
    </row>
    <row r="131" spans="1:54">
      <c r="A131" s="87">
        <f>IF(INDEX(FORM!$A:$A,ROW())="","",ROW()-1)</f>
        <v>130</v>
      </c>
      <c r="B131" s="88">
        <f>IF($A131="","",INDEX(FORM!$A:$A,ROW()))</f>
        <v>46310.695868055598</v>
      </c>
      <c r="C131" s="87" t="str">
        <f>IF($A131="","",TRIM(INDEX(FORM!$B:$B,ROW())))</f>
        <v>Leksono Desi artanto</v>
      </c>
      <c r="D131" s="87" t="str">
        <f>IF($A131="","",TRIM(INDEX(FORM!$C:$C,ROW())&amp;""))</f>
        <v>80443</v>
      </c>
      <c r="E131" s="87" t="str">
        <f>IF($A131="","",UPPER(TRIM(INDEX(FORM!$D:$D,ROW()))))</f>
        <v>TABANAN</v>
      </c>
      <c r="F131" s="87" t="str">
        <f>IF($A131="","",IFERROR(INDEX(PROGRES!$A$2:$A$92,MATCH(E131,PROGRES!$B$2:$B$92,0)),"-"))</f>
        <v>Luar Pulau</v>
      </c>
      <c r="G131" s="87" t="str">
        <f>IF($A131="","",UPPER(TRIM(INDEX(FORM!$F:$F,ROW()))))</f>
        <v>LUAR PULAU</v>
      </c>
      <c r="H131" s="87" t="str">
        <f>IF($A131="","",UPPER(TRIM(INDEX(FORM!$E:$E,ROW()))))</f>
        <v>CRO</v>
      </c>
      <c r="I131" s="87" t="str">
        <f>IF($A131="","",UPPER(TRIM(INDEX(FORM!$G:$G,ROW()))))</f>
        <v>MUDAH</v>
      </c>
      <c r="J131" s="87" t="str">
        <f>IF($A131="","",IF(ISNUMBER(SEARCH("Ya,",INDEX(FORM!$H:$H,ROW()))),"YA",IF(ISNUMBER(SEARCH("Cukup,",INDEX(FORM!$H:$H,ROW()))),"CUKUP",IF(ISNUMBER(SEARCH("Kurang,",INDEX(FORM!$H:$H,ROW()))),"KURANG",""))))</f>
        <v>YA</v>
      </c>
      <c r="K131" s="87" t="str">
        <f>IF($A131="","",UPPER(TRIM(INDEX(FORM!$J:$J,ROW()))))</f>
        <v>MUDAH</v>
      </c>
      <c r="L131" s="87">
        <f>IF($A131="","",IF(ISNUMBER(SEARCH("Aktivitas Harian",INDEX(FORM!$K:$K,ROW()))),1,0))</f>
        <v>1</v>
      </c>
      <c r="M131" s="87">
        <f>IF($A131="","",IF(ISNUMBER(SEARCH("Aktivitas Mingguan",INDEX(FORM!$K:$K,ROW()))),1,0))</f>
        <v>0</v>
      </c>
      <c r="N131" s="87">
        <f>IF($A131="","",IF(ISNUMBER(SEARCH("Aktivitas Bulanan",INDEX(FORM!$K:$K,ROW()))),1,0))</f>
        <v>0</v>
      </c>
      <c r="O131" s="87">
        <f>IF($A131="","",IF(ISNUMBER(SEARCH("Overview Cabang",INDEX(FORM!$K:$K,ROW()))),1,0))</f>
        <v>0</v>
      </c>
      <c r="P131" s="87">
        <f>IF($A131="","",IFERROR(VLOOKUP(I131,DATA!$AH$9:$AI$13,2,0),""))</f>
        <v>3</v>
      </c>
      <c r="Q131" s="87">
        <f>IF($A131="","",IFERROR(VLOOKUP(J131,DATA!$AH$9:$AI$13,2,0),""))</f>
        <v>3</v>
      </c>
      <c r="R131" s="87">
        <f>IF($A131="","",IFERROR(VLOOKUP(K131,DATA!$AH$9:$AI$13,2,0),""))</f>
        <v>3</v>
      </c>
      <c r="S131" s="89">
        <f t="shared" si="44"/>
        <v>3</v>
      </c>
      <c r="T131" s="87">
        <f>IF($A131="","",IF(COUNTIF($D$2:D131,D131)=1,1,0))</f>
        <v>1</v>
      </c>
      <c r="U131" s="87" t="str">
        <f>IF($A131="","",IF(F131="-","Cabang tdk ada",IF(IFERROR(VLOOKUP(G131,#REF!,1,0),"")="","",IF(INDEX(DATA!$AH$2:$AH$5,MATCH(G131,DATA!$AI$2:$AI$5,0))&lt;&gt;F131,"Wilayah beda","OK"))))</f>
        <v/>
      </c>
      <c r="V131" s="87" t="str">
        <f>IF($A131="","",TRIM(INDEX(FORM!$I:$I,ROW())&amp;""))</f>
        <v>Tidak ada</v>
      </c>
      <c r="W131" s="87" t="str">
        <f>IF($A131="","",TRIM(INDEX(FORM!$L:$L,ROW())&amp;""))</f>
        <v>Tidak ada</v>
      </c>
      <c r="X131" s="87" t="str">
        <f>IF($A131="","",TRIM(INDEX(FORM!$M:$M,ROW())&amp;""))</f>
        <v>Tidak ada</v>
      </c>
      <c r="Y131" s="8">
        <f>IF($A131="","",IFERROR(MATCH(F131,DATA!$AH$2:$AH$5,0),9)*10000+A131)</f>
        <v>40130</v>
      </c>
      <c r="Z131" s="87" t="str">
        <f t="shared" si="45"/>
        <v>Tidak ada masukan / sudah baik</v>
      </c>
      <c r="AA131" s="87" t="str">
        <f t="shared" si="46"/>
        <v>Tidak ada masukan / sudah baik</v>
      </c>
      <c r="AB131" s="87" t="str">
        <f t="shared" si="47"/>
        <v>Tidak ada masukan / sudah baik</v>
      </c>
      <c r="AC131" s="87"/>
      <c r="AD131" s="87"/>
      <c r="AE131" s="87"/>
      <c r="AK131" s="90">
        <f t="shared" si="48"/>
        <v>0</v>
      </c>
      <c r="AL131" s="90">
        <f t="shared" si="49"/>
        <v>0</v>
      </c>
      <c r="AM131" s="90">
        <f t="shared" si="50"/>
        <v>0</v>
      </c>
      <c r="AN131" s="90">
        <f t="shared" si="51"/>
        <v>0</v>
      </c>
      <c r="AO131" s="90">
        <f t="shared" si="52"/>
        <v>0</v>
      </c>
      <c r="AP131" s="90">
        <f t="shared" si="53"/>
        <v>0</v>
      </c>
      <c r="AQ131" s="90">
        <f t="shared" si="54"/>
        <v>0</v>
      </c>
      <c r="AR131" s="90">
        <f t="shared" si="55"/>
        <v>0</v>
      </c>
      <c r="AS131" s="90">
        <f t="shared" si="56"/>
        <v>0</v>
      </c>
      <c r="AT131" s="90">
        <f t="shared" si="57"/>
        <v>0</v>
      </c>
      <c r="AU131" s="90">
        <f t="shared" si="58"/>
        <v>0</v>
      </c>
      <c r="AV131" s="90">
        <f t="shared" si="59"/>
        <v>0</v>
      </c>
      <c r="AW131" s="90">
        <f t="shared" si="60"/>
        <v>0</v>
      </c>
      <c r="AX131" s="90">
        <f t="shared" si="61"/>
        <v>0</v>
      </c>
      <c r="AY131" s="90">
        <f t="shared" si="62"/>
        <v>0</v>
      </c>
      <c r="AZ131" s="90">
        <f t="shared" si="63"/>
        <v>0</v>
      </c>
      <c r="BA131" s="90">
        <f t="shared" si="64"/>
        <v>0</v>
      </c>
      <c r="BB131" s="90">
        <f t="shared" si="65"/>
        <v>0</v>
      </c>
    </row>
    <row r="132" spans="1:54">
      <c r="A132" s="87">
        <f>IF(INDEX(FORM!$A:$A,ROW())="","",ROW()-1)</f>
        <v>131</v>
      </c>
      <c r="B132" s="88">
        <f>IF($A132="","",INDEX(FORM!$A:$A,ROW()))</f>
        <v>46310.698171296302</v>
      </c>
      <c r="C132" s="87" t="str">
        <f>IF($A132="","",TRIM(INDEX(FORM!$B:$B,ROW())))</f>
        <v>Sila Krisna Syahputra</v>
      </c>
      <c r="D132" s="87" t="str">
        <f>IF($A132="","",TRIM(INDEX(FORM!$C:$C,ROW())&amp;""))</f>
        <v>1510743</v>
      </c>
      <c r="E132" s="87" t="str">
        <f>IF($A132="","",UPPER(TRIM(INDEX(FORM!$D:$D,ROW()))))</f>
        <v>JEMBRANA</v>
      </c>
      <c r="F132" s="87" t="str">
        <f>IF($A132="","",IFERROR(INDEX(PROGRES!$A$2:$A$92,MATCH(E132,PROGRES!$B$2:$B$92,0)),"-"))</f>
        <v>Luar Pulau</v>
      </c>
      <c r="G132" s="87" t="str">
        <f>IF($A132="","",UPPER(TRIM(INDEX(FORM!$F:$F,ROW()))))</f>
        <v>LUAR PULAU</v>
      </c>
      <c r="H132" s="87" t="str">
        <f>IF($A132="","",UPPER(TRIM(INDEX(FORM!$E:$E,ROW()))))</f>
        <v>CRO</v>
      </c>
      <c r="I132" s="87" t="str">
        <f>IF($A132="","",UPPER(TRIM(INDEX(FORM!$G:$G,ROW()))))</f>
        <v>MUDAH</v>
      </c>
      <c r="J132" s="87" t="str">
        <f>IF($A132="","",IF(ISNUMBER(SEARCH("Ya,",INDEX(FORM!$H:$H,ROW()))),"YA",IF(ISNUMBER(SEARCH("Cukup,",INDEX(FORM!$H:$H,ROW()))),"CUKUP",IF(ISNUMBER(SEARCH("Kurang,",INDEX(FORM!$H:$H,ROW()))),"KURANG",""))))</f>
        <v>YA</v>
      </c>
      <c r="K132" s="87" t="str">
        <f>IF($A132="","",UPPER(TRIM(INDEX(FORM!$J:$J,ROW()))))</f>
        <v>MUDAH</v>
      </c>
      <c r="L132" s="87">
        <f>IF($A132="","",IF(ISNUMBER(SEARCH("Aktivitas Harian",INDEX(FORM!$K:$K,ROW()))),1,0))</f>
        <v>0</v>
      </c>
      <c r="M132" s="87">
        <f>IF($A132="","",IF(ISNUMBER(SEARCH("Aktivitas Mingguan",INDEX(FORM!$K:$K,ROW()))),1,0))</f>
        <v>0</v>
      </c>
      <c r="N132" s="87">
        <f>IF($A132="","",IF(ISNUMBER(SEARCH("Aktivitas Bulanan",INDEX(FORM!$K:$K,ROW()))),1,0))</f>
        <v>1</v>
      </c>
      <c r="O132" s="87">
        <f>IF($A132="","",IF(ISNUMBER(SEARCH("Overview Cabang",INDEX(FORM!$K:$K,ROW()))),1,0))</f>
        <v>0</v>
      </c>
      <c r="P132" s="87">
        <f>IF($A132="","",IFERROR(VLOOKUP(I132,DATA!$AH$9:$AI$13,2,0),""))</f>
        <v>3</v>
      </c>
      <c r="Q132" s="87">
        <f>IF($A132="","",IFERROR(VLOOKUP(J132,DATA!$AH$9:$AI$13,2,0),""))</f>
        <v>3</v>
      </c>
      <c r="R132" s="87">
        <f>IF($A132="","",IFERROR(VLOOKUP(K132,DATA!$AH$9:$AI$13,2,0),""))</f>
        <v>3</v>
      </c>
      <c r="S132" s="89">
        <f t="shared" si="44"/>
        <v>3</v>
      </c>
      <c r="T132" s="87">
        <f>IF($A132="","",IF(COUNTIF($D$2:D132,D132)=1,1,0))</f>
        <v>1</v>
      </c>
      <c r="U132" s="87" t="str">
        <f>IF($A132="","",IF(F132="-","Cabang tdk ada",IF(IFERROR(VLOOKUP(G132,#REF!,1,0),"")="","",IF(INDEX(DATA!$AH$2:$AH$5,MATCH(G132,DATA!$AI$2:$AI$5,0))&lt;&gt;F132,"Wilayah beda","OK"))))</f>
        <v/>
      </c>
      <c r="V132" s="87" t="str">
        <f>IF($A132="","",TRIM(INDEX(FORM!$I:$I,ROW())&amp;""))</f>
        <v>cukup</v>
      </c>
      <c r="W132" s="87" t="str">
        <f>IF($A132="","",TRIM(INDEX(FORM!$L:$L,ROW())&amp;""))</f>
        <v>cukup</v>
      </c>
      <c r="X132" s="87" t="str">
        <f>IF($A132="","",TRIM(INDEX(FORM!$M:$M,ROW())&amp;""))</f>
        <v>cukup</v>
      </c>
      <c r="Y132" s="8">
        <f>IF($A132="","",IFERROR(MATCH(F132,DATA!$AH$2:$AH$5,0),9)*10000+A132)</f>
        <v>40131</v>
      </c>
      <c r="Z132" s="87" t="str">
        <f t="shared" si="45"/>
        <v>Tidak ada masukan / sudah baik</v>
      </c>
      <c r="AA132" s="87" t="str">
        <f t="shared" si="46"/>
        <v>Tidak ada masukan / sudah baik</v>
      </c>
      <c r="AB132" s="87" t="str">
        <f t="shared" si="47"/>
        <v>Tidak ada masukan / sudah baik</v>
      </c>
      <c r="AC132" s="87"/>
      <c r="AD132" s="87"/>
      <c r="AE132" s="87"/>
      <c r="AK132" s="90">
        <f t="shared" si="48"/>
        <v>0</v>
      </c>
      <c r="AL132" s="90">
        <f t="shared" si="49"/>
        <v>0</v>
      </c>
      <c r="AM132" s="90">
        <f t="shared" si="50"/>
        <v>0</v>
      </c>
      <c r="AN132" s="90">
        <f t="shared" si="51"/>
        <v>0</v>
      </c>
      <c r="AO132" s="90">
        <f t="shared" si="52"/>
        <v>0</v>
      </c>
      <c r="AP132" s="90">
        <f t="shared" si="53"/>
        <v>0</v>
      </c>
      <c r="AQ132" s="90">
        <f t="shared" si="54"/>
        <v>0</v>
      </c>
      <c r="AR132" s="90">
        <f t="shared" si="55"/>
        <v>0</v>
      </c>
      <c r="AS132" s="90">
        <f t="shared" si="56"/>
        <v>0</v>
      </c>
      <c r="AT132" s="90">
        <f t="shared" si="57"/>
        <v>0</v>
      </c>
      <c r="AU132" s="90">
        <f t="shared" si="58"/>
        <v>0</v>
      </c>
      <c r="AV132" s="90">
        <f t="shared" si="59"/>
        <v>0</v>
      </c>
      <c r="AW132" s="90">
        <f t="shared" si="60"/>
        <v>0</v>
      </c>
      <c r="AX132" s="90">
        <f t="shared" si="61"/>
        <v>0</v>
      </c>
      <c r="AY132" s="90">
        <f t="shared" si="62"/>
        <v>0</v>
      </c>
      <c r="AZ132" s="90">
        <f t="shared" si="63"/>
        <v>0</v>
      </c>
      <c r="BA132" s="90">
        <f t="shared" si="64"/>
        <v>0</v>
      </c>
      <c r="BB132" s="90">
        <f t="shared" si="65"/>
        <v>0</v>
      </c>
    </row>
    <row r="133" spans="1:54">
      <c r="A133" s="87">
        <f>IF(INDEX(FORM!$A:$A,ROW())="","",ROW()-1)</f>
        <v>132</v>
      </c>
      <c r="B133" s="88">
        <f>IF($A133="","",INDEX(FORM!$A:$A,ROW()))</f>
        <v>46310.700949074097</v>
      </c>
      <c r="C133" s="87" t="str">
        <f>IF($A133="","",TRIM(INDEX(FORM!$B:$B,ROW())))</f>
        <v>Asa Prasetya</v>
      </c>
      <c r="D133" s="87" t="str">
        <f>IF($A133="","",TRIM(INDEX(FORM!$C:$C,ROW())&amp;""))</f>
        <v>1511011</v>
      </c>
      <c r="E133" s="87" t="str">
        <f>IF($A133="","",UPPER(TRIM(INDEX(FORM!$D:$D,ROW()))))</f>
        <v>JOMBANG</v>
      </c>
      <c r="F133" s="87" t="str">
        <f>IF($A133="","",IFERROR(INDEX(PROGRES!$A$2:$A$92,MATCH(E133,PROGRES!$B$2:$B$92,0)),"-"))</f>
        <v>Jawa Timur</v>
      </c>
      <c r="G133" s="87" t="str">
        <f>IF($A133="","",UPPER(TRIM(INDEX(FORM!$F:$F,ROW()))))</f>
        <v>JATIM</v>
      </c>
      <c r="H133" s="87" t="str">
        <f>IF($A133="","",UPPER(TRIM(INDEX(FORM!$E:$E,ROW()))))</f>
        <v>CRO</v>
      </c>
      <c r="I133" s="87" t="str">
        <f>IF($A133="","",UPPER(TRIM(INDEX(FORM!$G:$G,ROW()))))</f>
        <v>MUDAH</v>
      </c>
      <c r="J133" s="87" t="str">
        <f>IF($A133="","",IF(ISNUMBER(SEARCH("Ya,",INDEX(FORM!$H:$H,ROW()))),"YA",IF(ISNUMBER(SEARCH("Cukup,",INDEX(FORM!$H:$H,ROW()))),"CUKUP",IF(ISNUMBER(SEARCH("Kurang,",INDEX(FORM!$H:$H,ROW()))),"KURANG",""))))</f>
        <v>CUKUP</v>
      </c>
      <c r="K133" s="87" t="str">
        <f>IF($A133="","",UPPER(TRIM(INDEX(FORM!$J:$J,ROW()))))</f>
        <v>MUDAH</v>
      </c>
      <c r="L133" s="87">
        <f>IF($A133="","",IF(ISNUMBER(SEARCH("Aktivitas Harian",INDEX(FORM!$K:$K,ROW()))),1,0))</f>
        <v>1</v>
      </c>
      <c r="M133" s="87">
        <f>IF($A133="","",IF(ISNUMBER(SEARCH("Aktivitas Mingguan",INDEX(FORM!$K:$K,ROW()))),1,0))</f>
        <v>0</v>
      </c>
      <c r="N133" s="87">
        <f>IF($A133="","",IF(ISNUMBER(SEARCH("Aktivitas Bulanan",INDEX(FORM!$K:$K,ROW()))),1,0))</f>
        <v>0</v>
      </c>
      <c r="O133" s="87">
        <f>IF($A133="","",IF(ISNUMBER(SEARCH("Overview Cabang",INDEX(FORM!$K:$K,ROW()))),1,0))</f>
        <v>0</v>
      </c>
      <c r="P133" s="87">
        <f>IF($A133="","",IFERROR(VLOOKUP(I133,DATA!$AH$9:$AI$13,2,0),""))</f>
        <v>3</v>
      </c>
      <c r="Q133" s="87">
        <f>IF($A133="","",IFERROR(VLOOKUP(J133,DATA!$AH$9:$AI$13,2,0),""))</f>
        <v>2</v>
      </c>
      <c r="R133" s="87">
        <f>IF($A133="","",IFERROR(VLOOKUP(K133,DATA!$AH$9:$AI$13,2,0),""))</f>
        <v>3</v>
      </c>
      <c r="S133" s="89">
        <f t="shared" si="44"/>
        <v>2.6666666666666665</v>
      </c>
      <c r="T133" s="87">
        <f>IF($A133="","",IF(COUNTIF($D$2:D133,D133)=1,1,0))</f>
        <v>1</v>
      </c>
      <c r="U133" s="87" t="str">
        <f>IF($A133="","",IF(F133="-","Cabang tdk ada",IF(IFERROR(VLOOKUP(G133,#REF!,1,0),"")="","",IF(INDEX(DATA!$AH$2:$AH$5,MATCH(G133,DATA!$AI$2:$AI$5,0))&lt;&gt;F133,"Wilayah beda","OK"))))</f>
        <v/>
      </c>
      <c r="V133" s="87" t="str">
        <f>IF($A133="","",TRIM(INDEX(FORM!$I:$I,ROW())&amp;""))</f>
        <v>Mungkin bisa dioptimalkan ke tampilan mobile supaya lebih nyaman saat dipakai dilapangan</v>
      </c>
      <c r="W133" s="87" t="str">
        <f>IF($A133="","",TRIM(INDEX(FORM!$L:$L,ROW())&amp;""))</f>
        <v>Sudah mencakup secara keseluruhan</v>
      </c>
      <c r="X133" s="87" t="str">
        <f>IF($A133="","",TRIM(INDEX(FORM!$M:$M,ROW())&amp;""))</f>
        <v>Tolong bisa lebih disederhanakan lagi instruksinya dan kasih tampilan search supata teman² lebih mudah mencari materi apa yg dibutuhkan.</v>
      </c>
      <c r="Y133" s="8">
        <f>IF($A133="","",IFERROR(MATCH(F133,DATA!$AH$2:$AH$5,0),9)*10000+A133)</f>
        <v>30132</v>
      </c>
      <c r="Z133" s="87" t="str">
        <f t="shared" si="45"/>
        <v>Tampilan di HP (Responsif)</v>
      </c>
      <c r="AA133" s="87" t="str">
        <f t="shared" si="46"/>
        <v>Tidak ada masukan / sudah baik</v>
      </c>
      <c r="AB133" s="87" t="str">
        <f t="shared" si="47"/>
        <v>Desain Tampilan</v>
      </c>
      <c r="AC133" s="87"/>
      <c r="AD133" s="87"/>
      <c r="AE133" s="87"/>
      <c r="AK133" s="90">
        <f t="shared" si="48"/>
        <v>0</v>
      </c>
      <c r="AL133" s="90">
        <f t="shared" si="49"/>
        <v>1</v>
      </c>
      <c r="AM133" s="90">
        <f t="shared" si="50"/>
        <v>1</v>
      </c>
      <c r="AN133" s="90">
        <f t="shared" si="51"/>
        <v>0</v>
      </c>
      <c r="AO133" s="90">
        <f t="shared" si="52"/>
        <v>0</v>
      </c>
      <c r="AP133" s="90">
        <f t="shared" si="53"/>
        <v>0</v>
      </c>
      <c r="AQ133" s="90">
        <f t="shared" si="54"/>
        <v>0</v>
      </c>
      <c r="AR133" s="90">
        <f t="shared" si="55"/>
        <v>0</v>
      </c>
      <c r="AS133" s="90">
        <f t="shared" si="56"/>
        <v>0</v>
      </c>
      <c r="AT133" s="90">
        <f t="shared" si="57"/>
        <v>0</v>
      </c>
      <c r="AU133" s="90">
        <f t="shared" si="58"/>
        <v>0</v>
      </c>
      <c r="AV133" s="90">
        <f t="shared" si="59"/>
        <v>0</v>
      </c>
      <c r="AW133" s="90">
        <f t="shared" si="60"/>
        <v>0</v>
      </c>
      <c r="AX133" s="90">
        <f t="shared" si="61"/>
        <v>0</v>
      </c>
      <c r="AY133" s="90">
        <f t="shared" si="62"/>
        <v>0</v>
      </c>
      <c r="AZ133" s="90">
        <f t="shared" si="63"/>
        <v>0</v>
      </c>
      <c r="BA133" s="90">
        <f t="shared" si="64"/>
        <v>0</v>
      </c>
      <c r="BB133" s="90">
        <f t="shared" si="65"/>
        <v>1</v>
      </c>
    </row>
    <row r="134" spans="1:54" s="5" customFormat="1" hidden="1">
      <c r="A134" s="8">
        <f>IF(INDEX(FORM!$A:$A,ROW())="","",ROW()-1)</f>
        <v>133</v>
      </c>
      <c r="B134" s="41">
        <f>IF($A134="","",INDEX(FORM!$A:$A,ROW()))</f>
        <v>46310.704108796301</v>
      </c>
      <c r="C134" s="8" t="str">
        <f>IF($A134="","",TRIM(INDEX(FORM!$B:$B,ROW())))</f>
        <v>TRIYANTO</v>
      </c>
      <c r="D134" s="8" t="str">
        <f>IF($A134="","",TRIM(INDEX(FORM!$C:$C,ROW())&amp;""))</f>
        <v>2042</v>
      </c>
      <c r="E134" s="8" t="str">
        <f>IF($A134="","",UPPER(TRIM(INDEX(FORM!$D:$D,ROW()))))</f>
        <v>NGAWI</v>
      </c>
      <c r="F134" s="8" t="str">
        <f>IF($A134="","",IFERROR(INDEX(PROGRES!$A$2:$A$92,MATCH(E134,PROGRES!$B$2:$B$92,0)),"-"))</f>
        <v>Jawa Timur</v>
      </c>
      <c r="G134" s="8" t="str">
        <f>IF($A134="","",UPPER(TRIM(INDEX(FORM!$F:$F,ROW()))))</f>
        <v>JATIM</v>
      </c>
      <c r="H134" s="8" t="str">
        <f>IF($A134="","",UPPER(TRIM(INDEX(FORM!$E:$E,ROW()))))</f>
        <v>BM</v>
      </c>
      <c r="I134" s="8" t="str">
        <f>IF($A134="","",UPPER(TRIM(INDEX(FORM!$G:$G,ROW()))))</f>
        <v>MUDAH</v>
      </c>
      <c r="J134" s="8" t="str">
        <f>IF($A134="","",IF(ISNUMBER(SEARCH("Ya,",INDEX(FORM!$H:$H,ROW()))),"YA",IF(ISNUMBER(SEARCH("Cukup,",INDEX(FORM!$H:$H,ROW()))),"CUKUP",IF(ISNUMBER(SEARCH("Kurang,",INDEX(FORM!$H:$H,ROW()))),"KURANG",""))))</f>
        <v>YA</v>
      </c>
      <c r="K134" s="8" t="str">
        <f>IF($A134="","",UPPER(TRIM(INDEX(FORM!$J:$J,ROW()))))</f>
        <v>CUKUP</v>
      </c>
      <c r="L134" s="8">
        <f>IF($A134="","",IF(ISNUMBER(SEARCH("Aktivitas Harian",INDEX(FORM!$K:$K,ROW()))),1,0))</f>
        <v>1</v>
      </c>
      <c r="M134" s="8">
        <f>IF($A134="","",IF(ISNUMBER(SEARCH("Aktivitas Mingguan",INDEX(FORM!$K:$K,ROW()))),1,0))</f>
        <v>0</v>
      </c>
      <c r="N134" s="8">
        <f>IF($A134="","",IF(ISNUMBER(SEARCH("Aktivitas Bulanan",INDEX(FORM!$K:$K,ROW()))),1,0))</f>
        <v>0</v>
      </c>
      <c r="O134" s="8">
        <f>IF($A134="","",IF(ISNUMBER(SEARCH("Overview Cabang",INDEX(FORM!$K:$K,ROW()))),1,0))</f>
        <v>0</v>
      </c>
      <c r="P134" s="8">
        <f>IF($A134="","",IFERROR(VLOOKUP(I134,DATA!$AH$9:$AI$13,2,0),""))</f>
        <v>3</v>
      </c>
      <c r="Q134" s="8">
        <f>IF($A134="","",IFERROR(VLOOKUP(J134,DATA!$AH$9:$AI$13,2,0),""))</f>
        <v>3</v>
      </c>
      <c r="R134" s="8">
        <f>IF($A134="","",IFERROR(VLOOKUP(K134,DATA!$AH$9:$AI$13,2,0),""))</f>
        <v>2</v>
      </c>
      <c r="S134" s="42">
        <f t="shared" si="44"/>
        <v>2.6666666666666665</v>
      </c>
      <c r="T134" s="8">
        <f>IF($A134="","",IF(COUNTIF($D$2:D134,D134)=1,1,0))</f>
        <v>1</v>
      </c>
      <c r="U134" s="8" t="str">
        <f>IF($A134="","",IF(F134="-","Cabang tdk ada",IF(IFERROR(VLOOKUP(G134,#REF!,1,0),"")="","",IF(INDEX(DATA!$AH$2:$AH$5,MATCH(G134,DATA!$AI$2:$AI$5,0))&lt;&gt;F134,"Wilayah beda","OK"))))</f>
        <v/>
      </c>
      <c r="V134" s="8" t="str">
        <f>IF($A134="","",TRIM(INDEX(FORM!$I:$I,ROW())&amp;""))</f>
        <v>-</v>
      </c>
      <c r="W134" s="8" t="str">
        <f>IF($A134="","",TRIM(INDEX(FORM!$L:$L,ROW())&amp;""))</f>
        <v>-</v>
      </c>
      <c r="X134" s="8" t="str">
        <f>IF($A134="","",TRIM(INDEX(FORM!$M:$M,ROW())&amp;""))</f>
        <v>-</v>
      </c>
      <c r="Y134" s="8">
        <f>IF($A134="","",IFERROR(MATCH(F134,DATA!$AH$2:$AH$5,0),9)*10000+A134)</f>
        <v>30133</v>
      </c>
      <c r="Z134" s="8" t="str">
        <f t="shared" si="45"/>
        <v>Tidak ada masukan / sudah baik</v>
      </c>
      <c r="AA134" s="8" t="str">
        <f t="shared" si="46"/>
        <v>Tidak ada masukan / sudah baik</v>
      </c>
      <c r="AB134" s="8" t="str">
        <f t="shared" si="47"/>
        <v>Tidak ada masukan / sudah baik</v>
      </c>
      <c r="AC134" s="8"/>
      <c r="AD134" s="8"/>
      <c r="AE134" s="8"/>
      <c r="AK134" s="5">
        <f t="shared" si="48"/>
        <v>0</v>
      </c>
      <c r="AL134" s="5">
        <f t="shared" si="49"/>
        <v>0</v>
      </c>
      <c r="AM134" s="5">
        <f t="shared" si="50"/>
        <v>0</v>
      </c>
      <c r="AN134" s="5">
        <f t="shared" si="51"/>
        <v>0</v>
      </c>
      <c r="AO134" s="5">
        <f t="shared" si="52"/>
        <v>0</v>
      </c>
      <c r="AP134" s="5">
        <f t="shared" si="53"/>
        <v>0</v>
      </c>
      <c r="AQ134" s="5">
        <f t="shared" si="54"/>
        <v>0</v>
      </c>
      <c r="AR134" s="5">
        <f t="shared" si="55"/>
        <v>0</v>
      </c>
      <c r="AS134" s="5">
        <f t="shared" si="56"/>
        <v>0</v>
      </c>
      <c r="AT134" s="5">
        <f t="shared" si="57"/>
        <v>0</v>
      </c>
      <c r="AU134" s="5">
        <f t="shared" si="58"/>
        <v>0</v>
      </c>
      <c r="AV134" s="5">
        <f t="shared" si="59"/>
        <v>0</v>
      </c>
      <c r="AW134" s="5">
        <f t="shared" si="60"/>
        <v>0</v>
      </c>
      <c r="AX134" s="5">
        <f t="shared" si="61"/>
        <v>0</v>
      </c>
      <c r="AY134" s="5">
        <f t="shared" si="62"/>
        <v>0</v>
      </c>
      <c r="AZ134" s="5">
        <f t="shared" si="63"/>
        <v>0</v>
      </c>
      <c r="BA134" s="5">
        <f t="shared" si="64"/>
        <v>0</v>
      </c>
      <c r="BB134" s="5">
        <f t="shared" si="65"/>
        <v>0</v>
      </c>
    </row>
    <row r="135" spans="1:54">
      <c r="A135" s="87">
        <f>IF(INDEX(FORM!$A:$A,ROW())="","",ROW()-1)</f>
        <v>134</v>
      </c>
      <c r="B135" s="88">
        <f>IF($A135="","",INDEX(FORM!$A:$A,ROW()))</f>
        <v>46310.714548611097</v>
      </c>
      <c r="C135" s="87" t="str">
        <f>IF($A135="","",TRIM(INDEX(FORM!$B:$B,ROW())))</f>
        <v>REVALDO AKBAR AUDITA</v>
      </c>
      <c r="D135" s="87" t="str">
        <f>IF($A135="","",TRIM(INDEX(FORM!$C:$C,ROW())&amp;""))</f>
        <v>1510712</v>
      </c>
      <c r="E135" s="87" t="str">
        <f>IF($A135="","",UPPER(TRIM(INDEX(FORM!$D:$D,ROW()))))</f>
        <v>DENPASAR</v>
      </c>
      <c r="F135" s="87" t="str">
        <f>IF($A135="","",IFERROR(INDEX(PROGRES!$A$2:$A$92,MATCH(E135,PROGRES!$B$2:$B$92,0)),"-"))</f>
        <v>Luar Pulau</v>
      </c>
      <c r="G135" s="87" t="str">
        <f>IF($A135="","",UPPER(TRIM(INDEX(FORM!$F:$F,ROW()))))</f>
        <v>LUAR PULAU</v>
      </c>
      <c r="H135" s="87" t="str">
        <f>IF($A135="","",UPPER(TRIM(INDEX(FORM!$E:$E,ROW()))))</f>
        <v>CRO</v>
      </c>
      <c r="I135" s="87" t="str">
        <f>IF($A135="","",UPPER(TRIM(INDEX(FORM!$G:$G,ROW()))))</f>
        <v>MUDAH</v>
      </c>
      <c r="J135" s="87" t="str">
        <f>IF($A135="","",IF(ISNUMBER(SEARCH("Ya,",INDEX(FORM!$H:$H,ROW()))),"YA",IF(ISNUMBER(SEARCH("Cukup,",INDEX(FORM!$H:$H,ROW()))),"CUKUP",IF(ISNUMBER(SEARCH("Kurang,",INDEX(FORM!$H:$H,ROW()))),"KURANG",""))))</f>
        <v>CUKUP</v>
      </c>
      <c r="K135" s="87" t="str">
        <f>IF($A135="","",UPPER(TRIM(INDEX(FORM!$J:$J,ROW()))))</f>
        <v>CUKUP</v>
      </c>
      <c r="L135" s="87">
        <f>IF($A135="","",IF(ISNUMBER(SEARCH("Aktivitas Harian",INDEX(FORM!$K:$K,ROW()))),1,0))</f>
        <v>1</v>
      </c>
      <c r="M135" s="87">
        <f>IF($A135="","",IF(ISNUMBER(SEARCH("Aktivitas Mingguan",INDEX(FORM!$K:$K,ROW()))),1,0))</f>
        <v>0</v>
      </c>
      <c r="N135" s="87">
        <f>IF($A135="","",IF(ISNUMBER(SEARCH("Aktivitas Bulanan",INDEX(FORM!$K:$K,ROW()))),1,0))</f>
        <v>0</v>
      </c>
      <c r="O135" s="87">
        <f>IF($A135="","",IF(ISNUMBER(SEARCH("Overview Cabang",INDEX(FORM!$K:$K,ROW()))),1,0))</f>
        <v>0</v>
      </c>
      <c r="P135" s="87">
        <f>IF($A135="","",IFERROR(VLOOKUP(I135,DATA!$AH$9:$AI$13,2,0),""))</f>
        <v>3</v>
      </c>
      <c r="Q135" s="87">
        <f>IF($A135="","",IFERROR(VLOOKUP(J135,DATA!$AH$9:$AI$13,2,0),""))</f>
        <v>2</v>
      </c>
      <c r="R135" s="87">
        <f>IF($A135="","",IFERROR(VLOOKUP(K135,DATA!$AH$9:$AI$13,2,0),""))</f>
        <v>2</v>
      </c>
      <c r="S135" s="89">
        <f t="shared" si="44"/>
        <v>2.3333333333333335</v>
      </c>
      <c r="T135" s="87">
        <f>IF($A135="","",IF(COUNTIF($D$2:D135,D135)=1,1,0))</f>
        <v>1</v>
      </c>
      <c r="U135" s="87" t="str">
        <f>IF($A135="","",IF(F135="-","Cabang tdk ada",IF(IFERROR(VLOOKUP(G135,#REF!,1,0),"")="","",IF(INDEX(DATA!$AH$2:$AH$5,MATCH(G135,DATA!$AI$2:$AI$5,0))&lt;&gt;F135,"Wilayah beda","OK"))))</f>
        <v/>
      </c>
      <c r="V135" s="87" t="str">
        <f>IF($A135="","",TRIM(INDEX(FORM!$I:$I,ROW())&amp;""))</f>
        <v>Lebih user friendly lagi, karena masih banyak bug, terutama saat mode desktop pd handphone</v>
      </c>
      <c r="W135" s="87" t="str">
        <f>IF($A135="","",TRIM(INDEX(FORM!$L:$L,ROW())&amp;""))</f>
        <v>tidak ada</v>
      </c>
      <c r="X135" s="87" t="str">
        <f>IF($A135="","",TRIM(INDEX(FORM!$M:$M,ROW())&amp;""))</f>
        <v>Lebih user frindly lagi untuk dan tampilan atau menu lebih sederhana, namun mencakup banyak materi</v>
      </c>
      <c r="Y135" s="8">
        <f>IF($A135="","",IFERROR(MATCH(F135,DATA!$AH$2:$AH$5,0),9)*10000+A135)</f>
        <v>40134</v>
      </c>
      <c r="Z135" s="87" t="str">
        <f t="shared" si="45"/>
        <v>Desain, Warna &amp; Font</v>
      </c>
      <c r="AA135" s="87" t="str">
        <f t="shared" si="46"/>
        <v>Tidak ada masukan / sudah baik</v>
      </c>
      <c r="AB135" s="87" t="str">
        <f t="shared" si="47"/>
        <v>Desain Tampilan</v>
      </c>
      <c r="AC135" s="87"/>
      <c r="AD135" s="87"/>
      <c r="AE135" s="87"/>
      <c r="AK135" s="90">
        <f t="shared" si="48"/>
        <v>0</v>
      </c>
      <c r="AL135" s="90">
        <f t="shared" si="49"/>
        <v>0</v>
      </c>
      <c r="AM135" s="90">
        <f t="shared" si="50"/>
        <v>1</v>
      </c>
      <c r="AN135" s="90">
        <f t="shared" si="51"/>
        <v>0</v>
      </c>
      <c r="AO135" s="90">
        <f t="shared" si="52"/>
        <v>0</v>
      </c>
      <c r="AP135" s="90">
        <f t="shared" si="53"/>
        <v>0</v>
      </c>
      <c r="AQ135" s="90">
        <f t="shared" si="54"/>
        <v>0</v>
      </c>
      <c r="AR135" s="90">
        <f t="shared" si="55"/>
        <v>0</v>
      </c>
      <c r="AS135" s="90">
        <f t="shared" si="56"/>
        <v>0</v>
      </c>
      <c r="AT135" s="90">
        <f t="shared" si="57"/>
        <v>0</v>
      </c>
      <c r="AU135" s="90">
        <f t="shared" si="58"/>
        <v>0</v>
      </c>
      <c r="AV135" s="90">
        <f t="shared" si="59"/>
        <v>0</v>
      </c>
      <c r="AW135" s="90">
        <f t="shared" si="60"/>
        <v>0</v>
      </c>
      <c r="AX135" s="90">
        <f t="shared" si="61"/>
        <v>0</v>
      </c>
      <c r="AY135" s="90">
        <f t="shared" si="62"/>
        <v>0</v>
      </c>
      <c r="AZ135" s="90">
        <f t="shared" si="63"/>
        <v>0</v>
      </c>
      <c r="BA135" s="90">
        <f t="shared" si="64"/>
        <v>0</v>
      </c>
      <c r="BB135" s="90">
        <f t="shared" si="65"/>
        <v>1</v>
      </c>
    </row>
    <row r="136" spans="1:54" s="5" customFormat="1" hidden="1">
      <c r="A136" s="8">
        <f>IF(INDEX(FORM!$A:$A,ROW())="","",ROW()-1)</f>
        <v>135</v>
      </c>
      <c r="B136" s="41">
        <f>IF($A136="","",INDEX(FORM!$A:$A,ROW()))</f>
        <v>46310.714583333298</v>
      </c>
      <c r="C136" s="8" t="str">
        <f>IF($A136="","",TRIM(INDEX(FORM!$B:$B,ROW())))</f>
        <v>M. ASHIF UBAIDILLAH AL KAHFI</v>
      </c>
      <c r="D136" s="8" t="str">
        <f>IF($A136="","",TRIM(INDEX(FORM!$C:$C,ROW())&amp;""))</f>
        <v>1510781</v>
      </c>
      <c r="E136" s="8" t="str">
        <f>IF($A136="","",UPPER(TRIM(INDEX(FORM!$D:$D,ROW()))))</f>
        <v>TUBAN</v>
      </c>
      <c r="F136" s="8" t="str">
        <f>IF($A136="","",IFERROR(INDEX(PROGRES!$A$2:$A$92,MATCH(E136,PROGRES!$B$2:$B$92,0)),"-"))</f>
        <v>Jawa Timur</v>
      </c>
      <c r="G136" s="8" t="str">
        <f>IF($A136="","",UPPER(TRIM(INDEX(FORM!$F:$F,ROW()))))</f>
        <v>JATIM</v>
      </c>
      <c r="H136" s="8" t="str">
        <f>IF($A136="","",UPPER(TRIM(INDEX(FORM!$E:$E,ROW()))))</f>
        <v>BAO</v>
      </c>
      <c r="I136" s="8" t="str">
        <f>IF($A136="","",UPPER(TRIM(INDEX(FORM!$G:$G,ROW()))))</f>
        <v>MUDAH</v>
      </c>
      <c r="J136" s="8" t="str">
        <f>IF($A136="","",IF(ISNUMBER(SEARCH("Ya,",INDEX(FORM!$H:$H,ROW()))),"YA",IF(ISNUMBER(SEARCH("Cukup,",INDEX(FORM!$H:$H,ROW()))),"CUKUP",IF(ISNUMBER(SEARCH("Kurang,",INDEX(FORM!$H:$H,ROW()))),"KURANG",""))))</f>
        <v>YA</v>
      </c>
      <c r="K136" s="8" t="str">
        <f>IF($A136="","",UPPER(TRIM(INDEX(FORM!$J:$J,ROW()))))</f>
        <v>CUKUP</v>
      </c>
      <c r="L136" s="8">
        <f>IF($A136="","",IF(ISNUMBER(SEARCH("Aktivitas Harian",INDEX(FORM!$K:$K,ROW()))),1,0))</f>
        <v>1</v>
      </c>
      <c r="M136" s="8">
        <f>IF($A136="","",IF(ISNUMBER(SEARCH("Aktivitas Mingguan",INDEX(FORM!$K:$K,ROW()))),1,0))</f>
        <v>0</v>
      </c>
      <c r="N136" s="8">
        <f>IF($A136="","",IF(ISNUMBER(SEARCH("Aktivitas Bulanan",INDEX(FORM!$K:$K,ROW()))),1,0))</f>
        <v>0</v>
      </c>
      <c r="O136" s="8">
        <f>IF($A136="","",IF(ISNUMBER(SEARCH("Overview Cabang",INDEX(FORM!$K:$K,ROW()))),1,0))</f>
        <v>0</v>
      </c>
      <c r="P136" s="8">
        <f>IF($A136="","",IFERROR(VLOOKUP(I136,DATA!$AH$9:$AI$13,2,0),""))</f>
        <v>3</v>
      </c>
      <c r="Q136" s="8">
        <f>IF($A136="","",IFERROR(VLOOKUP(J136,DATA!$AH$9:$AI$13,2,0),""))</f>
        <v>3</v>
      </c>
      <c r="R136" s="8">
        <f>IF($A136="","",IFERROR(VLOOKUP(K136,DATA!$AH$9:$AI$13,2,0),""))</f>
        <v>2</v>
      </c>
      <c r="S136" s="42">
        <f t="shared" si="44"/>
        <v>2.6666666666666665</v>
      </c>
      <c r="T136" s="8">
        <f>IF($A136="","",IF(COUNTIF($D$2:D136,D136)=1,1,0))</f>
        <v>1</v>
      </c>
      <c r="U136" s="8" t="str">
        <f>IF($A136="","",IF(F136="-","Cabang tdk ada",IF(IFERROR(VLOOKUP(G136,#REF!,1,0),"")="","",IF(INDEX(DATA!$AH$2:$AH$5,MATCH(G136,DATA!$AI$2:$AI$5,0))&lt;&gt;F136,"Wilayah beda","OK"))))</f>
        <v/>
      </c>
      <c r="V136" s="8" t="str">
        <f>IF($A136="","",TRIM(INDEX(FORM!$I:$I,ROW())&amp;""))</f>
        <v>Untuk gambar mungkin bisa diganti dengan gambar karyawan SID agar lebih tampak nyata. Ada beberapa typo di web misalnya: BAB IX - Mengajukan Draping Kas Operasional Jika Saldo Mencapai Limit 40% dari D Plafon Kas Operasional</v>
      </c>
      <c r="W136" s="8" t="str">
        <f>IF($A136="","",TRIM(INDEX(FORM!$L:$L,ROW())&amp;""))</f>
        <v>Saya belum membaca secara keseluruhan, nanti kl ada yg kurang akan saya tambahkan</v>
      </c>
      <c r="X136" s="8" t="str">
        <f>IF($A136="","",TRIM(INDEX(FORM!$M:$M,ROW())&amp;""))</f>
        <v>Mungkin dibagian home page ada bagian kritik dan saran, jadi apabila ada uneg-uneg dari teman-teman bisa di sampaikan</v>
      </c>
      <c r="Y136" s="8">
        <f>IF($A136="","",IFERROR(MATCH(F136,DATA!$AH$2:$AH$5,0),9)*10000+A136)</f>
        <v>30135</v>
      </c>
      <c r="Z136" s="8" t="str">
        <f t="shared" si="45"/>
        <v>Tambah Video / Bagan</v>
      </c>
      <c r="AA136" s="8" t="str">
        <f t="shared" si="46"/>
        <v>Tidak ada masukan / sudah baik</v>
      </c>
      <c r="AB136" s="8" t="str">
        <f t="shared" si="47"/>
        <v>Lainnya (perlu dibaca manual)</v>
      </c>
      <c r="AC136" s="8"/>
      <c r="AD136" s="8"/>
      <c r="AE136" s="8"/>
      <c r="AK136" s="5">
        <f t="shared" si="48"/>
        <v>0</v>
      </c>
      <c r="AL136" s="5">
        <f t="shared" si="49"/>
        <v>0</v>
      </c>
      <c r="AM136" s="5">
        <f t="shared" si="50"/>
        <v>0</v>
      </c>
      <c r="AN136" s="5">
        <f t="shared" si="51"/>
        <v>0</v>
      </c>
      <c r="AO136" s="5">
        <f t="shared" si="52"/>
        <v>0</v>
      </c>
      <c r="AP136" s="5">
        <f t="shared" si="53"/>
        <v>0</v>
      </c>
      <c r="AQ136" s="5">
        <f t="shared" si="54"/>
        <v>0</v>
      </c>
      <c r="AR136" s="5">
        <f t="shared" si="55"/>
        <v>0</v>
      </c>
      <c r="AS136" s="5">
        <f t="shared" si="56"/>
        <v>1</v>
      </c>
      <c r="AT136" s="5">
        <f t="shared" si="57"/>
        <v>0</v>
      </c>
      <c r="AU136" s="5">
        <f t="shared" si="58"/>
        <v>0</v>
      </c>
      <c r="AV136" s="5">
        <f t="shared" si="59"/>
        <v>0</v>
      </c>
      <c r="AW136" s="5">
        <f t="shared" si="60"/>
        <v>0</v>
      </c>
      <c r="AX136" s="5">
        <f t="shared" si="61"/>
        <v>0</v>
      </c>
      <c r="AY136" s="5">
        <f t="shared" si="62"/>
        <v>0</v>
      </c>
      <c r="AZ136" s="5">
        <f t="shared" si="63"/>
        <v>0</v>
      </c>
      <c r="BA136" s="5">
        <f t="shared" si="64"/>
        <v>1</v>
      </c>
      <c r="BB136" s="5">
        <f t="shared" si="65"/>
        <v>1</v>
      </c>
    </row>
    <row r="137" spans="1:54">
      <c r="A137" s="87">
        <f>IF(INDEX(FORM!$A:$A,ROW())="","",ROW()-1)</f>
        <v>136</v>
      </c>
      <c r="B137" s="88">
        <f>IF($A137="","",INDEX(FORM!$A:$A,ROW()))</f>
        <v>46310.715798611098</v>
      </c>
      <c r="C137" s="87" t="str">
        <f>IF($A137="","",TRIM(INDEX(FORM!$B:$B,ROW())))</f>
        <v>Dedi Putra Himawan</v>
      </c>
      <c r="D137" s="87" t="str">
        <f>IF($A137="","",TRIM(INDEX(FORM!$C:$C,ROW())&amp;""))</f>
        <v>1510582</v>
      </c>
      <c r="E137" s="87" t="str">
        <f>IF($A137="","",UPPER(TRIM(INDEX(FORM!$D:$D,ROW()))))</f>
        <v>DENPASAR</v>
      </c>
      <c r="F137" s="87" t="str">
        <f>IF($A137="","",IFERROR(INDEX(PROGRES!$A$2:$A$92,MATCH(E137,PROGRES!$B$2:$B$92,0)),"-"))</f>
        <v>Luar Pulau</v>
      </c>
      <c r="G137" s="87" t="str">
        <f>IF($A137="","",UPPER(TRIM(INDEX(FORM!$F:$F,ROW()))))</f>
        <v>LUAR PULAU</v>
      </c>
      <c r="H137" s="87" t="str">
        <f>IF($A137="","",UPPER(TRIM(INDEX(FORM!$E:$E,ROW()))))</f>
        <v>CRO</v>
      </c>
      <c r="I137" s="87" t="str">
        <f>IF($A137="","",UPPER(TRIM(INDEX(FORM!$G:$G,ROW()))))</f>
        <v>MUDAH</v>
      </c>
      <c r="J137" s="87" t="str">
        <f>IF($A137="","",IF(ISNUMBER(SEARCH("Ya,",INDEX(FORM!$H:$H,ROW()))),"YA",IF(ISNUMBER(SEARCH("Cukup,",INDEX(FORM!$H:$H,ROW()))),"CUKUP",IF(ISNUMBER(SEARCH("Kurang,",INDEX(FORM!$H:$H,ROW()))),"KURANG",""))))</f>
        <v>YA</v>
      </c>
      <c r="K137" s="87" t="str">
        <f>IF($A137="","",UPPER(TRIM(INDEX(FORM!$J:$J,ROW()))))</f>
        <v>MUDAH</v>
      </c>
      <c r="L137" s="87">
        <f>IF($A137="","",IF(ISNUMBER(SEARCH("Aktivitas Harian",INDEX(FORM!$K:$K,ROW()))),1,0))</f>
        <v>1</v>
      </c>
      <c r="M137" s="87">
        <f>IF($A137="","",IF(ISNUMBER(SEARCH("Aktivitas Mingguan",INDEX(FORM!$K:$K,ROW()))),1,0))</f>
        <v>0</v>
      </c>
      <c r="N137" s="87">
        <f>IF($A137="","",IF(ISNUMBER(SEARCH("Aktivitas Bulanan",INDEX(FORM!$K:$K,ROW()))),1,0))</f>
        <v>0</v>
      </c>
      <c r="O137" s="87">
        <f>IF($A137="","",IF(ISNUMBER(SEARCH("Overview Cabang",INDEX(FORM!$K:$K,ROW()))),1,0))</f>
        <v>0</v>
      </c>
      <c r="P137" s="87">
        <f>IF($A137="","",IFERROR(VLOOKUP(I137,DATA!$AH$9:$AI$13,2,0),""))</f>
        <v>3</v>
      </c>
      <c r="Q137" s="87">
        <f>IF($A137="","",IFERROR(VLOOKUP(J137,DATA!$AH$9:$AI$13,2,0),""))</f>
        <v>3</v>
      </c>
      <c r="R137" s="87">
        <f>IF($A137="","",IFERROR(VLOOKUP(K137,DATA!$AH$9:$AI$13,2,0),""))</f>
        <v>3</v>
      </c>
      <c r="S137" s="89">
        <f t="shared" si="44"/>
        <v>3</v>
      </c>
      <c r="T137" s="87">
        <f>IF($A137="","",IF(COUNTIF($D$2:D137,D137)=1,1,0))</f>
        <v>1</v>
      </c>
      <c r="U137" s="87" t="str">
        <f>IF($A137="","",IF(F137="-","Cabang tdk ada",IF(IFERROR(VLOOKUP(G137,#REF!,1,0),"")="","",IF(INDEX(DATA!$AH$2:$AH$5,MATCH(G137,DATA!$AI$2:$AI$5,0))&lt;&gt;F137,"Wilayah beda","OK"))))</f>
        <v/>
      </c>
      <c r="V137" s="87" t="str">
        <f>IF($A137="","",TRIM(INDEX(FORM!$I:$I,ROW())&amp;""))</f>
        <v>-</v>
      </c>
      <c r="W137" s="87" t="str">
        <f>IF($A137="","",TRIM(INDEX(FORM!$L:$L,ROW())&amp;""))</f>
        <v>Tidak</v>
      </c>
      <c r="X137" s="87" t="str">
        <f>IF($A137="","",TRIM(INDEX(FORM!$M:$M,ROW())&amp;""))</f>
        <v>-</v>
      </c>
      <c r="Y137" s="8">
        <f>IF($A137="","",IFERROR(MATCH(F137,DATA!$AH$2:$AH$5,0),9)*10000+A137)</f>
        <v>40136</v>
      </c>
      <c r="Z137" s="87" t="str">
        <f t="shared" si="45"/>
        <v>Tidak ada masukan / sudah baik</v>
      </c>
      <c r="AA137" s="87" t="str">
        <f t="shared" si="46"/>
        <v>Tidak ada masukan / sudah baik</v>
      </c>
      <c r="AB137" s="87" t="str">
        <f t="shared" si="47"/>
        <v>Tidak ada masukan / sudah baik</v>
      </c>
      <c r="AC137" s="87"/>
      <c r="AD137" s="87"/>
      <c r="AE137" s="87"/>
      <c r="AK137" s="90">
        <f t="shared" si="48"/>
        <v>0</v>
      </c>
      <c r="AL137" s="90">
        <f t="shared" si="49"/>
        <v>0</v>
      </c>
      <c r="AM137" s="90">
        <f t="shared" si="50"/>
        <v>0</v>
      </c>
      <c r="AN137" s="90">
        <f t="shared" si="51"/>
        <v>0</v>
      </c>
      <c r="AO137" s="90">
        <f t="shared" si="52"/>
        <v>0</v>
      </c>
      <c r="AP137" s="90">
        <f t="shared" si="53"/>
        <v>0</v>
      </c>
      <c r="AQ137" s="90">
        <f t="shared" si="54"/>
        <v>0</v>
      </c>
      <c r="AR137" s="90">
        <f t="shared" si="55"/>
        <v>0</v>
      </c>
      <c r="AS137" s="90">
        <f t="shared" si="56"/>
        <v>0</v>
      </c>
      <c r="AT137" s="90">
        <f t="shared" si="57"/>
        <v>0</v>
      </c>
      <c r="AU137" s="90">
        <f t="shared" si="58"/>
        <v>0</v>
      </c>
      <c r="AV137" s="90">
        <f t="shared" si="59"/>
        <v>0</v>
      </c>
      <c r="AW137" s="90">
        <f t="shared" si="60"/>
        <v>0</v>
      </c>
      <c r="AX137" s="90">
        <f t="shared" si="61"/>
        <v>0</v>
      </c>
      <c r="AY137" s="90">
        <f t="shared" si="62"/>
        <v>0</v>
      </c>
      <c r="AZ137" s="90">
        <f t="shared" si="63"/>
        <v>0</v>
      </c>
      <c r="BA137" s="90">
        <f t="shared" si="64"/>
        <v>0</v>
      </c>
      <c r="BB137" s="90">
        <f t="shared" si="65"/>
        <v>0</v>
      </c>
    </row>
    <row r="138" spans="1:54" s="5" customFormat="1" hidden="1">
      <c r="A138" s="8">
        <f>IF(INDEX(FORM!$A:$A,ROW())="","",ROW()-1)</f>
        <v>137</v>
      </c>
      <c r="B138" s="41">
        <f>IF($A138="","",INDEX(FORM!$A:$A,ROW()))</f>
        <v>46310.715949074103</v>
      </c>
      <c r="C138" s="8" t="str">
        <f>IF($A138="","",TRIM(INDEX(FORM!$B:$B,ROW())))</f>
        <v>Muhammad ainur rofiq</v>
      </c>
      <c r="D138" s="8" t="str">
        <f>IF($A138="","",TRIM(INDEX(FORM!$C:$C,ROW())&amp;""))</f>
        <v>1510981</v>
      </c>
      <c r="E138" s="8" t="str">
        <f>IF($A138="","",UPPER(TRIM(INDEX(FORM!$D:$D,ROW()))))</f>
        <v>PALUR</v>
      </c>
      <c r="F138" s="8" t="str">
        <f>IF($A138="","",IFERROR(INDEX(PROGRES!$A$2:$A$92,MATCH(E138,PROGRES!$B$2:$B$92,0)),"-"))</f>
        <v>Jawa Tengah</v>
      </c>
      <c r="G138" s="8" t="str">
        <f>IF($A138="","",UPPER(TRIM(INDEX(FORM!$F:$F,ROW()))))</f>
        <v>JATENG DIY</v>
      </c>
      <c r="H138" s="8" t="str">
        <f>IF($A138="","",UPPER(TRIM(INDEX(FORM!$E:$E,ROW()))))</f>
        <v>BM</v>
      </c>
      <c r="I138" s="8" t="str">
        <f>IF($A138="","",UPPER(TRIM(INDEX(FORM!$G:$G,ROW()))))</f>
        <v>MUDAH</v>
      </c>
      <c r="J138" s="8" t="str">
        <f>IF($A138="","",IF(ISNUMBER(SEARCH("Ya,",INDEX(FORM!$H:$H,ROW()))),"YA",IF(ISNUMBER(SEARCH("Cukup,",INDEX(FORM!$H:$H,ROW()))),"CUKUP",IF(ISNUMBER(SEARCH("Kurang,",INDEX(FORM!$H:$H,ROW()))),"KURANG",""))))</f>
        <v>YA</v>
      </c>
      <c r="K138" s="8" t="str">
        <f>IF($A138="","",UPPER(TRIM(INDEX(FORM!$J:$J,ROW()))))</f>
        <v>MUDAH</v>
      </c>
      <c r="L138" s="8">
        <f>IF($A138="","",IF(ISNUMBER(SEARCH("Aktivitas Harian",INDEX(FORM!$K:$K,ROW()))),1,0))</f>
        <v>1</v>
      </c>
      <c r="M138" s="8">
        <f>IF($A138="","",IF(ISNUMBER(SEARCH("Aktivitas Mingguan",INDEX(FORM!$K:$K,ROW()))),1,0))</f>
        <v>0</v>
      </c>
      <c r="N138" s="8">
        <f>IF($A138="","",IF(ISNUMBER(SEARCH("Aktivitas Bulanan",INDEX(FORM!$K:$K,ROW()))),1,0))</f>
        <v>0</v>
      </c>
      <c r="O138" s="8">
        <f>IF($A138="","",IF(ISNUMBER(SEARCH("Overview Cabang",INDEX(FORM!$K:$K,ROW()))),1,0))</f>
        <v>0</v>
      </c>
      <c r="P138" s="8">
        <f>IF($A138="","",IFERROR(VLOOKUP(I138,DATA!$AH$9:$AI$13,2,0),""))</f>
        <v>3</v>
      </c>
      <c r="Q138" s="8">
        <f>IF($A138="","",IFERROR(VLOOKUP(J138,DATA!$AH$9:$AI$13,2,0),""))</f>
        <v>3</v>
      </c>
      <c r="R138" s="8">
        <f>IF($A138="","",IFERROR(VLOOKUP(K138,DATA!$AH$9:$AI$13,2,0),""))</f>
        <v>3</v>
      </c>
      <c r="S138" s="42">
        <f t="shared" si="44"/>
        <v>3</v>
      </c>
      <c r="T138" s="8">
        <f>IF($A138="","",IF(COUNTIF($D$2:D138,D138)=1,1,0))</f>
        <v>1</v>
      </c>
      <c r="U138" s="8" t="str">
        <f>IF($A138="","",IF(F138="-","Cabang tdk ada",IF(IFERROR(VLOOKUP(G138,#REF!,1,0),"")="","",IF(INDEX(DATA!$AH$2:$AH$5,MATCH(G138,DATA!$AI$2:$AI$5,0))&lt;&gt;F138,"Wilayah beda","OK"))))</f>
        <v/>
      </c>
      <c r="V138" s="8" t="str">
        <f>IF($A138="","",TRIM(INDEX(FORM!$I:$I,ROW())&amp;""))</f>
        <v>Sudah cukup mudah di pahami</v>
      </c>
      <c r="W138" s="8" t="str">
        <f>IF($A138="","",TRIM(INDEX(FORM!$L:$L,ROW())&amp;""))</f>
        <v>Sudah tercakup</v>
      </c>
      <c r="X138" s="8" t="str">
        <f>IF($A138="","",TRIM(INDEX(FORM!$M:$M,ROW())&amp;""))</f>
        <v>Mungkin lebih di optimalkan lagi untuk semua device</v>
      </c>
      <c r="Y138" s="8">
        <f>IF($A138="","",IFERROR(MATCH(F138,DATA!$AH$2:$AH$5,0),9)*10000+A138)</f>
        <v>20137</v>
      </c>
      <c r="Z138" s="8" t="str">
        <f t="shared" si="45"/>
        <v>Tidak ada masukan / sudah baik</v>
      </c>
      <c r="AA138" s="8" t="str">
        <f t="shared" si="46"/>
        <v>Tidak ada masukan / sudah baik</v>
      </c>
      <c r="AB138" s="8" t="str">
        <f t="shared" si="47"/>
        <v>Tidak ada masukan / sudah baik</v>
      </c>
      <c r="AC138" s="8"/>
      <c r="AD138" s="8"/>
      <c r="AE138" s="8"/>
      <c r="AK138" s="5">
        <f t="shared" si="48"/>
        <v>0</v>
      </c>
      <c r="AL138" s="5">
        <f t="shared" si="49"/>
        <v>0</v>
      </c>
      <c r="AM138" s="5">
        <f t="shared" si="50"/>
        <v>0</v>
      </c>
      <c r="AN138" s="5">
        <f t="shared" si="51"/>
        <v>0</v>
      </c>
      <c r="AO138" s="5">
        <f t="shared" si="52"/>
        <v>0</v>
      </c>
      <c r="AP138" s="5">
        <f t="shared" si="53"/>
        <v>0</v>
      </c>
      <c r="AQ138" s="5">
        <f t="shared" si="54"/>
        <v>0</v>
      </c>
      <c r="AR138" s="5">
        <f t="shared" si="55"/>
        <v>0</v>
      </c>
      <c r="AS138" s="5">
        <f t="shared" si="56"/>
        <v>0</v>
      </c>
      <c r="AT138" s="5">
        <f t="shared" si="57"/>
        <v>0</v>
      </c>
      <c r="AU138" s="5">
        <f t="shared" si="58"/>
        <v>0</v>
      </c>
      <c r="AV138" s="5">
        <f t="shared" si="59"/>
        <v>0</v>
      </c>
      <c r="AW138" s="5">
        <f t="shared" si="60"/>
        <v>0</v>
      </c>
      <c r="AX138" s="5">
        <f t="shared" si="61"/>
        <v>0</v>
      </c>
      <c r="AY138" s="5">
        <f t="shared" si="62"/>
        <v>0</v>
      </c>
      <c r="AZ138" s="5">
        <f t="shared" si="63"/>
        <v>0</v>
      </c>
      <c r="BA138" s="5">
        <f t="shared" si="64"/>
        <v>0</v>
      </c>
      <c r="BB138" s="5">
        <f t="shared" si="65"/>
        <v>0</v>
      </c>
    </row>
    <row r="139" spans="1:54" s="5" customFormat="1" hidden="1">
      <c r="A139" s="8">
        <f>IF(INDEX(FORM!$A:$A,ROW())="","",ROW()-1)</f>
        <v>138</v>
      </c>
      <c r="B139" s="41">
        <f>IF($A139="","",INDEX(FORM!$A:$A,ROW()))</f>
        <v>46310.717708333301</v>
      </c>
      <c r="C139" s="8" t="str">
        <f>IF($A139="","",TRIM(INDEX(FORM!$B:$B,ROW())))</f>
        <v>Hanif Buntoro</v>
      </c>
      <c r="D139" s="8" t="str">
        <f>IF($A139="","",TRIM(INDEX(FORM!$C:$C,ROW())&amp;""))</f>
        <v>80438</v>
      </c>
      <c r="E139" s="8" t="str">
        <f>IF($A139="","",UPPER(TRIM(INDEX(FORM!$D:$D,ROW()))))</f>
        <v>SUKOHARJO</v>
      </c>
      <c r="F139" s="8" t="str">
        <f>IF($A139="","",IFERROR(INDEX(PROGRES!$A$2:$A$92,MATCH(E139,PROGRES!$B$2:$B$92,0)),"-"))</f>
        <v>Jawa Tengah</v>
      </c>
      <c r="G139" s="8" t="str">
        <f>IF($A139="","",UPPER(TRIM(INDEX(FORM!$F:$F,ROW()))))</f>
        <v>JATENG DIY</v>
      </c>
      <c r="H139" s="8" t="str">
        <f>IF($A139="","",UPPER(TRIM(INDEX(FORM!$E:$E,ROW()))))</f>
        <v>BM</v>
      </c>
      <c r="I139" s="8" t="str">
        <f>IF($A139="","",UPPER(TRIM(INDEX(FORM!$G:$G,ROW()))))</f>
        <v>MUDAH</v>
      </c>
      <c r="J139" s="8" t="str">
        <f>IF($A139="","",IF(ISNUMBER(SEARCH("Ya,",INDEX(FORM!$H:$H,ROW()))),"YA",IF(ISNUMBER(SEARCH("Cukup,",INDEX(FORM!$H:$H,ROW()))),"CUKUP",IF(ISNUMBER(SEARCH("Kurang,",INDEX(FORM!$H:$H,ROW()))),"KURANG",""))))</f>
        <v>YA</v>
      </c>
      <c r="K139" s="8" t="str">
        <f>IF($A139="","",UPPER(TRIM(INDEX(FORM!$J:$J,ROW()))))</f>
        <v>MUDAH</v>
      </c>
      <c r="L139" s="8">
        <f>IF($A139="","",IF(ISNUMBER(SEARCH("Aktivitas Harian",INDEX(FORM!$K:$K,ROW()))),1,0))</f>
        <v>0</v>
      </c>
      <c r="M139" s="8">
        <f>IF($A139="","",IF(ISNUMBER(SEARCH("Aktivitas Mingguan",INDEX(FORM!$K:$K,ROW()))),1,0))</f>
        <v>0</v>
      </c>
      <c r="N139" s="8">
        <f>IF($A139="","",IF(ISNUMBER(SEARCH("Aktivitas Bulanan",INDEX(FORM!$K:$K,ROW()))),1,0))</f>
        <v>0</v>
      </c>
      <c r="O139" s="8">
        <f>IF($A139="","",IF(ISNUMBER(SEARCH("Overview Cabang",INDEX(FORM!$K:$K,ROW()))),1,0))</f>
        <v>1</v>
      </c>
      <c r="P139" s="8">
        <f>IF($A139="","",IFERROR(VLOOKUP(I139,DATA!$AH$9:$AI$13,2,0),""))</f>
        <v>3</v>
      </c>
      <c r="Q139" s="8">
        <f>IF($A139="","",IFERROR(VLOOKUP(J139,DATA!$AH$9:$AI$13,2,0),""))</f>
        <v>3</v>
      </c>
      <c r="R139" s="8">
        <f>IF($A139="","",IFERROR(VLOOKUP(K139,DATA!$AH$9:$AI$13,2,0),""))</f>
        <v>3</v>
      </c>
      <c r="S139" s="42">
        <f t="shared" si="44"/>
        <v>3</v>
      </c>
      <c r="T139" s="8">
        <f>IF($A139="","",IF(COUNTIF($D$2:D139,D139)=1,1,0))</f>
        <v>1</v>
      </c>
      <c r="U139" s="8" t="str">
        <f>IF($A139="","",IF(F139="-","Cabang tdk ada",IF(IFERROR(VLOOKUP(G139,#REF!,1,0),"")="","",IF(INDEX(DATA!$AH$2:$AH$5,MATCH(G139,DATA!$AI$2:$AI$5,0))&lt;&gt;F139,"Wilayah beda","OK"))))</f>
        <v/>
      </c>
      <c r="V139" s="8" t="str">
        <f>IF($A139="","",TRIM(INDEX(FORM!$I:$I,ROW())&amp;""))</f>
        <v>Sudah baik, mudah dipahami.</v>
      </c>
      <c r="W139" s="8" t="str">
        <f>IF($A139="","",TRIM(INDEX(FORM!$L:$L,ROW())&amp;""))</f>
        <v>Sudah lengkap.</v>
      </c>
      <c r="X139" s="8" t="str">
        <f>IF($A139="","",TRIM(INDEX(FORM!$M:$M,ROW())&amp;""))</f>
        <v>Sudah baik, mohon di update jika nantinya ada perubahan dan perkembangan.</v>
      </c>
      <c r="Y139" s="8">
        <f>IF($A139="","",IFERROR(MATCH(F139,DATA!$AH$2:$AH$5,0),9)*10000+A139)</f>
        <v>20138</v>
      </c>
      <c r="Z139" s="8" t="str">
        <f t="shared" si="45"/>
        <v>Tidak ada masukan / sudah baik</v>
      </c>
      <c r="AA139" s="8" t="str">
        <f t="shared" si="46"/>
        <v>Tidak ada masukan / sudah baik</v>
      </c>
      <c r="AB139" s="8" t="str">
        <f t="shared" si="47"/>
        <v>Update Informasi Berkala</v>
      </c>
      <c r="AC139" s="8"/>
      <c r="AD139" s="8"/>
      <c r="AE139" s="8"/>
      <c r="AK139" s="5">
        <f t="shared" si="48"/>
        <v>0</v>
      </c>
      <c r="AL139" s="5">
        <f t="shared" si="49"/>
        <v>0</v>
      </c>
      <c r="AM139" s="5">
        <f t="shared" si="50"/>
        <v>0</v>
      </c>
      <c r="AN139" s="5">
        <f t="shared" si="51"/>
        <v>0</v>
      </c>
      <c r="AO139" s="5">
        <f t="shared" si="52"/>
        <v>0</v>
      </c>
      <c r="AP139" s="5">
        <f t="shared" si="53"/>
        <v>0</v>
      </c>
      <c r="AQ139" s="5">
        <f t="shared" si="54"/>
        <v>0</v>
      </c>
      <c r="AR139" s="5">
        <f t="shared" si="55"/>
        <v>0</v>
      </c>
      <c r="AS139" s="5">
        <f t="shared" si="56"/>
        <v>0</v>
      </c>
      <c r="AT139" s="5">
        <f t="shared" si="57"/>
        <v>0</v>
      </c>
      <c r="AU139" s="5">
        <f t="shared" si="58"/>
        <v>1</v>
      </c>
      <c r="AV139" s="5">
        <f t="shared" si="59"/>
        <v>0</v>
      </c>
      <c r="AW139" s="5">
        <f t="shared" si="60"/>
        <v>0</v>
      </c>
      <c r="AX139" s="5">
        <f t="shared" si="61"/>
        <v>0</v>
      </c>
      <c r="AY139" s="5">
        <f t="shared" si="62"/>
        <v>0</v>
      </c>
      <c r="AZ139" s="5">
        <f t="shared" si="63"/>
        <v>0</v>
      </c>
      <c r="BA139" s="5">
        <f t="shared" si="64"/>
        <v>0</v>
      </c>
      <c r="BB139" s="5">
        <f t="shared" si="65"/>
        <v>1</v>
      </c>
    </row>
    <row r="140" spans="1:54" s="5" customFormat="1" hidden="1">
      <c r="A140" s="8">
        <f>IF(INDEX(FORM!$A:$A,ROW())="","",ROW()-1)</f>
        <v>139</v>
      </c>
      <c r="B140" s="41">
        <f>IF($A140="","",INDEX(FORM!$A:$A,ROW()))</f>
        <v>46310.7202314815</v>
      </c>
      <c r="C140" s="8" t="str">
        <f>IF($A140="","",TRIM(INDEX(FORM!$B:$B,ROW())))</f>
        <v>Hasan</v>
      </c>
      <c r="D140" s="8" t="str">
        <f>IF($A140="","",TRIM(INDEX(FORM!$C:$C,ROW())&amp;""))</f>
        <v>2299</v>
      </c>
      <c r="E140" s="8" t="str">
        <f>IF($A140="","",UPPER(TRIM(INDEX(FORM!$D:$D,ROW()))))</f>
        <v>PURWOKERTO</v>
      </c>
      <c r="F140" s="8" t="str">
        <f>IF($A140="","",IFERROR(INDEX(PROGRES!$A$2:$A$92,MATCH(E140,PROGRES!$B$2:$B$92,0)),"-"))</f>
        <v>Jawa Tengah</v>
      </c>
      <c r="G140" s="8" t="str">
        <f>IF($A140="","",UPPER(TRIM(INDEX(FORM!$F:$F,ROW()))))</f>
        <v>JATENG DIY</v>
      </c>
      <c r="H140" s="8" t="str">
        <f>IF($A140="","",UPPER(TRIM(INDEX(FORM!$E:$E,ROW()))))</f>
        <v>BM</v>
      </c>
      <c r="I140" s="8" t="str">
        <f>IF($A140="","",UPPER(TRIM(INDEX(FORM!$G:$G,ROW()))))</f>
        <v>MUDAH</v>
      </c>
      <c r="J140" s="8" t="str">
        <f>IF($A140="","",IF(ISNUMBER(SEARCH("Ya,",INDEX(FORM!$H:$H,ROW()))),"YA",IF(ISNUMBER(SEARCH("Cukup,",INDEX(FORM!$H:$H,ROW()))),"CUKUP",IF(ISNUMBER(SEARCH("Kurang,",INDEX(FORM!$H:$H,ROW()))),"KURANG",""))))</f>
        <v>YA</v>
      </c>
      <c r="K140" s="8" t="str">
        <f>IF($A140="","",UPPER(TRIM(INDEX(FORM!$J:$J,ROW()))))</f>
        <v>CUKUP</v>
      </c>
      <c r="L140" s="8">
        <f>IF($A140="","",IF(ISNUMBER(SEARCH("Aktivitas Harian",INDEX(FORM!$K:$K,ROW()))),1,0))</f>
        <v>1</v>
      </c>
      <c r="M140" s="8">
        <f>IF($A140="","",IF(ISNUMBER(SEARCH("Aktivitas Mingguan",INDEX(FORM!$K:$K,ROW()))),1,0))</f>
        <v>1</v>
      </c>
      <c r="N140" s="8">
        <f>IF($A140="","",IF(ISNUMBER(SEARCH("Aktivitas Bulanan",INDEX(FORM!$K:$K,ROW()))),1,0))</f>
        <v>1</v>
      </c>
      <c r="O140" s="8">
        <f>IF($A140="","",IF(ISNUMBER(SEARCH("Overview Cabang",INDEX(FORM!$K:$K,ROW()))),1,0))</f>
        <v>0</v>
      </c>
      <c r="P140" s="8">
        <f>IF($A140="","",IFERROR(VLOOKUP(I140,DATA!$AH$9:$AI$13,2,0),""))</f>
        <v>3</v>
      </c>
      <c r="Q140" s="8">
        <f>IF($A140="","",IFERROR(VLOOKUP(J140,DATA!$AH$9:$AI$13,2,0),""))</f>
        <v>3</v>
      </c>
      <c r="R140" s="8">
        <f>IF($A140="","",IFERROR(VLOOKUP(K140,DATA!$AH$9:$AI$13,2,0),""))</f>
        <v>2</v>
      </c>
      <c r="S140" s="42">
        <f t="shared" si="44"/>
        <v>2.6666666666666665</v>
      </c>
      <c r="T140" s="8">
        <f>IF($A140="","",IF(COUNTIF($D$2:D140,D140)=1,1,0))</f>
        <v>1</v>
      </c>
      <c r="U140" s="8" t="str">
        <f>IF($A140="","",IF(F140="-","Cabang tdk ada",IF(IFERROR(VLOOKUP(G140,#REF!,1,0),"")="","",IF(INDEX(DATA!$AH$2:$AH$5,MATCH(G140,DATA!$AI$2:$AI$5,0))&lt;&gt;F140,"Wilayah beda","OK"))))</f>
        <v/>
      </c>
      <c r="V140" s="8" t="str">
        <f>IF($A140="","",TRIM(INDEX(FORM!$I:$I,ROW())&amp;""))</f>
        <v>None</v>
      </c>
      <c r="W140" s="8" t="str">
        <f>IF($A140="","",TRIM(INDEX(FORM!$L:$L,ROW())&amp;""))</f>
        <v>Sudah</v>
      </c>
      <c r="X140" s="8" t="str">
        <f>IF($A140="","",TRIM(INDEX(FORM!$M:$M,ROW())&amp;""))</f>
        <v>Cukup</v>
      </c>
      <c r="Y140" s="8">
        <f>IF($A140="","",IFERROR(MATCH(F140,DATA!$AH$2:$AH$5,0),9)*10000+A140)</f>
        <v>20139</v>
      </c>
      <c r="Z140" s="8" t="str">
        <f t="shared" si="45"/>
        <v>Lainnya (perlu dibaca manual)</v>
      </c>
      <c r="AA140" s="8" t="str">
        <f t="shared" si="46"/>
        <v>Tidak ada masukan / sudah baik</v>
      </c>
      <c r="AB140" s="8" t="str">
        <f t="shared" si="47"/>
        <v>Tidak ada masukan / sudah baik</v>
      </c>
      <c r="AC140" s="8"/>
      <c r="AD140" s="8"/>
      <c r="AE140" s="8"/>
      <c r="AK140" s="5">
        <f t="shared" si="48"/>
        <v>0</v>
      </c>
      <c r="AL140" s="5">
        <f t="shared" si="49"/>
        <v>0</v>
      </c>
      <c r="AM140" s="5">
        <f t="shared" si="50"/>
        <v>0</v>
      </c>
      <c r="AN140" s="5">
        <f t="shared" si="51"/>
        <v>0</v>
      </c>
      <c r="AO140" s="5">
        <f t="shared" si="52"/>
        <v>0</v>
      </c>
      <c r="AP140" s="5">
        <f t="shared" si="53"/>
        <v>0</v>
      </c>
      <c r="AQ140" s="5">
        <f t="shared" si="54"/>
        <v>0</v>
      </c>
      <c r="AR140" s="5">
        <f t="shared" si="55"/>
        <v>0</v>
      </c>
      <c r="AS140" s="5">
        <f t="shared" si="56"/>
        <v>0</v>
      </c>
      <c r="AT140" s="5">
        <f t="shared" si="57"/>
        <v>0</v>
      </c>
      <c r="AU140" s="5">
        <f t="shared" si="58"/>
        <v>0</v>
      </c>
      <c r="AV140" s="5">
        <f t="shared" si="59"/>
        <v>0</v>
      </c>
      <c r="AW140" s="5">
        <f t="shared" si="60"/>
        <v>0</v>
      </c>
      <c r="AX140" s="5">
        <f t="shared" si="61"/>
        <v>0</v>
      </c>
      <c r="AY140" s="5">
        <f t="shared" si="62"/>
        <v>0</v>
      </c>
      <c r="AZ140" s="5">
        <f t="shared" si="63"/>
        <v>0</v>
      </c>
      <c r="BA140" s="5">
        <f t="shared" si="64"/>
        <v>1</v>
      </c>
      <c r="BB140" s="5">
        <f t="shared" si="65"/>
        <v>1</v>
      </c>
    </row>
    <row r="141" spans="1:54">
      <c r="A141" s="87">
        <f>IF(INDEX(FORM!$A:$A,ROW())="","",ROW()-1)</f>
        <v>140</v>
      </c>
      <c r="B141" s="88">
        <f>IF($A141="","",INDEX(FORM!$A:$A,ROW()))</f>
        <v>46310.722546296303</v>
      </c>
      <c r="C141" s="87" t="str">
        <f>IF($A141="","",TRIM(INDEX(FORM!$B:$B,ROW())))</f>
        <v>Hari suhardo</v>
      </c>
      <c r="D141" s="87" t="str">
        <f>IF($A141="","",TRIM(INDEX(FORM!$C:$C,ROW())&amp;""))</f>
        <v>1511381</v>
      </c>
      <c r="E141" s="87" t="str">
        <f>IF($A141="","",UPPER(TRIM(INDEX(FORM!$D:$D,ROW()))))</f>
        <v>PURWOKERTO</v>
      </c>
      <c r="F141" s="87" t="str">
        <f>IF($A141="","",IFERROR(INDEX(PROGRES!$A$2:$A$92,MATCH(E141,PROGRES!$B$2:$B$92,0)),"-"))</f>
        <v>Jawa Tengah</v>
      </c>
      <c r="G141" s="87" t="str">
        <f>IF($A141="","",UPPER(TRIM(INDEX(FORM!$F:$F,ROW()))))</f>
        <v>JATENG DIY</v>
      </c>
      <c r="H141" s="87" t="str">
        <f>IF($A141="","",UPPER(TRIM(INDEX(FORM!$E:$E,ROW()))))</f>
        <v>CRO</v>
      </c>
      <c r="I141" s="87" t="str">
        <f>IF($A141="","",UPPER(TRIM(INDEX(FORM!$G:$G,ROW()))))</f>
        <v>MUDAH</v>
      </c>
      <c r="J141" s="87" t="str">
        <f>IF($A141="","",IF(ISNUMBER(SEARCH("Ya,",INDEX(FORM!$H:$H,ROW()))),"YA",IF(ISNUMBER(SEARCH("Cukup,",INDEX(FORM!$H:$H,ROW()))),"CUKUP",IF(ISNUMBER(SEARCH("Kurang,",INDEX(FORM!$H:$H,ROW()))),"KURANG",""))))</f>
        <v>YA</v>
      </c>
      <c r="K141" s="87" t="str">
        <f>IF($A141="","",UPPER(TRIM(INDEX(FORM!$J:$J,ROW()))))</f>
        <v>MUDAH</v>
      </c>
      <c r="L141" s="87">
        <f>IF($A141="","",IF(ISNUMBER(SEARCH("Aktivitas Harian",INDEX(FORM!$K:$K,ROW()))),1,0))</f>
        <v>1</v>
      </c>
      <c r="M141" s="87">
        <f>IF($A141="","",IF(ISNUMBER(SEARCH("Aktivitas Mingguan",INDEX(FORM!$K:$K,ROW()))),1,0))</f>
        <v>1</v>
      </c>
      <c r="N141" s="87">
        <f>IF($A141="","",IF(ISNUMBER(SEARCH("Aktivitas Bulanan",INDEX(FORM!$K:$K,ROW()))),1,0))</f>
        <v>1</v>
      </c>
      <c r="O141" s="87">
        <f>IF($A141="","",IF(ISNUMBER(SEARCH("Overview Cabang",INDEX(FORM!$K:$K,ROW()))),1,0))</f>
        <v>0</v>
      </c>
      <c r="P141" s="87">
        <f>IF($A141="","",IFERROR(VLOOKUP(I141,DATA!$AH$9:$AI$13,2,0),""))</f>
        <v>3</v>
      </c>
      <c r="Q141" s="87">
        <f>IF($A141="","",IFERROR(VLOOKUP(J141,DATA!$AH$9:$AI$13,2,0),""))</f>
        <v>3</v>
      </c>
      <c r="R141" s="87">
        <f>IF($A141="","",IFERROR(VLOOKUP(K141,DATA!$AH$9:$AI$13,2,0),""))</f>
        <v>3</v>
      </c>
      <c r="S141" s="89">
        <f t="shared" si="44"/>
        <v>3</v>
      </c>
      <c r="T141" s="87">
        <f>IF($A141="","",IF(COUNTIF($D$2:D141,D141)=1,1,0))</f>
        <v>1</v>
      </c>
      <c r="U141" s="87" t="str">
        <f>IF($A141="","",IF(F141="-","Cabang tdk ada",IF(IFERROR(VLOOKUP(G141,#REF!,1,0),"")="","",IF(INDEX(DATA!$AH$2:$AH$5,MATCH(G141,DATA!$AI$2:$AI$5,0))&lt;&gt;F141,"Wilayah beda","OK"))))</f>
        <v/>
      </c>
      <c r="V141" s="87" t="str">
        <f>IF($A141="","",TRIM(INDEX(FORM!$I:$I,ROW())&amp;""))</f>
        <v>Tidak ada</v>
      </c>
      <c r="W141" s="87" t="str">
        <f>IF($A141="","",TRIM(INDEX(FORM!$L:$L,ROW())&amp;""))</f>
        <v>Cukup</v>
      </c>
      <c r="X141" s="87" t="str">
        <f>IF($A141="","",TRIM(INDEX(FORM!$M:$M,ROW())&amp;""))</f>
        <v>Tidak ada</v>
      </c>
      <c r="Y141" s="8">
        <f>IF($A141="","",IFERROR(MATCH(F141,DATA!$AH$2:$AH$5,0),9)*10000+A141)</f>
        <v>20140</v>
      </c>
      <c r="Z141" s="87" t="str">
        <f t="shared" si="45"/>
        <v>Tidak ada masukan / sudah baik</v>
      </c>
      <c r="AA141" s="87" t="str">
        <f t="shared" si="46"/>
        <v>Tidak ada masukan / sudah baik</v>
      </c>
      <c r="AB141" s="87" t="str">
        <f t="shared" si="47"/>
        <v>Tidak ada masukan / sudah baik</v>
      </c>
      <c r="AC141" s="87"/>
      <c r="AD141" s="87"/>
      <c r="AE141" s="87"/>
      <c r="AK141" s="90">
        <f t="shared" si="48"/>
        <v>0</v>
      </c>
      <c r="AL141" s="90">
        <f t="shared" si="49"/>
        <v>0</v>
      </c>
      <c r="AM141" s="90">
        <f t="shared" si="50"/>
        <v>0</v>
      </c>
      <c r="AN141" s="90">
        <f t="shared" si="51"/>
        <v>0</v>
      </c>
      <c r="AO141" s="90">
        <f t="shared" si="52"/>
        <v>0</v>
      </c>
      <c r="AP141" s="90">
        <f t="shared" si="53"/>
        <v>0</v>
      </c>
      <c r="AQ141" s="90">
        <f t="shared" si="54"/>
        <v>0</v>
      </c>
      <c r="AR141" s="90">
        <f t="shared" si="55"/>
        <v>0</v>
      </c>
      <c r="AS141" s="90">
        <f t="shared" si="56"/>
        <v>0</v>
      </c>
      <c r="AT141" s="90">
        <f t="shared" si="57"/>
        <v>0</v>
      </c>
      <c r="AU141" s="90">
        <f t="shared" si="58"/>
        <v>0</v>
      </c>
      <c r="AV141" s="90">
        <f t="shared" si="59"/>
        <v>0</v>
      </c>
      <c r="AW141" s="90">
        <f t="shared" si="60"/>
        <v>0</v>
      </c>
      <c r="AX141" s="90">
        <f t="shared" si="61"/>
        <v>0</v>
      </c>
      <c r="AY141" s="90">
        <f t="shared" si="62"/>
        <v>0</v>
      </c>
      <c r="AZ141" s="90">
        <f t="shared" si="63"/>
        <v>0</v>
      </c>
      <c r="BA141" s="90">
        <f t="shared" si="64"/>
        <v>0</v>
      </c>
      <c r="BB141" s="90">
        <f t="shared" si="65"/>
        <v>0</v>
      </c>
    </row>
    <row r="142" spans="1:54" s="5" customFormat="1" hidden="1">
      <c r="A142" s="8">
        <f>IF(INDEX(FORM!$A:$A,ROW())="","",ROW()-1)</f>
        <v>141</v>
      </c>
      <c r="B142" s="41">
        <f>IF($A142="","",INDEX(FORM!$A:$A,ROW()))</f>
        <v>46310.722916666702</v>
      </c>
      <c r="C142" s="8" t="str">
        <f>IF($A142="","",TRIM(INDEX(FORM!$B:$B,ROW())))</f>
        <v>ADITYA DARMAWAN CIPTADI</v>
      </c>
      <c r="D142" s="8" t="str">
        <f>IF($A142="","",TRIM(INDEX(FORM!$C:$C,ROW())&amp;""))</f>
        <v>1510574</v>
      </c>
      <c r="E142" s="8" t="str">
        <f>IF($A142="","",UPPER(TRIM(INDEX(FORM!$D:$D,ROW()))))</f>
        <v>SUKOHARJO</v>
      </c>
      <c r="F142" s="8" t="str">
        <f>IF($A142="","",IFERROR(INDEX(PROGRES!$A$2:$A$92,MATCH(E142,PROGRES!$B$2:$B$92,0)),"-"))</f>
        <v>Jawa Tengah</v>
      </c>
      <c r="G142" s="8" t="str">
        <f>IF($A142="","",UPPER(TRIM(INDEX(FORM!$F:$F,ROW()))))</f>
        <v>JATENG DIY</v>
      </c>
      <c r="H142" s="8" t="str">
        <f>IF($A142="","",UPPER(TRIM(INDEX(FORM!$E:$E,ROW()))))</f>
        <v>BAO</v>
      </c>
      <c r="I142" s="8" t="str">
        <f>IF($A142="","",UPPER(TRIM(INDEX(FORM!$G:$G,ROW()))))</f>
        <v>MUDAH</v>
      </c>
      <c r="J142" s="8" t="str">
        <f>IF($A142="","",IF(ISNUMBER(SEARCH("Ya,",INDEX(FORM!$H:$H,ROW()))),"YA",IF(ISNUMBER(SEARCH("Cukup,",INDEX(FORM!$H:$H,ROW()))),"CUKUP",IF(ISNUMBER(SEARCH("Kurang,",INDEX(FORM!$H:$H,ROW()))),"KURANG",""))))</f>
        <v>YA</v>
      </c>
      <c r="K142" s="8" t="str">
        <f>IF($A142="","",UPPER(TRIM(INDEX(FORM!$J:$J,ROW()))))</f>
        <v>CUKUP</v>
      </c>
      <c r="L142" s="8">
        <f>IF($A142="","",IF(ISNUMBER(SEARCH("Aktivitas Harian",INDEX(FORM!$K:$K,ROW()))),1,0))</f>
        <v>1</v>
      </c>
      <c r="M142" s="8">
        <f>IF($A142="","",IF(ISNUMBER(SEARCH("Aktivitas Mingguan",INDEX(FORM!$K:$K,ROW()))),1,0))</f>
        <v>0</v>
      </c>
      <c r="N142" s="8">
        <f>IF($A142="","",IF(ISNUMBER(SEARCH("Aktivitas Bulanan",INDEX(FORM!$K:$K,ROW()))),1,0))</f>
        <v>0</v>
      </c>
      <c r="O142" s="8">
        <f>IF($A142="","",IF(ISNUMBER(SEARCH("Overview Cabang",INDEX(FORM!$K:$K,ROW()))),1,0))</f>
        <v>0</v>
      </c>
      <c r="P142" s="8">
        <f>IF($A142="","",IFERROR(VLOOKUP(I142,DATA!$AH$9:$AI$13,2,0),""))</f>
        <v>3</v>
      </c>
      <c r="Q142" s="8">
        <f>IF($A142="","",IFERROR(VLOOKUP(J142,DATA!$AH$9:$AI$13,2,0),""))</f>
        <v>3</v>
      </c>
      <c r="R142" s="8">
        <f>IF($A142="","",IFERROR(VLOOKUP(K142,DATA!$AH$9:$AI$13,2,0),""))</f>
        <v>2</v>
      </c>
      <c r="S142" s="42">
        <f t="shared" si="44"/>
        <v>2.6666666666666665</v>
      </c>
      <c r="T142" s="8">
        <f>IF($A142="","",IF(COUNTIF($D$2:D142,D142)=1,1,0))</f>
        <v>1</v>
      </c>
      <c r="U142" s="8" t="str">
        <f>IF($A142="","",IF(F142="-","Cabang tdk ada",IF(IFERROR(VLOOKUP(G142,#REF!,1,0),"")="","",IF(INDEX(DATA!$AH$2:$AH$5,MATCH(G142,DATA!$AI$2:$AI$5,0))&lt;&gt;F142,"Wilayah beda","OK"))))</f>
        <v/>
      </c>
      <c r="V142" s="8" t="str">
        <f>IF($A142="","",TRIM(INDEX(FORM!$I:$I,ROW())&amp;""))</f>
        <v>visual kurang menarik</v>
      </c>
      <c r="W142" s="8" t="str">
        <f>IF($A142="","",TRIM(INDEX(FORM!$L:$L,ROW())&amp;""))</f>
        <v>Berdasarkan SOP yg tertulis cetak SPJ dilakukan oleh BAO, hal ini sudah sering dilakukan oleh POA mungkin hampir di setiap cabang yg memiliki POA jika memang akses tersebut diperbolehkan untuk POA mohon untuk ditambahkan di SOP supaya apa yg sudah dikerjakan selama ini tidak melnggar SOP</v>
      </c>
      <c r="X142" s="8" t="str">
        <f>IF($A142="","",TRIM(INDEX(FORM!$M:$M,ROW())&amp;""))</f>
        <v>Masih banyak yg salah tulis (typo) semoga bisa di perbaiki</v>
      </c>
      <c r="Y142" s="8">
        <f>IF($A142="","",IFERROR(MATCH(F142,DATA!$AH$2:$AH$5,0),9)*10000+A142)</f>
        <v>20141</v>
      </c>
      <c r="Z142" s="8" t="str">
        <f t="shared" si="45"/>
        <v>Desain, Warna &amp; Font</v>
      </c>
      <c r="AA142" s="8" t="str">
        <f t="shared" si="46"/>
        <v>Panduan Laporan &amp; Alur Kerja</v>
      </c>
      <c r="AB142" s="8" t="str">
        <f t="shared" si="47"/>
        <v>Tidak ada masukan / sudah baik</v>
      </c>
      <c r="AC142" s="8"/>
      <c r="AD142" s="8"/>
      <c r="AE142" s="8"/>
      <c r="AK142" s="5">
        <f t="shared" si="48"/>
        <v>0</v>
      </c>
      <c r="AL142" s="5">
        <f t="shared" si="49"/>
        <v>0</v>
      </c>
      <c r="AM142" s="5">
        <f t="shared" si="50"/>
        <v>1</v>
      </c>
      <c r="AN142" s="5">
        <f t="shared" si="51"/>
        <v>0</v>
      </c>
      <c r="AO142" s="5">
        <f t="shared" si="52"/>
        <v>0</v>
      </c>
      <c r="AP142" s="5">
        <f t="shared" si="53"/>
        <v>0</v>
      </c>
      <c r="AQ142" s="5">
        <f t="shared" si="54"/>
        <v>0</v>
      </c>
      <c r="AR142" s="5">
        <f t="shared" si="55"/>
        <v>0</v>
      </c>
      <c r="AS142" s="5">
        <f t="shared" si="56"/>
        <v>0</v>
      </c>
      <c r="AT142" s="5">
        <f t="shared" si="57"/>
        <v>0</v>
      </c>
      <c r="AU142" s="5">
        <f t="shared" si="58"/>
        <v>0</v>
      </c>
      <c r="AV142" s="5">
        <f t="shared" si="59"/>
        <v>0</v>
      </c>
      <c r="AW142" s="5">
        <f t="shared" si="60"/>
        <v>0</v>
      </c>
      <c r="AX142" s="5">
        <f t="shared" si="61"/>
        <v>0</v>
      </c>
      <c r="AY142" s="5">
        <f t="shared" si="62"/>
        <v>1</v>
      </c>
      <c r="AZ142" s="5">
        <f t="shared" si="63"/>
        <v>0</v>
      </c>
      <c r="BA142" s="5">
        <f t="shared" si="64"/>
        <v>0</v>
      </c>
      <c r="BB142" s="5">
        <f t="shared" si="65"/>
        <v>1</v>
      </c>
    </row>
    <row r="143" spans="1:54">
      <c r="A143" s="87">
        <f>IF(INDEX(FORM!$A:$A,ROW())="","",ROW()-1)</f>
        <v>142</v>
      </c>
      <c r="B143" s="88">
        <f>IF($A143="","",INDEX(FORM!$A:$A,ROW()))</f>
        <v>46310.723611111098</v>
      </c>
      <c r="C143" s="87" t="str">
        <f>IF($A143="","",TRIM(INDEX(FORM!$B:$B,ROW())))</f>
        <v>Rois ahmadi</v>
      </c>
      <c r="D143" s="87" t="str">
        <f>IF($A143="","",TRIM(INDEX(FORM!$C:$C,ROW())&amp;""))</f>
        <v>1510699</v>
      </c>
      <c r="E143" s="87" t="str">
        <f>IF($A143="","",UPPER(TRIM(INDEX(FORM!$D:$D,ROW()))))</f>
        <v>TRENGGALEK</v>
      </c>
      <c r="F143" s="87" t="str">
        <f>IF($A143="","",IFERROR(INDEX(PROGRES!$A$2:$A$92,MATCH(E143,PROGRES!$B$2:$B$92,0)),"-"))</f>
        <v>Jawa Timur</v>
      </c>
      <c r="G143" s="87" t="str">
        <f>IF($A143="","",UPPER(TRIM(INDEX(FORM!$F:$F,ROW()))))</f>
        <v>JATIM</v>
      </c>
      <c r="H143" s="87" t="str">
        <f>IF($A143="","",UPPER(TRIM(INDEX(FORM!$E:$E,ROW()))))</f>
        <v>CRO</v>
      </c>
      <c r="I143" s="87" t="str">
        <f>IF($A143="","",UPPER(TRIM(INDEX(FORM!$G:$G,ROW()))))</f>
        <v>CUKUP</v>
      </c>
      <c r="J143" s="87" t="str">
        <f>IF($A143="","",IF(ISNUMBER(SEARCH("Ya,",INDEX(FORM!$H:$H,ROW()))),"YA",IF(ISNUMBER(SEARCH("Cukup,",INDEX(FORM!$H:$H,ROW()))),"CUKUP",IF(ISNUMBER(SEARCH("Kurang,",INDEX(FORM!$H:$H,ROW()))),"KURANG",""))))</f>
        <v>YA</v>
      </c>
      <c r="K143" s="87" t="str">
        <f>IF($A143="","",UPPER(TRIM(INDEX(FORM!$J:$J,ROW()))))</f>
        <v>CUKUP</v>
      </c>
      <c r="L143" s="87">
        <f>IF($A143="","",IF(ISNUMBER(SEARCH("Aktivitas Harian",INDEX(FORM!$K:$K,ROW()))),1,0))</f>
        <v>1</v>
      </c>
      <c r="M143" s="87">
        <f>IF($A143="","",IF(ISNUMBER(SEARCH("Aktivitas Mingguan",INDEX(FORM!$K:$K,ROW()))),1,0))</f>
        <v>0</v>
      </c>
      <c r="N143" s="87">
        <f>IF($A143="","",IF(ISNUMBER(SEARCH("Aktivitas Bulanan",INDEX(FORM!$K:$K,ROW()))),1,0))</f>
        <v>0</v>
      </c>
      <c r="O143" s="87">
        <f>IF($A143="","",IF(ISNUMBER(SEARCH("Overview Cabang",INDEX(FORM!$K:$K,ROW()))),1,0))</f>
        <v>0</v>
      </c>
      <c r="P143" s="87">
        <f>IF($A143="","",IFERROR(VLOOKUP(I143,DATA!$AH$9:$AI$13,2,0),""))</f>
        <v>2</v>
      </c>
      <c r="Q143" s="87">
        <f>IF($A143="","",IFERROR(VLOOKUP(J143,DATA!$AH$9:$AI$13,2,0),""))</f>
        <v>3</v>
      </c>
      <c r="R143" s="87">
        <f>IF($A143="","",IFERROR(VLOOKUP(K143,DATA!$AH$9:$AI$13,2,0),""))</f>
        <v>2</v>
      </c>
      <c r="S143" s="89">
        <f t="shared" si="44"/>
        <v>2.3333333333333335</v>
      </c>
      <c r="T143" s="87">
        <f>IF($A143="","",IF(COUNTIF($D$2:D143,D143)=1,1,0))</f>
        <v>1</v>
      </c>
      <c r="U143" s="87" t="str">
        <f>IF($A143="","",IF(F143="-","Cabang tdk ada",IF(IFERROR(VLOOKUP(G143,#REF!,1,0),"")="","",IF(INDEX(DATA!$AH$2:$AH$5,MATCH(G143,DATA!$AI$2:$AI$5,0))&lt;&gt;F143,"Wilayah beda","OK"))))</f>
        <v/>
      </c>
      <c r="V143" s="87" t="str">
        <f>IF($A143="","",TRIM(INDEX(FORM!$I:$I,ROW())&amp;""))</f>
        <v>Perlu ditingkatkan lagi</v>
      </c>
      <c r="W143" s="87" t="str">
        <f>IF($A143="","",TRIM(INDEX(FORM!$L:$L,ROW())&amp;""))</f>
        <v>Sudah cukup lengkap</v>
      </c>
      <c r="X143" s="87" t="str">
        <f>IF($A143="","",TRIM(INDEX(FORM!$M:$M,ROW())&amp;""))</f>
        <v>Mungkin bisa ditambah menu sharing untuk problem solving yang terjadi di kantor cabang</v>
      </c>
      <c r="Y143" s="8">
        <f>IF($A143="","",IFERROR(MATCH(F143,DATA!$AH$2:$AH$5,0),9)*10000+A143)</f>
        <v>30142</v>
      </c>
      <c r="Z143" s="87" t="str">
        <f t="shared" si="45"/>
        <v>Saran Umum Peningkatan</v>
      </c>
      <c r="AA143" s="87" t="str">
        <f t="shared" si="46"/>
        <v>Tidak ada masukan / sudah baik</v>
      </c>
      <c r="AB143" s="87" t="str">
        <f t="shared" si="47"/>
        <v>Lainnya (perlu dibaca manual)</v>
      </c>
      <c r="AC143" s="87"/>
      <c r="AD143" s="87"/>
      <c r="AE143" s="87"/>
      <c r="AK143" s="90">
        <f t="shared" si="48"/>
        <v>0</v>
      </c>
      <c r="AL143" s="90">
        <f t="shared" si="49"/>
        <v>0</v>
      </c>
      <c r="AM143" s="90">
        <f t="shared" si="50"/>
        <v>0</v>
      </c>
      <c r="AN143" s="90">
        <f t="shared" si="51"/>
        <v>0</v>
      </c>
      <c r="AO143" s="90">
        <f t="shared" si="52"/>
        <v>0</v>
      </c>
      <c r="AP143" s="90">
        <f t="shared" si="53"/>
        <v>0</v>
      </c>
      <c r="AQ143" s="90">
        <f t="shared" si="54"/>
        <v>0</v>
      </c>
      <c r="AR143" s="90">
        <f t="shared" si="55"/>
        <v>0</v>
      </c>
      <c r="AS143" s="90">
        <f t="shared" si="56"/>
        <v>0</v>
      </c>
      <c r="AT143" s="90">
        <f t="shared" si="57"/>
        <v>0</v>
      </c>
      <c r="AU143" s="90">
        <f t="shared" si="58"/>
        <v>0</v>
      </c>
      <c r="AV143" s="90">
        <f t="shared" si="59"/>
        <v>0</v>
      </c>
      <c r="AW143" s="90">
        <f t="shared" si="60"/>
        <v>0</v>
      </c>
      <c r="AX143" s="90">
        <f t="shared" si="61"/>
        <v>0</v>
      </c>
      <c r="AY143" s="90">
        <f t="shared" si="62"/>
        <v>0</v>
      </c>
      <c r="AZ143" s="90">
        <f t="shared" si="63"/>
        <v>1</v>
      </c>
      <c r="BA143" s="90">
        <f t="shared" si="64"/>
        <v>1</v>
      </c>
      <c r="BB143" s="90">
        <f t="shared" si="65"/>
        <v>1</v>
      </c>
    </row>
    <row r="144" spans="1:54">
      <c r="A144" s="87">
        <f>IF(INDEX(FORM!$A:$A,ROW())="","",ROW()-1)</f>
        <v>143</v>
      </c>
      <c r="B144" s="88">
        <f>IF($A144="","",INDEX(FORM!$A:$A,ROW()))</f>
        <v>46310.725763888899</v>
      </c>
      <c r="C144" s="87" t="str">
        <f>IF($A144="","",TRIM(INDEX(FORM!$B:$B,ROW())))</f>
        <v>Vindra Karisma</v>
      </c>
      <c r="D144" s="87" t="str">
        <f>IF($A144="","",TRIM(INDEX(FORM!$C:$C,ROW())&amp;""))</f>
        <v>1511255</v>
      </c>
      <c r="E144" s="87" t="str">
        <f>IF($A144="","",UPPER(TRIM(INDEX(FORM!$D:$D,ROW()))))</f>
        <v>PALUR</v>
      </c>
      <c r="F144" s="87" t="str">
        <f>IF($A144="","",IFERROR(INDEX(PROGRES!$A$2:$A$92,MATCH(E144,PROGRES!$B$2:$B$92,0)),"-"))</f>
        <v>Jawa Tengah</v>
      </c>
      <c r="G144" s="87" t="str">
        <f>IF($A144="","",UPPER(TRIM(INDEX(FORM!$F:$F,ROW()))))</f>
        <v>JATENG DIY</v>
      </c>
      <c r="H144" s="87" t="str">
        <f>IF($A144="","",UPPER(TRIM(INDEX(FORM!$E:$E,ROW()))))</f>
        <v>CRO</v>
      </c>
      <c r="I144" s="87" t="str">
        <f>IF($A144="","",UPPER(TRIM(INDEX(FORM!$G:$G,ROW()))))</f>
        <v>CUKUP</v>
      </c>
      <c r="J144" s="87" t="str">
        <f>IF($A144="","",IF(ISNUMBER(SEARCH("Ya,",INDEX(FORM!$H:$H,ROW()))),"YA",IF(ISNUMBER(SEARCH("Cukup,",INDEX(FORM!$H:$H,ROW()))),"CUKUP",IF(ISNUMBER(SEARCH("Kurang,",INDEX(FORM!$H:$H,ROW()))),"KURANG",""))))</f>
        <v>CUKUP</v>
      </c>
      <c r="K144" s="87" t="str">
        <f>IF($A144="","",UPPER(TRIM(INDEX(FORM!$J:$J,ROW()))))</f>
        <v>CUKUP</v>
      </c>
      <c r="L144" s="87">
        <f>IF($A144="","",IF(ISNUMBER(SEARCH("Aktivitas Harian",INDEX(FORM!$K:$K,ROW()))),1,0))</f>
        <v>1</v>
      </c>
      <c r="M144" s="87">
        <f>IF($A144="","",IF(ISNUMBER(SEARCH("Aktivitas Mingguan",INDEX(FORM!$K:$K,ROW()))),1,0))</f>
        <v>0</v>
      </c>
      <c r="N144" s="87">
        <f>IF($A144="","",IF(ISNUMBER(SEARCH("Aktivitas Bulanan",INDEX(FORM!$K:$K,ROW()))),1,0))</f>
        <v>0</v>
      </c>
      <c r="O144" s="87">
        <f>IF($A144="","",IF(ISNUMBER(SEARCH("Overview Cabang",INDEX(FORM!$K:$K,ROW()))),1,0))</f>
        <v>0</v>
      </c>
      <c r="P144" s="87">
        <f>IF($A144="","",IFERROR(VLOOKUP(I144,DATA!$AH$9:$AI$13,2,0),""))</f>
        <v>2</v>
      </c>
      <c r="Q144" s="87">
        <f>IF($A144="","",IFERROR(VLOOKUP(J144,DATA!$AH$9:$AI$13,2,0),""))</f>
        <v>2</v>
      </c>
      <c r="R144" s="87">
        <f>IF($A144="","",IFERROR(VLOOKUP(K144,DATA!$AH$9:$AI$13,2,0),""))</f>
        <v>2</v>
      </c>
      <c r="S144" s="89">
        <f t="shared" si="44"/>
        <v>2</v>
      </c>
      <c r="T144" s="87">
        <f>IF($A144="","",IF(COUNTIF($D$2:D144,D144)=1,1,0))</f>
        <v>1</v>
      </c>
      <c r="U144" s="87" t="str">
        <f>IF($A144="","",IF(F144="-","Cabang tdk ada",IF(IFERROR(VLOOKUP(G144,#REF!,1,0),"")="","",IF(INDEX(DATA!$AH$2:$AH$5,MATCH(G144,DATA!$AI$2:$AI$5,0))&lt;&gt;F144,"Wilayah beda","OK"))))</f>
        <v/>
      </c>
      <c r="V144" s="87" t="str">
        <f>IF($A144="","",TRIM(INDEX(FORM!$I:$I,ROW())&amp;""))</f>
        <v>Tampilan jendela layar mudah dipahami tapi desain monoton</v>
      </c>
      <c r="W144" s="87" t="str">
        <f>IF($A144="","",TRIM(INDEX(FORM!$L:$L,ROW())&amp;""))</f>
        <v>Sudah mencakupi</v>
      </c>
      <c r="X144" s="87" t="str">
        <f>IF($A144="","",TRIM(INDEX(FORM!$M:$M,ROW())&amp;""))</f>
        <v>Sudah cukup baik</v>
      </c>
      <c r="Y144" s="8">
        <f>IF($A144="","",IFERROR(MATCH(F144,DATA!$AH$2:$AH$5,0),9)*10000+A144)</f>
        <v>20143</v>
      </c>
      <c r="Z144" s="87" t="str">
        <f t="shared" si="45"/>
        <v>Desain, Warna &amp; Font</v>
      </c>
      <c r="AA144" s="87" t="str">
        <f t="shared" si="46"/>
        <v>Tidak ada masukan / sudah baik</v>
      </c>
      <c r="AB144" s="87" t="str">
        <f t="shared" si="47"/>
        <v>Tidak ada masukan / sudah baik</v>
      </c>
      <c r="AC144" s="87"/>
      <c r="AD144" s="87"/>
      <c r="AE144" s="87"/>
      <c r="AK144" s="90">
        <f t="shared" si="48"/>
        <v>0</v>
      </c>
      <c r="AL144" s="90">
        <f t="shared" si="49"/>
        <v>0</v>
      </c>
      <c r="AM144" s="90">
        <f t="shared" si="50"/>
        <v>1</v>
      </c>
      <c r="AN144" s="90">
        <f t="shared" si="51"/>
        <v>0</v>
      </c>
      <c r="AO144" s="90">
        <f t="shared" si="52"/>
        <v>0</v>
      </c>
      <c r="AP144" s="90">
        <f t="shared" si="53"/>
        <v>0</v>
      </c>
      <c r="AQ144" s="90">
        <f t="shared" si="54"/>
        <v>0</v>
      </c>
      <c r="AR144" s="90">
        <f t="shared" si="55"/>
        <v>0</v>
      </c>
      <c r="AS144" s="90">
        <f t="shared" si="56"/>
        <v>0</v>
      </c>
      <c r="AT144" s="90">
        <f t="shared" si="57"/>
        <v>0</v>
      </c>
      <c r="AU144" s="90">
        <f t="shared" si="58"/>
        <v>0</v>
      </c>
      <c r="AV144" s="90">
        <f t="shared" si="59"/>
        <v>0</v>
      </c>
      <c r="AW144" s="90">
        <f t="shared" si="60"/>
        <v>0</v>
      </c>
      <c r="AX144" s="90">
        <f t="shared" si="61"/>
        <v>0</v>
      </c>
      <c r="AY144" s="90">
        <f t="shared" si="62"/>
        <v>0</v>
      </c>
      <c r="AZ144" s="90">
        <f t="shared" si="63"/>
        <v>0</v>
      </c>
      <c r="BA144" s="90">
        <f t="shared" si="64"/>
        <v>0</v>
      </c>
      <c r="BB144" s="90">
        <f t="shared" si="65"/>
        <v>1</v>
      </c>
    </row>
    <row r="145" spans="1:54">
      <c r="A145" s="87">
        <f>IF(INDEX(FORM!$A:$A,ROW())="","",ROW()-1)</f>
        <v>144</v>
      </c>
      <c r="B145" s="88">
        <f>IF($A145="","",INDEX(FORM!$A:$A,ROW()))</f>
        <v>46310.727766203701</v>
      </c>
      <c r="C145" s="87" t="str">
        <f>IF($A145="","",TRIM(INDEX(FORM!$B:$B,ROW())))</f>
        <v>Oky dwi s</v>
      </c>
      <c r="D145" s="87" t="str">
        <f>IF($A145="","",TRIM(INDEX(FORM!$C:$C,ROW())&amp;""))</f>
        <v>80446</v>
      </c>
      <c r="E145" s="87" t="str">
        <f>IF($A145="","",UPPER(TRIM(INDEX(FORM!$D:$D,ROW()))))</f>
        <v>BOJONEGORO</v>
      </c>
      <c r="F145" s="87" t="str">
        <f>IF($A145="","",IFERROR(INDEX(PROGRES!$A$2:$A$92,MATCH(E145,PROGRES!$B$2:$B$92,0)),"-"))</f>
        <v>Jawa Timur</v>
      </c>
      <c r="G145" s="87" t="str">
        <f>IF($A145="","",UPPER(TRIM(INDEX(FORM!$F:$F,ROW()))))</f>
        <v>JATIM</v>
      </c>
      <c r="H145" s="87" t="str">
        <f>IF($A145="","",UPPER(TRIM(INDEX(FORM!$E:$E,ROW()))))</f>
        <v>CRO</v>
      </c>
      <c r="I145" s="87" t="str">
        <f>IF($A145="","",UPPER(TRIM(INDEX(FORM!$G:$G,ROW()))))</f>
        <v>MUDAH</v>
      </c>
      <c r="J145" s="87" t="str">
        <f>IF($A145="","",IF(ISNUMBER(SEARCH("Ya,",INDEX(FORM!$H:$H,ROW()))),"YA",IF(ISNUMBER(SEARCH("Cukup,",INDEX(FORM!$H:$H,ROW()))),"CUKUP",IF(ISNUMBER(SEARCH("Kurang,",INDEX(FORM!$H:$H,ROW()))),"KURANG",""))))</f>
        <v>YA</v>
      </c>
      <c r="K145" s="87" t="str">
        <f>IF($A145="","",UPPER(TRIM(INDEX(FORM!$J:$J,ROW()))))</f>
        <v>MUDAH</v>
      </c>
      <c r="L145" s="87">
        <f>IF($A145="","",IF(ISNUMBER(SEARCH("Aktivitas Harian",INDEX(FORM!$K:$K,ROW()))),1,0))</f>
        <v>1</v>
      </c>
      <c r="M145" s="87">
        <f>IF($A145="","",IF(ISNUMBER(SEARCH("Aktivitas Mingguan",INDEX(FORM!$K:$K,ROW()))),1,0))</f>
        <v>0</v>
      </c>
      <c r="N145" s="87">
        <f>IF($A145="","",IF(ISNUMBER(SEARCH("Aktivitas Bulanan",INDEX(FORM!$K:$K,ROW()))),1,0))</f>
        <v>0</v>
      </c>
      <c r="O145" s="87">
        <f>IF($A145="","",IF(ISNUMBER(SEARCH("Overview Cabang",INDEX(FORM!$K:$K,ROW()))),1,0))</f>
        <v>0</v>
      </c>
      <c r="P145" s="87">
        <f>IF($A145="","",IFERROR(VLOOKUP(I145,DATA!$AH$9:$AI$13,2,0),""))</f>
        <v>3</v>
      </c>
      <c r="Q145" s="87">
        <f>IF($A145="","",IFERROR(VLOOKUP(J145,DATA!$AH$9:$AI$13,2,0),""))</f>
        <v>3</v>
      </c>
      <c r="R145" s="87">
        <f>IF($A145="","",IFERROR(VLOOKUP(K145,DATA!$AH$9:$AI$13,2,0),""))</f>
        <v>3</v>
      </c>
      <c r="S145" s="89">
        <f t="shared" si="44"/>
        <v>3</v>
      </c>
      <c r="T145" s="87">
        <f>IF($A145="","",IF(COUNTIF($D$2:D145,D145)=1,1,0))</f>
        <v>1</v>
      </c>
      <c r="U145" s="87" t="str">
        <f>IF($A145="","",IF(F145="-","Cabang tdk ada",IF(IFERROR(VLOOKUP(G145,#REF!,1,0),"")="","",IF(INDEX(DATA!$AH$2:$AH$5,MATCH(G145,DATA!$AI$2:$AI$5,0))&lt;&gt;F145,"Wilayah beda","OK"))))</f>
        <v/>
      </c>
      <c r="V145" s="87" t="str">
        <f>IF($A145="","",TRIM(INDEX(FORM!$I:$I,ROW())&amp;""))</f>
        <v>So far its ok</v>
      </c>
      <c r="W145" s="87" t="str">
        <f>IF($A145="","",TRIM(INDEX(FORM!$L:$L,ROW())&amp;""))</f>
        <v>Sudah mencakup semua</v>
      </c>
      <c r="X145" s="87" t="str">
        <f>IF($A145="","",TRIM(INDEX(FORM!$M:$M,ROW())&amp;""))</f>
        <v>Kembangkan terus inovasi</v>
      </c>
      <c r="Y145" s="8">
        <f>IF($A145="","",IFERROR(MATCH(F145,DATA!$AH$2:$AH$5,0),9)*10000+A145)</f>
        <v>30144</v>
      </c>
      <c r="Z145" s="87" t="str">
        <f t="shared" si="45"/>
        <v>Tidak ada masukan / sudah baik</v>
      </c>
      <c r="AA145" s="87" t="str">
        <f t="shared" si="46"/>
        <v>Tidak ada masukan / sudah baik</v>
      </c>
      <c r="AB145" s="87" t="str">
        <f t="shared" si="47"/>
        <v>Saran Umum Peningkatan</v>
      </c>
      <c r="AC145" s="87"/>
      <c r="AD145" s="87"/>
      <c r="AE145" s="87"/>
      <c r="AK145" s="90">
        <f t="shared" si="48"/>
        <v>0</v>
      </c>
      <c r="AL145" s="90">
        <f t="shared" si="49"/>
        <v>0</v>
      </c>
      <c r="AM145" s="90">
        <f t="shared" si="50"/>
        <v>0</v>
      </c>
      <c r="AN145" s="90">
        <f t="shared" si="51"/>
        <v>0</v>
      </c>
      <c r="AO145" s="90">
        <f t="shared" si="52"/>
        <v>0</v>
      </c>
      <c r="AP145" s="90">
        <f t="shared" si="53"/>
        <v>0</v>
      </c>
      <c r="AQ145" s="90">
        <f t="shared" si="54"/>
        <v>0</v>
      </c>
      <c r="AR145" s="90">
        <f t="shared" si="55"/>
        <v>0</v>
      </c>
      <c r="AS145" s="90">
        <f t="shared" si="56"/>
        <v>0</v>
      </c>
      <c r="AT145" s="90">
        <f t="shared" si="57"/>
        <v>0</v>
      </c>
      <c r="AU145" s="90">
        <f t="shared" si="58"/>
        <v>0</v>
      </c>
      <c r="AV145" s="90">
        <f t="shared" si="59"/>
        <v>0</v>
      </c>
      <c r="AW145" s="90">
        <f t="shared" si="60"/>
        <v>0</v>
      </c>
      <c r="AX145" s="90">
        <f t="shared" si="61"/>
        <v>0</v>
      </c>
      <c r="AY145" s="90">
        <f t="shared" si="62"/>
        <v>0</v>
      </c>
      <c r="AZ145" s="90">
        <f t="shared" si="63"/>
        <v>1</v>
      </c>
      <c r="BA145" s="90">
        <f t="shared" si="64"/>
        <v>0</v>
      </c>
      <c r="BB145" s="90">
        <f t="shared" si="65"/>
        <v>1</v>
      </c>
    </row>
    <row r="146" spans="1:54">
      <c r="A146" s="87">
        <f>IF(INDEX(FORM!$A:$A,ROW())="","",ROW()-1)</f>
        <v>145</v>
      </c>
      <c r="B146" s="88">
        <f>IF($A146="","",INDEX(FORM!$A:$A,ROW()))</f>
        <v>46310.728287037004</v>
      </c>
      <c r="C146" s="87" t="str">
        <f>IF($A146="","",TRIM(INDEX(FORM!$B:$B,ROW())))</f>
        <v>Achmad Ircham N</v>
      </c>
      <c r="D146" s="87" t="str">
        <f>IF($A146="","",TRIM(INDEX(FORM!$C:$C,ROW())&amp;""))</f>
        <v>1510874</v>
      </c>
      <c r="E146" s="87" t="str">
        <f>IF($A146="","",UPPER(TRIM(INDEX(FORM!$D:$D,ROW()))))</f>
        <v>SUKOHARJO</v>
      </c>
      <c r="F146" s="87" t="str">
        <f>IF($A146="","",IFERROR(INDEX(PROGRES!$A$2:$A$92,MATCH(E146,PROGRES!$B$2:$B$92,0)),"-"))</f>
        <v>Jawa Tengah</v>
      </c>
      <c r="G146" s="87" t="str">
        <f>IF($A146="","",UPPER(TRIM(INDEX(FORM!$F:$F,ROW()))))</f>
        <v>JATENG DIY</v>
      </c>
      <c r="H146" s="87" t="str">
        <f>IF($A146="","",UPPER(TRIM(INDEX(FORM!$E:$E,ROW()))))</f>
        <v>CRO</v>
      </c>
      <c r="I146" s="87" t="str">
        <f>IF($A146="","",UPPER(TRIM(INDEX(FORM!$G:$G,ROW()))))</f>
        <v>MUDAH</v>
      </c>
      <c r="J146" s="87" t="str">
        <f>IF($A146="","",IF(ISNUMBER(SEARCH("Ya,",INDEX(FORM!$H:$H,ROW()))),"YA",IF(ISNUMBER(SEARCH("Cukup,",INDEX(FORM!$H:$H,ROW()))),"CUKUP",IF(ISNUMBER(SEARCH("Kurang,",INDEX(FORM!$H:$H,ROW()))),"KURANG",""))))</f>
        <v>CUKUP</v>
      </c>
      <c r="K146" s="87" t="str">
        <f>IF($A146="","",UPPER(TRIM(INDEX(FORM!$J:$J,ROW()))))</f>
        <v>MUDAH</v>
      </c>
      <c r="L146" s="87">
        <f>IF($A146="","",IF(ISNUMBER(SEARCH("Aktivitas Harian",INDEX(FORM!$K:$K,ROW()))),1,0))</f>
        <v>1</v>
      </c>
      <c r="M146" s="87">
        <f>IF($A146="","",IF(ISNUMBER(SEARCH("Aktivitas Mingguan",INDEX(FORM!$K:$K,ROW()))),1,0))</f>
        <v>0</v>
      </c>
      <c r="N146" s="87">
        <f>IF($A146="","",IF(ISNUMBER(SEARCH("Aktivitas Bulanan",INDEX(FORM!$K:$K,ROW()))),1,0))</f>
        <v>0</v>
      </c>
      <c r="O146" s="87">
        <f>IF($A146="","",IF(ISNUMBER(SEARCH("Overview Cabang",INDEX(FORM!$K:$K,ROW()))),1,0))</f>
        <v>0</v>
      </c>
      <c r="P146" s="87">
        <f>IF($A146="","",IFERROR(VLOOKUP(I146,DATA!$AH$9:$AI$13,2,0),""))</f>
        <v>3</v>
      </c>
      <c r="Q146" s="87">
        <f>IF($A146="","",IFERROR(VLOOKUP(J146,DATA!$AH$9:$AI$13,2,0),""))</f>
        <v>2</v>
      </c>
      <c r="R146" s="87">
        <f>IF($A146="","",IFERROR(VLOOKUP(K146,DATA!$AH$9:$AI$13,2,0),""))</f>
        <v>3</v>
      </c>
      <c r="S146" s="89">
        <f t="shared" si="44"/>
        <v>2.6666666666666665</v>
      </c>
      <c r="T146" s="87">
        <f>IF($A146="","",IF(COUNTIF($D$2:D146,D146)=1,1,0))</f>
        <v>1</v>
      </c>
      <c r="U146" s="87" t="str">
        <f>IF($A146="","",IF(F146="-","Cabang tdk ada",IF(IFERROR(VLOOKUP(G146,#REF!,1,0),"")="","",IF(INDEX(DATA!$AH$2:$AH$5,MATCH(G146,DATA!$AI$2:$AI$5,0))&lt;&gt;F146,"Wilayah beda","OK"))))</f>
        <v/>
      </c>
      <c r="V146" s="87" t="str">
        <f>IF($A146="","",TRIM(INDEX(FORM!$I:$I,ROW())&amp;""))</f>
        <v>Belum ada</v>
      </c>
      <c r="W146" s="87" t="str">
        <f>IF($A146="","",TRIM(INDEX(FORM!$L:$L,ROW())&amp;""))</f>
        <v>Tidak ada</v>
      </c>
      <c r="X146" s="87" t="str">
        <f>IF($A146="","",TRIM(INDEX(FORM!$M:$M,ROW())&amp;""))</f>
        <v>Cukup memuaskan</v>
      </c>
      <c r="Y146" s="8">
        <f>IF($A146="","",IFERROR(MATCH(F146,DATA!$AH$2:$AH$5,0),9)*10000+A146)</f>
        <v>20145</v>
      </c>
      <c r="Z146" s="87" t="str">
        <f t="shared" si="45"/>
        <v>Tidak ada masukan / sudah baik</v>
      </c>
      <c r="AA146" s="87" t="str">
        <f t="shared" si="46"/>
        <v>Tidak ada masukan / sudah baik</v>
      </c>
      <c r="AB146" s="87" t="str">
        <f t="shared" si="47"/>
        <v>Tidak ada masukan / sudah baik</v>
      </c>
      <c r="AC146" s="87"/>
      <c r="AD146" s="87"/>
      <c r="AE146" s="87"/>
      <c r="AK146" s="90">
        <f t="shared" si="48"/>
        <v>0</v>
      </c>
      <c r="AL146" s="90">
        <f t="shared" si="49"/>
        <v>0</v>
      </c>
      <c r="AM146" s="90">
        <f t="shared" si="50"/>
        <v>0</v>
      </c>
      <c r="AN146" s="90">
        <f t="shared" si="51"/>
        <v>0</v>
      </c>
      <c r="AO146" s="90">
        <f t="shared" si="52"/>
        <v>0</v>
      </c>
      <c r="AP146" s="90">
        <f t="shared" si="53"/>
        <v>0</v>
      </c>
      <c r="AQ146" s="90">
        <f t="shared" si="54"/>
        <v>0</v>
      </c>
      <c r="AR146" s="90">
        <f t="shared" si="55"/>
        <v>0</v>
      </c>
      <c r="AS146" s="90">
        <f t="shared" si="56"/>
        <v>0</v>
      </c>
      <c r="AT146" s="90">
        <f t="shared" si="57"/>
        <v>0</v>
      </c>
      <c r="AU146" s="90">
        <f t="shared" si="58"/>
        <v>0</v>
      </c>
      <c r="AV146" s="90">
        <f t="shared" si="59"/>
        <v>0</v>
      </c>
      <c r="AW146" s="90">
        <f t="shared" si="60"/>
        <v>0</v>
      </c>
      <c r="AX146" s="90">
        <f t="shared" si="61"/>
        <v>0</v>
      </c>
      <c r="AY146" s="90">
        <f t="shared" si="62"/>
        <v>0</v>
      </c>
      <c r="AZ146" s="90">
        <f t="shared" si="63"/>
        <v>0</v>
      </c>
      <c r="BA146" s="90">
        <f t="shared" si="64"/>
        <v>0</v>
      </c>
      <c r="BB146" s="90">
        <f t="shared" si="65"/>
        <v>0</v>
      </c>
    </row>
    <row r="147" spans="1:54" s="5" customFormat="1" hidden="1">
      <c r="A147" s="8">
        <f>IF(INDEX(FORM!$A:$A,ROW())="","",ROW()-1)</f>
        <v>146</v>
      </c>
      <c r="B147" s="41">
        <f>IF($A147="","",INDEX(FORM!$A:$A,ROW()))</f>
        <v>46310.756793981498</v>
      </c>
      <c r="C147" s="8" t="str">
        <f>IF($A147="","",TRIM(INDEX(FORM!$B:$B,ROW())))</f>
        <v>Jauhar Asaqofi Hikmatiar</v>
      </c>
      <c r="D147" s="8" t="str">
        <f>IF($A147="","",TRIM(INDEX(FORM!$C:$C,ROW())&amp;""))</f>
        <v>1525008</v>
      </c>
      <c r="E147" s="8" t="str">
        <f>IF($A147="","",UPPER(TRIM(INDEX(FORM!$D:$D,ROW()))))</f>
        <v>PALUR</v>
      </c>
      <c r="F147" s="8" t="str">
        <f>IF($A147="","",IFERROR(INDEX(PROGRES!$A$2:$A$92,MATCH(E147,PROGRES!$B$2:$B$92,0)),"-"))</f>
        <v>Jawa Tengah</v>
      </c>
      <c r="G147" s="8" t="str">
        <f>IF($A147="","",UPPER(TRIM(INDEX(FORM!$F:$F,ROW()))))</f>
        <v>JATENG DIY</v>
      </c>
      <c r="H147" s="8" t="str">
        <f>IF($A147="","",UPPER(TRIM(INDEX(FORM!$E:$E,ROW()))))</f>
        <v>BAO</v>
      </c>
      <c r="I147" s="8" t="str">
        <f>IF($A147="","",UPPER(TRIM(INDEX(FORM!$G:$G,ROW()))))</f>
        <v>CUKUP</v>
      </c>
      <c r="J147" s="8" t="str">
        <f>IF($A147="","",IF(ISNUMBER(SEARCH("Ya,",INDEX(FORM!$H:$H,ROW()))),"YA",IF(ISNUMBER(SEARCH("Cukup,",INDEX(FORM!$H:$H,ROW()))),"CUKUP",IF(ISNUMBER(SEARCH("Kurang,",INDEX(FORM!$H:$H,ROW()))),"KURANG",""))))</f>
        <v>CUKUP</v>
      </c>
      <c r="K147" s="8" t="str">
        <f>IF($A147="","",UPPER(TRIM(INDEX(FORM!$J:$J,ROW()))))</f>
        <v>CUKUP</v>
      </c>
      <c r="L147" s="8">
        <f>IF($A147="","",IF(ISNUMBER(SEARCH("Aktivitas Harian",INDEX(FORM!$K:$K,ROW()))),1,0))</f>
        <v>1</v>
      </c>
      <c r="M147" s="8">
        <f>IF($A147="","",IF(ISNUMBER(SEARCH("Aktivitas Mingguan",INDEX(FORM!$K:$K,ROW()))),1,0))</f>
        <v>0</v>
      </c>
      <c r="N147" s="8">
        <f>IF($A147="","",IF(ISNUMBER(SEARCH("Aktivitas Bulanan",INDEX(FORM!$K:$K,ROW()))),1,0))</f>
        <v>0</v>
      </c>
      <c r="O147" s="8">
        <f>IF($A147="","",IF(ISNUMBER(SEARCH("Overview Cabang",INDEX(FORM!$K:$K,ROW()))),1,0))</f>
        <v>0</v>
      </c>
      <c r="P147" s="8">
        <f>IF($A147="","",IFERROR(VLOOKUP(I147,DATA!$AH$9:$AI$13,2,0),""))</f>
        <v>2</v>
      </c>
      <c r="Q147" s="8">
        <f>IF($A147="","",IFERROR(VLOOKUP(J147,DATA!$AH$9:$AI$13,2,0),""))</f>
        <v>2</v>
      </c>
      <c r="R147" s="8">
        <f>IF($A147="","",IFERROR(VLOOKUP(K147,DATA!$AH$9:$AI$13,2,0),""))</f>
        <v>2</v>
      </c>
      <c r="S147" s="42">
        <f t="shared" si="44"/>
        <v>2</v>
      </c>
      <c r="T147" s="8">
        <f>IF($A147="","",IF(COUNTIF($D$2:D147,D147)=1,1,0))</f>
        <v>1</v>
      </c>
      <c r="U147" s="8" t="str">
        <f>IF($A147="","",IF(F147="-","Cabang tdk ada",IF(IFERROR(VLOOKUP(G147,#REF!,1,0),"")="","",IF(INDEX(DATA!$AH$2:$AH$5,MATCH(G147,DATA!$AI$2:$AI$5,0))&lt;&gt;F147,"Wilayah beda","OK"))))</f>
        <v/>
      </c>
      <c r="V147" s="8" t="str">
        <f>IF($A147="","",TRIM(INDEX(FORM!$I:$I,ROW())&amp;""))</f>
        <v>-</v>
      </c>
      <c r="W147" s="8" t="str">
        <f>IF($A147="","",TRIM(INDEX(FORM!$L:$L,ROW())&amp;""))</f>
        <v>-</v>
      </c>
      <c r="X147" s="8" t="str">
        <f>IF($A147="","",TRIM(INDEX(FORM!$M:$M,ROW())&amp;""))</f>
        <v>-</v>
      </c>
      <c r="Y147" s="8">
        <f>IF($A147="","",IFERROR(MATCH(F147,DATA!$AH$2:$AH$5,0),9)*10000+A147)</f>
        <v>20146</v>
      </c>
      <c r="Z147" s="8" t="str">
        <f t="shared" si="45"/>
        <v>Tidak ada masukan / sudah baik</v>
      </c>
      <c r="AA147" s="8" t="str">
        <f t="shared" si="46"/>
        <v>Tidak ada masukan / sudah baik</v>
      </c>
      <c r="AB147" s="8" t="str">
        <f t="shared" si="47"/>
        <v>Tidak ada masukan / sudah baik</v>
      </c>
      <c r="AC147" s="8"/>
      <c r="AD147" s="8"/>
      <c r="AE147" s="8"/>
      <c r="AK147" s="5">
        <f t="shared" si="48"/>
        <v>0</v>
      </c>
      <c r="AL147" s="5">
        <f t="shared" si="49"/>
        <v>0</v>
      </c>
      <c r="AM147" s="5">
        <f t="shared" si="50"/>
        <v>0</v>
      </c>
      <c r="AN147" s="5">
        <f t="shared" si="51"/>
        <v>0</v>
      </c>
      <c r="AO147" s="5">
        <f t="shared" si="52"/>
        <v>0</v>
      </c>
      <c r="AP147" s="5">
        <f t="shared" si="53"/>
        <v>0</v>
      </c>
      <c r="AQ147" s="5">
        <f t="shared" si="54"/>
        <v>0</v>
      </c>
      <c r="AR147" s="5">
        <f t="shared" si="55"/>
        <v>0</v>
      </c>
      <c r="AS147" s="5">
        <f t="shared" si="56"/>
        <v>0</v>
      </c>
      <c r="AT147" s="5">
        <f t="shared" si="57"/>
        <v>0</v>
      </c>
      <c r="AU147" s="5">
        <f t="shared" si="58"/>
        <v>0</v>
      </c>
      <c r="AV147" s="5">
        <f t="shared" si="59"/>
        <v>0</v>
      </c>
      <c r="AW147" s="5">
        <f t="shared" si="60"/>
        <v>0</v>
      </c>
      <c r="AX147" s="5">
        <f t="shared" si="61"/>
        <v>0</v>
      </c>
      <c r="AY147" s="5">
        <f t="shared" si="62"/>
        <v>0</v>
      </c>
      <c r="AZ147" s="5">
        <f t="shared" si="63"/>
        <v>0</v>
      </c>
      <c r="BA147" s="5">
        <f t="shared" si="64"/>
        <v>0</v>
      </c>
      <c r="BB147" s="5">
        <f t="shared" si="65"/>
        <v>0</v>
      </c>
    </row>
    <row r="148" spans="1:54">
      <c r="A148" s="87">
        <f>IF(INDEX(FORM!$A:$A,ROW())="","",ROW()-1)</f>
        <v>147</v>
      </c>
      <c r="B148" s="88">
        <f>IF($A148="","",INDEX(FORM!$A:$A,ROW()))</f>
        <v>46310.759861111103</v>
      </c>
      <c r="C148" s="87" t="str">
        <f>IF($A148="","",TRIM(INDEX(FORM!$B:$B,ROW())))</f>
        <v>Adham Rizky Pratama</v>
      </c>
      <c r="D148" s="87" t="str">
        <f>IF($A148="","",TRIM(INDEX(FORM!$C:$C,ROW())&amp;""))</f>
        <v>1510766</v>
      </c>
      <c r="E148" s="87" t="str">
        <f>IF($A148="","",UPPER(TRIM(INDEX(FORM!$D:$D,ROW()))))</f>
        <v>TULUNGAGUNG</v>
      </c>
      <c r="F148" s="87" t="str">
        <f>IF($A148="","",IFERROR(INDEX(PROGRES!$A$2:$A$92,MATCH(E148,PROGRES!$B$2:$B$92,0)),"-"))</f>
        <v>Jawa Timur</v>
      </c>
      <c r="G148" s="87" t="str">
        <f>IF($A148="","",UPPER(TRIM(INDEX(FORM!$F:$F,ROW()))))</f>
        <v>JATIM</v>
      </c>
      <c r="H148" s="87" t="str">
        <f>IF($A148="","",UPPER(TRIM(INDEX(FORM!$E:$E,ROW()))))</f>
        <v>CRO</v>
      </c>
      <c r="I148" s="87" t="str">
        <f>IF($A148="","",UPPER(TRIM(INDEX(FORM!$G:$G,ROW()))))</f>
        <v>CUKUP</v>
      </c>
      <c r="J148" s="87" t="str">
        <f>IF($A148="","",IF(ISNUMBER(SEARCH("Ya,",INDEX(FORM!$H:$H,ROW()))),"YA",IF(ISNUMBER(SEARCH("Cukup,",INDEX(FORM!$H:$H,ROW()))),"CUKUP",IF(ISNUMBER(SEARCH("Kurang,",INDEX(FORM!$H:$H,ROW()))),"KURANG",""))))</f>
        <v>CUKUP</v>
      </c>
      <c r="K148" s="87" t="str">
        <f>IF($A148="","",UPPER(TRIM(INDEX(FORM!$J:$J,ROW()))))</f>
        <v>CUKUP</v>
      </c>
      <c r="L148" s="87">
        <f>IF($A148="","",IF(ISNUMBER(SEARCH("Aktivitas Harian",INDEX(FORM!$K:$K,ROW()))),1,0))</f>
        <v>0</v>
      </c>
      <c r="M148" s="87">
        <f>IF($A148="","",IF(ISNUMBER(SEARCH("Aktivitas Mingguan",INDEX(FORM!$K:$K,ROW()))),1,0))</f>
        <v>1</v>
      </c>
      <c r="N148" s="87">
        <f>IF($A148="","",IF(ISNUMBER(SEARCH("Aktivitas Bulanan",INDEX(FORM!$K:$K,ROW()))),1,0))</f>
        <v>0</v>
      </c>
      <c r="O148" s="87">
        <f>IF($A148="","",IF(ISNUMBER(SEARCH("Overview Cabang",INDEX(FORM!$K:$K,ROW()))),1,0))</f>
        <v>0</v>
      </c>
      <c r="P148" s="87">
        <f>IF($A148="","",IFERROR(VLOOKUP(I148,DATA!$AH$9:$AI$13,2,0),""))</f>
        <v>2</v>
      </c>
      <c r="Q148" s="87">
        <f>IF($A148="","",IFERROR(VLOOKUP(J148,DATA!$AH$9:$AI$13,2,0),""))</f>
        <v>2</v>
      </c>
      <c r="R148" s="87">
        <f>IF($A148="","",IFERROR(VLOOKUP(K148,DATA!$AH$9:$AI$13,2,0),""))</f>
        <v>2</v>
      </c>
      <c r="S148" s="89">
        <f t="shared" si="44"/>
        <v>2</v>
      </c>
      <c r="T148" s="87">
        <f>IF($A148="","",IF(COUNTIF($D$2:D148,D148)=1,1,0))</f>
        <v>1</v>
      </c>
      <c r="U148" s="87" t="str">
        <f>IF($A148="","",IF(F148="-","Cabang tdk ada",IF(IFERROR(VLOOKUP(G148,#REF!,1,0),"")="","",IF(INDEX(DATA!$AH$2:$AH$5,MATCH(G148,DATA!$AI$2:$AI$5,0))&lt;&gt;F148,"Wilayah beda","OK"))))</f>
        <v/>
      </c>
      <c r="V148" s="87" t="str">
        <f>IF($A148="","",TRIM(INDEX(FORM!$I:$I,ROW())&amp;""))</f>
        <v>Menarik dan simple</v>
      </c>
      <c r="W148" s="87" t="str">
        <f>IF($A148="","",TRIM(INDEX(FORM!$L:$L,ROW())&amp;""))</f>
        <v>Sudah lengkap</v>
      </c>
      <c r="X148" s="87" t="str">
        <f>IF($A148="","",TRIM(INDEX(FORM!$M:$M,ROW())&amp;""))</f>
        <v>Sudah bagus</v>
      </c>
      <c r="Y148" s="8">
        <f>IF($A148="","",IFERROR(MATCH(F148,DATA!$AH$2:$AH$5,0),9)*10000+A148)</f>
        <v>30147</v>
      </c>
      <c r="Z148" s="87" t="str">
        <f t="shared" si="45"/>
        <v>Penyederhanaan &amp; Ringkas Isi</v>
      </c>
      <c r="AA148" s="87" t="str">
        <f t="shared" si="46"/>
        <v>Tidak ada masukan / sudah baik</v>
      </c>
      <c r="AB148" s="87" t="str">
        <f t="shared" si="47"/>
        <v>Tidak ada masukan / sudah baik</v>
      </c>
      <c r="AC148" s="87"/>
      <c r="AD148" s="87"/>
      <c r="AE148" s="87"/>
      <c r="AK148" s="90">
        <f t="shared" si="48"/>
        <v>0</v>
      </c>
      <c r="AL148" s="90">
        <f t="shared" si="49"/>
        <v>0</v>
      </c>
      <c r="AM148" s="90">
        <f t="shared" si="50"/>
        <v>0</v>
      </c>
      <c r="AN148" s="90">
        <f t="shared" si="51"/>
        <v>0</v>
      </c>
      <c r="AO148" s="90">
        <f t="shared" si="52"/>
        <v>0</v>
      </c>
      <c r="AP148" s="90">
        <f t="shared" si="53"/>
        <v>0</v>
      </c>
      <c r="AQ148" s="90">
        <f t="shared" si="54"/>
        <v>1</v>
      </c>
      <c r="AR148" s="90">
        <f t="shared" si="55"/>
        <v>0</v>
      </c>
      <c r="AS148" s="90">
        <f t="shared" si="56"/>
        <v>0</v>
      </c>
      <c r="AT148" s="90">
        <f t="shared" si="57"/>
        <v>0</v>
      </c>
      <c r="AU148" s="90">
        <f t="shared" si="58"/>
        <v>0</v>
      </c>
      <c r="AV148" s="90">
        <f t="shared" si="59"/>
        <v>0</v>
      </c>
      <c r="AW148" s="90">
        <f t="shared" si="60"/>
        <v>0</v>
      </c>
      <c r="AX148" s="90">
        <f t="shared" si="61"/>
        <v>0</v>
      </c>
      <c r="AY148" s="90">
        <f t="shared" si="62"/>
        <v>0</v>
      </c>
      <c r="AZ148" s="90">
        <f t="shared" si="63"/>
        <v>0</v>
      </c>
      <c r="BA148" s="90">
        <f t="shared" si="64"/>
        <v>0</v>
      </c>
      <c r="BB148" s="90">
        <f t="shared" si="65"/>
        <v>1</v>
      </c>
    </row>
    <row r="149" spans="1:54" s="5" customFormat="1" hidden="1">
      <c r="A149" s="8">
        <f>IF(INDEX(FORM!$A:$A,ROW())="","",ROW()-1)</f>
        <v>148</v>
      </c>
      <c r="B149" s="41">
        <f>IF($A149="","",INDEX(FORM!$A:$A,ROW()))</f>
        <v>46310.760983796303</v>
      </c>
      <c r="C149" s="8" t="str">
        <f>IF($A149="","",TRIM(INDEX(FORM!$B:$B,ROW())))</f>
        <v>ALFIAN SAIFUDDIN MAHMUD</v>
      </c>
      <c r="D149" s="8" t="str">
        <f>IF($A149="","",TRIM(INDEX(FORM!$C:$C,ROW())&amp;""))</f>
        <v>151578</v>
      </c>
      <c r="E149" s="8" t="str">
        <f>IF($A149="","",UPPER(TRIM(INDEX(FORM!$D:$D,ROW()))))</f>
        <v>PURWOREJO</v>
      </c>
      <c r="F149" s="8" t="str">
        <f>IF($A149="","",IFERROR(INDEX(PROGRES!$A$2:$A$92,MATCH(E149,PROGRES!$B$2:$B$92,0)),"-"))</f>
        <v>Jawa Tengah</v>
      </c>
      <c r="G149" s="8" t="str">
        <f>IF($A149="","",UPPER(TRIM(INDEX(FORM!$F:$F,ROW()))))</f>
        <v>JATENG DIY</v>
      </c>
      <c r="H149" s="8" t="str">
        <f>IF($A149="","",UPPER(TRIM(INDEX(FORM!$E:$E,ROW()))))</f>
        <v>BAO</v>
      </c>
      <c r="I149" s="8" t="str">
        <f>IF($A149="","",UPPER(TRIM(INDEX(FORM!$G:$G,ROW()))))</f>
        <v>MUDAH</v>
      </c>
      <c r="J149" s="8" t="str">
        <f>IF($A149="","",IF(ISNUMBER(SEARCH("Ya,",INDEX(FORM!$H:$H,ROW()))),"YA",IF(ISNUMBER(SEARCH("Cukup,",INDEX(FORM!$H:$H,ROW()))),"CUKUP",IF(ISNUMBER(SEARCH("Kurang,",INDEX(FORM!$H:$H,ROW()))),"KURANG",""))))</f>
        <v>YA</v>
      </c>
      <c r="K149" s="8" t="str">
        <f>IF($A149="","",UPPER(TRIM(INDEX(FORM!$J:$J,ROW()))))</f>
        <v>MUDAH</v>
      </c>
      <c r="L149" s="8">
        <f>IF($A149="","",IF(ISNUMBER(SEARCH("Aktivitas Harian",INDEX(FORM!$K:$K,ROW()))),1,0))</f>
        <v>1</v>
      </c>
      <c r="M149" s="8">
        <f>IF($A149="","",IF(ISNUMBER(SEARCH("Aktivitas Mingguan",INDEX(FORM!$K:$K,ROW()))),1,0))</f>
        <v>0</v>
      </c>
      <c r="N149" s="8">
        <f>IF($A149="","",IF(ISNUMBER(SEARCH("Aktivitas Bulanan",INDEX(FORM!$K:$K,ROW()))),1,0))</f>
        <v>0</v>
      </c>
      <c r="O149" s="8">
        <f>IF($A149="","",IF(ISNUMBER(SEARCH("Overview Cabang",INDEX(FORM!$K:$K,ROW()))),1,0))</f>
        <v>0</v>
      </c>
      <c r="P149" s="8">
        <f>IF($A149="","",IFERROR(VLOOKUP(I149,DATA!$AH$9:$AI$13,2,0),""))</f>
        <v>3</v>
      </c>
      <c r="Q149" s="8">
        <f>IF($A149="","",IFERROR(VLOOKUP(J149,DATA!$AH$9:$AI$13,2,0),""))</f>
        <v>3</v>
      </c>
      <c r="R149" s="8">
        <f>IF($A149="","",IFERROR(VLOOKUP(K149,DATA!$AH$9:$AI$13,2,0),""))</f>
        <v>3</v>
      </c>
      <c r="S149" s="42">
        <f t="shared" si="44"/>
        <v>3</v>
      </c>
      <c r="T149" s="8">
        <f>IF($A149="","",IF(COUNTIF($D$2:D149,D149)=1,1,0))</f>
        <v>1</v>
      </c>
      <c r="U149" s="8" t="str">
        <f>IF($A149="","",IF(F149="-","Cabang tdk ada",IF(IFERROR(VLOOKUP(G149,#REF!,1,0),"")="","",IF(INDEX(DATA!$AH$2:$AH$5,MATCH(G149,DATA!$AI$2:$AI$5,0))&lt;&gt;F149,"Wilayah beda","OK"))))</f>
        <v/>
      </c>
      <c r="V149" s="8" t="str">
        <f>IF($A149="","",TRIM(INDEX(FORM!$I:$I,ROW())&amp;""))</f>
        <v>web sudah bagus, Memberi panduan tanggung jawab pekerjaan masing masing</v>
      </c>
      <c r="W149" s="8" t="str">
        <f>IF($A149="","",TRIM(INDEX(FORM!$L:$L,ROW())&amp;""))</f>
        <v>sudah tercakup di cabang</v>
      </c>
      <c r="X149" s="8" t="str">
        <f>IF($A149="","",TRIM(INDEX(FORM!$M:$M,ROW())&amp;""))</f>
        <v>sementara tidak ada saran, wabsite sudah sangat membantu sesuai pekerjaan masing masing</v>
      </c>
      <c r="Y149" s="8">
        <f>IF($A149="","",IFERROR(MATCH(F149,DATA!$AH$2:$AH$5,0),9)*10000+A149)</f>
        <v>20148</v>
      </c>
      <c r="Z149" s="8" t="str">
        <f t="shared" si="45"/>
        <v>Tidak ada masukan / sudah baik</v>
      </c>
      <c r="AA149" s="8" t="str">
        <f t="shared" si="46"/>
        <v>Tidak ada masukan / sudah baik</v>
      </c>
      <c r="AB149" s="8" t="str">
        <f t="shared" si="47"/>
        <v>Tidak ada masukan / sudah baik</v>
      </c>
      <c r="AC149" s="8"/>
      <c r="AD149" s="8"/>
      <c r="AE149" s="8"/>
      <c r="AK149" s="5">
        <f t="shared" si="48"/>
        <v>0</v>
      </c>
      <c r="AL149" s="5">
        <f t="shared" si="49"/>
        <v>0</v>
      </c>
      <c r="AM149" s="5">
        <f t="shared" si="50"/>
        <v>0</v>
      </c>
      <c r="AN149" s="5">
        <f t="shared" si="51"/>
        <v>0</v>
      </c>
      <c r="AO149" s="5">
        <f t="shared" si="52"/>
        <v>0</v>
      </c>
      <c r="AP149" s="5">
        <f t="shared" si="53"/>
        <v>0</v>
      </c>
      <c r="AQ149" s="5">
        <f t="shared" si="54"/>
        <v>0</v>
      </c>
      <c r="AR149" s="5">
        <f t="shared" si="55"/>
        <v>0</v>
      </c>
      <c r="AS149" s="5">
        <f t="shared" si="56"/>
        <v>0</v>
      </c>
      <c r="AT149" s="5">
        <f t="shared" si="57"/>
        <v>0</v>
      </c>
      <c r="AU149" s="5">
        <f t="shared" si="58"/>
        <v>0</v>
      </c>
      <c r="AV149" s="5">
        <f t="shared" si="59"/>
        <v>0</v>
      </c>
      <c r="AW149" s="5">
        <f t="shared" si="60"/>
        <v>0</v>
      </c>
      <c r="AX149" s="5">
        <f t="shared" si="61"/>
        <v>0</v>
      </c>
      <c r="AY149" s="5">
        <f t="shared" si="62"/>
        <v>0</v>
      </c>
      <c r="AZ149" s="5">
        <f t="shared" si="63"/>
        <v>0</v>
      </c>
      <c r="BA149" s="5">
        <f t="shared" si="64"/>
        <v>0</v>
      </c>
      <c r="BB149" s="5">
        <f t="shared" si="65"/>
        <v>0</v>
      </c>
    </row>
    <row r="150" spans="1:54">
      <c r="A150" s="87">
        <f>IF(INDEX(FORM!$A:$A,ROW())="","",ROW()-1)</f>
        <v>149</v>
      </c>
      <c r="B150" s="88">
        <f>IF($A150="","",INDEX(FORM!$A:$A,ROW()))</f>
        <v>46310.799699074101</v>
      </c>
      <c r="C150" s="87" t="str">
        <f>IF($A150="","",TRIM(INDEX(FORM!$B:$B,ROW())))</f>
        <v>Desmon simatupang</v>
      </c>
      <c r="D150" s="87" t="str">
        <f>IF($A150="","",TRIM(INDEX(FORM!$C:$C,ROW())&amp;""))</f>
        <v>1511271</v>
      </c>
      <c r="E150" s="87" t="str">
        <f>IF($A150="","",UPPER(TRIM(INDEX(FORM!$D:$D,ROW()))))</f>
        <v>BALIKPAPAN</v>
      </c>
      <c r="F150" s="87" t="str">
        <f>IF($A150="","",IFERROR(INDEX(PROGRES!$A$2:$A$92,MATCH(E150,PROGRES!$B$2:$B$92,0)),"-"))</f>
        <v>Luar Pulau</v>
      </c>
      <c r="G150" s="87" t="str">
        <f>IF($A150="","",UPPER(TRIM(INDEX(FORM!$F:$F,ROW()))))</f>
        <v>LUAR PULAU</v>
      </c>
      <c r="H150" s="87" t="str">
        <f>IF($A150="","",UPPER(TRIM(INDEX(FORM!$E:$E,ROW()))))</f>
        <v>CRO</v>
      </c>
      <c r="I150" s="87" t="str">
        <f>IF($A150="","",UPPER(TRIM(INDEX(FORM!$G:$G,ROW()))))</f>
        <v>MUDAH</v>
      </c>
      <c r="J150" s="87" t="str">
        <f>IF($A150="","",IF(ISNUMBER(SEARCH("Ya,",INDEX(FORM!$H:$H,ROW()))),"YA",IF(ISNUMBER(SEARCH("Cukup,",INDEX(FORM!$H:$H,ROW()))),"CUKUP",IF(ISNUMBER(SEARCH("Kurang,",INDEX(FORM!$H:$H,ROW()))),"KURANG",""))))</f>
        <v>YA</v>
      </c>
      <c r="K150" s="87" t="str">
        <f>IF($A150="","",UPPER(TRIM(INDEX(FORM!$J:$J,ROW()))))</f>
        <v>MUDAH</v>
      </c>
      <c r="L150" s="87">
        <f>IF($A150="","",IF(ISNUMBER(SEARCH("Aktivitas Harian",INDEX(FORM!$K:$K,ROW()))),1,0))</f>
        <v>1</v>
      </c>
      <c r="M150" s="87">
        <f>IF($A150="","",IF(ISNUMBER(SEARCH("Aktivitas Mingguan",INDEX(FORM!$K:$K,ROW()))),1,0))</f>
        <v>0</v>
      </c>
      <c r="N150" s="87">
        <f>IF($A150="","",IF(ISNUMBER(SEARCH("Aktivitas Bulanan",INDEX(FORM!$K:$K,ROW()))),1,0))</f>
        <v>0</v>
      </c>
      <c r="O150" s="87">
        <f>IF($A150="","",IF(ISNUMBER(SEARCH("Overview Cabang",INDEX(FORM!$K:$K,ROW()))),1,0))</f>
        <v>0</v>
      </c>
      <c r="P150" s="87">
        <f>IF($A150="","",IFERROR(VLOOKUP(I150,DATA!$AH$9:$AI$13,2,0),""))</f>
        <v>3</v>
      </c>
      <c r="Q150" s="87">
        <f>IF($A150="","",IFERROR(VLOOKUP(J150,DATA!$AH$9:$AI$13,2,0),""))</f>
        <v>3</v>
      </c>
      <c r="R150" s="87">
        <f>IF($A150="","",IFERROR(VLOOKUP(K150,DATA!$AH$9:$AI$13,2,0),""))</f>
        <v>3</v>
      </c>
      <c r="S150" s="89">
        <f t="shared" si="44"/>
        <v>3</v>
      </c>
      <c r="T150" s="87">
        <f>IF($A150="","",IF(COUNTIF($D$2:D150,D150)=1,1,0))</f>
        <v>1</v>
      </c>
      <c r="U150" s="87" t="str">
        <f>IF($A150="","",IF(F150="-","Cabang tdk ada",IF(IFERROR(VLOOKUP(G150,#REF!,1,0),"")="","",IF(INDEX(DATA!$AH$2:$AH$5,MATCH(G150,DATA!$AI$2:$AI$5,0))&lt;&gt;F150,"Wilayah beda","OK"))))</f>
        <v/>
      </c>
      <c r="V150" s="87" t="str">
        <f>IF($A150="","",TRIM(INDEX(FORM!$I:$I,ROW())&amp;""))</f>
        <v>Sudah cukup baik</v>
      </c>
      <c r="W150" s="87" t="str">
        <f>IF($A150="","",TRIM(INDEX(FORM!$L:$L,ROW())&amp;""))</f>
        <v>Sudah mencakup semua</v>
      </c>
      <c r="X150" s="87" t="str">
        <f>IF($A150="","",TRIM(INDEX(FORM!$M:$M,ROW())&amp;""))</f>
        <v>Menjadi lebih saja</v>
      </c>
      <c r="Y150" s="8">
        <f>IF($A150="","",IFERROR(MATCH(F150,DATA!$AH$2:$AH$5,0),9)*10000+A150)</f>
        <v>40149</v>
      </c>
      <c r="Z150" s="87" t="str">
        <f t="shared" si="45"/>
        <v>Tidak ada masukan / sudah baik</v>
      </c>
      <c r="AA150" s="87" t="str">
        <f t="shared" si="46"/>
        <v>Tidak ada masukan / sudah baik</v>
      </c>
      <c r="AB150" s="87" t="str">
        <f t="shared" si="47"/>
        <v>Lainnya (perlu dibaca manual)</v>
      </c>
      <c r="AC150" s="87"/>
      <c r="AD150" s="87"/>
      <c r="AE150" s="87"/>
      <c r="AK150" s="90">
        <f t="shared" si="48"/>
        <v>0</v>
      </c>
      <c r="AL150" s="90">
        <f t="shared" si="49"/>
        <v>0</v>
      </c>
      <c r="AM150" s="90">
        <f t="shared" si="50"/>
        <v>0</v>
      </c>
      <c r="AN150" s="90">
        <f t="shared" si="51"/>
        <v>0</v>
      </c>
      <c r="AO150" s="90">
        <f t="shared" si="52"/>
        <v>0</v>
      </c>
      <c r="AP150" s="90">
        <f t="shared" si="53"/>
        <v>0</v>
      </c>
      <c r="AQ150" s="90">
        <f t="shared" si="54"/>
        <v>0</v>
      </c>
      <c r="AR150" s="90">
        <f t="shared" si="55"/>
        <v>0</v>
      </c>
      <c r="AS150" s="90">
        <f t="shared" si="56"/>
        <v>0</v>
      </c>
      <c r="AT150" s="90">
        <f t="shared" si="57"/>
        <v>0</v>
      </c>
      <c r="AU150" s="90">
        <f t="shared" si="58"/>
        <v>0</v>
      </c>
      <c r="AV150" s="90">
        <f t="shared" si="59"/>
        <v>0</v>
      </c>
      <c r="AW150" s="90">
        <f t="shared" si="60"/>
        <v>0</v>
      </c>
      <c r="AX150" s="90">
        <f t="shared" si="61"/>
        <v>0</v>
      </c>
      <c r="AY150" s="90">
        <f t="shared" si="62"/>
        <v>0</v>
      </c>
      <c r="AZ150" s="90">
        <f t="shared" si="63"/>
        <v>0</v>
      </c>
      <c r="BA150" s="90">
        <f t="shared" si="64"/>
        <v>1</v>
      </c>
      <c r="BB150" s="90">
        <f t="shared" si="65"/>
        <v>1</v>
      </c>
    </row>
    <row r="151" spans="1:54" s="5" customFormat="1" hidden="1">
      <c r="A151" s="8">
        <f>IF(INDEX(FORM!$A:$A,ROW())="","",ROW()-1)</f>
        <v>150</v>
      </c>
      <c r="B151" s="41">
        <f>IF($A151="","",INDEX(FORM!$A:$A,ROW()))</f>
        <v>46310.813750000001</v>
      </c>
      <c r="C151" s="8" t="str">
        <f>IF($A151="","",TRIM(INDEX(FORM!$B:$B,ROW())))</f>
        <v>DONI MARTHANIA</v>
      </c>
      <c r="D151" s="8" t="str">
        <f>IF($A151="","",TRIM(INDEX(FORM!$C:$C,ROW())&amp;""))</f>
        <v>1511310</v>
      </c>
      <c r="E151" s="8" t="str">
        <f>IF($A151="","",UPPER(TRIM(INDEX(FORM!$D:$D,ROW()))))</f>
        <v>GOLOMANTUNG</v>
      </c>
      <c r="F151" s="8" t="str">
        <f>IF($A151="","",IFERROR(INDEX(PROGRES!$A$2:$A$92,MATCH(E151,PROGRES!$B$2:$B$92,0)),"-"))</f>
        <v>Jawa Timur</v>
      </c>
      <c r="G151" s="8" t="str">
        <f>IF($A151="","",UPPER(TRIM(INDEX(FORM!$F:$F,ROW()))))</f>
        <v>JATIM</v>
      </c>
      <c r="H151" s="8" t="str">
        <f>IF($A151="","",UPPER(TRIM(INDEX(FORM!$E:$E,ROW()))))</f>
        <v>BM</v>
      </c>
      <c r="I151" s="8" t="str">
        <f>IF($A151="","",UPPER(TRIM(INDEX(FORM!$G:$G,ROW()))))</f>
        <v>CUKUP</v>
      </c>
      <c r="J151" s="8" t="str">
        <f>IF($A151="","",IF(ISNUMBER(SEARCH("Ya,",INDEX(FORM!$H:$H,ROW()))),"YA",IF(ISNUMBER(SEARCH("Cukup,",INDEX(FORM!$H:$H,ROW()))),"CUKUP",IF(ISNUMBER(SEARCH("Kurang,",INDEX(FORM!$H:$H,ROW()))),"KURANG",""))))</f>
        <v>YA</v>
      </c>
      <c r="K151" s="8" t="str">
        <f>IF($A151="","",UPPER(TRIM(INDEX(FORM!$J:$J,ROW()))))</f>
        <v>CUKUP</v>
      </c>
      <c r="L151" s="8">
        <f>IF($A151="","",IF(ISNUMBER(SEARCH("Aktivitas Harian",INDEX(FORM!$K:$K,ROW()))),1,0))</f>
        <v>1</v>
      </c>
      <c r="M151" s="8">
        <f>IF($A151="","",IF(ISNUMBER(SEARCH("Aktivitas Mingguan",INDEX(FORM!$K:$K,ROW()))),1,0))</f>
        <v>0</v>
      </c>
      <c r="N151" s="8">
        <f>IF($A151="","",IF(ISNUMBER(SEARCH("Aktivitas Bulanan",INDEX(FORM!$K:$K,ROW()))),1,0))</f>
        <v>0</v>
      </c>
      <c r="O151" s="8">
        <f>IF($A151="","",IF(ISNUMBER(SEARCH("Overview Cabang",INDEX(FORM!$K:$K,ROW()))),1,0))</f>
        <v>0</v>
      </c>
      <c r="P151" s="8">
        <f>IF($A151="","",IFERROR(VLOOKUP(I151,DATA!$AH$9:$AI$13,2,0),""))</f>
        <v>2</v>
      </c>
      <c r="Q151" s="8">
        <f>IF($A151="","",IFERROR(VLOOKUP(J151,DATA!$AH$9:$AI$13,2,0),""))</f>
        <v>3</v>
      </c>
      <c r="R151" s="8">
        <f>IF($A151="","",IFERROR(VLOOKUP(K151,DATA!$AH$9:$AI$13,2,0),""))</f>
        <v>2</v>
      </c>
      <c r="S151" s="42">
        <f t="shared" si="44"/>
        <v>2.3333333333333335</v>
      </c>
      <c r="T151" s="8">
        <f>IF($A151="","",IF(COUNTIF($D$2:D151,D151)=1,1,0))</f>
        <v>1</v>
      </c>
      <c r="U151" s="8" t="str">
        <f>IF($A151="","",IF(F151="-","Cabang tdk ada",IF(IFERROR(VLOOKUP(G151,#REF!,1,0),"")="","",IF(INDEX(DATA!$AH$2:$AH$5,MATCH(G151,DATA!$AI$2:$AI$5,0))&lt;&gt;F151,"Wilayah beda","OK"))))</f>
        <v/>
      </c>
      <c r="V151" s="8" t="str">
        <f>IF($A151="","",TRIM(INDEX(FORM!$I:$I,ROW())&amp;""))</f>
        <v>Untuk penambahan menu pencapaian penjualan per pelanggan agar ditampilkan per bulan agar kita lebih mudah mengetahui mana pelanggan prospek dari bulan ke bulan</v>
      </c>
      <c r="W151" s="8" t="str">
        <f>IF($A151="","",TRIM(INDEX(FORM!$L:$L,ROW())&amp;""))</f>
        <v>Untuk SOP sudah cukup jelas tinggal pengaplikasian dilapangan yang perlu dijalankan untuk memperjelas standart atau langkah apa yg harus dijalankan agar sinkron dengan harapan perusahaan dan harapan pelanggan</v>
      </c>
      <c r="X151" s="8" t="str">
        <f>IF($A151="","",TRIM(INDEX(FORM!$M:$M,ROW())&amp;""))</f>
        <v>Terkait produk yang harus dipenuhi di cabang harus disesuaikan dengan kondisi pasar tiap daerah karena tiap daerah mempunyai kebutuhan produk yang berbeda</v>
      </c>
      <c r="Y151" s="8">
        <f>IF($A151="","",IFERROR(MATCH(F151,DATA!$AH$2:$AH$5,0),9)*10000+A151)</f>
        <v>30150</v>
      </c>
      <c r="Z151" s="8" t="str">
        <f t="shared" si="45"/>
        <v>Menu per Jabatan / Navigasi</v>
      </c>
      <c r="AA151" s="8" t="str">
        <f t="shared" si="46"/>
        <v>Tidak ada masukan / sudah baik</v>
      </c>
      <c r="AB151" s="8" t="str">
        <f t="shared" si="47"/>
        <v>Tidak ada masukan / sudah baik</v>
      </c>
      <c r="AC151" s="8"/>
      <c r="AD151" s="8"/>
      <c r="AE151" s="8"/>
      <c r="AK151" s="5">
        <f t="shared" si="48"/>
        <v>0</v>
      </c>
      <c r="AL151" s="5">
        <f t="shared" si="49"/>
        <v>0</v>
      </c>
      <c r="AM151" s="5">
        <f t="shared" si="50"/>
        <v>0</v>
      </c>
      <c r="AN151" s="5">
        <f t="shared" si="51"/>
        <v>1</v>
      </c>
      <c r="AO151" s="5">
        <f t="shared" si="52"/>
        <v>0</v>
      </c>
      <c r="AP151" s="5">
        <f t="shared" si="53"/>
        <v>0</v>
      </c>
      <c r="AQ151" s="5">
        <f t="shared" si="54"/>
        <v>0</v>
      </c>
      <c r="AR151" s="5">
        <f t="shared" si="55"/>
        <v>0</v>
      </c>
      <c r="AS151" s="5">
        <f t="shared" si="56"/>
        <v>0</v>
      </c>
      <c r="AT151" s="5">
        <f t="shared" si="57"/>
        <v>0</v>
      </c>
      <c r="AU151" s="5">
        <f t="shared" si="58"/>
        <v>0</v>
      </c>
      <c r="AV151" s="5">
        <f t="shared" si="59"/>
        <v>0</v>
      </c>
      <c r="AW151" s="5">
        <f t="shared" si="60"/>
        <v>0</v>
      </c>
      <c r="AX151" s="5">
        <f t="shared" si="61"/>
        <v>0</v>
      </c>
      <c r="AY151" s="5">
        <f t="shared" si="62"/>
        <v>0</v>
      </c>
      <c r="AZ151" s="5">
        <f t="shared" si="63"/>
        <v>0</v>
      </c>
      <c r="BA151" s="5">
        <f t="shared" si="64"/>
        <v>0</v>
      </c>
      <c r="BB151" s="5">
        <f t="shared" si="65"/>
        <v>1</v>
      </c>
    </row>
    <row r="152" spans="1:54" s="5" customFormat="1" hidden="1">
      <c r="A152" s="8">
        <f>IF(INDEX(FORM!$A:$A,ROW())="","",ROW()-1)</f>
        <v>151</v>
      </c>
      <c r="B152" s="41">
        <f>IF($A152="","",INDEX(FORM!$A:$A,ROW()))</f>
        <v>46310.813750000001</v>
      </c>
      <c r="C152" s="8" t="str">
        <f>IF($A152="","",TRIM(INDEX(FORM!$B:$B,ROW())))</f>
        <v>DONI MARTHANIA</v>
      </c>
      <c r="D152" s="8" t="str">
        <f>IF($A152="","",TRIM(INDEX(FORM!$C:$C,ROW())&amp;""))</f>
        <v>1511310</v>
      </c>
      <c r="E152" s="8" t="str">
        <f>IF($A152="","",UPPER(TRIM(INDEX(FORM!$D:$D,ROW()))))</f>
        <v>SIDAYU</v>
      </c>
      <c r="F152" s="8" t="str">
        <f>IF($A152="","",IFERROR(INDEX(PROGRES!$A$2:$A$92,MATCH(E152,PROGRES!$B$2:$B$92,0)),"-"))</f>
        <v>Jawa Timur</v>
      </c>
      <c r="G152" s="8" t="str">
        <f>IF($A152="","",UPPER(TRIM(INDEX(FORM!$F:$F,ROW()))))</f>
        <v>JATIM</v>
      </c>
      <c r="H152" s="8" t="str">
        <f>IF($A152="","",UPPER(TRIM(INDEX(FORM!$E:$E,ROW()))))</f>
        <v>BM</v>
      </c>
      <c r="I152" s="8" t="str">
        <f>IF($A152="","",UPPER(TRIM(INDEX(FORM!$G:$G,ROW()))))</f>
        <v>CUKUP</v>
      </c>
      <c r="J152" s="8" t="str">
        <f>IF($A152="","",IF(ISNUMBER(SEARCH("Ya,",INDEX(FORM!$H:$H,ROW()))),"YA",IF(ISNUMBER(SEARCH("Cukup,",INDEX(FORM!$H:$H,ROW()))),"CUKUP",IF(ISNUMBER(SEARCH("Kurang,",INDEX(FORM!$H:$H,ROW()))),"KURANG",""))))</f>
        <v>YA</v>
      </c>
      <c r="K152" s="8" t="str">
        <f>IF($A152="","",UPPER(TRIM(INDEX(FORM!$J:$J,ROW()))))</f>
        <v>CUKUP</v>
      </c>
      <c r="L152" s="8">
        <f>IF($A152="","",IF(ISNUMBER(SEARCH("Aktivitas Harian",INDEX(FORM!$K:$K,ROW()))),1,0))</f>
        <v>1</v>
      </c>
      <c r="M152" s="8">
        <f>IF($A152="","",IF(ISNUMBER(SEARCH("Aktivitas Mingguan",INDEX(FORM!$K:$K,ROW()))),1,0))</f>
        <v>0</v>
      </c>
      <c r="N152" s="8">
        <f>IF($A152="","",IF(ISNUMBER(SEARCH("Aktivitas Bulanan",INDEX(FORM!$K:$K,ROW()))),1,0))</f>
        <v>0</v>
      </c>
      <c r="O152" s="8">
        <f>IF($A152="","",IF(ISNUMBER(SEARCH("Overview Cabang",INDEX(FORM!$K:$K,ROW()))),1,0))</f>
        <v>0</v>
      </c>
      <c r="P152" s="8">
        <f>IF($A152="","",IFERROR(VLOOKUP(I152,DATA!$AH$9:$AI$13,2,0),""))</f>
        <v>2</v>
      </c>
      <c r="Q152" s="8">
        <f>IF($A152="","",IFERROR(VLOOKUP(J152,DATA!$AH$9:$AI$13,2,0),""))</f>
        <v>3</v>
      </c>
      <c r="R152" s="8">
        <f>IF($A152="","",IFERROR(VLOOKUP(K152,DATA!$AH$9:$AI$13,2,0),""))</f>
        <v>2</v>
      </c>
      <c r="S152" s="42">
        <f t="shared" si="44"/>
        <v>2.3333333333333335</v>
      </c>
      <c r="T152" s="8">
        <f>IF($A152="","",IF(COUNTIF($D$2:D152,D152)=1,1,0))</f>
        <v>0</v>
      </c>
      <c r="U152" s="8" t="str">
        <f>IF($A152="","",IF(F152="-","Cabang tdk ada",IF(IFERROR(VLOOKUP(G152,#REF!,1,0),"")="","",IF(INDEX(DATA!$AH$2:$AH$5,MATCH(G152,DATA!$AI$2:$AI$5,0))&lt;&gt;F152,"Wilayah beda","OK"))))</f>
        <v/>
      </c>
      <c r="V152" s="8" t="str">
        <f>IF($A152="","",TRIM(INDEX(FORM!$I:$I,ROW())&amp;""))</f>
        <v>Untuk penambahan menu pencapaian penjualan per pelanggan agar ditampilkan per bulan agar kita lebih mudah mengetahui mana pelanggan prospek dari bulan ke bulan</v>
      </c>
      <c r="W152" s="8" t="str">
        <f>IF($A152="","",TRIM(INDEX(FORM!$L:$L,ROW())&amp;""))</f>
        <v>Untuk SOP sudah cukup jelas tinggal pengaplikasian dilapangan yang perlu dijalankan untuk memperjelas standart atau langkah apa yg harus dijalankan agar sinkron dengan harapan perusahaan dan harapan pelanggan</v>
      </c>
      <c r="X152" s="8" t="str">
        <f>IF($A152="","",TRIM(INDEX(FORM!$M:$M,ROW())&amp;""))</f>
        <v>Terkait produk yang harus dipenuhi di cabang harus disesuaikan dengan kondisi pasar tiap daerah karena tiap daerah mempunyai kebutuhan produk yang berbeda</v>
      </c>
      <c r="Y152" s="8">
        <f>IF($A152="","",IFERROR(MATCH(F152,DATA!$AH$2:$AH$5,0),9)*10000+A152)</f>
        <v>30151</v>
      </c>
      <c r="Z152" s="8" t="str">
        <f t="shared" si="45"/>
        <v>Menu per Jabatan / Navigasi</v>
      </c>
      <c r="AA152" s="8" t="str">
        <f t="shared" si="46"/>
        <v>Tidak ada masukan / sudah baik</v>
      </c>
      <c r="AB152" s="8" t="str">
        <f t="shared" si="47"/>
        <v>Tidak ada masukan / sudah baik</v>
      </c>
      <c r="AC152" s="8"/>
      <c r="AD152" s="8"/>
      <c r="AE152" s="8"/>
      <c r="AK152" s="5">
        <f t="shared" si="48"/>
        <v>0</v>
      </c>
      <c r="AL152" s="5">
        <f t="shared" si="49"/>
        <v>0</v>
      </c>
      <c r="AM152" s="5">
        <f t="shared" si="50"/>
        <v>0</v>
      </c>
      <c r="AN152" s="5">
        <f t="shared" si="51"/>
        <v>1</v>
      </c>
      <c r="AO152" s="5">
        <f t="shared" si="52"/>
        <v>0</v>
      </c>
      <c r="AP152" s="5">
        <f t="shared" si="53"/>
        <v>0</v>
      </c>
      <c r="AQ152" s="5">
        <f t="shared" si="54"/>
        <v>0</v>
      </c>
      <c r="AR152" s="5">
        <f t="shared" si="55"/>
        <v>0</v>
      </c>
      <c r="AS152" s="5">
        <f t="shared" si="56"/>
        <v>0</v>
      </c>
      <c r="AT152" s="5">
        <f t="shared" si="57"/>
        <v>0</v>
      </c>
      <c r="AU152" s="5">
        <f t="shared" si="58"/>
        <v>0</v>
      </c>
      <c r="AV152" s="5">
        <f t="shared" si="59"/>
        <v>0</v>
      </c>
      <c r="AW152" s="5">
        <f t="shared" si="60"/>
        <v>0</v>
      </c>
      <c r="AX152" s="5">
        <f t="shared" si="61"/>
        <v>0</v>
      </c>
      <c r="AY152" s="5">
        <f t="shared" si="62"/>
        <v>0</v>
      </c>
      <c r="AZ152" s="5">
        <f t="shared" si="63"/>
        <v>0</v>
      </c>
      <c r="BA152" s="5">
        <f t="shared" si="64"/>
        <v>0</v>
      </c>
      <c r="BB152" s="5">
        <f t="shared" si="65"/>
        <v>1</v>
      </c>
    </row>
    <row r="153" spans="1:54">
      <c r="A153" s="87">
        <f>IF(INDEX(FORM!$A:$A,ROW())="","",ROW()-1)</f>
        <v>152</v>
      </c>
      <c r="B153" s="88">
        <f>IF($A153="","",INDEX(FORM!$A:$A,ROW()))</f>
        <v>46310.842141203699</v>
      </c>
      <c r="C153" s="87" t="str">
        <f>IF($A153="","",TRIM(INDEX(FORM!$B:$B,ROW())))</f>
        <v>Harmoyo wdhi utomo</v>
      </c>
      <c r="D153" s="87" t="str">
        <f>IF($A153="","",TRIM(INDEX(FORM!$C:$C,ROW())&amp;""))</f>
        <v>2033</v>
      </c>
      <c r="E153" s="87" t="str">
        <f>IF($A153="","",UPPER(TRIM(INDEX(FORM!$D:$D,ROW()))))</f>
        <v>PURWOKERTO</v>
      </c>
      <c r="F153" s="87" t="str">
        <f>IF($A153="","",IFERROR(INDEX(PROGRES!$A$2:$A$92,MATCH(E153,PROGRES!$B$2:$B$92,0)),"-"))</f>
        <v>Jawa Tengah</v>
      </c>
      <c r="G153" s="87" t="str">
        <f>IF($A153="","",UPPER(TRIM(INDEX(FORM!$F:$F,ROW()))))</f>
        <v>JATENG DIY</v>
      </c>
      <c r="H153" s="87" t="str">
        <f>IF($A153="","",UPPER(TRIM(INDEX(FORM!$E:$E,ROW()))))</f>
        <v>CRO</v>
      </c>
      <c r="I153" s="87" t="str">
        <f>IF($A153="","",UPPER(TRIM(INDEX(FORM!$G:$G,ROW()))))</f>
        <v>CUKUP</v>
      </c>
      <c r="J153" s="87" t="str">
        <f>IF($A153="","",IF(ISNUMBER(SEARCH("Ya,",INDEX(FORM!$H:$H,ROW()))),"YA",IF(ISNUMBER(SEARCH("Cukup,",INDEX(FORM!$H:$H,ROW()))),"CUKUP",IF(ISNUMBER(SEARCH("Kurang,",INDEX(FORM!$H:$H,ROW()))),"KURANG",""))))</f>
        <v>CUKUP</v>
      </c>
      <c r="K153" s="87" t="str">
        <f>IF($A153="","",UPPER(TRIM(INDEX(FORM!$J:$J,ROW()))))</f>
        <v>CUKUP</v>
      </c>
      <c r="L153" s="87">
        <f>IF($A153="","",IF(ISNUMBER(SEARCH("Aktivitas Harian",INDEX(FORM!$K:$K,ROW()))),1,0))</f>
        <v>1</v>
      </c>
      <c r="M153" s="87">
        <f>IF($A153="","",IF(ISNUMBER(SEARCH("Aktivitas Mingguan",INDEX(FORM!$K:$K,ROW()))),1,0))</f>
        <v>0</v>
      </c>
      <c r="N153" s="87">
        <f>IF($A153="","",IF(ISNUMBER(SEARCH("Aktivitas Bulanan",INDEX(FORM!$K:$K,ROW()))),1,0))</f>
        <v>0</v>
      </c>
      <c r="O153" s="87">
        <f>IF($A153="","",IF(ISNUMBER(SEARCH("Overview Cabang",INDEX(FORM!$K:$K,ROW()))),1,0))</f>
        <v>0</v>
      </c>
      <c r="P153" s="87">
        <f>IF($A153="","",IFERROR(VLOOKUP(I153,DATA!$AH$9:$AI$13,2,0),""))</f>
        <v>2</v>
      </c>
      <c r="Q153" s="87">
        <f>IF($A153="","",IFERROR(VLOOKUP(J153,DATA!$AH$9:$AI$13,2,0),""))</f>
        <v>2</v>
      </c>
      <c r="R153" s="87">
        <f>IF($A153="","",IFERROR(VLOOKUP(K153,DATA!$AH$9:$AI$13,2,0),""))</f>
        <v>2</v>
      </c>
      <c r="S153" s="89">
        <f t="shared" si="44"/>
        <v>2</v>
      </c>
      <c r="T153" s="87">
        <f>IF($A153="","",IF(COUNTIF($D$2:D153,D153)=1,1,0))</f>
        <v>1</v>
      </c>
      <c r="U153" s="87" t="str">
        <f>IF($A153="","",IF(F153="-","Cabang tdk ada",IF(IFERROR(VLOOKUP(G153,#REF!,1,0),"")="","",IF(INDEX(DATA!$AH$2:$AH$5,MATCH(G153,DATA!$AI$2:$AI$5,0))&lt;&gt;F153,"Wilayah beda","OK"))))</f>
        <v/>
      </c>
      <c r="V153" s="87" t="str">
        <f>IF($A153="","",TRIM(INDEX(FORM!$I:$I,ROW())&amp;""))</f>
        <v>Tingkakan ters kecepatannya sehingga akan mempermudah akses dilapangan</v>
      </c>
      <c r="W153" s="87" t="str">
        <f>IF($A153="","",TRIM(INDEX(FORM!$L:$L,ROW())&amp;""))</f>
        <v>Tifak ada</v>
      </c>
      <c r="X153" s="87" t="str">
        <f>IF($A153="","",TRIM(INDEX(FORM!$M:$M,ROW())&amp;""))</f>
        <v>Tidak ada</v>
      </c>
      <c r="Y153" s="8">
        <f>IF($A153="","",IFERROR(MATCH(F153,DATA!$AH$2:$AH$5,0),9)*10000+A153)</f>
        <v>20152</v>
      </c>
      <c r="Z153" s="87" t="str">
        <f t="shared" si="45"/>
        <v>Kecepatan &amp; Loading Website</v>
      </c>
      <c r="AA153" s="87" t="str">
        <f t="shared" si="46"/>
        <v>Lainnya (perlu dibaca manual)</v>
      </c>
      <c r="AB153" s="87" t="str">
        <f t="shared" si="47"/>
        <v>Tidak ada masukan / sudah baik</v>
      </c>
      <c r="AC153" s="87"/>
      <c r="AD153" s="87"/>
      <c r="AE153" s="87"/>
      <c r="AK153" s="90">
        <f t="shared" si="48"/>
        <v>1</v>
      </c>
      <c r="AL153" s="90">
        <f t="shared" si="49"/>
        <v>0</v>
      </c>
      <c r="AM153" s="90">
        <f t="shared" si="50"/>
        <v>0</v>
      </c>
      <c r="AN153" s="90">
        <f t="shared" si="51"/>
        <v>0</v>
      </c>
      <c r="AO153" s="90">
        <f t="shared" si="52"/>
        <v>0</v>
      </c>
      <c r="AP153" s="90">
        <f t="shared" si="53"/>
        <v>0</v>
      </c>
      <c r="AQ153" s="90">
        <f t="shared" si="54"/>
        <v>0</v>
      </c>
      <c r="AR153" s="90">
        <f t="shared" si="55"/>
        <v>0</v>
      </c>
      <c r="AS153" s="90">
        <f t="shared" si="56"/>
        <v>0</v>
      </c>
      <c r="AT153" s="90">
        <f t="shared" si="57"/>
        <v>0</v>
      </c>
      <c r="AU153" s="90">
        <f t="shared" si="58"/>
        <v>0</v>
      </c>
      <c r="AV153" s="90">
        <f t="shared" si="59"/>
        <v>0</v>
      </c>
      <c r="AW153" s="90">
        <f t="shared" si="60"/>
        <v>0</v>
      </c>
      <c r="AX153" s="90">
        <f t="shared" si="61"/>
        <v>0</v>
      </c>
      <c r="AY153" s="90">
        <f t="shared" si="62"/>
        <v>0</v>
      </c>
      <c r="AZ153" s="90">
        <f t="shared" si="63"/>
        <v>0</v>
      </c>
      <c r="BA153" s="90">
        <f t="shared" si="64"/>
        <v>1</v>
      </c>
      <c r="BB153" s="90">
        <f t="shared" si="65"/>
        <v>1</v>
      </c>
    </row>
    <row r="154" spans="1:54">
      <c r="A154" s="87">
        <f>IF(INDEX(FORM!$A:$A,ROW())="","",ROW()-1)</f>
        <v>153</v>
      </c>
      <c r="B154" s="88">
        <f>IF($A154="","",INDEX(FORM!$A:$A,ROW()))</f>
        <v>46310.918391203697</v>
      </c>
      <c r="C154" s="87" t="str">
        <f>IF($A154="","",TRIM(INDEX(FORM!$B:$B,ROW())))</f>
        <v>NUR AMRI YUSUF BAHANDI</v>
      </c>
      <c r="D154" s="87" t="str">
        <f>IF($A154="","",TRIM(INDEX(FORM!$C:$C,ROW())&amp;""))</f>
        <v>1510535</v>
      </c>
      <c r="E154" s="87" t="str">
        <f>IF($A154="","",UPPER(TRIM(INDEX(FORM!$D:$D,ROW()))))</f>
        <v>SIDAYU</v>
      </c>
      <c r="F154" s="87" t="str">
        <f>IF($A154="","",IFERROR(INDEX(PROGRES!$A$2:$A$92,MATCH(E154,PROGRES!$B$2:$B$92,0)),"-"))</f>
        <v>Jawa Timur</v>
      </c>
      <c r="G154" s="87" t="str">
        <f>IF($A154="","",UPPER(TRIM(INDEX(FORM!$F:$F,ROW()))))</f>
        <v>JATIM</v>
      </c>
      <c r="H154" s="87" t="str">
        <f>IF($A154="","",UPPER(TRIM(INDEX(FORM!$E:$E,ROW()))))</f>
        <v>CRO</v>
      </c>
      <c r="I154" s="87" t="str">
        <f>IF($A154="","",UPPER(TRIM(INDEX(FORM!$G:$G,ROW()))))</f>
        <v>MUDAH</v>
      </c>
      <c r="J154" s="87" t="str">
        <f>IF($A154="","",IF(ISNUMBER(SEARCH("Ya,",INDEX(FORM!$H:$H,ROW()))),"YA",IF(ISNUMBER(SEARCH("Cukup,",INDEX(FORM!$H:$H,ROW()))),"CUKUP",IF(ISNUMBER(SEARCH("Kurang,",INDEX(FORM!$H:$H,ROW()))),"KURANG",""))))</f>
        <v>YA</v>
      </c>
      <c r="K154" s="87" t="str">
        <f>IF($A154="","",UPPER(TRIM(INDEX(FORM!$J:$J,ROW()))))</f>
        <v>CUKUP</v>
      </c>
      <c r="L154" s="87">
        <f>IF($A154="","",IF(ISNUMBER(SEARCH("Aktivitas Harian",INDEX(FORM!$K:$K,ROW()))),1,0))</f>
        <v>1</v>
      </c>
      <c r="M154" s="87">
        <f>IF($A154="","",IF(ISNUMBER(SEARCH("Aktivitas Mingguan",INDEX(FORM!$K:$K,ROW()))),1,0))</f>
        <v>1</v>
      </c>
      <c r="N154" s="87">
        <f>IF($A154="","",IF(ISNUMBER(SEARCH("Aktivitas Bulanan",INDEX(FORM!$K:$K,ROW()))),1,0))</f>
        <v>1</v>
      </c>
      <c r="O154" s="87">
        <f>IF($A154="","",IF(ISNUMBER(SEARCH("Overview Cabang",INDEX(FORM!$K:$K,ROW()))),1,0))</f>
        <v>1</v>
      </c>
      <c r="P154" s="87">
        <f>IF($A154="","",IFERROR(VLOOKUP(I154,DATA!$AH$9:$AI$13,2,0),""))</f>
        <v>3</v>
      </c>
      <c r="Q154" s="87">
        <f>IF($A154="","",IFERROR(VLOOKUP(J154,DATA!$AH$9:$AI$13,2,0),""))</f>
        <v>3</v>
      </c>
      <c r="R154" s="87">
        <f>IF($A154="","",IFERROR(VLOOKUP(K154,DATA!$AH$9:$AI$13,2,0),""))</f>
        <v>2</v>
      </c>
      <c r="S154" s="89">
        <f t="shared" si="44"/>
        <v>2.6666666666666665</v>
      </c>
      <c r="T154" s="87">
        <f>IF($A154="","",IF(COUNTIF($D$2:D154,D154)=1,1,0))</f>
        <v>1</v>
      </c>
      <c r="U154" s="87" t="str">
        <f>IF($A154="","",IF(F154="-","Cabang tdk ada",IF(IFERROR(VLOOKUP(G154,#REF!,1,0),"")="","",IF(INDEX(DATA!$AH$2:$AH$5,MATCH(G154,DATA!$AI$2:$AI$5,0))&lt;&gt;F154,"Wilayah beda","OK"))))</f>
        <v/>
      </c>
      <c r="V154" s="87" t="str">
        <f>IF($A154="","",TRIM(INDEX(FORM!$I:$I,ROW())&amp;""))</f>
        <v>Cukup baik</v>
      </c>
      <c r="W154" s="87" t="str">
        <f>IF($A154="","",TRIM(INDEX(FORM!$L:$L,ROW())&amp;""))</f>
        <v>Cukup tercakup semua</v>
      </c>
      <c r="X154" s="87" t="str">
        <f>IF($A154="","",TRIM(INDEX(FORM!$M:$M,ROW())&amp;""))</f>
        <v>Yang terbaik demi kemajuan perusahaan. Zaman serba digital dituntut untuk selalu update sistem dan digitalisasi program. Mulai dari skala pusat hingga ke seluruh cabang SID.</v>
      </c>
      <c r="Y154" s="8">
        <f>IF($A154="","",IFERROR(MATCH(F154,DATA!$AH$2:$AH$5,0),9)*10000+A154)</f>
        <v>30153</v>
      </c>
      <c r="Z154" s="87" t="str">
        <f t="shared" si="45"/>
        <v>Tidak ada masukan / sudah baik</v>
      </c>
      <c r="AA154" s="87" t="str">
        <f t="shared" si="46"/>
        <v>Tidak ada masukan / sudah baik</v>
      </c>
      <c r="AB154" s="87" t="str">
        <f t="shared" si="47"/>
        <v>Fitur Baru (Dashboard / KPI / Database)</v>
      </c>
      <c r="AC154" s="87"/>
      <c r="AD154" s="87"/>
      <c r="AE154" s="87"/>
      <c r="AK154" s="90">
        <f t="shared" si="48"/>
        <v>0</v>
      </c>
      <c r="AL154" s="90">
        <f t="shared" si="49"/>
        <v>0</v>
      </c>
      <c r="AM154" s="90">
        <f t="shared" si="50"/>
        <v>0</v>
      </c>
      <c r="AN154" s="90">
        <f t="shared" si="51"/>
        <v>0</v>
      </c>
      <c r="AO154" s="90">
        <f t="shared" si="52"/>
        <v>0</v>
      </c>
      <c r="AP154" s="90">
        <f t="shared" si="53"/>
        <v>1</v>
      </c>
      <c r="AQ154" s="90">
        <f t="shared" si="54"/>
        <v>0</v>
      </c>
      <c r="AR154" s="90">
        <f t="shared" si="55"/>
        <v>0</v>
      </c>
      <c r="AS154" s="90">
        <f t="shared" si="56"/>
        <v>0</v>
      </c>
      <c r="AT154" s="90">
        <f t="shared" si="57"/>
        <v>0</v>
      </c>
      <c r="AU154" s="90">
        <f t="shared" si="58"/>
        <v>0</v>
      </c>
      <c r="AV154" s="90">
        <f t="shared" si="59"/>
        <v>0</v>
      </c>
      <c r="AW154" s="90">
        <f t="shared" si="60"/>
        <v>0</v>
      </c>
      <c r="AX154" s="90">
        <f t="shared" si="61"/>
        <v>0</v>
      </c>
      <c r="AY154" s="90">
        <f t="shared" si="62"/>
        <v>0</v>
      </c>
      <c r="AZ154" s="90">
        <f t="shared" si="63"/>
        <v>0</v>
      </c>
      <c r="BA154" s="90">
        <f t="shared" si="64"/>
        <v>0</v>
      </c>
      <c r="BB154" s="90">
        <f t="shared" si="65"/>
        <v>1</v>
      </c>
    </row>
    <row r="155" spans="1:54">
      <c r="A155" s="87">
        <f>IF(INDEX(FORM!$A:$A,ROW())="","",ROW()-1)</f>
        <v>154</v>
      </c>
      <c r="B155" s="88">
        <f>IF($A155="","",INDEX(FORM!$A:$A,ROW()))</f>
        <v>46311.281435185199</v>
      </c>
      <c r="C155" s="87" t="str">
        <f>IF($A155="","",TRIM(INDEX(FORM!$B:$B,ROW())))</f>
        <v>Eko Zudi Novida</v>
      </c>
      <c r="D155" s="87" t="str">
        <f>IF($A155="","",TRIM(INDEX(FORM!$C:$C,ROW())&amp;""))</f>
        <v>1510953</v>
      </c>
      <c r="E155" s="87" t="str">
        <f>IF($A155="","",UPPER(TRIM(INDEX(FORM!$D:$D,ROW()))))</f>
        <v>MAGETAN</v>
      </c>
      <c r="F155" s="87" t="str">
        <f>IF($A155="","",IFERROR(INDEX(PROGRES!$A$2:$A$92,MATCH(E155,PROGRES!$B$2:$B$92,0)),"-"))</f>
        <v>Jawa Timur</v>
      </c>
      <c r="G155" s="87" t="str">
        <f>IF($A155="","",UPPER(TRIM(INDEX(FORM!$F:$F,ROW()))))</f>
        <v>JATIM</v>
      </c>
      <c r="H155" s="87" t="str">
        <f>IF($A155="","",UPPER(TRIM(INDEX(FORM!$E:$E,ROW()))))</f>
        <v>CRO</v>
      </c>
      <c r="I155" s="87" t="str">
        <f>IF($A155="","",UPPER(TRIM(INDEX(FORM!$G:$G,ROW()))))</f>
        <v>MUDAH</v>
      </c>
      <c r="J155" s="87" t="str">
        <f>IF($A155="","",IF(ISNUMBER(SEARCH("Ya,",INDEX(FORM!$H:$H,ROW()))),"YA",IF(ISNUMBER(SEARCH("Cukup,",INDEX(FORM!$H:$H,ROW()))),"CUKUP",IF(ISNUMBER(SEARCH("Kurang,",INDEX(FORM!$H:$H,ROW()))),"KURANG",""))))</f>
        <v>YA</v>
      </c>
      <c r="K155" s="87" t="str">
        <f>IF($A155="","",UPPER(TRIM(INDEX(FORM!$J:$J,ROW()))))</f>
        <v>MUDAH</v>
      </c>
      <c r="L155" s="87">
        <f>IF($A155="","",IF(ISNUMBER(SEARCH("Aktivitas Harian",INDEX(FORM!$K:$K,ROW()))),1,0))</f>
        <v>1</v>
      </c>
      <c r="M155" s="87">
        <f>IF($A155="","",IF(ISNUMBER(SEARCH("Aktivitas Mingguan",INDEX(FORM!$K:$K,ROW()))),1,0))</f>
        <v>0</v>
      </c>
      <c r="N155" s="87">
        <f>IF($A155="","",IF(ISNUMBER(SEARCH("Aktivitas Bulanan",INDEX(FORM!$K:$K,ROW()))),1,0))</f>
        <v>0</v>
      </c>
      <c r="O155" s="87">
        <f>IF($A155="","",IF(ISNUMBER(SEARCH("Overview Cabang",INDEX(FORM!$K:$K,ROW()))),1,0))</f>
        <v>0</v>
      </c>
      <c r="P155" s="87">
        <f>IF($A155="","",IFERROR(VLOOKUP(I155,DATA!$AH$9:$AI$13,2,0),""))</f>
        <v>3</v>
      </c>
      <c r="Q155" s="87">
        <f>IF($A155="","",IFERROR(VLOOKUP(J155,DATA!$AH$9:$AI$13,2,0),""))</f>
        <v>3</v>
      </c>
      <c r="R155" s="87">
        <f>IF($A155="","",IFERROR(VLOOKUP(K155,DATA!$AH$9:$AI$13,2,0),""))</f>
        <v>3</v>
      </c>
      <c r="S155" s="89">
        <f t="shared" si="44"/>
        <v>3</v>
      </c>
      <c r="T155" s="87">
        <f>IF($A155="","",IF(COUNTIF($D$2:D155,D155)=1,1,0))</f>
        <v>1</v>
      </c>
      <c r="U155" s="87" t="str">
        <f>IF($A155="","",IF(F155="-","Cabang tdk ada",IF(IFERROR(VLOOKUP(G155,#REF!,1,0),"")="","",IF(INDEX(DATA!$AH$2:$AH$5,MATCH(G155,DATA!$AI$2:$AI$5,0))&lt;&gt;F155,"Wilayah beda","OK"))))</f>
        <v/>
      </c>
      <c r="V155" s="87" t="str">
        <f>IF($A155="","",TRIM(INDEX(FORM!$I:$I,ROW())&amp;""))</f>
        <v>Sudah baik</v>
      </c>
      <c r="W155" s="87" t="str">
        <f>IF($A155="","",TRIM(INDEX(FORM!$L:$L,ROW())&amp;""))</f>
        <v>Sudah cukup baik</v>
      </c>
      <c r="X155" s="87" t="str">
        <f>IF($A155="","",TRIM(INDEX(FORM!$M:$M,ROW())&amp;""))</f>
        <v>Sudah cukup baik</v>
      </c>
      <c r="Y155" s="8">
        <f>IF($A155="","",IFERROR(MATCH(F155,DATA!$AH$2:$AH$5,0),9)*10000+A155)</f>
        <v>30154</v>
      </c>
      <c r="Z155" s="87" t="str">
        <f t="shared" si="45"/>
        <v>Tidak ada masukan / sudah baik</v>
      </c>
      <c r="AA155" s="87" t="str">
        <f t="shared" si="46"/>
        <v>Tidak ada masukan / sudah baik</v>
      </c>
      <c r="AB155" s="87" t="str">
        <f t="shared" si="47"/>
        <v>Tidak ada masukan / sudah baik</v>
      </c>
      <c r="AC155" s="87"/>
      <c r="AD155" s="87"/>
      <c r="AE155" s="87"/>
      <c r="AK155" s="90">
        <f t="shared" si="48"/>
        <v>0</v>
      </c>
      <c r="AL155" s="90">
        <f t="shared" si="49"/>
        <v>0</v>
      </c>
      <c r="AM155" s="90">
        <f t="shared" si="50"/>
        <v>0</v>
      </c>
      <c r="AN155" s="90">
        <f t="shared" si="51"/>
        <v>0</v>
      </c>
      <c r="AO155" s="90">
        <f t="shared" si="52"/>
        <v>0</v>
      </c>
      <c r="AP155" s="90">
        <f t="shared" si="53"/>
        <v>0</v>
      </c>
      <c r="AQ155" s="90">
        <f t="shared" si="54"/>
        <v>0</v>
      </c>
      <c r="AR155" s="90">
        <f t="shared" si="55"/>
        <v>0</v>
      </c>
      <c r="AS155" s="90">
        <f t="shared" si="56"/>
        <v>0</v>
      </c>
      <c r="AT155" s="90">
        <f t="shared" si="57"/>
        <v>0</v>
      </c>
      <c r="AU155" s="90">
        <f t="shared" si="58"/>
        <v>0</v>
      </c>
      <c r="AV155" s="90">
        <f t="shared" si="59"/>
        <v>0</v>
      </c>
      <c r="AW155" s="90">
        <f t="shared" si="60"/>
        <v>0</v>
      </c>
      <c r="AX155" s="90">
        <f t="shared" si="61"/>
        <v>0</v>
      </c>
      <c r="AY155" s="90">
        <f t="shared" si="62"/>
        <v>0</v>
      </c>
      <c r="AZ155" s="90">
        <f t="shared" si="63"/>
        <v>0</v>
      </c>
      <c r="BA155" s="90">
        <f t="shared" si="64"/>
        <v>0</v>
      </c>
      <c r="BB155" s="90">
        <f t="shared" si="65"/>
        <v>0</v>
      </c>
    </row>
    <row r="156" spans="1:54">
      <c r="A156" s="87">
        <f>IF(INDEX(FORM!$A:$A,ROW())="","",ROW()-1)</f>
        <v>155</v>
      </c>
      <c r="B156" s="88">
        <f>IF($A156="","",INDEX(FORM!$A:$A,ROW()))</f>
        <v>46311.326412037</v>
      </c>
      <c r="C156" s="87" t="str">
        <f>IF($A156="","",TRIM(INDEX(FORM!$B:$B,ROW())))</f>
        <v>Kurniawan jaka putra</v>
      </c>
      <c r="D156" s="87" t="str">
        <f>IF($A156="","",TRIM(INDEX(FORM!$C:$C,ROW())&amp;""))</f>
        <v>1510934</v>
      </c>
      <c r="E156" s="87" t="str">
        <f>IF($A156="","",UPPER(TRIM(INDEX(FORM!$D:$D,ROW()))))</f>
        <v>PURWOKERTO</v>
      </c>
      <c r="F156" s="87" t="str">
        <f>IF($A156="","",IFERROR(INDEX(PROGRES!$A$2:$A$92,MATCH(E156,PROGRES!$B$2:$B$92,0)),"-"))</f>
        <v>Jawa Tengah</v>
      </c>
      <c r="G156" s="87" t="str">
        <f>IF($A156="","",UPPER(TRIM(INDEX(FORM!$F:$F,ROW()))))</f>
        <v>JATENG DIY</v>
      </c>
      <c r="H156" s="87" t="str">
        <f>IF($A156="","",UPPER(TRIM(INDEX(FORM!$E:$E,ROW()))))</f>
        <v>CRO</v>
      </c>
      <c r="I156" s="87" t="str">
        <f>IF($A156="","",UPPER(TRIM(INDEX(FORM!$G:$G,ROW()))))</f>
        <v>CUKUP</v>
      </c>
      <c r="J156" s="87" t="str">
        <f>IF($A156="","",IF(ISNUMBER(SEARCH("Ya,",INDEX(FORM!$H:$H,ROW()))),"YA",IF(ISNUMBER(SEARCH("Cukup,",INDEX(FORM!$H:$H,ROW()))),"CUKUP",IF(ISNUMBER(SEARCH("Kurang,",INDEX(FORM!$H:$H,ROW()))),"KURANG",""))))</f>
        <v>CUKUP</v>
      </c>
      <c r="K156" s="87" t="str">
        <f>IF($A156="","",UPPER(TRIM(INDEX(FORM!$J:$J,ROW()))))</f>
        <v>CUKUP</v>
      </c>
      <c r="L156" s="87">
        <f>IF($A156="","",IF(ISNUMBER(SEARCH("Aktivitas Harian",INDEX(FORM!$K:$K,ROW()))),1,0))</f>
        <v>0</v>
      </c>
      <c r="M156" s="87">
        <f>IF($A156="","",IF(ISNUMBER(SEARCH("Aktivitas Mingguan",INDEX(FORM!$K:$K,ROW()))),1,0))</f>
        <v>1</v>
      </c>
      <c r="N156" s="87">
        <f>IF($A156="","",IF(ISNUMBER(SEARCH("Aktivitas Bulanan",INDEX(FORM!$K:$K,ROW()))),1,0))</f>
        <v>0</v>
      </c>
      <c r="O156" s="87">
        <f>IF($A156="","",IF(ISNUMBER(SEARCH("Overview Cabang",INDEX(FORM!$K:$K,ROW()))),1,0))</f>
        <v>0</v>
      </c>
      <c r="P156" s="87">
        <f>IF($A156="","",IFERROR(VLOOKUP(I156,DATA!$AH$9:$AI$13,2,0),""))</f>
        <v>2</v>
      </c>
      <c r="Q156" s="87">
        <f>IF($A156="","",IFERROR(VLOOKUP(J156,DATA!$AH$9:$AI$13,2,0),""))</f>
        <v>2</v>
      </c>
      <c r="R156" s="87">
        <f>IF($A156="","",IFERROR(VLOOKUP(K156,DATA!$AH$9:$AI$13,2,0),""))</f>
        <v>2</v>
      </c>
      <c r="S156" s="89">
        <f t="shared" si="44"/>
        <v>2</v>
      </c>
      <c r="T156" s="87">
        <f>IF($A156="","",IF(COUNTIF($D$2:D156,D156)=1,1,0))</f>
        <v>1</v>
      </c>
      <c r="U156" s="87" t="str">
        <f>IF($A156="","",IF(F156="-","Cabang tdk ada",IF(IFERROR(VLOOKUP(G156,#REF!,1,0),"")="","",IF(INDEX(DATA!$AH$2:$AH$5,MATCH(G156,DATA!$AI$2:$AI$5,0))&lt;&gt;F156,"Wilayah beda","OK"))))</f>
        <v/>
      </c>
      <c r="V156" s="87" t="str">
        <f>IF($A156="","",TRIM(INDEX(FORM!$I:$I,ROW())&amp;""))</f>
        <v>Cukup baik</v>
      </c>
      <c r="W156" s="87" t="str">
        <f>IF($A156="","",TRIM(INDEX(FORM!$L:$L,ROW())&amp;""))</f>
        <v>Cukup baik</v>
      </c>
      <c r="X156" s="87" t="str">
        <f>IF($A156="","",TRIM(INDEX(FORM!$M:$M,ROW())&amp;""))</f>
        <v>Cukup baik</v>
      </c>
      <c r="Y156" s="8">
        <f>IF($A156="","",IFERROR(MATCH(F156,DATA!$AH$2:$AH$5,0),9)*10000+A156)</f>
        <v>20155</v>
      </c>
      <c r="Z156" s="87" t="str">
        <f t="shared" si="45"/>
        <v>Tidak ada masukan / sudah baik</v>
      </c>
      <c r="AA156" s="87" t="str">
        <f t="shared" si="46"/>
        <v>Tidak ada masukan / sudah baik</v>
      </c>
      <c r="AB156" s="87" t="str">
        <f t="shared" si="47"/>
        <v>Tidak ada masukan / sudah baik</v>
      </c>
      <c r="AC156" s="87"/>
      <c r="AD156" s="87"/>
      <c r="AE156" s="87"/>
      <c r="AK156" s="90">
        <f t="shared" si="48"/>
        <v>0</v>
      </c>
      <c r="AL156" s="90">
        <f t="shared" si="49"/>
        <v>0</v>
      </c>
      <c r="AM156" s="90">
        <f t="shared" si="50"/>
        <v>0</v>
      </c>
      <c r="AN156" s="90">
        <f t="shared" si="51"/>
        <v>0</v>
      </c>
      <c r="AO156" s="90">
        <f t="shared" si="52"/>
        <v>0</v>
      </c>
      <c r="AP156" s="90">
        <f t="shared" si="53"/>
        <v>0</v>
      </c>
      <c r="AQ156" s="90">
        <f t="shared" si="54"/>
        <v>0</v>
      </c>
      <c r="AR156" s="90">
        <f t="shared" si="55"/>
        <v>0</v>
      </c>
      <c r="AS156" s="90">
        <f t="shared" si="56"/>
        <v>0</v>
      </c>
      <c r="AT156" s="90">
        <f t="shared" si="57"/>
        <v>0</v>
      </c>
      <c r="AU156" s="90">
        <f t="shared" si="58"/>
        <v>0</v>
      </c>
      <c r="AV156" s="90">
        <f t="shared" si="59"/>
        <v>0</v>
      </c>
      <c r="AW156" s="90">
        <f t="shared" si="60"/>
        <v>0</v>
      </c>
      <c r="AX156" s="90">
        <f t="shared" si="61"/>
        <v>0</v>
      </c>
      <c r="AY156" s="90">
        <f t="shared" si="62"/>
        <v>0</v>
      </c>
      <c r="AZ156" s="90">
        <f t="shared" si="63"/>
        <v>0</v>
      </c>
      <c r="BA156" s="90">
        <f t="shared" si="64"/>
        <v>0</v>
      </c>
      <c r="BB156" s="90">
        <f t="shared" si="65"/>
        <v>0</v>
      </c>
    </row>
    <row r="157" spans="1:54" s="5" customFormat="1" hidden="1">
      <c r="A157" s="8">
        <f>IF(INDEX(FORM!$A:$A,ROW())="","",ROW()-1)</f>
        <v>156</v>
      </c>
      <c r="B157" s="41">
        <f>IF($A157="","",INDEX(FORM!$A:$A,ROW()))</f>
        <v>46311.336585648198</v>
      </c>
      <c r="C157" s="8" t="str">
        <f>IF($A157="","",TRIM(INDEX(FORM!$B:$B,ROW())))</f>
        <v>PUGUH UDIARTA</v>
      </c>
      <c r="D157" s="8" t="str">
        <f>IF($A157="","",TRIM(INDEX(FORM!$C:$C,ROW())&amp;""))</f>
        <v>1511319</v>
      </c>
      <c r="E157" s="8" t="str">
        <f>IF($A157="","",UPPER(TRIM(INDEX(FORM!$D:$D,ROW()))))</f>
        <v>KLATEN</v>
      </c>
      <c r="F157" s="8" t="str">
        <f>IF($A157="","",IFERROR(INDEX(PROGRES!$A$2:$A$92,MATCH(E157,PROGRES!$B$2:$B$92,0)),"-"))</f>
        <v>Jawa Tengah</v>
      </c>
      <c r="G157" s="8" t="str">
        <f>IF($A157="","",UPPER(TRIM(INDEX(FORM!$F:$F,ROW()))))</f>
        <v>JATENG DIY</v>
      </c>
      <c r="H157" s="8" t="str">
        <f>IF($A157="","",UPPER(TRIM(INDEX(FORM!$E:$E,ROW()))))</f>
        <v>BAO</v>
      </c>
      <c r="I157" s="8" t="str">
        <f>IF($A157="","",UPPER(TRIM(INDEX(FORM!$G:$G,ROW()))))</f>
        <v>MUDAH</v>
      </c>
      <c r="J157" s="8" t="str">
        <f>IF($A157="","",IF(ISNUMBER(SEARCH("Ya,",INDEX(FORM!$H:$H,ROW()))),"YA",IF(ISNUMBER(SEARCH("Cukup,",INDEX(FORM!$H:$H,ROW()))),"CUKUP",IF(ISNUMBER(SEARCH("Kurang,",INDEX(FORM!$H:$H,ROW()))),"KURANG",""))))</f>
        <v>YA</v>
      </c>
      <c r="K157" s="8" t="str">
        <f>IF($A157="","",UPPER(TRIM(INDEX(FORM!$J:$J,ROW()))))</f>
        <v>MUDAH</v>
      </c>
      <c r="L157" s="8">
        <f>IF($A157="","",IF(ISNUMBER(SEARCH("Aktivitas Harian",INDEX(FORM!$K:$K,ROW()))),1,0))</f>
        <v>1</v>
      </c>
      <c r="M157" s="8">
        <f>IF($A157="","",IF(ISNUMBER(SEARCH("Aktivitas Mingguan",INDEX(FORM!$K:$K,ROW()))),1,0))</f>
        <v>0</v>
      </c>
      <c r="N157" s="8">
        <f>IF($A157="","",IF(ISNUMBER(SEARCH("Aktivitas Bulanan",INDEX(FORM!$K:$K,ROW()))),1,0))</f>
        <v>0</v>
      </c>
      <c r="O157" s="8">
        <f>IF($A157="","",IF(ISNUMBER(SEARCH("Overview Cabang",INDEX(FORM!$K:$K,ROW()))),1,0))</f>
        <v>0</v>
      </c>
      <c r="P157" s="8">
        <f>IF($A157="","",IFERROR(VLOOKUP(I157,DATA!$AH$9:$AI$13,2,0),""))</f>
        <v>3</v>
      </c>
      <c r="Q157" s="8">
        <f>IF($A157="","",IFERROR(VLOOKUP(J157,DATA!$AH$9:$AI$13,2,0),""))</f>
        <v>3</v>
      </c>
      <c r="R157" s="8">
        <f>IF($A157="","",IFERROR(VLOOKUP(K157,DATA!$AH$9:$AI$13,2,0),""))</f>
        <v>3</v>
      </c>
      <c r="S157" s="42">
        <f t="shared" si="44"/>
        <v>3</v>
      </c>
      <c r="T157" s="8">
        <f>IF($A157="","",IF(COUNTIF($D$2:D157,D157)=1,1,0))</f>
        <v>1</v>
      </c>
      <c r="U157" s="8" t="str">
        <f>IF($A157="","",IF(F157="-","Cabang tdk ada",IF(IFERROR(VLOOKUP(G157,#REF!,1,0),"")="","",IF(INDEX(DATA!$AH$2:$AH$5,MATCH(G157,DATA!$AI$2:$AI$5,0))&lt;&gt;F157,"Wilayah beda","OK"))))</f>
        <v/>
      </c>
      <c r="V157" s="8" t="str">
        <f>IF($A157="","",TRIM(INDEX(FORM!$I:$I,ROW())&amp;""))</f>
        <v>Jaringan untuk akses SAP diperbaiki lagi agar dalam login SAP bisa lebih cepat</v>
      </c>
      <c r="W157" s="8" t="str">
        <f>IF($A157="","",TRIM(INDEX(FORM!$L:$L,ROW())&amp;""))</f>
        <v>tidak ada</v>
      </c>
      <c r="X157" s="8" t="str">
        <f>IF($A157="","",TRIM(INDEX(FORM!$M:$M,ROW())&amp;""))</f>
        <v>percepatan jaringan untuk akses SAP</v>
      </c>
      <c r="Y157" s="8">
        <f>IF($A157="","",IFERROR(MATCH(F157,DATA!$AH$2:$AH$5,0),9)*10000+A157)</f>
        <v>20156</v>
      </c>
      <c r="Z157" s="8" t="str">
        <f t="shared" si="45"/>
        <v>Tidak ada masukan / sudah baik</v>
      </c>
      <c r="AA157" s="8" t="str">
        <f t="shared" si="46"/>
        <v>Tidak ada masukan / sudah baik</v>
      </c>
      <c r="AB157" s="8" t="str">
        <f t="shared" si="47"/>
        <v>Lainnya (perlu dibaca manual)</v>
      </c>
      <c r="AC157" s="8"/>
      <c r="AD157" s="8"/>
      <c r="AE157" s="8"/>
      <c r="AK157" s="5">
        <f t="shared" si="48"/>
        <v>0</v>
      </c>
      <c r="AL157" s="5">
        <f t="shared" si="49"/>
        <v>0</v>
      </c>
      <c r="AM157" s="5">
        <f t="shared" si="50"/>
        <v>0</v>
      </c>
      <c r="AN157" s="5">
        <f t="shared" si="51"/>
        <v>0</v>
      </c>
      <c r="AO157" s="5">
        <f t="shared" si="52"/>
        <v>0</v>
      </c>
      <c r="AP157" s="5">
        <f t="shared" si="53"/>
        <v>0</v>
      </c>
      <c r="AQ157" s="5">
        <f t="shared" si="54"/>
        <v>0</v>
      </c>
      <c r="AR157" s="5">
        <f t="shared" si="55"/>
        <v>0</v>
      </c>
      <c r="AS157" s="5">
        <f t="shared" si="56"/>
        <v>0</v>
      </c>
      <c r="AT157" s="5">
        <f t="shared" si="57"/>
        <v>0</v>
      </c>
      <c r="AU157" s="5">
        <f t="shared" si="58"/>
        <v>0</v>
      </c>
      <c r="AV157" s="5">
        <f t="shared" si="59"/>
        <v>0</v>
      </c>
      <c r="AW157" s="5">
        <f t="shared" si="60"/>
        <v>0</v>
      </c>
      <c r="AX157" s="5">
        <f t="shared" si="61"/>
        <v>0</v>
      </c>
      <c r="AY157" s="5">
        <f t="shared" si="62"/>
        <v>0</v>
      </c>
      <c r="AZ157" s="5">
        <f t="shared" si="63"/>
        <v>0</v>
      </c>
      <c r="BA157" s="5">
        <f t="shared" si="64"/>
        <v>1</v>
      </c>
      <c r="BB157" s="5">
        <f t="shared" si="65"/>
        <v>1</v>
      </c>
    </row>
    <row r="158" spans="1:54">
      <c r="A158" s="87">
        <f>IF(INDEX(FORM!$A:$A,ROW())="","",ROW()-1)</f>
        <v>157</v>
      </c>
      <c r="B158" s="88">
        <f>IF($A158="","",INDEX(FORM!$A:$A,ROW()))</f>
        <v>46311.3437037037</v>
      </c>
      <c r="C158" s="87" t="str">
        <f>IF($A158="","",TRIM(INDEX(FORM!$B:$B,ROW())))</f>
        <v>DIMAS SATRIA JAYA NUGRAHA</v>
      </c>
      <c r="D158" s="87" t="str">
        <f>IF($A158="","",TRIM(INDEX(FORM!$C:$C,ROW())&amp;""))</f>
        <v>1511043</v>
      </c>
      <c r="E158" s="87" t="str">
        <f>IF($A158="","",UPPER(TRIM(INDEX(FORM!$D:$D,ROW()))))</f>
        <v>TUBAN</v>
      </c>
      <c r="F158" s="87" t="str">
        <f>IF($A158="","",IFERROR(INDEX(PROGRES!$A$2:$A$92,MATCH(E158,PROGRES!$B$2:$B$92,0)),"-"))</f>
        <v>Jawa Timur</v>
      </c>
      <c r="G158" s="87" t="str">
        <f>IF($A158="","",UPPER(TRIM(INDEX(FORM!$F:$F,ROW()))))</f>
        <v>JATIM</v>
      </c>
      <c r="H158" s="87" t="str">
        <f>IF($A158="","",UPPER(TRIM(INDEX(FORM!$E:$E,ROW()))))</f>
        <v>CRO</v>
      </c>
      <c r="I158" s="87" t="str">
        <f>IF($A158="","",UPPER(TRIM(INDEX(FORM!$G:$G,ROW()))))</f>
        <v>MUDAH</v>
      </c>
      <c r="J158" s="87" t="str">
        <f>IF($A158="","",IF(ISNUMBER(SEARCH("Ya,",INDEX(FORM!$H:$H,ROW()))),"YA",IF(ISNUMBER(SEARCH("Cukup,",INDEX(FORM!$H:$H,ROW()))),"CUKUP",IF(ISNUMBER(SEARCH("Kurang,",INDEX(FORM!$H:$H,ROW()))),"KURANG",""))))</f>
        <v>YA</v>
      </c>
      <c r="K158" s="87" t="str">
        <f>IF($A158="","",UPPER(TRIM(INDEX(FORM!$J:$J,ROW()))))</f>
        <v>CUKUP</v>
      </c>
      <c r="L158" s="87">
        <f>IF($A158="","",IF(ISNUMBER(SEARCH("Aktivitas Harian",INDEX(FORM!$K:$K,ROW()))),1,0))</f>
        <v>0</v>
      </c>
      <c r="M158" s="87">
        <f>IF($A158="","",IF(ISNUMBER(SEARCH("Aktivitas Mingguan",INDEX(FORM!$K:$K,ROW()))),1,0))</f>
        <v>1</v>
      </c>
      <c r="N158" s="87">
        <f>IF($A158="","",IF(ISNUMBER(SEARCH("Aktivitas Bulanan",INDEX(FORM!$K:$K,ROW()))),1,0))</f>
        <v>0</v>
      </c>
      <c r="O158" s="87">
        <f>IF($A158="","",IF(ISNUMBER(SEARCH("Overview Cabang",INDEX(FORM!$K:$K,ROW()))),1,0))</f>
        <v>0</v>
      </c>
      <c r="P158" s="87">
        <f>IF($A158="","",IFERROR(VLOOKUP(I158,DATA!$AH$9:$AI$13,2,0),""))</f>
        <v>3</v>
      </c>
      <c r="Q158" s="87">
        <f>IF($A158="","",IFERROR(VLOOKUP(J158,DATA!$AH$9:$AI$13,2,0),""))</f>
        <v>3</v>
      </c>
      <c r="R158" s="87">
        <f>IF($A158="","",IFERROR(VLOOKUP(K158,DATA!$AH$9:$AI$13,2,0),""))</f>
        <v>2</v>
      </c>
      <c r="S158" s="89">
        <f t="shared" si="44"/>
        <v>2.6666666666666665</v>
      </c>
      <c r="T158" s="87">
        <f>IF($A158="","",IF(COUNTIF($D$2:D158,D158)=1,1,0))</f>
        <v>1</v>
      </c>
      <c r="U158" s="87" t="str">
        <f>IF($A158="","",IF(F158="-","Cabang tdk ada",IF(IFERROR(VLOOKUP(G158,#REF!,1,0),"")="","",IF(INDEX(DATA!$AH$2:$AH$5,MATCH(G158,DATA!$AI$2:$AI$5,0))&lt;&gt;F158,"Wilayah beda","OK"))))</f>
        <v/>
      </c>
      <c r="V158" s="87" t="str">
        <f>IF($A158="","",TRIM(INDEX(FORM!$I:$I,ROW())&amp;""))</f>
        <v>Tidak ada</v>
      </c>
      <c r="W158" s="87" t="str">
        <f>IF($A158="","",TRIM(INDEX(FORM!$L:$L,ROW())&amp;""))</f>
        <v>Tidak ada</v>
      </c>
      <c r="X158" s="87" t="str">
        <f>IF($A158="","",TRIM(INDEX(FORM!$M:$M,ROW())&amp;""))</f>
        <v>Tidak ada</v>
      </c>
      <c r="Y158" s="8">
        <f>IF($A158="","",IFERROR(MATCH(F158,DATA!$AH$2:$AH$5,0),9)*10000+A158)</f>
        <v>30157</v>
      </c>
      <c r="Z158" s="87" t="str">
        <f t="shared" si="45"/>
        <v>Tidak ada masukan / sudah baik</v>
      </c>
      <c r="AA158" s="87" t="str">
        <f t="shared" si="46"/>
        <v>Tidak ada masukan / sudah baik</v>
      </c>
      <c r="AB158" s="87" t="str">
        <f t="shared" si="47"/>
        <v>Tidak ada masukan / sudah baik</v>
      </c>
      <c r="AC158" s="87"/>
      <c r="AD158" s="87"/>
      <c r="AE158" s="87"/>
      <c r="AK158" s="90">
        <f t="shared" si="48"/>
        <v>0</v>
      </c>
      <c r="AL158" s="90">
        <f t="shared" si="49"/>
        <v>0</v>
      </c>
      <c r="AM158" s="90">
        <f t="shared" si="50"/>
        <v>0</v>
      </c>
      <c r="AN158" s="90">
        <f t="shared" si="51"/>
        <v>0</v>
      </c>
      <c r="AO158" s="90">
        <f t="shared" si="52"/>
        <v>0</v>
      </c>
      <c r="AP158" s="90">
        <f t="shared" si="53"/>
        <v>0</v>
      </c>
      <c r="AQ158" s="90">
        <f t="shared" si="54"/>
        <v>0</v>
      </c>
      <c r="AR158" s="90">
        <f t="shared" si="55"/>
        <v>0</v>
      </c>
      <c r="AS158" s="90">
        <f t="shared" si="56"/>
        <v>0</v>
      </c>
      <c r="AT158" s="90">
        <f t="shared" si="57"/>
        <v>0</v>
      </c>
      <c r="AU158" s="90">
        <f t="shared" si="58"/>
        <v>0</v>
      </c>
      <c r="AV158" s="90">
        <f t="shared" si="59"/>
        <v>0</v>
      </c>
      <c r="AW158" s="90">
        <f t="shared" si="60"/>
        <v>0</v>
      </c>
      <c r="AX158" s="90">
        <f t="shared" si="61"/>
        <v>0</v>
      </c>
      <c r="AY158" s="90">
        <f t="shared" si="62"/>
        <v>0</v>
      </c>
      <c r="AZ158" s="90">
        <f t="shared" si="63"/>
        <v>0</v>
      </c>
      <c r="BA158" s="90">
        <f t="shared" si="64"/>
        <v>0</v>
      </c>
      <c r="BB158" s="90">
        <f t="shared" si="65"/>
        <v>0</v>
      </c>
    </row>
    <row r="159" spans="1:54" s="5" customFormat="1" hidden="1">
      <c r="A159" s="8">
        <f>IF(INDEX(FORM!$A:$A,ROW())="","",ROW()-1)</f>
        <v>158</v>
      </c>
      <c r="B159" s="41">
        <f>IF($A159="","",INDEX(FORM!$A:$A,ROW()))</f>
        <v>46311.379583333299</v>
      </c>
      <c r="C159" s="8" t="str">
        <f>IF($A159="","",TRIM(INDEX(FORM!$B:$B,ROW())))</f>
        <v>dhamas alifan</v>
      </c>
      <c r="D159" s="8" t="str">
        <f>IF($A159="","",TRIM(INDEX(FORM!$C:$C,ROW())&amp;""))</f>
        <v>1510632</v>
      </c>
      <c r="E159" s="8" t="str">
        <f>IF($A159="","",UPPER(TRIM(INDEX(FORM!$D:$D,ROW()))))</f>
        <v>CILACAP</v>
      </c>
      <c r="F159" s="8" t="str">
        <f>IF($A159="","",IFERROR(INDEX(PROGRES!$A$2:$A$92,MATCH(E159,PROGRES!$B$2:$B$92,0)),"-"))</f>
        <v>Jawa Tengah</v>
      </c>
      <c r="G159" s="8" t="str">
        <f>IF($A159="","",UPPER(TRIM(INDEX(FORM!$F:$F,ROW()))))</f>
        <v>JATENG DIY</v>
      </c>
      <c r="H159" s="8" t="str">
        <f>IF($A159="","",UPPER(TRIM(INDEX(FORM!$E:$E,ROW()))))</f>
        <v>BM</v>
      </c>
      <c r="I159" s="8" t="str">
        <f>IF($A159="","",UPPER(TRIM(INDEX(FORM!$G:$G,ROW()))))</f>
        <v>MUDAH</v>
      </c>
      <c r="J159" s="8" t="str">
        <f>IF($A159="","",IF(ISNUMBER(SEARCH("Ya,",INDEX(FORM!$H:$H,ROW()))),"YA",IF(ISNUMBER(SEARCH("Cukup,",INDEX(FORM!$H:$H,ROW()))),"CUKUP",IF(ISNUMBER(SEARCH("Kurang,",INDEX(FORM!$H:$H,ROW()))),"KURANG",""))))</f>
        <v>CUKUP</v>
      </c>
      <c r="K159" s="8" t="str">
        <f>IF($A159="","",UPPER(TRIM(INDEX(FORM!$J:$J,ROW()))))</f>
        <v>MUDAH</v>
      </c>
      <c r="L159" s="8">
        <f>IF($A159="","",IF(ISNUMBER(SEARCH("Aktivitas Harian",INDEX(FORM!$K:$K,ROW()))),1,0))</f>
        <v>1</v>
      </c>
      <c r="M159" s="8">
        <f>IF($A159="","",IF(ISNUMBER(SEARCH("Aktivitas Mingguan",INDEX(FORM!$K:$K,ROW()))),1,0))</f>
        <v>1</v>
      </c>
      <c r="N159" s="8">
        <f>IF($A159="","",IF(ISNUMBER(SEARCH("Aktivitas Bulanan",INDEX(FORM!$K:$K,ROW()))),1,0))</f>
        <v>1</v>
      </c>
      <c r="O159" s="8">
        <f>IF($A159="","",IF(ISNUMBER(SEARCH("Overview Cabang",INDEX(FORM!$K:$K,ROW()))),1,0))</f>
        <v>1</v>
      </c>
      <c r="P159" s="8">
        <f>IF($A159="","",IFERROR(VLOOKUP(I159,DATA!$AH$9:$AI$13,2,0),""))</f>
        <v>3</v>
      </c>
      <c r="Q159" s="8">
        <f>IF($A159="","",IFERROR(VLOOKUP(J159,DATA!$AH$9:$AI$13,2,0),""))</f>
        <v>2</v>
      </c>
      <c r="R159" s="8">
        <f>IF($A159="","",IFERROR(VLOOKUP(K159,DATA!$AH$9:$AI$13,2,0),""))</f>
        <v>3</v>
      </c>
      <c r="S159" s="42">
        <f t="shared" si="44"/>
        <v>2.6666666666666665</v>
      </c>
      <c r="T159" s="8">
        <f>IF($A159="","",IF(COUNTIF($D$2:D159,D159)=1,1,0))</f>
        <v>1</v>
      </c>
      <c r="U159" s="8" t="str">
        <f>IF($A159="","",IF(F159="-","Cabang tdk ada",IF(IFERROR(VLOOKUP(G159,#REF!,1,0),"")="","",IF(INDEX(DATA!$AH$2:$AH$5,MATCH(G159,DATA!$AI$2:$AI$5,0))&lt;&gt;F159,"Wilayah beda","OK"))))</f>
        <v/>
      </c>
      <c r="V159" s="8" t="str">
        <f>IF($A159="","",TRIM(INDEX(FORM!$I:$I,ROW())&amp;""))</f>
        <v>pembuatan menu popup untuk mempersimple tampilan dan penambahan warna sesuai visi misi perusahaan</v>
      </c>
      <c r="W159" s="8" t="str">
        <f>IF($A159="","",TRIM(INDEX(FORM!$L:$L,ROW())&amp;""))</f>
        <v>SOP checker dan yang berkaitan dengan pergudangan maupun logistik</v>
      </c>
      <c r="X159" s="8" t="str">
        <f>IF($A159="","",TRIM(INDEX(FORM!$M:$M,ROW())&amp;""))</f>
        <v>penambahan kolom komentar</v>
      </c>
      <c r="Y159" s="8">
        <f>IF($A159="","",IFERROR(MATCH(F159,DATA!$AH$2:$AH$5,0),9)*10000+A159)</f>
        <v>20158</v>
      </c>
      <c r="Z159" s="8" t="str">
        <f t="shared" si="45"/>
        <v>Penyederhanaan &amp; Ringkas Isi</v>
      </c>
      <c r="AA159" s="8" t="str">
        <f t="shared" si="46"/>
        <v>Lainnya (perlu dibaca manual)</v>
      </c>
      <c r="AB159" s="8" t="str">
        <f t="shared" si="47"/>
        <v>Lainnya (perlu dibaca manual)</v>
      </c>
      <c r="AC159" s="8"/>
      <c r="AD159" s="8"/>
      <c r="AE159" s="8"/>
      <c r="AK159" s="5">
        <f t="shared" si="48"/>
        <v>0</v>
      </c>
      <c r="AL159" s="5">
        <f t="shared" si="49"/>
        <v>0</v>
      </c>
      <c r="AM159" s="5">
        <f t="shared" si="50"/>
        <v>0</v>
      </c>
      <c r="AN159" s="5">
        <f t="shared" si="51"/>
        <v>0</v>
      </c>
      <c r="AO159" s="5">
        <f t="shared" si="52"/>
        <v>0</v>
      </c>
      <c r="AP159" s="5">
        <f t="shared" si="53"/>
        <v>0</v>
      </c>
      <c r="AQ159" s="5">
        <f t="shared" si="54"/>
        <v>1</v>
      </c>
      <c r="AR159" s="5">
        <f t="shared" si="55"/>
        <v>0</v>
      </c>
      <c r="AS159" s="5">
        <f t="shared" si="56"/>
        <v>0</v>
      </c>
      <c r="AT159" s="5">
        <f t="shared" si="57"/>
        <v>0</v>
      </c>
      <c r="AU159" s="5">
        <f t="shared" si="58"/>
        <v>0</v>
      </c>
      <c r="AV159" s="5">
        <f t="shared" si="59"/>
        <v>0</v>
      </c>
      <c r="AW159" s="5">
        <f t="shared" si="60"/>
        <v>0</v>
      </c>
      <c r="AX159" s="5">
        <f t="shared" si="61"/>
        <v>0</v>
      </c>
      <c r="AY159" s="5">
        <f t="shared" si="62"/>
        <v>0</v>
      </c>
      <c r="AZ159" s="5">
        <f t="shared" si="63"/>
        <v>0</v>
      </c>
      <c r="BA159" s="5">
        <f t="shared" si="64"/>
        <v>1</v>
      </c>
      <c r="BB159" s="5">
        <f t="shared" si="65"/>
        <v>1</v>
      </c>
    </row>
    <row r="160" spans="1:54" s="5" customFormat="1" hidden="1">
      <c r="A160" s="8">
        <f>IF(INDEX(FORM!$A:$A,ROW())="","",ROW()-1)</f>
        <v>159</v>
      </c>
      <c r="B160" s="41">
        <f>IF($A160="","",INDEX(FORM!$A:$A,ROW()))</f>
        <v>46311.390636574099</v>
      </c>
      <c r="C160" s="8" t="str">
        <f>IF($A160="","",TRIM(INDEX(FORM!$B:$B,ROW())))</f>
        <v>Nova Putra Yuliansyah</v>
      </c>
      <c r="D160" s="8" t="str">
        <f>IF($A160="","",TRIM(INDEX(FORM!$C:$C,ROW())&amp;""))</f>
        <v>1511063</v>
      </c>
      <c r="E160" s="8" t="str">
        <f>IF($A160="","",UPPER(TRIM(INDEX(FORM!$D:$D,ROW()))))</f>
        <v>KEBUMEN</v>
      </c>
      <c r="F160" s="8" t="str">
        <f>IF($A160="","",IFERROR(INDEX(PROGRES!$A$2:$A$92,MATCH(E160,PROGRES!$B$2:$B$92,0)),"-"))</f>
        <v>Jawa Tengah</v>
      </c>
      <c r="G160" s="8" t="str">
        <f>IF($A160="","",UPPER(TRIM(INDEX(FORM!$F:$F,ROW()))))</f>
        <v>JATENG DIY</v>
      </c>
      <c r="H160" s="8" t="str">
        <f>IF($A160="","",UPPER(TRIM(INDEX(FORM!$E:$E,ROW()))))</f>
        <v>BM</v>
      </c>
      <c r="I160" s="8" t="str">
        <f>IF($A160="","",UPPER(TRIM(INDEX(FORM!$G:$G,ROW()))))</f>
        <v>CUKUP</v>
      </c>
      <c r="J160" s="8" t="str">
        <f>IF($A160="","",IF(ISNUMBER(SEARCH("Ya,",INDEX(FORM!$H:$H,ROW()))),"YA",IF(ISNUMBER(SEARCH("Cukup,",INDEX(FORM!$H:$H,ROW()))),"CUKUP",IF(ISNUMBER(SEARCH("Kurang,",INDEX(FORM!$H:$H,ROW()))),"KURANG",""))))</f>
        <v>CUKUP</v>
      </c>
      <c r="K160" s="8" t="str">
        <f>IF($A160="","",UPPER(TRIM(INDEX(FORM!$J:$J,ROW()))))</f>
        <v>MUDAH</v>
      </c>
      <c r="L160" s="8">
        <f>IF($A160="","",IF(ISNUMBER(SEARCH("Aktivitas Harian",INDEX(FORM!$K:$K,ROW()))),1,0))</f>
        <v>1</v>
      </c>
      <c r="M160" s="8">
        <f>IF($A160="","",IF(ISNUMBER(SEARCH("Aktivitas Mingguan",INDEX(FORM!$K:$K,ROW()))),1,0))</f>
        <v>1</v>
      </c>
      <c r="N160" s="8">
        <f>IF($A160="","",IF(ISNUMBER(SEARCH("Aktivitas Bulanan",INDEX(FORM!$K:$K,ROW()))),1,0))</f>
        <v>1</v>
      </c>
      <c r="O160" s="8">
        <f>IF($A160="","",IF(ISNUMBER(SEARCH("Overview Cabang",INDEX(FORM!$K:$K,ROW()))),1,0))</f>
        <v>1</v>
      </c>
      <c r="P160" s="8">
        <f>IF($A160="","",IFERROR(VLOOKUP(I160,DATA!$AH$9:$AI$13,2,0),""))</f>
        <v>2</v>
      </c>
      <c r="Q160" s="8">
        <f>IF($A160="","",IFERROR(VLOOKUP(J160,DATA!$AH$9:$AI$13,2,0),""))</f>
        <v>2</v>
      </c>
      <c r="R160" s="8">
        <f>IF($A160="","",IFERROR(VLOOKUP(K160,DATA!$AH$9:$AI$13,2,0),""))</f>
        <v>3</v>
      </c>
      <c r="S160" s="42">
        <f t="shared" si="44"/>
        <v>2.3333333333333335</v>
      </c>
      <c r="T160" s="8">
        <f>IF($A160="","",IF(COUNTIF($D$2:D160,D160)=1,1,0))</f>
        <v>1</v>
      </c>
      <c r="U160" s="8" t="str">
        <f>IF($A160="","",IF(F160="-","Cabang tdk ada",IF(IFERROR(VLOOKUP(G160,#REF!,1,0),"")="","",IF(INDEX(DATA!$AH$2:$AH$5,MATCH(G160,DATA!$AI$2:$AI$5,0))&lt;&gt;F160,"Wilayah beda","OK"))))</f>
        <v/>
      </c>
      <c r="V160" s="8" t="str">
        <f>IF($A160="","",TRIM(INDEX(FORM!$I:$I,ROW())&amp;""))</f>
        <v>Nihil</v>
      </c>
      <c r="W160" s="8" t="str">
        <f>IF($A160="","",TRIM(INDEX(FORM!$L:$L,ROW())&amp;""))</f>
        <v>Tidak ada</v>
      </c>
      <c r="X160" s="8" t="str">
        <f>IF($A160="","",TRIM(INDEX(FORM!$M:$M,ROW())&amp;""))</f>
        <v>Nihil</v>
      </c>
      <c r="Y160" s="8">
        <f>IF($A160="","",IFERROR(MATCH(F160,DATA!$AH$2:$AH$5,0),9)*10000+A160)</f>
        <v>20159</v>
      </c>
      <c r="Z160" s="8" t="str">
        <f t="shared" si="45"/>
        <v>Lainnya (perlu dibaca manual)</v>
      </c>
      <c r="AA160" s="8" t="str">
        <f t="shared" si="46"/>
        <v>Tidak ada masukan / sudah baik</v>
      </c>
      <c r="AB160" s="8" t="str">
        <f t="shared" si="47"/>
        <v>Lainnya (perlu dibaca manual)</v>
      </c>
      <c r="AC160" s="8"/>
      <c r="AD160" s="8"/>
      <c r="AE160" s="8"/>
      <c r="AK160" s="5">
        <f t="shared" si="48"/>
        <v>0</v>
      </c>
      <c r="AL160" s="5">
        <f t="shared" si="49"/>
        <v>0</v>
      </c>
      <c r="AM160" s="5">
        <f t="shared" si="50"/>
        <v>0</v>
      </c>
      <c r="AN160" s="5">
        <f t="shared" si="51"/>
        <v>0</v>
      </c>
      <c r="AO160" s="5">
        <f t="shared" si="52"/>
        <v>0</v>
      </c>
      <c r="AP160" s="5">
        <f t="shared" si="53"/>
        <v>0</v>
      </c>
      <c r="AQ160" s="5">
        <f t="shared" si="54"/>
        <v>0</v>
      </c>
      <c r="AR160" s="5">
        <f t="shared" si="55"/>
        <v>0</v>
      </c>
      <c r="AS160" s="5">
        <f t="shared" si="56"/>
        <v>0</v>
      </c>
      <c r="AT160" s="5">
        <f t="shared" si="57"/>
        <v>0</v>
      </c>
      <c r="AU160" s="5">
        <f t="shared" si="58"/>
        <v>0</v>
      </c>
      <c r="AV160" s="5">
        <f t="shared" si="59"/>
        <v>0</v>
      </c>
      <c r="AW160" s="5">
        <f t="shared" si="60"/>
        <v>0</v>
      </c>
      <c r="AX160" s="5">
        <f t="shared" si="61"/>
        <v>0</v>
      </c>
      <c r="AY160" s="5">
        <f t="shared" si="62"/>
        <v>0</v>
      </c>
      <c r="AZ160" s="5">
        <f t="shared" si="63"/>
        <v>0</v>
      </c>
      <c r="BA160" s="5">
        <f t="shared" si="64"/>
        <v>1</v>
      </c>
      <c r="BB160" s="5">
        <f t="shared" si="65"/>
        <v>1</v>
      </c>
    </row>
    <row r="161" spans="1:54">
      <c r="A161" s="87">
        <f>IF(INDEX(FORM!$A:$A,ROW())="","",ROW()-1)</f>
        <v>160</v>
      </c>
      <c r="B161" s="88">
        <f>IF($A161="","",INDEX(FORM!$A:$A,ROW()))</f>
        <v>46311.390659722201</v>
      </c>
      <c r="C161" s="87" t="str">
        <f>IF($A161="","",TRIM(INDEX(FORM!$B:$B,ROW())))</f>
        <v>Aditya wahyu</v>
      </c>
      <c r="D161" s="87" t="str">
        <f>IF($A161="","",TRIM(INDEX(FORM!$C:$C,ROW())&amp;""))</f>
        <v>1510540</v>
      </c>
      <c r="E161" s="87" t="str">
        <f>IF($A161="","",UPPER(TRIM(INDEX(FORM!$D:$D,ROW()))))</f>
        <v>NGAWI</v>
      </c>
      <c r="F161" s="87" t="str">
        <f>IF($A161="","",IFERROR(INDEX(PROGRES!$A$2:$A$92,MATCH(E161,PROGRES!$B$2:$B$92,0)),"-"))</f>
        <v>Jawa Timur</v>
      </c>
      <c r="G161" s="87" t="str">
        <f>IF($A161="","",UPPER(TRIM(INDEX(FORM!$F:$F,ROW()))))</f>
        <v>JATIM</v>
      </c>
      <c r="H161" s="87" t="str">
        <f>IF($A161="","",UPPER(TRIM(INDEX(FORM!$E:$E,ROW()))))</f>
        <v>CRO</v>
      </c>
      <c r="I161" s="87" t="str">
        <f>IF($A161="","",UPPER(TRIM(INDEX(FORM!$G:$G,ROW()))))</f>
        <v>CUKUP</v>
      </c>
      <c r="J161" s="87" t="str">
        <f>IF($A161="","",IF(ISNUMBER(SEARCH("Ya,",INDEX(FORM!$H:$H,ROW()))),"YA",IF(ISNUMBER(SEARCH("Cukup,",INDEX(FORM!$H:$H,ROW()))),"CUKUP",IF(ISNUMBER(SEARCH("Kurang,",INDEX(FORM!$H:$H,ROW()))),"KURANG",""))))</f>
        <v>CUKUP</v>
      </c>
      <c r="K161" s="87" t="str">
        <f>IF($A161="","",UPPER(TRIM(INDEX(FORM!$J:$J,ROW()))))</f>
        <v>CUKUP</v>
      </c>
      <c r="L161" s="87">
        <f>IF($A161="","",IF(ISNUMBER(SEARCH("Aktivitas Harian",INDEX(FORM!$K:$K,ROW()))),1,0))</f>
        <v>1</v>
      </c>
      <c r="M161" s="87">
        <f>IF($A161="","",IF(ISNUMBER(SEARCH("Aktivitas Mingguan",INDEX(FORM!$K:$K,ROW()))),1,0))</f>
        <v>0</v>
      </c>
      <c r="N161" s="87">
        <f>IF($A161="","",IF(ISNUMBER(SEARCH("Aktivitas Bulanan",INDEX(FORM!$K:$K,ROW()))),1,0))</f>
        <v>0</v>
      </c>
      <c r="O161" s="87">
        <f>IF($A161="","",IF(ISNUMBER(SEARCH("Overview Cabang",INDEX(FORM!$K:$K,ROW()))),1,0))</f>
        <v>0</v>
      </c>
      <c r="P161" s="87">
        <f>IF($A161="","",IFERROR(VLOOKUP(I161,DATA!$AH$9:$AI$13,2,0),""))</f>
        <v>2</v>
      </c>
      <c r="Q161" s="87">
        <f>IF($A161="","",IFERROR(VLOOKUP(J161,DATA!$AH$9:$AI$13,2,0),""))</f>
        <v>2</v>
      </c>
      <c r="R161" s="87">
        <f>IF($A161="","",IFERROR(VLOOKUP(K161,DATA!$AH$9:$AI$13,2,0),""))</f>
        <v>2</v>
      </c>
      <c r="S161" s="89">
        <f t="shared" si="44"/>
        <v>2</v>
      </c>
      <c r="T161" s="87">
        <f>IF($A161="","",IF(COUNTIF($D$2:D161,D161)=1,1,0))</f>
        <v>1</v>
      </c>
      <c r="U161" s="87" t="str">
        <f>IF($A161="","",IF(F161="-","Cabang tdk ada",IF(IFERROR(VLOOKUP(G161,#REF!,1,0),"")="","",IF(INDEX(DATA!$AH$2:$AH$5,MATCH(G161,DATA!$AI$2:$AI$5,0))&lt;&gt;F161,"Wilayah beda","OK"))))</f>
        <v/>
      </c>
      <c r="V161" s="87" t="str">
        <f>IF($A161="","",TRIM(INDEX(FORM!$I:$I,ROW())&amp;""))</f>
        <v>Lebih di buat smooth</v>
      </c>
      <c r="W161" s="87" t="str">
        <f>IF($A161="","",TRIM(INDEX(FORM!$L:$L,ROW())&amp;""))</f>
        <v>Tidak ada</v>
      </c>
      <c r="X161" s="87" t="str">
        <f>IF($A161="","",TRIM(INDEX(FORM!$M:$M,ROW())&amp;""))</f>
        <v>Agar di buat lebih simpel dan tidak gampang error</v>
      </c>
      <c r="Y161" s="8">
        <f>IF($A161="","",IFERROR(MATCH(F161,DATA!$AH$2:$AH$5,0),9)*10000+A161)</f>
        <v>30160</v>
      </c>
      <c r="Z161" s="87" t="str">
        <f t="shared" si="45"/>
        <v>Lainnya (perlu dibaca manual)</v>
      </c>
      <c r="AA161" s="87" t="str">
        <f t="shared" si="46"/>
        <v>Tidak ada masukan / sudah baik</v>
      </c>
      <c r="AB161" s="87" t="str">
        <f t="shared" si="47"/>
        <v>Penyederhanaan Isi</v>
      </c>
      <c r="AC161" s="87"/>
      <c r="AD161" s="87"/>
      <c r="AE161" s="87"/>
      <c r="AK161" s="90">
        <f t="shared" si="48"/>
        <v>0</v>
      </c>
      <c r="AL161" s="90">
        <f t="shared" si="49"/>
        <v>0</v>
      </c>
      <c r="AM161" s="90">
        <f t="shared" si="50"/>
        <v>0</v>
      </c>
      <c r="AN161" s="90">
        <f t="shared" si="51"/>
        <v>0</v>
      </c>
      <c r="AO161" s="90">
        <f t="shared" si="52"/>
        <v>0</v>
      </c>
      <c r="AP161" s="90">
        <f t="shared" si="53"/>
        <v>0</v>
      </c>
      <c r="AQ161" s="90">
        <f t="shared" si="54"/>
        <v>1</v>
      </c>
      <c r="AR161" s="90">
        <f t="shared" si="55"/>
        <v>0</v>
      </c>
      <c r="AS161" s="90">
        <f t="shared" si="56"/>
        <v>0</v>
      </c>
      <c r="AT161" s="90">
        <f t="shared" si="57"/>
        <v>0</v>
      </c>
      <c r="AU161" s="90">
        <f t="shared" si="58"/>
        <v>0</v>
      </c>
      <c r="AV161" s="90">
        <f t="shared" si="59"/>
        <v>0</v>
      </c>
      <c r="AW161" s="90">
        <f t="shared" si="60"/>
        <v>0</v>
      </c>
      <c r="AX161" s="90">
        <f t="shared" si="61"/>
        <v>0</v>
      </c>
      <c r="AY161" s="90">
        <f t="shared" si="62"/>
        <v>0</v>
      </c>
      <c r="AZ161" s="90">
        <f t="shared" si="63"/>
        <v>0</v>
      </c>
      <c r="BA161" s="90">
        <f t="shared" si="64"/>
        <v>1</v>
      </c>
      <c r="BB161" s="90">
        <f t="shared" si="65"/>
        <v>1</v>
      </c>
    </row>
    <row r="162" spans="1:54">
      <c r="A162" s="87">
        <f>IF(INDEX(FORM!$A:$A,ROW())="","",ROW()-1)</f>
        <v>161</v>
      </c>
      <c r="B162" s="88">
        <f>IF($A162="","",INDEX(FORM!$A:$A,ROW()))</f>
        <v>46311.390949074099</v>
      </c>
      <c r="C162" s="87" t="str">
        <f>IF($A162="","",TRIM(INDEX(FORM!$B:$B,ROW())))</f>
        <v>ANNAS KAUTSAR</v>
      </c>
      <c r="D162" s="87" t="str">
        <f>IF($A162="","",TRIM(INDEX(FORM!$C:$C,ROW())&amp;""))</f>
        <v>1510503</v>
      </c>
      <c r="E162" s="87" t="str">
        <f>IF($A162="","",UPPER(TRIM(INDEX(FORM!$D:$D,ROW()))))</f>
        <v>JOMBANG</v>
      </c>
      <c r="F162" s="87" t="str">
        <f>IF($A162="","",IFERROR(INDEX(PROGRES!$A$2:$A$92,MATCH(E162,PROGRES!$B$2:$B$92,0)),"-"))</f>
        <v>Jawa Timur</v>
      </c>
      <c r="G162" s="87" t="str">
        <f>IF($A162="","",UPPER(TRIM(INDEX(FORM!$F:$F,ROW()))))</f>
        <v>JATIM</v>
      </c>
      <c r="H162" s="87" t="str">
        <f>IF($A162="","",UPPER(TRIM(INDEX(FORM!$E:$E,ROW()))))</f>
        <v>CRO</v>
      </c>
      <c r="I162" s="87" t="str">
        <f>IF($A162="","",UPPER(TRIM(INDEX(FORM!$G:$G,ROW()))))</f>
        <v>CUKUP</v>
      </c>
      <c r="J162" s="87" t="str">
        <f>IF($A162="","",IF(ISNUMBER(SEARCH("Ya,",INDEX(FORM!$H:$H,ROW()))),"YA",IF(ISNUMBER(SEARCH("Cukup,",INDEX(FORM!$H:$H,ROW()))),"CUKUP",IF(ISNUMBER(SEARCH("Kurang,",INDEX(FORM!$H:$H,ROW()))),"KURANG",""))))</f>
        <v>CUKUP</v>
      </c>
      <c r="K162" s="87" t="str">
        <f>IF($A162="","",UPPER(TRIM(INDEX(FORM!$J:$J,ROW()))))</f>
        <v>CUKUP</v>
      </c>
      <c r="L162" s="87">
        <f>IF($A162="","",IF(ISNUMBER(SEARCH("Aktivitas Harian",INDEX(FORM!$K:$K,ROW()))),1,0))</f>
        <v>1</v>
      </c>
      <c r="M162" s="87">
        <f>IF($A162="","",IF(ISNUMBER(SEARCH("Aktivitas Mingguan",INDEX(FORM!$K:$K,ROW()))),1,0))</f>
        <v>0</v>
      </c>
      <c r="N162" s="87">
        <f>IF($A162="","",IF(ISNUMBER(SEARCH("Aktivitas Bulanan",INDEX(FORM!$K:$K,ROW()))),1,0))</f>
        <v>0</v>
      </c>
      <c r="O162" s="87">
        <f>IF($A162="","",IF(ISNUMBER(SEARCH("Overview Cabang",INDEX(FORM!$K:$K,ROW()))),1,0))</f>
        <v>0</v>
      </c>
      <c r="P162" s="87">
        <f>IF($A162="","",IFERROR(VLOOKUP(I162,DATA!$AH$9:$AI$13,2,0),""))</f>
        <v>2</v>
      </c>
      <c r="Q162" s="87">
        <f>IF($A162="","",IFERROR(VLOOKUP(J162,DATA!$AH$9:$AI$13,2,0),""))</f>
        <v>2</v>
      </c>
      <c r="R162" s="87">
        <f>IF($A162="","",IFERROR(VLOOKUP(K162,DATA!$AH$9:$AI$13,2,0),""))</f>
        <v>2</v>
      </c>
      <c r="S162" s="89">
        <f t="shared" si="44"/>
        <v>2</v>
      </c>
      <c r="T162" s="87">
        <f>IF($A162="","",IF(COUNTIF($D$2:D162,D162)=1,1,0))</f>
        <v>1</v>
      </c>
      <c r="U162" s="87" t="str">
        <f>IF($A162="","",IF(F162="-","Cabang tdk ada",IF(IFERROR(VLOOKUP(G162,#REF!,1,0),"")="","",IF(INDEX(DATA!$AH$2:$AH$5,MATCH(G162,DATA!$AI$2:$AI$5,0))&lt;&gt;F162,"Wilayah beda","OK"))))</f>
        <v/>
      </c>
      <c r="V162" s="87" t="str">
        <f>IF($A162="","",TRIM(INDEX(FORM!$I:$I,ROW())&amp;""))</f>
        <v>PERLU DI TINGKATKAN</v>
      </c>
      <c r="W162" s="87" t="str">
        <f>IF($A162="","",TRIM(INDEX(FORM!$L:$L,ROW())&amp;""))</f>
        <v>.</v>
      </c>
      <c r="X162" s="87" t="str">
        <f>IF($A162="","",TRIM(INDEX(FORM!$M:$M,ROW())&amp;""))</f>
        <v>.</v>
      </c>
      <c r="Y162" s="8">
        <f>IF($A162="","",IFERROR(MATCH(F162,DATA!$AH$2:$AH$5,0),9)*10000+A162)</f>
        <v>30161</v>
      </c>
      <c r="Z162" s="87" t="str">
        <f t="shared" si="45"/>
        <v>Saran Umum Peningkatan</v>
      </c>
      <c r="AA162" s="87" t="str">
        <f t="shared" si="46"/>
        <v>Tidak ada masukan / sudah baik</v>
      </c>
      <c r="AB162" s="87" t="str">
        <f t="shared" si="47"/>
        <v>Tidak ada masukan / sudah baik</v>
      </c>
      <c r="AC162" s="87"/>
      <c r="AD162" s="87"/>
      <c r="AE162" s="87"/>
      <c r="AK162" s="90">
        <f t="shared" si="48"/>
        <v>0</v>
      </c>
      <c r="AL162" s="90">
        <f t="shared" si="49"/>
        <v>0</v>
      </c>
      <c r="AM162" s="90">
        <f t="shared" si="50"/>
        <v>0</v>
      </c>
      <c r="AN162" s="90">
        <f t="shared" si="51"/>
        <v>0</v>
      </c>
      <c r="AO162" s="90">
        <f t="shared" si="52"/>
        <v>0</v>
      </c>
      <c r="AP162" s="90">
        <f t="shared" si="53"/>
        <v>0</v>
      </c>
      <c r="AQ162" s="90">
        <f t="shared" si="54"/>
        <v>0</v>
      </c>
      <c r="AR162" s="90">
        <f t="shared" si="55"/>
        <v>0</v>
      </c>
      <c r="AS162" s="90">
        <f t="shared" si="56"/>
        <v>0</v>
      </c>
      <c r="AT162" s="90">
        <f t="shared" si="57"/>
        <v>0</v>
      </c>
      <c r="AU162" s="90">
        <f t="shared" si="58"/>
        <v>0</v>
      </c>
      <c r="AV162" s="90">
        <f t="shared" si="59"/>
        <v>0</v>
      </c>
      <c r="AW162" s="90">
        <f t="shared" si="60"/>
        <v>0</v>
      </c>
      <c r="AX162" s="90">
        <f t="shared" si="61"/>
        <v>0</v>
      </c>
      <c r="AY162" s="90">
        <f t="shared" si="62"/>
        <v>0</v>
      </c>
      <c r="AZ162" s="90">
        <f t="shared" si="63"/>
        <v>1</v>
      </c>
      <c r="BA162" s="90">
        <f t="shared" si="64"/>
        <v>0</v>
      </c>
      <c r="BB162" s="90">
        <f t="shared" si="65"/>
        <v>1</v>
      </c>
    </row>
    <row r="163" spans="1:54">
      <c r="A163" s="87">
        <f>IF(INDEX(FORM!$A:$A,ROW())="","",ROW()-1)</f>
        <v>162</v>
      </c>
      <c r="B163" s="88">
        <f>IF($A163="","",INDEX(FORM!$A:$A,ROW()))</f>
        <v>46311.391631944498</v>
      </c>
      <c r="C163" s="87" t="str">
        <f>IF($A163="","",TRIM(INDEX(FORM!$B:$B,ROW())))</f>
        <v>Mochammad David Ananta</v>
      </c>
      <c r="D163" s="87" t="str">
        <f>IF($A163="","",TRIM(INDEX(FORM!$C:$C,ROW())&amp;""))</f>
        <v>1510841</v>
      </c>
      <c r="E163" s="87" t="str">
        <f>IF($A163="","",UPPER(TRIM(INDEX(FORM!$D:$D,ROW()))))</f>
        <v>MAGELANG</v>
      </c>
      <c r="F163" s="87" t="str">
        <f>IF($A163="","",IFERROR(INDEX(PROGRES!$A$2:$A$92,MATCH(E163,PROGRES!$B$2:$B$92,0)),"-"))</f>
        <v>Jawa Tengah</v>
      </c>
      <c r="G163" s="87" t="str">
        <f>IF($A163="","",UPPER(TRIM(INDEX(FORM!$F:$F,ROW()))))</f>
        <v>JATENG DIY</v>
      </c>
      <c r="H163" s="87" t="str">
        <f>IF($A163="","",UPPER(TRIM(INDEX(FORM!$E:$E,ROW()))))</f>
        <v>CRO</v>
      </c>
      <c r="I163" s="87" t="str">
        <f>IF($A163="","",UPPER(TRIM(INDEX(FORM!$G:$G,ROW()))))</f>
        <v>CUKUP</v>
      </c>
      <c r="J163" s="87" t="str">
        <f>IF($A163="","",IF(ISNUMBER(SEARCH("Ya,",INDEX(FORM!$H:$H,ROW()))),"YA",IF(ISNUMBER(SEARCH("Cukup,",INDEX(FORM!$H:$H,ROW()))),"CUKUP",IF(ISNUMBER(SEARCH("Kurang,",INDEX(FORM!$H:$H,ROW()))),"KURANG",""))))</f>
        <v>CUKUP</v>
      </c>
      <c r="K163" s="87" t="str">
        <f>IF($A163="","",UPPER(TRIM(INDEX(FORM!$J:$J,ROW()))))</f>
        <v>CUKUP</v>
      </c>
      <c r="L163" s="87">
        <f>IF($A163="","",IF(ISNUMBER(SEARCH("Aktivitas Harian",INDEX(FORM!$K:$K,ROW()))),1,0))</f>
        <v>0</v>
      </c>
      <c r="M163" s="87">
        <f>IF($A163="","",IF(ISNUMBER(SEARCH("Aktivitas Mingguan",INDEX(FORM!$K:$K,ROW()))),1,0))</f>
        <v>0</v>
      </c>
      <c r="N163" s="87">
        <f>IF($A163="","",IF(ISNUMBER(SEARCH("Aktivitas Bulanan",INDEX(FORM!$K:$K,ROW()))),1,0))</f>
        <v>1</v>
      </c>
      <c r="O163" s="87">
        <f>IF($A163="","",IF(ISNUMBER(SEARCH("Overview Cabang",INDEX(FORM!$K:$K,ROW()))),1,0))</f>
        <v>0</v>
      </c>
      <c r="P163" s="87">
        <f>IF($A163="","",IFERROR(VLOOKUP(I163,DATA!$AH$9:$AI$13,2,0),""))</f>
        <v>2</v>
      </c>
      <c r="Q163" s="87">
        <f>IF($A163="","",IFERROR(VLOOKUP(J163,DATA!$AH$9:$AI$13,2,0),""))</f>
        <v>2</v>
      </c>
      <c r="R163" s="87">
        <f>IF($A163="","",IFERROR(VLOOKUP(K163,DATA!$AH$9:$AI$13,2,0),""))</f>
        <v>2</v>
      </c>
      <c r="S163" s="89">
        <f t="shared" si="44"/>
        <v>2</v>
      </c>
      <c r="T163" s="87">
        <f>IF($A163="","",IF(COUNTIF($D$2:D163,D163)=1,1,0))</f>
        <v>1</v>
      </c>
      <c r="U163" s="87" t="str">
        <f>IF($A163="","",IF(F163="-","Cabang tdk ada",IF(IFERROR(VLOOKUP(G163,#REF!,1,0),"")="","",IF(INDEX(DATA!$AH$2:$AH$5,MATCH(G163,DATA!$AI$2:$AI$5,0))&lt;&gt;F163,"Wilayah beda","OK"))))</f>
        <v/>
      </c>
      <c r="V163" s="87" t="str">
        <f>IF($A163="","",TRIM(INDEX(FORM!$I:$I,ROW())&amp;""))</f>
        <v>Baik</v>
      </c>
      <c r="W163" s="87" t="str">
        <f>IF($A163="","",TRIM(INDEX(FORM!$L:$L,ROW())&amp;""))</f>
        <v>Tidak ada</v>
      </c>
      <c r="X163" s="87" t="str">
        <f>IF($A163="","",TRIM(INDEX(FORM!$M:$M,ROW())&amp;""))</f>
        <v>Sudah baik</v>
      </c>
      <c r="Y163" s="8">
        <f>IF($A163="","",IFERROR(MATCH(F163,DATA!$AH$2:$AH$5,0),9)*10000+A163)</f>
        <v>20162</v>
      </c>
      <c r="Z163" s="87" t="str">
        <f t="shared" si="45"/>
        <v>Tidak ada masukan / sudah baik</v>
      </c>
      <c r="AA163" s="87" t="str">
        <f t="shared" si="46"/>
        <v>Tidak ada masukan / sudah baik</v>
      </c>
      <c r="AB163" s="87" t="str">
        <f t="shared" si="47"/>
        <v>Tidak ada masukan / sudah baik</v>
      </c>
      <c r="AC163" s="87"/>
      <c r="AD163" s="87"/>
      <c r="AE163" s="87"/>
      <c r="AK163" s="90">
        <f t="shared" si="48"/>
        <v>0</v>
      </c>
      <c r="AL163" s="90">
        <f t="shared" si="49"/>
        <v>0</v>
      </c>
      <c r="AM163" s="90">
        <f t="shared" si="50"/>
        <v>0</v>
      </c>
      <c r="AN163" s="90">
        <f t="shared" si="51"/>
        <v>0</v>
      </c>
      <c r="AO163" s="90">
        <f t="shared" si="52"/>
        <v>0</v>
      </c>
      <c r="AP163" s="90">
        <f t="shared" si="53"/>
        <v>0</v>
      </c>
      <c r="AQ163" s="90">
        <f t="shared" si="54"/>
        <v>0</v>
      </c>
      <c r="AR163" s="90">
        <f t="shared" si="55"/>
        <v>0</v>
      </c>
      <c r="AS163" s="90">
        <f t="shared" si="56"/>
        <v>0</v>
      </c>
      <c r="AT163" s="90">
        <f t="shared" si="57"/>
        <v>0</v>
      </c>
      <c r="AU163" s="90">
        <f t="shared" si="58"/>
        <v>0</v>
      </c>
      <c r="AV163" s="90">
        <f t="shared" si="59"/>
        <v>0</v>
      </c>
      <c r="AW163" s="90">
        <f t="shared" si="60"/>
        <v>0</v>
      </c>
      <c r="AX163" s="90">
        <f t="shared" si="61"/>
        <v>0</v>
      </c>
      <c r="AY163" s="90">
        <f t="shared" si="62"/>
        <v>0</v>
      </c>
      <c r="AZ163" s="90">
        <f t="shared" si="63"/>
        <v>0</v>
      </c>
      <c r="BA163" s="90">
        <f t="shared" si="64"/>
        <v>0</v>
      </c>
      <c r="BB163" s="90">
        <f t="shared" si="65"/>
        <v>0</v>
      </c>
    </row>
    <row r="164" spans="1:54" s="5" customFormat="1" hidden="1">
      <c r="A164" s="8">
        <f>IF(INDEX(FORM!$A:$A,ROW())="","",ROW()-1)</f>
        <v>163</v>
      </c>
      <c r="B164" s="41">
        <f>IF($A164="","",INDEX(FORM!$A:$A,ROW()))</f>
        <v>46311.392222222203</v>
      </c>
      <c r="C164" s="8" t="str">
        <f>IF($A164="","",TRIM(INDEX(FORM!$B:$B,ROW())))</f>
        <v>Dendi Vio</v>
      </c>
      <c r="D164" s="8" t="str">
        <f>IF($A164="","",TRIM(INDEX(FORM!$C:$C,ROW())&amp;""))</f>
        <v>80480</v>
      </c>
      <c r="E164" s="8" t="str">
        <f>IF($A164="","",UPPER(TRIM(INDEX(FORM!$D:$D,ROW()))))</f>
        <v>MADIUN</v>
      </c>
      <c r="F164" s="8" t="str">
        <f>IF($A164="","",IFERROR(INDEX(PROGRES!$A$2:$A$92,MATCH(E164,PROGRES!$B$2:$B$92,0)),"-"))</f>
        <v>Jawa Timur</v>
      </c>
      <c r="G164" s="8" t="str">
        <f>IF($A164="","",UPPER(TRIM(INDEX(FORM!$F:$F,ROW()))))</f>
        <v>JATIM</v>
      </c>
      <c r="H164" s="8" t="str">
        <f>IF($A164="","",UPPER(TRIM(INDEX(FORM!$E:$E,ROW()))))</f>
        <v>BM</v>
      </c>
      <c r="I164" s="8" t="str">
        <f>IF($A164="","",UPPER(TRIM(INDEX(FORM!$G:$G,ROW()))))</f>
        <v>MUDAH</v>
      </c>
      <c r="J164" s="8" t="str">
        <f>IF($A164="","",IF(ISNUMBER(SEARCH("Ya,",INDEX(FORM!$H:$H,ROW()))),"YA",IF(ISNUMBER(SEARCH("Cukup,",INDEX(FORM!$H:$H,ROW()))),"CUKUP",IF(ISNUMBER(SEARCH("Kurang,",INDEX(FORM!$H:$H,ROW()))),"KURANG",""))))</f>
        <v>CUKUP</v>
      </c>
      <c r="K164" s="8" t="str">
        <f>IF($A164="","",UPPER(TRIM(INDEX(FORM!$J:$J,ROW()))))</f>
        <v>MUDAH</v>
      </c>
      <c r="L164" s="8">
        <f>IF($A164="","",IF(ISNUMBER(SEARCH("Aktivitas Harian",INDEX(FORM!$K:$K,ROW()))),1,0))</f>
        <v>1</v>
      </c>
      <c r="M164" s="8">
        <f>IF($A164="","",IF(ISNUMBER(SEARCH("Aktivitas Mingguan",INDEX(FORM!$K:$K,ROW()))),1,0))</f>
        <v>0</v>
      </c>
      <c r="N164" s="8">
        <f>IF($A164="","",IF(ISNUMBER(SEARCH("Aktivitas Bulanan",INDEX(FORM!$K:$K,ROW()))),1,0))</f>
        <v>0</v>
      </c>
      <c r="O164" s="8">
        <f>IF($A164="","",IF(ISNUMBER(SEARCH("Overview Cabang",INDEX(FORM!$K:$K,ROW()))),1,0))</f>
        <v>0</v>
      </c>
      <c r="P164" s="8">
        <f>IF($A164="","",IFERROR(VLOOKUP(I164,DATA!$AH$9:$AI$13,2,0),""))</f>
        <v>3</v>
      </c>
      <c r="Q164" s="8">
        <f>IF($A164="","",IFERROR(VLOOKUP(J164,DATA!$AH$9:$AI$13,2,0),""))</f>
        <v>2</v>
      </c>
      <c r="R164" s="8">
        <f>IF($A164="","",IFERROR(VLOOKUP(K164,DATA!$AH$9:$AI$13,2,0),""))</f>
        <v>3</v>
      </c>
      <c r="S164" s="42">
        <f t="shared" si="44"/>
        <v>2.6666666666666665</v>
      </c>
      <c r="T164" s="8">
        <f>IF($A164="","",IF(COUNTIF($D$2:D164,D164)=1,1,0))</f>
        <v>1</v>
      </c>
      <c r="U164" s="8" t="str">
        <f>IF($A164="","",IF(F164="-","Cabang tdk ada",IF(IFERROR(VLOOKUP(G164,#REF!,1,0),"")="","",IF(INDEX(DATA!$AH$2:$AH$5,MATCH(G164,DATA!$AI$2:$AI$5,0))&lt;&gt;F164,"Wilayah beda","OK"))))</f>
        <v/>
      </c>
      <c r="V164" s="8" t="str">
        <f>IF($A164="","",TRIM(INDEX(FORM!$I:$I,ROW())&amp;""))</f>
        <v>--</v>
      </c>
      <c r="W164" s="8" t="str">
        <f>IF($A164="","",TRIM(INDEX(FORM!$L:$L,ROW())&amp;""))</f>
        <v>-</v>
      </c>
      <c r="X164" s="8" t="str">
        <f>IF($A164="","",TRIM(INDEX(FORM!$M:$M,ROW())&amp;""))</f>
        <v>-</v>
      </c>
      <c r="Y164" s="8">
        <f>IF($A164="","",IFERROR(MATCH(F164,DATA!$AH$2:$AH$5,0),9)*10000+A164)</f>
        <v>30163</v>
      </c>
      <c r="Z164" s="8" t="str">
        <f t="shared" si="45"/>
        <v>Tidak ada masukan / sudah baik</v>
      </c>
      <c r="AA164" s="8" t="str">
        <f t="shared" si="46"/>
        <v>Tidak ada masukan / sudah baik</v>
      </c>
      <c r="AB164" s="8" t="str">
        <f t="shared" si="47"/>
        <v>Tidak ada masukan / sudah baik</v>
      </c>
      <c r="AC164" s="8"/>
      <c r="AD164" s="8"/>
      <c r="AE164" s="8"/>
      <c r="AK164" s="5">
        <f t="shared" si="48"/>
        <v>0</v>
      </c>
      <c r="AL164" s="5">
        <f t="shared" si="49"/>
        <v>0</v>
      </c>
      <c r="AM164" s="5">
        <f t="shared" si="50"/>
        <v>0</v>
      </c>
      <c r="AN164" s="5">
        <f t="shared" si="51"/>
        <v>0</v>
      </c>
      <c r="AO164" s="5">
        <f t="shared" si="52"/>
        <v>0</v>
      </c>
      <c r="AP164" s="5">
        <f t="shared" si="53"/>
        <v>0</v>
      </c>
      <c r="AQ164" s="5">
        <f t="shared" si="54"/>
        <v>0</v>
      </c>
      <c r="AR164" s="5">
        <f t="shared" si="55"/>
        <v>0</v>
      </c>
      <c r="AS164" s="5">
        <f t="shared" si="56"/>
        <v>0</v>
      </c>
      <c r="AT164" s="5">
        <f t="shared" si="57"/>
        <v>0</v>
      </c>
      <c r="AU164" s="5">
        <f t="shared" si="58"/>
        <v>0</v>
      </c>
      <c r="AV164" s="5">
        <f t="shared" si="59"/>
        <v>0</v>
      </c>
      <c r="AW164" s="5">
        <f t="shared" si="60"/>
        <v>0</v>
      </c>
      <c r="AX164" s="5">
        <f t="shared" si="61"/>
        <v>0</v>
      </c>
      <c r="AY164" s="5">
        <f t="shared" si="62"/>
        <v>0</v>
      </c>
      <c r="AZ164" s="5">
        <f t="shared" si="63"/>
        <v>0</v>
      </c>
      <c r="BA164" s="5">
        <f t="shared" si="64"/>
        <v>0</v>
      </c>
      <c r="BB164" s="5">
        <f t="shared" si="65"/>
        <v>0</v>
      </c>
    </row>
    <row r="165" spans="1:54">
      <c r="A165" s="87">
        <f>IF(INDEX(FORM!$A:$A,ROW())="","",ROW()-1)</f>
        <v>164</v>
      </c>
      <c r="B165" s="88">
        <f>IF($A165="","",INDEX(FORM!$A:$A,ROW()))</f>
        <v>46311.392534722203</v>
      </c>
      <c r="C165" s="87" t="str">
        <f>IF($A165="","",TRIM(INDEX(FORM!$B:$B,ROW())))</f>
        <v>DEDY PURNOMO</v>
      </c>
      <c r="D165" s="87" t="str">
        <f>IF($A165="","",TRIM(INDEX(FORM!$C:$C,ROW())&amp;""))</f>
        <v>1511328</v>
      </c>
      <c r="E165" s="87" t="str">
        <f>IF($A165="","",UPPER(TRIM(INDEX(FORM!$D:$D,ROW()))))</f>
        <v>MAGELANG</v>
      </c>
      <c r="F165" s="87" t="str">
        <f>IF($A165="","",IFERROR(INDEX(PROGRES!$A$2:$A$92,MATCH(E165,PROGRES!$B$2:$B$92,0)),"-"))</f>
        <v>Jawa Tengah</v>
      </c>
      <c r="G165" s="87" t="str">
        <f>IF($A165="","",UPPER(TRIM(INDEX(FORM!$F:$F,ROW()))))</f>
        <v>JATENG DIY</v>
      </c>
      <c r="H165" s="87" t="str">
        <f>IF($A165="","",UPPER(TRIM(INDEX(FORM!$E:$E,ROW()))))</f>
        <v>CRO</v>
      </c>
      <c r="I165" s="87" t="str">
        <f>IF($A165="","",UPPER(TRIM(INDEX(FORM!$G:$G,ROW()))))</f>
        <v>MUDAH</v>
      </c>
      <c r="J165" s="87" t="str">
        <f>IF($A165="","",IF(ISNUMBER(SEARCH("Ya,",INDEX(FORM!$H:$H,ROW()))),"YA",IF(ISNUMBER(SEARCH("Cukup,",INDEX(FORM!$H:$H,ROW()))),"CUKUP",IF(ISNUMBER(SEARCH("Kurang,",INDEX(FORM!$H:$H,ROW()))),"KURANG",""))))</f>
        <v>YA</v>
      </c>
      <c r="K165" s="87" t="str">
        <f>IF($A165="","",UPPER(TRIM(INDEX(FORM!$J:$J,ROW()))))</f>
        <v>MUDAH</v>
      </c>
      <c r="L165" s="87">
        <f>IF($A165="","",IF(ISNUMBER(SEARCH("Aktivitas Harian",INDEX(FORM!$K:$K,ROW()))),1,0))</f>
        <v>1</v>
      </c>
      <c r="M165" s="87">
        <f>IF($A165="","",IF(ISNUMBER(SEARCH("Aktivitas Mingguan",INDEX(FORM!$K:$K,ROW()))),1,0))</f>
        <v>0</v>
      </c>
      <c r="N165" s="87">
        <f>IF($A165="","",IF(ISNUMBER(SEARCH("Aktivitas Bulanan",INDEX(FORM!$K:$K,ROW()))),1,0))</f>
        <v>0</v>
      </c>
      <c r="O165" s="87">
        <f>IF($A165="","",IF(ISNUMBER(SEARCH("Overview Cabang",INDEX(FORM!$K:$K,ROW()))),1,0))</f>
        <v>0</v>
      </c>
      <c r="P165" s="87">
        <f>IF($A165="","",IFERROR(VLOOKUP(I165,DATA!$AH$9:$AI$13,2,0),""))</f>
        <v>3</v>
      </c>
      <c r="Q165" s="87">
        <f>IF($A165="","",IFERROR(VLOOKUP(J165,DATA!$AH$9:$AI$13,2,0),""))</f>
        <v>3</v>
      </c>
      <c r="R165" s="87">
        <f>IF($A165="","",IFERROR(VLOOKUP(K165,DATA!$AH$9:$AI$13,2,0),""))</f>
        <v>3</v>
      </c>
      <c r="S165" s="89">
        <f t="shared" si="44"/>
        <v>3</v>
      </c>
      <c r="T165" s="87">
        <f>IF($A165="","",IF(COUNTIF($D$2:D165,D165)=1,1,0))</f>
        <v>1</v>
      </c>
      <c r="U165" s="87" t="str">
        <f>IF($A165="","",IF(F165="-","Cabang tdk ada",IF(IFERROR(VLOOKUP(G165,#REF!,1,0),"")="","",IF(INDEX(DATA!$AH$2:$AH$5,MATCH(G165,DATA!$AI$2:$AI$5,0))&lt;&gt;F165,"Wilayah beda","OK"))))</f>
        <v/>
      </c>
      <c r="V165" s="87" t="str">
        <f>IF($A165="","",TRIM(INDEX(FORM!$I:$I,ROW())&amp;""))</f>
        <v>Tidak ada</v>
      </c>
      <c r="W165" s="87" t="str">
        <f>IF($A165="","",TRIM(INDEX(FORM!$L:$L,ROW())&amp;""))</f>
        <v>Tidak ada</v>
      </c>
      <c r="X165" s="87" t="str">
        <f>IF($A165="","",TRIM(INDEX(FORM!$M:$M,ROW())&amp;""))</f>
        <v>Tidak ada</v>
      </c>
      <c r="Y165" s="8">
        <f>IF($A165="","",IFERROR(MATCH(F165,DATA!$AH$2:$AH$5,0),9)*10000+A165)</f>
        <v>20164</v>
      </c>
      <c r="Z165" s="87" t="str">
        <f t="shared" si="45"/>
        <v>Tidak ada masukan / sudah baik</v>
      </c>
      <c r="AA165" s="87" t="str">
        <f t="shared" si="46"/>
        <v>Tidak ada masukan / sudah baik</v>
      </c>
      <c r="AB165" s="87" t="str">
        <f t="shared" si="47"/>
        <v>Tidak ada masukan / sudah baik</v>
      </c>
      <c r="AC165" s="87"/>
      <c r="AD165" s="87"/>
      <c r="AE165" s="87"/>
      <c r="AK165" s="90">
        <f t="shared" si="48"/>
        <v>0</v>
      </c>
      <c r="AL165" s="90">
        <f t="shared" si="49"/>
        <v>0</v>
      </c>
      <c r="AM165" s="90">
        <f t="shared" si="50"/>
        <v>0</v>
      </c>
      <c r="AN165" s="90">
        <f t="shared" si="51"/>
        <v>0</v>
      </c>
      <c r="AO165" s="90">
        <f t="shared" si="52"/>
        <v>0</v>
      </c>
      <c r="AP165" s="90">
        <f t="shared" si="53"/>
        <v>0</v>
      </c>
      <c r="AQ165" s="90">
        <f t="shared" si="54"/>
        <v>0</v>
      </c>
      <c r="AR165" s="90">
        <f t="shared" si="55"/>
        <v>0</v>
      </c>
      <c r="AS165" s="90">
        <f t="shared" si="56"/>
        <v>0</v>
      </c>
      <c r="AT165" s="90">
        <f t="shared" si="57"/>
        <v>0</v>
      </c>
      <c r="AU165" s="90">
        <f t="shared" si="58"/>
        <v>0</v>
      </c>
      <c r="AV165" s="90">
        <f t="shared" si="59"/>
        <v>0</v>
      </c>
      <c r="AW165" s="90">
        <f t="shared" si="60"/>
        <v>0</v>
      </c>
      <c r="AX165" s="90">
        <f t="shared" si="61"/>
        <v>0</v>
      </c>
      <c r="AY165" s="90">
        <f t="shared" si="62"/>
        <v>0</v>
      </c>
      <c r="AZ165" s="90">
        <f t="shared" si="63"/>
        <v>0</v>
      </c>
      <c r="BA165" s="90">
        <f t="shared" si="64"/>
        <v>0</v>
      </c>
      <c r="BB165" s="90">
        <f t="shared" si="65"/>
        <v>0</v>
      </c>
    </row>
    <row r="166" spans="1:54">
      <c r="A166" s="87">
        <f>IF(INDEX(FORM!$A:$A,ROW())="","",ROW()-1)</f>
        <v>165</v>
      </c>
      <c r="B166" s="88">
        <f>IF($A166="","",INDEX(FORM!$A:$A,ROW()))</f>
        <v>46311.3925578704</v>
      </c>
      <c r="C166" s="87" t="str">
        <f>IF($A166="","",TRIM(INDEX(FORM!$B:$B,ROW())))</f>
        <v>Joko sutrisno</v>
      </c>
      <c r="D166" s="87" t="str">
        <f>IF($A166="","",TRIM(INDEX(FORM!$C:$C,ROW())&amp;""))</f>
        <v>1510863</v>
      </c>
      <c r="E166" s="87" t="str">
        <f>IF($A166="","",UPPER(TRIM(INDEX(FORM!$D:$D,ROW()))))</f>
        <v>LAMONGAN</v>
      </c>
      <c r="F166" s="87" t="str">
        <f>IF($A166="","",IFERROR(INDEX(PROGRES!$A$2:$A$92,MATCH(E166,PROGRES!$B$2:$B$92,0)),"-"))</f>
        <v>Jawa Timur</v>
      </c>
      <c r="G166" s="87" t="str">
        <f>IF($A166="","",UPPER(TRIM(INDEX(FORM!$F:$F,ROW()))))</f>
        <v>JATIM</v>
      </c>
      <c r="H166" s="87" t="str">
        <f>IF($A166="","",UPPER(TRIM(INDEX(FORM!$E:$E,ROW()))))</f>
        <v>CRO</v>
      </c>
      <c r="I166" s="87" t="str">
        <f>IF($A166="","",UPPER(TRIM(INDEX(FORM!$G:$G,ROW()))))</f>
        <v>MUDAH</v>
      </c>
      <c r="J166" s="87" t="str">
        <f>IF($A166="","",IF(ISNUMBER(SEARCH("Ya,",INDEX(FORM!$H:$H,ROW()))),"YA",IF(ISNUMBER(SEARCH("Cukup,",INDEX(FORM!$H:$H,ROW()))),"CUKUP",IF(ISNUMBER(SEARCH("Kurang,",INDEX(FORM!$H:$H,ROW()))),"KURANG",""))))</f>
        <v>YA</v>
      </c>
      <c r="K166" s="87" t="str">
        <f>IF($A166="","",UPPER(TRIM(INDEX(FORM!$J:$J,ROW()))))</f>
        <v>CUKUP</v>
      </c>
      <c r="L166" s="87">
        <f>IF($A166="","",IF(ISNUMBER(SEARCH("Aktivitas Harian",INDEX(FORM!$K:$K,ROW()))),1,0))</f>
        <v>1</v>
      </c>
      <c r="M166" s="87">
        <f>IF($A166="","",IF(ISNUMBER(SEARCH("Aktivitas Mingguan",INDEX(FORM!$K:$K,ROW()))),1,0))</f>
        <v>0</v>
      </c>
      <c r="N166" s="87">
        <f>IF($A166="","",IF(ISNUMBER(SEARCH("Aktivitas Bulanan",INDEX(FORM!$K:$K,ROW()))),1,0))</f>
        <v>0</v>
      </c>
      <c r="O166" s="87">
        <f>IF($A166="","",IF(ISNUMBER(SEARCH("Overview Cabang",INDEX(FORM!$K:$K,ROW()))),1,0))</f>
        <v>0</v>
      </c>
      <c r="P166" s="87">
        <f>IF($A166="","",IFERROR(VLOOKUP(I166,DATA!$AH$9:$AI$13,2,0),""))</f>
        <v>3</v>
      </c>
      <c r="Q166" s="87">
        <f>IF($A166="","",IFERROR(VLOOKUP(J166,DATA!$AH$9:$AI$13,2,0),""))</f>
        <v>3</v>
      </c>
      <c r="R166" s="87">
        <f>IF($A166="","",IFERROR(VLOOKUP(K166,DATA!$AH$9:$AI$13,2,0),""))</f>
        <v>2</v>
      </c>
      <c r="S166" s="89">
        <f t="shared" si="44"/>
        <v>2.6666666666666665</v>
      </c>
      <c r="T166" s="87">
        <f>IF($A166="","",IF(COUNTIF($D$2:D166,D166)=1,1,0))</f>
        <v>1</v>
      </c>
      <c r="U166" s="87" t="str">
        <f>IF($A166="","",IF(F166="-","Cabang tdk ada",IF(IFERROR(VLOOKUP(G166,#REF!,1,0),"")="","",IF(INDEX(DATA!$AH$2:$AH$5,MATCH(G166,DATA!$AI$2:$AI$5,0))&lt;&gt;F166,"Wilayah beda","OK"))))</f>
        <v/>
      </c>
      <c r="V166" s="87" t="str">
        <f>IF($A166="","",TRIM(INDEX(FORM!$I:$I,ROW())&amp;""))</f>
        <v>Penambahan produk yg di jual</v>
      </c>
      <c r="W166" s="87" t="str">
        <f>IF($A166="","",TRIM(INDEX(FORM!$L:$L,ROW())&amp;""))</f>
        <v>Jenis pelanggaran dan sanksi</v>
      </c>
      <c r="X166" s="87" t="str">
        <f>IF($A166="","",TRIM(INDEX(FORM!$M:$M,ROW())&amp;""))</f>
        <v>Penambahan pencapaian prestasi yg di peroleh baik perusahaan agau personal cabang</v>
      </c>
      <c r="Y166" s="8">
        <f>IF($A166="","",IFERROR(MATCH(F166,DATA!$AH$2:$AH$5,0),9)*10000+A166)</f>
        <v>30165</v>
      </c>
      <c r="Z166" s="87" t="str">
        <f t="shared" si="45"/>
        <v>Lainnya (perlu dibaca manual)</v>
      </c>
      <c r="AA166" s="87" t="str">
        <f t="shared" si="46"/>
        <v>Sanksi &amp; Pelanggaran SOP</v>
      </c>
      <c r="AB166" s="87" t="str">
        <f t="shared" si="47"/>
        <v>Tidak ada masukan / sudah baik</v>
      </c>
      <c r="AC166" s="87"/>
      <c r="AD166" s="87"/>
      <c r="AE166" s="87"/>
      <c r="AK166" s="90">
        <f t="shared" si="48"/>
        <v>0</v>
      </c>
      <c r="AL166" s="90">
        <f t="shared" si="49"/>
        <v>0</v>
      </c>
      <c r="AM166" s="90">
        <f t="shared" si="50"/>
        <v>0</v>
      </c>
      <c r="AN166" s="90">
        <f t="shared" si="51"/>
        <v>0</v>
      </c>
      <c r="AO166" s="90">
        <f t="shared" si="52"/>
        <v>0</v>
      </c>
      <c r="AP166" s="90">
        <f t="shared" si="53"/>
        <v>0</v>
      </c>
      <c r="AQ166" s="90">
        <f t="shared" si="54"/>
        <v>0</v>
      </c>
      <c r="AR166" s="90">
        <f t="shared" si="55"/>
        <v>0</v>
      </c>
      <c r="AS166" s="90">
        <f t="shared" si="56"/>
        <v>0</v>
      </c>
      <c r="AT166" s="90">
        <f t="shared" si="57"/>
        <v>0</v>
      </c>
      <c r="AU166" s="90">
        <f t="shared" si="58"/>
        <v>0</v>
      </c>
      <c r="AV166" s="90">
        <f t="shared" si="59"/>
        <v>1</v>
      </c>
      <c r="AW166" s="90">
        <f t="shared" si="60"/>
        <v>0</v>
      </c>
      <c r="AX166" s="90">
        <f t="shared" si="61"/>
        <v>0</v>
      </c>
      <c r="AY166" s="90">
        <f t="shared" si="62"/>
        <v>0</v>
      </c>
      <c r="AZ166" s="90">
        <f t="shared" si="63"/>
        <v>0</v>
      </c>
      <c r="BA166" s="90">
        <f t="shared" si="64"/>
        <v>1</v>
      </c>
      <c r="BB166" s="90">
        <f t="shared" si="65"/>
        <v>1</v>
      </c>
    </row>
    <row r="167" spans="1:54" s="5" customFormat="1" hidden="1">
      <c r="A167" s="8">
        <f>IF(INDEX(FORM!$A:$A,ROW())="","",ROW()-1)</f>
        <v>166</v>
      </c>
      <c r="B167" s="41">
        <f>IF($A167="","",INDEX(FORM!$A:$A,ROW()))</f>
        <v>46311.393506944398</v>
      </c>
      <c r="C167" s="8" t="str">
        <f>IF($A167="","",TRIM(INDEX(FORM!$B:$B,ROW())))</f>
        <v>Wahyu Candra Romadon</v>
      </c>
      <c r="D167" s="8" t="str">
        <f>IF($A167="","",TRIM(INDEX(FORM!$C:$C,ROW())&amp;""))</f>
        <v>1510779</v>
      </c>
      <c r="E167" s="8" t="str">
        <f>IF($A167="","",UPPER(TRIM(INDEX(FORM!$D:$D,ROW()))))</f>
        <v>BANJARNEGARA</v>
      </c>
      <c r="F167" s="8" t="str">
        <f>IF($A167="","",IFERROR(INDEX(PROGRES!$A$2:$A$92,MATCH(E167,PROGRES!$B$2:$B$92,0)),"-"))</f>
        <v>Jawa Tengah</v>
      </c>
      <c r="G167" s="8" t="str">
        <f>IF($A167="","",UPPER(TRIM(INDEX(FORM!$F:$F,ROW()))))</f>
        <v>JATENG DIY</v>
      </c>
      <c r="H167" s="8" t="str">
        <f>IF($A167="","",UPPER(TRIM(INDEX(FORM!$E:$E,ROW()))))</f>
        <v>BAO</v>
      </c>
      <c r="I167" s="8" t="str">
        <f>IF($A167="","",UPPER(TRIM(INDEX(FORM!$G:$G,ROW()))))</f>
        <v>CUKUP</v>
      </c>
      <c r="J167" s="8" t="str">
        <f>IF($A167="","",IF(ISNUMBER(SEARCH("Ya,",INDEX(FORM!$H:$H,ROW()))),"YA",IF(ISNUMBER(SEARCH("Cukup,",INDEX(FORM!$H:$H,ROW()))),"CUKUP",IF(ISNUMBER(SEARCH("Kurang,",INDEX(FORM!$H:$H,ROW()))),"KURANG",""))))</f>
        <v>CUKUP</v>
      </c>
      <c r="K167" s="8" t="str">
        <f>IF($A167="","",UPPER(TRIM(INDEX(FORM!$J:$J,ROW()))))</f>
        <v>CUKUP</v>
      </c>
      <c r="L167" s="8">
        <f>IF($A167="","",IF(ISNUMBER(SEARCH("Aktivitas Harian",INDEX(FORM!$K:$K,ROW()))),1,0))</f>
        <v>1</v>
      </c>
      <c r="M167" s="8">
        <f>IF($A167="","",IF(ISNUMBER(SEARCH("Aktivitas Mingguan",INDEX(FORM!$K:$K,ROW()))),1,0))</f>
        <v>0</v>
      </c>
      <c r="N167" s="8">
        <f>IF($A167="","",IF(ISNUMBER(SEARCH("Aktivitas Bulanan",INDEX(FORM!$K:$K,ROW()))),1,0))</f>
        <v>0</v>
      </c>
      <c r="O167" s="8">
        <f>IF($A167="","",IF(ISNUMBER(SEARCH("Overview Cabang",INDEX(FORM!$K:$K,ROW()))),1,0))</f>
        <v>0</v>
      </c>
      <c r="P167" s="8">
        <f>IF($A167="","",IFERROR(VLOOKUP(I167,DATA!$AH$9:$AI$13,2,0),""))</f>
        <v>2</v>
      </c>
      <c r="Q167" s="8">
        <f>IF($A167="","",IFERROR(VLOOKUP(J167,DATA!$AH$9:$AI$13,2,0),""))</f>
        <v>2</v>
      </c>
      <c r="R167" s="8">
        <f>IF($A167="","",IFERROR(VLOOKUP(K167,DATA!$AH$9:$AI$13,2,0),""))</f>
        <v>2</v>
      </c>
      <c r="S167" s="42">
        <f t="shared" si="44"/>
        <v>2</v>
      </c>
      <c r="T167" s="8">
        <f>IF($A167="","",IF(COUNTIF($D$2:D167,D167)=1,1,0))</f>
        <v>1</v>
      </c>
      <c r="U167" s="8" t="str">
        <f>IF($A167="","",IF(F167="-","Cabang tdk ada",IF(IFERROR(VLOOKUP(G167,#REF!,1,0),"")="","",IF(INDEX(DATA!$AH$2:$AH$5,MATCH(G167,DATA!$AI$2:$AI$5,0))&lt;&gt;F167,"Wilayah beda","OK"))))</f>
        <v/>
      </c>
      <c r="V167" s="8" t="str">
        <f>IF($A167="","",TRIM(INDEX(FORM!$I:$I,ROW())&amp;""))</f>
        <v>cukup baik</v>
      </c>
      <c r="W167" s="8" t="str">
        <f>IF($A167="","",TRIM(INDEX(FORM!$L:$L,ROW())&amp;""))</f>
        <v>sudah ada semua</v>
      </c>
      <c r="X167" s="8" t="str">
        <f>IF($A167="","",TRIM(INDEX(FORM!$M:$M,ROW())&amp;""))</f>
        <v>cukup</v>
      </c>
      <c r="Y167" s="8">
        <f>IF($A167="","",IFERROR(MATCH(F167,DATA!$AH$2:$AH$5,0),9)*10000+A167)</f>
        <v>20166</v>
      </c>
      <c r="Z167" s="8" t="str">
        <f t="shared" si="45"/>
        <v>Tidak ada masukan / sudah baik</v>
      </c>
      <c r="AA167" s="8" t="str">
        <f t="shared" si="46"/>
        <v>Tidak ada masukan / sudah baik</v>
      </c>
      <c r="AB167" s="8" t="str">
        <f t="shared" si="47"/>
        <v>Tidak ada masukan / sudah baik</v>
      </c>
      <c r="AC167" s="8"/>
      <c r="AD167" s="8"/>
      <c r="AE167" s="8"/>
      <c r="AK167" s="5">
        <f t="shared" si="48"/>
        <v>0</v>
      </c>
      <c r="AL167" s="5">
        <f t="shared" si="49"/>
        <v>0</v>
      </c>
      <c r="AM167" s="5">
        <f t="shared" si="50"/>
        <v>0</v>
      </c>
      <c r="AN167" s="5">
        <f t="shared" si="51"/>
        <v>0</v>
      </c>
      <c r="AO167" s="5">
        <f t="shared" si="52"/>
        <v>0</v>
      </c>
      <c r="AP167" s="5">
        <f t="shared" si="53"/>
        <v>0</v>
      </c>
      <c r="AQ167" s="5">
        <f t="shared" si="54"/>
        <v>0</v>
      </c>
      <c r="AR167" s="5">
        <f t="shared" si="55"/>
        <v>0</v>
      </c>
      <c r="AS167" s="5">
        <f t="shared" si="56"/>
        <v>0</v>
      </c>
      <c r="AT167" s="5">
        <f t="shared" si="57"/>
        <v>0</v>
      </c>
      <c r="AU167" s="5">
        <f t="shared" si="58"/>
        <v>0</v>
      </c>
      <c r="AV167" s="5">
        <f t="shared" si="59"/>
        <v>0</v>
      </c>
      <c r="AW167" s="5">
        <f t="shared" si="60"/>
        <v>0</v>
      </c>
      <c r="AX167" s="5">
        <f t="shared" si="61"/>
        <v>0</v>
      </c>
      <c r="AY167" s="5">
        <f t="shared" si="62"/>
        <v>0</v>
      </c>
      <c r="AZ167" s="5">
        <f t="shared" si="63"/>
        <v>0</v>
      </c>
      <c r="BA167" s="5">
        <f t="shared" si="64"/>
        <v>0</v>
      </c>
      <c r="BB167" s="5">
        <f t="shared" si="65"/>
        <v>0</v>
      </c>
    </row>
    <row r="168" spans="1:54">
      <c r="A168" s="87">
        <f>IF(INDEX(FORM!$A:$A,ROW())="","",ROW()-1)</f>
        <v>167</v>
      </c>
      <c r="B168" s="88">
        <f>IF($A168="","",INDEX(FORM!$A:$A,ROW()))</f>
        <v>46311.393923611096</v>
      </c>
      <c r="C168" s="87" t="str">
        <f>IF($A168="","",TRIM(INDEX(FORM!$B:$B,ROW())))</f>
        <v>Agus triyono aji</v>
      </c>
      <c r="D168" s="87" t="str">
        <f>IF($A168="","",TRIM(INDEX(FORM!$C:$C,ROW())&amp;""))</f>
        <v>1511146</v>
      </c>
      <c r="E168" s="87" t="str">
        <f>IF($A168="","",UPPER(TRIM(INDEX(FORM!$D:$D,ROW()))))</f>
        <v>BANJARNEGARA</v>
      </c>
      <c r="F168" s="87" t="str">
        <f>IF($A168="","",IFERROR(INDEX(PROGRES!$A$2:$A$92,MATCH(E168,PROGRES!$B$2:$B$92,0)),"-"))</f>
        <v>Jawa Tengah</v>
      </c>
      <c r="G168" s="87" t="str">
        <f>IF($A168="","",UPPER(TRIM(INDEX(FORM!$F:$F,ROW()))))</f>
        <v>JATENG DIY</v>
      </c>
      <c r="H168" s="87" t="str">
        <f>IF($A168="","",UPPER(TRIM(INDEX(FORM!$E:$E,ROW()))))</f>
        <v>CRO</v>
      </c>
      <c r="I168" s="87" t="str">
        <f>IF($A168="","",UPPER(TRIM(INDEX(FORM!$G:$G,ROW()))))</f>
        <v>CUKUP</v>
      </c>
      <c r="J168" s="87" t="str">
        <f>IF($A168="","",IF(ISNUMBER(SEARCH("Ya,",INDEX(FORM!$H:$H,ROW()))),"YA",IF(ISNUMBER(SEARCH("Cukup,",INDEX(FORM!$H:$H,ROW()))),"CUKUP",IF(ISNUMBER(SEARCH("Kurang,",INDEX(FORM!$H:$H,ROW()))),"KURANG",""))))</f>
        <v>YA</v>
      </c>
      <c r="K168" s="87" t="str">
        <f>IF($A168="","",UPPER(TRIM(INDEX(FORM!$J:$J,ROW()))))</f>
        <v>CUKUP</v>
      </c>
      <c r="L168" s="87">
        <f>IF($A168="","",IF(ISNUMBER(SEARCH("Aktivitas Harian",INDEX(FORM!$K:$K,ROW()))),1,0))</f>
        <v>0</v>
      </c>
      <c r="M168" s="87">
        <f>IF($A168="","",IF(ISNUMBER(SEARCH("Aktivitas Mingguan",INDEX(FORM!$K:$K,ROW()))),1,0))</f>
        <v>1</v>
      </c>
      <c r="N168" s="87">
        <f>IF($A168="","",IF(ISNUMBER(SEARCH("Aktivitas Bulanan",INDEX(FORM!$K:$K,ROW()))),1,0))</f>
        <v>0</v>
      </c>
      <c r="O168" s="87">
        <f>IF($A168="","",IF(ISNUMBER(SEARCH("Overview Cabang",INDEX(FORM!$K:$K,ROW()))),1,0))</f>
        <v>0</v>
      </c>
      <c r="P168" s="87">
        <f>IF($A168="","",IFERROR(VLOOKUP(I168,DATA!$AH$9:$AI$13,2,0),""))</f>
        <v>2</v>
      </c>
      <c r="Q168" s="87">
        <f>IF($A168="","",IFERROR(VLOOKUP(J168,DATA!$AH$9:$AI$13,2,0),""))</f>
        <v>3</v>
      </c>
      <c r="R168" s="87">
        <f>IF($A168="","",IFERROR(VLOOKUP(K168,DATA!$AH$9:$AI$13,2,0),""))</f>
        <v>2</v>
      </c>
      <c r="S168" s="89">
        <f t="shared" si="44"/>
        <v>2.3333333333333335</v>
      </c>
      <c r="T168" s="87">
        <f>IF($A168="","",IF(COUNTIF($D$2:D168,D168)=1,1,0))</f>
        <v>1</v>
      </c>
      <c r="U168" s="87" t="str">
        <f>IF($A168="","",IF(F168="-","Cabang tdk ada",IF(IFERROR(VLOOKUP(G168,#REF!,1,0),"")="","",IF(INDEX(DATA!$AH$2:$AH$5,MATCH(G168,DATA!$AI$2:$AI$5,0))&lt;&gt;F168,"Wilayah beda","OK"))))</f>
        <v/>
      </c>
      <c r="V168" s="87" t="str">
        <f>IF($A168="","",TRIM(INDEX(FORM!$I:$I,ROW())&amp;""))</f>
        <v>cukup</v>
      </c>
      <c r="W168" s="87" t="str">
        <f>IF($A168="","",TRIM(INDEX(FORM!$L:$L,ROW())&amp;""))</f>
        <v>tidak ada</v>
      </c>
      <c r="X168" s="87" t="str">
        <f>IF($A168="","",TRIM(INDEX(FORM!$M:$M,ROW())&amp;""))</f>
        <v>cukup</v>
      </c>
      <c r="Y168" s="8">
        <f>IF($A168="","",IFERROR(MATCH(F168,DATA!$AH$2:$AH$5,0),9)*10000+A168)</f>
        <v>20167</v>
      </c>
      <c r="Z168" s="87" t="str">
        <f t="shared" si="45"/>
        <v>Tidak ada masukan / sudah baik</v>
      </c>
      <c r="AA168" s="87" t="str">
        <f t="shared" si="46"/>
        <v>Tidak ada masukan / sudah baik</v>
      </c>
      <c r="AB168" s="87" t="str">
        <f t="shared" si="47"/>
        <v>Tidak ada masukan / sudah baik</v>
      </c>
      <c r="AC168" s="87"/>
      <c r="AD168" s="87"/>
      <c r="AE168" s="87"/>
      <c r="AK168" s="90">
        <f t="shared" si="48"/>
        <v>0</v>
      </c>
      <c r="AL168" s="90">
        <f t="shared" si="49"/>
        <v>0</v>
      </c>
      <c r="AM168" s="90">
        <f t="shared" si="50"/>
        <v>0</v>
      </c>
      <c r="AN168" s="90">
        <f t="shared" si="51"/>
        <v>0</v>
      </c>
      <c r="AO168" s="90">
        <f t="shared" si="52"/>
        <v>0</v>
      </c>
      <c r="AP168" s="90">
        <f t="shared" si="53"/>
        <v>0</v>
      </c>
      <c r="AQ168" s="90">
        <f t="shared" si="54"/>
        <v>0</v>
      </c>
      <c r="AR168" s="90">
        <f t="shared" si="55"/>
        <v>0</v>
      </c>
      <c r="AS168" s="90">
        <f t="shared" si="56"/>
        <v>0</v>
      </c>
      <c r="AT168" s="90">
        <f t="shared" si="57"/>
        <v>0</v>
      </c>
      <c r="AU168" s="90">
        <f t="shared" si="58"/>
        <v>0</v>
      </c>
      <c r="AV168" s="90">
        <f t="shared" si="59"/>
        <v>0</v>
      </c>
      <c r="AW168" s="90">
        <f t="shared" si="60"/>
        <v>0</v>
      </c>
      <c r="AX168" s="90">
        <f t="shared" si="61"/>
        <v>0</v>
      </c>
      <c r="AY168" s="90">
        <f t="shared" si="62"/>
        <v>0</v>
      </c>
      <c r="AZ168" s="90">
        <f t="shared" si="63"/>
        <v>0</v>
      </c>
      <c r="BA168" s="90">
        <f t="shared" si="64"/>
        <v>0</v>
      </c>
      <c r="BB168" s="90">
        <f t="shared" si="65"/>
        <v>0</v>
      </c>
    </row>
    <row r="169" spans="1:54" s="5" customFormat="1" hidden="1">
      <c r="A169" s="8">
        <f>IF(INDEX(FORM!$A:$A,ROW())="","",ROW()-1)</f>
        <v>168</v>
      </c>
      <c r="B169" s="41">
        <f>IF($A169="","",INDEX(FORM!$A:$A,ROW()))</f>
        <v>46311.394236111097</v>
      </c>
      <c r="C169" s="8" t="str">
        <f>IF($A169="","",TRIM(INDEX(FORM!$B:$B,ROW())))</f>
        <v>HENDRA MELANDI</v>
      </c>
      <c r="D169" s="8" t="str">
        <f>IF($A169="","",TRIM(INDEX(FORM!$C:$C,ROW())&amp;""))</f>
        <v>1510869</v>
      </c>
      <c r="E169" s="8" t="str">
        <f>IF($A169="","",UPPER(TRIM(INDEX(FORM!$D:$D,ROW()))))</f>
        <v>CIANJUR</v>
      </c>
      <c r="F169" s="8" t="str">
        <f>IF($A169="","",IFERROR(INDEX(PROGRES!$A$2:$A$92,MATCH(E169,PROGRES!$B$2:$B$92,0)),"-"))</f>
        <v>Jawa Barat</v>
      </c>
      <c r="G169" s="8" t="str">
        <f>IF($A169="","",UPPER(TRIM(INDEX(FORM!$F:$F,ROW()))))</f>
        <v>JABAR DKI BANTEN</v>
      </c>
      <c r="H169" s="8" t="str">
        <f>IF($A169="","",UPPER(TRIM(INDEX(FORM!$E:$E,ROW()))))</f>
        <v>BAO</v>
      </c>
      <c r="I169" s="8" t="str">
        <f>IF($A169="","",UPPER(TRIM(INDEX(FORM!$G:$G,ROW()))))</f>
        <v>MUDAH</v>
      </c>
      <c r="J169" s="8" t="str">
        <f>IF($A169="","",IF(ISNUMBER(SEARCH("Ya,",INDEX(FORM!$H:$H,ROW()))),"YA",IF(ISNUMBER(SEARCH("Cukup,",INDEX(FORM!$H:$H,ROW()))),"CUKUP",IF(ISNUMBER(SEARCH("Kurang,",INDEX(FORM!$H:$H,ROW()))),"KURANG",""))))</f>
        <v>YA</v>
      </c>
      <c r="K169" s="8" t="str">
        <f>IF($A169="","",UPPER(TRIM(INDEX(FORM!$J:$J,ROW()))))</f>
        <v>MUDAH</v>
      </c>
      <c r="L169" s="8">
        <f>IF($A169="","",IF(ISNUMBER(SEARCH("Aktivitas Harian",INDEX(FORM!$K:$K,ROW()))),1,0))</f>
        <v>1</v>
      </c>
      <c r="M169" s="8">
        <f>IF($A169="","",IF(ISNUMBER(SEARCH("Aktivitas Mingguan",INDEX(FORM!$K:$K,ROW()))),1,0))</f>
        <v>0</v>
      </c>
      <c r="N169" s="8">
        <f>IF($A169="","",IF(ISNUMBER(SEARCH("Aktivitas Bulanan",INDEX(FORM!$K:$K,ROW()))),1,0))</f>
        <v>0</v>
      </c>
      <c r="O169" s="8">
        <f>IF($A169="","",IF(ISNUMBER(SEARCH("Overview Cabang",INDEX(FORM!$K:$K,ROW()))),1,0))</f>
        <v>0</v>
      </c>
      <c r="P169" s="8">
        <f>IF($A169="","",IFERROR(VLOOKUP(I169,DATA!$AH$9:$AI$13,2,0),""))</f>
        <v>3</v>
      </c>
      <c r="Q169" s="8">
        <f>IF($A169="","",IFERROR(VLOOKUP(J169,DATA!$AH$9:$AI$13,2,0),""))</f>
        <v>3</v>
      </c>
      <c r="R169" s="8">
        <f>IF($A169="","",IFERROR(VLOOKUP(K169,DATA!$AH$9:$AI$13,2,0),""))</f>
        <v>3</v>
      </c>
      <c r="S169" s="42">
        <f t="shared" si="44"/>
        <v>3</v>
      </c>
      <c r="T169" s="8">
        <f>IF($A169="","",IF(COUNTIF($D$2:D169,D169)=1,1,0))</f>
        <v>1</v>
      </c>
      <c r="U169" s="8" t="str">
        <f>IF($A169="","",IF(F169="-","Cabang tdk ada",IF(IFERROR(VLOOKUP(G169,#REF!,1,0),"")="","",IF(INDEX(DATA!$AH$2:$AH$5,MATCH(G169,DATA!$AI$2:$AI$5,0))&lt;&gt;F169,"Wilayah beda","OK"))))</f>
        <v/>
      </c>
      <c r="V169" s="8" t="str">
        <f>IF($A169="","",TRIM(INDEX(FORM!$I:$I,ROW())&amp;""))</f>
        <v>Untuk tampilan bisa lebih ditingkatkan dalam segi tampilan agar lebih menarik.</v>
      </c>
      <c r="W169" s="8" t="str">
        <f>IF($A169="","",TRIM(INDEX(FORM!$L:$L,ROW())&amp;""))</f>
        <v>Sejauh ini sudah cukup lengkap.</v>
      </c>
      <c r="X169" s="8" t="str">
        <f>IF($A169="","",TRIM(INDEX(FORM!$M:$M,ROW())&amp;""))</f>
        <v>Mungkin bisa di tambahkan t code t code SAP yang berhubungan dengan kegiatan BAO . T code dan fungsi nya.</v>
      </c>
      <c r="Y169" s="8">
        <f>IF($A169="","",IFERROR(MATCH(F169,DATA!$AH$2:$AH$5,0),9)*10000+A169)</f>
        <v>10168</v>
      </c>
      <c r="Z169" s="8" t="str">
        <f t="shared" si="45"/>
        <v>Desain, Warna &amp; Font</v>
      </c>
      <c r="AA169" s="8" t="str">
        <f t="shared" si="46"/>
        <v>Tidak ada masukan / sudah baik</v>
      </c>
      <c r="AB169" s="8" t="str">
        <f t="shared" si="47"/>
        <v>Lainnya (perlu dibaca manual)</v>
      </c>
      <c r="AC169" s="8"/>
      <c r="AD169" s="8"/>
      <c r="AE169" s="8"/>
      <c r="AK169" s="5">
        <f t="shared" si="48"/>
        <v>0</v>
      </c>
      <c r="AL169" s="5">
        <f t="shared" si="49"/>
        <v>0</v>
      </c>
      <c r="AM169" s="5">
        <f t="shared" si="50"/>
        <v>1</v>
      </c>
      <c r="AN169" s="5">
        <f t="shared" si="51"/>
        <v>0</v>
      </c>
      <c r="AO169" s="5">
        <f t="shared" si="52"/>
        <v>0</v>
      </c>
      <c r="AP169" s="5">
        <f t="shared" si="53"/>
        <v>0</v>
      </c>
      <c r="AQ169" s="5">
        <f t="shared" si="54"/>
        <v>0</v>
      </c>
      <c r="AR169" s="5">
        <f t="shared" si="55"/>
        <v>0</v>
      </c>
      <c r="AS169" s="5">
        <f t="shared" si="56"/>
        <v>0</v>
      </c>
      <c r="AT169" s="5">
        <f t="shared" si="57"/>
        <v>0</v>
      </c>
      <c r="AU169" s="5">
        <f t="shared" si="58"/>
        <v>0</v>
      </c>
      <c r="AV169" s="5">
        <f t="shared" si="59"/>
        <v>0</v>
      </c>
      <c r="AW169" s="5">
        <f t="shared" si="60"/>
        <v>0</v>
      </c>
      <c r="AX169" s="5">
        <f t="shared" si="61"/>
        <v>0</v>
      </c>
      <c r="AY169" s="5">
        <f t="shared" si="62"/>
        <v>0</v>
      </c>
      <c r="AZ169" s="5">
        <f t="shared" si="63"/>
        <v>0</v>
      </c>
      <c r="BA169" s="5">
        <f t="shared" si="64"/>
        <v>1</v>
      </c>
      <c r="BB169" s="5">
        <f t="shared" si="65"/>
        <v>1</v>
      </c>
    </row>
    <row r="170" spans="1:54">
      <c r="A170" s="87">
        <f>IF(INDEX(FORM!$A:$A,ROW())="","",ROW()-1)</f>
        <v>169</v>
      </c>
      <c r="B170" s="88">
        <f>IF($A170="","",INDEX(FORM!$A:$A,ROW()))</f>
        <v>46311.394236111097</v>
      </c>
      <c r="C170" s="87" t="str">
        <f>IF($A170="","",TRIM(INDEX(FORM!$B:$B,ROW())))</f>
        <v>Hendy Fahmi Hidayat</v>
      </c>
      <c r="D170" s="87" t="str">
        <f>IF($A170="","",TRIM(INDEX(FORM!$C:$C,ROW())&amp;""))</f>
        <v>1510688</v>
      </c>
      <c r="E170" s="87" t="str">
        <f>IF($A170="","",UPPER(TRIM(INDEX(FORM!$D:$D,ROW()))))</f>
        <v>JOMBANG</v>
      </c>
      <c r="F170" s="87" t="str">
        <f>IF($A170="","",IFERROR(INDEX(PROGRES!$A$2:$A$92,MATCH(E170,PROGRES!$B$2:$B$92,0)),"-"))</f>
        <v>Jawa Timur</v>
      </c>
      <c r="G170" s="87" t="str">
        <f>IF($A170="","",UPPER(TRIM(INDEX(FORM!$F:$F,ROW()))))</f>
        <v>JATIM</v>
      </c>
      <c r="H170" s="87" t="str">
        <f>IF($A170="","",UPPER(TRIM(INDEX(FORM!$E:$E,ROW()))))</f>
        <v>CRO</v>
      </c>
      <c r="I170" s="87" t="str">
        <f>IF($A170="","",UPPER(TRIM(INDEX(FORM!$G:$G,ROW()))))</f>
        <v>MUDAH</v>
      </c>
      <c r="J170" s="87" t="str">
        <f>IF($A170="","",IF(ISNUMBER(SEARCH("Ya,",INDEX(FORM!$H:$H,ROW()))),"YA",IF(ISNUMBER(SEARCH("Cukup,",INDEX(FORM!$H:$H,ROW()))),"CUKUP",IF(ISNUMBER(SEARCH("Kurang,",INDEX(FORM!$H:$H,ROW()))),"KURANG",""))))</f>
        <v>YA</v>
      </c>
      <c r="K170" s="87" t="str">
        <f>IF($A170="","",UPPER(TRIM(INDEX(FORM!$J:$J,ROW()))))</f>
        <v>CUKUP</v>
      </c>
      <c r="L170" s="87">
        <f>IF($A170="","",IF(ISNUMBER(SEARCH("Aktivitas Harian",INDEX(FORM!$K:$K,ROW()))),1,0))</f>
        <v>0</v>
      </c>
      <c r="M170" s="87">
        <f>IF($A170="","",IF(ISNUMBER(SEARCH("Aktivitas Mingguan",INDEX(FORM!$K:$K,ROW()))),1,0))</f>
        <v>0</v>
      </c>
      <c r="N170" s="87">
        <f>IF($A170="","",IF(ISNUMBER(SEARCH("Aktivitas Bulanan",INDEX(FORM!$K:$K,ROW()))),1,0))</f>
        <v>0</v>
      </c>
      <c r="O170" s="87">
        <f>IF($A170="","",IF(ISNUMBER(SEARCH("Overview Cabang",INDEX(FORM!$K:$K,ROW()))),1,0))</f>
        <v>1</v>
      </c>
      <c r="P170" s="87">
        <f>IF($A170="","",IFERROR(VLOOKUP(I170,DATA!$AH$9:$AI$13,2,0),""))</f>
        <v>3</v>
      </c>
      <c r="Q170" s="87">
        <f>IF($A170="","",IFERROR(VLOOKUP(J170,DATA!$AH$9:$AI$13,2,0),""))</f>
        <v>3</v>
      </c>
      <c r="R170" s="87">
        <f>IF($A170="","",IFERROR(VLOOKUP(K170,DATA!$AH$9:$AI$13,2,0),""))</f>
        <v>2</v>
      </c>
      <c r="S170" s="89">
        <f t="shared" si="44"/>
        <v>2.6666666666666665</v>
      </c>
      <c r="T170" s="87">
        <f>IF($A170="","",IF(COUNTIF($D$2:D170,D170)=1,1,0))</f>
        <v>1</v>
      </c>
      <c r="U170" s="87" t="str">
        <f>IF($A170="","",IF(F170="-","Cabang tdk ada",IF(IFERROR(VLOOKUP(G170,#REF!,1,0),"")="","",IF(INDEX(DATA!$AH$2:$AH$5,MATCH(G170,DATA!$AI$2:$AI$5,0))&lt;&gt;F170,"Wilayah beda","OK"))))</f>
        <v/>
      </c>
      <c r="V170" s="87" t="str">
        <f>IF($A170="","",TRIM(INDEX(FORM!$I:$I,ROW())&amp;""))</f>
        <v>Mungkin bisa dibuat lebih praktis lagi tidak perlu scroll kebawah terlalu panjang tiap page.</v>
      </c>
      <c r="W170" s="87" t="str">
        <f>IF($A170="","",TRIM(INDEX(FORM!$L:$L,ROW())&amp;""))</f>
        <v>secara garis besar cukup</v>
      </c>
      <c r="X170" s="87" t="str">
        <f>IF($A170="","",TRIM(INDEX(FORM!$M:$M,ROW())&amp;""))</f>
        <v>Sementara Cukup. Bisa diupdate sedikit demi sedikit.</v>
      </c>
      <c r="Y170" s="8">
        <f>IF($A170="","",IFERROR(MATCH(F170,DATA!$AH$2:$AH$5,0),9)*10000+A170)</f>
        <v>30169</v>
      </c>
      <c r="Z170" s="87" t="str">
        <f t="shared" si="45"/>
        <v>Tampilan di HP (Responsif)</v>
      </c>
      <c r="AA170" s="87" t="str">
        <f t="shared" si="46"/>
        <v>Tidak ada masukan / sudah baik</v>
      </c>
      <c r="AB170" s="87" t="str">
        <f t="shared" si="47"/>
        <v>Update Informasi Berkala</v>
      </c>
      <c r="AC170" s="87"/>
      <c r="AD170" s="87"/>
      <c r="AE170" s="87"/>
      <c r="AK170" s="90">
        <f t="shared" si="48"/>
        <v>0</v>
      </c>
      <c r="AL170" s="90">
        <f t="shared" si="49"/>
        <v>1</v>
      </c>
      <c r="AM170" s="90">
        <f t="shared" si="50"/>
        <v>0</v>
      </c>
      <c r="AN170" s="90">
        <f t="shared" si="51"/>
        <v>0</v>
      </c>
      <c r="AO170" s="90">
        <f t="shared" si="52"/>
        <v>0</v>
      </c>
      <c r="AP170" s="90">
        <f t="shared" si="53"/>
        <v>0</v>
      </c>
      <c r="AQ170" s="90">
        <f t="shared" si="54"/>
        <v>0</v>
      </c>
      <c r="AR170" s="90">
        <f t="shared" si="55"/>
        <v>0</v>
      </c>
      <c r="AS170" s="90">
        <f t="shared" si="56"/>
        <v>0</v>
      </c>
      <c r="AT170" s="90">
        <f t="shared" si="57"/>
        <v>0</v>
      </c>
      <c r="AU170" s="90">
        <f t="shared" si="58"/>
        <v>1</v>
      </c>
      <c r="AV170" s="90">
        <f t="shared" si="59"/>
        <v>0</v>
      </c>
      <c r="AW170" s="90">
        <f t="shared" si="60"/>
        <v>0</v>
      </c>
      <c r="AX170" s="90">
        <f t="shared" si="61"/>
        <v>0</v>
      </c>
      <c r="AY170" s="90">
        <f t="shared" si="62"/>
        <v>0</v>
      </c>
      <c r="AZ170" s="90">
        <f t="shared" si="63"/>
        <v>0</v>
      </c>
      <c r="BA170" s="90">
        <f t="shared" si="64"/>
        <v>0</v>
      </c>
      <c r="BB170" s="90">
        <f t="shared" si="65"/>
        <v>1</v>
      </c>
    </row>
    <row r="171" spans="1:54" s="5" customFormat="1" hidden="1">
      <c r="A171" s="8">
        <f>IF(INDEX(FORM!$A:$A,ROW())="","",ROW()-1)</f>
        <v>170</v>
      </c>
      <c r="B171" s="41">
        <f>IF($A171="","",INDEX(FORM!$A:$A,ROW()))</f>
        <v>46311.3961458333</v>
      </c>
      <c r="C171" s="8" t="str">
        <f>IF($A171="","",TRIM(INDEX(FORM!$B:$B,ROW())))</f>
        <v>AZIZ IRAWAN</v>
      </c>
      <c r="D171" s="8" t="str">
        <f>IF($A171="","",TRIM(INDEX(FORM!$C:$C,ROW())&amp;""))</f>
        <v>1525019</v>
      </c>
      <c r="E171" s="8" t="str">
        <f>IF($A171="","",UPPER(TRIM(INDEX(FORM!$D:$D,ROW()))))</f>
        <v>MAGELANG</v>
      </c>
      <c r="F171" s="8" t="str">
        <f>IF($A171="","",IFERROR(INDEX(PROGRES!$A$2:$A$92,MATCH(E171,PROGRES!$B$2:$B$92,0)),"-"))</f>
        <v>Jawa Tengah</v>
      </c>
      <c r="G171" s="8" t="str">
        <f>IF($A171="","",UPPER(TRIM(INDEX(FORM!$F:$F,ROW()))))</f>
        <v>JATENG DIY</v>
      </c>
      <c r="H171" s="8" t="str">
        <f>IF($A171="","",UPPER(TRIM(INDEX(FORM!$E:$E,ROW()))))</f>
        <v>BM</v>
      </c>
      <c r="I171" s="8" t="str">
        <f>IF($A171="","",UPPER(TRIM(INDEX(FORM!$G:$G,ROW()))))</f>
        <v>CUKUP</v>
      </c>
      <c r="J171" s="8" t="str">
        <f>IF($A171="","",IF(ISNUMBER(SEARCH("Ya,",INDEX(FORM!$H:$H,ROW()))),"YA",IF(ISNUMBER(SEARCH("Cukup,",INDEX(FORM!$H:$H,ROW()))),"CUKUP",IF(ISNUMBER(SEARCH("Kurang,",INDEX(FORM!$H:$H,ROW()))),"KURANG",""))))</f>
        <v>CUKUP</v>
      </c>
      <c r="K171" s="8" t="str">
        <f>IF($A171="","",UPPER(TRIM(INDEX(FORM!$J:$J,ROW()))))</f>
        <v>CUKUP</v>
      </c>
      <c r="L171" s="8">
        <f>IF($A171="","",IF(ISNUMBER(SEARCH("Aktivitas Harian",INDEX(FORM!$K:$K,ROW()))),1,0))</f>
        <v>1</v>
      </c>
      <c r="M171" s="8">
        <f>IF($A171="","",IF(ISNUMBER(SEARCH("Aktivitas Mingguan",INDEX(FORM!$K:$K,ROW()))),1,0))</f>
        <v>0</v>
      </c>
      <c r="N171" s="8">
        <f>IF($A171="","",IF(ISNUMBER(SEARCH("Aktivitas Bulanan",INDEX(FORM!$K:$K,ROW()))),1,0))</f>
        <v>0</v>
      </c>
      <c r="O171" s="8">
        <f>IF($A171="","",IF(ISNUMBER(SEARCH("Overview Cabang",INDEX(FORM!$K:$K,ROW()))),1,0))</f>
        <v>0</v>
      </c>
      <c r="P171" s="8">
        <f>IF($A171="","",IFERROR(VLOOKUP(I171,DATA!$AH$9:$AI$13,2,0),""))</f>
        <v>2</v>
      </c>
      <c r="Q171" s="8">
        <f>IF($A171="","",IFERROR(VLOOKUP(J171,DATA!$AH$9:$AI$13,2,0),""))</f>
        <v>2</v>
      </c>
      <c r="R171" s="8">
        <f>IF($A171="","",IFERROR(VLOOKUP(K171,DATA!$AH$9:$AI$13,2,0),""))</f>
        <v>2</v>
      </c>
      <c r="S171" s="42">
        <f t="shared" si="44"/>
        <v>2</v>
      </c>
      <c r="T171" s="8">
        <f>IF($A171="","",IF(COUNTIF($D$2:D171,D171)=1,1,0))</f>
        <v>1</v>
      </c>
      <c r="U171" s="8" t="str">
        <f>IF($A171="","",IF(F171="-","Cabang tdk ada",IF(IFERROR(VLOOKUP(G171,#REF!,1,0),"")="","",IF(INDEX(DATA!$AH$2:$AH$5,MATCH(G171,DATA!$AI$2:$AI$5,0))&lt;&gt;F171,"Wilayah beda","OK"))))</f>
        <v/>
      </c>
      <c r="V171" s="8" t="str">
        <f>IF($A171="","",TRIM(INDEX(FORM!$I:$I,ROW())&amp;""))</f>
        <v>-</v>
      </c>
      <c r="W171" s="8" t="str">
        <f>IF($A171="","",TRIM(INDEX(FORM!$L:$L,ROW())&amp;""))</f>
        <v>MONITORING KPI BULANAN ( BM, CRO/TSC, BAO )</v>
      </c>
      <c r="X171" s="8" t="str">
        <f>IF($A171="","",TRIM(INDEX(FORM!$M:$M,ROW())&amp;""))</f>
        <v>-</v>
      </c>
      <c r="Y171" s="8">
        <f>IF($A171="","",IFERROR(MATCH(F171,DATA!$AH$2:$AH$5,0),9)*10000+A171)</f>
        <v>20170</v>
      </c>
      <c r="Z171" s="8" t="str">
        <f t="shared" si="45"/>
        <v>Tidak ada masukan / sudah baik</v>
      </c>
      <c r="AA171" s="8" t="str">
        <f t="shared" si="46"/>
        <v>Lainnya (perlu dibaca manual)</v>
      </c>
      <c r="AB171" s="8" t="str">
        <f t="shared" si="47"/>
        <v>Tidak ada masukan / sudah baik</v>
      </c>
      <c r="AC171" s="8"/>
      <c r="AD171" s="8"/>
      <c r="AE171" s="8"/>
      <c r="AK171" s="5">
        <f t="shared" si="48"/>
        <v>0</v>
      </c>
      <c r="AL171" s="5">
        <f t="shared" si="49"/>
        <v>0</v>
      </c>
      <c r="AM171" s="5">
        <f t="shared" si="50"/>
        <v>0</v>
      </c>
      <c r="AN171" s="5">
        <f t="shared" si="51"/>
        <v>0</v>
      </c>
      <c r="AO171" s="5">
        <f t="shared" si="52"/>
        <v>0</v>
      </c>
      <c r="AP171" s="5">
        <f t="shared" si="53"/>
        <v>0</v>
      </c>
      <c r="AQ171" s="5">
        <f t="shared" si="54"/>
        <v>0</v>
      </c>
      <c r="AR171" s="5">
        <f t="shared" si="55"/>
        <v>0</v>
      </c>
      <c r="AS171" s="5">
        <f t="shared" si="56"/>
        <v>0</v>
      </c>
      <c r="AT171" s="5">
        <f t="shared" si="57"/>
        <v>0</v>
      </c>
      <c r="AU171" s="5">
        <f t="shared" si="58"/>
        <v>0</v>
      </c>
      <c r="AV171" s="5">
        <f t="shared" si="59"/>
        <v>0</v>
      </c>
      <c r="AW171" s="5">
        <f t="shared" si="60"/>
        <v>0</v>
      </c>
      <c r="AX171" s="5">
        <f t="shared" si="61"/>
        <v>0</v>
      </c>
      <c r="AY171" s="5">
        <f t="shared" si="62"/>
        <v>0</v>
      </c>
      <c r="AZ171" s="5">
        <f t="shared" si="63"/>
        <v>0</v>
      </c>
      <c r="BA171" s="5">
        <f t="shared" si="64"/>
        <v>1</v>
      </c>
      <c r="BB171" s="5">
        <f t="shared" si="65"/>
        <v>1</v>
      </c>
    </row>
    <row r="172" spans="1:54">
      <c r="A172" s="87">
        <f>IF(INDEX(FORM!$A:$A,ROW())="","",ROW()-1)</f>
        <v>171</v>
      </c>
      <c r="B172" s="88">
        <f>IF($A172="","",INDEX(FORM!$A:$A,ROW()))</f>
        <v>46311.399849537003</v>
      </c>
      <c r="C172" s="87" t="str">
        <f>IF($A172="","",TRIM(INDEX(FORM!$B:$B,ROW())))</f>
        <v>RIZKY HARDI</v>
      </c>
      <c r="D172" s="87" t="str">
        <f>IF($A172="","",TRIM(INDEX(FORM!$C:$C,ROW())&amp;""))</f>
        <v>1511095</v>
      </c>
      <c r="E172" s="87" t="str">
        <f>IF($A172="","",UPPER(TRIM(INDEX(FORM!$D:$D,ROW()))))</f>
        <v>CIREBON</v>
      </c>
      <c r="F172" s="87" t="str">
        <f>IF($A172="","",IFERROR(INDEX(PROGRES!$A$2:$A$92,MATCH(E172,PROGRES!$B$2:$B$92,0)),"-"))</f>
        <v>Jawa Barat</v>
      </c>
      <c r="G172" s="87" t="str">
        <f>IF($A172="","",UPPER(TRIM(INDEX(FORM!$F:$F,ROW()))))</f>
        <v>JABAR DKI BANTEN</v>
      </c>
      <c r="H172" s="87" t="str">
        <f>IF($A172="","",UPPER(TRIM(INDEX(FORM!$E:$E,ROW()))))</f>
        <v>CRO</v>
      </c>
      <c r="I172" s="87" t="str">
        <f>IF($A172="","",UPPER(TRIM(INDEX(FORM!$G:$G,ROW()))))</f>
        <v>MUDAH</v>
      </c>
      <c r="J172" s="87" t="str">
        <f>IF($A172="","",IF(ISNUMBER(SEARCH("Ya,",INDEX(FORM!$H:$H,ROW()))),"YA",IF(ISNUMBER(SEARCH("Cukup,",INDEX(FORM!$H:$H,ROW()))),"CUKUP",IF(ISNUMBER(SEARCH("Kurang,",INDEX(FORM!$H:$H,ROW()))),"KURANG",""))))</f>
        <v>YA</v>
      </c>
      <c r="K172" s="87" t="str">
        <f>IF($A172="","",UPPER(TRIM(INDEX(FORM!$J:$J,ROW()))))</f>
        <v>MUDAH</v>
      </c>
      <c r="L172" s="87">
        <f>IF($A172="","",IF(ISNUMBER(SEARCH("Aktivitas Harian",INDEX(FORM!$K:$K,ROW()))),1,0))</f>
        <v>1</v>
      </c>
      <c r="M172" s="87">
        <f>IF($A172="","",IF(ISNUMBER(SEARCH("Aktivitas Mingguan",INDEX(FORM!$K:$K,ROW()))),1,0))</f>
        <v>0</v>
      </c>
      <c r="N172" s="87">
        <f>IF($A172="","",IF(ISNUMBER(SEARCH("Aktivitas Bulanan",INDEX(FORM!$K:$K,ROW()))),1,0))</f>
        <v>0</v>
      </c>
      <c r="O172" s="87">
        <f>IF($A172="","",IF(ISNUMBER(SEARCH("Overview Cabang",INDEX(FORM!$K:$K,ROW()))),1,0))</f>
        <v>0</v>
      </c>
      <c r="P172" s="87">
        <f>IF($A172="","",IFERROR(VLOOKUP(I172,DATA!$AH$9:$AI$13,2,0),""))</f>
        <v>3</v>
      </c>
      <c r="Q172" s="87">
        <f>IF($A172="","",IFERROR(VLOOKUP(J172,DATA!$AH$9:$AI$13,2,0),""))</f>
        <v>3</v>
      </c>
      <c r="R172" s="87">
        <f>IF($A172="","",IFERROR(VLOOKUP(K172,DATA!$AH$9:$AI$13,2,0),""))</f>
        <v>3</v>
      </c>
      <c r="S172" s="89">
        <f t="shared" si="44"/>
        <v>3</v>
      </c>
      <c r="T172" s="87">
        <f>IF($A172="","",IF(COUNTIF($D$2:D172,D172)=1,1,0))</f>
        <v>1</v>
      </c>
      <c r="U172" s="87" t="str">
        <f>IF($A172="","",IF(F172="-","Cabang tdk ada",IF(IFERROR(VLOOKUP(G172,#REF!,1,0),"")="","",IF(INDEX(DATA!$AH$2:$AH$5,MATCH(G172,DATA!$AI$2:$AI$5,0))&lt;&gt;F172,"Wilayah beda","OK"))))</f>
        <v/>
      </c>
      <c r="V172" s="87" t="str">
        <f>IF($A172="","",TRIM(INDEX(FORM!$I:$I,ROW())&amp;""))</f>
        <v>TAMPILAN WEBSITE MASIH KURANG MENARIK MOHON DIUPDATE TAMPILAN YANG LEBIH MENARIK DAN BISA DI AKSES DI SMARTPHONE</v>
      </c>
      <c r="W172" s="87" t="str">
        <f>IF($A172="","",TRIM(INDEX(FORM!$L:$L,ROW())&amp;""))</f>
        <v>DI TAMPILAN OVERVIEW SAYA RASA PERLU DI REVISI AGAR TIDAK LOADING LAMA</v>
      </c>
      <c r="X172" s="87" t="str">
        <f>IF($A172="","",TRIM(INDEX(FORM!$M:$M,ROW())&amp;""))</f>
        <v>SEMOGA KEDEPAN JAUH LEBIH BAIK</v>
      </c>
      <c r="Y172" s="8">
        <f>IF($A172="","",IFERROR(MATCH(F172,DATA!$AH$2:$AH$5,0),9)*10000+A172)</f>
        <v>10171</v>
      </c>
      <c r="Z172" s="87" t="str">
        <f t="shared" si="45"/>
        <v>Desain, Warna &amp; Font</v>
      </c>
      <c r="AA172" s="87" t="str">
        <f t="shared" si="46"/>
        <v>Bukan Terkait SOP (Tampilan / Akses)</v>
      </c>
      <c r="AB172" s="87" t="str">
        <f t="shared" si="47"/>
        <v>Tidak ada masukan / sudah baik</v>
      </c>
      <c r="AC172" s="87"/>
      <c r="AD172" s="87"/>
      <c r="AE172" s="87"/>
      <c r="AK172" s="90">
        <f t="shared" si="48"/>
        <v>1</v>
      </c>
      <c r="AL172" s="90">
        <f t="shared" si="49"/>
        <v>0</v>
      </c>
      <c r="AM172" s="90">
        <f t="shared" si="50"/>
        <v>1</v>
      </c>
      <c r="AN172" s="90">
        <f t="shared" si="51"/>
        <v>0</v>
      </c>
      <c r="AO172" s="90">
        <f t="shared" si="52"/>
        <v>0</v>
      </c>
      <c r="AP172" s="90">
        <f t="shared" si="53"/>
        <v>0</v>
      </c>
      <c r="AQ172" s="90">
        <f t="shared" si="54"/>
        <v>0</v>
      </c>
      <c r="AR172" s="90">
        <f t="shared" si="55"/>
        <v>0</v>
      </c>
      <c r="AS172" s="90">
        <f t="shared" si="56"/>
        <v>0</v>
      </c>
      <c r="AT172" s="90">
        <f t="shared" si="57"/>
        <v>0</v>
      </c>
      <c r="AU172" s="90">
        <f t="shared" si="58"/>
        <v>0</v>
      </c>
      <c r="AV172" s="90">
        <f t="shared" si="59"/>
        <v>0</v>
      </c>
      <c r="AW172" s="90">
        <f t="shared" si="60"/>
        <v>0</v>
      </c>
      <c r="AX172" s="90">
        <f t="shared" si="61"/>
        <v>0</v>
      </c>
      <c r="AY172" s="90">
        <f t="shared" si="62"/>
        <v>0</v>
      </c>
      <c r="AZ172" s="90">
        <f t="shared" si="63"/>
        <v>0</v>
      </c>
      <c r="BA172" s="90">
        <f t="shared" si="64"/>
        <v>0</v>
      </c>
      <c r="BB172" s="90">
        <f t="shared" si="65"/>
        <v>1</v>
      </c>
    </row>
    <row r="173" spans="1:54">
      <c r="A173" s="87">
        <f>IF(INDEX(FORM!$A:$A,ROW())="","",ROW()-1)</f>
        <v>172</v>
      </c>
      <c r="B173" s="88">
        <f>IF($A173="","",INDEX(FORM!$A:$A,ROW()))</f>
        <v>46311.400439814803</v>
      </c>
      <c r="C173" s="87" t="str">
        <f>IF($A173="","",TRIM(INDEX(FORM!$B:$B,ROW())))</f>
        <v>Bella Ferdian</v>
      </c>
      <c r="D173" s="87" t="str">
        <f>IF($A173="","",TRIM(INDEX(FORM!$C:$C,ROW())&amp;""))</f>
        <v>1510855</v>
      </c>
      <c r="E173" s="87" t="str">
        <f>IF($A173="","",UPPER(TRIM(INDEX(FORM!$D:$D,ROW()))))</f>
        <v>CIREBON</v>
      </c>
      <c r="F173" s="87" t="str">
        <f>IF($A173="","",IFERROR(INDEX(PROGRES!$A$2:$A$92,MATCH(E173,PROGRES!$B$2:$B$92,0)),"-"))</f>
        <v>Jawa Barat</v>
      </c>
      <c r="G173" s="87" t="str">
        <f>IF($A173="","",UPPER(TRIM(INDEX(FORM!$F:$F,ROW()))))</f>
        <v>JABAR DKI BANTEN</v>
      </c>
      <c r="H173" s="87" t="str">
        <f>IF($A173="","",UPPER(TRIM(INDEX(FORM!$E:$E,ROW()))))</f>
        <v>CRO</v>
      </c>
      <c r="I173" s="87" t="str">
        <f>IF($A173="","",UPPER(TRIM(INDEX(FORM!$G:$G,ROW()))))</f>
        <v>MUDAH</v>
      </c>
      <c r="J173" s="87" t="str">
        <f>IF($A173="","",IF(ISNUMBER(SEARCH("Ya,",INDEX(FORM!$H:$H,ROW()))),"YA",IF(ISNUMBER(SEARCH("Cukup,",INDEX(FORM!$H:$H,ROW()))),"CUKUP",IF(ISNUMBER(SEARCH("Kurang,",INDEX(FORM!$H:$H,ROW()))),"KURANG",""))))</f>
        <v>YA</v>
      </c>
      <c r="K173" s="87" t="str">
        <f>IF($A173="","",UPPER(TRIM(INDEX(FORM!$J:$J,ROW()))))</f>
        <v>CUKUP</v>
      </c>
      <c r="L173" s="87">
        <f>IF($A173="","",IF(ISNUMBER(SEARCH("Aktivitas Harian",INDEX(FORM!$K:$K,ROW()))),1,0))</f>
        <v>1</v>
      </c>
      <c r="M173" s="87">
        <f>IF($A173="","",IF(ISNUMBER(SEARCH("Aktivitas Mingguan",INDEX(FORM!$K:$K,ROW()))),1,0))</f>
        <v>0</v>
      </c>
      <c r="N173" s="87">
        <f>IF($A173="","",IF(ISNUMBER(SEARCH("Aktivitas Bulanan",INDEX(FORM!$K:$K,ROW()))),1,0))</f>
        <v>0</v>
      </c>
      <c r="O173" s="87">
        <f>IF($A173="","",IF(ISNUMBER(SEARCH("Overview Cabang",INDEX(FORM!$K:$K,ROW()))),1,0))</f>
        <v>0</v>
      </c>
      <c r="P173" s="87">
        <f>IF($A173="","",IFERROR(VLOOKUP(I173,DATA!$AH$9:$AI$13,2,0),""))</f>
        <v>3</v>
      </c>
      <c r="Q173" s="87">
        <f>IF($A173="","",IFERROR(VLOOKUP(J173,DATA!$AH$9:$AI$13,2,0),""))</f>
        <v>3</v>
      </c>
      <c r="R173" s="87">
        <f>IF($A173="","",IFERROR(VLOOKUP(K173,DATA!$AH$9:$AI$13,2,0),""))</f>
        <v>2</v>
      </c>
      <c r="S173" s="89">
        <f t="shared" si="44"/>
        <v>2.6666666666666665</v>
      </c>
      <c r="T173" s="87">
        <f>IF($A173="","",IF(COUNTIF($D$2:D173,D173)=1,1,0))</f>
        <v>1</v>
      </c>
      <c r="U173" s="87" t="str">
        <f>IF($A173="","",IF(F173="-","Cabang tdk ada",IF(IFERROR(VLOOKUP(G173,#REF!,1,0),"")="","",IF(INDEX(DATA!$AH$2:$AH$5,MATCH(G173,DATA!$AI$2:$AI$5,0))&lt;&gt;F173,"Wilayah beda","OK"))))</f>
        <v/>
      </c>
      <c r="V173" s="87" t="str">
        <f>IF($A173="","",TRIM(INDEX(FORM!$I:$I,ROW())&amp;""))</f>
        <v>Tidak ada</v>
      </c>
      <c r="W173" s="87" t="str">
        <f>IF($A173="","",TRIM(INDEX(FORM!$L:$L,ROW())&amp;""))</f>
        <v>Tidak ada</v>
      </c>
      <c r="X173" s="87" t="str">
        <f>IF($A173="","",TRIM(INDEX(FORM!$M:$M,ROW())&amp;""))</f>
        <v>Tidak ada</v>
      </c>
      <c r="Y173" s="8">
        <f>IF($A173="","",IFERROR(MATCH(F173,DATA!$AH$2:$AH$5,0),9)*10000+A173)</f>
        <v>10172</v>
      </c>
      <c r="Z173" s="87" t="str">
        <f t="shared" si="45"/>
        <v>Tidak ada masukan / sudah baik</v>
      </c>
      <c r="AA173" s="87" t="str">
        <f t="shared" si="46"/>
        <v>Tidak ada masukan / sudah baik</v>
      </c>
      <c r="AB173" s="87" t="str">
        <f t="shared" si="47"/>
        <v>Tidak ada masukan / sudah baik</v>
      </c>
      <c r="AC173" s="87"/>
      <c r="AD173" s="87"/>
      <c r="AE173" s="87"/>
      <c r="AK173" s="90">
        <f t="shared" si="48"/>
        <v>0</v>
      </c>
      <c r="AL173" s="90">
        <f t="shared" si="49"/>
        <v>0</v>
      </c>
      <c r="AM173" s="90">
        <f t="shared" si="50"/>
        <v>0</v>
      </c>
      <c r="AN173" s="90">
        <f t="shared" si="51"/>
        <v>0</v>
      </c>
      <c r="AO173" s="90">
        <f t="shared" si="52"/>
        <v>0</v>
      </c>
      <c r="AP173" s="90">
        <f t="shared" si="53"/>
        <v>0</v>
      </c>
      <c r="AQ173" s="90">
        <f t="shared" si="54"/>
        <v>0</v>
      </c>
      <c r="AR173" s="90">
        <f t="shared" si="55"/>
        <v>0</v>
      </c>
      <c r="AS173" s="90">
        <f t="shared" si="56"/>
        <v>0</v>
      </c>
      <c r="AT173" s="90">
        <f t="shared" si="57"/>
        <v>0</v>
      </c>
      <c r="AU173" s="90">
        <f t="shared" si="58"/>
        <v>0</v>
      </c>
      <c r="AV173" s="90">
        <f t="shared" si="59"/>
        <v>0</v>
      </c>
      <c r="AW173" s="90">
        <f t="shared" si="60"/>
        <v>0</v>
      </c>
      <c r="AX173" s="90">
        <f t="shared" si="61"/>
        <v>0</v>
      </c>
      <c r="AY173" s="90">
        <f t="shared" si="62"/>
        <v>0</v>
      </c>
      <c r="AZ173" s="90">
        <f t="shared" si="63"/>
        <v>0</v>
      </c>
      <c r="BA173" s="90">
        <f t="shared" si="64"/>
        <v>0</v>
      </c>
      <c r="BB173" s="90">
        <f t="shared" si="65"/>
        <v>0</v>
      </c>
    </row>
    <row r="174" spans="1:54" s="5" customFormat="1" hidden="1">
      <c r="A174" s="8">
        <f>IF(INDEX(FORM!$A:$A,ROW())="","",ROW()-1)</f>
        <v>173</v>
      </c>
      <c r="B174" s="41">
        <f>IF($A174="","",INDEX(FORM!$A:$A,ROW()))</f>
        <v>46311.401284722197</v>
      </c>
      <c r="C174" s="8" t="str">
        <f>IF($A174="","",TRIM(INDEX(FORM!$B:$B,ROW())))</f>
        <v>ADITYA WAHYU UTOMO</v>
      </c>
      <c r="D174" s="8" t="str">
        <f>IF($A174="","",TRIM(INDEX(FORM!$C:$C,ROW())&amp;""))</f>
        <v>88919213</v>
      </c>
      <c r="E174" s="8" t="str">
        <f>IF($A174="","",UPPER(TRIM(INDEX(FORM!$D:$D,ROW()))))</f>
        <v>MAGELANG</v>
      </c>
      <c r="F174" s="8" t="str">
        <f>IF($A174="","",IFERROR(INDEX(PROGRES!$A$2:$A$92,MATCH(E174,PROGRES!$B$2:$B$92,0)),"-"))</f>
        <v>Jawa Tengah</v>
      </c>
      <c r="G174" s="8" t="str">
        <f>IF($A174="","",UPPER(TRIM(INDEX(FORM!$F:$F,ROW()))))</f>
        <v>JATENG DIY</v>
      </c>
      <c r="H174" s="8" t="str">
        <f>IF($A174="","",UPPER(TRIM(INDEX(FORM!$E:$E,ROW()))))</f>
        <v>BAO</v>
      </c>
      <c r="I174" s="8" t="str">
        <f>IF($A174="","",UPPER(TRIM(INDEX(FORM!$G:$G,ROW()))))</f>
        <v>MUDAH</v>
      </c>
      <c r="J174" s="8" t="str">
        <f>IF($A174="","",IF(ISNUMBER(SEARCH("Ya,",INDEX(FORM!$H:$H,ROW()))),"YA",IF(ISNUMBER(SEARCH("Cukup,",INDEX(FORM!$H:$H,ROW()))),"CUKUP",IF(ISNUMBER(SEARCH("Kurang,",INDEX(FORM!$H:$H,ROW()))),"KURANG",""))))</f>
        <v>YA</v>
      </c>
      <c r="K174" s="8" t="str">
        <f>IF($A174="","",UPPER(TRIM(INDEX(FORM!$J:$J,ROW()))))</f>
        <v>CUKUP</v>
      </c>
      <c r="L174" s="8">
        <f>IF($A174="","",IF(ISNUMBER(SEARCH("Aktivitas Harian",INDEX(FORM!$K:$K,ROW()))),1,0))</f>
        <v>1</v>
      </c>
      <c r="M174" s="8">
        <f>IF($A174="","",IF(ISNUMBER(SEARCH("Aktivitas Mingguan",INDEX(FORM!$K:$K,ROW()))),1,0))</f>
        <v>1</v>
      </c>
      <c r="N174" s="8">
        <f>IF($A174="","",IF(ISNUMBER(SEARCH("Aktivitas Bulanan",INDEX(FORM!$K:$K,ROW()))),1,0))</f>
        <v>1</v>
      </c>
      <c r="O174" s="8">
        <f>IF($A174="","",IF(ISNUMBER(SEARCH("Overview Cabang",INDEX(FORM!$K:$K,ROW()))),1,0))</f>
        <v>1</v>
      </c>
      <c r="P174" s="8">
        <f>IF($A174="","",IFERROR(VLOOKUP(I174,DATA!$AH$9:$AI$13,2,0),""))</f>
        <v>3</v>
      </c>
      <c r="Q174" s="8">
        <f>IF($A174="","",IFERROR(VLOOKUP(J174,DATA!$AH$9:$AI$13,2,0),""))</f>
        <v>3</v>
      </c>
      <c r="R174" s="8">
        <f>IF($A174="","",IFERROR(VLOOKUP(K174,DATA!$AH$9:$AI$13,2,0),""))</f>
        <v>2</v>
      </c>
      <c r="S174" s="42">
        <f t="shared" si="44"/>
        <v>2.6666666666666665</v>
      </c>
      <c r="T174" s="8">
        <f>IF($A174="","",IF(COUNTIF($D$2:D174,D174)=1,1,0))</f>
        <v>1</v>
      </c>
      <c r="U174" s="8" t="str">
        <f>IF($A174="","",IF(F174="-","Cabang tdk ada",IF(IFERROR(VLOOKUP(G174,#REF!,1,0),"")="","",IF(INDEX(DATA!$AH$2:$AH$5,MATCH(G174,DATA!$AI$2:$AI$5,0))&lt;&gt;F174,"Wilayah beda","OK"))))</f>
        <v/>
      </c>
      <c r="V174" s="8" t="str">
        <f>IF($A174="","",TRIM(INDEX(FORM!$I:$I,ROW())&amp;""))</f>
        <v>-</v>
      </c>
      <c r="W174" s="8" t="str">
        <f>IF($A174="","",TRIM(INDEX(FORM!$L:$L,ROW())&amp;""))</f>
        <v>di SK terbaru, Melakukan setoran kas penjualan jika sudah mencapai 25juta</v>
      </c>
      <c r="X174" s="8" t="str">
        <f>IF($A174="","",TRIM(INDEX(FORM!$M:$M,ROW())&amp;""))</f>
        <v>buatkan versi videonya</v>
      </c>
      <c r="Y174" s="8">
        <f>IF($A174="","",IFERROR(MATCH(F174,DATA!$AH$2:$AH$5,0),9)*10000+A174)</f>
        <v>20173</v>
      </c>
      <c r="Z174" s="8" t="str">
        <f t="shared" si="45"/>
        <v>Tidak ada masukan / sudah baik</v>
      </c>
      <c r="AA174" s="8" t="str">
        <f t="shared" si="46"/>
        <v>Tidak ada masukan / sudah baik</v>
      </c>
      <c r="AB174" s="8" t="str">
        <f t="shared" si="47"/>
        <v>Tambah Video / Gambar / Flowchart</v>
      </c>
      <c r="AC174" s="8"/>
      <c r="AD174" s="8"/>
      <c r="AE174" s="8"/>
      <c r="AK174" s="5">
        <f t="shared" si="48"/>
        <v>0</v>
      </c>
      <c r="AL174" s="5">
        <f t="shared" si="49"/>
        <v>0</v>
      </c>
      <c r="AM174" s="5">
        <f t="shared" si="50"/>
        <v>0</v>
      </c>
      <c r="AN174" s="5">
        <f t="shared" si="51"/>
        <v>0</v>
      </c>
      <c r="AO174" s="5">
        <f t="shared" si="52"/>
        <v>0</v>
      </c>
      <c r="AP174" s="5">
        <f t="shared" si="53"/>
        <v>0</v>
      </c>
      <c r="AQ174" s="5">
        <f t="shared" si="54"/>
        <v>0</v>
      </c>
      <c r="AR174" s="5">
        <f t="shared" si="55"/>
        <v>0</v>
      </c>
      <c r="AS174" s="5">
        <f t="shared" si="56"/>
        <v>1</v>
      </c>
      <c r="AT174" s="5">
        <f t="shared" si="57"/>
        <v>0</v>
      </c>
      <c r="AU174" s="5">
        <f t="shared" si="58"/>
        <v>0</v>
      </c>
      <c r="AV174" s="5">
        <f t="shared" si="59"/>
        <v>0</v>
      </c>
      <c r="AW174" s="5">
        <f t="shared" si="60"/>
        <v>0</v>
      </c>
      <c r="AX174" s="5">
        <f t="shared" si="61"/>
        <v>0</v>
      </c>
      <c r="AY174" s="5">
        <f t="shared" si="62"/>
        <v>0</v>
      </c>
      <c r="AZ174" s="5">
        <f t="shared" si="63"/>
        <v>0</v>
      </c>
      <c r="BA174" s="5">
        <f t="shared" si="64"/>
        <v>0</v>
      </c>
      <c r="BB174" s="5">
        <f t="shared" si="65"/>
        <v>1</v>
      </c>
    </row>
    <row r="175" spans="1:54" s="5" customFormat="1" hidden="1">
      <c r="A175" s="8">
        <f>IF(INDEX(FORM!$A:$A,ROW())="","",ROW()-1)</f>
        <v>174</v>
      </c>
      <c r="B175" s="41">
        <f>IF($A175="","",INDEX(FORM!$A:$A,ROW()))</f>
        <v>46311.402870370403</v>
      </c>
      <c r="C175" s="8" t="str">
        <f>IF($A175="","",TRIM(INDEX(FORM!$B:$B,ROW())))</f>
        <v>Subandono</v>
      </c>
      <c r="D175" s="8" t="str">
        <f>IF($A175="","",TRIM(INDEX(FORM!$C:$C,ROW())&amp;""))</f>
        <v>1511023</v>
      </c>
      <c r="E175" s="8" t="str">
        <f>IF($A175="","",UPPER(TRIM(INDEX(FORM!$D:$D,ROW()))))</f>
        <v>BANTUL</v>
      </c>
      <c r="F175" s="8" t="str">
        <f>IF($A175="","",IFERROR(INDEX(PROGRES!$A$2:$A$92,MATCH(E175,PROGRES!$B$2:$B$92,0)),"-"))</f>
        <v>Jawa Tengah</v>
      </c>
      <c r="G175" s="8" t="str">
        <f>IF($A175="","",UPPER(TRIM(INDEX(FORM!$F:$F,ROW()))))</f>
        <v>JATENG DIY</v>
      </c>
      <c r="H175" s="8" t="str">
        <f>IF($A175="","",UPPER(TRIM(INDEX(FORM!$E:$E,ROW()))))</f>
        <v>BM</v>
      </c>
      <c r="I175" s="8" t="str">
        <f>IF($A175="","",UPPER(TRIM(INDEX(FORM!$G:$G,ROW()))))</f>
        <v>CUKUP</v>
      </c>
      <c r="J175" s="8" t="str">
        <f>IF($A175="","",IF(ISNUMBER(SEARCH("Ya,",INDEX(FORM!$H:$H,ROW()))),"YA",IF(ISNUMBER(SEARCH("Cukup,",INDEX(FORM!$H:$H,ROW()))),"CUKUP",IF(ISNUMBER(SEARCH("Kurang,",INDEX(FORM!$H:$H,ROW()))),"KURANG",""))))</f>
        <v>CUKUP</v>
      </c>
      <c r="K175" s="8" t="str">
        <f>IF($A175="","",UPPER(TRIM(INDEX(FORM!$J:$J,ROW()))))</f>
        <v>MUDAH</v>
      </c>
      <c r="L175" s="8">
        <f>IF($A175="","",IF(ISNUMBER(SEARCH("Aktivitas Harian",INDEX(FORM!$K:$K,ROW()))),1,0))</f>
        <v>1</v>
      </c>
      <c r="M175" s="8">
        <f>IF($A175="","",IF(ISNUMBER(SEARCH("Aktivitas Mingguan",INDEX(FORM!$K:$K,ROW()))),1,0))</f>
        <v>0</v>
      </c>
      <c r="N175" s="8">
        <f>IF($A175="","",IF(ISNUMBER(SEARCH("Aktivitas Bulanan",INDEX(FORM!$K:$K,ROW()))),1,0))</f>
        <v>0</v>
      </c>
      <c r="O175" s="8">
        <f>IF($A175="","",IF(ISNUMBER(SEARCH("Overview Cabang",INDEX(FORM!$K:$K,ROW()))),1,0))</f>
        <v>0</v>
      </c>
      <c r="P175" s="8">
        <f>IF($A175="","",IFERROR(VLOOKUP(I175,DATA!$AH$9:$AI$13,2,0),""))</f>
        <v>2</v>
      </c>
      <c r="Q175" s="8">
        <f>IF($A175="","",IFERROR(VLOOKUP(J175,DATA!$AH$9:$AI$13,2,0),""))</f>
        <v>2</v>
      </c>
      <c r="R175" s="8">
        <f>IF($A175="","",IFERROR(VLOOKUP(K175,DATA!$AH$9:$AI$13,2,0),""))</f>
        <v>3</v>
      </c>
      <c r="S175" s="42">
        <f t="shared" si="44"/>
        <v>2.3333333333333335</v>
      </c>
      <c r="T175" s="8">
        <f>IF($A175="","",IF(COUNTIF($D$2:D175,D175)=1,1,0))</f>
        <v>1</v>
      </c>
      <c r="U175" s="8" t="str">
        <f>IF($A175="","",IF(F175="-","Cabang tdk ada",IF(IFERROR(VLOOKUP(G175,#REF!,1,0),"")="","",IF(INDEX(DATA!$AH$2:$AH$5,MATCH(G175,DATA!$AI$2:$AI$5,0))&lt;&gt;F175,"Wilayah beda","OK"))))</f>
        <v/>
      </c>
      <c r="V175" s="8" t="str">
        <f>IF($A175="","",TRIM(INDEX(FORM!$I:$I,ROW())&amp;""))</f>
        <v>Cukup menarik</v>
      </c>
      <c r="W175" s="8" t="str">
        <f>IF($A175="","",TRIM(INDEX(FORM!$L:$L,ROW())&amp;""))</f>
        <v>sudah semua</v>
      </c>
      <c r="X175" s="8" t="str">
        <f>IF($A175="","",TRIM(INDEX(FORM!$M:$M,ROW())&amp;""))</f>
        <v>Tidak ada saran</v>
      </c>
      <c r="Y175" s="8">
        <f>IF($A175="","",IFERROR(MATCH(F175,DATA!$AH$2:$AH$5,0),9)*10000+A175)</f>
        <v>20174</v>
      </c>
      <c r="Z175" s="8" t="str">
        <f t="shared" si="45"/>
        <v>Desain, Warna &amp; Font</v>
      </c>
      <c r="AA175" s="8" t="str">
        <f t="shared" si="46"/>
        <v>Tidak ada masukan / sudah baik</v>
      </c>
      <c r="AB175" s="8" t="str">
        <f t="shared" si="47"/>
        <v>Tidak ada masukan / sudah baik</v>
      </c>
      <c r="AC175" s="8"/>
      <c r="AD175" s="8"/>
      <c r="AE175" s="8"/>
      <c r="AK175" s="5">
        <f t="shared" si="48"/>
        <v>0</v>
      </c>
      <c r="AL175" s="5">
        <f t="shared" si="49"/>
        <v>0</v>
      </c>
      <c r="AM175" s="5">
        <f t="shared" si="50"/>
        <v>1</v>
      </c>
      <c r="AN175" s="5">
        <f t="shared" si="51"/>
        <v>0</v>
      </c>
      <c r="AO175" s="5">
        <f t="shared" si="52"/>
        <v>0</v>
      </c>
      <c r="AP175" s="5">
        <f t="shared" si="53"/>
        <v>0</v>
      </c>
      <c r="AQ175" s="5">
        <f t="shared" si="54"/>
        <v>0</v>
      </c>
      <c r="AR175" s="5">
        <f t="shared" si="55"/>
        <v>0</v>
      </c>
      <c r="AS175" s="5">
        <f t="shared" si="56"/>
        <v>0</v>
      </c>
      <c r="AT175" s="5">
        <f t="shared" si="57"/>
        <v>0</v>
      </c>
      <c r="AU175" s="5">
        <f t="shared" si="58"/>
        <v>0</v>
      </c>
      <c r="AV175" s="5">
        <f t="shared" si="59"/>
        <v>0</v>
      </c>
      <c r="AW175" s="5">
        <f t="shared" si="60"/>
        <v>0</v>
      </c>
      <c r="AX175" s="5">
        <f t="shared" si="61"/>
        <v>0</v>
      </c>
      <c r="AY175" s="5">
        <f t="shared" si="62"/>
        <v>0</v>
      </c>
      <c r="AZ175" s="5">
        <f t="shared" si="63"/>
        <v>0</v>
      </c>
      <c r="BA175" s="5">
        <f t="shared" si="64"/>
        <v>0</v>
      </c>
      <c r="BB175" s="5">
        <f t="shared" si="65"/>
        <v>1</v>
      </c>
    </row>
    <row r="176" spans="1:54">
      <c r="A176" s="87">
        <f>IF(INDEX(FORM!$A:$A,ROW())="","",ROW()-1)</f>
        <v>175</v>
      </c>
      <c r="B176" s="88">
        <f>IF($A176="","",INDEX(FORM!$A:$A,ROW()))</f>
        <v>46311.403425925899</v>
      </c>
      <c r="C176" s="87" t="str">
        <f>IF($A176="","",TRIM(INDEX(FORM!$B:$B,ROW())))</f>
        <v>Fery</v>
      </c>
      <c r="D176" s="87" t="str">
        <f>IF($A176="","",TRIM(INDEX(FORM!$C:$C,ROW())&amp;""))</f>
        <v>1511312</v>
      </c>
      <c r="E176" s="87" t="str">
        <f>IF($A176="","",UPPER(TRIM(INDEX(FORM!$D:$D,ROW()))))</f>
        <v>NGAWI</v>
      </c>
      <c r="F176" s="87" t="str">
        <f>IF($A176="","",IFERROR(INDEX(PROGRES!$A$2:$A$92,MATCH(E176,PROGRES!$B$2:$B$92,0)),"-"))</f>
        <v>Jawa Timur</v>
      </c>
      <c r="G176" s="87" t="str">
        <f>IF($A176="","",UPPER(TRIM(INDEX(FORM!$F:$F,ROW()))))</f>
        <v>JATIM</v>
      </c>
      <c r="H176" s="87" t="str">
        <f>IF($A176="","",UPPER(TRIM(INDEX(FORM!$E:$E,ROW()))))</f>
        <v>CRO</v>
      </c>
      <c r="I176" s="87" t="str">
        <f>IF($A176="","",UPPER(TRIM(INDEX(FORM!$G:$G,ROW()))))</f>
        <v>CUKUP</v>
      </c>
      <c r="J176" s="87" t="str">
        <f>IF($A176="","",IF(ISNUMBER(SEARCH("Ya,",INDEX(FORM!$H:$H,ROW()))),"YA",IF(ISNUMBER(SEARCH("Cukup,",INDEX(FORM!$H:$H,ROW()))),"CUKUP",IF(ISNUMBER(SEARCH("Kurang,",INDEX(FORM!$H:$H,ROW()))),"KURANG",""))))</f>
        <v>CUKUP</v>
      </c>
      <c r="K176" s="87" t="str">
        <f>IF($A176="","",UPPER(TRIM(INDEX(FORM!$J:$J,ROW()))))</f>
        <v>MUDAH</v>
      </c>
      <c r="L176" s="87">
        <f>IF($A176="","",IF(ISNUMBER(SEARCH("Aktivitas Harian",INDEX(FORM!$K:$K,ROW()))),1,0))</f>
        <v>0</v>
      </c>
      <c r="M176" s="87">
        <f>IF($A176="","",IF(ISNUMBER(SEARCH("Aktivitas Mingguan",INDEX(FORM!$K:$K,ROW()))),1,0))</f>
        <v>0</v>
      </c>
      <c r="N176" s="87">
        <f>IF($A176="","",IF(ISNUMBER(SEARCH("Aktivitas Bulanan",INDEX(FORM!$K:$K,ROW()))),1,0))</f>
        <v>0</v>
      </c>
      <c r="O176" s="87">
        <f>IF($A176="","",IF(ISNUMBER(SEARCH("Overview Cabang",INDEX(FORM!$K:$K,ROW()))),1,0))</f>
        <v>1</v>
      </c>
      <c r="P176" s="87">
        <f>IF($A176="","",IFERROR(VLOOKUP(I176,DATA!$AH$9:$AI$13,2,0),""))</f>
        <v>2</v>
      </c>
      <c r="Q176" s="87">
        <f>IF($A176="","",IFERROR(VLOOKUP(J176,DATA!$AH$9:$AI$13,2,0),""))</f>
        <v>2</v>
      </c>
      <c r="R176" s="87">
        <f>IF($A176="","",IFERROR(VLOOKUP(K176,DATA!$AH$9:$AI$13,2,0),""))</f>
        <v>3</v>
      </c>
      <c r="S176" s="89">
        <f t="shared" si="44"/>
        <v>2.3333333333333335</v>
      </c>
      <c r="T176" s="87">
        <f>IF($A176="","",IF(COUNTIF($D$2:D176,D176)=1,1,0))</f>
        <v>1</v>
      </c>
      <c r="U176" s="87" t="str">
        <f>IF($A176="","",IF(F176="-","Cabang tdk ada",IF(IFERROR(VLOOKUP(G176,#REF!,1,0),"")="","",IF(INDEX(DATA!$AH$2:$AH$5,MATCH(G176,DATA!$AI$2:$AI$5,0))&lt;&gt;F176,"Wilayah beda","OK"))))</f>
        <v/>
      </c>
      <c r="V176" s="87" t="str">
        <f>IF($A176="","",TRIM(INDEX(FORM!$I:$I,ROW())&amp;""))</f>
        <v>Kadang loading lama</v>
      </c>
      <c r="W176" s="87" t="str">
        <f>IF($A176="","",TRIM(INDEX(FORM!$L:$L,ROW())&amp;""))</f>
        <v>Cukup</v>
      </c>
      <c r="X176" s="87" t="str">
        <f>IF($A176="","",TRIM(INDEX(FORM!$M:$M,ROW())&amp;""))</f>
        <v>Lanjutkan</v>
      </c>
      <c r="Y176" s="8">
        <f>IF($A176="","",IFERROR(MATCH(F176,DATA!$AH$2:$AH$5,0),9)*10000+A176)</f>
        <v>30175</v>
      </c>
      <c r="Z176" s="87" t="str">
        <f t="shared" si="45"/>
        <v>Kecepatan &amp; Loading Website</v>
      </c>
      <c r="AA176" s="87" t="str">
        <f t="shared" si="46"/>
        <v>Tidak ada masukan / sudah baik</v>
      </c>
      <c r="AB176" s="87" t="str">
        <f t="shared" si="47"/>
        <v>Tidak ada masukan / sudah baik</v>
      </c>
      <c r="AC176" s="87"/>
      <c r="AD176" s="87"/>
      <c r="AE176" s="87"/>
      <c r="AK176" s="90">
        <f t="shared" si="48"/>
        <v>1</v>
      </c>
      <c r="AL176" s="90">
        <f t="shared" si="49"/>
        <v>0</v>
      </c>
      <c r="AM176" s="90">
        <f t="shared" si="50"/>
        <v>0</v>
      </c>
      <c r="AN176" s="90">
        <f t="shared" si="51"/>
        <v>0</v>
      </c>
      <c r="AO176" s="90">
        <f t="shared" si="52"/>
        <v>0</v>
      </c>
      <c r="AP176" s="90">
        <f t="shared" si="53"/>
        <v>0</v>
      </c>
      <c r="AQ176" s="90">
        <f t="shared" si="54"/>
        <v>0</v>
      </c>
      <c r="AR176" s="90">
        <f t="shared" si="55"/>
        <v>0</v>
      </c>
      <c r="AS176" s="90">
        <f t="shared" si="56"/>
        <v>0</v>
      </c>
      <c r="AT176" s="90">
        <f t="shared" si="57"/>
        <v>0</v>
      </c>
      <c r="AU176" s="90">
        <f t="shared" si="58"/>
        <v>0</v>
      </c>
      <c r="AV176" s="90">
        <f t="shared" si="59"/>
        <v>0</v>
      </c>
      <c r="AW176" s="90">
        <f t="shared" si="60"/>
        <v>0</v>
      </c>
      <c r="AX176" s="90">
        <f t="shared" si="61"/>
        <v>0</v>
      </c>
      <c r="AY176" s="90">
        <f t="shared" si="62"/>
        <v>0</v>
      </c>
      <c r="AZ176" s="90">
        <f t="shared" si="63"/>
        <v>0</v>
      </c>
      <c r="BA176" s="90">
        <f t="shared" si="64"/>
        <v>0</v>
      </c>
      <c r="BB176" s="90">
        <f t="shared" si="65"/>
        <v>1</v>
      </c>
    </row>
    <row r="177" spans="1:54" s="5" customFormat="1" hidden="1">
      <c r="A177" s="8">
        <f>IF(INDEX(FORM!$A:$A,ROW())="","",ROW()-1)</f>
        <v>176</v>
      </c>
      <c r="B177" s="41">
        <f>IF($A177="","",INDEX(FORM!$A:$A,ROW()))</f>
        <v>46311.403796296298</v>
      </c>
      <c r="C177" s="8" t="str">
        <f>IF($A177="","",TRIM(INDEX(FORM!$B:$B,ROW())))</f>
        <v>Johan Ridhwan Perdana</v>
      </c>
      <c r="D177" s="8" t="str">
        <f>IF($A177="","",TRIM(INDEX(FORM!$C:$C,ROW())&amp;""))</f>
        <v>1511017</v>
      </c>
      <c r="E177" s="8" t="str">
        <f>IF($A177="","",UPPER(TRIM(INDEX(FORM!$D:$D,ROW()))))</f>
        <v>BANTUL</v>
      </c>
      <c r="F177" s="8" t="str">
        <f>IF($A177="","",IFERROR(INDEX(PROGRES!$A$2:$A$92,MATCH(E177,PROGRES!$B$2:$B$92,0)),"-"))</f>
        <v>Jawa Tengah</v>
      </c>
      <c r="G177" s="8" t="str">
        <f>IF($A177="","",UPPER(TRIM(INDEX(FORM!$F:$F,ROW()))))</f>
        <v>JATENG DIY</v>
      </c>
      <c r="H177" s="8" t="str">
        <f>IF($A177="","",UPPER(TRIM(INDEX(FORM!$E:$E,ROW()))))</f>
        <v>BAO</v>
      </c>
      <c r="I177" s="8" t="str">
        <f>IF($A177="","",UPPER(TRIM(INDEX(FORM!$G:$G,ROW()))))</f>
        <v>MUDAH</v>
      </c>
      <c r="J177" s="8" t="str">
        <f>IF($A177="","",IF(ISNUMBER(SEARCH("Ya,",INDEX(FORM!$H:$H,ROW()))),"YA",IF(ISNUMBER(SEARCH("Cukup,",INDEX(FORM!$H:$H,ROW()))),"CUKUP",IF(ISNUMBER(SEARCH("Kurang,",INDEX(FORM!$H:$H,ROW()))),"KURANG",""))))</f>
        <v>YA</v>
      </c>
      <c r="K177" s="8" t="str">
        <f>IF($A177="","",UPPER(TRIM(INDEX(FORM!$J:$J,ROW()))))</f>
        <v>MUDAH</v>
      </c>
      <c r="L177" s="8">
        <f>IF($A177="","",IF(ISNUMBER(SEARCH("Aktivitas Harian",INDEX(FORM!$K:$K,ROW()))),1,0))</f>
        <v>1</v>
      </c>
      <c r="M177" s="8">
        <f>IF($A177="","",IF(ISNUMBER(SEARCH("Aktivitas Mingguan",INDEX(FORM!$K:$K,ROW()))),1,0))</f>
        <v>1</v>
      </c>
      <c r="N177" s="8">
        <f>IF($A177="","",IF(ISNUMBER(SEARCH("Aktivitas Bulanan",INDEX(FORM!$K:$K,ROW()))),1,0))</f>
        <v>1</v>
      </c>
      <c r="O177" s="8">
        <f>IF($A177="","",IF(ISNUMBER(SEARCH("Overview Cabang",INDEX(FORM!$K:$K,ROW()))),1,0))</f>
        <v>1</v>
      </c>
      <c r="P177" s="8">
        <f>IF($A177="","",IFERROR(VLOOKUP(I177,DATA!$AH$9:$AI$13,2,0),""))</f>
        <v>3</v>
      </c>
      <c r="Q177" s="8">
        <f>IF($A177="","",IFERROR(VLOOKUP(J177,DATA!$AH$9:$AI$13,2,0),""))</f>
        <v>3</v>
      </c>
      <c r="R177" s="8">
        <f>IF($A177="","",IFERROR(VLOOKUP(K177,DATA!$AH$9:$AI$13,2,0),""))</f>
        <v>3</v>
      </c>
      <c r="S177" s="42">
        <f t="shared" si="44"/>
        <v>3</v>
      </c>
      <c r="T177" s="8">
        <f>IF($A177="","",IF(COUNTIF($D$2:D177,D177)=1,1,0))</f>
        <v>1</v>
      </c>
      <c r="U177" s="8" t="str">
        <f>IF($A177="","",IF(F177="-","Cabang tdk ada",IF(IFERROR(VLOOKUP(G177,#REF!,1,0),"")="","",IF(INDEX(DATA!$AH$2:$AH$5,MATCH(G177,DATA!$AI$2:$AI$5,0))&lt;&gt;F177,"Wilayah beda","OK"))))</f>
        <v/>
      </c>
      <c r="V177" s="8" t="str">
        <f>IF($A177="","",TRIM(INDEX(FORM!$I:$I,ROW())&amp;""))</f>
        <v>sudah baik</v>
      </c>
      <c r="W177" s="8" t="str">
        <f>IF($A177="","",TRIM(INDEX(FORM!$L:$L,ROW())&amp;""))</f>
        <v>sudah semua</v>
      </c>
      <c r="X177" s="8" t="str">
        <f>IF($A177="","",TRIM(INDEX(FORM!$M:$M,ROW())&amp;""))</f>
        <v>agar terus update terkait jika ada perbaruan aplikasi, agar kami juga terus bekerja sesuai dengan SOP maupun alur kerja yang baik</v>
      </c>
      <c r="Y177" s="8">
        <f>IF($A177="","",IFERROR(MATCH(F177,DATA!$AH$2:$AH$5,0),9)*10000+A177)</f>
        <v>20176</v>
      </c>
      <c r="Z177" s="8" t="str">
        <f t="shared" si="45"/>
        <v>Tidak ada masukan / sudah baik</v>
      </c>
      <c r="AA177" s="8" t="str">
        <f t="shared" si="46"/>
        <v>Tidak ada masukan / sudah baik</v>
      </c>
      <c r="AB177" s="8" t="str">
        <f t="shared" si="47"/>
        <v>Integrasi ke SACS / Aplikasi Kerja</v>
      </c>
      <c r="AC177" s="8"/>
      <c r="AD177" s="8"/>
      <c r="AE177" s="8"/>
      <c r="AK177" s="5">
        <f t="shared" si="48"/>
        <v>0</v>
      </c>
      <c r="AL177" s="5">
        <f t="shared" si="49"/>
        <v>0</v>
      </c>
      <c r="AM177" s="5">
        <f t="shared" si="50"/>
        <v>0</v>
      </c>
      <c r="AN177" s="5">
        <f t="shared" si="51"/>
        <v>0</v>
      </c>
      <c r="AO177" s="5">
        <f t="shared" si="52"/>
        <v>1</v>
      </c>
      <c r="AP177" s="5">
        <f t="shared" si="53"/>
        <v>0</v>
      </c>
      <c r="AQ177" s="5">
        <f t="shared" si="54"/>
        <v>0</v>
      </c>
      <c r="AR177" s="5">
        <f t="shared" si="55"/>
        <v>0</v>
      </c>
      <c r="AS177" s="5">
        <f t="shared" si="56"/>
        <v>0</v>
      </c>
      <c r="AT177" s="5">
        <f t="shared" si="57"/>
        <v>0</v>
      </c>
      <c r="AU177" s="5">
        <f t="shared" si="58"/>
        <v>0</v>
      </c>
      <c r="AV177" s="5">
        <f t="shared" si="59"/>
        <v>0</v>
      </c>
      <c r="AW177" s="5">
        <f t="shared" si="60"/>
        <v>0</v>
      </c>
      <c r="AX177" s="5">
        <f t="shared" si="61"/>
        <v>0</v>
      </c>
      <c r="AY177" s="5">
        <f t="shared" si="62"/>
        <v>0</v>
      </c>
      <c r="AZ177" s="5">
        <f t="shared" si="63"/>
        <v>0</v>
      </c>
      <c r="BA177" s="5">
        <f t="shared" si="64"/>
        <v>0</v>
      </c>
      <c r="BB177" s="5">
        <f t="shared" si="65"/>
        <v>1</v>
      </c>
    </row>
    <row r="178" spans="1:54" s="5" customFormat="1" hidden="1">
      <c r="A178" s="8">
        <f>IF(INDEX(FORM!$A:$A,ROW())="","",ROW()-1)</f>
        <v>177</v>
      </c>
      <c r="B178" s="41">
        <f>IF($A178="","",INDEX(FORM!$A:$A,ROW()))</f>
        <v>46311.417418981502</v>
      </c>
      <c r="C178" s="8" t="str">
        <f>IF($A178="","",TRIM(INDEX(FORM!$B:$B,ROW())))</f>
        <v>Ratna Ermasari</v>
      </c>
      <c r="D178" s="8" t="str">
        <f>IF($A178="","",TRIM(INDEX(FORM!$C:$C,ROW())&amp;""))</f>
        <v>1510756</v>
      </c>
      <c r="E178" s="8" t="str">
        <f>IF($A178="","",UPPER(TRIM(INDEX(FORM!$D:$D,ROW()))))</f>
        <v>PONOROGO</v>
      </c>
      <c r="F178" s="8" t="str">
        <f>IF($A178="","",IFERROR(INDEX(PROGRES!$A$2:$A$92,MATCH(E178,PROGRES!$B$2:$B$92,0)),"-"))</f>
        <v>Jawa Timur</v>
      </c>
      <c r="G178" s="8" t="str">
        <f>IF($A178="","",UPPER(TRIM(INDEX(FORM!$F:$F,ROW()))))</f>
        <v>JATIM</v>
      </c>
      <c r="H178" s="8" t="str">
        <f>IF($A178="","",UPPER(TRIM(INDEX(FORM!$E:$E,ROW()))))</f>
        <v>BAO</v>
      </c>
      <c r="I178" s="8" t="str">
        <f>IF($A178="","",UPPER(TRIM(INDEX(FORM!$G:$G,ROW()))))</f>
        <v>MUDAH</v>
      </c>
      <c r="J178" s="8" t="str">
        <f>IF($A178="","",IF(ISNUMBER(SEARCH("Ya,",INDEX(FORM!$H:$H,ROW()))),"YA",IF(ISNUMBER(SEARCH("Cukup,",INDEX(FORM!$H:$H,ROW()))),"CUKUP",IF(ISNUMBER(SEARCH("Kurang,",INDEX(FORM!$H:$H,ROW()))),"KURANG",""))))</f>
        <v>YA</v>
      </c>
      <c r="K178" s="8" t="str">
        <f>IF($A178="","",UPPER(TRIM(INDEX(FORM!$J:$J,ROW()))))</f>
        <v>MUDAH</v>
      </c>
      <c r="L178" s="8">
        <f>IF($A178="","",IF(ISNUMBER(SEARCH("Aktivitas Harian",INDEX(FORM!$K:$K,ROW()))),1,0))</f>
        <v>1</v>
      </c>
      <c r="M178" s="8">
        <f>IF($A178="","",IF(ISNUMBER(SEARCH("Aktivitas Mingguan",INDEX(FORM!$K:$K,ROW()))),1,0))</f>
        <v>1</v>
      </c>
      <c r="N178" s="8">
        <f>IF($A178="","",IF(ISNUMBER(SEARCH("Aktivitas Bulanan",INDEX(FORM!$K:$K,ROW()))),1,0))</f>
        <v>1</v>
      </c>
      <c r="O178" s="8">
        <f>IF($A178="","",IF(ISNUMBER(SEARCH("Overview Cabang",INDEX(FORM!$K:$K,ROW()))),1,0))</f>
        <v>0</v>
      </c>
      <c r="P178" s="8">
        <f>IF($A178="","",IFERROR(VLOOKUP(I178,DATA!$AH$9:$AI$13,2,0),""))</f>
        <v>3</v>
      </c>
      <c r="Q178" s="8">
        <f>IF($A178="","",IFERROR(VLOOKUP(J178,DATA!$AH$9:$AI$13,2,0),""))</f>
        <v>3</v>
      </c>
      <c r="R178" s="8">
        <f>IF($A178="","",IFERROR(VLOOKUP(K178,DATA!$AH$9:$AI$13,2,0),""))</f>
        <v>3</v>
      </c>
      <c r="S178" s="42">
        <f t="shared" si="44"/>
        <v>3</v>
      </c>
      <c r="T178" s="8">
        <f>IF($A178="","",IF(COUNTIF($D$2:D178,D178)=1,1,0))</f>
        <v>1</v>
      </c>
      <c r="U178" s="8" t="str">
        <f>IF($A178="","",IF(F178="-","Cabang tdk ada",IF(IFERROR(VLOOKUP(G178,#REF!,1,0),"")="","",IF(INDEX(DATA!$AH$2:$AH$5,MATCH(G178,DATA!$AI$2:$AI$5,0))&lt;&gt;F178,"Wilayah beda","OK"))))</f>
        <v/>
      </c>
      <c r="V178" s="8" t="str">
        <f>IF($A178="","",TRIM(INDEX(FORM!$I:$I,ROW())&amp;""))</f>
        <v>cukup mudah dibaca</v>
      </c>
      <c r="W178" s="8" t="str">
        <f>IF($A178="","",TRIM(INDEX(FORM!$L:$L,ROW())&amp;""))</f>
        <v>tidak ada</v>
      </c>
      <c r="X178" s="8" t="str">
        <f>IF($A178="","",TRIM(INDEX(FORM!$M:$M,ROW())&amp;""))</f>
        <v>-</v>
      </c>
      <c r="Y178" s="8">
        <f>IF($A178="","",IFERROR(MATCH(F178,DATA!$AH$2:$AH$5,0),9)*10000+A178)</f>
        <v>30177</v>
      </c>
      <c r="Z178" s="8" t="str">
        <f t="shared" si="45"/>
        <v>Tidak ada masukan / sudah baik</v>
      </c>
      <c r="AA178" s="8" t="str">
        <f t="shared" si="46"/>
        <v>Tidak ada masukan / sudah baik</v>
      </c>
      <c r="AB178" s="8" t="str">
        <f t="shared" si="47"/>
        <v>Tidak ada masukan / sudah baik</v>
      </c>
      <c r="AC178" s="8"/>
      <c r="AD178" s="8"/>
      <c r="AE178" s="8"/>
      <c r="AK178" s="5">
        <f t="shared" si="48"/>
        <v>0</v>
      </c>
      <c r="AL178" s="5">
        <f t="shared" si="49"/>
        <v>0</v>
      </c>
      <c r="AM178" s="5">
        <f t="shared" si="50"/>
        <v>0</v>
      </c>
      <c r="AN178" s="5">
        <f t="shared" si="51"/>
        <v>0</v>
      </c>
      <c r="AO178" s="5">
        <f t="shared" si="52"/>
        <v>0</v>
      </c>
      <c r="AP178" s="5">
        <f t="shared" si="53"/>
        <v>0</v>
      </c>
      <c r="AQ178" s="5">
        <f t="shared" si="54"/>
        <v>0</v>
      </c>
      <c r="AR178" s="5">
        <f t="shared" si="55"/>
        <v>0</v>
      </c>
      <c r="AS178" s="5">
        <f t="shared" si="56"/>
        <v>0</v>
      </c>
      <c r="AT178" s="5">
        <f t="shared" si="57"/>
        <v>0</v>
      </c>
      <c r="AU178" s="5">
        <f t="shared" si="58"/>
        <v>0</v>
      </c>
      <c r="AV178" s="5">
        <f t="shared" si="59"/>
        <v>0</v>
      </c>
      <c r="AW178" s="5">
        <f t="shared" si="60"/>
        <v>0</v>
      </c>
      <c r="AX178" s="5">
        <f t="shared" si="61"/>
        <v>0</v>
      </c>
      <c r="AY178" s="5">
        <f t="shared" si="62"/>
        <v>0</v>
      </c>
      <c r="AZ178" s="5">
        <f t="shared" si="63"/>
        <v>0</v>
      </c>
      <c r="BA178" s="5">
        <f t="shared" si="64"/>
        <v>0</v>
      </c>
      <c r="BB178" s="5">
        <f t="shared" si="65"/>
        <v>0</v>
      </c>
    </row>
    <row r="179" spans="1:54">
      <c r="A179" s="87">
        <f>IF(INDEX(FORM!$A:$A,ROW())="","",ROW()-1)</f>
        <v>178</v>
      </c>
      <c r="B179" s="88">
        <f>IF($A179="","",INDEX(FORM!$A:$A,ROW()))</f>
        <v>46311.418159722198</v>
      </c>
      <c r="C179" s="87" t="str">
        <f>IF($A179="","",TRIM(INDEX(FORM!$B:$B,ROW())))</f>
        <v>Yosa Arta Wicaksana</v>
      </c>
      <c r="D179" s="87" t="str">
        <f>IF($A179="","",TRIM(INDEX(FORM!$C:$C,ROW())&amp;""))</f>
        <v>1511327</v>
      </c>
      <c r="E179" s="87" t="str">
        <f>IF($A179="","",UPPER(TRIM(INDEX(FORM!$D:$D,ROW()))))</f>
        <v>BOJONEGORO</v>
      </c>
      <c r="F179" s="87" t="str">
        <f>IF($A179="","",IFERROR(INDEX(PROGRES!$A$2:$A$92,MATCH(E179,PROGRES!$B$2:$B$92,0)),"-"))</f>
        <v>Jawa Timur</v>
      </c>
      <c r="G179" s="87" t="str">
        <f>IF($A179="","",UPPER(TRIM(INDEX(FORM!$F:$F,ROW()))))</f>
        <v>JATIM</v>
      </c>
      <c r="H179" s="87" t="str">
        <f>IF($A179="","",UPPER(TRIM(INDEX(FORM!$E:$E,ROW()))))</f>
        <v>CRO</v>
      </c>
      <c r="I179" s="87" t="str">
        <f>IF($A179="","",UPPER(TRIM(INDEX(FORM!$G:$G,ROW()))))</f>
        <v>MUDAH</v>
      </c>
      <c r="J179" s="87" t="str">
        <f>IF($A179="","",IF(ISNUMBER(SEARCH("Ya,",INDEX(FORM!$H:$H,ROW()))),"YA",IF(ISNUMBER(SEARCH("Cukup,",INDEX(FORM!$H:$H,ROW()))),"CUKUP",IF(ISNUMBER(SEARCH("Kurang,",INDEX(FORM!$H:$H,ROW()))),"KURANG",""))))</f>
        <v>YA</v>
      </c>
      <c r="K179" s="87" t="str">
        <f>IF($A179="","",UPPER(TRIM(INDEX(FORM!$J:$J,ROW()))))</f>
        <v>MUDAH</v>
      </c>
      <c r="L179" s="87">
        <f>IF($A179="","",IF(ISNUMBER(SEARCH("Aktivitas Harian",INDEX(FORM!$K:$K,ROW()))),1,0))</f>
        <v>1</v>
      </c>
      <c r="M179" s="87">
        <f>IF($A179="","",IF(ISNUMBER(SEARCH("Aktivitas Mingguan",INDEX(FORM!$K:$K,ROW()))),1,0))</f>
        <v>0</v>
      </c>
      <c r="N179" s="87">
        <f>IF($A179="","",IF(ISNUMBER(SEARCH("Aktivitas Bulanan",INDEX(FORM!$K:$K,ROW()))),1,0))</f>
        <v>0</v>
      </c>
      <c r="O179" s="87">
        <f>IF($A179="","",IF(ISNUMBER(SEARCH("Overview Cabang",INDEX(FORM!$K:$K,ROW()))),1,0))</f>
        <v>0</v>
      </c>
      <c r="P179" s="87">
        <f>IF($A179="","",IFERROR(VLOOKUP(I179,DATA!$AH$9:$AI$13,2,0),""))</f>
        <v>3</v>
      </c>
      <c r="Q179" s="87">
        <f>IF($A179="","",IFERROR(VLOOKUP(J179,DATA!$AH$9:$AI$13,2,0),""))</f>
        <v>3</v>
      </c>
      <c r="R179" s="87">
        <f>IF($A179="","",IFERROR(VLOOKUP(K179,DATA!$AH$9:$AI$13,2,0),""))</f>
        <v>3</v>
      </c>
      <c r="S179" s="89">
        <f t="shared" si="44"/>
        <v>3</v>
      </c>
      <c r="T179" s="87">
        <f>IF($A179="","",IF(COUNTIF($D$2:D179,D179)=1,1,0))</f>
        <v>1</v>
      </c>
      <c r="U179" s="87" t="str">
        <f>IF($A179="","",IF(F179="-","Cabang tdk ada",IF(IFERROR(VLOOKUP(G179,#REF!,1,0),"")="","",IF(INDEX(DATA!$AH$2:$AH$5,MATCH(G179,DATA!$AI$2:$AI$5,0))&lt;&gt;F179,"Wilayah beda","OK"))))</f>
        <v/>
      </c>
      <c r="V179" s="87" t="str">
        <f>IF($A179="","",TRIM(INDEX(FORM!$I:$I,ROW())&amp;""))</f>
        <v>Sejauh ini sudah bagus dan di mengerti</v>
      </c>
      <c r="W179" s="87" t="str">
        <f>IF($A179="","",TRIM(INDEX(FORM!$L:$L,ROW())&amp;""))</f>
        <v>Tidak ada</v>
      </c>
      <c r="X179" s="87" t="str">
        <f>IF($A179="","",TRIM(INDEX(FORM!$M:$M,ROW())&amp;""))</f>
        <v>Lebih lengkap lagi</v>
      </c>
      <c r="Y179" s="8">
        <f>IF($A179="","",IFERROR(MATCH(F179,DATA!$AH$2:$AH$5,0),9)*10000+A179)</f>
        <v>30178</v>
      </c>
      <c r="Z179" s="87" t="str">
        <f t="shared" si="45"/>
        <v>Tidak ada masukan / sudah baik</v>
      </c>
      <c r="AA179" s="87" t="str">
        <f t="shared" si="46"/>
        <v>Tidak ada masukan / sudah baik</v>
      </c>
      <c r="AB179" s="87" t="str">
        <f t="shared" si="47"/>
        <v>Penambahan Materi &amp; Template</v>
      </c>
      <c r="AC179" s="87"/>
      <c r="AD179" s="87"/>
      <c r="AE179" s="87"/>
      <c r="AK179" s="90">
        <f t="shared" si="48"/>
        <v>0</v>
      </c>
      <c r="AL179" s="90">
        <f t="shared" si="49"/>
        <v>0</v>
      </c>
      <c r="AM179" s="90">
        <f t="shared" si="50"/>
        <v>0</v>
      </c>
      <c r="AN179" s="90">
        <f t="shared" si="51"/>
        <v>0</v>
      </c>
      <c r="AO179" s="90">
        <f t="shared" si="52"/>
        <v>0</v>
      </c>
      <c r="AP179" s="90">
        <f t="shared" si="53"/>
        <v>0</v>
      </c>
      <c r="AQ179" s="90">
        <f t="shared" si="54"/>
        <v>0</v>
      </c>
      <c r="AR179" s="90">
        <f t="shared" si="55"/>
        <v>1</v>
      </c>
      <c r="AS179" s="90">
        <f t="shared" si="56"/>
        <v>0</v>
      </c>
      <c r="AT179" s="90">
        <f t="shared" si="57"/>
        <v>0</v>
      </c>
      <c r="AU179" s="90">
        <f t="shared" si="58"/>
        <v>0</v>
      </c>
      <c r="AV179" s="90">
        <f t="shared" si="59"/>
        <v>0</v>
      </c>
      <c r="AW179" s="90">
        <f t="shared" si="60"/>
        <v>0</v>
      </c>
      <c r="AX179" s="90">
        <f t="shared" si="61"/>
        <v>0</v>
      </c>
      <c r="AY179" s="90">
        <f t="shared" si="62"/>
        <v>0</v>
      </c>
      <c r="AZ179" s="90">
        <f t="shared" si="63"/>
        <v>0</v>
      </c>
      <c r="BA179" s="90">
        <f t="shared" si="64"/>
        <v>0</v>
      </c>
      <c r="BB179" s="90">
        <f t="shared" si="65"/>
        <v>1</v>
      </c>
    </row>
    <row r="180" spans="1:54">
      <c r="A180" s="87">
        <f>IF(INDEX(FORM!$A:$A,ROW())="","",ROW()-1)</f>
        <v>179</v>
      </c>
      <c r="B180" s="88">
        <f>IF($A180="","",INDEX(FORM!$A:$A,ROW()))</f>
        <v>46311.418506944399</v>
      </c>
      <c r="C180" s="87" t="str">
        <f>IF($A180="","",TRIM(INDEX(FORM!$B:$B,ROW())))</f>
        <v>DWIKI LUTHFIANTO</v>
      </c>
      <c r="D180" s="87" t="str">
        <f>IF($A180="","",TRIM(INDEX(FORM!$C:$C,ROW())&amp;""))</f>
        <v>1510937</v>
      </c>
      <c r="E180" s="87" t="str">
        <f>IF($A180="","",UPPER(TRIM(INDEX(FORM!$D:$D,ROW()))))</f>
        <v>BOJONEGORO</v>
      </c>
      <c r="F180" s="87" t="str">
        <f>IF($A180="","",IFERROR(INDEX(PROGRES!$A$2:$A$92,MATCH(E180,PROGRES!$B$2:$B$92,0)),"-"))</f>
        <v>Jawa Timur</v>
      </c>
      <c r="G180" s="87" t="str">
        <f>IF($A180="","",UPPER(TRIM(INDEX(FORM!$F:$F,ROW()))))</f>
        <v>JATIM</v>
      </c>
      <c r="H180" s="87" t="str">
        <f>IF($A180="","",UPPER(TRIM(INDEX(FORM!$E:$E,ROW()))))</f>
        <v>CRO</v>
      </c>
      <c r="I180" s="87" t="str">
        <f>IF($A180="","",UPPER(TRIM(INDEX(FORM!$G:$G,ROW()))))</f>
        <v>CUKUP</v>
      </c>
      <c r="J180" s="87" t="str">
        <f>IF($A180="","",IF(ISNUMBER(SEARCH("Ya,",INDEX(FORM!$H:$H,ROW()))),"YA",IF(ISNUMBER(SEARCH("Cukup,",INDEX(FORM!$H:$H,ROW()))),"CUKUP",IF(ISNUMBER(SEARCH("Kurang,",INDEX(FORM!$H:$H,ROW()))),"KURANG",""))))</f>
        <v>CUKUP</v>
      </c>
      <c r="K180" s="87" t="str">
        <f>IF($A180="","",UPPER(TRIM(INDEX(FORM!$J:$J,ROW()))))</f>
        <v>MUDAH</v>
      </c>
      <c r="L180" s="87">
        <f>IF($A180="","",IF(ISNUMBER(SEARCH("Aktivitas Harian",INDEX(FORM!$K:$K,ROW()))),1,0))</f>
        <v>1</v>
      </c>
      <c r="M180" s="87">
        <f>IF($A180="","",IF(ISNUMBER(SEARCH("Aktivitas Mingguan",INDEX(FORM!$K:$K,ROW()))),1,0))</f>
        <v>1</v>
      </c>
      <c r="N180" s="87">
        <f>IF($A180="","",IF(ISNUMBER(SEARCH("Aktivitas Bulanan",INDEX(FORM!$K:$K,ROW()))),1,0))</f>
        <v>1</v>
      </c>
      <c r="O180" s="87">
        <f>IF($A180="","",IF(ISNUMBER(SEARCH("Overview Cabang",INDEX(FORM!$K:$K,ROW()))),1,0))</f>
        <v>1</v>
      </c>
      <c r="P180" s="87">
        <f>IF($A180="","",IFERROR(VLOOKUP(I180,DATA!$AH$9:$AI$13,2,0),""))</f>
        <v>2</v>
      </c>
      <c r="Q180" s="87">
        <f>IF($A180="","",IFERROR(VLOOKUP(J180,DATA!$AH$9:$AI$13,2,0),""))</f>
        <v>2</v>
      </c>
      <c r="R180" s="87">
        <f>IF($A180="","",IFERROR(VLOOKUP(K180,DATA!$AH$9:$AI$13,2,0),""))</f>
        <v>3</v>
      </c>
      <c r="S180" s="89">
        <f t="shared" si="44"/>
        <v>2.3333333333333335</v>
      </c>
      <c r="T180" s="87">
        <f>IF($A180="","",IF(COUNTIF($D$2:D180,D180)=1,1,0))</f>
        <v>1</v>
      </c>
      <c r="U180" s="87" t="str">
        <f>IF($A180="","",IF(F180="-","Cabang tdk ada",IF(IFERROR(VLOOKUP(G180,#REF!,1,0),"")="","",IF(INDEX(DATA!$AH$2:$AH$5,MATCH(G180,DATA!$AI$2:$AI$5,0))&lt;&gt;F180,"Wilayah beda","OK"))))</f>
        <v/>
      </c>
      <c r="V180" s="87" t="str">
        <f>IF($A180="","",TRIM(INDEX(FORM!$I:$I,ROW())&amp;""))</f>
        <v>Lebih di tingkatkan agar bisa lebih terarah</v>
      </c>
      <c r="W180" s="87" t="str">
        <f>IF($A180="","",TRIM(INDEX(FORM!$L:$L,ROW())&amp;""))</f>
        <v>Tidak ada</v>
      </c>
      <c r="X180" s="87" t="str">
        <f>IF($A180="","",TRIM(INDEX(FORM!$M:$M,ROW())&amp;""))</f>
        <v>Lebih di tingkatkan, supaya jadi pedoman dalam bekerja</v>
      </c>
      <c r="Y180" s="8">
        <f>IF($A180="","",IFERROR(MATCH(F180,DATA!$AH$2:$AH$5,0),9)*10000+A180)</f>
        <v>30179</v>
      </c>
      <c r="Z180" s="87" t="str">
        <f t="shared" si="45"/>
        <v>Saran Umum Peningkatan</v>
      </c>
      <c r="AA180" s="87" t="str">
        <f t="shared" si="46"/>
        <v>Tidak ada masukan / sudah baik</v>
      </c>
      <c r="AB180" s="87" t="str">
        <f t="shared" si="47"/>
        <v>Saran Umum Peningkatan</v>
      </c>
      <c r="AC180" s="87"/>
      <c r="AD180" s="87"/>
      <c r="AE180" s="87"/>
      <c r="AK180" s="90">
        <f t="shared" si="48"/>
        <v>0</v>
      </c>
      <c r="AL180" s="90">
        <f t="shared" si="49"/>
        <v>0</v>
      </c>
      <c r="AM180" s="90">
        <f t="shared" si="50"/>
        <v>0</v>
      </c>
      <c r="AN180" s="90">
        <f t="shared" si="51"/>
        <v>0</v>
      </c>
      <c r="AO180" s="90">
        <f t="shared" si="52"/>
        <v>0</v>
      </c>
      <c r="AP180" s="90">
        <f t="shared" si="53"/>
        <v>0</v>
      </c>
      <c r="AQ180" s="90">
        <f t="shared" si="54"/>
        <v>0</v>
      </c>
      <c r="AR180" s="90">
        <f t="shared" si="55"/>
        <v>0</v>
      </c>
      <c r="AS180" s="90">
        <f t="shared" si="56"/>
        <v>0</v>
      </c>
      <c r="AT180" s="90">
        <f t="shared" si="57"/>
        <v>0</v>
      </c>
      <c r="AU180" s="90">
        <f t="shared" si="58"/>
        <v>0</v>
      </c>
      <c r="AV180" s="90">
        <f t="shared" si="59"/>
        <v>0</v>
      </c>
      <c r="AW180" s="90">
        <f t="shared" si="60"/>
        <v>0</v>
      </c>
      <c r="AX180" s="90">
        <f t="shared" si="61"/>
        <v>0</v>
      </c>
      <c r="AY180" s="90">
        <f t="shared" si="62"/>
        <v>0</v>
      </c>
      <c r="AZ180" s="90">
        <f t="shared" si="63"/>
        <v>1</v>
      </c>
      <c r="BA180" s="90">
        <f t="shared" si="64"/>
        <v>0</v>
      </c>
      <c r="BB180" s="90">
        <f t="shared" si="65"/>
        <v>1</v>
      </c>
    </row>
    <row r="181" spans="1:54" s="5" customFormat="1" hidden="1">
      <c r="A181" s="8">
        <f>IF(INDEX(FORM!$A:$A,ROW())="","",ROW()-1)</f>
        <v>180</v>
      </c>
      <c r="B181" s="41">
        <f>IF($A181="","",INDEX(FORM!$A:$A,ROW()))</f>
        <v>46311.418576388904</v>
      </c>
      <c r="C181" s="8" t="str">
        <f>IF($A181="","",TRIM(INDEX(FORM!$B:$B,ROW())))</f>
        <v>AGUK SUSANTO</v>
      </c>
      <c r="D181" s="8" t="str">
        <f>IF($A181="","",TRIM(INDEX(FORM!$C:$C,ROW())&amp;""))</f>
        <v>94418</v>
      </c>
      <c r="E181" s="8" t="str">
        <f>IF($A181="","",UPPER(TRIM(INDEX(FORM!$D:$D,ROW()))))</f>
        <v>BOJONEGORO</v>
      </c>
      <c r="F181" s="8" t="str">
        <f>IF($A181="","",IFERROR(INDEX(PROGRES!$A$2:$A$92,MATCH(E181,PROGRES!$B$2:$B$92,0)),"-"))</f>
        <v>Jawa Timur</v>
      </c>
      <c r="G181" s="8" t="str">
        <f>IF($A181="","",UPPER(TRIM(INDEX(FORM!$F:$F,ROW()))))</f>
        <v>JATIM</v>
      </c>
      <c r="H181" s="8" t="str">
        <f>IF($A181="","",UPPER(TRIM(INDEX(FORM!$E:$E,ROW()))))</f>
        <v>BAO</v>
      </c>
      <c r="I181" s="8" t="str">
        <f>IF($A181="","",UPPER(TRIM(INDEX(FORM!$G:$G,ROW()))))</f>
        <v>MUDAH</v>
      </c>
      <c r="J181" s="8" t="str">
        <f>IF($A181="","",IF(ISNUMBER(SEARCH("Ya,",INDEX(FORM!$H:$H,ROW()))),"YA",IF(ISNUMBER(SEARCH("Cukup,",INDEX(FORM!$H:$H,ROW()))),"CUKUP",IF(ISNUMBER(SEARCH("Kurang,",INDEX(FORM!$H:$H,ROW()))),"KURANG",""))))</f>
        <v>YA</v>
      </c>
      <c r="K181" s="8" t="str">
        <f>IF($A181="","",UPPER(TRIM(INDEX(FORM!$J:$J,ROW()))))</f>
        <v>MUDAH</v>
      </c>
      <c r="L181" s="8">
        <f>IF($A181="","",IF(ISNUMBER(SEARCH("Aktivitas Harian",INDEX(FORM!$K:$K,ROW()))),1,0))</f>
        <v>1</v>
      </c>
      <c r="M181" s="8">
        <f>IF($A181="","",IF(ISNUMBER(SEARCH("Aktivitas Mingguan",INDEX(FORM!$K:$K,ROW()))),1,0))</f>
        <v>0</v>
      </c>
      <c r="N181" s="8">
        <f>IF($A181="","",IF(ISNUMBER(SEARCH("Aktivitas Bulanan",INDEX(FORM!$K:$K,ROW()))),1,0))</f>
        <v>0</v>
      </c>
      <c r="O181" s="8">
        <f>IF($A181="","",IF(ISNUMBER(SEARCH("Overview Cabang",INDEX(FORM!$K:$K,ROW()))),1,0))</f>
        <v>0</v>
      </c>
      <c r="P181" s="8">
        <f>IF($A181="","",IFERROR(VLOOKUP(I181,DATA!$AH$9:$AI$13,2,0),""))</f>
        <v>3</v>
      </c>
      <c r="Q181" s="8">
        <f>IF($A181="","",IFERROR(VLOOKUP(J181,DATA!$AH$9:$AI$13,2,0),""))</f>
        <v>3</v>
      </c>
      <c r="R181" s="8">
        <f>IF($A181="","",IFERROR(VLOOKUP(K181,DATA!$AH$9:$AI$13,2,0),""))</f>
        <v>3</v>
      </c>
      <c r="S181" s="42">
        <f t="shared" si="44"/>
        <v>3</v>
      </c>
      <c r="T181" s="8">
        <f>IF($A181="","",IF(COUNTIF($D$2:D181,D181)=1,1,0))</f>
        <v>1</v>
      </c>
      <c r="U181" s="8" t="str">
        <f>IF($A181="","",IF(F181="-","Cabang tdk ada",IF(IFERROR(VLOOKUP(G181,#REF!,1,0),"")="","",IF(INDEX(DATA!$AH$2:$AH$5,MATCH(G181,DATA!$AI$2:$AI$5,0))&lt;&gt;F181,"Wilayah beda","OK"))))</f>
        <v/>
      </c>
      <c r="V181" s="8" t="str">
        <f>IF($A181="","",TRIM(INDEX(FORM!$I:$I,ROW())&amp;""))</f>
        <v>menu status dalam sacs bisa digeser agak kekiri agar mudah melihatnya, tidak perlu geser scrol atau mengecilkan tampilan</v>
      </c>
      <c r="W181" s="8" t="str">
        <f>IF($A181="","",TRIM(INDEX(FORM!$L:$L,ROW())&amp;""))</f>
        <v>mungkin untuk cro bisa ditambah sebera lama kunjungan di toko</v>
      </c>
      <c r="X181" s="8" t="str">
        <f>IF($A181="","",TRIM(INDEX(FORM!$M:$M,ROW())&amp;""))</f>
        <v>bisa di berikan menu searching jadi tidak usah mencari tinggal ketik saja</v>
      </c>
      <c r="Y181" s="8">
        <f>IF($A181="","",IFERROR(MATCH(F181,DATA!$AH$2:$AH$5,0),9)*10000+A181)</f>
        <v>30180</v>
      </c>
      <c r="Z181" s="8" t="str">
        <f t="shared" si="45"/>
        <v>Integrasi dengan SACS / Aplikasi</v>
      </c>
      <c r="AA181" s="8" t="str">
        <f t="shared" si="46"/>
        <v>Tidak ada masukan / sudah baik</v>
      </c>
      <c r="AB181" s="8" t="str">
        <f t="shared" si="47"/>
        <v>Tidak ada masukan / sudah baik</v>
      </c>
      <c r="AC181" s="8"/>
      <c r="AD181" s="8"/>
      <c r="AE181" s="8"/>
      <c r="AK181" s="5">
        <f t="shared" si="48"/>
        <v>0</v>
      </c>
      <c r="AL181" s="5">
        <f t="shared" si="49"/>
        <v>0</v>
      </c>
      <c r="AM181" s="5">
        <f t="shared" si="50"/>
        <v>0</v>
      </c>
      <c r="AN181" s="5">
        <f t="shared" si="51"/>
        <v>0</v>
      </c>
      <c r="AO181" s="5">
        <f t="shared" si="52"/>
        <v>1</v>
      </c>
      <c r="AP181" s="5">
        <f t="shared" si="53"/>
        <v>0</v>
      </c>
      <c r="AQ181" s="5">
        <f t="shared" si="54"/>
        <v>0</v>
      </c>
      <c r="AR181" s="5">
        <f t="shared" si="55"/>
        <v>0</v>
      </c>
      <c r="AS181" s="5">
        <f t="shared" si="56"/>
        <v>0</v>
      </c>
      <c r="AT181" s="5">
        <f t="shared" si="57"/>
        <v>0</v>
      </c>
      <c r="AU181" s="5">
        <f t="shared" si="58"/>
        <v>0</v>
      </c>
      <c r="AV181" s="5">
        <f t="shared" si="59"/>
        <v>0</v>
      </c>
      <c r="AW181" s="5">
        <f t="shared" si="60"/>
        <v>0</v>
      </c>
      <c r="AX181" s="5">
        <f t="shared" si="61"/>
        <v>0</v>
      </c>
      <c r="AY181" s="5">
        <f t="shared" si="62"/>
        <v>0</v>
      </c>
      <c r="AZ181" s="5">
        <f t="shared" si="63"/>
        <v>0</v>
      </c>
      <c r="BA181" s="5">
        <f t="shared" si="64"/>
        <v>0</v>
      </c>
      <c r="BB181" s="5">
        <f t="shared" si="65"/>
        <v>1</v>
      </c>
    </row>
    <row r="182" spans="1:54" s="5" customFormat="1" hidden="1">
      <c r="A182" s="8">
        <f>IF(INDEX(FORM!$A:$A,ROW())="","",ROW()-1)</f>
        <v>181</v>
      </c>
      <c r="B182" s="41">
        <f>IF($A182="","",INDEX(FORM!$A:$A,ROW()))</f>
        <v>46311.4290162037</v>
      </c>
      <c r="C182" s="8" t="str">
        <f>IF($A182="","",TRIM(INDEX(FORM!$B:$B,ROW())))</f>
        <v>Mokhamad hasbi arafat</v>
      </c>
      <c r="D182" s="8" t="str">
        <f>IF($A182="","",TRIM(INDEX(FORM!$C:$C,ROW())&amp;""))</f>
        <v>1525009</v>
      </c>
      <c r="E182" s="8" t="str">
        <f>IF($A182="","",UPPER(TRIM(INDEX(FORM!$D:$D,ROW()))))</f>
        <v>PURWOKERTO</v>
      </c>
      <c r="F182" s="8" t="str">
        <f>IF($A182="","",IFERROR(INDEX(PROGRES!$A$2:$A$92,MATCH(E182,PROGRES!$B$2:$B$92,0)),"-"))</f>
        <v>Jawa Tengah</v>
      </c>
      <c r="G182" s="8" t="str">
        <f>IF($A182="","",UPPER(TRIM(INDEX(FORM!$F:$F,ROW()))))</f>
        <v>JATENG DIY</v>
      </c>
      <c r="H182" s="8" t="str">
        <f>IF($A182="","",UPPER(TRIM(INDEX(FORM!$E:$E,ROW()))))</f>
        <v>BAO</v>
      </c>
      <c r="I182" s="8" t="str">
        <f>IF($A182="","",UPPER(TRIM(INDEX(FORM!$G:$G,ROW()))))</f>
        <v>CUKUP</v>
      </c>
      <c r="J182" s="8" t="str">
        <f>IF($A182="","",IF(ISNUMBER(SEARCH("Ya,",INDEX(FORM!$H:$H,ROW()))),"YA",IF(ISNUMBER(SEARCH("Cukup,",INDEX(FORM!$H:$H,ROW()))),"CUKUP",IF(ISNUMBER(SEARCH("Kurang,",INDEX(FORM!$H:$H,ROW()))),"KURANG",""))))</f>
        <v>CUKUP</v>
      </c>
      <c r="K182" s="8" t="str">
        <f>IF($A182="","",UPPER(TRIM(INDEX(FORM!$J:$J,ROW()))))</f>
        <v>MUDAH</v>
      </c>
      <c r="L182" s="8">
        <f>IF($A182="","",IF(ISNUMBER(SEARCH("Aktivitas Harian",INDEX(FORM!$K:$K,ROW()))),1,0))</f>
        <v>1</v>
      </c>
      <c r="M182" s="8">
        <f>IF($A182="","",IF(ISNUMBER(SEARCH("Aktivitas Mingguan",INDEX(FORM!$K:$K,ROW()))),1,0))</f>
        <v>1</v>
      </c>
      <c r="N182" s="8">
        <f>IF($A182="","",IF(ISNUMBER(SEARCH("Aktivitas Bulanan",INDEX(FORM!$K:$K,ROW()))),1,0))</f>
        <v>1</v>
      </c>
      <c r="O182" s="8">
        <f>IF($A182="","",IF(ISNUMBER(SEARCH("Overview Cabang",INDEX(FORM!$K:$K,ROW()))),1,0))</f>
        <v>1</v>
      </c>
      <c r="P182" s="8">
        <f>IF($A182="","",IFERROR(VLOOKUP(I182,DATA!$AH$9:$AI$13,2,0),""))</f>
        <v>2</v>
      </c>
      <c r="Q182" s="8">
        <f>IF($A182="","",IFERROR(VLOOKUP(J182,DATA!$AH$9:$AI$13,2,0),""))</f>
        <v>2</v>
      </c>
      <c r="R182" s="8">
        <f>IF($A182="","",IFERROR(VLOOKUP(K182,DATA!$AH$9:$AI$13,2,0),""))</f>
        <v>3</v>
      </c>
      <c r="S182" s="42">
        <f t="shared" si="44"/>
        <v>2.3333333333333335</v>
      </c>
      <c r="T182" s="8">
        <f>IF($A182="","",IF(COUNTIF($D$2:D182,D182)=1,1,0))</f>
        <v>1</v>
      </c>
      <c r="U182" s="8" t="str">
        <f>IF($A182="","",IF(F182="-","Cabang tdk ada",IF(IFERROR(VLOOKUP(G182,#REF!,1,0),"")="","",IF(INDEX(DATA!$AH$2:$AH$5,MATCH(G182,DATA!$AI$2:$AI$5,0))&lt;&gt;F182,"Wilayah beda","OK"))))</f>
        <v/>
      </c>
      <c r="V182" s="8" t="str">
        <f>IF($A182="","",TRIM(INDEX(FORM!$I:$I,ROW())&amp;""))</f>
        <v>Tulisan terlalu panjang.. Membuat kurang menarik</v>
      </c>
      <c r="W182" s="8" t="str">
        <f>IF($A182="","",TRIM(INDEX(FORM!$L:$L,ROW())&amp;""))</f>
        <v>Sudah cukup</v>
      </c>
      <c r="X182" s="8" t="str">
        <f>IF($A182="","",TRIM(INDEX(FORM!$M:$M,ROW())&amp;""))</f>
        <v>Kinerja BAO</v>
      </c>
      <c r="Y182" s="8">
        <f>IF($A182="","",IFERROR(MATCH(F182,DATA!$AH$2:$AH$5,0),9)*10000+A182)</f>
        <v>20181</v>
      </c>
      <c r="Z182" s="8" t="str">
        <f t="shared" si="45"/>
        <v>Desain, Warna &amp; Font</v>
      </c>
      <c r="AA182" s="8" t="str">
        <f t="shared" si="46"/>
        <v>Tidak ada masukan / sudah baik</v>
      </c>
      <c r="AB182" s="8" t="str">
        <f t="shared" si="47"/>
        <v>Fitur Baru (Dashboard / KPI / Database)</v>
      </c>
      <c r="AC182" s="8"/>
      <c r="AD182" s="8"/>
      <c r="AE182" s="8"/>
      <c r="AK182" s="5">
        <f t="shared" si="48"/>
        <v>0</v>
      </c>
      <c r="AL182" s="5">
        <f t="shared" si="49"/>
        <v>0</v>
      </c>
      <c r="AM182" s="5">
        <f t="shared" si="50"/>
        <v>1</v>
      </c>
      <c r="AN182" s="5">
        <f t="shared" si="51"/>
        <v>0</v>
      </c>
      <c r="AO182" s="5">
        <f t="shared" si="52"/>
        <v>0</v>
      </c>
      <c r="AP182" s="5">
        <f t="shared" si="53"/>
        <v>1</v>
      </c>
      <c r="AQ182" s="5">
        <f t="shared" si="54"/>
        <v>0</v>
      </c>
      <c r="AR182" s="5">
        <f t="shared" si="55"/>
        <v>0</v>
      </c>
      <c r="AS182" s="5">
        <f t="shared" si="56"/>
        <v>0</v>
      </c>
      <c r="AT182" s="5">
        <f t="shared" si="57"/>
        <v>0</v>
      </c>
      <c r="AU182" s="5">
        <f t="shared" si="58"/>
        <v>0</v>
      </c>
      <c r="AV182" s="5">
        <f t="shared" si="59"/>
        <v>0</v>
      </c>
      <c r="AW182" s="5">
        <f t="shared" si="60"/>
        <v>0</v>
      </c>
      <c r="AX182" s="5">
        <f t="shared" si="61"/>
        <v>0</v>
      </c>
      <c r="AY182" s="5">
        <f t="shared" si="62"/>
        <v>0</v>
      </c>
      <c r="AZ182" s="5">
        <f t="shared" si="63"/>
        <v>0</v>
      </c>
      <c r="BA182" s="5">
        <f t="shared" si="64"/>
        <v>0</v>
      </c>
      <c r="BB182" s="5">
        <f t="shared" si="65"/>
        <v>1</v>
      </c>
    </row>
    <row r="183" spans="1:54" s="5" customFormat="1" hidden="1">
      <c r="A183" s="8">
        <f>IF(INDEX(FORM!$A:$A,ROW())="","",ROW()-1)</f>
        <v>182</v>
      </c>
      <c r="B183" s="41">
        <f>IF($A183="","",INDEX(FORM!$A:$A,ROW()))</f>
        <v>46311.431203703702</v>
      </c>
      <c r="C183" s="8" t="str">
        <f>IF($A183="","",TRIM(INDEX(FORM!$B:$B,ROW())))</f>
        <v>FARID FAISAL</v>
      </c>
      <c r="D183" s="8" t="str">
        <f>IF($A183="","",TRIM(INDEX(FORM!$C:$C,ROW())&amp;""))</f>
        <v>88007112</v>
      </c>
      <c r="E183" s="8" t="str">
        <f>IF($A183="","",UPPER(TRIM(INDEX(FORM!$D:$D,ROW()))))</f>
        <v>GOLOMANTUNG</v>
      </c>
      <c r="F183" s="8" t="str">
        <f>IF($A183="","",IFERROR(INDEX(PROGRES!$A$2:$A$92,MATCH(E183,PROGRES!$B$2:$B$92,0)),"-"))</f>
        <v>Jawa Timur</v>
      </c>
      <c r="G183" s="8" t="str">
        <f>IF($A183="","",UPPER(TRIM(INDEX(FORM!$F:$F,ROW()))))</f>
        <v>JATIM</v>
      </c>
      <c r="H183" s="8" t="str">
        <f>IF($A183="","",UPPER(TRIM(INDEX(FORM!$E:$E,ROW()))))</f>
        <v>BAO</v>
      </c>
      <c r="I183" s="8" t="str">
        <f>IF($A183="","",UPPER(TRIM(INDEX(FORM!$G:$G,ROW()))))</f>
        <v>MUDAH</v>
      </c>
      <c r="J183" s="8" t="str">
        <f>IF($A183="","",IF(ISNUMBER(SEARCH("Ya,",INDEX(FORM!$H:$H,ROW()))),"YA",IF(ISNUMBER(SEARCH("Cukup,",INDEX(FORM!$H:$H,ROW()))),"CUKUP",IF(ISNUMBER(SEARCH("Kurang,",INDEX(FORM!$H:$H,ROW()))),"KURANG",""))))</f>
        <v>KURANG</v>
      </c>
      <c r="K183" s="8" t="str">
        <f>IF($A183="","",UPPER(TRIM(INDEX(FORM!$J:$J,ROW()))))</f>
        <v>MUDAH</v>
      </c>
      <c r="L183" s="8">
        <f>IF($A183="","",IF(ISNUMBER(SEARCH("Aktivitas Harian",INDEX(FORM!$K:$K,ROW()))),1,0))</f>
        <v>1</v>
      </c>
      <c r="M183" s="8">
        <f>IF($A183="","",IF(ISNUMBER(SEARCH("Aktivitas Mingguan",INDEX(FORM!$K:$K,ROW()))),1,0))</f>
        <v>1</v>
      </c>
      <c r="N183" s="8">
        <f>IF($A183="","",IF(ISNUMBER(SEARCH("Aktivitas Bulanan",INDEX(FORM!$K:$K,ROW()))),1,0))</f>
        <v>1</v>
      </c>
      <c r="O183" s="8">
        <f>IF($A183="","",IF(ISNUMBER(SEARCH("Overview Cabang",INDEX(FORM!$K:$K,ROW()))),1,0))</f>
        <v>1</v>
      </c>
      <c r="P183" s="8">
        <f>IF($A183="","",IFERROR(VLOOKUP(I183,DATA!$AH$9:$AI$13,2,0),""))</f>
        <v>3</v>
      </c>
      <c r="Q183" s="8">
        <f>IF($A183="","",IFERROR(VLOOKUP(J183,DATA!$AH$9:$AI$13,2,0),""))</f>
        <v>1</v>
      </c>
      <c r="R183" s="8">
        <f>IF($A183="","",IFERROR(VLOOKUP(K183,DATA!$AH$9:$AI$13,2,0),""))</f>
        <v>3</v>
      </c>
      <c r="S183" s="42">
        <f t="shared" si="44"/>
        <v>2.3333333333333335</v>
      </c>
      <c r="T183" s="8">
        <f>IF($A183="","",IF(COUNTIF($D$2:D183,D183)=1,1,0))</f>
        <v>1</v>
      </c>
      <c r="U183" s="8" t="str">
        <f>IF($A183="","",IF(F183="-","Cabang tdk ada",IF(IFERROR(VLOOKUP(G183,#REF!,1,0),"")="","",IF(INDEX(DATA!$AH$2:$AH$5,MATCH(G183,DATA!$AI$2:$AI$5,0))&lt;&gt;F183,"Wilayah beda","OK"))))</f>
        <v/>
      </c>
      <c r="V183" s="8" t="str">
        <f>IF($A183="","",TRIM(INDEX(FORM!$I:$I,ROW())&amp;""))</f>
        <v>Saya buka tampilan di laptop, biar mata nggak terlalu sering lihat hp</v>
      </c>
      <c r="W183" s="8" t="str">
        <f>IF($A183="","",TRIM(INDEX(FORM!$L:$L,ROW())&amp;""))</f>
        <v>sudah ada</v>
      </c>
      <c r="X183" s="8" t="str">
        <f>IF($A183="","",TRIM(INDEX(FORM!$M:$M,ROW())&amp;""))</f>
        <v>saya perlu menjelajah lagi, terima kasih SID</v>
      </c>
      <c r="Y183" s="8">
        <f>IF($A183="","",IFERROR(MATCH(F183,DATA!$AH$2:$AH$5,0),9)*10000+A183)</f>
        <v>30182</v>
      </c>
      <c r="Z183" s="8" t="str">
        <f t="shared" si="45"/>
        <v>Lainnya (perlu dibaca manual)</v>
      </c>
      <c r="AA183" s="8" t="str">
        <f t="shared" si="46"/>
        <v>Tidak ada masukan / sudah baik</v>
      </c>
      <c r="AB183" s="8" t="str">
        <f t="shared" si="47"/>
        <v>Lainnya (perlu dibaca manual)</v>
      </c>
      <c r="AC183" s="8"/>
      <c r="AD183" s="8"/>
      <c r="AE183" s="8"/>
      <c r="AK183" s="5">
        <f t="shared" si="48"/>
        <v>0</v>
      </c>
      <c r="AL183" s="5">
        <f t="shared" si="49"/>
        <v>0</v>
      </c>
      <c r="AM183" s="5">
        <f t="shared" si="50"/>
        <v>0</v>
      </c>
      <c r="AN183" s="5">
        <f t="shared" si="51"/>
        <v>0</v>
      </c>
      <c r="AO183" s="5">
        <f t="shared" si="52"/>
        <v>0</v>
      </c>
      <c r="AP183" s="5">
        <f t="shared" si="53"/>
        <v>0</v>
      </c>
      <c r="AQ183" s="5">
        <f t="shared" si="54"/>
        <v>0</v>
      </c>
      <c r="AR183" s="5">
        <f t="shared" si="55"/>
        <v>0</v>
      </c>
      <c r="AS183" s="5">
        <f t="shared" si="56"/>
        <v>0</v>
      </c>
      <c r="AT183" s="5">
        <f t="shared" si="57"/>
        <v>0</v>
      </c>
      <c r="AU183" s="5">
        <f t="shared" si="58"/>
        <v>0</v>
      </c>
      <c r="AV183" s="5">
        <f t="shared" si="59"/>
        <v>0</v>
      </c>
      <c r="AW183" s="5">
        <f t="shared" si="60"/>
        <v>0</v>
      </c>
      <c r="AX183" s="5">
        <f t="shared" si="61"/>
        <v>0</v>
      </c>
      <c r="AY183" s="5">
        <f t="shared" si="62"/>
        <v>0</v>
      </c>
      <c r="AZ183" s="5">
        <f t="shared" si="63"/>
        <v>0</v>
      </c>
      <c r="BA183" s="5">
        <f t="shared" si="64"/>
        <v>1</v>
      </c>
      <c r="BB183" s="5">
        <f t="shared" si="65"/>
        <v>1</v>
      </c>
    </row>
    <row r="184" spans="1:54">
      <c r="A184" s="87">
        <f>IF(INDEX(FORM!$A:$A,ROW())="","",ROW()-1)</f>
        <v>183</v>
      </c>
      <c r="B184" s="88">
        <f>IF($A184="","",INDEX(FORM!$A:$A,ROW()))</f>
        <v>46311.4367824074</v>
      </c>
      <c r="C184" s="87" t="str">
        <f>IF($A184="","",TRIM(INDEX(FORM!$B:$B,ROW())))</f>
        <v>Rudy Agust Purnaman</v>
      </c>
      <c r="D184" s="87" t="str">
        <f>IF($A184="","",TRIM(INDEX(FORM!$C:$C,ROW())&amp;""))</f>
        <v>1511331</v>
      </c>
      <c r="E184" s="87" t="str">
        <f>IF($A184="","",UPPER(TRIM(INDEX(FORM!$D:$D,ROW()))))</f>
        <v>PEKALONGAN</v>
      </c>
      <c r="F184" s="87" t="str">
        <f>IF($A184="","",IFERROR(INDEX(PROGRES!$A$2:$A$92,MATCH(E184,PROGRES!$B$2:$B$92,0)),"-"))</f>
        <v>Jawa Tengah</v>
      </c>
      <c r="G184" s="87" t="str">
        <f>IF($A184="","",UPPER(TRIM(INDEX(FORM!$F:$F,ROW()))))</f>
        <v>JATENG DIY</v>
      </c>
      <c r="H184" s="87" t="str">
        <f>IF($A184="","",UPPER(TRIM(INDEX(FORM!$E:$E,ROW()))))</f>
        <v>CRO</v>
      </c>
      <c r="I184" s="87" t="str">
        <f>IF($A184="","",UPPER(TRIM(INDEX(FORM!$G:$G,ROW()))))</f>
        <v>MUDAH</v>
      </c>
      <c r="J184" s="87" t="str">
        <f>IF($A184="","",IF(ISNUMBER(SEARCH("Ya,",INDEX(FORM!$H:$H,ROW()))),"YA",IF(ISNUMBER(SEARCH("Cukup,",INDEX(FORM!$H:$H,ROW()))),"CUKUP",IF(ISNUMBER(SEARCH("Kurang,",INDEX(FORM!$H:$H,ROW()))),"KURANG",""))))</f>
        <v>CUKUP</v>
      </c>
      <c r="K184" s="87" t="str">
        <f>IF($A184="","",UPPER(TRIM(INDEX(FORM!$J:$J,ROW()))))</f>
        <v>MUDAH</v>
      </c>
      <c r="L184" s="87">
        <f>IF($A184="","",IF(ISNUMBER(SEARCH("Aktivitas Harian",INDEX(FORM!$K:$K,ROW()))),1,0))</f>
        <v>0</v>
      </c>
      <c r="M184" s="87">
        <f>IF($A184="","",IF(ISNUMBER(SEARCH("Aktivitas Mingguan",INDEX(FORM!$K:$K,ROW()))),1,0))</f>
        <v>1</v>
      </c>
      <c r="N184" s="87">
        <f>IF($A184="","",IF(ISNUMBER(SEARCH("Aktivitas Bulanan",INDEX(FORM!$K:$K,ROW()))),1,0))</f>
        <v>0</v>
      </c>
      <c r="O184" s="87">
        <f>IF($A184="","",IF(ISNUMBER(SEARCH("Overview Cabang",INDEX(FORM!$K:$K,ROW()))),1,0))</f>
        <v>0</v>
      </c>
      <c r="P184" s="87">
        <f>IF($A184="","",IFERROR(VLOOKUP(I184,DATA!$AH$9:$AI$13,2,0),""))</f>
        <v>3</v>
      </c>
      <c r="Q184" s="87">
        <f>IF($A184="","",IFERROR(VLOOKUP(J184,DATA!$AH$9:$AI$13,2,0),""))</f>
        <v>2</v>
      </c>
      <c r="R184" s="87">
        <f>IF($A184="","",IFERROR(VLOOKUP(K184,DATA!$AH$9:$AI$13,2,0),""))</f>
        <v>3</v>
      </c>
      <c r="S184" s="89">
        <f t="shared" si="44"/>
        <v>2.6666666666666665</v>
      </c>
      <c r="T184" s="87">
        <f>IF($A184="","",IF(COUNTIF($D$2:D184,D184)=1,1,0))</f>
        <v>1</v>
      </c>
      <c r="U184" s="87" t="str">
        <f>IF($A184="","",IF(F184="-","Cabang tdk ada",IF(IFERROR(VLOOKUP(G184,#REF!,1,0),"")="","",IF(INDEX(DATA!$AH$2:$AH$5,MATCH(G184,DATA!$AI$2:$AI$5,0))&lt;&gt;F184,"Wilayah beda","OK"))))</f>
        <v/>
      </c>
      <c r="V184" s="87" t="str">
        <f>IF($A184="","",TRIM(INDEX(FORM!$I:$I,ROW())&amp;""))</f>
        <v>Lebih ditingkatkan lagi untuk tampilannya</v>
      </c>
      <c r="W184" s="87" t="str">
        <f>IF($A184="","",TRIM(INDEX(FORM!$L:$L,ROW())&amp;""))</f>
        <v>Tidak</v>
      </c>
      <c r="X184" s="87" t="str">
        <f>IF($A184="","",TRIM(INDEX(FORM!$M:$M,ROW())&amp;""))</f>
        <v>Lebih mudah diakses dan lebih modern utk tampilannya</v>
      </c>
      <c r="Y184" s="8">
        <f>IF($A184="","",IFERROR(MATCH(F184,DATA!$AH$2:$AH$5,0),9)*10000+A184)</f>
        <v>20183</v>
      </c>
      <c r="Z184" s="87" t="str">
        <f t="shared" si="45"/>
        <v>Desain, Warna &amp; Font</v>
      </c>
      <c r="AA184" s="87" t="str">
        <f t="shared" si="46"/>
        <v>Tidak ada masukan / sudah baik</v>
      </c>
      <c r="AB184" s="87" t="str">
        <f t="shared" si="47"/>
        <v>Desain Tampilan</v>
      </c>
      <c r="AC184" s="87"/>
      <c r="AD184" s="87"/>
      <c r="AE184" s="87"/>
      <c r="AK184" s="90">
        <f t="shared" si="48"/>
        <v>0</v>
      </c>
      <c r="AL184" s="90">
        <f t="shared" si="49"/>
        <v>0</v>
      </c>
      <c r="AM184" s="90">
        <f t="shared" si="50"/>
        <v>1</v>
      </c>
      <c r="AN184" s="90">
        <f t="shared" si="51"/>
        <v>0</v>
      </c>
      <c r="AO184" s="90">
        <f t="shared" si="52"/>
        <v>0</v>
      </c>
      <c r="AP184" s="90">
        <f t="shared" si="53"/>
        <v>0</v>
      </c>
      <c r="AQ184" s="90">
        <f t="shared" si="54"/>
        <v>0</v>
      </c>
      <c r="AR184" s="90">
        <f t="shared" si="55"/>
        <v>0</v>
      </c>
      <c r="AS184" s="90">
        <f t="shared" si="56"/>
        <v>0</v>
      </c>
      <c r="AT184" s="90">
        <f t="shared" si="57"/>
        <v>0</v>
      </c>
      <c r="AU184" s="90">
        <f t="shared" si="58"/>
        <v>0</v>
      </c>
      <c r="AV184" s="90">
        <f t="shared" si="59"/>
        <v>0</v>
      </c>
      <c r="AW184" s="90">
        <f t="shared" si="60"/>
        <v>0</v>
      </c>
      <c r="AX184" s="90">
        <f t="shared" si="61"/>
        <v>0</v>
      </c>
      <c r="AY184" s="90">
        <f t="shared" si="62"/>
        <v>0</v>
      </c>
      <c r="AZ184" s="90">
        <f t="shared" si="63"/>
        <v>0</v>
      </c>
      <c r="BA184" s="90">
        <f t="shared" si="64"/>
        <v>0</v>
      </c>
      <c r="BB184" s="90">
        <f t="shared" si="65"/>
        <v>1</v>
      </c>
    </row>
    <row r="185" spans="1:54" s="5" customFormat="1" hidden="1">
      <c r="A185" s="8">
        <f>IF(INDEX(FORM!$A:$A,ROW())="","",ROW()-1)</f>
        <v>184</v>
      </c>
      <c r="B185" s="41">
        <f>IF($A185="","",INDEX(FORM!$A:$A,ROW()))</f>
        <v>46311.4370023148</v>
      </c>
      <c r="C185" s="8" t="str">
        <f>IF($A185="","",TRIM(INDEX(FORM!$B:$B,ROW())))</f>
        <v>ADAB MAULANA AHMAD ROSYDA</v>
      </c>
      <c r="D185" s="8" t="str">
        <f>IF($A185="","",TRIM(INDEX(FORM!$C:$C,ROW())&amp;""))</f>
        <v>80472</v>
      </c>
      <c r="E185" s="8" t="str">
        <f>IF($A185="","",UPPER(TRIM(INDEX(FORM!$D:$D,ROW()))))</f>
        <v>KEDIRI</v>
      </c>
      <c r="F185" s="8" t="str">
        <f>IF($A185="","",IFERROR(INDEX(PROGRES!$A$2:$A$92,MATCH(E185,PROGRES!$B$2:$B$92,0)),"-"))</f>
        <v>Jawa Timur</v>
      </c>
      <c r="G185" s="8" t="str">
        <f>IF($A185="","",UPPER(TRIM(INDEX(FORM!$F:$F,ROW()))))</f>
        <v>JATIM</v>
      </c>
      <c r="H185" s="8" t="str">
        <f>IF($A185="","",UPPER(TRIM(INDEX(FORM!$E:$E,ROW()))))</f>
        <v>BAO</v>
      </c>
      <c r="I185" s="8" t="str">
        <f>IF($A185="","",UPPER(TRIM(INDEX(FORM!$G:$G,ROW()))))</f>
        <v>MUDAH</v>
      </c>
      <c r="J185" s="8" t="str">
        <f>IF($A185="","",IF(ISNUMBER(SEARCH("Ya,",INDEX(FORM!$H:$H,ROW()))),"YA",IF(ISNUMBER(SEARCH("Cukup,",INDEX(FORM!$H:$H,ROW()))),"CUKUP",IF(ISNUMBER(SEARCH("Kurang,",INDEX(FORM!$H:$H,ROW()))),"KURANG",""))))</f>
        <v>YA</v>
      </c>
      <c r="K185" s="8" t="str">
        <f>IF($A185="","",UPPER(TRIM(INDEX(FORM!$J:$J,ROW()))))</f>
        <v>MUDAH</v>
      </c>
      <c r="L185" s="8">
        <f>IF($A185="","",IF(ISNUMBER(SEARCH("Aktivitas Harian",INDEX(FORM!$K:$K,ROW()))),1,0))</f>
        <v>1</v>
      </c>
      <c r="M185" s="8">
        <f>IF($A185="","",IF(ISNUMBER(SEARCH("Aktivitas Mingguan",INDEX(FORM!$K:$K,ROW()))),1,0))</f>
        <v>0</v>
      </c>
      <c r="N185" s="8">
        <f>IF($A185="","",IF(ISNUMBER(SEARCH("Aktivitas Bulanan",INDEX(FORM!$K:$K,ROW()))),1,0))</f>
        <v>0</v>
      </c>
      <c r="O185" s="8">
        <f>IF($A185="","",IF(ISNUMBER(SEARCH("Overview Cabang",INDEX(FORM!$K:$K,ROW()))),1,0))</f>
        <v>0</v>
      </c>
      <c r="P185" s="8">
        <f>IF($A185="","",IFERROR(VLOOKUP(I185,DATA!$AH$9:$AI$13,2,0),""))</f>
        <v>3</v>
      </c>
      <c r="Q185" s="8">
        <f>IF($A185="","",IFERROR(VLOOKUP(J185,DATA!$AH$9:$AI$13,2,0),""))</f>
        <v>3</v>
      </c>
      <c r="R185" s="8">
        <f>IF($A185="","",IFERROR(VLOOKUP(K185,DATA!$AH$9:$AI$13,2,0),""))</f>
        <v>3</v>
      </c>
      <c r="S185" s="42">
        <f t="shared" si="44"/>
        <v>3</v>
      </c>
      <c r="T185" s="8">
        <f>IF($A185="","",IF(COUNTIF($D$2:D185,D185)=1,1,0))</f>
        <v>1</v>
      </c>
      <c r="U185" s="8" t="str">
        <f>IF($A185="","",IF(F185="-","Cabang tdk ada",IF(IFERROR(VLOOKUP(G185,#REF!,1,0),"")="","",IF(INDEX(DATA!$AH$2:$AH$5,MATCH(G185,DATA!$AI$2:$AI$5,0))&lt;&gt;F185,"Wilayah beda","OK"))))</f>
        <v/>
      </c>
      <c r="V185" s="8" t="str">
        <f>IF($A185="","",TRIM(INDEX(FORM!$I:$I,ROW())&amp;""))</f>
        <v>DENGAN ADANYA HANDBOOK INI CUKUP MEMBATU SEKALI DALAN PENYELESAIN PEKERJAAN HARIAN SAYA</v>
      </c>
      <c r="W185" s="8" t="str">
        <f>IF($A185="","",TRIM(INDEX(FORM!$L:$L,ROW())&amp;""))</f>
        <v>SUDAH LENGKAP</v>
      </c>
      <c r="X185" s="8" t="str">
        <f>IF($A185="","",TRIM(INDEX(FORM!$M:$M,ROW())&amp;""))</f>
        <v>MUNGKIN BISA DITERBITKAN JUGA HANDBOOK UNTUK PROSES PENGERJAAN INTERNAL AUDIT BULANAN KHUSUSNYA UNTUK BAO</v>
      </c>
      <c r="Y185" s="8">
        <f>IF($A185="","",IFERROR(MATCH(F185,DATA!$AH$2:$AH$5,0),9)*10000+A185)</f>
        <v>30184</v>
      </c>
      <c r="Z185" s="8" t="str">
        <f t="shared" si="45"/>
        <v>Tidak ada masukan / sudah baik</v>
      </c>
      <c r="AA185" s="8" t="str">
        <f t="shared" si="46"/>
        <v>Tidak ada masukan / sudah baik</v>
      </c>
      <c r="AB185" s="8" t="str">
        <f t="shared" si="47"/>
        <v>Tidak ada masukan / sudah baik</v>
      </c>
      <c r="AC185" s="8"/>
      <c r="AD185" s="8"/>
      <c r="AE185" s="8"/>
      <c r="AK185" s="5">
        <f t="shared" si="48"/>
        <v>0</v>
      </c>
      <c r="AL185" s="5">
        <f t="shared" si="49"/>
        <v>0</v>
      </c>
      <c r="AM185" s="5">
        <f t="shared" si="50"/>
        <v>0</v>
      </c>
      <c r="AN185" s="5">
        <f t="shared" si="51"/>
        <v>0</v>
      </c>
      <c r="AO185" s="5">
        <f t="shared" si="52"/>
        <v>0</v>
      </c>
      <c r="AP185" s="5">
        <f t="shared" si="53"/>
        <v>0</v>
      </c>
      <c r="AQ185" s="5">
        <f t="shared" si="54"/>
        <v>0</v>
      </c>
      <c r="AR185" s="5">
        <f t="shared" si="55"/>
        <v>0</v>
      </c>
      <c r="AS185" s="5">
        <f t="shared" si="56"/>
        <v>0</v>
      </c>
      <c r="AT185" s="5">
        <f t="shared" si="57"/>
        <v>0</v>
      </c>
      <c r="AU185" s="5">
        <f t="shared" si="58"/>
        <v>0</v>
      </c>
      <c r="AV185" s="5">
        <f t="shared" si="59"/>
        <v>0</v>
      </c>
      <c r="AW185" s="5">
        <f t="shared" si="60"/>
        <v>0</v>
      </c>
      <c r="AX185" s="5">
        <f t="shared" si="61"/>
        <v>0</v>
      </c>
      <c r="AY185" s="5">
        <f t="shared" si="62"/>
        <v>0</v>
      </c>
      <c r="AZ185" s="5">
        <f t="shared" si="63"/>
        <v>0</v>
      </c>
      <c r="BA185" s="5">
        <f t="shared" si="64"/>
        <v>0</v>
      </c>
      <c r="BB185" s="5">
        <f t="shared" si="65"/>
        <v>0</v>
      </c>
    </row>
    <row r="186" spans="1:54">
      <c r="A186" s="87">
        <f>IF(INDEX(FORM!$A:$A,ROW())="","",ROW()-1)</f>
        <v>185</v>
      </c>
      <c r="B186" s="88">
        <f>IF($A186="","",INDEX(FORM!$A:$A,ROW()))</f>
        <v>46311.446516203701</v>
      </c>
      <c r="C186" s="87" t="str">
        <f>IF($A186="","",TRIM(INDEX(FORM!$B:$B,ROW())))</f>
        <v>NANANG TRIWHYUDI</v>
      </c>
      <c r="D186" s="87" t="str">
        <f>IF($A186="","",TRIM(INDEX(FORM!$C:$C,ROW())&amp;""))</f>
        <v>87200039</v>
      </c>
      <c r="E186" s="87" t="str">
        <f>IF($A186="","",UPPER(TRIM(INDEX(FORM!$D:$D,ROW()))))</f>
        <v>CIREBON</v>
      </c>
      <c r="F186" s="87" t="str">
        <f>IF($A186="","",IFERROR(INDEX(PROGRES!$A$2:$A$92,MATCH(E186,PROGRES!$B$2:$B$92,0)),"-"))</f>
        <v>Jawa Barat</v>
      </c>
      <c r="G186" s="87" t="str">
        <f>IF($A186="","",UPPER(TRIM(INDEX(FORM!$F:$F,ROW()))))</f>
        <v>JABAR DKI BANTEN</v>
      </c>
      <c r="H186" s="87" t="str">
        <f>IF($A186="","",UPPER(TRIM(INDEX(FORM!$E:$E,ROW()))))</f>
        <v>CRO</v>
      </c>
      <c r="I186" s="87" t="str">
        <f>IF($A186="","",UPPER(TRIM(INDEX(FORM!$G:$G,ROW()))))</f>
        <v>MUDAH</v>
      </c>
      <c r="J186" s="87" t="str">
        <f>IF($A186="","",IF(ISNUMBER(SEARCH("Ya,",INDEX(FORM!$H:$H,ROW()))),"YA",IF(ISNUMBER(SEARCH("Cukup,",INDEX(FORM!$H:$H,ROW()))),"CUKUP",IF(ISNUMBER(SEARCH("Kurang,",INDEX(FORM!$H:$H,ROW()))),"KURANG",""))))</f>
        <v>YA</v>
      </c>
      <c r="K186" s="87" t="str">
        <f>IF($A186="","",UPPER(TRIM(INDEX(FORM!$J:$J,ROW()))))</f>
        <v>CUKUP</v>
      </c>
      <c r="L186" s="87">
        <f>IF($A186="","",IF(ISNUMBER(SEARCH("Aktivitas Harian",INDEX(FORM!$K:$K,ROW()))),1,0))</f>
        <v>0</v>
      </c>
      <c r="M186" s="87">
        <f>IF($A186="","",IF(ISNUMBER(SEARCH("Aktivitas Mingguan",INDEX(FORM!$K:$K,ROW()))),1,0))</f>
        <v>0</v>
      </c>
      <c r="N186" s="87">
        <f>IF($A186="","",IF(ISNUMBER(SEARCH("Aktivitas Bulanan",INDEX(FORM!$K:$K,ROW()))),1,0))</f>
        <v>1</v>
      </c>
      <c r="O186" s="87">
        <f>IF($A186="","",IF(ISNUMBER(SEARCH("Overview Cabang",INDEX(FORM!$K:$K,ROW()))),1,0))</f>
        <v>0</v>
      </c>
      <c r="P186" s="87">
        <f>IF($A186="","",IFERROR(VLOOKUP(I186,DATA!$AH$9:$AI$13,2,0),""))</f>
        <v>3</v>
      </c>
      <c r="Q186" s="87">
        <f>IF($A186="","",IFERROR(VLOOKUP(J186,DATA!$AH$9:$AI$13,2,0),""))</f>
        <v>3</v>
      </c>
      <c r="R186" s="87">
        <f>IF($A186="","",IFERROR(VLOOKUP(K186,DATA!$AH$9:$AI$13,2,0),""))</f>
        <v>2</v>
      </c>
      <c r="S186" s="89">
        <f t="shared" si="44"/>
        <v>2.6666666666666665</v>
      </c>
      <c r="T186" s="87">
        <f>IF($A186="","",IF(COUNTIF($D$2:D186,D186)=1,1,0))</f>
        <v>1</v>
      </c>
      <c r="U186" s="87" t="str">
        <f>IF($A186="","",IF(F186="-","Cabang tdk ada",IF(IFERROR(VLOOKUP(G186,#REF!,1,0),"")="","",IF(INDEX(DATA!$AH$2:$AH$5,MATCH(G186,DATA!$AI$2:$AI$5,0))&lt;&gt;F186,"Wilayah beda","OK"))))</f>
        <v/>
      </c>
      <c r="V186" s="87" t="str">
        <f>IF($A186="","",TRIM(INDEX(FORM!$I:$I,ROW())&amp;""))</f>
        <v>Cukup</v>
      </c>
      <c r="W186" s="87" t="str">
        <f>IF($A186="","",TRIM(INDEX(FORM!$L:$L,ROW())&amp;""))</f>
        <v>Gukup</v>
      </c>
      <c r="X186" s="87" t="str">
        <f>IF($A186="","",TRIM(INDEX(FORM!$M:$M,ROW())&amp;""))</f>
        <v>Cukup</v>
      </c>
      <c r="Y186" s="8">
        <f>IF($A186="","",IFERROR(MATCH(F186,DATA!$AH$2:$AH$5,0),9)*10000+A186)</f>
        <v>10185</v>
      </c>
      <c r="Z186" s="87" t="str">
        <f t="shared" si="45"/>
        <v>Tidak ada masukan / sudah baik</v>
      </c>
      <c r="AA186" s="87" t="str">
        <f t="shared" si="46"/>
        <v>Lainnya (perlu dibaca manual)</v>
      </c>
      <c r="AB186" s="87" t="str">
        <f t="shared" si="47"/>
        <v>Tidak ada masukan / sudah baik</v>
      </c>
      <c r="AC186" s="87"/>
      <c r="AD186" s="87"/>
      <c r="AE186" s="87"/>
      <c r="AK186" s="90">
        <f t="shared" si="48"/>
        <v>0</v>
      </c>
      <c r="AL186" s="90">
        <f t="shared" si="49"/>
        <v>0</v>
      </c>
      <c r="AM186" s="90">
        <f t="shared" si="50"/>
        <v>0</v>
      </c>
      <c r="AN186" s="90">
        <f t="shared" si="51"/>
        <v>0</v>
      </c>
      <c r="AO186" s="90">
        <f t="shared" si="52"/>
        <v>0</v>
      </c>
      <c r="AP186" s="90">
        <f t="shared" si="53"/>
        <v>0</v>
      </c>
      <c r="AQ186" s="90">
        <f t="shared" si="54"/>
        <v>0</v>
      </c>
      <c r="AR186" s="90">
        <f t="shared" si="55"/>
        <v>0</v>
      </c>
      <c r="AS186" s="90">
        <f t="shared" si="56"/>
        <v>0</v>
      </c>
      <c r="AT186" s="90">
        <f t="shared" si="57"/>
        <v>0</v>
      </c>
      <c r="AU186" s="90">
        <f t="shared" si="58"/>
        <v>0</v>
      </c>
      <c r="AV186" s="90">
        <f t="shared" si="59"/>
        <v>0</v>
      </c>
      <c r="AW186" s="90">
        <f t="shared" si="60"/>
        <v>0</v>
      </c>
      <c r="AX186" s="90">
        <f t="shared" si="61"/>
        <v>0</v>
      </c>
      <c r="AY186" s="90">
        <f t="shared" si="62"/>
        <v>0</v>
      </c>
      <c r="AZ186" s="90">
        <f t="shared" si="63"/>
        <v>0</v>
      </c>
      <c r="BA186" s="90">
        <f t="shared" si="64"/>
        <v>1</v>
      </c>
      <c r="BB186" s="90">
        <f t="shared" si="65"/>
        <v>1</v>
      </c>
    </row>
    <row r="187" spans="1:54">
      <c r="A187" s="87">
        <f>IF(INDEX(FORM!$A:$A,ROW())="","",ROW()-1)</f>
        <v>186</v>
      </c>
      <c r="B187" s="88">
        <f>IF($A187="","",INDEX(FORM!$A:$A,ROW()))</f>
        <v>46311.457557870403</v>
      </c>
      <c r="C187" s="87" t="str">
        <f>IF($A187="","",TRIM(INDEX(FORM!$B:$B,ROW())))</f>
        <v>Denny Sanjaya</v>
      </c>
      <c r="D187" s="87" t="str">
        <f>IF($A187="","",TRIM(INDEX(FORM!$C:$C,ROW())&amp;""))</f>
        <v>1510988</v>
      </c>
      <c r="E187" s="87" t="str">
        <f>IF($A187="","",UPPER(TRIM(INDEX(FORM!$D:$D,ROW()))))</f>
        <v>BANTUL</v>
      </c>
      <c r="F187" s="87" t="str">
        <f>IF($A187="","",IFERROR(INDEX(PROGRES!$A$2:$A$92,MATCH(E187,PROGRES!$B$2:$B$92,0)),"-"))</f>
        <v>Jawa Tengah</v>
      </c>
      <c r="G187" s="87" t="str">
        <f>IF($A187="","",UPPER(TRIM(INDEX(FORM!$F:$F,ROW()))))</f>
        <v>JATENG DIY</v>
      </c>
      <c r="H187" s="87" t="str">
        <f>IF($A187="","",UPPER(TRIM(INDEX(FORM!$E:$E,ROW()))))</f>
        <v>CRO</v>
      </c>
      <c r="I187" s="87" t="str">
        <f>IF($A187="","",UPPER(TRIM(INDEX(FORM!$G:$G,ROW()))))</f>
        <v>MUDAH</v>
      </c>
      <c r="J187" s="87" t="str">
        <f>IF($A187="","",IF(ISNUMBER(SEARCH("Ya,",INDEX(FORM!$H:$H,ROW()))),"YA",IF(ISNUMBER(SEARCH("Cukup,",INDEX(FORM!$H:$H,ROW()))),"CUKUP",IF(ISNUMBER(SEARCH("Kurang,",INDEX(FORM!$H:$H,ROW()))),"KURANG",""))))</f>
        <v>YA</v>
      </c>
      <c r="K187" s="87" t="str">
        <f>IF($A187="","",UPPER(TRIM(INDEX(FORM!$J:$J,ROW()))))</f>
        <v>CUKUP</v>
      </c>
      <c r="L187" s="87">
        <f>IF($A187="","",IF(ISNUMBER(SEARCH("Aktivitas Harian",INDEX(FORM!$K:$K,ROW()))),1,0))</f>
        <v>1</v>
      </c>
      <c r="M187" s="87">
        <f>IF($A187="","",IF(ISNUMBER(SEARCH("Aktivitas Mingguan",INDEX(FORM!$K:$K,ROW()))),1,0))</f>
        <v>0</v>
      </c>
      <c r="N187" s="87">
        <f>IF($A187="","",IF(ISNUMBER(SEARCH("Aktivitas Bulanan",INDEX(FORM!$K:$K,ROW()))),1,0))</f>
        <v>0</v>
      </c>
      <c r="O187" s="87">
        <f>IF($A187="","",IF(ISNUMBER(SEARCH("Overview Cabang",INDEX(FORM!$K:$K,ROW()))),1,0))</f>
        <v>0</v>
      </c>
      <c r="P187" s="87">
        <f>IF($A187="","",IFERROR(VLOOKUP(I187,DATA!$AH$9:$AI$13,2,0),""))</f>
        <v>3</v>
      </c>
      <c r="Q187" s="87">
        <f>IF($A187="","",IFERROR(VLOOKUP(J187,DATA!$AH$9:$AI$13,2,0),""))</f>
        <v>3</v>
      </c>
      <c r="R187" s="87">
        <f>IF($A187="","",IFERROR(VLOOKUP(K187,DATA!$AH$9:$AI$13,2,0),""))</f>
        <v>2</v>
      </c>
      <c r="S187" s="89">
        <f t="shared" si="44"/>
        <v>2.6666666666666665</v>
      </c>
      <c r="T187" s="87">
        <f>IF($A187="","",IF(COUNTIF($D$2:D187,D187)=1,1,0))</f>
        <v>1</v>
      </c>
      <c r="U187" s="87" t="str">
        <f>IF($A187="","",IF(F187="-","Cabang tdk ada",IF(IFERROR(VLOOKUP(G187,#REF!,1,0),"")="","",IF(INDEX(DATA!$AH$2:$AH$5,MATCH(G187,DATA!$AI$2:$AI$5,0))&lt;&gt;F187,"Wilayah beda","OK"))))</f>
        <v/>
      </c>
      <c r="V187" s="87" t="str">
        <f>IF($A187="","",TRIM(INDEX(FORM!$I:$I,ROW())&amp;""))</f>
        <v>Sudah cukup bagus</v>
      </c>
      <c r="W187" s="87" t="str">
        <f>IF($A187="","",TRIM(INDEX(FORM!$L:$L,ROW())&amp;""))</f>
        <v>Semua sudah tertuang dalam handbook</v>
      </c>
      <c r="X187" s="87" t="str">
        <f>IF($A187="","",TRIM(INDEX(FORM!$M:$M,ROW())&amp;""))</f>
        <v>Semoga tidak terjadi eror kedepannya</v>
      </c>
      <c r="Y187" s="8">
        <f>IF($A187="","",IFERROR(MATCH(F187,DATA!$AH$2:$AH$5,0),9)*10000+A187)</f>
        <v>20186</v>
      </c>
      <c r="Z187" s="87" t="str">
        <f t="shared" si="45"/>
        <v>Tidak ada masukan / sudah baik</v>
      </c>
      <c r="AA187" s="87" t="str">
        <f t="shared" si="46"/>
        <v>Tidak ada masukan / sudah baik</v>
      </c>
      <c r="AB187" s="87" t="str">
        <f t="shared" si="47"/>
        <v>Tidak ada masukan / sudah baik</v>
      </c>
      <c r="AC187" s="87"/>
      <c r="AD187" s="87"/>
      <c r="AE187" s="87"/>
      <c r="AK187" s="90">
        <f t="shared" si="48"/>
        <v>0</v>
      </c>
      <c r="AL187" s="90">
        <f t="shared" si="49"/>
        <v>0</v>
      </c>
      <c r="AM187" s="90">
        <f t="shared" si="50"/>
        <v>0</v>
      </c>
      <c r="AN187" s="90">
        <f t="shared" si="51"/>
        <v>0</v>
      </c>
      <c r="AO187" s="90">
        <f t="shared" si="52"/>
        <v>0</v>
      </c>
      <c r="AP187" s="90">
        <f t="shared" si="53"/>
        <v>0</v>
      </c>
      <c r="AQ187" s="90">
        <f t="shared" si="54"/>
        <v>0</v>
      </c>
      <c r="AR187" s="90">
        <f t="shared" si="55"/>
        <v>0</v>
      </c>
      <c r="AS187" s="90">
        <f t="shared" si="56"/>
        <v>0</v>
      </c>
      <c r="AT187" s="90">
        <f t="shared" si="57"/>
        <v>0</v>
      </c>
      <c r="AU187" s="90">
        <f t="shared" si="58"/>
        <v>0</v>
      </c>
      <c r="AV187" s="90">
        <f t="shared" si="59"/>
        <v>0</v>
      </c>
      <c r="AW187" s="90">
        <f t="shared" si="60"/>
        <v>0</v>
      </c>
      <c r="AX187" s="90">
        <f t="shared" si="61"/>
        <v>0</v>
      </c>
      <c r="AY187" s="90">
        <f t="shared" si="62"/>
        <v>0</v>
      </c>
      <c r="AZ187" s="90">
        <f t="shared" si="63"/>
        <v>0</v>
      </c>
      <c r="BA187" s="90">
        <f t="shared" si="64"/>
        <v>0</v>
      </c>
      <c r="BB187" s="90">
        <f t="shared" si="65"/>
        <v>0</v>
      </c>
    </row>
    <row r="188" spans="1:54">
      <c r="A188" s="87">
        <f>IF(INDEX(FORM!$A:$A,ROW())="","",ROW()-1)</f>
        <v>187</v>
      </c>
      <c r="B188" s="88">
        <f>IF($A188="","",INDEX(FORM!$A:$A,ROW()))</f>
        <v>46311.464004629597</v>
      </c>
      <c r="C188" s="87" t="str">
        <f>IF($A188="","",TRIM(INDEX(FORM!$B:$B,ROW())))</f>
        <v>Heri Tri Susilo AR</v>
      </c>
      <c r="D188" s="87" t="str">
        <f>IF($A188="","",TRIM(INDEX(FORM!$C:$C,ROW())&amp;""))</f>
        <v>1510989</v>
      </c>
      <c r="E188" s="87" t="str">
        <f>IF($A188="","",UPPER(TRIM(INDEX(FORM!$D:$D,ROW()))))</f>
        <v>BANTUL</v>
      </c>
      <c r="F188" s="87" t="str">
        <f>IF($A188="","",IFERROR(INDEX(PROGRES!$A$2:$A$92,MATCH(E188,PROGRES!$B$2:$B$92,0)),"-"))</f>
        <v>Jawa Tengah</v>
      </c>
      <c r="G188" s="87" t="str">
        <f>IF($A188="","",UPPER(TRIM(INDEX(FORM!$F:$F,ROW()))))</f>
        <v>JATENG DIY</v>
      </c>
      <c r="H188" s="87" t="str">
        <f>IF($A188="","",UPPER(TRIM(INDEX(FORM!$E:$E,ROW()))))</f>
        <v>CRO</v>
      </c>
      <c r="I188" s="87" t="str">
        <f>IF($A188="","",UPPER(TRIM(INDEX(FORM!$G:$G,ROW()))))</f>
        <v>MUDAH</v>
      </c>
      <c r="J188" s="87" t="str">
        <f>IF($A188="","",IF(ISNUMBER(SEARCH("Ya,",INDEX(FORM!$H:$H,ROW()))),"YA",IF(ISNUMBER(SEARCH("Cukup,",INDEX(FORM!$H:$H,ROW()))),"CUKUP",IF(ISNUMBER(SEARCH("Kurang,",INDEX(FORM!$H:$H,ROW()))),"KURANG",""))))</f>
        <v>YA</v>
      </c>
      <c r="K188" s="87" t="str">
        <f>IF($A188="","",UPPER(TRIM(INDEX(FORM!$J:$J,ROW()))))</f>
        <v>MUDAH</v>
      </c>
      <c r="L188" s="87">
        <f>IF($A188="","",IF(ISNUMBER(SEARCH("Aktivitas Harian",INDEX(FORM!$K:$K,ROW()))),1,0))</f>
        <v>1</v>
      </c>
      <c r="M188" s="87">
        <f>IF($A188="","",IF(ISNUMBER(SEARCH("Aktivitas Mingguan",INDEX(FORM!$K:$K,ROW()))),1,0))</f>
        <v>1</v>
      </c>
      <c r="N188" s="87">
        <f>IF($A188="","",IF(ISNUMBER(SEARCH("Aktivitas Bulanan",INDEX(FORM!$K:$K,ROW()))),1,0))</f>
        <v>1</v>
      </c>
      <c r="O188" s="87">
        <f>IF($A188="","",IF(ISNUMBER(SEARCH("Overview Cabang",INDEX(FORM!$K:$K,ROW()))),1,0))</f>
        <v>1</v>
      </c>
      <c r="P188" s="87">
        <f>IF($A188="","",IFERROR(VLOOKUP(I188,DATA!$AH$9:$AI$13,2,0),""))</f>
        <v>3</v>
      </c>
      <c r="Q188" s="87">
        <f>IF($A188="","",IFERROR(VLOOKUP(J188,DATA!$AH$9:$AI$13,2,0),""))</f>
        <v>3</v>
      </c>
      <c r="R188" s="87">
        <f>IF($A188="","",IFERROR(VLOOKUP(K188,DATA!$AH$9:$AI$13,2,0),""))</f>
        <v>3</v>
      </c>
      <c r="S188" s="89">
        <f t="shared" si="44"/>
        <v>3</v>
      </c>
      <c r="T188" s="87">
        <f>IF($A188="","",IF(COUNTIF($D$2:D188,D188)=1,1,0))</f>
        <v>1</v>
      </c>
      <c r="U188" s="87" t="str">
        <f>IF($A188="","",IF(F188="-","Cabang tdk ada",IF(IFERROR(VLOOKUP(G188,#REF!,1,0),"")="","",IF(INDEX(DATA!$AH$2:$AH$5,MATCH(G188,DATA!$AI$2:$AI$5,0))&lt;&gt;F188,"Wilayah beda","OK"))))</f>
        <v/>
      </c>
      <c r="V188" s="87" t="str">
        <f>IF($A188="","",TRIM(INDEX(FORM!$I:$I,ROW())&amp;""))</f>
        <v>Sudah keren</v>
      </c>
      <c r="W188" s="87" t="str">
        <f>IF($A188="","",TRIM(INDEX(FORM!$L:$L,ROW())&amp;""))</f>
        <v>Tidak ada, sudah berjalan sesuai sop</v>
      </c>
      <c r="X188" s="87" t="str">
        <f>IF($A188="","",TRIM(INDEX(FORM!$M:$M,ROW())&amp;""))</f>
        <v>Sudah bagus ,pertahankan</v>
      </c>
      <c r="Y188" s="8">
        <f>IF($A188="","",IFERROR(MATCH(F188,DATA!$AH$2:$AH$5,0),9)*10000+A188)</f>
        <v>20187</v>
      </c>
      <c r="Z188" s="87" t="str">
        <f t="shared" si="45"/>
        <v>Tidak ada masukan / sudah baik</v>
      </c>
      <c r="AA188" s="87" t="str">
        <f t="shared" si="46"/>
        <v>Tidak ada masukan / sudah baik</v>
      </c>
      <c r="AB188" s="87" t="str">
        <f t="shared" si="47"/>
        <v>Tidak ada masukan / sudah baik</v>
      </c>
      <c r="AC188" s="87"/>
      <c r="AD188" s="87"/>
      <c r="AE188" s="87"/>
      <c r="AK188" s="90">
        <f t="shared" si="48"/>
        <v>0</v>
      </c>
      <c r="AL188" s="90">
        <f t="shared" si="49"/>
        <v>0</v>
      </c>
      <c r="AM188" s="90">
        <f t="shared" si="50"/>
        <v>0</v>
      </c>
      <c r="AN188" s="90">
        <f t="shared" si="51"/>
        <v>0</v>
      </c>
      <c r="AO188" s="90">
        <f t="shared" si="52"/>
        <v>0</v>
      </c>
      <c r="AP188" s="90">
        <f t="shared" si="53"/>
        <v>0</v>
      </c>
      <c r="AQ188" s="90">
        <f t="shared" si="54"/>
        <v>0</v>
      </c>
      <c r="AR188" s="90">
        <f t="shared" si="55"/>
        <v>0</v>
      </c>
      <c r="AS188" s="90">
        <f t="shared" si="56"/>
        <v>0</v>
      </c>
      <c r="AT188" s="90">
        <f t="shared" si="57"/>
        <v>0</v>
      </c>
      <c r="AU188" s="90">
        <f t="shared" si="58"/>
        <v>0</v>
      </c>
      <c r="AV188" s="90">
        <f t="shared" si="59"/>
        <v>0</v>
      </c>
      <c r="AW188" s="90">
        <f t="shared" si="60"/>
        <v>0</v>
      </c>
      <c r="AX188" s="90">
        <f t="shared" si="61"/>
        <v>0</v>
      </c>
      <c r="AY188" s="90">
        <f t="shared" si="62"/>
        <v>0</v>
      </c>
      <c r="AZ188" s="90">
        <f t="shared" si="63"/>
        <v>0</v>
      </c>
      <c r="BA188" s="90">
        <f t="shared" si="64"/>
        <v>0</v>
      </c>
      <c r="BB188" s="90">
        <f t="shared" si="65"/>
        <v>0</v>
      </c>
    </row>
    <row r="189" spans="1:54" s="5" customFormat="1" hidden="1">
      <c r="A189" s="8">
        <f>IF(INDEX(FORM!$A:$A,ROW())="","",ROW()-1)</f>
        <v>188</v>
      </c>
      <c r="B189" s="41">
        <f>IF($A189="","",INDEX(FORM!$A:$A,ROW()))</f>
        <v>46311.476400462998</v>
      </c>
      <c r="C189" s="8" t="str">
        <f>IF($A189="","",TRIM(INDEX(FORM!$B:$B,ROW())))</f>
        <v>KEMAS RIDWAN</v>
      </c>
      <c r="D189" s="8" t="str">
        <f>IF($A189="","",TRIM(INDEX(FORM!$C:$C,ROW())&amp;""))</f>
        <v>967</v>
      </c>
      <c r="E189" s="8" t="str">
        <f>IF($A189="","",UPPER(TRIM(INDEX(FORM!$D:$D,ROW()))))</f>
        <v>BANJAR</v>
      </c>
      <c r="F189" s="8" t="str">
        <f>IF($A189="","",IFERROR(INDEX(PROGRES!$A$2:$A$92,MATCH(E189,PROGRES!$B$2:$B$92,0)),"-"))</f>
        <v>Jawa Barat</v>
      </c>
      <c r="G189" s="8" t="str">
        <f>IF($A189="","",UPPER(TRIM(INDEX(FORM!$F:$F,ROW()))))</f>
        <v>JABAR DKI BANTEN</v>
      </c>
      <c r="H189" s="8" t="str">
        <f>IF($A189="","",UPPER(TRIM(INDEX(FORM!$E:$E,ROW()))))</f>
        <v>BM</v>
      </c>
      <c r="I189" s="8" t="str">
        <f>IF($A189="","",UPPER(TRIM(INDEX(FORM!$G:$G,ROW()))))</f>
        <v>MUDAH</v>
      </c>
      <c r="J189" s="8" t="str">
        <f>IF($A189="","",IF(ISNUMBER(SEARCH("Ya,",INDEX(FORM!$H:$H,ROW()))),"YA",IF(ISNUMBER(SEARCH("Cukup,",INDEX(FORM!$H:$H,ROW()))),"CUKUP",IF(ISNUMBER(SEARCH("Kurang,",INDEX(FORM!$H:$H,ROW()))),"KURANG",""))))</f>
        <v>YA</v>
      </c>
      <c r="K189" s="8" t="str">
        <f>IF($A189="","",UPPER(TRIM(INDEX(FORM!$J:$J,ROW()))))</f>
        <v>MUDAH</v>
      </c>
      <c r="L189" s="8">
        <f>IF($A189="","",IF(ISNUMBER(SEARCH("Aktivitas Harian",INDEX(FORM!$K:$K,ROW()))),1,0))</f>
        <v>0</v>
      </c>
      <c r="M189" s="8">
        <f>IF($A189="","",IF(ISNUMBER(SEARCH("Aktivitas Mingguan",INDEX(FORM!$K:$K,ROW()))),1,0))</f>
        <v>1</v>
      </c>
      <c r="N189" s="8">
        <f>IF($A189="","",IF(ISNUMBER(SEARCH("Aktivitas Bulanan",INDEX(FORM!$K:$K,ROW()))),1,0))</f>
        <v>0</v>
      </c>
      <c r="O189" s="8">
        <f>IF($A189="","",IF(ISNUMBER(SEARCH("Overview Cabang",INDEX(FORM!$K:$K,ROW()))),1,0))</f>
        <v>0</v>
      </c>
      <c r="P189" s="8">
        <f>IF($A189="","",IFERROR(VLOOKUP(I189,DATA!$AH$9:$AI$13,2,0),""))</f>
        <v>3</v>
      </c>
      <c r="Q189" s="8">
        <f>IF($A189="","",IFERROR(VLOOKUP(J189,DATA!$AH$9:$AI$13,2,0),""))</f>
        <v>3</v>
      </c>
      <c r="R189" s="8">
        <f>IF($A189="","",IFERROR(VLOOKUP(K189,DATA!$AH$9:$AI$13,2,0),""))</f>
        <v>3</v>
      </c>
      <c r="S189" s="42">
        <f t="shared" si="44"/>
        <v>3</v>
      </c>
      <c r="T189" s="8">
        <f>IF($A189="","",IF(COUNTIF($D$2:D189,D189)=1,1,0))</f>
        <v>1</v>
      </c>
      <c r="U189" s="8" t="str">
        <f>IF($A189="","",IF(F189="-","Cabang tdk ada",IF(IFERROR(VLOOKUP(G189,#REF!,1,0),"")="","",IF(INDEX(DATA!$AH$2:$AH$5,MATCH(G189,DATA!$AI$2:$AI$5,0))&lt;&gt;F189,"Wilayah beda","OK"))))</f>
        <v/>
      </c>
      <c r="V189" s="8" t="str">
        <f>IF($A189="","",TRIM(INDEX(FORM!$I:$I,ROW())&amp;""))</f>
        <v>DIKEMBAGKAN LEBIH BAGUS DAN LEBIH MENARIK</v>
      </c>
      <c r="W189" s="8" t="str">
        <f>IF($A189="","",TRIM(INDEX(FORM!$L:$L,ROW())&amp;""))</f>
        <v>-</v>
      </c>
      <c r="X189" s="8" t="str">
        <f>IF($A189="","",TRIM(INDEX(FORM!$M:$M,ROW())&amp;""))</f>
        <v>Sudah cukup baik</v>
      </c>
      <c r="Y189" s="8">
        <f>IF($A189="","",IFERROR(MATCH(F189,DATA!$AH$2:$AH$5,0),9)*10000+A189)</f>
        <v>10188</v>
      </c>
      <c r="Z189" s="8" t="str">
        <f t="shared" si="45"/>
        <v>Desain, Warna &amp; Font</v>
      </c>
      <c r="AA189" s="8" t="str">
        <f t="shared" si="46"/>
        <v>Tidak ada masukan / sudah baik</v>
      </c>
      <c r="AB189" s="8" t="str">
        <f t="shared" si="47"/>
        <v>Tidak ada masukan / sudah baik</v>
      </c>
      <c r="AC189" s="8"/>
      <c r="AD189" s="8"/>
      <c r="AE189" s="8"/>
      <c r="AK189" s="5">
        <f t="shared" si="48"/>
        <v>0</v>
      </c>
      <c r="AL189" s="5">
        <f t="shared" si="49"/>
        <v>0</v>
      </c>
      <c r="AM189" s="5">
        <f t="shared" si="50"/>
        <v>1</v>
      </c>
      <c r="AN189" s="5">
        <f t="shared" si="51"/>
        <v>0</v>
      </c>
      <c r="AO189" s="5">
        <f t="shared" si="52"/>
        <v>0</v>
      </c>
      <c r="AP189" s="5">
        <f t="shared" si="53"/>
        <v>0</v>
      </c>
      <c r="AQ189" s="5">
        <f t="shared" si="54"/>
        <v>0</v>
      </c>
      <c r="AR189" s="5">
        <f t="shared" si="55"/>
        <v>0</v>
      </c>
      <c r="AS189" s="5">
        <f t="shared" si="56"/>
        <v>0</v>
      </c>
      <c r="AT189" s="5">
        <f t="shared" si="57"/>
        <v>0</v>
      </c>
      <c r="AU189" s="5">
        <f t="shared" si="58"/>
        <v>0</v>
      </c>
      <c r="AV189" s="5">
        <f t="shared" si="59"/>
        <v>0</v>
      </c>
      <c r="AW189" s="5">
        <f t="shared" si="60"/>
        <v>0</v>
      </c>
      <c r="AX189" s="5">
        <f t="shared" si="61"/>
        <v>0</v>
      </c>
      <c r="AY189" s="5">
        <f t="shared" si="62"/>
        <v>0</v>
      </c>
      <c r="AZ189" s="5">
        <f t="shared" si="63"/>
        <v>0</v>
      </c>
      <c r="BA189" s="5">
        <f t="shared" si="64"/>
        <v>0</v>
      </c>
      <c r="BB189" s="5">
        <f t="shared" si="65"/>
        <v>1</v>
      </c>
    </row>
    <row r="190" spans="1:54">
      <c r="A190" s="87">
        <f>IF(INDEX(FORM!$A:$A,ROW())="","",ROW()-1)</f>
        <v>189</v>
      </c>
      <c r="B190" s="88">
        <f>IF($A190="","",INDEX(FORM!$A:$A,ROW()))</f>
        <v>46311.492812500001</v>
      </c>
      <c r="C190" s="87" t="str">
        <f>IF($A190="","",TRIM(INDEX(FORM!$B:$B,ROW())))</f>
        <v>Arya Mahardika Wibowo</v>
      </c>
      <c r="D190" s="87" t="str">
        <f>IF($A190="","",TRIM(INDEX(FORM!$C:$C,ROW())&amp;""))</f>
        <v>1511014</v>
      </c>
      <c r="E190" s="87" t="str">
        <f>IF($A190="","",UPPER(TRIM(INDEX(FORM!$D:$D,ROW()))))</f>
        <v>KEDIRI</v>
      </c>
      <c r="F190" s="87" t="str">
        <f>IF($A190="","",IFERROR(INDEX(PROGRES!$A$2:$A$92,MATCH(E190,PROGRES!$B$2:$B$92,0)),"-"))</f>
        <v>Jawa Timur</v>
      </c>
      <c r="G190" s="87" t="str">
        <f>IF($A190="","",UPPER(TRIM(INDEX(FORM!$F:$F,ROW()))))</f>
        <v>JATIM</v>
      </c>
      <c r="H190" s="87" t="str">
        <f>IF($A190="","",UPPER(TRIM(INDEX(FORM!$E:$E,ROW()))))</f>
        <v>CRO</v>
      </c>
      <c r="I190" s="87" t="str">
        <f>IF($A190="","",UPPER(TRIM(INDEX(FORM!$G:$G,ROW()))))</f>
        <v>CUKUP</v>
      </c>
      <c r="J190" s="87" t="str">
        <f>IF($A190="","",IF(ISNUMBER(SEARCH("Ya,",INDEX(FORM!$H:$H,ROW()))),"YA",IF(ISNUMBER(SEARCH("Cukup,",INDEX(FORM!$H:$H,ROW()))),"CUKUP",IF(ISNUMBER(SEARCH("Kurang,",INDEX(FORM!$H:$H,ROW()))),"KURANG",""))))</f>
        <v>CUKUP</v>
      </c>
      <c r="K190" s="87" t="str">
        <f>IF($A190="","",UPPER(TRIM(INDEX(FORM!$J:$J,ROW()))))</f>
        <v>CUKUP</v>
      </c>
      <c r="L190" s="87">
        <f>IF($A190="","",IF(ISNUMBER(SEARCH("Aktivitas Harian",INDEX(FORM!$K:$K,ROW()))),1,0))</f>
        <v>0</v>
      </c>
      <c r="M190" s="87">
        <f>IF($A190="","",IF(ISNUMBER(SEARCH("Aktivitas Mingguan",INDEX(FORM!$K:$K,ROW()))),1,0))</f>
        <v>0</v>
      </c>
      <c r="N190" s="87">
        <f>IF($A190="","",IF(ISNUMBER(SEARCH("Aktivitas Bulanan",INDEX(FORM!$K:$K,ROW()))),1,0))</f>
        <v>1</v>
      </c>
      <c r="O190" s="87">
        <f>IF($A190="","",IF(ISNUMBER(SEARCH("Overview Cabang",INDEX(FORM!$K:$K,ROW()))),1,0))</f>
        <v>1</v>
      </c>
      <c r="P190" s="87">
        <f>IF($A190="","",IFERROR(VLOOKUP(I190,DATA!$AH$9:$AI$13,2,0),""))</f>
        <v>2</v>
      </c>
      <c r="Q190" s="87">
        <f>IF($A190="","",IFERROR(VLOOKUP(J190,DATA!$AH$9:$AI$13,2,0),""))</f>
        <v>2</v>
      </c>
      <c r="R190" s="87">
        <f>IF($A190="","",IFERROR(VLOOKUP(K190,DATA!$AH$9:$AI$13,2,0),""))</f>
        <v>2</v>
      </c>
      <c r="S190" s="89">
        <f t="shared" si="44"/>
        <v>2</v>
      </c>
      <c r="T190" s="87">
        <f>IF($A190="","",IF(COUNTIF($D$2:D190,D190)=1,1,0))</f>
        <v>1</v>
      </c>
      <c r="U190" s="87" t="str">
        <f>IF($A190="","",IF(F190="-","Cabang tdk ada",IF(IFERROR(VLOOKUP(G190,#REF!,1,0),"")="","",IF(INDEX(DATA!$AH$2:$AH$5,MATCH(G190,DATA!$AI$2:$AI$5,0))&lt;&gt;F190,"Wilayah beda","OK"))))</f>
        <v/>
      </c>
      <c r="V190" s="87" t="str">
        <f>IF($A190="","",TRIM(INDEX(FORM!$I:$I,ROW())&amp;""))</f>
        <v>UI kurang jelas dan bisa di per simpel lagi tidak hanya ada text &amp; imahe, tetapi bisa ditambah seperti kolom persegi yang didalamnya berisi text dan image</v>
      </c>
      <c r="W190" s="87" t="str">
        <f>IF($A190="","",TRIM(INDEX(FORM!$L:$L,ROW())&amp;""))</f>
        <v>Mungkin bisa ditambahkan terkait dengan SOP terkait retur barang DA</v>
      </c>
      <c r="X190" s="87" t="str">
        <f>IF($A190="","",TRIM(INDEX(FORM!$M:$M,ROW())&amp;""))</f>
        <v>Tambahkan flowchart di masing - masing handbook agar lebih informatif dan simpel dalam penyampaian sehingga pembaca juga lebih mudah menangkap</v>
      </c>
      <c r="Y190" s="8">
        <f>IF($A190="","",IFERROR(MATCH(F190,DATA!$AH$2:$AH$5,0),9)*10000+A190)</f>
        <v>30189</v>
      </c>
      <c r="Z190" s="87" t="str">
        <f t="shared" si="45"/>
        <v>Penyederhanaan &amp; Ringkas Isi</v>
      </c>
      <c r="AA190" s="87" t="str">
        <f t="shared" si="46"/>
        <v>Pengiriman, Retur &amp; Logistik</v>
      </c>
      <c r="AB190" s="87" t="str">
        <f t="shared" si="47"/>
        <v>Tambah Video / Gambar / Flowchart</v>
      </c>
      <c r="AC190" s="87"/>
      <c r="AD190" s="87"/>
      <c r="AE190" s="87"/>
      <c r="AK190" s="90">
        <f t="shared" si="48"/>
        <v>0</v>
      </c>
      <c r="AL190" s="90">
        <f t="shared" si="49"/>
        <v>0</v>
      </c>
      <c r="AM190" s="90">
        <f t="shared" si="50"/>
        <v>0</v>
      </c>
      <c r="AN190" s="90">
        <f t="shared" si="51"/>
        <v>0</v>
      </c>
      <c r="AO190" s="90">
        <f t="shared" si="52"/>
        <v>0</v>
      </c>
      <c r="AP190" s="90">
        <f t="shared" si="53"/>
        <v>0</v>
      </c>
      <c r="AQ190" s="90">
        <f t="shared" si="54"/>
        <v>1</v>
      </c>
      <c r="AR190" s="90">
        <f t="shared" si="55"/>
        <v>0</v>
      </c>
      <c r="AS190" s="90">
        <f t="shared" si="56"/>
        <v>1</v>
      </c>
      <c r="AT190" s="90">
        <f t="shared" si="57"/>
        <v>0</v>
      </c>
      <c r="AU190" s="90">
        <f t="shared" si="58"/>
        <v>0</v>
      </c>
      <c r="AV190" s="90">
        <f t="shared" si="59"/>
        <v>0</v>
      </c>
      <c r="AW190" s="90">
        <f t="shared" si="60"/>
        <v>0</v>
      </c>
      <c r="AX190" s="90">
        <f t="shared" si="61"/>
        <v>1</v>
      </c>
      <c r="AY190" s="90">
        <f t="shared" si="62"/>
        <v>0</v>
      </c>
      <c r="AZ190" s="90">
        <f t="shared" si="63"/>
        <v>0</v>
      </c>
      <c r="BA190" s="90">
        <f t="shared" si="64"/>
        <v>0</v>
      </c>
      <c r="BB190" s="90">
        <f t="shared" si="65"/>
        <v>1</v>
      </c>
    </row>
    <row r="191" spans="1:54">
      <c r="A191" s="87">
        <f>IF(INDEX(FORM!$A:$A,ROW())="","",ROW()-1)</f>
        <v>190</v>
      </c>
      <c r="B191" s="88">
        <f>IF($A191="","",INDEX(FORM!$A:$A,ROW()))</f>
        <v>46311.504363425898</v>
      </c>
      <c r="C191" s="87" t="str">
        <f>IF($A191="","",TRIM(INDEX(FORM!$B:$B,ROW())))</f>
        <v>Rasyiq Aqila</v>
      </c>
      <c r="D191" s="87" t="str">
        <f>IF($A191="","",TRIM(INDEX(FORM!$C:$C,ROW())&amp;""))</f>
        <v>1510880</v>
      </c>
      <c r="E191" s="87" t="str">
        <f>IF($A191="","",UPPER(TRIM(INDEX(FORM!$D:$D,ROW()))))</f>
        <v>BANTUL</v>
      </c>
      <c r="F191" s="87" t="str">
        <f>IF($A191="","",IFERROR(INDEX(PROGRES!$A$2:$A$92,MATCH(E191,PROGRES!$B$2:$B$92,0)),"-"))</f>
        <v>Jawa Tengah</v>
      </c>
      <c r="G191" s="87" t="str">
        <f>IF($A191="","",UPPER(TRIM(INDEX(FORM!$F:$F,ROW()))))</f>
        <v>JATENG DIY</v>
      </c>
      <c r="H191" s="87" t="str">
        <f>IF($A191="","",UPPER(TRIM(INDEX(FORM!$E:$E,ROW()))))</f>
        <v>CRO</v>
      </c>
      <c r="I191" s="87" t="str">
        <f>IF($A191="","",UPPER(TRIM(INDEX(FORM!$G:$G,ROW()))))</f>
        <v>CUKUP</v>
      </c>
      <c r="J191" s="87" t="str">
        <f>IF($A191="","",IF(ISNUMBER(SEARCH("Ya,",INDEX(FORM!$H:$H,ROW()))),"YA",IF(ISNUMBER(SEARCH("Cukup,",INDEX(FORM!$H:$H,ROW()))),"CUKUP",IF(ISNUMBER(SEARCH("Kurang,",INDEX(FORM!$H:$H,ROW()))),"KURANG",""))))</f>
        <v>YA</v>
      </c>
      <c r="K191" s="87" t="str">
        <f>IF($A191="","",UPPER(TRIM(INDEX(FORM!$J:$J,ROW()))))</f>
        <v>MUDAH</v>
      </c>
      <c r="L191" s="87">
        <f>IF($A191="","",IF(ISNUMBER(SEARCH("Aktivitas Harian",INDEX(FORM!$K:$K,ROW()))),1,0))</f>
        <v>1</v>
      </c>
      <c r="M191" s="87">
        <f>IF($A191="","",IF(ISNUMBER(SEARCH("Aktivitas Mingguan",INDEX(FORM!$K:$K,ROW()))),1,0))</f>
        <v>1</v>
      </c>
      <c r="N191" s="87">
        <f>IF($A191="","",IF(ISNUMBER(SEARCH("Aktivitas Bulanan",INDEX(FORM!$K:$K,ROW()))),1,0))</f>
        <v>1</v>
      </c>
      <c r="O191" s="87">
        <f>IF($A191="","",IF(ISNUMBER(SEARCH("Overview Cabang",INDEX(FORM!$K:$K,ROW()))),1,0))</f>
        <v>1</v>
      </c>
      <c r="P191" s="87">
        <f>IF($A191="","",IFERROR(VLOOKUP(I191,DATA!$AH$9:$AI$13,2,0),""))</f>
        <v>2</v>
      </c>
      <c r="Q191" s="87">
        <f>IF($A191="","",IFERROR(VLOOKUP(J191,DATA!$AH$9:$AI$13,2,0),""))</f>
        <v>3</v>
      </c>
      <c r="R191" s="87">
        <f>IF($A191="","",IFERROR(VLOOKUP(K191,DATA!$AH$9:$AI$13,2,0),""))</f>
        <v>3</v>
      </c>
      <c r="S191" s="89">
        <f t="shared" si="44"/>
        <v>2.6666666666666665</v>
      </c>
      <c r="T191" s="87">
        <f>IF($A191="","",IF(COUNTIF($D$2:D191,D191)=1,1,0))</f>
        <v>1</v>
      </c>
      <c r="U191" s="87" t="str">
        <f>IF($A191="","",IF(F191="-","Cabang tdk ada",IF(IFERROR(VLOOKUP(G191,#REF!,1,0),"")="","",IF(INDEX(DATA!$AH$2:$AH$5,MATCH(G191,DATA!$AI$2:$AI$5,0))&lt;&gt;F191,"Wilayah beda","OK"))))</f>
        <v/>
      </c>
      <c r="V191" s="87" t="str">
        <f>IF($A191="","",TRIM(INDEX(FORM!$I:$I,ROW())&amp;""))</f>
        <v>mungkin bisa di rangkum agar lebih mudah di mengerti</v>
      </c>
      <c r="W191" s="87" t="str">
        <f>IF($A191="","",TRIM(INDEX(FORM!$L:$L,ROW())&amp;""))</f>
        <v>sudah semua</v>
      </c>
      <c r="X191" s="87" t="str">
        <f>IF($A191="","",TRIM(INDEX(FORM!$M:$M,ROW())&amp;""))</f>
        <v>cukup baik</v>
      </c>
      <c r="Y191" s="8">
        <f>IF($A191="","",IFERROR(MATCH(F191,DATA!$AH$2:$AH$5,0),9)*10000+A191)</f>
        <v>20190</v>
      </c>
      <c r="Z191" s="87" t="str">
        <f t="shared" si="45"/>
        <v>Tidak ada masukan / sudah baik</v>
      </c>
      <c r="AA191" s="87" t="str">
        <f t="shared" si="46"/>
        <v>Tidak ada masukan / sudah baik</v>
      </c>
      <c r="AB191" s="87" t="str">
        <f t="shared" si="47"/>
        <v>Tidak ada masukan / sudah baik</v>
      </c>
      <c r="AC191" s="87"/>
      <c r="AD191" s="87"/>
      <c r="AE191" s="87"/>
      <c r="AK191" s="90">
        <f t="shared" si="48"/>
        <v>0</v>
      </c>
      <c r="AL191" s="90">
        <f t="shared" si="49"/>
        <v>0</v>
      </c>
      <c r="AM191" s="90">
        <f t="shared" si="50"/>
        <v>0</v>
      </c>
      <c r="AN191" s="90">
        <f t="shared" si="51"/>
        <v>0</v>
      </c>
      <c r="AO191" s="90">
        <f t="shared" si="52"/>
        <v>0</v>
      </c>
      <c r="AP191" s="90">
        <f t="shared" si="53"/>
        <v>0</v>
      </c>
      <c r="AQ191" s="90">
        <f t="shared" si="54"/>
        <v>0</v>
      </c>
      <c r="AR191" s="90">
        <f t="shared" si="55"/>
        <v>0</v>
      </c>
      <c r="AS191" s="90">
        <f t="shared" si="56"/>
        <v>0</v>
      </c>
      <c r="AT191" s="90">
        <f t="shared" si="57"/>
        <v>0</v>
      </c>
      <c r="AU191" s="90">
        <f t="shared" si="58"/>
        <v>0</v>
      </c>
      <c r="AV191" s="90">
        <f t="shared" si="59"/>
        <v>0</v>
      </c>
      <c r="AW191" s="90">
        <f t="shared" si="60"/>
        <v>0</v>
      </c>
      <c r="AX191" s="90">
        <f t="shared" si="61"/>
        <v>0</v>
      </c>
      <c r="AY191" s="90">
        <f t="shared" si="62"/>
        <v>0</v>
      </c>
      <c r="AZ191" s="90">
        <f t="shared" si="63"/>
        <v>0</v>
      </c>
      <c r="BA191" s="90">
        <f t="shared" si="64"/>
        <v>0</v>
      </c>
      <c r="BB191" s="90">
        <f t="shared" si="65"/>
        <v>0</v>
      </c>
    </row>
    <row r="192" spans="1:54">
      <c r="A192" s="87">
        <f>IF(INDEX(FORM!$A:$A,ROW())="","",ROW()-1)</f>
        <v>191</v>
      </c>
      <c r="B192" s="88">
        <f>IF($A192="","",INDEX(FORM!$A:$A,ROW()))</f>
        <v>46311.519270833298</v>
      </c>
      <c r="C192" s="87" t="str">
        <f>IF($A192="","",TRIM(INDEX(FORM!$B:$B,ROW())))</f>
        <v>Ahmad mutaqin</v>
      </c>
      <c r="D192" s="87" t="str">
        <f>IF($A192="","",TRIM(INDEX(FORM!$C:$C,ROW())&amp;""))</f>
        <v>1511308</v>
      </c>
      <c r="E192" s="87" t="str">
        <f>IF($A192="","",UPPER(TRIM(INDEX(FORM!$D:$D,ROW()))))</f>
        <v>SUKOHARJO</v>
      </c>
      <c r="F192" s="87" t="str">
        <f>IF($A192="","",IFERROR(INDEX(PROGRES!$A$2:$A$92,MATCH(E192,PROGRES!$B$2:$B$92,0)),"-"))</f>
        <v>Jawa Tengah</v>
      </c>
      <c r="G192" s="87" t="str">
        <f>IF($A192="","",UPPER(TRIM(INDEX(FORM!$F:$F,ROW()))))</f>
        <v>JATENG DIY</v>
      </c>
      <c r="H192" s="87" t="str">
        <f>IF($A192="","",UPPER(TRIM(INDEX(FORM!$E:$E,ROW()))))</f>
        <v>CRO</v>
      </c>
      <c r="I192" s="87" t="str">
        <f>IF($A192="","",UPPER(TRIM(INDEX(FORM!$G:$G,ROW()))))</f>
        <v>MUDAH</v>
      </c>
      <c r="J192" s="87" t="str">
        <f>IF($A192="","",IF(ISNUMBER(SEARCH("Ya,",INDEX(FORM!$H:$H,ROW()))),"YA",IF(ISNUMBER(SEARCH("Cukup,",INDEX(FORM!$H:$H,ROW()))),"CUKUP",IF(ISNUMBER(SEARCH("Kurang,",INDEX(FORM!$H:$H,ROW()))),"KURANG",""))))</f>
        <v>YA</v>
      </c>
      <c r="K192" s="87" t="str">
        <f>IF($A192="","",UPPER(TRIM(INDEX(FORM!$J:$J,ROW()))))</f>
        <v>MUDAH</v>
      </c>
      <c r="L192" s="87">
        <f>IF($A192="","",IF(ISNUMBER(SEARCH("Aktivitas Harian",INDEX(FORM!$K:$K,ROW()))),1,0))</f>
        <v>1</v>
      </c>
      <c r="M192" s="87">
        <f>IF($A192="","",IF(ISNUMBER(SEARCH("Aktivitas Mingguan",INDEX(FORM!$K:$K,ROW()))),1,0))</f>
        <v>1</v>
      </c>
      <c r="N192" s="87">
        <f>IF($A192="","",IF(ISNUMBER(SEARCH("Aktivitas Bulanan",INDEX(FORM!$K:$K,ROW()))),1,0))</f>
        <v>1</v>
      </c>
      <c r="O192" s="87">
        <f>IF($A192="","",IF(ISNUMBER(SEARCH("Overview Cabang",INDEX(FORM!$K:$K,ROW()))),1,0))</f>
        <v>1</v>
      </c>
      <c r="P192" s="87">
        <f>IF($A192="","",IFERROR(VLOOKUP(I192,DATA!$AH$9:$AI$13,2,0),""))</f>
        <v>3</v>
      </c>
      <c r="Q192" s="87">
        <f>IF($A192="","",IFERROR(VLOOKUP(J192,DATA!$AH$9:$AI$13,2,0),""))</f>
        <v>3</v>
      </c>
      <c r="R192" s="87">
        <f>IF($A192="","",IFERROR(VLOOKUP(K192,DATA!$AH$9:$AI$13,2,0),""))</f>
        <v>3</v>
      </c>
      <c r="S192" s="89">
        <f t="shared" si="44"/>
        <v>3</v>
      </c>
      <c r="T192" s="87">
        <f>IF($A192="","",IF(COUNTIF($D$2:D192,D192)=1,1,0))</f>
        <v>1</v>
      </c>
      <c r="U192" s="87" t="str">
        <f>IF($A192="","",IF(F192="-","Cabang tdk ada",IF(IFERROR(VLOOKUP(G192,#REF!,1,0),"")="","",IF(INDEX(DATA!$AH$2:$AH$5,MATCH(G192,DATA!$AI$2:$AI$5,0))&lt;&gt;F192,"Wilayah beda","OK"))))</f>
        <v/>
      </c>
      <c r="V192" s="87" t="str">
        <f>IF($A192="","",TRIM(INDEX(FORM!$I:$I,ROW())&amp;""))</f>
        <v>Sudah baik dan simpel sehingga mudah di pahami</v>
      </c>
      <c r="W192" s="87" t="str">
        <f>IF($A192="","",TRIM(INDEX(FORM!$L:$L,ROW())&amp;""))</f>
        <v>Tidak ada</v>
      </c>
      <c r="X192" s="87" t="str">
        <f>IF($A192="","",TRIM(INDEX(FORM!$M:$M,ROW())&amp;""))</f>
        <v>Sangat membantu kinerja sesuai jabatan</v>
      </c>
      <c r="Y192" s="8">
        <f>IF($A192="","",IFERROR(MATCH(F192,DATA!$AH$2:$AH$5,0),9)*10000+A192)</f>
        <v>20191</v>
      </c>
      <c r="Z192" s="87" t="str">
        <f t="shared" si="45"/>
        <v>Penyederhanaan &amp; Ringkas Isi</v>
      </c>
      <c r="AA192" s="87" t="str">
        <f t="shared" si="46"/>
        <v>Tidak ada masukan / sudah baik</v>
      </c>
      <c r="AB192" s="87" t="str">
        <f t="shared" si="47"/>
        <v>Fitur Baru (Dashboard / KPI / Database)</v>
      </c>
      <c r="AC192" s="87"/>
      <c r="AD192" s="87"/>
      <c r="AE192" s="87"/>
      <c r="AK192" s="90">
        <f t="shared" si="48"/>
        <v>0</v>
      </c>
      <c r="AL192" s="90">
        <f t="shared" si="49"/>
        <v>0</v>
      </c>
      <c r="AM192" s="90">
        <f t="shared" si="50"/>
        <v>0</v>
      </c>
      <c r="AN192" s="90">
        <f t="shared" si="51"/>
        <v>0</v>
      </c>
      <c r="AO192" s="90">
        <f t="shared" si="52"/>
        <v>0</v>
      </c>
      <c r="AP192" s="90">
        <f t="shared" si="53"/>
        <v>1</v>
      </c>
      <c r="AQ192" s="90">
        <f t="shared" si="54"/>
        <v>1</v>
      </c>
      <c r="AR192" s="90">
        <f t="shared" si="55"/>
        <v>0</v>
      </c>
      <c r="AS192" s="90">
        <f t="shared" si="56"/>
        <v>0</v>
      </c>
      <c r="AT192" s="90">
        <f t="shared" si="57"/>
        <v>0</v>
      </c>
      <c r="AU192" s="90">
        <f t="shared" si="58"/>
        <v>0</v>
      </c>
      <c r="AV192" s="90">
        <f t="shared" si="59"/>
        <v>0</v>
      </c>
      <c r="AW192" s="90">
        <f t="shared" si="60"/>
        <v>0</v>
      </c>
      <c r="AX192" s="90">
        <f t="shared" si="61"/>
        <v>0</v>
      </c>
      <c r="AY192" s="90">
        <f t="shared" si="62"/>
        <v>0</v>
      </c>
      <c r="AZ192" s="90">
        <f t="shared" si="63"/>
        <v>0</v>
      </c>
      <c r="BA192" s="90">
        <f t="shared" si="64"/>
        <v>0</v>
      </c>
      <c r="BB192" s="90">
        <f t="shared" si="65"/>
        <v>1</v>
      </c>
    </row>
    <row r="193" spans="1:54" s="5" customFormat="1" hidden="1">
      <c r="A193" s="8">
        <f>IF(INDEX(FORM!$A:$A,ROW())="","",ROW()-1)</f>
        <v>192</v>
      </c>
      <c r="B193" s="41">
        <f>IF($A193="","",INDEX(FORM!$A:$A,ROW()))</f>
        <v>46311.601539351897</v>
      </c>
      <c r="C193" s="8" t="str">
        <f>IF($A193="","",TRIM(INDEX(FORM!$B:$B,ROW())))</f>
        <v>AGUS ALFI ROBIN PRATAMA</v>
      </c>
      <c r="D193" s="8" t="str">
        <f>IF($A193="","",TRIM(INDEX(FORM!$C:$C,ROW())&amp;""))</f>
        <v>89218185</v>
      </c>
      <c r="E193" s="8" t="str">
        <f>IF($A193="","",UPPER(TRIM(INDEX(FORM!$D:$D,ROW()))))</f>
        <v>BOYOLALI</v>
      </c>
      <c r="F193" s="8" t="str">
        <f>IF($A193="","",IFERROR(INDEX(PROGRES!$A$2:$A$92,MATCH(E193,PROGRES!$B$2:$B$92,0)),"-"))</f>
        <v>Jawa Tengah</v>
      </c>
      <c r="G193" s="8" t="str">
        <f>IF($A193="","",UPPER(TRIM(INDEX(FORM!$F:$F,ROW()))))</f>
        <v>JATENG DIY</v>
      </c>
      <c r="H193" s="8" t="str">
        <f>IF($A193="","",UPPER(TRIM(INDEX(FORM!$E:$E,ROW()))))</f>
        <v>BM</v>
      </c>
      <c r="I193" s="8" t="str">
        <f>IF($A193="","",UPPER(TRIM(INDEX(FORM!$G:$G,ROW()))))</f>
        <v>MUDAH</v>
      </c>
      <c r="J193" s="8" t="str">
        <f>IF($A193="","",IF(ISNUMBER(SEARCH("Ya,",INDEX(FORM!$H:$H,ROW()))),"YA",IF(ISNUMBER(SEARCH("Cukup,",INDEX(FORM!$H:$H,ROW()))),"CUKUP",IF(ISNUMBER(SEARCH("Kurang,",INDEX(FORM!$H:$H,ROW()))),"KURANG",""))))</f>
        <v>YA</v>
      </c>
      <c r="K193" s="8" t="str">
        <f>IF($A193="","",UPPER(TRIM(INDEX(FORM!$J:$J,ROW()))))</f>
        <v>CUKUP</v>
      </c>
      <c r="L193" s="8">
        <f>IF($A193="","",IF(ISNUMBER(SEARCH("Aktivitas Harian",INDEX(FORM!$K:$K,ROW()))),1,0))</f>
        <v>1</v>
      </c>
      <c r="M193" s="8">
        <f>IF($A193="","",IF(ISNUMBER(SEARCH("Aktivitas Mingguan",INDEX(FORM!$K:$K,ROW()))),1,0))</f>
        <v>0</v>
      </c>
      <c r="N193" s="8">
        <f>IF($A193="","",IF(ISNUMBER(SEARCH("Aktivitas Bulanan",INDEX(FORM!$K:$K,ROW()))),1,0))</f>
        <v>0</v>
      </c>
      <c r="O193" s="8">
        <f>IF($A193="","",IF(ISNUMBER(SEARCH("Overview Cabang",INDEX(FORM!$K:$K,ROW()))),1,0))</f>
        <v>0</v>
      </c>
      <c r="P193" s="8">
        <f>IF($A193="","",IFERROR(VLOOKUP(I193,DATA!$AH$9:$AI$13,2,0),""))</f>
        <v>3</v>
      </c>
      <c r="Q193" s="8">
        <f>IF($A193="","",IFERROR(VLOOKUP(J193,DATA!$AH$9:$AI$13,2,0),""))</f>
        <v>3</v>
      </c>
      <c r="R193" s="8">
        <f>IF($A193="","",IFERROR(VLOOKUP(K193,DATA!$AH$9:$AI$13,2,0),""))</f>
        <v>2</v>
      </c>
      <c r="S193" s="42">
        <f t="shared" si="44"/>
        <v>2.6666666666666665</v>
      </c>
      <c r="T193" s="8">
        <f>IF($A193="","",IF(COUNTIF($D$2:D193,D193)=1,1,0))</f>
        <v>1</v>
      </c>
      <c r="U193" s="8" t="str">
        <f>IF($A193="","",IF(F193="-","Cabang tdk ada",IF(IFERROR(VLOOKUP(G193,#REF!,1,0),"")="","",IF(INDEX(DATA!$AH$2:$AH$5,MATCH(G193,DATA!$AI$2:$AI$5,0))&lt;&gt;F193,"Wilayah beda","OK"))))</f>
        <v/>
      </c>
      <c r="V193" s="8" t="str">
        <f>IF($A193="","",TRIM(INDEX(FORM!$I:$I,ROW())&amp;""))</f>
        <v>Sudah cukup baik</v>
      </c>
      <c r="W193" s="8" t="str">
        <f>IF($A193="","",TRIM(INDEX(FORM!$L:$L,ROW())&amp;""))</f>
        <v>Tidak ada</v>
      </c>
      <c r="X193" s="8" t="str">
        <f>IF($A193="","",TRIM(INDEX(FORM!$M:$M,ROW())&amp;""))</f>
        <v>sudah cukup bagus</v>
      </c>
      <c r="Y193" s="8">
        <f>IF($A193="","",IFERROR(MATCH(F193,DATA!$AH$2:$AH$5,0),9)*10000+A193)</f>
        <v>20192</v>
      </c>
      <c r="Z193" s="8" t="str">
        <f t="shared" si="45"/>
        <v>Tidak ada masukan / sudah baik</v>
      </c>
      <c r="AA193" s="8" t="str">
        <f t="shared" si="46"/>
        <v>Tidak ada masukan / sudah baik</v>
      </c>
      <c r="AB193" s="8" t="str">
        <f t="shared" si="47"/>
        <v>Tidak ada masukan / sudah baik</v>
      </c>
      <c r="AC193" s="8"/>
      <c r="AD193" s="8"/>
      <c r="AE193" s="8"/>
      <c r="AK193" s="5">
        <f t="shared" si="48"/>
        <v>0</v>
      </c>
      <c r="AL193" s="5">
        <f t="shared" si="49"/>
        <v>0</v>
      </c>
      <c r="AM193" s="5">
        <f t="shared" si="50"/>
        <v>0</v>
      </c>
      <c r="AN193" s="5">
        <f t="shared" si="51"/>
        <v>0</v>
      </c>
      <c r="AO193" s="5">
        <f t="shared" si="52"/>
        <v>0</v>
      </c>
      <c r="AP193" s="5">
        <f t="shared" si="53"/>
        <v>0</v>
      </c>
      <c r="AQ193" s="5">
        <f t="shared" si="54"/>
        <v>0</v>
      </c>
      <c r="AR193" s="5">
        <f t="shared" si="55"/>
        <v>0</v>
      </c>
      <c r="AS193" s="5">
        <f t="shared" si="56"/>
        <v>0</v>
      </c>
      <c r="AT193" s="5">
        <f t="shared" si="57"/>
        <v>0</v>
      </c>
      <c r="AU193" s="5">
        <f t="shared" si="58"/>
        <v>0</v>
      </c>
      <c r="AV193" s="5">
        <f t="shared" si="59"/>
        <v>0</v>
      </c>
      <c r="AW193" s="5">
        <f t="shared" si="60"/>
        <v>0</v>
      </c>
      <c r="AX193" s="5">
        <f t="shared" si="61"/>
        <v>0</v>
      </c>
      <c r="AY193" s="5">
        <f t="shared" si="62"/>
        <v>0</v>
      </c>
      <c r="AZ193" s="5">
        <f t="shared" si="63"/>
        <v>0</v>
      </c>
      <c r="BA193" s="5">
        <f t="shared" si="64"/>
        <v>0</v>
      </c>
      <c r="BB193" s="5">
        <f t="shared" si="65"/>
        <v>0</v>
      </c>
    </row>
    <row r="194" spans="1:54" s="5" customFormat="1" hidden="1">
      <c r="A194" s="8">
        <f>IF(INDEX(FORM!$A:$A,ROW())="","",ROW()-1)</f>
        <v>193</v>
      </c>
      <c r="B194" s="41">
        <f>IF($A194="","",INDEX(FORM!$A:$A,ROW()))</f>
        <v>46311.666412036997</v>
      </c>
      <c r="C194" s="8" t="str">
        <f>IF($A194="","",TRIM(INDEX(FORM!$B:$B,ROW())))</f>
        <v>IMAM SUBEKTI</v>
      </c>
      <c r="D194" s="8" t="str">
        <f>IF($A194="","",TRIM(INDEX(FORM!$C:$C,ROW())&amp;""))</f>
        <v>88006091</v>
      </c>
      <c r="E194" s="8" t="str">
        <f>IF($A194="","",UPPER(TRIM(INDEX(FORM!$D:$D,ROW()))))</f>
        <v>LAMONGAN</v>
      </c>
      <c r="F194" s="8" t="str">
        <f>IF($A194="","",IFERROR(INDEX(PROGRES!$A$2:$A$92,MATCH(E194,PROGRES!$B$2:$B$92,0)),"-"))</f>
        <v>Jawa Timur</v>
      </c>
      <c r="G194" s="8" t="str">
        <f>IF($A194="","",UPPER(TRIM(INDEX(FORM!$F:$F,ROW()))))</f>
        <v>JATIM</v>
      </c>
      <c r="H194" s="8" t="str">
        <f>IF($A194="","",UPPER(TRIM(INDEX(FORM!$E:$E,ROW()))))</f>
        <v>BM</v>
      </c>
      <c r="I194" s="8" t="str">
        <f>IF($A194="","",UPPER(TRIM(INDEX(FORM!$G:$G,ROW()))))</f>
        <v>CUKUP</v>
      </c>
      <c r="J194" s="8" t="str">
        <f>IF($A194="","",IF(ISNUMBER(SEARCH("Ya,",INDEX(FORM!$H:$H,ROW()))),"YA",IF(ISNUMBER(SEARCH("Cukup,",INDEX(FORM!$H:$H,ROW()))),"CUKUP",IF(ISNUMBER(SEARCH("Kurang,",INDEX(FORM!$H:$H,ROW()))),"KURANG",""))))</f>
        <v>YA</v>
      </c>
      <c r="K194" s="8" t="str">
        <f>IF($A194="","",UPPER(TRIM(INDEX(FORM!$J:$J,ROW()))))</f>
        <v>CUKUP</v>
      </c>
      <c r="L194" s="8">
        <f>IF($A194="","",IF(ISNUMBER(SEARCH("Aktivitas Harian",INDEX(FORM!$K:$K,ROW()))),1,0))</f>
        <v>1</v>
      </c>
      <c r="M194" s="8">
        <f>IF($A194="","",IF(ISNUMBER(SEARCH("Aktivitas Mingguan",INDEX(FORM!$K:$K,ROW()))),1,0))</f>
        <v>0</v>
      </c>
      <c r="N194" s="8">
        <f>IF($A194="","",IF(ISNUMBER(SEARCH("Aktivitas Bulanan",INDEX(FORM!$K:$K,ROW()))),1,0))</f>
        <v>0</v>
      </c>
      <c r="O194" s="8">
        <f>IF($A194="","",IF(ISNUMBER(SEARCH("Overview Cabang",INDEX(FORM!$K:$K,ROW()))),1,0))</f>
        <v>0</v>
      </c>
      <c r="P194" s="8">
        <f>IF($A194="","",IFERROR(VLOOKUP(I194,DATA!$AH$9:$AI$13,2,0),""))</f>
        <v>2</v>
      </c>
      <c r="Q194" s="8">
        <f>IF($A194="","",IFERROR(VLOOKUP(J194,DATA!$AH$9:$AI$13,2,0),""))</f>
        <v>3</v>
      </c>
      <c r="R194" s="8">
        <f>IF($A194="","",IFERROR(VLOOKUP(K194,DATA!$AH$9:$AI$13,2,0),""))</f>
        <v>2</v>
      </c>
      <c r="S194" s="42">
        <f t="shared" ref="S194:S257" si="66">IF($A194="","",IFERROR(AVERAGE(P194:R194),""))</f>
        <v>2.3333333333333335</v>
      </c>
      <c r="T194" s="8">
        <f>IF($A194="","",IF(COUNTIF($D$2:D194,D194)=1,1,0))</f>
        <v>1</v>
      </c>
      <c r="U194" s="8" t="str">
        <f>IF($A194="","",IF(F194="-","Cabang tdk ada",IF(IFERROR(VLOOKUP(G194,#REF!,1,0),"")="","",IF(INDEX(DATA!$AH$2:$AH$5,MATCH(G194,DATA!$AI$2:$AI$5,0))&lt;&gt;F194,"Wilayah beda","OK"))))</f>
        <v/>
      </c>
      <c r="V194" s="8" t="str">
        <f>IF($A194="","",TRIM(INDEX(FORM!$I:$I,ROW())&amp;""))</f>
        <v>Sudah cukup menarik</v>
      </c>
      <c r="W194" s="8" t="str">
        <f>IF($A194="","",TRIM(INDEX(FORM!$L:$L,ROW())&amp;""))</f>
        <v>Sudah semua</v>
      </c>
      <c r="X194" s="8" t="str">
        <f>IF($A194="","",TRIM(INDEX(FORM!$M:$M,ROW())&amp;""))</f>
        <v>Mungkin dengan berjalannya waktu, barangkali ada perubahan SOP agar di update</v>
      </c>
      <c r="Y194" s="8">
        <f>IF($A194="","",IFERROR(MATCH(F194,DATA!$AH$2:$AH$5,0),9)*10000+A194)</f>
        <v>30193</v>
      </c>
      <c r="Z194" s="8" t="str">
        <f t="shared" ref="Z194:Z257" si="67">IF($A194="","",IF(LEN(SUBSTITUTE(SUBSTITUTE(SUBSTITUTE(V194,"-",""),".",""),"?",""))&lt;2,"Tidak ada masukan / sudah baik",IF(OR(ISNUMBER(SEARCH("memang harus",V194&amp;" "))),"Tidak ada masukan / sudah baik",IF(OR(ISNUMBER(SEARCH("lemot",V194&amp;" ")),ISNUMBER(SEARCH("loading",V194&amp;" ")),ISNUMBER(SEARCH("lambat",V194&amp;" ")),ISNUMBER(SEARCH("kecepatan",V194&amp;" ")),ISNUMBER(SEARCH("koneksi",V194&amp;" ")),ISNUMBER(SEARCH("eroro",V194&amp;" ")),ISNUMBER(SEARCH("error",V194&amp;" ")),ISNUMBER(SEARCH("ketutup",V194&amp;" "))),"Kecepatan &amp; Loading Website",IF(OR(ISNUMBER(SEARCH("kontak",V194&amp;" ")),ISNUMBER(SEARCH("pic",V194&amp;" ")),ISNUMBER(SEARCH("darurat",V194&amp;" "))),"Kontak &amp; Informasi PIC",IF(OR(ISNUMBER(SEARCH("sacs",V194&amp;" ")),ISNUMBER(SEARCH("aplikasi",V194&amp;" ")),ISNUMBER(SEARCH("kinerja",V194&amp;" ")),ISNUMBER(SEARCH("seluruh cabang",V194&amp;" "))),"Integrasi dengan SACS / Aplikasi",IF(OR(ISNUMBER(SEARCH("mobile",V194&amp;" ")),ISNUMBER(SEARCH("lebih responsif",V194&amp;" ")),ISNUMBER(SEARCH("scroll",V194&amp;" ")),ISNUMBER(SEARCH("melebar",V194&amp;" "))),"Tampilan di HP (Responsif)",IF(OR(ISNUMBER(SEARCH("simpel",V194&amp;" ")),ISNUMBER(SEARCH("simple",V194&amp;" ")),ISNUMBER(SEARCH("sederhana",V194&amp;" ")),ISNUMBER(SEARCH("ringkas",V194&amp;" ")),ISNUMBER(SEARCH("intinya",V194&amp;" ")),ISNUMBER(SEARCH("panjang lebar",V194&amp;" ")),ISNUMBER(SEARCH("mudah dipahami lagi",V194&amp;" ")),ISNUMBER(SEARCH("tata letak",V194&amp;" ")),ISNUMBER(SEARCH("harus mencari",V194&amp;" "))),"Penyederhanaan &amp; Ringkas Isi",IF(OR(ISNUMBER(SEARCH("menu ",V194&amp;" ")),ISNUMBER(SEARCH("tiap posisi",V194&amp;" ")),ISNUMBER(SEARCH("pilihan antara",V194&amp;" "))),"Menu per Jabatan / Navigasi",IF(OR(ISNUMBER(SEARCH("video",V194&amp;" ")),ISNUMBER(SEARCH("vidio",V194&amp;" ")),ISNUMBER(SEARCH("bagan",V194&amp;" ")),ISNUMBER(SEARCH("gambar",V194&amp;" ")),ISNUMBER(SEARCH("qna",V194&amp;" "))),"Tambah Video / Bagan",IF(OR(ISNUMBER(SEARCH("menarik",V194&amp;" ")),ISNUMBER(SEARCH("design",V194&amp;" ")),ISNUMBER(SEARCH("desain",V194&amp;" ")),ISNUMBER(SEARCH("font",V194&amp;" ")),ISNUMBER(SEARCH("warna",V194&amp;" ")),ISNUMBER(SEARCH("soft",V194&amp;" ")),ISNUMBER(SEARCH("kaku",V194&amp;" ")),ISNUMBER(SEARCH("elegan",V194&amp;" ")),ISNUMBER(SEARCH("grafis",V194&amp;" ")),ISNUMBER(SEARCH("visual",V194&amp;" ")),ISNUMBER(SEARCH("logo",V194&amp;" ")),ISNUMBER(SEARCH("jenuh",V194&amp;" ")),ISNUMBER(SEARCH("abu",V194&amp;" ")),ISNUMBER(SEARCH("tampilannya",V194&amp;" ")),ISNUMBER(SEARCH("tampilan dibuat",V194&amp;" ")),ISNUMBER(SEARCH("tamoilan",V194&amp;" ")),ISNUMBER(SEARCH("lebih user friendly",V194&amp;" "))),"Desain, Warna &amp; Font",IF(OR(ISNUMBER(SEARCH("perbanyak",V194&amp;" ")),ISNUMBER(SEARCH("jabarkan",V194&amp;" ")),ISNUMBER(SEARCH("jobdesk",V194&amp;" ")),ISNUMBER(SEARCH("pengajuan",V194&amp;" ")),ISNUMBER(SEARCH("informasi",V194&amp;" "))),"Penambahan Isi / Penjelasan",IF(OR(ISNUMBER(SEARCH("tingkat",V194&amp;" ")),ISNUMBER(SEARCH("kembang",V194&amp;" ")),ISNUMBER(SEARCH("lebih baik lagi",V194&amp;" ")),ISNUMBER(SEARCH("maksimal",V194&amp;" ")),ISNUMBER(SEARCH("penikatan",V194&amp;" "))),"Saran Umum Peningkatan",IF(OR(ISNUMBER(SEARCH("tidak",V194&amp;" ")),ISNUMBER(SEARCH("tdk",V194&amp;" ")),ISNUMBER(SEARCH("sudah",V194&amp;" ")),ISNUMBER(SEARCH("sdh",V194&amp;" ")),ISNUMBER(SEARCH("cukup",V194&amp;" ")),ISNUMBER(SEARCH("baik",V194&amp;" ")),ISNUMBER(SEARCH("bagus",V194&amp;" ")),ISNUMBER(SEARCH("ok",V194&amp;" ")),ISNUMBER(SEARCH("good",V194&amp;" ")),ISNUMBER(SEARCH("aman",V194&amp;" ")),ISNUMBER(SEARCH("lanjut",V194&amp;" ")),ISNUMBER(SEARCH("mantap",V194&amp;" ")),ISNUMBER(SEARCH("josjis",V194&amp;" ")),ISNUMBER(SEARCH("lumayan",V194&amp;" ")),ISNUMBER(SEARCH("mudah",V194&amp;" ")),ISNUMBER(SEARCH("belum",V194&amp;" ")),ISNUMBER(SEARCH("membantu",V194&amp;" ")),ISNUMBER(SEARCH("comment",V194&amp;" ")),ISNUMBER(SEARCH("lengkap",V194&amp;" ")),ISNUMBER(SEARCH("tercakup",V194&amp;" ")),ISNUMBER(SEARCH("mencakup",V194&amp;" ")),ISNUMBER(SEARCH("semua",V194&amp;" ")),ISNUMBER(SEARCH("penting",V194&amp;" ")),ISNUMBER(SEARCH("terangkum",V194&amp;" ")),ISNUMBER(SEARCH("pas",V194&amp;" ")),ISNUMBER(SEARCH("berjalan",V194&amp;" ")),ISNUMBER(SEARCH("sesuai",V194&amp;" "))),"Tidak ada masukan / sudah baik","Lainnya (perlu dibaca manual)"))))))))))))))</f>
        <v>Desain, Warna &amp; Font</v>
      </c>
      <c r="AA194" s="8" t="str">
        <f t="shared" ref="AA194:AA257" si="68">IF($A194="","",IF(LEN(SUBSTITUTE(SUBSTITUTE(SUBSTITUTE(W194,"-",""),".",""),"?",""))&lt;2,"Tidak ada masukan / sudah baik",IF(OR(ISNUMBER(SEARCH("tampilan",W194&amp;" ")),ISNUMBER(SEARCH("lemot",W194&amp;" "))),"Bukan Terkait SOP (Tampilan / Akses)",IF(OR(ISNUMBER(SEARCH("sanksi",W194&amp;" ")),ISNUMBER(SEARCH("pelanggaran",W194&amp;" ")),ISNUMBER(SEARCH("larangan",W194&amp;" ")),ISNUMBER(SEARCH("rekening pribadi",W194&amp;" "))),"Sanksi &amp; Pelanggaran SOP",IF(OR(ISNUMBER(SEARCH("npl",W194&amp;" ")),ISNUMBER(SEARCH("piutang",W194&amp;" ")),ISNUMBER(SEARCH("rekon",W194&amp;" ")),ISNUMBER(SEARCH("overdue",W194&amp;" ")),ISNUMBER(SEARCH("restruk",W194&amp;" ")),ISNUMBER(SEARCH("tempo",W194&amp;" "))),"Piutang &amp; Pelanggan Bermasalah",IF(OR(ISNUMBER(SEARCH("kiriman",W194&amp;" ")),ISNUMBER(SEARCH("pengiriman",W194&amp;" ")),ISNUMBER(SEARCH("retur",W194&amp;" ")),ISNUMBER(SEARCH("barang",W194&amp;" "))),"Pengiriman, Retur &amp; Logistik",IF(OR(ISNUMBER(SEARCH("contact",W194&amp;" ")),ISNUMBER(SEARCH("kontak",W194&amp;" ")),ISNUMBER(SEARCH("pic",W194&amp;" ")),ISNUMBER(SEARCH("berwenang",W194&amp;" ")),ISNUMBER(SEARCH("follow up",W194&amp;" ")),ISNUMBER(SEARCH("eskalasi",W194&amp;" "))),"Kontak PIC &amp; Eskalasi",IF(OR(ISNUMBER(SEARCH("laporan evaluasi",W194&amp;" ")),ISNUMBER(SEARCH("aplikasi cp",W194&amp;" ")),ISNUMBER(SEARCH("flowchart",W194&amp;" ")),ISNUMBER(SEARCH("acuan",W194&amp;" ")),ISNUMBER(SEARCH("poa",W194&amp;" ")),ISNUMBER(SEARCH("aktifitas",W194&amp;" ")),ISNUMBER(SEARCH("aktivitas",W194&amp;" "))),"Panduan Laporan &amp; Alur Kerja",IF(OR(ISNUMBER(SEARCH("notifikasi",W194&amp;" ")),ISNUMBER(SEARCH("pembaruan",W194&amp;" ")),ISNUMBER(SEARCH("perubahan",W194&amp;" ")),ISNUMBER(SEARCH("update",W194&amp;" "))),"Pembaruan &amp; Notifikasi SOP",IF(OR(ISNUMBER(SEARCH("tidak",W194&amp;" ")),ISNUMBER(SEARCH("tdk",W194&amp;" ")),ISNUMBER(SEARCH("sudah",W194&amp;" ")),ISNUMBER(SEARCH("sdh",W194&amp;" ")),ISNUMBER(SEARCH("cukup",W194&amp;" ")),ISNUMBER(SEARCH("baik",W194&amp;" ")),ISNUMBER(SEARCH("bagus",W194&amp;" ")),ISNUMBER(SEARCH("ok",W194&amp;" ")),ISNUMBER(SEARCH("good",W194&amp;" ")),ISNUMBER(SEARCH("aman",W194&amp;" ")),ISNUMBER(SEARCH("lanjut",W194&amp;" ")),ISNUMBER(SEARCH("mantap",W194&amp;" ")),ISNUMBER(SEARCH("josjis",W194&amp;" ")),ISNUMBER(SEARCH("lumayan",W194&amp;" ")),ISNUMBER(SEARCH("mudah",W194&amp;" ")),ISNUMBER(SEARCH("belum",W194&amp;" ")),ISNUMBER(SEARCH("membantu",W194&amp;" ")),ISNUMBER(SEARCH("comment",W194&amp;" ")),ISNUMBER(SEARCH("lengkap",W194&amp;" ")),ISNUMBER(SEARCH("tercakup",W194&amp;" ")),ISNUMBER(SEARCH("mencakup",W194&amp;" ")),ISNUMBER(SEARCH("semua",W194&amp;" ")),ISNUMBER(SEARCH("penting",W194&amp;" ")),ISNUMBER(SEARCH("terangkum",W194&amp;" ")),ISNUMBER(SEARCH("pas",W194&amp;" ")),ISNUMBER(SEARCH("berjalan",W194&amp;" ")),ISNUMBER(SEARCH("sesuai",W194&amp;" "))),"Tidak ada masukan / sudah baik","Lainnya (perlu dibaca manual)"))))))))))</f>
        <v>Tidak ada masukan / sudah baik</v>
      </c>
      <c r="AB194" s="8" t="str">
        <f t="shared" ref="AB194:AB257" si="69">IF($A194="","",IF(LEN(SUBSTITUTE(SUBSTITUTE(SUBSTITUTE(X194,"-",""),".",""),"?",""))&lt;2,"Tidak ada masukan / sudah baik",IF(OR(ISNUMBER(SEARCH("urgent",X194&amp;" "))),"Lainnya (perlu dibaca manual)",IF(OR(ISNUMBER(SEARCH("struktur organisasi",X194&amp;" ")),ISNUMBER(SEARCH("pic",X194&amp;" ")),ISNUMBER(SEARCH("cp",X194&amp;" ")),ISNUMBER(SEARCH("personil",X194&amp;" ")),ISNUMBER(SEARCH("sales",X194&amp;" ")),ISNUMBER(SEARCH("muka",X194&amp;" ")),ISNUMBER(SEARCH("eskalasi",X194&amp;" "))),"Struktur Organisasi, PIC &amp; Tim",IF(OR(ISNUMBER(SEARCH("lemot",X194&amp;" ")),ISNUMBER(SEARCH("lambat",X194&amp;" ")),ISNUMBER(SEARCH("memuat",X194&amp;" ")),ISNUMBER(SEARCH("koneksi",X194&amp;" "))),"Kecepatan Akses Website",IF(OR(ISNUMBER(SEARCH("sacs",X194&amp;" ")),ISNUMBER(SEARCH("aplikasi",X194&amp;" "))),"Integrasi ke SACS / Aplikasi Kerja",IF(OR(ISNUMBER(SEARCH("dashboard",X194&amp;" ")),ISNUMBER(SEARCH("kpi",X194&amp;" ")),ISNUMBER(SEARCH("database",X194&amp;" ")),ISNUMBER(SEARCH("kinerja",X194&amp;" ")),ISNUMBER(SEARCH("seluruh cabang",X194&amp;" "))),"Fitur Baru (Dashboard / KPI / Database)",IF(OR(ISNUMBER(SEARCH("video",X194&amp;" ")),ISNUMBER(SEARCH("gambar",X194&amp;" ")),ISNUMBER(SEARCH("jpg",X194&amp;" ")),ISNUMBER(SEARCH("flowchart",X194&amp;" ")),ISNUMBER(SEARCH("tutorial",X194&amp;" "))),"Tambah Video / Gambar / Flowchart",IF(OR(ISNUMBER(SEARCH("template",X194&amp;" ")),ISNUMBER(SEARCH("surat",X194&amp;" ")),ISNUMBER(SEARCH("korin",X194&amp;" ")),ISNUMBER(SEARCH("overdue",X194&amp;" ")),ISNUMBER(SEARCH("restruk",X194&amp;" ")),ISNUMBER(SEARCH("tempo",X194&amp;" ")),ISNUMBER(SEARCH("larangan",X194&amp;" ")),ISNUMBER(SEARCH("posisi lain",X194&amp;" ")),ISNUMBER(SEARCH("jobdesk",X194&amp;" ")),ISNUMBER(SEARCH("jobdisk",X194&amp;" ")),ISNUMBER(SEARCH("langkah",X194&amp;" ")),ISNUMBER(SEARCH("detail",X194&amp;" ")),ISNUMBER(SEARCH("panduan",X194&amp;" ")),ISNUMBER(SEARCH("lengkap lagi",X194&amp;" ")),ISNUMBER(SEARCH("tips",X194&amp;" "))),"Penambahan Materi &amp; Template",IF(OR(ISNUMBER(SEARCH("simpel",X194&amp;" ")),ISNUMBER(SEARCH("simple",X194&amp;" ")),ISNUMBER(SEARCH("ringkas",X194&amp;" ")),ISNUMBER(SEARCH("monoton",X194&amp;" ")),ISNUMBER(SEARCH("penataan",X194&amp;" "))),"Penyederhanaan Isi",IF(OR(ISNUMBER(SEARCH("menarik",X194&amp;" ")),ISNUMBER(SEARCH("design",X194&amp;" ")),ISNUMBER(SEARCH("desain",X194&amp;" ")),ISNUMBER(SEARCH("tampilan",X194&amp;" ")),ISNUMBER(SEARCH("kaku",X194&amp;" ")),ISNUMBER(SEARCH("user friendly",X194&amp;" "))),"Desain Tampilan",IF(OR(ISNUMBER(SEARCH("update",X194&amp;" ")),ISNUMBER(SEARCH("terbaru",X194&amp;" ")),ISNUMBER(SEARCH("terkini",X194&amp;" ")),ISNUMBER(SEARCH("uptodate",X194&amp;" "))),"Update Informasi Berkala",IF(OR(ISNUMBER(SEARCH("tingkat",X194&amp;" ")),ISNUMBER(SEARCH("kembang",X194&amp;" ")),ISNUMBER(SEARCH("inovasi",X194&amp;" ")),ISNUMBER(SEARCH("maintenance",X194&amp;" "))),"Saran Umum Peningkatan",IF(OR(ISNUMBER(SEARCH("tidak",X194&amp;" ")),ISNUMBER(SEARCH("tdk",X194&amp;" ")),ISNUMBER(SEARCH("sudah",X194&amp;" ")),ISNUMBER(SEARCH("sdh",X194&amp;" ")),ISNUMBER(SEARCH("cukup",X194&amp;" ")),ISNUMBER(SEARCH("baik",X194&amp;" ")),ISNUMBER(SEARCH("bagus",X194&amp;" ")),ISNUMBER(SEARCH("ok",X194&amp;" ")),ISNUMBER(SEARCH("good",X194&amp;" ")),ISNUMBER(SEARCH("aman",X194&amp;" ")),ISNUMBER(SEARCH("lanjut",X194&amp;" ")),ISNUMBER(SEARCH("mantap",X194&amp;" ")),ISNUMBER(SEARCH("josjis",X194&amp;" ")),ISNUMBER(SEARCH("lumayan",X194&amp;" ")),ISNUMBER(SEARCH("mudah",X194&amp;" ")),ISNUMBER(SEARCH("belum",X194&amp;" ")),ISNUMBER(SEARCH("membantu",X194&amp;" ")),ISNUMBER(SEARCH("comment",X194&amp;" ")),ISNUMBER(SEARCH("lengkap",X194&amp;" ")),ISNUMBER(SEARCH("tercakup",X194&amp;" ")),ISNUMBER(SEARCH("mencakup",X194&amp;" ")),ISNUMBER(SEARCH("semua",X194&amp;" ")),ISNUMBER(SEARCH("penting",X194&amp;" ")),ISNUMBER(SEARCH("terangkum",X194&amp;" ")),ISNUMBER(SEARCH("pas",X194&amp;" ")),ISNUMBER(SEARCH("berjalan",X194&amp;" ")),ISNUMBER(SEARCH("sesuai",X194&amp;" "))),"Tidak ada masukan / sudah baik","Lainnya (perlu dibaca manual)"))))))))))))))</f>
        <v>Update Informasi Berkala</v>
      </c>
      <c r="AC194" s="8"/>
      <c r="AD194" s="8"/>
      <c r="AE194" s="8"/>
      <c r="AK194" s="5">
        <f t="shared" ref="AK194:AK257" si="70">IF($A194="","",IF(OR($Z194="Kecepatan &amp; Loading Website",$AB194="Kecepatan Akses Website",AND($AA194="Bukan Terkait SOP (Tampilan / Akses)",OR(ISNUMBER(SEARCH("lemot",$W194)),ISNUMBER(SEARCH("loading",$W194)),ISNUMBER(SEARCH("lambat",$W194))))),1,0))</f>
        <v>0</v>
      </c>
      <c r="AL194" s="5">
        <f t="shared" ref="AL194:AL257" si="71">IF($A194="","",IF(OR($Z194="Tampilan di HP (Responsif)"),1,0))</f>
        <v>0</v>
      </c>
      <c r="AM194" s="5">
        <f t="shared" ref="AM194:AM257" si="72">IF($A194="","",IF(OR($Z194="Desain, Warna &amp; Font",$AB194="Desain Tampilan",AND($AA194="Bukan Terkait SOP (Tampilan / Akses)",NOT(OR(ISNUMBER(SEARCH("lemot",$W194)),ISNUMBER(SEARCH("loading",$W194)),ISNUMBER(SEARCH("lambat",$W194)))))),1,0))</f>
        <v>1</v>
      </c>
      <c r="AN194" s="5">
        <f t="shared" ref="AN194:AN257" si="73">IF($A194="","",IF(OR($Z194="Menu per Jabatan / Navigasi"),1,0))</f>
        <v>0</v>
      </c>
      <c r="AO194" s="5">
        <f t="shared" ref="AO194:AO257" si="74">IF($A194="","",IF(OR($Z194="Integrasi dengan SACS / Aplikasi",$AB194="Integrasi ke SACS / Aplikasi Kerja"),1,0))</f>
        <v>0</v>
      </c>
      <c r="AP194" s="5">
        <f t="shared" ref="AP194:AP257" si="75">IF($A194="","",IF(OR($AB194="Fitur Baru (Dashboard / KPI / Database)"),1,0))</f>
        <v>0</v>
      </c>
      <c r="AQ194" s="5">
        <f t="shared" ref="AQ194:AQ257" si="76">IF($A194="","",IF(OR($Z194="Penyederhanaan &amp; Ringkas Isi",$AB194="Penyederhanaan Isi"),1,0))</f>
        <v>0</v>
      </c>
      <c r="AR194" s="5">
        <f t="shared" ref="AR194:AR257" si="77">IF($A194="","",IF(OR($Z194="Penambahan Isi / Penjelasan",$AB194="Penambahan Materi &amp; Template"),1,0))</f>
        <v>0</v>
      </c>
      <c r="AS194" s="5">
        <f t="shared" ref="AS194:AS257" si="78">IF($A194="","",IF(OR($Z194="Tambah Video / Bagan",$AB194="Tambah Video / Gambar / Flowchart"),1,0))</f>
        <v>0</v>
      </c>
      <c r="AT194" s="5">
        <f t="shared" ref="AT194:AT257" si="79">IF($A194="","",IF(OR($Z194="Kontak &amp; Informasi PIC",$AA194="Kontak PIC &amp; Eskalasi",$AB194="Struktur Organisasi, PIC &amp; Tim"),1,0))</f>
        <v>0</v>
      </c>
      <c r="AU194" s="5">
        <f t="shared" ref="AU194:AU257" si="80">IF($A194="","",IF(OR($AA194="Pembaruan &amp; Notifikasi SOP",$AB194="Update Informasi Berkala"),1,0))</f>
        <v>1</v>
      </c>
      <c r="AV194" s="5">
        <f t="shared" ref="AV194:AV257" si="81">IF($A194="","",IF(OR($AA194="Sanksi &amp; Pelanggaran SOP"),1,0))</f>
        <v>0</v>
      </c>
      <c r="AW194" s="5">
        <f t="shared" ref="AW194:AW257" si="82">IF($A194="","",IF(OR($AA194="Piutang &amp; Pelanggan Bermasalah"),1,0))</f>
        <v>0</v>
      </c>
      <c r="AX194" s="5">
        <f t="shared" ref="AX194:AX257" si="83">IF($A194="","",IF(OR($AA194="Pengiriman, Retur &amp; Logistik"),1,0))</f>
        <v>0</v>
      </c>
      <c r="AY194" s="5">
        <f t="shared" ref="AY194:AY257" si="84">IF($A194="","",IF(OR($AA194="Panduan Laporan &amp; Alur Kerja"),1,0))</f>
        <v>0</v>
      </c>
      <c r="AZ194" s="5">
        <f t="shared" ref="AZ194:AZ257" si="85">IF($A194="","",IF(OR($Z194="Saran Umum Peningkatan",$AB194="Saran Umum Peningkatan"),1,0))</f>
        <v>0</v>
      </c>
      <c r="BA194" s="5">
        <f t="shared" ref="BA194:BA257" si="86">IF($A194="","",IF(OR($Z194="Lainnya (perlu dibaca manual)",$AA194="Lainnya (perlu dibaca manual)",$AB194="Lainnya (perlu dibaca manual)"),1,0))</f>
        <v>0</v>
      </c>
      <c r="BB194" s="5">
        <f t="shared" ref="BB194:BB257" si="87">IF($A194="","",IF(AND($Z194="Tidak ada masukan / sudah baik",$AA194="Tidak ada masukan / sudah baik",$AB194="Tidak ada masukan / sudah baik"),0,1))</f>
        <v>1</v>
      </c>
    </row>
    <row r="195" spans="1:54" s="5" customFormat="1" hidden="1">
      <c r="A195" s="8">
        <f>IF(INDEX(FORM!$A:$A,ROW())="","",ROW()-1)</f>
        <v>194</v>
      </c>
      <c r="B195" s="41">
        <f>IF($A195="","",INDEX(FORM!$A:$A,ROW()))</f>
        <v>46311.672650462999</v>
      </c>
      <c r="C195" s="8" t="str">
        <f>IF($A195="","",TRIM(INDEX(FORM!$B:$B,ROW())))</f>
        <v>IDA RACHMAWATI</v>
      </c>
      <c r="D195" s="8" t="str">
        <f>IF($A195="","",TRIM(INDEX(FORM!$C:$C,ROW())&amp;""))</f>
        <v>1525021</v>
      </c>
      <c r="E195" s="8" t="str">
        <f>IF($A195="","",UPPER(TRIM(INDEX(FORM!$D:$D,ROW()))))</f>
        <v>LAMONGAN</v>
      </c>
      <c r="F195" s="8" t="str">
        <f>IF($A195="","",IFERROR(INDEX(PROGRES!$A$2:$A$92,MATCH(E195,PROGRES!$B$2:$B$92,0)),"-"))</f>
        <v>Jawa Timur</v>
      </c>
      <c r="G195" s="8" t="str">
        <f>IF($A195="","",UPPER(TRIM(INDEX(FORM!$F:$F,ROW()))))</f>
        <v>JATIM</v>
      </c>
      <c r="H195" s="8" t="str">
        <f>IF($A195="","",UPPER(TRIM(INDEX(FORM!$E:$E,ROW()))))</f>
        <v>BAO</v>
      </c>
      <c r="I195" s="8" t="str">
        <f>IF($A195="","",UPPER(TRIM(INDEX(FORM!$G:$G,ROW()))))</f>
        <v>CUKUP</v>
      </c>
      <c r="J195" s="8" t="str">
        <f>IF($A195="","",IF(ISNUMBER(SEARCH("Ya,",INDEX(FORM!$H:$H,ROW()))),"YA",IF(ISNUMBER(SEARCH("Cukup,",INDEX(FORM!$H:$H,ROW()))),"CUKUP",IF(ISNUMBER(SEARCH("Kurang,",INDEX(FORM!$H:$H,ROW()))),"KURANG",""))))</f>
        <v>YA</v>
      </c>
      <c r="K195" s="8" t="str">
        <f>IF($A195="","",UPPER(TRIM(INDEX(FORM!$J:$J,ROW()))))</f>
        <v>MUDAH</v>
      </c>
      <c r="L195" s="8">
        <f>IF($A195="","",IF(ISNUMBER(SEARCH("Aktivitas Harian",INDEX(FORM!$K:$K,ROW()))),1,0))</f>
        <v>1</v>
      </c>
      <c r="M195" s="8">
        <f>IF($A195="","",IF(ISNUMBER(SEARCH("Aktivitas Mingguan",INDEX(FORM!$K:$K,ROW()))),1,0))</f>
        <v>0</v>
      </c>
      <c r="N195" s="8">
        <f>IF($A195="","",IF(ISNUMBER(SEARCH("Aktivitas Bulanan",INDEX(FORM!$K:$K,ROW()))),1,0))</f>
        <v>0</v>
      </c>
      <c r="O195" s="8">
        <f>IF($A195="","",IF(ISNUMBER(SEARCH("Overview Cabang",INDEX(FORM!$K:$K,ROW()))),1,0))</f>
        <v>0</v>
      </c>
      <c r="P195" s="8">
        <f>IF($A195="","",IFERROR(VLOOKUP(I195,DATA!$AH$9:$AI$13,2,0),""))</f>
        <v>2</v>
      </c>
      <c r="Q195" s="8">
        <f>IF($A195="","",IFERROR(VLOOKUP(J195,DATA!$AH$9:$AI$13,2,0),""))</f>
        <v>3</v>
      </c>
      <c r="R195" s="8">
        <f>IF($A195="","",IFERROR(VLOOKUP(K195,DATA!$AH$9:$AI$13,2,0),""))</f>
        <v>3</v>
      </c>
      <c r="S195" s="42">
        <f t="shared" si="66"/>
        <v>2.6666666666666665</v>
      </c>
      <c r="T195" s="8">
        <f>IF($A195="","",IF(COUNTIF($D$2:D195,D195)=1,1,0))</f>
        <v>1</v>
      </c>
      <c r="U195" s="8" t="str">
        <f>IF($A195="","",IF(F195="-","Cabang tdk ada",IF(IFERROR(VLOOKUP(G195,#REF!,1,0),"")="","",IF(INDEX(DATA!$AH$2:$AH$5,MATCH(G195,DATA!$AI$2:$AI$5,0))&lt;&gt;F195,"Wilayah beda","OK"))))</f>
        <v/>
      </c>
      <c r="V195" s="8" t="str">
        <f>IF($A195="","",TRIM(INDEX(FORM!$I:$I,ROW())&amp;""))</f>
        <v>sudah sangat menarik</v>
      </c>
      <c r="W195" s="8" t="str">
        <f>IF($A195="","",TRIM(INDEX(FORM!$L:$L,ROW())&amp;""))</f>
        <v>sudah cukup jelas</v>
      </c>
      <c r="X195" s="8" t="str">
        <f>IF($A195="","",TRIM(INDEX(FORM!$M:$M,ROW())&amp;""))</f>
        <v>di tambahkan contoh foto pada beberapa aktivitasnya</v>
      </c>
      <c r="Y195" s="8">
        <f>IF($A195="","",IFERROR(MATCH(F195,DATA!$AH$2:$AH$5,0),9)*10000+A195)</f>
        <v>30194</v>
      </c>
      <c r="Z195" s="8" t="str">
        <f t="shared" si="67"/>
        <v>Desain, Warna &amp; Font</v>
      </c>
      <c r="AA195" s="8" t="str">
        <f t="shared" si="68"/>
        <v>Tidak ada masukan / sudah baik</v>
      </c>
      <c r="AB195" s="8" t="str">
        <f t="shared" si="69"/>
        <v>Lainnya (perlu dibaca manual)</v>
      </c>
      <c r="AC195" s="8"/>
      <c r="AD195" s="8"/>
      <c r="AE195" s="8"/>
      <c r="AK195" s="5">
        <f t="shared" si="70"/>
        <v>0</v>
      </c>
      <c r="AL195" s="5">
        <f t="shared" si="71"/>
        <v>0</v>
      </c>
      <c r="AM195" s="5">
        <f t="shared" si="72"/>
        <v>1</v>
      </c>
      <c r="AN195" s="5">
        <f t="shared" si="73"/>
        <v>0</v>
      </c>
      <c r="AO195" s="5">
        <f t="shared" si="74"/>
        <v>0</v>
      </c>
      <c r="AP195" s="5">
        <f t="shared" si="75"/>
        <v>0</v>
      </c>
      <c r="AQ195" s="5">
        <f t="shared" si="76"/>
        <v>0</v>
      </c>
      <c r="AR195" s="5">
        <f t="shared" si="77"/>
        <v>0</v>
      </c>
      <c r="AS195" s="5">
        <f t="shared" si="78"/>
        <v>0</v>
      </c>
      <c r="AT195" s="5">
        <f t="shared" si="79"/>
        <v>0</v>
      </c>
      <c r="AU195" s="5">
        <f t="shared" si="80"/>
        <v>0</v>
      </c>
      <c r="AV195" s="5">
        <f t="shared" si="81"/>
        <v>0</v>
      </c>
      <c r="AW195" s="5">
        <f t="shared" si="82"/>
        <v>0</v>
      </c>
      <c r="AX195" s="5">
        <f t="shared" si="83"/>
        <v>0</v>
      </c>
      <c r="AY195" s="5">
        <f t="shared" si="84"/>
        <v>0</v>
      </c>
      <c r="AZ195" s="5">
        <f t="shared" si="85"/>
        <v>0</v>
      </c>
      <c r="BA195" s="5">
        <f t="shared" si="86"/>
        <v>1</v>
      </c>
      <c r="BB195" s="5">
        <f t="shared" si="87"/>
        <v>1</v>
      </c>
    </row>
    <row r="196" spans="1:54" s="5" customFormat="1" hidden="1">
      <c r="A196" s="8">
        <f>IF(INDEX(FORM!$A:$A,ROW())="","",ROW()-1)</f>
        <v>195</v>
      </c>
      <c r="B196" s="41">
        <f>IF($A196="","",INDEX(FORM!$A:$A,ROW()))</f>
        <v>46311.6847569444</v>
      </c>
      <c r="C196" s="8" t="str">
        <f>IF($A196="","",TRIM(INDEX(FORM!$B:$B,ROW())))</f>
        <v>ALFIAN FAUZA S</v>
      </c>
      <c r="D196" s="8" t="str">
        <f>IF($A196="","",TRIM(INDEX(FORM!$C:$C,ROW())&amp;""))</f>
        <v>1510881</v>
      </c>
      <c r="E196" s="8" t="str">
        <f>IF($A196="","",UPPER(TRIM(INDEX(FORM!$D:$D,ROW()))))</f>
        <v>CILACAP</v>
      </c>
      <c r="F196" s="8" t="str">
        <f>IF($A196="","",IFERROR(INDEX(PROGRES!$A$2:$A$92,MATCH(E196,PROGRES!$B$2:$B$92,0)),"-"))</f>
        <v>Jawa Tengah</v>
      </c>
      <c r="G196" s="8" t="str">
        <f>IF($A196="","",UPPER(TRIM(INDEX(FORM!$F:$F,ROW()))))</f>
        <v>JATENG DIY</v>
      </c>
      <c r="H196" s="8" t="str">
        <f>IF($A196="","",UPPER(TRIM(INDEX(FORM!$E:$E,ROW()))))</f>
        <v>BAO</v>
      </c>
      <c r="I196" s="8" t="str">
        <f>IF($A196="","",UPPER(TRIM(INDEX(FORM!$G:$G,ROW()))))</f>
        <v>CUKUP</v>
      </c>
      <c r="J196" s="8" t="str">
        <f>IF($A196="","",IF(ISNUMBER(SEARCH("Ya,",INDEX(FORM!$H:$H,ROW()))),"YA",IF(ISNUMBER(SEARCH("Cukup,",INDEX(FORM!$H:$H,ROW()))),"CUKUP",IF(ISNUMBER(SEARCH("Kurang,",INDEX(FORM!$H:$H,ROW()))),"KURANG",""))))</f>
        <v>YA</v>
      </c>
      <c r="K196" s="8" t="str">
        <f>IF($A196="","",UPPER(TRIM(INDEX(FORM!$J:$J,ROW()))))</f>
        <v>MUDAH</v>
      </c>
      <c r="L196" s="8">
        <f>IF($A196="","",IF(ISNUMBER(SEARCH("Aktivitas Harian",INDEX(FORM!$K:$K,ROW()))),1,0))</f>
        <v>1</v>
      </c>
      <c r="M196" s="8">
        <f>IF($A196="","",IF(ISNUMBER(SEARCH("Aktivitas Mingguan",INDEX(FORM!$K:$K,ROW()))),1,0))</f>
        <v>0</v>
      </c>
      <c r="N196" s="8">
        <f>IF($A196="","",IF(ISNUMBER(SEARCH("Aktivitas Bulanan",INDEX(FORM!$K:$K,ROW()))),1,0))</f>
        <v>0</v>
      </c>
      <c r="O196" s="8">
        <f>IF($A196="","",IF(ISNUMBER(SEARCH("Overview Cabang",INDEX(FORM!$K:$K,ROW()))),1,0))</f>
        <v>0</v>
      </c>
      <c r="P196" s="8">
        <f>IF($A196="","",IFERROR(VLOOKUP(I196,DATA!$AH$9:$AI$13,2,0),""))</f>
        <v>2</v>
      </c>
      <c r="Q196" s="8">
        <f>IF($A196="","",IFERROR(VLOOKUP(J196,DATA!$AH$9:$AI$13,2,0),""))</f>
        <v>3</v>
      </c>
      <c r="R196" s="8">
        <f>IF($A196="","",IFERROR(VLOOKUP(K196,DATA!$AH$9:$AI$13,2,0),""))</f>
        <v>3</v>
      </c>
      <c r="S196" s="42">
        <f t="shared" si="66"/>
        <v>2.6666666666666665</v>
      </c>
      <c r="T196" s="8">
        <f>IF($A196="","",IF(COUNTIF($D$2:D196,D196)=1,1,0))</f>
        <v>1</v>
      </c>
      <c r="U196" s="8" t="str">
        <f>IF($A196="","",IF(F196="-","Cabang tdk ada",IF(IFERROR(VLOOKUP(G196,#REF!,1,0),"")="","",IF(INDEX(DATA!$AH$2:$AH$5,MATCH(G196,DATA!$AI$2:$AI$5,0))&lt;&gt;F196,"Wilayah beda","OK"))))</f>
        <v/>
      </c>
      <c r="V196" s="8" t="str">
        <f>IF($A196="","",TRIM(INDEX(FORM!$I:$I,ROW())&amp;""))</f>
        <v>-</v>
      </c>
      <c r="W196" s="8" t="str">
        <f>IF($A196="","",TRIM(INDEX(FORM!$L:$L,ROW())&amp;""))</f>
        <v>-</v>
      </c>
      <c r="X196" s="8" t="str">
        <f>IF($A196="","",TRIM(INDEX(FORM!$M:$M,ROW())&amp;""))</f>
        <v>-</v>
      </c>
      <c r="Y196" s="8">
        <f>IF($A196="","",IFERROR(MATCH(F196,DATA!$AH$2:$AH$5,0),9)*10000+A196)</f>
        <v>20195</v>
      </c>
      <c r="Z196" s="8" t="str">
        <f t="shared" si="67"/>
        <v>Tidak ada masukan / sudah baik</v>
      </c>
      <c r="AA196" s="8" t="str">
        <f t="shared" si="68"/>
        <v>Tidak ada masukan / sudah baik</v>
      </c>
      <c r="AB196" s="8" t="str">
        <f t="shared" si="69"/>
        <v>Tidak ada masukan / sudah baik</v>
      </c>
      <c r="AC196" s="8"/>
      <c r="AD196" s="8"/>
      <c r="AE196" s="8"/>
      <c r="AK196" s="5">
        <f t="shared" si="70"/>
        <v>0</v>
      </c>
      <c r="AL196" s="5">
        <f t="shared" si="71"/>
        <v>0</v>
      </c>
      <c r="AM196" s="5">
        <f t="shared" si="72"/>
        <v>0</v>
      </c>
      <c r="AN196" s="5">
        <f t="shared" si="73"/>
        <v>0</v>
      </c>
      <c r="AO196" s="5">
        <f t="shared" si="74"/>
        <v>0</v>
      </c>
      <c r="AP196" s="5">
        <f t="shared" si="75"/>
        <v>0</v>
      </c>
      <c r="AQ196" s="5">
        <f t="shared" si="76"/>
        <v>0</v>
      </c>
      <c r="AR196" s="5">
        <f t="shared" si="77"/>
        <v>0</v>
      </c>
      <c r="AS196" s="5">
        <f t="shared" si="78"/>
        <v>0</v>
      </c>
      <c r="AT196" s="5">
        <f t="shared" si="79"/>
        <v>0</v>
      </c>
      <c r="AU196" s="5">
        <f t="shared" si="80"/>
        <v>0</v>
      </c>
      <c r="AV196" s="5">
        <f t="shared" si="81"/>
        <v>0</v>
      </c>
      <c r="AW196" s="5">
        <f t="shared" si="82"/>
        <v>0</v>
      </c>
      <c r="AX196" s="5">
        <f t="shared" si="83"/>
        <v>0</v>
      </c>
      <c r="AY196" s="5">
        <f t="shared" si="84"/>
        <v>0</v>
      </c>
      <c r="AZ196" s="5">
        <f t="shared" si="85"/>
        <v>0</v>
      </c>
      <c r="BA196" s="5">
        <f t="shared" si="86"/>
        <v>0</v>
      </c>
      <c r="BB196" s="5">
        <f t="shared" si="87"/>
        <v>0</v>
      </c>
    </row>
    <row r="197" spans="1:54" s="5" customFormat="1" hidden="1">
      <c r="A197" s="8">
        <f>IF(INDEX(FORM!$A:$A,ROW())="","",ROW()-1)</f>
        <v>196</v>
      </c>
      <c r="B197" s="41">
        <f>IF($A197="","",INDEX(FORM!$A:$A,ROW()))</f>
        <v>46311.685335648202</v>
      </c>
      <c r="C197" s="8" t="str">
        <f>IF($A197="","",TRIM(INDEX(FORM!$B:$B,ROW())))</f>
        <v>IRWAN DWI SAPUTRA</v>
      </c>
      <c r="D197" s="8" t="str">
        <f>IF($A197="","",TRIM(INDEX(FORM!$C:$C,ROW())&amp;""))</f>
        <v>1511021</v>
      </c>
      <c r="E197" s="8" t="str">
        <f>IF($A197="","",UPPER(TRIM(INDEX(FORM!$D:$D,ROW()))))</f>
        <v>CIREBON</v>
      </c>
      <c r="F197" s="8" t="str">
        <f>IF($A197="","",IFERROR(INDEX(PROGRES!$A$2:$A$92,MATCH(E197,PROGRES!$B$2:$B$92,0)),"-"))</f>
        <v>Jawa Barat</v>
      </c>
      <c r="G197" s="8" t="str">
        <f>IF($A197="","",UPPER(TRIM(INDEX(FORM!$F:$F,ROW()))))</f>
        <v>JABAR DKI BANTEN</v>
      </c>
      <c r="H197" s="8" t="str">
        <f>IF($A197="","",UPPER(TRIM(INDEX(FORM!$E:$E,ROW()))))</f>
        <v>BAO</v>
      </c>
      <c r="I197" s="8" t="str">
        <f>IF($A197="","",UPPER(TRIM(INDEX(FORM!$G:$G,ROW()))))</f>
        <v>MUDAH</v>
      </c>
      <c r="J197" s="8" t="str">
        <f>IF($A197="","",IF(ISNUMBER(SEARCH("Ya,",INDEX(FORM!$H:$H,ROW()))),"YA",IF(ISNUMBER(SEARCH("Cukup,",INDEX(FORM!$H:$H,ROW()))),"CUKUP",IF(ISNUMBER(SEARCH("Kurang,",INDEX(FORM!$H:$H,ROW()))),"KURANG",""))))</f>
        <v>YA</v>
      </c>
      <c r="K197" s="8" t="str">
        <f>IF($A197="","",UPPER(TRIM(INDEX(FORM!$J:$J,ROW()))))</f>
        <v>MUDAH</v>
      </c>
      <c r="L197" s="8">
        <f>IF($A197="","",IF(ISNUMBER(SEARCH("Aktivitas Harian",INDEX(FORM!$K:$K,ROW()))),1,0))</f>
        <v>1</v>
      </c>
      <c r="M197" s="8">
        <f>IF($A197="","",IF(ISNUMBER(SEARCH("Aktivitas Mingguan",INDEX(FORM!$K:$K,ROW()))),1,0))</f>
        <v>1</v>
      </c>
      <c r="N197" s="8">
        <f>IF($A197="","",IF(ISNUMBER(SEARCH("Aktivitas Bulanan",INDEX(FORM!$K:$K,ROW()))),1,0))</f>
        <v>1</v>
      </c>
      <c r="O197" s="8">
        <f>IF($A197="","",IF(ISNUMBER(SEARCH("Overview Cabang",INDEX(FORM!$K:$K,ROW()))),1,0))</f>
        <v>1</v>
      </c>
      <c r="P197" s="8">
        <f>IF($A197="","",IFERROR(VLOOKUP(I197,DATA!$AH$9:$AI$13,2,0),""))</f>
        <v>3</v>
      </c>
      <c r="Q197" s="8">
        <f>IF($A197="","",IFERROR(VLOOKUP(J197,DATA!$AH$9:$AI$13,2,0),""))</f>
        <v>3</v>
      </c>
      <c r="R197" s="8">
        <f>IF($A197="","",IFERROR(VLOOKUP(K197,DATA!$AH$9:$AI$13,2,0),""))</f>
        <v>3</v>
      </c>
      <c r="S197" s="42">
        <f t="shared" si="66"/>
        <v>3</v>
      </c>
      <c r="T197" s="8">
        <f>IF($A197="","",IF(COUNTIF($D$2:D197,D197)=1,1,0))</f>
        <v>1</v>
      </c>
      <c r="U197" s="8" t="str">
        <f>IF($A197="","",IF(F197="-","Cabang tdk ada",IF(IFERROR(VLOOKUP(G197,#REF!,1,0),"")="","",IF(INDEX(DATA!$AH$2:$AH$5,MATCH(G197,DATA!$AI$2:$AI$5,0))&lt;&gt;F197,"Wilayah beda","OK"))))</f>
        <v/>
      </c>
      <c r="V197" s="8" t="str">
        <f>IF($A197="","",TRIM(INDEX(FORM!$I:$I,ROW())&amp;""))</f>
        <v>-</v>
      </c>
      <c r="W197" s="8" t="str">
        <f>IF($A197="","",TRIM(INDEX(FORM!$L:$L,ROW())&amp;""))</f>
        <v>-</v>
      </c>
      <c r="X197" s="8" t="str">
        <f>IF($A197="","",TRIM(INDEX(FORM!$M:$M,ROW())&amp;""))</f>
        <v>-</v>
      </c>
      <c r="Y197" s="8">
        <f>IF($A197="","",IFERROR(MATCH(F197,DATA!$AH$2:$AH$5,0),9)*10000+A197)</f>
        <v>10196</v>
      </c>
      <c r="Z197" s="8" t="str">
        <f t="shared" si="67"/>
        <v>Tidak ada masukan / sudah baik</v>
      </c>
      <c r="AA197" s="8" t="str">
        <f t="shared" si="68"/>
        <v>Tidak ada masukan / sudah baik</v>
      </c>
      <c r="AB197" s="8" t="str">
        <f t="shared" si="69"/>
        <v>Tidak ada masukan / sudah baik</v>
      </c>
      <c r="AC197" s="8"/>
      <c r="AD197" s="8"/>
      <c r="AE197" s="8"/>
      <c r="AK197" s="5">
        <f t="shared" si="70"/>
        <v>0</v>
      </c>
      <c r="AL197" s="5">
        <f t="shared" si="71"/>
        <v>0</v>
      </c>
      <c r="AM197" s="5">
        <f t="shared" si="72"/>
        <v>0</v>
      </c>
      <c r="AN197" s="5">
        <f t="shared" si="73"/>
        <v>0</v>
      </c>
      <c r="AO197" s="5">
        <f t="shared" si="74"/>
        <v>0</v>
      </c>
      <c r="AP197" s="5">
        <f t="shared" si="75"/>
        <v>0</v>
      </c>
      <c r="AQ197" s="5">
        <f t="shared" si="76"/>
        <v>0</v>
      </c>
      <c r="AR197" s="5">
        <f t="shared" si="77"/>
        <v>0</v>
      </c>
      <c r="AS197" s="5">
        <f t="shared" si="78"/>
        <v>0</v>
      </c>
      <c r="AT197" s="5">
        <f t="shared" si="79"/>
        <v>0</v>
      </c>
      <c r="AU197" s="5">
        <f t="shared" si="80"/>
        <v>0</v>
      </c>
      <c r="AV197" s="5">
        <f t="shared" si="81"/>
        <v>0</v>
      </c>
      <c r="AW197" s="5">
        <f t="shared" si="82"/>
        <v>0</v>
      </c>
      <c r="AX197" s="5">
        <f t="shared" si="83"/>
        <v>0</v>
      </c>
      <c r="AY197" s="5">
        <f t="shared" si="84"/>
        <v>0</v>
      </c>
      <c r="AZ197" s="5">
        <f t="shared" si="85"/>
        <v>0</v>
      </c>
      <c r="BA197" s="5">
        <f t="shared" si="86"/>
        <v>0</v>
      </c>
      <c r="BB197" s="5">
        <f t="shared" si="87"/>
        <v>0</v>
      </c>
    </row>
    <row r="198" spans="1:54" s="5" customFormat="1" hidden="1">
      <c r="A198" s="8">
        <f>IF(INDEX(FORM!$A:$A,ROW())="","",ROW()-1)</f>
        <v>197</v>
      </c>
      <c r="B198" s="41">
        <f>IF($A198="","",INDEX(FORM!$A:$A,ROW()))</f>
        <v>46311.685763888898</v>
      </c>
      <c r="C198" s="8" t="str">
        <f>IF($A198="","",TRIM(INDEX(FORM!$B:$B,ROW())))</f>
        <v>Titok setiyohadi</v>
      </c>
      <c r="D198" s="8" t="str">
        <f>IF($A198="","",TRIM(INDEX(FORM!$C:$C,ROW())&amp;""))</f>
        <v>87399011</v>
      </c>
      <c r="E198" s="8" t="str">
        <f>IF($A198="","",UPPER(TRIM(INDEX(FORM!$D:$D,ROW()))))</f>
        <v>SUKABUMI</v>
      </c>
      <c r="F198" s="8" t="str">
        <f>IF($A198="","",IFERROR(INDEX(PROGRES!$A$2:$A$92,MATCH(E198,PROGRES!$B$2:$B$92,0)),"-"))</f>
        <v>Jawa Barat</v>
      </c>
      <c r="G198" s="8" t="str">
        <f>IF($A198="","",UPPER(TRIM(INDEX(FORM!$F:$F,ROW()))))</f>
        <v>JABAR DKI BANTEN</v>
      </c>
      <c r="H198" s="8" t="str">
        <f>IF($A198="","",UPPER(TRIM(INDEX(FORM!$E:$E,ROW()))))</f>
        <v>BM</v>
      </c>
      <c r="I198" s="8" t="str">
        <f>IF($A198="","",UPPER(TRIM(INDEX(FORM!$G:$G,ROW()))))</f>
        <v>CUKUP</v>
      </c>
      <c r="J198" s="8" t="str">
        <f>IF($A198="","",IF(ISNUMBER(SEARCH("Ya,",INDEX(FORM!$H:$H,ROW()))),"YA",IF(ISNUMBER(SEARCH("Cukup,",INDEX(FORM!$H:$H,ROW()))),"CUKUP",IF(ISNUMBER(SEARCH("Kurang,",INDEX(FORM!$H:$H,ROW()))),"KURANG",""))))</f>
        <v>CUKUP</v>
      </c>
      <c r="K198" s="8" t="str">
        <f>IF($A198="","",UPPER(TRIM(INDEX(FORM!$J:$J,ROW()))))</f>
        <v>CUKUP</v>
      </c>
      <c r="L198" s="8">
        <f>IF($A198="","",IF(ISNUMBER(SEARCH("Aktivitas Harian",INDEX(FORM!$K:$K,ROW()))),1,0))</f>
        <v>0</v>
      </c>
      <c r="M198" s="8">
        <f>IF($A198="","",IF(ISNUMBER(SEARCH("Aktivitas Mingguan",INDEX(FORM!$K:$K,ROW()))),1,0))</f>
        <v>1</v>
      </c>
      <c r="N198" s="8">
        <f>IF($A198="","",IF(ISNUMBER(SEARCH("Aktivitas Bulanan",INDEX(FORM!$K:$K,ROW()))),1,0))</f>
        <v>0</v>
      </c>
      <c r="O198" s="8">
        <f>IF($A198="","",IF(ISNUMBER(SEARCH("Overview Cabang",INDEX(FORM!$K:$K,ROW()))),1,0))</f>
        <v>0</v>
      </c>
      <c r="P198" s="8">
        <f>IF($A198="","",IFERROR(VLOOKUP(I198,DATA!$AH$9:$AI$13,2,0),""))</f>
        <v>2</v>
      </c>
      <c r="Q198" s="8">
        <f>IF($A198="","",IFERROR(VLOOKUP(J198,DATA!$AH$9:$AI$13,2,0),""))</f>
        <v>2</v>
      </c>
      <c r="R198" s="8">
        <f>IF($A198="","",IFERROR(VLOOKUP(K198,DATA!$AH$9:$AI$13,2,0),""))</f>
        <v>2</v>
      </c>
      <c r="S198" s="42">
        <f t="shared" si="66"/>
        <v>2</v>
      </c>
      <c r="T198" s="8">
        <f>IF($A198="","",IF(COUNTIF($D$2:D198,D198)=1,1,0))</f>
        <v>1</v>
      </c>
      <c r="U198" s="8" t="str">
        <f>IF($A198="","",IF(F198="-","Cabang tdk ada",IF(IFERROR(VLOOKUP(G198,#REF!,1,0),"")="","",IF(INDEX(DATA!$AH$2:$AH$5,MATCH(G198,DATA!$AI$2:$AI$5,0))&lt;&gt;F198,"Wilayah beda","OK"))))</f>
        <v/>
      </c>
      <c r="V198" s="8" t="str">
        <f>IF($A198="","",TRIM(INDEX(FORM!$I:$I,ROW())&amp;""))</f>
        <v>-</v>
      </c>
      <c r="W198" s="8" t="str">
        <f>IF($A198="","",TRIM(INDEX(FORM!$L:$L,ROW())&amp;""))</f>
        <v>-</v>
      </c>
      <c r="X198" s="8" t="str">
        <f>IF($A198="","",TRIM(INDEX(FORM!$M:$M,ROW())&amp;""))</f>
        <v>-</v>
      </c>
      <c r="Y198" s="8">
        <f>IF($A198="","",IFERROR(MATCH(F198,DATA!$AH$2:$AH$5,0),9)*10000+A198)</f>
        <v>10197</v>
      </c>
      <c r="Z198" s="8" t="str">
        <f t="shared" si="67"/>
        <v>Tidak ada masukan / sudah baik</v>
      </c>
      <c r="AA198" s="8" t="str">
        <f t="shared" si="68"/>
        <v>Tidak ada masukan / sudah baik</v>
      </c>
      <c r="AB198" s="8" t="str">
        <f t="shared" si="69"/>
        <v>Tidak ada masukan / sudah baik</v>
      </c>
      <c r="AC198" s="8"/>
      <c r="AD198" s="8"/>
      <c r="AE198" s="8"/>
      <c r="AK198" s="5">
        <f t="shared" si="70"/>
        <v>0</v>
      </c>
      <c r="AL198" s="5">
        <f t="shared" si="71"/>
        <v>0</v>
      </c>
      <c r="AM198" s="5">
        <f t="shared" si="72"/>
        <v>0</v>
      </c>
      <c r="AN198" s="5">
        <f t="shared" si="73"/>
        <v>0</v>
      </c>
      <c r="AO198" s="5">
        <f t="shared" si="74"/>
        <v>0</v>
      </c>
      <c r="AP198" s="5">
        <f t="shared" si="75"/>
        <v>0</v>
      </c>
      <c r="AQ198" s="5">
        <f t="shared" si="76"/>
        <v>0</v>
      </c>
      <c r="AR198" s="5">
        <f t="shared" si="77"/>
        <v>0</v>
      </c>
      <c r="AS198" s="5">
        <f t="shared" si="78"/>
        <v>0</v>
      </c>
      <c r="AT198" s="5">
        <f t="shared" si="79"/>
        <v>0</v>
      </c>
      <c r="AU198" s="5">
        <f t="shared" si="80"/>
        <v>0</v>
      </c>
      <c r="AV198" s="5">
        <f t="shared" si="81"/>
        <v>0</v>
      </c>
      <c r="AW198" s="5">
        <f t="shared" si="82"/>
        <v>0</v>
      </c>
      <c r="AX198" s="5">
        <f t="shared" si="83"/>
        <v>0</v>
      </c>
      <c r="AY198" s="5">
        <f t="shared" si="84"/>
        <v>0</v>
      </c>
      <c r="AZ198" s="5">
        <f t="shared" si="85"/>
        <v>0</v>
      </c>
      <c r="BA198" s="5">
        <f t="shared" si="86"/>
        <v>0</v>
      </c>
      <c r="BB198" s="5">
        <f t="shared" si="87"/>
        <v>0</v>
      </c>
    </row>
    <row r="199" spans="1:54" s="5" customFormat="1" hidden="1">
      <c r="A199" s="8">
        <f>IF(INDEX(FORM!$A:$A,ROW())="","",ROW()-1)</f>
        <v>198</v>
      </c>
      <c r="B199" s="41">
        <f>IF($A199="","",INDEX(FORM!$A:$A,ROW()))</f>
        <v>46311.688969907402</v>
      </c>
      <c r="C199" s="8" t="str">
        <f>IF($A199="","",TRIM(INDEX(FORM!$B:$B,ROW())))</f>
        <v>Dodik Setiawan</v>
      </c>
      <c r="D199" s="8" t="str">
        <f>IF($A199="","",TRIM(INDEX(FORM!$C:$C,ROW())&amp;""))</f>
        <v>88515150</v>
      </c>
      <c r="E199" s="8" t="str">
        <f>IF($A199="","",UPPER(TRIM(INDEX(FORM!$D:$D,ROW()))))</f>
        <v>BOJONEGORO</v>
      </c>
      <c r="F199" s="8" t="str">
        <f>IF($A199="","",IFERROR(INDEX(PROGRES!$A$2:$A$92,MATCH(E199,PROGRES!$B$2:$B$92,0)),"-"))</f>
        <v>Jawa Timur</v>
      </c>
      <c r="G199" s="8" t="str">
        <f>IF($A199="","",UPPER(TRIM(INDEX(FORM!$F:$F,ROW()))))</f>
        <v>JATIM</v>
      </c>
      <c r="H199" s="8" t="str">
        <f>IF($A199="","",UPPER(TRIM(INDEX(FORM!$E:$E,ROW()))))</f>
        <v>BM</v>
      </c>
      <c r="I199" s="8" t="str">
        <f>IF($A199="","",UPPER(TRIM(INDEX(FORM!$G:$G,ROW()))))</f>
        <v>MUDAH</v>
      </c>
      <c r="J199" s="8" t="str">
        <f>IF($A199="","",IF(ISNUMBER(SEARCH("Ya,",INDEX(FORM!$H:$H,ROW()))),"YA",IF(ISNUMBER(SEARCH("Cukup,",INDEX(FORM!$H:$H,ROW()))),"CUKUP",IF(ISNUMBER(SEARCH("Kurang,",INDEX(FORM!$H:$H,ROW()))),"KURANG",""))))</f>
        <v>YA</v>
      </c>
      <c r="K199" s="8" t="str">
        <f>IF($A199="","",UPPER(TRIM(INDEX(FORM!$J:$J,ROW()))))</f>
        <v>MUDAH</v>
      </c>
      <c r="L199" s="8">
        <f>IF($A199="","",IF(ISNUMBER(SEARCH("Aktivitas Harian",INDEX(FORM!$K:$K,ROW()))),1,0))</f>
        <v>1</v>
      </c>
      <c r="M199" s="8">
        <f>IF($A199="","",IF(ISNUMBER(SEARCH("Aktivitas Mingguan",INDEX(FORM!$K:$K,ROW()))),1,0))</f>
        <v>1</v>
      </c>
      <c r="N199" s="8">
        <f>IF($A199="","",IF(ISNUMBER(SEARCH("Aktivitas Bulanan",INDEX(FORM!$K:$K,ROW()))),1,0))</f>
        <v>1</v>
      </c>
      <c r="O199" s="8">
        <f>IF($A199="","",IF(ISNUMBER(SEARCH("Overview Cabang",INDEX(FORM!$K:$K,ROW()))),1,0))</f>
        <v>1</v>
      </c>
      <c r="P199" s="8">
        <f>IF($A199="","",IFERROR(VLOOKUP(I199,DATA!$AH$9:$AI$13,2,0),""))</f>
        <v>3</v>
      </c>
      <c r="Q199" s="8">
        <f>IF($A199="","",IFERROR(VLOOKUP(J199,DATA!$AH$9:$AI$13,2,0),""))</f>
        <v>3</v>
      </c>
      <c r="R199" s="8">
        <f>IF($A199="","",IFERROR(VLOOKUP(K199,DATA!$AH$9:$AI$13,2,0),""))</f>
        <v>3</v>
      </c>
      <c r="S199" s="42">
        <f t="shared" si="66"/>
        <v>3</v>
      </c>
      <c r="T199" s="8">
        <f>IF($A199="","",IF(COUNTIF($D$2:D199,D199)=1,1,0))</f>
        <v>1</v>
      </c>
      <c r="U199" s="8" t="str">
        <f>IF($A199="","",IF(F199="-","Cabang tdk ada",IF(IFERROR(VLOOKUP(G199,#REF!,1,0),"")="","",IF(INDEX(DATA!$AH$2:$AH$5,MATCH(G199,DATA!$AI$2:$AI$5,0))&lt;&gt;F199,"Wilayah beda","OK"))))</f>
        <v/>
      </c>
      <c r="V199" s="8" t="str">
        <f>IF($A199="","",TRIM(INDEX(FORM!$I:$I,ROW())&amp;""))</f>
        <v>Overall sudah bagus</v>
      </c>
      <c r="W199" s="8" t="str">
        <f>IF($A199="","",TRIM(INDEX(FORM!$L:$L,ROW())&amp;""))</f>
        <v>0</v>
      </c>
      <c r="X199" s="8" t="str">
        <f>IF($A199="","",TRIM(INDEX(FORM!$M:$M,ROW())&amp;""))</f>
        <v>Belum ada</v>
      </c>
      <c r="Y199" s="8">
        <f>IF($A199="","",IFERROR(MATCH(F199,DATA!$AH$2:$AH$5,0),9)*10000+A199)</f>
        <v>30198</v>
      </c>
      <c r="Z199" s="8" t="str">
        <f t="shared" si="67"/>
        <v>Tidak ada masukan / sudah baik</v>
      </c>
      <c r="AA199" s="8" t="str">
        <f t="shared" si="68"/>
        <v>Tidak ada masukan / sudah baik</v>
      </c>
      <c r="AB199" s="8" t="str">
        <f t="shared" si="69"/>
        <v>Tidak ada masukan / sudah baik</v>
      </c>
      <c r="AC199" s="8"/>
      <c r="AD199" s="8"/>
      <c r="AE199" s="8"/>
      <c r="AK199" s="5">
        <f t="shared" si="70"/>
        <v>0</v>
      </c>
      <c r="AL199" s="5">
        <f t="shared" si="71"/>
        <v>0</v>
      </c>
      <c r="AM199" s="5">
        <f t="shared" si="72"/>
        <v>0</v>
      </c>
      <c r="AN199" s="5">
        <f t="shared" si="73"/>
        <v>0</v>
      </c>
      <c r="AO199" s="5">
        <f t="shared" si="74"/>
        <v>0</v>
      </c>
      <c r="AP199" s="5">
        <f t="shared" si="75"/>
        <v>0</v>
      </c>
      <c r="AQ199" s="5">
        <f t="shared" si="76"/>
        <v>0</v>
      </c>
      <c r="AR199" s="5">
        <f t="shared" si="77"/>
        <v>0</v>
      </c>
      <c r="AS199" s="5">
        <f t="shared" si="78"/>
        <v>0</v>
      </c>
      <c r="AT199" s="5">
        <f t="shared" si="79"/>
        <v>0</v>
      </c>
      <c r="AU199" s="5">
        <f t="shared" si="80"/>
        <v>0</v>
      </c>
      <c r="AV199" s="5">
        <f t="shared" si="81"/>
        <v>0</v>
      </c>
      <c r="AW199" s="5">
        <f t="shared" si="82"/>
        <v>0</v>
      </c>
      <c r="AX199" s="5">
        <f t="shared" si="83"/>
        <v>0</v>
      </c>
      <c r="AY199" s="5">
        <f t="shared" si="84"/>
        <v>0</v>
      </c>
      <c r="AZ199" s="5">
        <f t="shared" si="85"/>
        <v>0</v>
      </c>
      <c r="BA199" s="5">
        <f t="shared" si="86"/>
        <v>0</v>
      </c>
      <c r="BB199" s="5">
        <f t="shared" si="87"/>
        <v>0</v>
      </c>
    </row>
    <row r="200" spans="1:54">
      <c r="A200" s="87">
        <f>IF(INDEX(FORM!$A:$A,ROW())="","",ROW()-1)</f>
        <v>199</v>
      </c>
      <c r="B200" s="88">
        <f>IF($A200="","",INDEX(FORM!$A:$A,ROW()))</f>
        <v>46311.689282407402</v>
      </c>
      <c r="C200" s="87" t="str">
        <f>IF($A200="","",TRIM(INDEX(FORM!$B:$B,ROW())))</f>
        <v>Dadan Hermawan</v>
      </c>
      <c r="D200" s="87" t="str">
        <f>IF($A200="","",TRIM(INDEX(FORM!$C:$C,ROW())&amp;""))</f>
        <v>1510901</v>
      </c>
      <c r="E200" s="87" t="str">
        <f>IF($A200="","",UPPER(TRIM(INDEX(FORM!$D:$D,ROW()))))</f>
        <v>BANJAR</v>
      </c>
      <c r="F200" s="87" t="str">
        <f>IF($A200="","",IFERROR(INDEX(PROGRES!$A$2:$A$92,MATCH(E200,PROGRES!$B$2:$B$92,0)),"-"))</f>
        <v>Jawa Barat</v>
      </c>
      <c r="G200" s="87" t="str">
        <f>IF($A200="","",UPPER(TRIM(INDEX(FORM!$F:$F,ROW()))))</f>
        <v>JABAR DKI BANTEN</v>
      </c>
      <c r="H200" s="87" t="str">
        <f>IF($A200="","",UPPER(TRIM(INDEX(FORM!$E:$E,ROW()))))</f>
        <v>CRO</v>
      </c>
      <c r="I200" s="87" t="str">
        <f>IF($A200="","",UPPER(TRIM(INDEX(FORM!$G:$G,ROW()))))</f>
        <v>MUDAH</v>
      </c>
      <c r="J200" s="87" t="str">
        <f>IF($A200="","",IF(ISNUMBER(SEARCH("Ya,",INDEX(FORM!$H:$H,ROW()))),"YA",IF(ISNUMBER(SEARCH("Cukup,",INDEX(FORM!$H:$H,ROW()))),"CUKUP",IF(ISNUMBER(SEARCH("Kurang,",INDEX(FORM!$H:$H,ROW()))),"KURANG",""))))</f>
        <v>YA</v>
      </c>
      <c r="K200" s="87" t="str">
        <f>IF($A200="","",UPPER(TRIM(INDEX(FORM!$J:$J,ROW()))))</f>
        <v>CUKUP</v>
      </c>
      <c r="L200" s="87">
        <f>IF($A200="","",IF(ISNUMBER(SEARCH("Aktivitas Harian",INDEX(FORM!$K:$K,ROW()))),1,0))</f>
        <v>1</v>
      </c>
      <c r="M200" s="87">
        <f>IF($A200="","",IF(ISNUMBER(SEARCH("Aktivitas Mingguan",INDEX(FORM!$K:$K,ROW()))),1,0))</f>
        <v>0</v>
      </c>
      <c r="N200" s="87">
        <f>IF($A200="","",IF(ISNUMBER(SEARCH("Aktivitas Bulanan",INDEX(FORM!$K:$K,ROW()))),1,0))</f>
        <v>0</v>
      </c>
      <c r="O200" s="87">
        <f>IF($A200="","",IF(ISNUMBER(SEARCH("Overview Cabang",INDEX(FORM!$K:$K,ROW()))),1,0))</f>
        <v>0</v>
      </c>
      <c r="P200" s="87">
        <f>IF($A200="","",IFERROR(VLOOKUP(I200,DATA!$AH$9:$AI$13,2,0),""))</f>
        <v>3</v>
      </c>
      <c r="Q200" s="87">
        <f>IF($A200="","",IFERROR(VLOOKUP(J200,DATA!$AH$9:$AI$13,2,0),""))</f>
        <v>3</v>
      </c>
      <c r="R200" s="87">
        <f>IF($A200="","",IFERROR(VLOOKUP(K200,DATA!$AH$9:$AI$13,2,0),""))</f>
        <v>2</v>
      </c>
      <c r="S200" s="89">
        <f t="shared" si="66"/>
        <v>2.6666666666666665</v>
      </c>
      <c r="T200" s="87">
        <f>IF($A200="","",IF(COUNTIF($D$2:D200,D200)=1,1,0))</f>
        <v>1</v>
      </c>
      <c r="U200" s="87" t="str">
        <f>IF($A200="","",IF(F200="-","Cabang tdk ada",IF(IFERROR(VLOOKUP(G200,#REF!,1,0),"")="","",IF(INDEX(DATA!$AH$2:$AH$5,MATCH(G200,DATA!$AI$2:$AI$5,0))&lt;&gt;F200,"Wilayah beda","OK"))))</f>
        <v/>
      </c>
      <c r="V200" s="87" t="str">
        <f>IF($A200="","",TRIM(INDEX(FORM!$I:$I,ROW())&amp;""))</f>
        <v>Baik</v>
      </c>
      <c r="W200" s="87" t="str">
        <f>IF($A200="","",TRIM(INDEX(FORM!$L:$L,ROW())&amp;""))</f>
        <v>Tidak</v>
      </c>
      <c r="X200" s="87" t="str">
        <f>IF($A200="","",TRIM(INDEX(FORM!$M:$M,ROW())&amp;""))</f>
        <v>Tidak ada</v>
      </c>
      <c r="Y200" s="8">
        <f>IF($A200="","",IFERROR(MATCH(F200,DATA!$AH$2:$AH$5,0),9)*10000+A200)</f>
        <v>10199</v>
      </c>
      <c r="Z200" s="87" t="str">
        <f t="shared" si="67"/>
        <v>Tidak ada masukan / sudah baik</v>
      </c>
      <c r="AA200" s="87" t="str">
        <f t="shared" si="68"/>
        <v>Tidak ada masukan / sudah baik</v>
      </c>
      <c r="AB200" s="87" t="str">
        <f t="shared" si="69"/>
        <v>Tidak ada masukan / sudah baik</v>
      </c>
      <c r="AC200" s="87"/>
      <c r="AD200" s="87"/>
      <c r="AE200" s="87"/>
      <c r="AK200" s="90">
        <f t="shared" si="70"/>
        <v>0</v>
      </c>
      <c r="AL200" s="90">
        <f t="shared" si="71"/>
        <v>0</v>
      </c>
      <c r="AM200" s="90">
        <f t="shared" si="72"/>
        <v>0</v>
      </c>
      <c r="AN200" s="90">
        <f t="shared" si="73"/>
        <v>0</v>
      </c>
      <c r="AO200" s="90">
        <f t="shared" si="74"/>
        <v>0</v>
      </c>
      <c r="AP200" s="90">
        <f t="shared" si="75"/>
        <v>0</v>
      </c>
      <c r="AQ200" s="90">
        <f t="shared" si="76"/>
        <v>0</v>
      </c>
      <c r="AR200" s="90">
        <f t="shared" si="77"/>
        <v>0</v>
      </c>
      <c r="AS200" s="90">
        <f t="shared" si="78"/>
        <v>0</v>
      </c>
      <c r="AT200" s="90">
        <f t="shared" si="79"/>
        <v>0</v>
      </c>
      <c r="AU200" s="90">
        <f t="shared" si="80"/>
        <v>0</v>
      </c>
      <c r="AV200" s="90">
        <f t="shared" si="81"/>
        <v>0</v>
      </c>
      <c r="AW200" s="90">
        <f t="shared" si="82"/>
        <v>0</v>
      </c>
      <c r="AX200" s="90">
        <f t="shared" si="83"/>
        <v>0</v>
      </c>
      <c r="AY200" s="90">
        <f t="shared" si="84"/>
        <v>0</v>
      </c>
      <c r="AZ200" s="90">
        <f t="shared" si="85"/>
        <v>0</v>
      </c>
      <c r="BA200" s="90">
        <f t="shared" si="86"/>
        <v>0</v>
      </c>
      <c r="BB200" s="90">
        <f t="shared" si="87"/>
        <v>0</v>
      </c>
    </row>
    <row r="201" spans="1:54">
      <c r="A201" s="87">
        <f>IF(INDEX(FORM!$A:$A,ROW())="","",ROW()-1)</f>
        <v>200</v>
      </c>
      <c r="B201" s="88">
        <f>IF($A201="","",INDEX(FORM!$A:$A,ROW()))</f>
        <v>46311.689872685201</v>
      </c>
      <c r="C201" s="87" t="str">
        <f>IF($A201="","",TRIM(INDEX(FORM!$B:$B,ROW())))</f>
        <v>Achmad sidiq yuniansysh</v>
      </c>
      <c r="D201" s="87" t="str">
        <f>IF($A201="","",TRIM(INDEX(FORM!$C:$C,ROW())&amp;""))</f>
        <v>1510505</v>
      </c>
      <c r="E201" s="87" t="str">
        <f>IF($A201="","",UPPER(TRIM(INDEX(FORM!$D:$D,ROW()))))</f>
        <v>BANJAR</v>
      </c>
      <c r="F201" s="87" t="str">
        <f>IF($A201="","",IFERROR(INDEX(PROGRES!$A$2:$A$92,MATCH(E201,PROGRES!$B$2:$B$92,0)),"-"))</f>
        <v>Jawa Barat</v>
      </c>
      <c r="G201" s="87" t="str">
        <f>IF($A201="","",UPPER(TRIM(INDEX(FORM!$F:$F,ROW()))))</f>
        <v>JABAR DKI BANTEN</v>
      </c>
      <c r="H201" s="87" t="str">
        <f>IF($A201="","",UPPER(TRIM(INDEX(FORM!$E:$E,ROW()))))</f>
        <v>CRO</v>
      </c>
      <c r="I201" s="87" t="str">
        <f>IF($A201="","",UPPER(TRIM(INDEX(FORM!$G:$G,ROW()))))</f>
        <v>MUDAH</v>
      </c>
      <c r="J201" s="87" t="str">
        <f>IF($A201="","",IF(ISNUMBER(SEARCH("Ya,",INDEX(FORM!$H:$H,ROW()))),"YA",IF(ISNUMBER(SEARCH("Cukup,",INDEX(FORM!$H:$H,ROW()))),"CUKUP",IF(ISNUMBER(SEARCH("Kurang,",INDEX(FORM!$H:$H,ROW()))),"KURANG",""))))</f>
        <v>YA</v>
      </c>
      <c r="K201" s="87" t="str">
        <f>IF($A201="","",UPPER(TRIM(INDEX(FORM!$J:$J,ROW()))))</f>
        <v>MUDAH</v>
      </c>
      <c r="L201" s="87">
        <f>IF($A201="","",IF(ISNUMBER(SEARCH("Aktivitas Harian",INDEX(FORM!$K:$K,ROW()))),1,0))</f>
        <v>1</v>
      </c>
      <c r="M201" s="87">
        <f>IF($A201="","",IF(ISNUMBER(SEARCH("Aktivitas Mingguan",INDEX(FORM!$K:$K,ROW()))),1,0))</f>
        <v>0</v>
      </c>
      <c r="N201" s="87">
        <f>IF($A201="","",IF(ISNUMBER(SEARCH("Aktivitas Bulanan",INDEX(FORM!$K:$K,ROW()))),1,0))</f>
        <v>0</v>
      </c>
      <c r="O201" s="87">
        <f>IF($A201="","",IF(ISNUMBER(SEARCH("Overview Cabang",INDEX(FORM!$K:$K,ROW()))),1,0))</f>
        <v>0</v>
      </c>
      <c r="P201" s="87">
        <f>IF($A201="","",IFERROR(VLOOKUP(I201,DATA!$AH$9:$AI$13,2,0),""))</f>
        <v>3</v>
      </c>
      <c r="Q201" s="87">
        <f>IF($A201="","",IFERROR(VLOOKUP(J201,DATA!$AH$9:$AI$13,2,0),""))</f>
        <v>3</v>
      </c>
      <c r="R201" s="87">
        <f>IF($A201="","",IFERROR(VLOOKUP(K201,DATA!$AH$9:$AI$13,2,0),""))</f>
        <v>3</v>
      </c>
      <c r="S201" s="89">
        <f t="shared" si="66"/>
        <v>3</v>
      </c>
      <c r="T201" s="87">
        <f>IF($A201="","",IF(COUNTIF($D$2:D201,D201)=1,1,0))</f>
        <v>1</v>
      </c>
      <c r="U201" s="87" t="str">
        <f>IF($A201="","",IF(F201="-","Cabang tdk ada",IF(IFERROR(VLOOKUP(G201,#REF!,1,0),"")="","",IF(INDEX(DATA!$AH$2:$AH$5,MATCH(G201,DATA!$AI$2:$AI$5,0))&lt;&gt;F201,"Wilayah beda","OK"))))</f>
        <v/>
      </c>
      <c r="V201" s="87" t="str">
        <f>IF($A201="","",TRIM(INDEX(FORM!$I:$I,ROW())&amp;""))</f>
        <v>sudah bagus</v>
      </c>
      <c r="W201" s="87" t="str">
        <f>IF($A201="","",TRIM(INDEX(FORM!$L:$L,ROW())&amp;""))</f>
        <v>tidak ada</v>
      </c>
      <c r="X201" s="87" t="str">
        <f>IF($A201="","",TRIM(INDEX(FORM!$M:$M,ROW())&amp;""))</f>
        <v>sudah bagus</v>
      </c>
      <c r="Y201" s="8">
        <f>IF($A201="","",IFERROR(MATCH(F201,DATA!$AH$2:$AH$5,0),9)*10000+A201)</f>
        <v>10200</v>
      </c>
      <c r="Z201" s="87" t="str">
        <f t="shared" si="67"/>
        <v>Tidak ada masukan / sudah baik</v>
      </c>
      <c r="AA201" s="87" t="str">
        <f t="shared" si="68"/>
        <v>Tidak ada masukan / sudah baik</v>
      </c>
      <c r="AB201" s="87" t="str">
        <f t="shared" si="69"/>
        <v>Tidak ada masukan / sudah baik</v>
      </c>
      <c r="AC201" s="87"/>
      <c r="AD201" s="87"/>
      <c r="AE201" s="87"/>
      <c r="AK201" s="90">
        <f t="shared" si="70"/>
        <v>0</v>
      </c>
      <c r="AL201" s="90">
        <f t="shared" si="71"/>
        <v>0</v>
      </c>
      <c r="AM201" s="90">
        <f t="shared" si="72"/>
        <v>0</v>
      </c>
      <c r="AN201" s="90">
        <f t="shared" si="73"/>
        <v>0</v>
      </c>
      <c r="AO201" s="90">
        <f t="shared" si="74"/>
        <v>0</v>
      </c>
      <c r="AP201" s="90">
        <f t="shared" si="75"/>
        <v>0</v>
      </c>
      <c r="AQ201" s="90">
        <f t="shared" si="76"/>
        <v>0</v>
      </c>
      <c r="AR201" s="90">
        <f t="shared" si="77"/>
        <v>0</v>
      </c>
      <c r="AS201" s="90">
        <f t="shared" si="78"/>
        <v>0</v>
      </c>
      <c r="AT201" s="90">
        <f t="shared" si="79"/>
        <v>0</v>
      </c>
      <c r="AU201" s="90">
        <f t="shared" si="80"/>
        <v>0</v>
      </c>
      <c r="AV201" s="90">
        <f t="shared" si="81"/>
        <v>0</v>
      </c>
      <c r="AW201" s="90">
        <f t="shared" si="82"/>
        <v>0</v>
      </c>
      <c r="AX201" s="90">
        <f t="shared" si="83"/>
        <v>0</v>
      </c>
      <c r="AY201" s="90">
        <f t="shared" si="84"/>
        <v>0</v>
      </c>
      <c r="AZ201" s="90">
        <f t="shared" si="85"/>
        <v>0</v>
      </c>
      <c r="BA201" s="90">
        <f t="shared" si="86"/>
        <v>0</v>
      </c>
      <c r="BB201" s="90">
        <f t="shared" si="87"/>
        <v>0</v>
      </c>
    </row>
    <row r="202" spans="1:54" s="5" customFormat="1" hidden="1">
      <c r="A202" s="8">
        <f>IF(INDEX(FORM!$A:$A,ROW())="","",ROW()-1)</f>
        <v>201</v>
      </c>
      <c r="B202" s="41">
        <f>IF($A202="","",INDEX(FORM!$A:$A,ROW()))</f>
        <v>46311.691157407397</v>
      </c>
      <c r="C202" s="8" t="str">
        <f>IF($A202="","",TRIM(INDEX(FORM!$B:$B,ROW())))</f>
        <v>Cahya Saputra</v>
      </c>
      <c r="D202" s="8" t="str">
        <f>IF($A202="","",TRIM(INDEX(FORM!$C:$C,ROW())&amp;""))</f>
        <v>1510946</v>
      </c>
      <c r="E202" s="8" t="str">
        <f>IF($A202="","",UPPER(TRIM(INDEX(FORM!$D:$D,ROW()))))</f>
        <v>BEKASI</v>
      </c>
      <c r="F202" s="8" t="str">
        <f>IF($A202="","",IFERROR(INDEX(PROGRES!$A$2:$A$92,MATCH(E202,PROGRES!$B$2:$B$92,0)),"-"))</f>
        <v>Jawa Barat</v>
      </c>
      <c r="G202" s="8" t="str">
        <f>IF($A202="","",UPPER(TRIM(INDEX(FORM!$F:$F,ROW()))))</f>
        <v>JABAR DKI BANTEN</v>
      </c>
      <c r="H202" s="8" t="str">
        <f>IF($A202="","",UPPER(TRIM(INDEX(FORM!$E:$E,ROW()))))</f>
        <v>BM</v>
      </c>
      <c r="I202" s="8" t="str">
        <f>IF($A202="","",UPPER(TRIM(INDEX(FORM!$G:$G,ROW()))))</f>
        <v>MUDAH</v>
      </c>
      <c r="J202" s="8" t="str">
        <f>IF($A202="","",IF(ISNUMBER(SEARCH("Ya,",INDEX(FORM!$H:$H,ROW()))),"YA",IF(ISNUMBER(SEARCH("Cukup,",INDEX(FORM!$H:$H,ROW()))),"CUKUP",IF(ISNUMBER(SEARCH("Kurang,",INDEX(FORM!$H:$H,ROW()))),"KURANG",""))))</f>
        <v>CUKUP</v>
      </c>
      <c r="K202" s="8" t="str">
        <f>IF($A202="","",UPPER(TRIM(INDEX(FORM!$J:$J,ROW()))))</f>
        <v>CUKUP</v>
      </c>
      <c r="L202" s="8">
        <f>IF($A202="","",IF(ISNUMBER(SEARCH("Aktivitas Harian",INDEX(FORM!$K:$K,ROW()))),1,0))</f>
        <v>1</v>
      </c>
      <c r="M202" s="8">
        <f>IF($A202="","",IF(ISNUMBER(SEARCH("Aktivitas Mingguan",INDEX(FORM!$K:$K,ROW()))),1,0))</f>
        <v>0</v>
      </c>
      <c r="N202" s="8">
        <f>IF($A202="","",IF(ISNUMBER(SEARCH("Aktivitas Bulanan",INDEX(FORM!$K:$K,ROW()))),1,0))</f>
        <v>0</v>
      </c>
      <c r="O202" s="8">
        <f>IF($A202="","",IF(ISNUMBER(SEARCH("Overview Cabang",INDEX(FORM!$K:$K,ROW()))),1,0))</f>
        <v>0</v>
      </c>
      <c r="P202" s="8">
        <f>IF($A202="","",IFERROR(VLOOKUP(I202,DATA!$AH$9:$AI$13,2,0),""))</f>
        <v>3</v>
      </c>
      <c r="Q202" s="8">
        <f>IF($A202="","",IFERROR(VLOOKUP(J202,DATA!$AH$9:$AI$13,2,0),""))</f>
        <v>2</v>
      </c>
      <c r="R202" s="8">
        <f>IF($A202="","",IFERROR(VLOOKUP(K202,DATA!$AH$9:$AI$13,2,0),""))</f>
        <v>2</v>
      </c>
      <c r="S202" s="42">
        <f t="shared" si="66"/>
        <v>2.3333333333333335</v>
      </c>
      <c r="T202" s="8">
        <f>IF($A202="","",IF(COUNTIF($D$2:D202,D202)=1,1,0))</f>
        <v>1</v>
      </c>
      <c r="U202" s="8" t="str">
        <f>IF($A202="","",IF(F202="-","Cabang tdk ada",IF(IFERROR(VLOOKUP(G202,#REF!,1,0),"")="","",IF(INDEX(DATA!$AH$2:$AH$5,MATCH(G202,DATA!$AI$2:$AI$5,0))&lt;&gt;F202,"Wilayah beda","OK"))))</f>
        <v/>
      </c>
      <c r="V202" s="8" t="str">
        <f>IF($A202="","",TRIM(INDEX(FORM!$I:$I,ROW())&amp;""))</f>
        <v>sudah cukup bagus</v>
      </c>
      <c r="W202" s="8" t="str">
        <f>IF($A202="","",TRIM(INDEX(FORM!$L:$L,ROW())&amp;""))</f>
        <v>tidak ada</v>
      </c>
      <c r="X202" s="8" t="str">
        <f>IF($A202="","",TRIM(INDEX(FORM!$M:$M,ROW())&amp;""))</f>
        <v>belum ada</v>
      </c>
      <c r="Y202" s="8">
        <f>IF($A202="","",IFERROR(MATCH(F202,DATA!$AH$2:$AH$5,0),9)*10000+A202)</f>
        <v>10201</v>
      </c>
      <c r="Z202" s="8" t="str">
        <f t="shared" si="67"/>
        <v>Tidak ada masukan / sudah baik</v>
      </c>
      <c r="AA202" s="8" t="str">
        <f t="shared" si="68"/>
        <v>Tidak ada masukan / sudah baik</v>
      </c>
      <c r="AB202" s="8" t="str">
        <f t="shared" si="69"/>
        <v>Tidak ada masukan / sudah baik</v>
      </c>
      <c r="AC202" s="8"/>
      <c r="AD202" s="8"/>
      <c r="AE202" s="8"/>
      <c r="AK202" s="5">
        <f t="shared" si="70"/>
        <v>0</v>
      </c>
      <c r="AL202" s="5">
        <f t="shared" si="71"/>
        <v>0</v>
      </c>
      <c r="AM202" s="5">
        <f t="shared" si="72"/>
        <v>0</v>
      </c>
      <c r="AN202" s="5">
        <f t="shared" si="73"/>
        <v>0</v>
      </c>
      <c r="AO202" s="5">
        <f t="shared" si="74"/>
        <v>0</v>
      </c>
      <c r="AP202" s="5">
        <f t="shared" si="75"/>
        <v>0</v>
      </c>
      <c r="AQ202" s="5">
        <f t="shared" si="76"/>
        <v>0</v>
      </c>
      <c r="AR202" s="5">
        <f t="shared" si="77"/>
        <v>0</v>
      </c>
      <c r="AS202" s="5">
        <f t="shared" si="78"/>
        <v>0</v>
      </c>
      <c r="AT202" s="5">
        <f t="shared" si="79"/>
        <v>0</v>
      </c>
      <c r="AU202" s="5">
        <f t="shared" si="80"/>
        <v>0</v>
      </c>
      <c r="AV202" s="5">
        <f t="shared" si="81"/>
        <v>0</v>
      </c>
      <c r="AW202" s="5">
        <f t="shared" si="82"/>
        <v>0</v>
      </c>
      <c r="AX202" s="5">
        <f t="shared" si="83"/>
        <v>0</v>
      </c>
      <c r="AY202" s="5">
        <f t="shared" si="84"/>
        <v>0</v>
      </c>
      <c r="AZ202" s="5">
        <f t="shared" si="85"/>
        <v>0</v>
      </c>
      <c r="BA202" s="5">
        <f t="shared" si="86"/>
        <v>0</v>
      </c>
      <c r="BB202" s="5">
        <f t="shared" si="87"/>
        <v>0</v>
      </c>
    </row>
    <row r="203" spans="1:54" s="5" customFormat="1" hidden="1">
      <c r="A203" s="8">
        <f>IF(INDEX(FORM!$A:$A,ROW())="","",ROW()-1)</f>
        <v>202</v>
      </c>
      <c r="B203" s="41">
        <f>IF($A203="","",INDEX(FORM!$A:$A,ROW()))</f>
        <v>46311.691493055601</v>
      </c>
      <c r="C203" s="8" t="str">
        <f>IF($A203="","",TRIM(INDEX(FORM!$B:$B,ROW())))</f>
        <v>Syafioddin</v>
      </c>
      <c r="D203" s="8" t="str">
        <f>IF($A203="","",TRIM(INDEX(FORM!$C:$C,ROW())&amp;""))</f>
        <v>1510941</v>
      </c>
      <c r="E203" s="8" t="str">
        <f>IF($A203="","",UPPER(TRIM(INDEX(FORM!$D:$D,ROW()))))</f>
        <v>JAKARTA TIMUR</v>
      </c>
      <c r="F203" s="8" t="str">
        <f>IF($A203="","",IFERROR(INDEX(PROGRES!$A$2:$A$92,MATCH(E203,PROGRES!$B$2:$B$92,0)),"-"))</f>
        <v>Jawa Barat</v>
      </c>
      <c r="G203" s="8" t="str">
        <f>IF($A203="","",UPPER(TRIM(INDEX(FORM!$F:$F,ROW()))))</f>
        <v>JABAR DKI BANTEN</v>
      </c>
      <c r="H203" s="8" t="str">
        <f>IF($A203="","",UPPER(TRIM(INDEX(FORM!$E:$E,ROW()))))</f>
        <v>BM</v>
      </c>
      <c r="I203" s="8" t="str">
        <f>IF($A203="","",UPPER(TRIM(INDEX(FORM!$G:$G,ROW()))))</f>
        <v>MUDAH</v>
      </c>
      <c r="J203" s="8" t="str">
        <f>IF($A203="","",IF(ISNUMBER(SEARCH("Ya,",INDEX(FORM!$H:$H,ROW()))),"YA",IF(ISNUMBER(SEARCH("Cukup,",INDEX(FORM!$H:$H,ROW()))),"CUKUP",IF(ISNUMBER(SEARCH("Kurang,",INDEX(FORM!$H:$H,ROW()))),"KURANG",""))))</f>
        <v>YA</v>
      </c>
      <c r="K203" s="8" t="str">
        <f>IF($A203="","",UPPER(TRIM(INDEX(FORM!$J:$J,ROW()))))</f>
        <v>MUDAH</v>
      </c>
      <c r="L203" s="8">
        <f>IF($A203="","",IF(ISNUMBER(SEARCH("Aktivitas Harian",INDEX(FORM!$K:$K,ROW()))),1,0))</f>
        <v>1</v>
      </c>
      <c r="M203" s="8">
        <f>IF($A203="","",IF(ISNUMBER(SEARCH("Aktivitas Mingguan",INDEX(FORM!$K:$K,ROW()))),1,0))</f>
        <v>0</v>
      </c>
      <c r="N203" s="8">
        <f>IF($A203="","",IF(ISNUMBER(SEARCH("Aktivitas Bulanan",INDEX(FORM!$K:$K,ROW()))),1,0))</f>
        <v>0</v>
      </c>
      <c r="O203" s="8">
        <f>IF($A203="","",IF(ISNUMBER(SEARCH("Overview Cabang",INDEX(FORM!$K:$K,ROW()))),1,0))</f>
        <v>0</v>
      </c>
      <c r="P203" s="8">
        <f>IF($A203="","",IFERROR(VLOOKUP(I203,DATA!$AH$9:$AI$13,2,0),""))</f>
        <v>3</v>
      </c>
      <c r="Q203" s="8">
        <f>IF($A203="","",IFERROR(VLOOKUP(J203,DATA!$AH$9:$AI$13,2,0),""))</f>
        <v>3</v>
      </c>
      <c r="R203" s="8">
        <f>IF($A203="","",IFERROR(VLOOKUP(K203,DATA!$AH$9:$AI$13,2,0),""))</f>
        <v>3</v>
      </c>
      <c r="S203" s="42">
        <f t="shared" si="66"/>
        <v>3</v>
      </c>
      <c r="T203" s="8">
        <f>IF($A203="","",IF(COUNTIF($D$2:D203,D203)=1,1,0))</f>
        <v>1</v>
      </c>
      <c r="U203" s="8" t="str">
        <f>IF($A203="","",IF(F203="-","Cabang tdk ada",IF(IFERROR(VLOOKUP(G203,#REF!,1,0),"")="","",IF(INDEX(DATA!$AH$2:$AH$5,MATCH(G203,DATA!$AI$2:$AI$5,0))&lt;&gt;F203,"Wilayah beda","OK"))))</f>
        <v/>
      </c>
      <c r="V203" s="8" t="str">
        <f>IF($A203="","",TRIM(INDEX(FORM!$I:$I,ROW())&amp;""))</f>
        <v>Nothing</v>
      </c>
      <c r="W203" s="8" t="str">
        <f>IF($A203="","",TRIM(INDEX(FORM!$L:$L,ROW())&amp;""))</f>
        <v>Selama saya baca masih belum ada</v>
      </c>
      <c r="X203" s="8" t="str">
        <f>IF($A203="","",TRIM(INDEX(FORM!$M:$M,ROW())&amp;""))</f>
        <v>.</v>
      </c>
      <c r="Y203" s="8">
        <f>IF($A203="","",IFERROR(MATCH(F203,DATA!$AH$2:$AH$5,0),9)*10000+A203)</f>
        <v>10202</v>
      </c>
      <c r="Z203" s="8" t="str">
        <f t="shared" si="67"/>
        <v>Lainnya (perlu dibaca manual)</v>
      </c>
      <c r="AA203" s="8" t="str">
        <f t="shared" si="68"/>
        <v>Tidak ada masukan / sudah baik</v>
      </c>
      <c r="AB203" s="8" t="str">
        <f t="shared" si="69"/>
        <v>Tidak ada masukan / sudah baik</v>
      </c>
      <c r="AC203" s="8"/>
      <c r="AD203" s="8"/>
      <c r="AE203" s="8"/>
      <c r="AK203" s="5">
        <f t="shared" si="70"/>
        <v>0</v>
      </c>
      <c r="AL203" s="5">
        <f t="shared" si="71"/>
        <v>0</v>
      </c>
      <c r="AM203" s="5">
        <f t="shared" si="72"/>
        <v>0</v>
      </c>
      <c r="AN203" s="5">
        <f t="shared" si="73"/>
        <v>0</v>
      </c>
      <c r="AO203" s="5">
        <f t="shared" si="74"/>
        <v>0</v>
      </c>
      <c r="AP203" s="5">
        <f t="shared" si="75"/>
        <v>0</v>
      </c>
      <c r="AQ203" s="5">
        <f t="shared" si="76"/>
        <v>0</v>
      </c>
      <c r="AR203" s="5">
        <f t="shared" si="77"/>
        <v>0</v>
      </c>
      <c r="AS203" s="5">
        <f t="shared" si="78"/>
        <v>0</v>
      </c>
      <c r="AT203" s="5">
        <f t="shared" si="79"/>
        <v>0</v>
      </c>
      <c r="AU203" s="5">
        <f t="shared" si="80"/>
        <v>0</v>
      </c>
      <c r="AV203" s="5">
        <f t="shared" si="81"/>
        <v>0</v>
      </c>
      <c r="AW203" s="5">
        <f t="shared" si="82"/>
        <v>0</v>
      </c>
      <c r="AX203" s="5">
        <f t="shared" si="83"/>
        <v>0</v>
      </c>
      <c r="AY203" s="5">
        <f t="shared" si="84"/>
        <v>0</v>
      </c>
      <c r="AZ203" s="5">
        <f t="shared" si="85"/>
        <v>0</v>
      </c>
      <c r="BA203" s="5">
        <f t="shared" si="86"/>
        <v>1</v>
      </c>
      <c r="BB203" s="5">
        <f t="shared" si="87"/>
        <v>1</v>
      </c>
    </row>
    <row r="204" spans="1:54" s="5" customFormat="1" hidden="1">
      <c r="A204" s="8">
        <f>IF(INDEX(FORM!$A:$A,ROW())="","",ROW()-1)</f>
        <v>203</v>
      </c>
      <c r="B204" s="41">
        <f>IF($A204="","",INDEX(FORM!$A:$A,ROW()))</f>
        <v>46311.692592592597</v>
      </c>
      <c r="C204" s="8" t="str">
        <f>IF($A204="","",TRIM(INDEX(FORM!$B:$B,ROW())))</f>
        <v>RIDWAN DWI KURNIA</v>
      </c>
      <c r="D204" s="8" t="str">
        <f>IF($A204="","",TRIM(INDEX(FORM!$C:$C,ROW())&amp;""))</f>
        <v>1510694</v>
      </c>
      <c r="E204" s="8" t="str">
        <f>IF($A204="","",UPPER(TRIM(INDEX(FORM!$D:$D,ROW()))))</f>
        <v>SUKABUMI</v>
      </c>
      <c r="F204" s="8" t="str">
        <f>IF($A204="","",IFERROR(INDEX(PROGRES!$A$2:$A$92,MATCH(E204,PROGRES!$B$2:$B$92,0)),"-"))</f>
        <v>Jawa Barat</v>
      </c>
      <c r="G204" s="8" t="str">
        <f>IF($A204="","",UPPER(TRIM(INDEX(FORM!$F:$F,ROW()))))</f>
        <v>JABAR DKI BANTEN</v>
      </c>
      <c r="H204" s="8" t="str">
        <f>IF($A204="","",UPPER(TRIM(INDEX(FORM!$E:$E,ROW()))))</f>
        <v>BAO</v>
      </c>
      <c r="I204" s="8" t="str">
        <f>IF($A204="","",UPPER(TRIM(INDEX(FORM!$G:$G,ROW()))))</f>
        <v>MUDAH</v>
      </c>
      <c r="J204" s="8" t="str">
        <f>IF($A204="","",IF(ISNUMBER(SEARCH("Ya,",INDEX(FORM!$H:$H,ROW()))),"YA",IF(ISNUMBER(SEARCH("Cukup,",INDEX(FORM!$H:$H,ROW()))),"CUKUP",IF(ISNUMBER(SEARCH("Kurang,",INDEX(FORM!$H:$H,ROW()))),"KURANG",""))))</f>
        <v>YA</v>
      </c>
      <c r="K204" s="8" t="str">
        <f>IF($A204="","",UPPER(TRIM(INDEX(FORM!$J:$J,ROW()))))</f>
        <v>MUDAH</v>
      </c>
      <c r="L204" s="8">
        <f>IF($A204="","",IF(ISNUMBER(SEARCH("Aktivitas Harian",INDEX(FORM!$K:$K,ROW()))),1,0))</f>
        <v>1</v>
      </c>
      <c r="M204" s="8">
        <f>IF($A204="","",IF(ISNUMBER(SEARCH("Aktivitas Mingguan",INDEX(FORM!$K:$K,ROW()))),1,0))</f>
        <v>1</v>
      </c>
      <c r="N204" s="8">
        <f>IF($A204="","",IF(ISNUMBER(SEARCH("Aktivitas Bulanan",INDEX(FORM!$K:$K,ROW()))),1,0))</f>
        <v>1</v>
      </c>
      <c r="O204" s="8">
        <f>IF($A204="","",IF(ISNUMBER(SEARCH("Overview Cabang",INDEX(FORM!$K:$K,ROW()))),1,0))</f>
        <v>1</v>
      </c>
      <c r="P204" s="8">
        <f>IF($A204="","",IFERROR(VLOOKUP(I204,DATA!$AH$9:$AI$13,2,0),""))</f>
        <v>3</v>
      </c>
      <c r="Q204" s="8">
        <f>IF($A204="","",IFERROR(VLOOKUP(J204,DATA!$AH$9:$AI$13,2,0),""))</f>
        <v>3</v>
      </c>
      <c r="R204" s="8">
        <f>IF($A204="","",IFERROR(VLOOKUP(K204,DATA!$AH$9:$AI$13,2,0),""))</f>
        <v>3</v>
      </c>
      <c r="S204" s="42">
        <f t="shared" si="66"/>
        <v>3</v>
      </c>
      <c r="T204" s="8">
        <f>IF($A204="","",IF(COUNTIF($D$2:D204,D204)=1,1,0))</f>
        <v>1</v>
      </c>
      <c r="U204" s="8" t="str">
        <f>IF($A204="","",IF(F204="-","Cabang tdk ada",IF(IFERROR(VLOOKUP(G204,#REF!,1,0),"")="","",IF(INDEX(DATA!$AH$2:$AH$5,MATCH(G204,DATA!$AI$2:$AI$5,0))&lt;&gt;F204,"Wilayah beda","OK"))))</f>
        <v/>
      </c>
      <c r="V204" s="8" t="str">
        <f>IF($A204="","",TRIM(INDEX(FORM!$I:$I,ROW())&amp;""))</f>
        <v>sejauh ini masih mudah dipahami</v>
      </c>
      <c r="W204" s="8" t="str">
        <f>IF($A204="","",TRIM(INDEX(FORM!$L:$L,ROW())&amp;""))</f>
        <v>tidak ada</v>
      </c>
      <c r="X204" s="8" t="str">
        <f>IF($A204="","",TRIM(INDEX(FORM!$M:$M,ROW())&amp;""))</f>
        <v>sejauh ini masih mudah dipahami</v>
      </c>
      <c r="Y204" s="8">
        <f>IF($A204="","",IFERROR(MATCH(F204,DATA!$AH$2:$AH$5,0),9)*10000+A204)</f>
        <v>10203</v>
      </c>
      <c r="Z204" s="8" t="str">
        <f t="shared" si="67"/>
        <v>Tidak ada masukan / sudah baik</v>
      </c>
      <c r="AA204" s="8" t="str">
        <f t="shared" si="68"/>
        <v>Tidak ada masukan / sudah baik</v>
      </c>
      <c r="AB204" s="8" t="str">
        <f t="shared" si="69"/>
        <v>Tidak ada masukan / sudah baik</v>
      </c>
      <c r="AC204" s="8"/>
      <c r="AD204" s="8"/>
      <c r="AE204" s="8"/>
      <c r="AK204" s="5">
        <f t="shared" si="70"/>
        <v>0</v>
      </c>
      <c r="AL204" s="5">
        <f t="shared" si="71"/>
        <v>0</v>
      </c>
      <c r="AM204" s="5">
        <f t="shared" si="72"/>
        <v>0</v>
      </c>
      <c r="AN204" s="5">
        <f t="shared" si="73"/>
        <v>0</v>
      </c>
      <c r="AO204" s="5">
        <f t="shared" si="74"/>
        <v>0</v>
      </c>
      <c r="AP204" s="5">
        <f t="shared" si="75"/>
        <v>0</v>
      </c>
      <c r="AQ204" s="5">
        <f t="shared" si="76"/>
        <v>0</v>
      </c>
      <c r="AR204" s="5">
        <f t="shared" si="77"/>
        <v>0</v>
      </c>
      <c r="AS204" s="5">
        <f t="shared" si="78"/>
        <v>0</v>
      </c>
      <c r="AT204" s="5">
        <f t="shared" si="79"/>
        <v>0</v>
      </c>
      <c r="AU204" s="5">
        <f t="shared" si="80"/>
        <v>0</v>
      </c>
      <c r="AV204" s="5">
        <f t="shared" si="81"/>
        <v>0</v>
      </c>
      <c r="AW204" s="5">
        <f t="shared" si="82"/>
        <v>0</v>
      </c>
      <c r="AX204" s="5">
        <f t="shared" si="83"/>
        <v>0</v>
      </c>
      <c r="AY204" s="5">
        <f t="shared" si="84"/>
        <v>0</v>
      </c>
      <c r="AZ204" s="5">
        <f t="shared" si="85"/>
        <v>0</v>
      </c>
      <c r="BA204" s="5">
        <f t="shared" si="86"/>
        <v>0</v>
      </c>
      <c r="BB204" s="5">
        <f t="shared" si="87"/>
        <v>0</v>
      </c>
    </row>
    <row r="205" spans="1:54">
      <c r="A205" s="87">
        <f>IF(INDEX(FORM!$A:$A,ROW())="","",ROW()-1)</f>
        <v>204</v>
      </c>
      <c r="B205" s="88">
        <f>IF($A205="","",INDEX(FORM!$A:$A,ROW()))</f>
        <v>46311.694675925901</v>
      </c>
      <c r="C205" s="87" t="str">
        <f>IF($A205="","",TRIM(INDEX(FORM!$B:$B,ROW())))</f>
        <v>Heri Dwi Ari Sandy</v>
      </c>
      <c r="D205" s="87" t="str">
        <f>IF($A205="","",TRIM(INDEX(FORM!$C:$C,ROW())&amp;""))</f>
        <v>89017175</v>
      </c>
      <c r="E205" s="87" t="str">
        <f>IF($A205="","",UPPER(TRIM(INDEX(FORM!$D:$D,ROW()))))</f>
        <v>TRENGGALEK</v>
      </c>
      <c r="F205" s="87" t="str">
        <f>IF($A205="","",IFERROR(INDEX(PROGRES!$A$2:$A$92,MATCH(E205,PROGRES!$B$2:$B$92,0)),"-"))</f>
        <v>Jawa Timur</v>
      </c>
      <c r="G205" s="87" t="str">
        <f>IF($A205="","",UPPER(TRIM(INDEX(FORM!$F:$F,ROW()))))</f>
        <v>JATIM</v>
      </c>
      <c r="H205" s="87" t="str">
        <f>IF($A205="","",UPPER(TRIM(INDEX(FORM!$E:$E,ROW()))))</f>
        <v>CRO</v>
      </c>
      <c r="I205" s="87" t="str">
        <f>IF($A205="","",UPPER(TRIM(INDEX(FORM!$G:$G,ROW()))))</f>
        <v>MUDAH</v>
      </c>
      <c r="J205" s="87" t="str">
        <f>IF($A205="","",IF(ISNUMBER(SEARCH("Ya,",INDEX(FORM!$H:$H,ROW()))),"YA",IF(ISNUMBER(SEARCH("Cukup,",INDEX(FORM!$H:$H,ROW()))),"CUKUP",IF(ISNUMBER(SEARCH("Kurang,",INDEX(FORM!$H:$H,ROW()))),"KURANG",""))))</f>
        <v>YA</v>
      </c>
      <c r="K205" s="87" t="str">
        <f>IF($A205="","",UPPER(TRIM(INDEX(FORM!$J:$J,ROW()))))</f>
        <v>CUKUP</v>
      </c>
      <c r="L205" s="87">
        <f>IF($A205="","",IF(ISNUMBER(SEARCH("Aktivitas Harian",INDEX(FORM!$K:$K,ROW()))),1,0))</f>
        <v>1</v>
      </c>
      <c r="M205" s="87">
        <f>IF($A205="","",IF(ISNUMBER(SEARCH("Aktivitas Mingguan",INDEX(FORM!$K:$K,ROW()))),1,0))</f>
        <v>1</v>
      </c>
      <c r="N205" s="87">
        <f>IF($A205="","",IF(ISNUMBER(SEARCH("Aktivitas Bulanan",INDEX(FORM!$K:$K,ROW()))),1,0))</f>
        <v>1</v>
      </c>
      <c r="O205" s="87">
        <f>IF($A205="","",IF(ISNUMBER(SEARCH("Overview Cabang",INDEX(FORM!$K:$K,ROW()))),1,0))</f>
        <v>0</v>
      </c>
      <c r="P205" s="87">
        <f>IF($A205="","",IFERROR(VLOOKUP(I205,DATA!$AH$9:$AI$13,2,0),""))</f>
        <v>3</v>
      </c>
      <c r="Q205" s="87">
        <f>IF($A205="","",IFERROR(VLOOKUP(J205,DATA!$AH$9:$AI$13,2,0),""))</f>
        <v>3</v>
      </c>
      <c r="R205" s="87">
        <f>IF($A205="","",IFERROR(VLOOKUP(K205,DATA!$AH$9:$AI$13,2,0),""))</f>
        <v>2</v>
      </c>
      <c r="S205" s="89">
        <f t="shared" si="66"/>
        <v>2.6666666666666665</v>
      </c>
      <c r="T205" s="87">
        <f>IF($A205="","",IF(COUNTIF($D$2:D205,D205)=1,1,0))</f>
        <v>1</v>
      </c>
      <c r="U205" s="87" t="str">
        <f>IF($A205="","",IF(F205="-","Cabang tdk ada",IF(IFERROR(VLOOKUP(G205,#REF!,1,0),"")="","",IF(INDEX(DATA!$AH$2:$AH$5,MATCH(G205,DATA!$AI$2:$AI$5,0))&lt;&gt;F205,"Wilayah beda","OK"))))</f>
        <v/>
      </c>
      <c r="V205" s="87" t="str">
        <f>IF($A205="","",TRIM(INDEX(FORM!$I:$I,ROW())&amp;""))</f>
        <v>Sudah cukup baik</v>
      </c>
      <c r="W205" s="87" t="str">
        <f>IF($A205="","",TRIM(INDEX(FORM!$L:$L,ROW())&amp;""))</f>
        <v>Sudah cukup</v>
      </c>
      <c r="X205" s="87" t="str">
        <f>IF($A205="","",TRIM(INDEX(FORM!$M:$M,ROW())&amp;""))</f>
        <v>Mengenai produk knowledge seharusnya cro maupun bm serta atasan yg lain paham betul. Dan dapat dishare bagi yg tidak paham. Bila perlu dibuatkan katalog produk yg dijual SID beserta detail produk nya</v>
      </c>
      <c r="Y205" s="8">
        <f>IF($A205="","",IFERROR(MATCH(F205,DATA!$AH$2:$AH$5,0),9)*10000+A205)</f>
        <v>30204</v>
      </c>
      <c r="Z205" s="87" t="str">
        <f t="shared" si="67"/>
        <v>Tidak ada masukan / sudah baik</v>
      </c>
      <c r="AA205" s="87" t="str">
        <f t="shared" si="68"/>
        <v>Tidak ada masukan / sudah baik</v>
      </c>
      <c r="AB205" s="87" t="str">
        <f t="shared" si="69"/>
        <v>Penambahan Materi &amp; Template</v>
      </c>
      <c r="AC205" s="87"/>
      <c r="AD205" s="87"/>
      <c r="AE205" s="87"/>
      <c r="AK205" s="90">
        <f t="shared" si="70"/>
        <v>0</v>
      </c>
      <c r="AL205" s="90">
        <f t="shared" si="71"/>
        <v>0</v>
      </c>
      <c r="AM205" s="90">
        <f t="shared" si="72"/>
        <v>0</v>
      </c>
      <c r="AN205" s="90">
        <f t="shared" si="73"/>
        <v>0</v>
      </c>
      <c r="AO205" s="90">
        <f t="shared" si="74"/>
        <v>0</v>
      </c>
      <c r="AP205" s="90">
        <f t="shared" si="75"/>
        <v>0</v>
      </c>
      <c r="AQ205" s="90">
        <f t="shared" si="76"/>
        <v>0</v>
      </c>
      <c r="AR205" s="90">
        <f t="shared" si="77"/>
        <v>1</v>
      </c>
      <c r="AS205" s="90">
        <f t="shared" si="78"/>
        <v>0</v>
      </c>
      <c r="AT205" s="90">
        <f t="shared" si="79"/>
        <v>0</v>
      </c>
      <c r="AU205" s="90">
        <f t="shared" si="80"/>
        <v>0</v>
      </c>
      <c r="AV205" s="90">
        <f t="shared" si="81"/>
        <v>0</v>
      </c>
      <c r="AW205" s="90">
        <f t="shared" si="82"/>
        <v>0</v>
      </c>
      <c r="AX205" s="90">
        <f t="shared" si="83"/>
        <v>0</v>
      </c>
      <c r="AY205" s="90">
        <f t="shared" si="84"/>
        <v>0</v>
      </c>
      <c r="AZ205" s="90">
        <f t="shared" si="85"/>
        <v>0</v>
      </c>
      <c r="BA205" s="90">
        <f t="shared" si="86"/>
        <v>0</v>
      </c>
      <c r="BB205" s="90">
        <f t="shared" si="87"/>
        <v>1</v>
      </c>
    </row>
    <row r="206" spans="1:54" s="5" customFormat="1" hidden="1">
      <c r="A206" s="8">
        <f>IF(INDEX(FORM!$A:$A,ROW())="","",ROW()-1)</f>
        <v>205</v>
      </c>
      <c r="B206" s="41">
        <f>IF($A206="","",INDEX(FORM!$A:$A,ROW()))</f>
        <v>46311.698449074102</v>
      </c>
      <c r="C206" s="8" t="str">
        <f>IF($A206="","",TRIM(INDEX(FORM!$B:$B,ROW())))</f>
        <v>SERLY DESI RHAHMAWATI</v>
      </c>
      <c r="D206" s="8" t="str">
        <f>IF($A206="","",TRIM(INDEX(FORM!$C:$C,ROW())&amp;""))</f>
        <v>1511016</v>
      </c>
      <c r="E206" s="8" t="str">
        <f>IF($A206="","",UPPER(TRIM(INDEX(FORM!$D:$D,ROW()))))</f>
        <v>MADIUN</v>
      </c>
      <c r="F206" s="8" t="str">
        <f>IF($A206="","",IFERROR(INDEX(PROGRES!$A$2:$A$92,MATCH(E206,PROGRES!$B$2:$B$92,0)),"-"))</f>
        <v>Jawa Timur</v>
      </c>
      <c r="G206" s="8" t="str">
        <f>IF($A206="","",UPPER(TRIM(INDEX(FORM!$F:$F,ROW()))))</f>
        <v>JATIM</v>
      </c>
      <c r="H206" s="8" t="str">
        <f>IF($A206="","",UPPER(TRIM(INDEX(FORM!$E:$E,ROW()))))</f>
        <v>BAO</v>
      </c>
      <c r="I206" s="8" t="str">
        <f>IF($A206="","",UPPER(TRIM(INDEX(FORM!$G:$G,ROW()))))</f>
        <v>MUDAH</v>
      </c>
      <c r="J206" s="8" t="str">
        <f>IF($A206="","",IF(ISNUMBER(SEARCH("Ya,",INDEX(FORM!$H:$H,ROW()))),"YA",IF(ISNUMBER(SEARCH("Cukup,",INDEX(FORM!$H:$H,ROW()))),"CUKUP",IF(ISNUMBER(SEARCH("Kurang,",INDEX(FORM!$H:$H,ROW()))),"KURANG",""))))</f>
        <v>YA</v>
      </c>
      <c r="K206" s="8" t="str">
        <f>IF($A206="","",UPPER(TRIM(INDEX(FORM!$J:$J,ROW()))))</f>
        <v>MUDAH</v>
      </c>
      <c r="L206" s="8">
        <f>IF($A206="","",IF(ISNUMBER(SEARCH("Aktivitas Harian",INDEX(FORM!$K:$K,ROW()))),1,0))</f>
        <v>1</v>
      </c>
      <c r="M206" s="8">
        <f>IF($A206="","",IF(ISNUMBER(SEARCH("Aktivitas Mingguan",INDEX(FORM!$K:$K,ROW()))),1,0))</f>
        <v>0</v>
      </c>
      <c r="N206" s="8">
        <f>IF($A206="","",IF(ISNUMBER(SEARCH("Aktivitas Bulanan",INDEX(FORM!$K:$K,ROW()))),1,0))</f>
        <v>0</v>
      </c>
      <c r="O206" s="8">
        <f>IF($A206="","",IF(ISNUMBER(SEARCH("Overview Cabang",INDEX(FORM!$K:$K,ROW()))),1,0))</f>
        <v>0</v>
      </c>
      <c r="P206" s="8">
        <f>IF($A206="","",IFERROR(VLOOKUP(I206,DATA!$AH$9:$AI$13,2,0),""))</f>
        <v>3</v>
      </c>
      <c r="Q206" s="8">
        <f>IF($A206="","",IFERROR(VLOOKUP(J206,DATA!$AH$9:$AI$13,2,0),""))</f>
        <v>3</v>
      </c>
      <c r="R206" s="8">
        <f>IF($A206="","",IFERROR(VLOOKUP(K206,DATA!$AH$9:$AI$13,2,0),""))</f>
        <v>3</v>
      </c>
      <c r="S206" s="42">
        <f t="shared" si="66"/>
        <v>3</v>
      </c>
      <c r="T206" s="8">
        <f>IF($A206="","",IF(COUNTIF($D$2:D206,D206)=1,1,0))</f>
        <v>1</v>
      </c>
      <c r="U206" s="8" t="str">
        <f>IF($A206="","",IF(F206="-","Cabang tdk ada",IF(IFERROR(VLOOKUP(G206,#REF!,1,0),"")="","",IF(INDEX(DATA!$AH$2:$AH$5,MATCH(G206,DATA!$AI$2:$AI$5,0))&lt;&gt;F206,"Wilayah beda","OK"))))</f>
        <v/>
      </c>
      <c r="V206" s="8" t="str">
        <f>IF($A206="","",TRIM(INDEX(FORM!$I:$I,ROW())&amp;""))</f>
        <v>-</v>
      </c>
      <c r="W206" s="8" t="str">
        <f>IF($A206="","",TRIM(INDEX(FORM!$L:$L,ROW())&amp;""))</f>
        <v>-</v>
      </c>
      <c r="X206" s="8" t="str">
        <f>IF($A206="","",TRIM(INDEX(FORM!$M:$M,ROW())&amp;""))</f>
        <v>-</v>
      </c>
      <c r="Y206" s="8">
        <f>IF($A206="","",IFERROR(MATCH(F206,DATA!$AH$2:$AH$5,0),9)*10000+A206)</f>
        <v>30205</v>
      </c>
      <c r="Z206" s="8" t="str">
        <f t="shared" si="67"/>
        <v>Tidak ada masukan / sudah baik</v>
      </c>
      <c r="AA206" s="8" t="str">
        <f t="shared" si="68"/>
        <v>Tidak ada masukan / sudah baik</v>
      </c>
      <c r="AB206" s="8" t="str">
        <f t="shared" si="69"/>
        <v>Tidak ada masukan / sudah baik</v>
      </c>
      <c r="AC206" s="8"/>
      <c r="AD206" s="8"/>
      <c r="AE206" s="8"/>
      <c r="AK206" s="5">
        <f t="shared" si="70"/>
        <v>0</v>
      </c>
      <c r="AL206" s="5">
        <f t="shared" si="71"/>
        <v>0</v>
      </c>
      <c r="AM206" s="5">
        <f t="shared" si="72"/>
        <v>0</v>
      </c>
      <c r="AN206" s="5">
        <f t="shared" si="73"/>
        <v>0</v>
      </c>
      <c r="AO206" s="5">
        <f t="shared" si="74"/>
        <v>0</v>
      </c>
      <c r="AP206" s="5">
        <f t="shared" si="75"/>
        <v>0</v>
      </c>
      <c r="AQ206" s="5">
        <f t="shared" si="76"/>
        <v>0</v>
      </c>
      <c r="AR206" s="5">
        <f t="shared" si="77"/>
        <v>0</v>
      </c>
      <c r="AS206" s="5">
        <f t="shared" si="78"/>
        <v>0</v>
      </c>
      <c r="AT206" s="5">
        <f t="shared" si="79"/>
        <v>0</v>
      </c>
      <c r="AU206" s="5">
        <f t="shared" si="80"/>
        <v>0</v>
      </c>
      <c r="AV206" s="5">
        <f t="shared" si="81"/>
        <v>0</v>
      </c>
      <c r="AW206" s="5">
        <f t="shared" si="82"/>
        <v>0</v>
      </c>
      <c r="AX206" s="5">
        <f t="shared" si="83"/>
        <v>0</v>
      </c>
      <c r="AY206" s="5">
        <f t="shared" si="84"/>
        <v>0</v>
      </c>
      <c r="AZ206" s="5">
        <f t="shared" si="85"/>
        <v>0</v>
      </c>
      <c r="BA206" s="5">
        <f t="shared" si="86"/>
        <v>0</v>
      </c>
      <c r="BB206" s="5">
        <f t="shared" si="87"/>
        <v>0</v>
      </c>
    </row>
    <row r="207" spans="1:54">
      <c r="A207" s="87">
        <f>IF(INDEX(FORM!$A:$A,ROW())="","",ROW()-1)</f>
        <v>206</v>
      </c>
      <c r="B207" s="88">
        <f>IF($A207="","",INDEX(FORM!$A:$A,ROW()))</f>
        <v>46311.699201388903</v>
      </c>
      <c r="C207" s="87" t="str">
        <f>IF($A207="","",TRIM(INDEX(FORM!$B:$B,ROW())))</f>
        <v>Doni ari rohmad</v>
      </c>
      <c r="D207" s="87" t="str">
        <f>IF($A207="","",TRIM(INDEX(FORM!$C:$C,ROW())&amp;""))</f>
        <v>1510735</v>
      </c>
      <c r="E207" s="87" t="str">
        <f>IF($A207="","",UPPER(TRIM(INDEX(FORM!$D:$D,ROW()))))</f>
        <v>BEKASI</v>
      </c>
      <c r="F207" s="87" t="str">
        <f>IF($A207="","",IFERROR(INDEX(PROGRES!$A$2:$A$92,MATCH(E207,PROGRES!$B$2:$B$92,0)),"-"))</f>
        <v>Jawa Barat</v>
      </c>
      <c r="G207" s="87" t="str">
        <f>IF($A207="","",UPPER(TRIM(INDEX(FORM!$F:$F,ROW()))))</f>
        <v>JABAR DKI BANTEN</v>
      </c>
      <c r="H207" s="87" t="str">
        <f>IF($A207="","",UPPER(TRIM(INDEX(FORM!$E:$E,ROW()))))</f>
        <v>CRO</v>
      </c>
      <c r="I207" s="87" t="str">
        <f>IF($A207="","",UPPER(TRIM(INDEX(FORM!$G:$G,ROW()))))</f>
        <v>CUKUP</v>
      </c>
      <c r="J207" s="87" t="str">
        <f>IF($A207="","",IF(ISNUMBER(SEARCH("Ya,",INDEX(FORM!$H:$H,ROW()))),"YA",IF(ISNUMBER(SEARCH("Cukup,",INDEX(FORM!$H:$H,ROW()))),"CUKUP",IF(ISNUMBER(SEARCH("Kurang,",INDEX(FORM!$H:$H,ROW()))),"KURANG",""))))</f>
        <v>YA</v>
      </c>
      <c r="K207" s="87" t="str">
        <f>IF($A207="","",UPPER(TRIM(INDEX(FORM!$J:$J,ROW()))))</f>
        <v>MUDAH</v>
      </c>
      <c r="L207" s="87">
        <f>IF($A207="","",IF(ISNUMBER(SEARCH("Aktivitas Harian",INDEX(FORM!$K:$K,ROW()))),1,0))</f>
        <v>1</v>
      </c>
      <c r="M207" s="87">
        <f>IF($A207="","",IF(ISNUMBER(SEARCH("Aktivitas Mingguan",INDEX(FORM!$K:$K,ROW()))),1,0))</f>
        <v>0</v>
      </c>
      <c r="N207" s="87">
        <f>IF($A207="","",IF(ISNUMBER(SEARCH("Aktivitas Bulanan",INDEX(FORM!$K:$K,ROW()))),1,0))</f>
        <v>0</v>
      </c>
      <c r="O207" s="87">
        <f>IF($A207="","",IF(ISNUMBER(SEARCH("Overview Cabang",INDEX(FORM!$K:$K,ROW()))),1,0))</f>
        <v>0</v>
      </c>
      <c r="P207" s="87">
        <f>IF($A207="","",IFERROR(VLOOKUP(I207,DATA!$AH$9:$AI$13,2,0),""))</f>
        <v>2</v>
      </c>
      <c r="Q207" s="87">
        <f>IF($A207="","",IFERROR(VLOOKUP(J207,DATA!$AH$9:$AI$13,2,0),""))</f>
        <v>3</v>
      </c>
      <c r="R207" s="87">
        <f>IF($A207="","",IFERROR(VLOOKUP(K207,DATA!$AH$9:$AI$13,2,0),""))</f>
        <v>3</v>
      </c>
      <c r="S207" s="89">
        <f t="shared" si="66"/>
        <v>2.6666666666666665</v>
      </c>
      <c r="T207" s="87">
        <f>IF($A207="","",IF(COUNTIF($D$2:D207,D207)=1,1,0))</f>
        <v>1</v>
      </c>
      <c r="U207" s="87" t="str">
        <f>IF($A207="","",IF(F207="-","Cabang tdk ada",IF(IFERROR(VLOOKUP(G207,#REF!,1,0),"")="","",IF(INDEX(DATA!$AH$2:$AH$5,MATCH(G207,DATA!$AI$2:$AI$5,0))&lt;&gt;F207,"Wilayah beda","OK"))))</f>
        <v/>
      </c>
      <c r="V207" s="87" t="str">
        <f>IF($A207="","",TRIM(INDEX(FORM!$I:$I,ROW())&amp;""))</f>
        <v>Overall secara tampilan sudah mudah dibaca dan mudah dimengerti</v>
      </c>
      <c r="W207" s="87" t="str">
        <f>IF($A207="","",TRIM(INDEX(FORM!$L:$L,ROW())&amp;""))</f>
        <v>Sudah cukup</v>
      </c>
      <c r="X207" s="87" t="str">
        <f>IF($A207="","",TRIM(INDEX(FORM!$M:$M,ROW())&amp;""))</f>
        <v>.</v>
      </c>
      <c r="Y207" s="8">
        <f>IF($A207="","",IFERROR(MATCH(F207,DATA!$AH$2:$AH$5,0),9)*10000+A207)</f>
        <v>10206</v>
      </c>
      <c r="Z207" s="87" t="str">
        <f t="shared" si="67"/>
        <v>Tidak ada masukan / sudah baik</v>
      </c>
      <c r="AA207" s="87" t="str">
        <f t="shared" si="68"/>
        <v>Tidak ada masukan / sudah baik</v>
      </c>
      <c r="AB207" s="87" t="str">
        <f t="shared" si="69"/>
        <v>Tidak ada masukan / sudah baik</v>
      </c>
      <c r="AC207" s="87"/>
      <c r="AD207" s="87"/>
      <c r="AE207" s="87"/>
      <c r="AK207" s="90">
        <f t="shared" si="70"/>
        <v>0</v>
      </c>
      <c r="AL207" s="90">
        <f t="shared" si="71"/>
        <v>0</v>
      </c>
      <c r="AM207" s="90">
        <f t="shared" si="72"/>
        <v>0</v>
      </c>
      <c r="AN207" s="90">
        <f t="shared" si="73"/>
        <v>0</v>
      </c>
      <c r="AO207" s="90">
        <f t="shared" si="74"/>
        <v>0</v>
      </c>
      <c r="AP207" s="90">
        <f t="shared" si="75"/>
        <v>0</v>
      </c>
      <c r="AQ207" s="90">
        <f t="shared" si="76"/>
        <v>0</v>
      </c>
      <c r="AR207" s="90">
        <f t="shared" si="77"/>
        <v>0</v>
      </c>
      <c r="AS207" s="90">
        <f t="shared" si="78"/>
        <v>0</v>
      </c>
      <c r="AT207" s="90">
        <f t="shared" si="79"/>
        <v>0</v>
      </c>
      <c r="AU207" s="90">
        <f t="shared" si="80"/>
        <v>0</v>
      </c>
      <c r="AV207" s="90">
        <f t="shared" si="81"/>
        <v>0</v>
      </c>
      <c r="AW207" s="90">
        <f t="shared" si="82"/>
        <v>0</v>
      </c>
      <c r="AX207" s="90">
        <f t="shared" si="83"/>
        <v>0</v>
      </c>
      <c r="AY207" s="90">
        <f t="shared" si="84"/>
        <v>0</v>
      </c>
      <c r="AZ207" s="90">
        <f t="shared" si="85"/>
        <v>0</v>
      </c>
      <c r="BA207" s="90">
        <f t="shared" si="86"/>
        <v>0</v>
      </c>
      <c r="BB207" s="90">
        <f t="shared" si="87"/>
        <v>0</v>
      </c>
    </row>
    <row r="208" spans="1:54">
      <c r="A208" s="87">
        <f>IF(INDEX(FORM!$A:$A,ROW())="","",ROW()-1)</f>
        <v>207</v>
      </c>
      <c r="B208" s="88">
        <f>IF($A208="","",INDEX(FORM!$A:$A,ROW()))</f>
        <v>46312.752453703702</v>
      </c>
      <c r="C208" s="87" t="str">
        <f>IF($A208="","",TRIM(INDEX(FORM!$B:$B,ROW())))</f>
        <v>Giri bagus puta stiawan</v>
      </c>
      <c r="D208" s="87" t="str">
        <f>IF($A208="","",TRIM(INDEX(FORM!$C:$C,ROW())&amp;""))</f>
        <v>1511363</v>
      </c>
      <c r="E208" s="87" t="str">
        <f>IF($A208="","",UPPER(TRIM(INDEX(FORM!$D:$D,ROW()))))</f>
        <v>GOLOMANTUNG</v>
      </c>
      <c r="F208" s="87" t="str">
        <f>IF($A208="","",IFERROR(INDEX(PROGRES!$A$2:$A$92,MATCH(E208,PROGRES!$B$2:$B$92,0)),"-"))</f>
        <v>Jawa Timur</v>
      </c>
      <c r="G208" s="87" t="str">
        <f>IF($A208="","",UPPER(TRIM(INDEX(FORM!$F:$F,ROW()))))</f>
        <v>JATIM</v>
      </c>
      <c r="H208" s="87" t="str">
        <f>IF($A208="","",UPPER(TRIM(INDEX(FORM!$E:$E,ROW()))))</f>
        <v>CRO</v>
      </c>
      <c r="I208" s="87" t="str">
        <f>IF($A208="","",UPPER(TRIM(INDEX(FORM!$G:$G,ROW()))))</f>
        <v>MUDAH</v>
      </c>
      <c r="J208" s="87" t="str">
        <f>IF($A208="","",IF(ISNUMBER(SEARCH("Ya,",INDEX(FORM!$H:$H,ROW()))),"YA",IF(ISNUMBER(SEARCH("Cukup,",INDEX(FORM!$H:$H,ROW()))),"CUKUP",IF(ISNUMBER(SEARCH("Kurang,",INDEX(FORM!$H:$H,ROW()))),"KURANG",""))))</f>
        <v>YA</v>
      </c>
      <c r="K208" s="87" t="str">
        <f>IF($A208="","",UPPER(TRIM(INDEX(FORM!$J:$J,ROW()))))</f>
        <v>MUDAH</v>
      </c>
      <c r="L208" s="87">
        <f>IF($A208="","",IF(ISNUMBER(SEARCH("Aktivitas Harian",INDEX(FORM!$K:$K,ROW()))),1,0))</f>
        <v>1</v>
      </c>
      <c r="M208" s="87">
        <f>IF($A208="","",IF(ISNUMBER(SEARCH("Aktivitas Mingguan",INDEX(FORM!$K:$K,ROW()))),1,0))</f>
        <v>0</v>
      </c>
      <c r="N208" s="87">
        <f>IF($A208="","",IF(ISNUMBER(SEARCH("Aktivitas Bulanan",INDEX(FORM!$K:$K,ROW()))),1,0))</f>
        <v>1</v>
      </c>
      <c r="O208" s="87">
        <f>IF($A208="","",IF(ISNUMBER(SEARCH("Overview Cabang",INDEX(FORM!$K:$K,ROW()))),1,0))</f>
        <v>0</v>
      </c>
      <c r="P208" s="87">
        <f>IF($A208="","",IFERROR(VLOOKUP(I208,DATA!$AH$9:$AI$13,2,0),""))</f>
        <v>3</v>
      </c>
      <c r="Q208" s="87">
        <f>IF($A208="","",IFERROR(VLOOKUP(J208,DATA!$AH$9:$AI$13,2,0),""))</f>
        <v>3</v>
      </c>
      <c r="R208" s="87">
        <f>IF($A208="","",IFERROR(VLOOKUP(K208,DATA!$AH$9:$AI$13,2,0),""))</f>
        <v>3</v>
      </c>
      <c r="S208" s="89">
        <f t="shared" si="66"/>
        <v>3</v>
      </c>
      <c r="T208" s="87">
        <f>IF($A208="","",IF(COUNTIF($D$2:D208,D208)=1,1,0))</f>
        <v>1</v>
      </c>
      <c r="U208" s="87" t="str">
        <f>IF($A208="","",IF(F208="-","Cabang tdk ada",IF(IFERROR(VLOOKUP(G208,#REF!,1,0),"")="","",IF(INDEX(DATA!$AH$2:$AH$5,MATCH(G208,DATA!$AI$2:$AI$5,0))&lt;&gt;F208,"Wilayah beda","OK"))))</f>
        <v/>
      </c>
      <c r="V208" s="87" t="str">
        <f>IF($A208="","",TRIM(INDEX(FORM!$I:$I,ROW())&amp;""))</f>
        <v>Tidak ada</v>
      </c>
      <c r="W208" s="87" t="str">
        <f>IF($A208="","",TRIM(INDEX(FORM!$L:$L,ROW())&amp;""))</f>
        <v>Tidak</v>
      </c>
      <c r="X208" s="87" t="str">
        <f>IF($A208="","",TRIM(INDEX(FORM!$M:$M,ROW())&amp;""))</f>
        <v>.</v>
      </c>
      <c r="Y208" s="8">
        <f>IF($A208="","",IFERROR(MATCH(F208,DATA!$AH$2:$AH$5,0),9)*10000+A208)</f>
        <v>30207</v>
      </c>
      <c r="Z208" s="87" t="str">
        <f t="shared" si="67"/>
        <v>Tidak ada masukan / sudah baik</v>
      </c>
      <c r="AA208" s="87" t="str">
        <f t="shared" si="68"/>
        <v>Tidak ada masukan / sudah baik</v>
      </c>
      <c r="AB208" s="87" t="str">
        <f t="shared" si="69"/>
        <v>Tidak ada masukan / sudah baik</v>
      </c>
      <c r="AC208" s="87"/>
      <c r="AD208" s="87"/>
      <c r="AE208" s="87"/>
      <c r="AK208" s="90">
        <f t="shared" si="70"/>
        <v>0</v>
      </c>
      <c r="AL208" s="90">
        <f t="shared" si="71"/>
        <v>0</v>
      </c>
      <c r="AM208" s="90">
        <f t="shared" si="72"/>
        <v>0</v>
      </c>
      <c r="AN208" s="90">
        <f t="shared" si="73"/>
        <v>0</v>
      </c>
      <c r="AO208" s="90">
        <f t="shared" si="74"/>
        <v>0</v>
      </c>
      <c r="AP208" s="90">
        <f t="shared" si="75"/>
        <v>0</v>
      </c>
      <c r="AQ208" s="90">
        <f t="shared" si="76"/>
        <v>0</v>
      </c>
      <c r="AR208" s="90">
        <f t="shared" si="77"/>
        <v>0</v>
      </c>
      <c r="AS208" s="90">
        <f t="shared" si="78"/>
        <v>0</v>
      </c>
      <c r="AT208" s="90">
        <f t="shared" si="79"/>
        <v>0</v>
      </c>
      <c r="AU208" s="90">
        <f t="shared" si="80"/>
        <v>0</v>
      </c>
      <c r="AV208" s="90">
        <f t="shared" si="81"/>
        <v>0</v>
      </c>
      <c r="AW208" s="90">
        <f t="shared" si="82"/>
        <v>0</v>
      </c>
      <c r="AX208" s="90">
        <f t="shared" si="83"/>
        <v>0</v>
      </c>
      <c r="AY208" s="90">
        <f t="shared" si="84"/>
        <v>0</v>
      </c>
      <c r="AZ208" s="90">
        <f t="shared" si="85"/>
        <v>0</v>
      </c>
      <c r="BA208" s="90">
        <f t="shared" si="86"/>
        <v>0</v>
      </c>
      <c r="BB208" s="90">
        <f t="shared" si="87"/>
        <v>0</v>
      </c>
    </row>
    <row r="209" spans="1:54">
      <c r="A209" s="87">
        <f>IF(INDEX(FORM!$A:$A,ROW())="","",ROW()-1)</f>
        <v>208</v>
      </c>
      <c r="B209" s="88">
        <f>IF($A209="","",INDEX(FORM!$A:$A,ROW()))</f>
        <v>46311.705277777801</v>
      </c>
      <c r="C209" s="87" t="str">
        <f>IF($A209="","",TRIM(INDEX(FORM!$B:$B,ROW())))</f>
        <v>Dadan Ramdani</v>
      </c>
      <c r="D209" s="87" t="str">
        <f>IF($A209="","",TRIM(INDEX(FORM!$C:$C,ROW())&amp;""))</f>
        <v>1511263</v>
      </c>
      <c r="E209" s="87" t="str">
        <f>IF($A209="","",UPPER(TRIM(INDEX(FORM!$D:$D,ROW()))))</f>
        <v>SUKABUMI II</v>
      </c>
      <c r="F209" s="87" t="str">
        <f>IF($A209="","",IFERROR(INDEX(PROGRES!$A$2:$A$92,MATCH(E209,PROGRES!$B$2:$B$92,0)),"-"))</f>
        <v>Jawa Barat</v>
      </c>
      <c r="G209" s="87" t="str">
        <f>IF($A209="","",UPPER(TRIM(INDEX(FORM!$F:$F,ROW()))))</f>
        <v>JABAR DKI BANTEN</v>
      </c>
      <c r="H209" s="87" t="str">
        <f>IF($A209="","",UPPER(TRIM(INDEX(FORM!$E:$E,ROW()))))</f>
        <v>CRO</v>
      </c>
      <c r="I209" s="87" t="str">
        <f>IF($A209="","",UPPER(TRIM(INDEX(FORM!$G:$G,ROW()))))</f>
        <v>MUDAH</v>
      </c>
      <c r="J209" s="87" t="str">
        <f>IF($A209="","",IF(ISNUMBER(SEARCH("Ya,",INDEX(FORM!$H:$H,ROW()))),"YA",IF(ISNUMBER(SEARCH("Cukup,",INDEX(FORM!$H:$H,ROW()))),"CUKUP",IF(ISNUMBER(SEARCH("Kurang,",INDEX(FORM!$H:$H,ROW()))),"KURANG",""))))</f>
        <v>YA</v>
      </c>
      <c r="K209" s="87" t="str">
        <f>IF($A209="","",UPPER(TRIM(INDEX(FORM!$J:$J,ROW()))))</f>
        <v>MUDAH</v>
      </c>
      <c r="L209" s="87">
        <f>IF($A209="","",IF(ISNUMBER(SEARCH("Aktivitas Harian",INDEX(FORM!$K:$K,ROW()))),1,0))</f>
        <v>0</v>
      </c>
      <c r="M209" s="87">
        <f>IF($A209="","",IF(ISNUMBER(SEARCH("Aktivitas Mingguan",INDEX(FORM!$K:$K,ROW()))),1,0))</f>
        <v>0</v>
      </c>
      <c r="N209" s="87">
        <f>IF($A209="","",IF(ISNUMBER(SEARCH("Aktivitas Bulanan",INDEX(FORM!$K:$K,ROW()))),1,0))</f>
        <v>0</v>
      </c>
      <c r="O209" s="87">
        <f>IF($A209="","",IF(ISNUMBER(SEARCH("Overview Cabang",INDEX(FORM!$K:$K,ROW()))),1,0))</f>
        <v>1</v>
      </c>
      <c r="P209" s="87">
        <f>IF($A209="","",IFERROR(VLOOKUP(I209,DATA!$AH$9:$AI$13,2,0),""))</f>
        <v>3</v>
      </c>
      <c r="Q209" s="87">
        <f>IF($A209="","",IFERROR(VLOOKUP(J209,DATA!$AH$9:$AI$13,2,0),""))</f>
        <v>3</v>
      </c>
      <c r="R209" s="87">
        <f>IF($A209="","",IFERROR(VLOOKUP(K209,DATA!$AH$9:$AI$13,2,0),""))</f>
        <v>3</v>
      </c>
      <c r="S209" s="89">
        <f t="shared" si="66"/>
        <v>3</v>
      </c>
      <c r="T209" s="87">
        <f>IF($A209="","",IF(COUNTIF($D$2:D209,D209)=1,1,0))</f>
        <v>1</v>
      </c>
      <c r="U209" s="87" t="str">
        <f>IF($A209="","",IF(F209="-","Cabang tdk ada",IF(IFERROR(VLOOKUP(G209,#REF!,1,0),"")="","",IF(INDEX(DATA!$AH$2:$AH$5,MATCH(G209,DATA!$AI$2:$AI$5,0))&lt;&gt;F209,"Wilayah beda","OK"))))</f>
        <v/>
      </c>
      <c r="V209" s="87" t="str">
        <f>IF($A209="","",TRIM(INDEX(FORM!$I:$I,ROW())&amp;""))</f>
        <v>Cukup dan mudah di pahami</v>
      </c>
      <c r="W209" s="87" t="str">
        <f>IF($A209="","",TRIM(INDEX(FORM!$L:$L,ROW())&amp;""))</f>
        <v>Tidak ada</v>
      </c>
      <c r="X209" s="87" t="str">
        <f>IF($A209="","",TRIM(INDEX(FORM!$M:$M,ROW())&amp;""))</f>
        <v>Cukup</v>
      </c>
      <c r="Y209" s="8">
        <f>IF($A209="","",IFERROR(MATCH(F209,DATA!$AH$2:$AH$5,0),9)*10000+A209)</f>
        <v>10208</v>
      </c>
      <c r="Z209" s="87" t="str">
        <f t="shared" si="67"/>
        <v>Tidak ada masukan / sudah baik</v>
      </c>
      <c r="AA209" s="87" t="str">
        <f t="shared" si="68"/>
        <v>Tidak ada masukan / sudah baik</v>
      </c>
      <c r="AB209" s="87" t="str">
        <f t="shared" si="69"/>
        <v>Tidak ada masukan / sudah baik</v>
      </c>
      <c r="AC209" s="87"/>
      <c r="AD209" s="87"/>
      <c r="AE209" s="87"/>
      <c r="AK209" s="90">
        <f t="shared" si="70"/>
        <v>0</v>
      </c>
      <c r="AL209" s="90">
        <f t="shared" si="71"/>
        <v>0</v>
      </c>
      <c r="AM209" s="90">
        <f t="shared" si="72"/>
        <v>0</v>
      </c>
      <c r="AN209" s="90">
        <f t="shared" si="73"/>
        <v>0</v>
      </c>
      <c r="AO209" s="90">
        <f t="shared" si="74"/>
        <v>0</v>
      </c>
      <c r="AP209" s="90">
        <f t="shared" si="75"/>
        <v>0</v>
      </c>
      <c r="AQ209" s="90">
        <f t="shared" si="76"/>
        <v>0</v>
      </c>
      <c r="AR209" s="90">
        <f t="shared" si="77"/>
        <v>0</v>
      </c>
      <c r="AS209" s="90">
        <f t="shared" si="78"/>
        <v>0</v>
      </c>
      <c r="AT209" s="90">
        <f t="shared" si="79"/>
        <v>0</v>
      </c>
      <c r="AU209" s="90">
        <f t="shared" si="80"/>
        <v>0</v>
      </c>
      <c r="AV209" s="90">
        <f t="shared" si="81"/>
        <v>0</v>
      </c>
      <c r="AW209" s="90">
        <f t="shared" si="82"/>
        <v>0</v>
      </c>
      <c r="AX209" s="90">
        <f t="shared" si="83"/>
        <v>0</v>
      </c>
      <c r="AY209" s="90">
        <f t="shared" si="84"/>
        <v>0</v>
      </c>
      <c r="AZ209" s="90">
        <f t="shared" si="85"/>
        <v>0</v>
      </c>
      <c r="BA209" s="90">
        <f t="shared" si="86"/>
        <v>0</v>
      </c>
      <c r="BB209" s="90">
        <f t="shared" si="87"/>
        <v>0</v>
      </c>
    </row>
    <row r="210" spans="1:54" s="5" customFormat="1" hidden="1">
      <c r="A210" s="8">
        <f>IF(INDEX(FORM!$A:$A,ROW())="","",ROW()-1)</f>
        <v>209</v>
      </c>
      <c r="B210" s="41">
        <f>IF($A210="","",INDEX(FORM!$A:$A,ROW()))</f>
        <v>46311.707569444399</v>
      </c>
      <c r="C210" s="8" t="str">
        <f>IF($A210="","",TRIM(INDEX(FORM!$B:$B,ROW())))</f>
        <v>FARHAN ARDIANSYACH</v>
      </c>
      <c r="D210" s="8" t="str">
        <f>IF($A210="","",TRIM(INDEX(FORM!$C:$C,ROW())&amp;""))</f>
        <v>1510920</v>
      </c>
      <c r="E210" s="8" t="str">
        <f>IF($A210="","",UPPER(TRIM(INDEX(FORM!$D:$D,ROW()))))</f>
        <v>SUKABUMI II</v>
      </c>
      <c r="F210" s="8" t="str">
        <f>IF($A210="","",IFERROR(INDEX(PROGRES!$A$2:$A$92,MATCH(E210,PROGRES!$B$2:$B$92,0)),"-"))</f>
        <v>Jawa Barat</v>
      </c>
      <c r="G210" s="8" t="str">
        <f>IF($A210="","",UPPER(TRIM(INDEX(FORM!$F:$F,ROW()))))</f>
        <v>JABAR DKI BANTEN</v>
      </c>
      <c r="H210" s="8" t="str">
        <f>IF($A210="","",UPPER(TRIM(INDEX(FORM!$E:$E,ROW()))))</f>
        <v>BAO</v>
      </c>
      <c r="I210" s="8" t="str">
        <f>IF($A210="","",UPPER(TRIM(INDEX(FORM!$G:$G,ROW()))))</f>
        <v>CUKUP</v>
      </c>
      <c r="J210" s="8" t="str">
        <f>IF($A210="","",IF(ISNUMBER(SEARCH("Ya,",INDEX(FORM!$H:$H,ROW()))),"YA",IF(ISNUMBER(SEARCH("Cukup,",INDEX(FORM!$H:$H,ROW()))),"CUKUP",IF(ISNUMBER(SEARCH("Kurang,",INDEX(FORM!$H:$H,ROW()))),"KURANG",""))))</f>
        <v>CUKUP</v>
      </c>
      <c r="K210" s="8" t="str">
        <f>IF($A210="","",UPPER(TRIM(INDEX(FORM!$J:$J,ROW()))))</f>
        <v>CUKUP</v>
      </c>
      <c r="L210" s="8">
        <f>IF($A210="","",IF(ISNUMBER(SEARCH("Aktivitas Harian",INDEX(FORM!$K:$K,ROW()))),1,0))</f>
        <v>1</v>
      </c>
      <c r="M210" s="8">
        <f>IF($A210="","",IF(ISNUMBER(SEARCH("Aktivitas Mingguan",INDEX(FORM!$K:$K,ROW()))),1,0))</f>
        <v>0</v>
      </c>
      <c r="N210" s="8">
        <f>IF($A210="","",IF(ISNUMBER(SEARCH("Aktivitas Bulanan",INDEX(FORM!$K:$K,ROW()))),1,0))</f>
        <v>0</v>
      </c>
      <c r="O210" s="8">
        <f>IF($A210="","",IF(ISNUMBER(SEARCH("Overview Cabang",INDEX(FORM!$K:$K,ROW()))),1,0))</f>
        <v>0</v>
      </c>
      <c r="P210" s="8">
        <f>IF($A210="","",IFERROR(VLOOKUP(I210,DATA!$AH$9:$AI$13,2,0),""))</f>
        <v>2</v>
      </c>
      <c r="Q210" s="8">
        <f>IF($A210="","",IFERROR(VLOOKUP(J210,DATA!$AH$9:$AI$13,2,0),""))</f>
        <v>2</v>
      </c>
      <c r="R210" s="8">
        <f>IF($A210="","",IFERROR(VLOOKUP(K210,DATA!$AH$9:$AI$13,2,0),""))</f>
        <v>2</v>
      </c>
      <c r="S210" s="42">
        <f t="shared" si="66"/>
        <v>2</v>
      </c>
      <c r="T210" s="8">
        <f>IF($A210="","",IF(COUNTIF($D$2:D210,D210)=1,1,0))</f>
        <v>1</v>
      </c>
      <c r="U210" s="8" t="str">
        <f>IF($A210="","",IF(F210="-","Cabang tdk ada",IF(IFERROR(VLOOKUP(G210,#REF!,1,0),"")="","",IF(INDEX(DATA!$AH$2:$AH$5,MATCH(G210,DATA!$AI$2:$AI$5,0))&lt;&gt;F210,"Wilayah beda","OK"))))</f>
        <v/>
      </c>
      <c r="V210" s="8" t="str">
        <f>IF($A210="","",TRIM(INDEX(FORM!$I:$I,ROW())&amp;""))</f>
        <v>cukup</v>
      </c>
      <c r="W210" s="8" t="str">
        <f>IF($A210="","",TRIM(INDEX(FORM!$L:$L,ROW())&amp;""))</f>
        <v>cukup</v>
      </c>
      <c r="X210" s="8" t="str">
        <f>IF($A210="","",TRIM(INDEX(FORM!$M:$M,ROW())&amp;""))</f>
        <v>cukup</v>
      </c>
      <c r="Y210" s="8">
        <f>IF($A210="","",IFERROR(MATCH(F210,DATA!$AH$2:$AH$5,0),9)*10000+A210)</f>
        <v>10209</v>
      </c>
      <c r="Z210" s="8" t="str">
        <f t="shared" si="67"/>
        <v>Tidak ada masukan / sudah baik</v>
      </c>
      <c r="AA210" s="8" t="str">
        <f t="shared" si="68"/>
        <v>Tidak ada masukan / sudah baik</v>
      </c>
      <c r="AB210" s="8" t="str">
        <f t="shared" si="69"/>
        <v>Tidak ada masukan / sudah baik</v>
      </c>
      <c r="AC210" s="8"/>
      <c r="AD210" s="8"/>
      <c r="AE210" s="8"/>
      <c r="AK210" s="5">
        <f t="shared" si="70"/>
        <v>0</v>
      </c>
      <c r="AL210" s="5">
        <f t="shared" si="71"/>
        <v>0</v>
      </c>
      <c r="AM210" s="5">
        <f t="shared" si="72"/>
        <v>0</v>
      </c>
      <c r="AN210" s="5">
        <f t="shared" si="73"/>
        <v>0</v>
      </c>
      <c r="AO210" s="5">
        <f t="shared" si="74"/>
        <v>0</v>
      </c>
      <c r="AP210" s="5">
        <f t="shared" si="75"/>
        <v>0</v>
      </c>
      <c r="AQ210" s="5">
        <f t="shared" si="76"/>
        <v>0</v>
      </c>
      <c r="AR210" s="5">
        <f t="shared" si="77"/>
        <v>0</v>
      </c>
      <c r="AS210" s="5">
        <f t="shared" si="78"/>
        <v>0</v>
      </c>
      <c r="AT210" s="5">
        <f t="shared" si="79"/>
        <v>0</v>
      </c>
      <c r="AU210" s="5">
        <f t="shared" si="80"/>
        <v>0</v>
      </c>
      <c r="AV210" s="5">
        <f t="shared" si="81"/>
        <v>0</v>
      </c>
      <c r="AW210" s="5">
        <f t="shared" si="82"/>
        <v>0</v>
      </c>
      <c r="AX210" s="5">
        <f t="shared" si="83"/>
        <v>0</v>
      </c>
      <c r="AY210" s="5">
        <f t="shared" si="84"/>
        <v>0</v>
      </c>
      <c r="AZ210" s="5">
        <f t="shared" si="85"/>
        <v>0</v>
      </c>
      <c r="BA210" s="5">
        <f t="shared" si="86"/>
        <v>0</v>
      </c>
      <c r="BB210" s="5">
        <f t="shared" si="87"/>
        <v>0</v>
      </c>
    </row>
    <row r="211" spans="1:54">
      <c r="A211" s="87">
        <f>IF(INDEX(FORM!$A:$A,ROW())="","",ROW()-1)</f>
        <v>210</v>
      </c>
      <c r="B211" s="88">
        <f>IF($A211="","",INDEX(FORM!$A:$A,ROW()))</f>
        <v>46311.714444444398</v>
      </c>
      <c r="C211" s="87" t="str">
        <f>IF($A211="","",TRIM(INDEX(FORM!$B:$B,ROW())))</f>
        <v>YANA SURYANA</v>
      </c>
      <c r="D211" s="87" t="str">
        <f>IF($A211="","",TRIM(INDEX(FORM!$C:$C,ROW())&amp;""))</f>
        <v>1511206</v>
      </c>
      <c r="E211" s="87" t="str">
        <f>IF($A211="","",UPPER(TRIM(INDEX(FORM!$D:$D,ROW()))))</f>
        <v>SUKABUMI</v>
      </c>
      <c r="F211" s="87" t="str">
        <f>IF($A211="","",IFERROR(INDEX(PROGRES!$A$2:$A$92,MATCH(E211,PROGRES!$B$2:$B$92,0)),"-"))</f>
        <v>Jawa Barat</v>
      </c>
      <c r="G211" s="87" t="str">
        <f>IF($A211="","",UPPER(TRIM(INDEX(FORM!$F:$F,ROW()))))</f>
        <v>JABAR DKI BANTEN</v>
      </c>
      <c r="H211" s="87" t="str">
        <f>IF($A211="","",UPPER(TRIM(INDEX(FORM!$E:$E,ROW()))))</f>
        <v>CRO</v>
      </c>
      <c r="I211" s="87" t="str">
        <f>IF($A211="","",UPPER(TRIM(INDEX(FORM!$G:$G,ROW()))))</f>
        <v>MUDAH</v>
      </c>
      <c r="J211" s="87" t="str">
        <f>IF($A211="","",IF(ISNUMBER(SEARCH("Ya,",INDEX(FORM!$H:$H,ROW()))),"YA",IF(ISNUMBER(SEARCH("Cukup,",INDEX(FORM!$H:$H,ROW()))),"CUKUP",IF(ISNUMBER(SEARCH("Kurang,",INDEX(FORM!$H:$H,ROW()))),"KURANG",""))))</f>
        <v>YA</v>
      </c>
      <c r="K211" s="87" t="str">
        <f>IF($A211="","",UPPER(TRIM(INDEX(FORM!$J:$J,ROW()))))</f>
        <v>MUDAH</v>
      </c>
      <c r="L211" s="87">
        <f>IF($A211="","",IF(ISNUMBER(SEARCH("Aktivitas Harian",INDEX(FORM!$K:$K,ROW()))),1,0))</f>
        <v>1</v>
      </c>
      <c r="M211" s="87">
        <f>IF($A211="","",IF(ISNUMBER(SEARCH("Aktivitas Mingguan",INDEX(FORM!$K:$K,ROW()))),1,0))</f>
        <v>1</v>
      </c>
      <c r="N211" s="87">
        <f>IF($A211="","",IF(ISNUMBER(SEARCH("Aktivitas Bulanan",INDEX(FORM!$K:$K,ROW()))),1,0))</f>
        <v>1</v>
      </c>
      <c r="O211" s="87">
        <f>IF($A211="","",IF(ISNUMBER(SEARCH("Overview Cabang",INDEX(FORM!$K:$K,ROW()))),1,0))</f>
        <v>1</v>
      </c>
      <c r="P211" s="87">
        <f>IF($A211="","",IFERROR(VLOOKUP(I211,DATA!$AH$9:$AI$13,2,0),""))</f>
        <v>3</v>
      </c>
      <c r="Q211" s="87">
        <f>IF($A211="","",IFERROR(VLOOKUP(J211,DATA!$AH$9:$AI$13,2,0),""))</f>
        <v>3</v>
      </c>
      <c r="R211" s="87">
        <f>IF($A211="","",IFERROR(VLOOKUP(K211,DATA!$AH$9:$AI$13,2,0),""))</f>
        <v>3</v>
      </c>
      <c r="S211" s="89">
        <f t="shared" si="66"/>
        <v>3</v>
      </c>
      <c r="T211" s="87">
        <f>IF($A211="","",IF(COUNTIF($D$2:D211,D211)=1,1,0))</f>
        <v>1</v>
      </c>
      <c r="U211" s="87" t="str">
        <f>IF($A211="","",IF(F211="-","Cabang tdk ada",IF(IFERROR(VLOOKUP(G211,#REF!,1,0),"")="","",IF(INDEX(DATA!$AH$2:$AH$5,MATCH(G211,DATA!$AI$2:$AI$5,0))&lt;&gt;F211,"Wilayah beda","OK"))))</f>
        <v/>
      </c>
      <c r="V211" s="87" t="str">
        <f>IF($A211="","",TRIM(INDEX(FORM!$I:$I,ROW())&amp;""))</f>
        <v>Tingkatkan lagi tampilannya yg menarik</v>
      </c>
      <c r="W211" s="87" t="str">
        <f>IF($A211="","",TRIM(INDEX(FORM!$L:$L,ROW())&amp;""))</f>
        <v>Tidak ada sudah mencakup semuanya</v>
      </c>
      <c r="X211" s="87" t="str">
        <f>IF($A211="","",TRIM(INDEX(FORM!$M:$M,ROW())&amp;""))</f>
        <v>Tingkatkan lagi tampilan yang menarik agar tidak bosan</v>
      </c>
      <c r="Y211" s="8">
        <f>IF($A211="","",IFERROR(MATCH(F211,DATA!$AH$2:$AH$5,0),9)*10000+A211)</f>
        <v>10210</v>
      </c>
      <c r="Z211" s="87" t="str">
        <f t="shared" si="67"/>
        <v>Desain, Warna &amp; Font</v>
      </c>
      <c r="AA211" s="87" t="str">
        <f t="shared" si="68"/>
        <v>Tidak ada masukan / sudah baik</v>
      </c>
      <c r="AB211" s="87" t="str">
        <f t="shared" si="69"/>
        <v>Desain Tampilan</v>
      </c>
      <c r="AC211" s="87"/>
      <c r="AD211" s="87"/>
      <c r="AE211" s="87"/>
      <c r="AK211" s="90">
        <f t="shared" si="70"/>
        <v>0</v>
      </c>
      <c r="AL211" s="90">
        <f t="shared" si="71"/>
        <v>0</v>
      </c>
      <c r="AM211" s="90">
        <f t="shared" si="72"/>
        <v>1</v>
      </c>
      <c r="AN211" s="90">
        <f t="shared" si="73"/>
        <v>0</v>
      </c>
      <c r="AO211" s="90">
        <f t="shared" si="74"/>
        <v>0</v>
      </c>
      <c r="AP211" s="90">
        <f t="shared" si="75"/>
        <v>0</v>
      </c>
      <c r="AQ211" s="90">
        <f t="shared" si="76"/>
        <v>0</v>
      </c>
      <c r="AR211" s="90">
        <f t="shared" si="77"/>
        <v>0</v>
      </c>
      <c r="AS211" s="90">
        <f t="shared" si="78"/>
        <v>0</v>
      </c>
      <c r="AT211" s="90">
        <f t="shared" si="79"/>
        <v>0</v>
      </c>
      <c r="AU211" s="90">
        <f t="shared" si="80"/>
        <v>0</v>
      </c>
      <c r="AV211" s="90">
        <f t="shared" si="81"/>
        <v>0</v>
      </c>
      <c r="AW211" s="90">
        <f t="shared" si="82"/>
        <v>0</v>
      </c>
      <c r="AX211" s="90">
        <f t="shared" si="83"/>
        <v>0</v>
      </c>
      <c r="AY211" s="90">
        <f t="shared" si="84"/>
        <v>0</v>
      </c>
      <c r="AZ211" s="90">
        <f t="shared" si="85"/>
        <v>0</v>
      </c>
      <c r="BA211" s="90">
        <f t="shared" si="86"/>
        <v>0</v>
      </c>
      <c r="BB211" s="90">
        <f t="shared" si="87"/>
        <v>1</v>
      </c>
    </row>
    <row r="212" spans="1:54">
      <c r="A212" s="87">
        <f>IF(INDEX(FORM!$A:$A,ROW())="","",ROW()-1)</f>
        <v>211</v>
      </c>
      <c r="B212" s="88">
        <f>IF($A212="","",INDEX(FORM!$A:$A,ROW()))</f>
        <v>46311.717662037001</v>
      </c>
      <c r="C212" s="87" t="str">
        <f>IF($A212="","",TRIM(INDEX(FORM!$B:$B,ROW())))</f>
        <v>Edi Aminoto</v>
      </c>
      <c r="D212" s="87" t="str">
        <f>IF($A212="","",TRIM(INDEX(FORM!$C:$C,ROW())&amp;""))</f>
        <v>1510623</v>
      </c>
      <c r="E212" s="87" t="str">
        <f>IF($A212="","",UPPER(TRIM(INDEX(FORM!$D:$D,ROW()))))</f>
        <v>SUKABUMI</v>
      </c>
      <c r="F212" s="87" t="str">
        <f>IF($A212="","",IFERROR(INDEX(PROGRES!$A$2:$A$92,MATCH(E212,PROGRES!$B$2:$B$92,0)),"-"))</f>
        <v>Jawa Barat</v>
      </c>
      <c r="G212" s="87" t="str">
        <f>IF($A212="","",UPPER(TRIM(INDEX(FORM!$F:$F,ROW()))))</f>
        <v>JABAR DKI BANTEN</v>
      </c>
      <c r="H212" s="87" t="str">
        <f>IF($A212="","",UPPER(TRIM(INDEX(FORM!$E:$E,ROW()))))</f>
        <v>CRO</v>
      </c>
      <c r="I212" s="87" t="str">
        <f>IF($A212="","",UPPER(TRIM(INDEX(FORM!$G:$G,ROW()))))</f>
        <v>CUKUP</v>
      </c>
      <c r="J212" s="87" t="str">
        <f>IF($A212="","",IF(ISNUMBER(SEARCH("Ya,",INDEX(FORM!$H:$H,ROW()))),"YA",IF(ISNUMBER(SEARCH("Cukup,",INDEX(FORM!$H:$H,ROW()))),"CUKUP",IF(ISNUMBER(SEARCH("Kurang,",INDEX(FORM!$H:$H,ROW()))),"KURANG",""))))</f>
        <v>CUKUP</v>
      </c>
      <c r="K212" s="87" t="str">
        <f>IF($A212="","",UPPER(TRIM(INDEX(FORM!$J:$J,ROW()))))</f>
        <v>CUKUP</v>
      </c>
      <c r="L212" s="87">
        <f>IF($A212="","",IF(ISNUMBER(SEARCH("Aktivitas Harian",INDEX(FORM!$K:$K,ROW()))),1,0))</f>
        <v>1</v>
      </c>
      <c r="M212" s="87">
        <f>IF($A212="","",IF(ISNUMBER(SEARCH("Aktivitas Mingguan",INDEX(FORM!$K:$K,ROW()))),1,0))</f>
        <v>0</v>
      </c>
      <c r="N212" s="87">
        <f>IF($A212="","",IF(ISNUMBER(SEARCH("Aktivitas Bulanan",INDEX(FORM!$K:$K,ROW()))),1,0))</f>
        <v>0</v>
      </c>
      <c r="O212" s="87">
        <f>IF($A212="","",IF(ISNUMBER(SEARCH("Overview Cabang",INDEX(FORM!$K:$K,ROW()))),1,0))</f>
        <v>0</v>
      </c>
      <c r="P212" s="87">
        <f>IF($A212="","",IFERROR(VLOOKUP(I212,DATA!$AH$9:$AI$13,2,0),""))</f>
        <v>2</v>
      </c>
      <c r="Q212" s="87">
        <f>IF($A212="","",IFERROR(VLOOKUP(J212,DATA!$AH$9:$AI$13,2,0),""))</f>
        <v>2</v>
      </c>
      <c r="R212" s="87">
        <f>IF($A212="","",IFERROR(VLOOKUP(K212,DATA!$AH$9:$AI$13,2,0),""))</f>
        <v>2</v>
      </c>
      <c r="S212" s="89">
        <f t="shared" si="66"/>
        <v>2</v>
      </c>
      <c r="T212" s="87">
        <f>IF($A212="","",IF(COUNTIF($D$2:D212,D212)=1,1,0))</f>
        <v>1</v>
      </c>
      <c r="U212" s="87" t="str">
        <f>IF($A212="","",IF(F212="-","Cabang tdk ada",IF(IFERROR(VLOOKUP(G212,#REF!,1,0),"")="","",IF(INDEX(DATA!$AH$2:$AH$5,MATCH(G212,DATA!$AI$2:$AI$5,0))&lt;&gt;F212,"Wilayah beda","OK"))))</f>
        <v/>
      </c>
      <c r="V212" s="87" t="str">
        <f>IF($A212="","",TRIM(INDEX(FORM!$I:$I,ROW())&amp;""))</f>
        <v>Cukup bagus</v>
      </c>
      <c r="W212" s="87" t="str">
        <f>IF($A212="","",TRIM(INDEX(FORM!$L:$L,ROW())&amp;""))</f>
        <v>Tidak ada semua sudah tercakup</v>
      </c>
      <c r="X212" s="87" t="str">
        <f>IF($A212="","",TRIM(INDEX(FORM!$M:$M,ROW())&amp;""))</f>
        <v>Perlu ditingkatkan lg penampilan handbook nya supaya lebih menarik</v>
      </c>
      <c r="Y212" s="8">
        <f>IF($A212="","",IFERROR(MATCH(F212,DATA!$AH$2:$AH$5,0),9)*10000+A212)</f>
        <v>10211</v>
      </c>
      <c r="Z212" s="87" t="str">
        <f t="shared" si="67"/>
        <v>Tidak ada masukan / sudah baik</v>
      </c>
      <c r="AA212" s="87" t="str">
        <f t="shared" si="68"/>
        <v>Tidak ada masukan / sudah baik</v>
      </c>
      <c r="AB212" s="87" t="str">
        <f t="shared" si="69"/>
        <v>Desain Tampilan</v>
      </c>
      <c r="AC212" s="87"/>
      <c r="AD212" s="87"/>
      <c r="AE212" s="87"/>
      <c r="AK212" s="90">
        <f t="shared" si="70"/>
        <v>0</v>
      </c>
      <c r="AL212" s="90">
        <f t="shared" si="71"/>
        <v>0</v>
      </c>
      <c r="AM212" s="90">
        <f t="shared" si="72"/>
        <v>1</v>
      </c>
      <c r="AN212" s="90">
        <f t="shared" si="73"/>
        <v>0</v>
      </c>
      <c r="AO212" s="90">
        <f t="shared" si="74"/>
        <v>0</v>
      </c>
      <c r="AP212" s="90">
        <f t="shared" si="75"/>
        <v>0</v>
      </c>
      <c r="AQ212" s="90">
        <f t="shared" si="76"/>
        <v>0</v>
      </c>
      <c r="AR212" s="90">
        <f t="shared" si="77"/>
        <v>0</v>
      </c>
      <c r="AS212" s="90">
        <f t="shared" si="78"/>
        <v>0</v>
      </c>
      <c r="AT212" s="90">
        <f t="shared" si="79"/>
        <v>0</v>
      </c>
      <c r="AU212" s="90">
        <f t="shared" si="80"/>
        <v>0</v>
      </c>
      <c r="AV212" s="90">
        <f t="shared" si="81"/>
        <v>0</v>
      </c>
      <c r="AW212" s="90">
        <f t="shared" si="82"/>
        <v>0</v>
      </c>
      <c r="AX212" s="90">
        <f t="shared" si="83"/>
        <v>0</v>
      </c>
      <c r="AY212" s="90">
        <f t="shared" si="84"/>
        <v>0</v>
      </c>
      <c r="AZ212" s="90">
        <f t="shared" si="85"/>
        <v>0</v>
      </c>
      <c r="BA212" s="90">
        <f t="shared" si="86"/>
        <v>0</v>
      </c>
      <c r="BB212" s="90">
        <f t="shared" si="87"/>
        <v>1</v>
      </c>
    </row>
    <row r="213" spans="1:54">
      <c r="A213" s="87">
        <f>IF(INDEX(FORM!$A:$A,ROW())="","",ROW()-1)</f>
        <v>212</v>
      </c>
      <c r="B213" s="88">
        <f>IF($A213="","",INDEX(FORM!$A:$A,ROW()))</f>
        <v>46311.719270833302</v>
      </c>
      <c r="C213" s="87" t="str">
        <f>IF($A213="","",TRIM(INDEX(FORM!$B:$B,ROW())))</f>
        <v>Saproni</v>
      </c>
      <c r="D213" s="87" t="str">
        <f>IF($A213="","",TRIM(INDEX(FORM!$C:$C,ROW())&amp;""))</f>
        <v>1511187</v>
      </c>
      <c r="E213" s="87" t="str">
        <f>IF($A213="","",UPPER(TRIM(INDEX(FORM!$D:$D,ROW()))))</f>
        <v>SUKABUMI</v>
      </c>
      <c r="F213" s="87" t="str">
        <f>IF($A213="","",IFERROR(INDEX(PROGRES!$A$2:$A$92,MATCH(E213,PROGRES!$B$2:$B$92,0)),"-"))</f>
        <v>Jawa Barat</v>
      </c>
      <c r="G213" s="87" t="str">
        <f>IF($A213="","",UPPER(TRIM(INDEX(FORM!$F:$F,ROW()))))</f>
        <v>JABAR DKI BANTEN</v>
      </c>
      <c r="H213" s="87" t="str">
        <f>IF($A213="","",UPPER(TRIM(INDEX(FORM!$E:$E,ROW()))))</f>
        <v>CRO</v>
      </c>
      <c r="I213" s="87" t="str">
        <f>IF($A213="","",UPPER(TRIM(INDEX(FORM!$G:$G,ROW()))))</f>
        <v>CUKUP</v>
      </c>
      <c r="J213" s="87" t="str">
        <f>IF($A213="","",IF(ISNUMBER(SEARCH("Ya,",INDEX(FORM!$H:$H,ROW()))),"YA",IF(ISNUMBER(SEARCH("Cukup,",INDEX(FORM!$H:$H,ROW()))),"CUKUP",IF(ISNUMBER(SEARCH("Kurang,",INDEX(FORM!$H:$H,ROW()))),"KURANG",""))))</f>
        <v>CUKUP</v>
      </c>
      <c r="K213" s="87" t="str">
        <f>IF($A213="","",UPPER(TRIM(INDEX(FORM!$J:$J,ROW()))))</f>
        <v>CUKUP</v>
      </c>
      <c r="L213" s="87">
        <f>IF($A213="","",IF(ISNUMBER(SEARCH("Aktivitas Harian",INDEX(FORM!$K:$K,ROW()))),1,0))</f>
        <v>1</v>
      </c>
      <c r="M213" s="87">
        <f>IF($A213="","",IF(ISNUMBER(SEARCH("Aktivitas Mingguan",INDEX(FORM!$K:$K,ROW()))),1,0))</f>
        <v>0</v>
      </c>
      <c r="N213" s="87">
        <f>IF($A213="","",IF(ISNUMBER(SEARCH("Aktivitas Bulanan",INDEX(FORM!$K:$K,ROW()))),1,0))</f>
        <v>0</v>
      </c>
      <c r="O213" s="87">
        <f>IF($A213="","",IF(ISNUMBER(SEARCH("Overview Cabang",INDEX(FORM!$K:$K,ROW()))),1,0))</f>
        <v>0</v>
      </c>
      <c r="P213" s="87">
        <f>IF($A213="","",IFERROR(VLOOKUP(I213,DATA!$AH$9:$AI$13,2,0),""))</f>
        <v>2</v>
      </c>
      <c r="Q213" s="87">
        <f>IF($A213="","",IFERROR(VLOOKUP(J213,DATA!$AH$9:$AI$13,2,0),""))</f>
        <v>2</v>
      </c>
      <c r="R213" s="87">
        <f>IF($A213="","",IFERROR(VLOOKUP(K213,DATA!$AH$9:$AI$13,2,0),""))</f>
        <v>2</v>
      </c>
      <c r="S213" s="89">
        <f t="shared" si="66"/>
        <v>2</v>
      </c>
      <c r="T213" s="87">
        <f>IF($A213="","",IF(COUNTIF($D$2:D213,D213)=1,1,0))</f>
        <v>1</v>
      </c>
      <c r="U213" s="87" t="str">
        <f>IF($A213="","",IF(F213="-","Cabang tdk ada",IF(IFERROR(VLOOKUP(G213,#REF!,1,0),"")="","",IF(INDEX(DATA!$AH$2:$AH$5,MATCH(G213,DATA!$AI$2:$AI$5,0))&lt;&gt;F213,"Wilayah beda","OK"))))</f>
        <v/>
      </c>
      <c r="V213" s="87" t="str">
        <f>IF($A213="","",TRIM(INDEX(FORM!$I:$I,ROW())&amp;""))</f>
        <v>Cukup bagus</v>
      </c>
      <c r="W213" s="87" t="str">
        <f>IF($A213="","",TRIM(INDEX(FORM!$L:$L,ROW())&amp;""))</f>
        <v>Tidak ada</v>
      </c>
      <c r="X213" s="87" t="str">
        <f>IF($A213="","",TRIM(INDEX(FORM!$M:$M,ROW())&amp;""))</f>
        <v>Tingkatkan lagi penampilan handbook nya agar menarik</v>
      </c>
      <c r="Y213" s="8">
        <f>IF($A213="","",IFERROR(MATCH(F213,DATA!$AH$2:$AH$5,0),9)*10000+A213)</f>
        <v>10212</v>
      </c>
      <c r="Z213" s="87" t="str">
        <f t="shared" si="67"/>
        <v>Tidak ada masukan / sudah baik</v>
      </c>
      <c r="AA213" s="87" t="str">
        <f t="shared" si="68"/>
        <v>Tidak ada masukan / sudah baik</v>
      </c>
      <c r="AB213" s="87" t="str">
        <f t="shared" si="69"/>
        <v>Desain Tampilan</v>
      </c>
      <c r="AC213" s="87"/>
      <c r="AD213" s="87"/>
      <c r="AE213" s="87"/>
      <c r="AK213" s="90">
        <f t="shared" si="70"/>
        <v>0</v>
      </c>
      <c r="AL213" s="90">
        <f t="shared" si="71"/>
        <v>0</v>
      </c>
      <c r="AM213" s="90">
        <f t="shared" si="72"/>
        <v>1</v>
      </c>
      <c r="AN213" s="90">
        <f t="shared" si="73"/>
        <v>0</v>
      </c>
      <c r="AO213" s="90">
        <f t="shared" si="74"/>
        <v>0</v>
      </c>
      <c r="AP213" s="90">
        <f t="shared" si="75"/>
        <v>0</v>
      </c>
      <c r="AQ213" s="90">
        <f t="shared" si="76"/>
        <v>0</v>
      </c>
      <c r="AR213" s="90">
        <f t="shared" si="77"/>
        <v>0</v>
      </c>
      <c r="AS213" s="90">
        <f t="shared" si="78"/>
        <v>0</v>
      </c>
      <c r="AT213" s="90">
        <f t="shared" si="79"/>
        <v>0</v>
      </c>
      <c r="AU213" s="90">
        <f t="shared" si="80"/>
        <v>0</v>
      </c>
      <c r="AV213" s="90">
        <f t="shared" si="81"/>
        <v>0</v>
      </c>
      <c r="AW213" s="90">
        <f t="shared" si="82"/>
        <v>0</v>
      </c>
      <c r="AX213" s="90">
        <f t="shared" si="83"/>
        <v>0</v>
      </c>
      <c r="AY213" s="90">
        <f t="shared" si="84"/>
        <v>0</v>
      </c>
      <c r="AZ213" s="90">
        <f t="shared" si="85"/>
        <v>0</v>
      </c>
      <c r="BA213" s="90">
        <f t="shared" si="86"/>
        <v>0</v>
      </c>
      <c r="BB213" s="90">
        <f t="shared" si="87"/>
        <v>1</v>
      </c>
    </row>
    <row r="214" spans="1:54">
      <c r="A214" s="87">
        <f>IF(INDEX(FORM!$A:$A,ROW())="","",ROW()-1)</f>
        <v>213</v>
      </c>
      <c r="B214" s="88">
        <f>IF($A214="","",INDEX(FORM!$A:$A,ROW()))</f>
        <v>46311.722800925898</v>
      </c>
      <c r="C214" s="87" t="str">
        <f>IF($A214="","",TRIM(INDEX(FORM!$B:$B,ROW())))</f>
        <v>Fadli wardana</v>
      </c>
      <c r="D214" s="87" t="str">
        <f>IF($A214="","",TRIM(INDEX(FORM!$C:$C,ROW())&amp;""))</f>
        <v>1510842</v>
      </c>
      <c r="E214" s="87" t="str">
        <f>IF($A214="","",UPPER(TRIM(INDEX(FORM!$D:$D,ROW()))))</f>
        <v>BOYOLALI</v>
      </c>
      <c r="F214" s="87" t="str">
        <f>IF($A214="","",IFERROR(INDEX(PROGRES!$A$2:$A$92,MATCH(E214,PROGRES!$B$2:$B$92,0)),"-"))</f>
        <v>Jawa Tengah</v>
      </c>
      <c r="G214" s="87" t="str">
        <f>IF($A214="","",UPPER(TRIM(INDEX(FORM!$F:$F,ROW()))))</f>
        <v>JATENG DIY</v>
      </c>
      <c r="H214" s="87" t="str">
        <f>IF($A214="","",UPPER(TRIM(INDEX(FORM!$E:$E,ROW()))))</f>
        <v>CRO</v>
      </c>
      <c r="I214" s="87" t="str">
        <f>IF($A214="","",UPPER(TRIM(INDEX(FORM!$G:$G,ROW()))))</f>
        <v>MUDAH</v>
      </c>
      <c r="J214" s="87" t="str">
        <f>IF($A214="","",IF(ISNUMBER(SEARCH("Ya,",INDEX(FORM!$H:$H,ROW()))),"YA",IF(ISNUMBER(SEARCH("Cukup,",INDEX(FORM!$H:$H,ROW()))),"CUKUP",IF(ISNUMBER(SEARCH("Kurang,",INDEX(FORM!$H:$H,ROW()))),"KURANG",""))))</f>
        <v>YA</v>
      </c>
      <c r="K214" s="87" t="str">
        <f>IF($A214="","",UPPER(TRIM(INDEX(FORM!$J:$J,ROW()))))</f>
        <v>MUDAH</v>
      </c>
      <c r="L214" s="87">
        <f>IF($A214="","",IF(ISNUMBER(SEARCH("Aktivitas Harian",INDEX(FORM!$K:$K,ROW()))),1,0))</f>
        <v>1</v>
      </c>
      <c r="M214" s="87">
        <f>IF($A214="","",IF(ISNUMBER(SEARCH("Aktivitas Mingguan",INDEX(FORM!$K:$K,ROW()))),1,0))</f>
        <v>1</v>
      </c>
      <c r="N214" s="87">
        <f>IF($A214="","",IF(ISNUMBER(SEARCH("Aktivitas Bulanan",INDEX(FORM!$K:$K,ROW()))),1,0))</f>
        <v>1</v>
      </c>
      <c r="O214" s="87">
        <f>IF($A214="","",IF(ISNUMBER(SEARCH("Overview Cabang",INDEX(FORM!$K:$K,ROW()))),1,0))</f>
        <v>1</v>
      </c>
      <c r="P214" s="87">
        <f>IF($A214="","",IFERROR(VLOOKUP(I214,DATA!$AH$9:$AI$13,2,0),""))</f>
        <v>3</v>
      </c>
      <c r="Q214" s="87">
        <f>IF($A214="","",IFERROR(VLOOKUP(J214,DATA!$AH$9:$AI$13,2,0),""))</f>
        <v>3</v>
      </c>
      <c r="R214" s="87">
        <f>IF($A214="","",IFERROR(VLOOKUP(K214,DATA!$AH$9:$AI$13,2,0),""))</f>
        <v>3</v>
      </c>
      <c r="S214" s="89">
        <f t="shared" si="66"/>
        <v>3</v>
      </c>
      <c r="T214" s="87">
        <f>IF($A214="","",IF(COUNTIF($D$2:D214,D214)=1,1,0))</f>
        <v>1</v>
      </c>
      <c r="U214" s="87" t="str">
        <f>IF($A214="","",IF(F214="-","Cabang tdk ada",IF(IFERROR(VLOOKUP(G214,#REF!,1,0),"")="","",IF(INDEX(DATA!$AH$2:$AH$5,MATCH(G214,DATA!$AI$2:$AI$5,0))&lt;&gt;F214,"Wilayah beda","OK"))))</f>
        <v/>
      </c>
      <c r="V214" s="87" t="str">
        <f>IF($A214="","",TRIM(INDEX(FORM!$I:$I,ROW())&amp;""))</f>
        <v>Ui /ux yg lebih menarik</v>
      </c>
      <c r="W214" s="87" t="str">
        <f>IF($A214="","",TRIM(INDEX(FORM!$L:$L,ROW())&amp;""))</f>
        <v>Sudah</v>
      </c>
      <c r="X214" s="87" t="str">
        <f>IF($A214="","",TRIM(INDEX(FORM!$M:$M,ROW())&amp;""))</f>
        <v>Cukup</v>
      </c>
      <c r="Y214" s="8">
        <f>IF($A214="","",IFERROR(MATCH(F214,DATA!$AH$2:$AH$5,0),9)*10000+A214)</f>
        <v>20213</v>
      </c>
      <c r="Z214" s="87" t="str">
        <f t="shared" si="67"/>
        <v>Desain, Warna &amp; Font</v>
      </c>
      <c r="AA214" s="87" t="str">
        <f t="shared" si="68"/>
        <v>Tidak ada masukan / sudah baik</v>
      </c>
      <c r="AB214" s="87" t="str">
        <f t="shared" si="69"/>
        <v>Tidak ada masukan / sudah baik</v>
      </c>
      <c r="AC214" s="87"/>
      <c r="AD214" s="87"/>
      <c r="AE214" s="87"/>
      <c r="AK214" s="90">
        <f t="shared" si="70"/>
        <v>0</v>
      </c>
      <c r="AL214" s="90">
        <f t="shared" si="71"/>
        <v>0</v>
      </c>
      <c r="AM214" s="90">
        <f t="shared" si="72"/>
        <v>1</v>
      </c>
      <c r="AN214" s="90">
        <f t="shared" si="73"/>
        <v>0</v>
      </c>
      <c r="AO214" s="90">
        <f t="shared" si="74"/>
        <v>0</v>
      </c>
      <c r="AP214" s="90">
        <f t="shared" si="75"/>
        <v>0</v>
      </c>
      <c r="AQ214" s="90">
        <f t="shared" si="76"/>
        <v>0</v>
      </c>
      <c r="AR214" s="90">
        <f t="shared" si="77"/>
        <v>0</v>
      </c>
      <c r="AS214" s="90">
        <f t="shared" si="78"/>
        <v>0</v>
      </c>
      <c r="AT214" s="90">
        <f t="shared" si="79"/>
        <v>0</v>
      </c>
      <c r="AU214" s="90">
        <f t="shared" si="80"/>
        <v>0</v>
      </c>
      <c r="AV214" s="90">
        <f t="shared" si="81"/>
        <v>0</v>
      </c>
      <c r="AW214" s="90">
        <f t="shared" si="82"/>
        <v>0</v>
      </c>
      <c r="AX214" s="90">
        <f t="shared" si="83"/>
        <v>0</v>
      </c>
      <c r="AY214" s="90">
        <f t="shared" si="84"/>
        <v>0</v>
      </c>
      <c r="AZ214" s="90">
        <f t="shared" si="85"/>
        <v>0</v>
      </c>
      <c r="BA214" s="90">
        <f t="shared" si="86"/>
        <v>0</v>
      </c>
      <c r="BB214" s="90">
        <f t="shared" si="87"/>
        <v>1</v>
      </c>
    </row>
    <row r="215" spans="1:54">
      <c r="A215" s="87">
        <f>IF(INDEX(FORM!$A:$A,ROW())="","",ROW()-1)</f>
        <v>214</v>
      </c>
      <c r="B215" s="88">
        <f>IF($A215="","",INDEX(FORM!$A:$A,ROW()))</f>
        <v>46311.732731481497</v>
      </c>
      <c r="C215" s="87" t="str">
        <f>IF($A215="","",TRIM(INDEX(FORM!$B:$B,ROW())))</f>
        <v>Deden subakti</v>
      </c>
      <c r="D215" s="87" t="str">
        <f>IF($A215="","",TRIM(INDEX(FORM!$C:$C,ROW())&amp;""))</f>
        <v>1510966</v>
      </c>
      <c r="E215" s="87" t="str">
        <f>IF($A215="","",UPPER(TRIM(INDEX(FORM!$D:$D,ROW()))))</f>
        <v>BEKASI</v>
      </c>
      <c r="F215" s="87" t="str">
        <f>IF($A215="","",IFERROR(INDEX(PROGRES!$A$2:$A$92,MATCH(E215,PROGRES!$B$2:$B$92,0)),"-"))</f>
        <v>Jawa Barat</v>
      </c>
      <c r="G215" s="87" t="str">
        <f>IF($A215="","",UPPER(TRIM(INDEX(FORM!$F:$F,ROW()))))</f>
        <v>JABAR DKI BANTEN</v>
      </c>
      <c r="H215" s="87" t="str">
        <f>IF($A215="","",UPPER(TRIM(INDEX(FORM!$E:$E,ROW()))))</f>
        <v>CRO</v>
      </c>
      <c r="I215" s="87" t="str">
        <f>IF($A215="","",UPPER(TRIM(INDEX(FORM!$G:$G,ROW()))))</f>
        <v>MUDAH</v>
      </c>
      <c r="J215" s="87" t="str">
        <f>IF($A215="","",IF(ISNUMBER(SEARCH("Ya,",INDEX(FORM!$H:$H,ROW()))),"YA",IF(ISNUMBER(SEARCH("Cukup,",INDEX(FORM!$H:$H,ROW()))),"CUKUP",IF(ISNUMBER(SEARCH("Kurang,",INDEX(FORM!$H:$H,ROW()))),"KURANG",""))))</f>
        <v>YA</v>
      </c>
      <c r="K215" s="87" t="str">
        <f>IF($A215="","",UPPER(TRIM(INDEX(FORM!$J:$J,ROW()))))</f>
        <v>MUDAH</v>
      </c>
      <c r="L215" s="87">
        <f>IF($A215="","",IF(ISNUMBER(SEARCH("Aktivitas Harian",INDEX(FORM!$K:$K,ROW()))),1,0))</f>
        <v>1</v>
      </c>
      <c r="M215" s="87">
        <f>IF($A215="","",IF(ISNUMBER(SEARCH("Aktivitas Mingguan",INDEX(FORM!$K:$K,ROW()))),1,0))</f>
        <v>0</v>
      </c>
      <c r="N215" s="87">
        <f>IF($A215="","",IF(ISNUMBER(SEARCH("Aktivitas Bulanan",INDEX(FORM!$K:$K,ROW()))),1,0))</f>
        <v>0</v>
      </c>
      <c r="O215" s="87">
        <f>IF($A215="","",IF(ISNUMBER(SEARCH("Overview Cabang",INDEX(FORM!$K:$K,ROW()))),1,0))</f>
        <v>0</v>
      </c>
      <c r="P215" s="87">
        <f>IF($A215="","",IFERROR(VLOOKUP(I215,DATA!$AH$9:$AI$13,2,0),""))</f>
        <v>3</v>
      </c>
      <c r="Q215" s="87">
        <f>IF($A215="","",IFERROR(VLOOKUP(J215,DATA!$AH$9:$AI$13,2,0),""))</f>
        <v>3</v>
      </c>
      <c r="R215" s="87">
        <f>IF($A215="","",IFERROR(VLOOKUP(K215,DATA!$AH$9:$AI$13,2,0),""))</f>
        <v>3</v>
      </c>
      <c r="S215" s="89">
        <f t="shared" si="66"/>
        <v>3</v>
      </c>
      <c r="T215" s="87">
        <f>IF($A215="","",IF(COUNTIF($D$2:D215,D215)=1,1,0))</f>
        <v>1</v>
      </c>
      <c r="U215" s="87" t="str">
        <f>IF($A215="","",IF(F215="-","Cabang tdk ada",IF(IFERROR(VLOOKUP(G215,#REF!,1,0),"")="","",IF(INDEX(DATA!$AH$2:$AH$5,MATCH(G215,DATA!$AI$2:$AI$5,0))&lt;&gt;F215,"Wilayah beda","OK"))))</f>
        <v/>
      </c>
      <c r="V215" s="87" t="str">
        <f>IF($A215="","",TRIM(INDEX(FORM!$I:$I,ROW())&amp;""))</f>
        <v>Bagus</v>
      </c>
      <c r="W215" s="87" t="str">
        <f>IF($A215="","",TRIM(INDEX(FORM!$L:$L,ROW())&amp;""))</f>
        <v>Bagus</v>
      </c>
      <c r="X215" s="87" t="str">
        <f>IF($A215="","",TRIM(INDEX(FORM!$M:$M,ROW())&amp;""))</f>
        <v>Bagus</v>
      </c>
      <c r="Y215" s="8">
        <f>IF($A215="","",IFERROR(MATCH(F215,DATA!$AH$2:$AH$5,0),9)*10000+A215)</f>
        <v>10214</v>
      </c>
      <c r="Z215" s="87" t="str">
        <f t="shared" si="67"/>
        <v>Tidak ada masukan / sudah baik</v>
      </c>
      <c r="AA215" s="87" t="str">
        <f t="shared" si="68"/>
        <v>Tidak ada masukan / sudah baik</v>
      </c>
      <c r="AB215" s="87" t="str">
        <f t="shared" si="69"/>
        <v>Tidak ada masukan / sudah baik</v>
      </c>
      <c r="AC215" s="87"/>
      <c r="AD215" s="87"/>
      <c r="AE215" s="87"/>
      <c r="AK215" s="90">
        <f t="shared" si="70"/>
        <v>0</v>
      </c>
      <c r="AL215" s="90">
        <f t="shared" si="71"/>
        <v>0</v>
      </c>
      <c r="AM215" s="90">
        <f t="shared" si="72"/>
        <v>0</v>
      </c>
      <c r="AN215" s="90">
        <f t="shared" si="73"/>
        <v>0</v>
      </c>
      <c r="AO215" s="90">
        <f t="shared" si="74"/>
        <v>0</v>
      </c>
      <c r="AP215" s="90">
        <f t="shared" si="75"/>
        <v>0</v>
      </c>
      <c r="AQ215" s="90">
        <f t="shared" si="76"/>
        <v>0</v>
      </c>
      <c r="AR215" s="90">
        <f t="shared" si="77"/>
        <v>0</v>
      </c>
      <c r="AS215" s="90">
        <f t="shared" si="78"/>
        <v>0</v>
      </c>
      <c r="AT215" s="90">
        <f t="shared" si="79"/>
        <v>0</v>
      </c>
      <c r="AU215" s="90">
        <f t="shared" si="80"/>
        <v>0</v>
      </c>
      <c r="AV215" s="90">
        <f t="shared" si="81"/>
        <v>0</v>
      </c>
      <c r="AW215" s="90">
        <f t="shared" si="82"/>
        <v>0</v>
      </c>
      <c r="AX215" s="90">
        <f t="shared" si="83"/>
        <v>0</v>
      </c>
      <c r="AY215" s="90">
        <f t="shared" si="84"/>
        <v>0</v>
      </c>
      <c r="AZ215" s="90">
        <f t="shared" si="85"/>
        <v>0</v>
      </c>
      <c r="BA215" s="90">
        <f t="shared" si="86"/>
        <v>0</v>
      </c>
      <c r="BB215" s="90">
        <f t="shared" si="87"/>
        <v>0</v>
      </c>
    </row>
    <row r="216" spans="1:54">
      <c r="A216" s="87">
        <f>IF(INDEX(FORM!$A:$A,ROW())="","",ROW()-1)</f>
        <v>215</v>
      </c>
      <c r="B216" s="88">
        <f>IF($A216="","",INDEX(FORM!$A:$A,ROW()))</f>
        <v>46311.7493287037</v>
      </c>
      <c r="C216" s="87" t="str">
        <f>IF($A216="","",TRIM(INDEX(FORM!$B:$B,ROW())))</f>
        <v>Wanda gunawan</v>
      </c>
      <c r="D216" s="87" t="str">
        <f>IF($A216="","",TRIM(INDEX(FORM!$C:$C,ROW())&amp;""))</f>
        <v>1510644</v>
      </c>
      <c r="E216" s="87" t="str">
        <f>IF($A216="","",UPPER(TRIM(INDEX(FORM!$D:$D,ROW()))))</f>
        <v>SUKABUMI</v>
      </c>
      <c r="F216" s="87" t="str">
        <f>IF($A216="","",IFERROR(INDEX(PROGRES!$A$2:$A$92,MATCH(E216,PROGRES!$B$2:$B$92,0)),"-"))</f>
        <v>Jawa Barat</v>
      </c>
      <c r="G216" s="87" t="str">
        <f>IF($A216="","",UPPER(TRIM(INDEX(FORM!$F:$F,ROW()))))</f>
        <v>JABAR DKI BANTEN</v>
      </c>
      <c r="H216" s="87" t="str">
        <f>IF($A216="","",UPPER(TRIM(INDEX(FORM!$E:$E,ROW()))))</f>
        <v>CRO</v>
      </c>
      <c r="I216" s="87" t="str">
        <f>IF($A216="","",UPPER(TRIM(INDEX(FORM!$G:$G,ROW()))))</f>
        <v>MUDAH</v>
      </c>
      <c r="J216" s="87" t="str">
        <f>IF($A216="","",IF(ISNUMBER(SEARCH("Ya,",INDEX(FORM!$H:$H,ROW()))),"YA",IF(ISNUMBER(SEARCH("Cukup,",INDEX(FORM!$H:$H,ROW()))),"CUKUP",IF(ISNUMBER(SEARCH("Kurang,",INDEX(FORM!$H:$H,ROW()))),"KURANG",""))))</f>
        <v>YA</v>
      </c>
      <c r="K216" s="87" t="str">
        <f>IF($A216="","",UPPER(TRIM(INDEX(FORM!$J:$J,ROW()))))</f>
        <v>MUDAH</v>
      </c>
      <c r="L216" s="87">
        <f>IF($A216="","",IF(ISNUMBER(SEARCH("Aktivitas Harian",INDEX(FORM!$K:$K,ROW()))),1,0))</f>
        <v>1</v>
      </c>
      <c r="M216" s="87">
        <f>IF($A216="","",IF(ISNUMBER(SEARCH("Aktivitas Mingguan",INDEX(FORM!$K:$K,ROW()))),1,0))</f>
        <v>0</v>
      </c>
      <c r="N216" s="87">
        <f>IF($A216="","",IF(ISNUMBER(SEARCH("Aktivitas Bulanan",INDEX(FORM!$K:$K,ROW()))),1,0))</f>
        <v>1</v>
      </c>
      <c r="O216" s="87">
        <f>IF($A216="","",IF(ISNUMBER(SEARCH("Overview Cabang",INDEX(FORM!$K:$K,ROW()))),1,0))</f>
        <v>0</v>
      </c>
      <c r="P216" s="87">
        <f>IF($A216="","",IFERROR(VLOOKUP(I216,DATA!$AH$9:$AI$13,2,0),""))</f>
        <v>3</v>
      </c>
      <c r="Q216" s="87">
        <f>IF($A216="","",IFERROR(VLOOKUP(J216,DATA!$AH$9:$AI$13,2,0),""))</f>
        <v>3</v>
      </c>
      <c r="R216" s="87">
        <f>IF($A216="","",IFERROR(VLOOKUP(K216,DATA!$AH$9:$AI$13,2,0),""))</f>
        <v>3</v>
      </c>
      <c r="S216" s="89">
        <f t="shared" si="66"/>
        <v>3</v>
      </c>
      <c r="T216" s="87">
        <f>IF($A216="","",IF(COUNTIF($D$2:D216,D216)=1,1,0))</f>
        <v>1</v>
      </c>
      <c r="U216" s="87" t="str">
        <f>IF($A216="","",IF(F216="-","Cabang tdk ada",IF(IFERROR(VLOOKUP(G216,#REF!,1,0),"")="","",IF(INDEX(DATA!$AH$2:$AH$5,MATCH(G216,DATA!$AI$2:$AI$5,0))&lt;&gt;F216,"Wilayah beda","OK"))))</f>
        <v/>
      </c>
      <c r="V216" s="87" t="str">
        <f>IF($A216="","",TRIM(INDEX(FORM!$I:$I,ROW())&amp;""))</f>
        <v>Lebih efektif</v>
      </c>
      <c r="W216" s="87" t="str">
        <f>IF($A216="","",TRIM(INDEX(FORM!$L:$L,ROW())&amp;""))</f>
        <v>Lebih teratur</v>
      </c>
      <c r="X216" s="87" t="str">
        <f>IF($A216="","",TRIM(INDEX(FORM!$M:$M,ROW())&amp;""))</f>
        <v>Lebih mudah</v>
      </c>
      <c r="Y216" s="8">
        <f>IF($A216="","",IFERROR(MATCH(F216,DATA!$AH$2:$AH$5,0),9)*10000+A216)</f>
        <v>10215</v>
      </c>
      <c r="Z216" s="87" t="str">
        <f t="shared" si="67"/>
        <v>Lainnya (perlu dibaca manual)</v>
      </c>
      <c r="AA216" s="87" t="str">
        <f t="shared" si="68"/>
        <v>Lainnya (perlu dibaca manual)</v>
      </c>
      <c r="AB216" s="87" t="str">
        <f t="shared" si="69"/>
        <v>Tidak ada masukan / sudah baik</v>
      </c>
      <c r="AC216" s="87"/>
      <c r="AD216" s="87"/>
      <c r="AE216" s="87"/>
      <c r="AK216" s="90">
        <f t="shared" si="70"/>
        <v>0</v>
      </c>
      <c r="AL216" s="90">
        <f t="shared" si="71"/>
        <v>0</v>
      </c>
      <c r="AM216" s="90">
        <f t="shared" si="72"/>
        <v>0</v>
      </c>
      <c r="AN216" s="90">
        <f t="shared" si="73"/>
        <v>0</v>
      </c>
      <c r="AO216" s="90">
        <f t="shared" si="74"/>
        <v>0</v>
      </c>
      <c r="AP216" s="90">
        <f t="shared" si="75"/>
        <v>0</v>
      </c>
      <c r="AQ216" s="90">
        <f t="shared" si="76"/>
        <v>0</v>
      </c>
      <c r="AR216" s="90">
        <f t="shared" si="77"/>
        <v>0</v>
      </c>
      <c r="AS216" s="90">
        <f t="shared" si="78"/>
        <v>0</v>
      </c>
      <c r="AT216" s="90">
        <f t="shared" si="79"/>
        <v>0</v>
      </c>
      <c r="AU216" s="90">
        <f t="shared" si="80"/>
        <v>0</v>
      </c>
      <c r="AV216" s="90">
        <f t="shared" si="81"/>
        <v>0</v>
      </c>
      <c r="AW216" s="90">
        <f t="shared" si="82"/>
        <v>0</v>
      </c>
      <c r="AX216" s="90">
        <f t="shared" si="83"/>
        <v>0</v>
      </c>
      <c r="AY216" s="90">
        <f t="shared" si="84"/>
        <v>0</v>
      </c>
      <c r="AZ216" s="90">
        <f t="shared" si="85"/>
        <v>0</v>
      </c>
      <c r="BA216" s="90">
        <f t="shared" si="86"/>
        <v>1</v>
      </c>
      <c r="BB216" s="90">
        <f t="shared" si="87"/>
        <v>1</v>
      </c>
    </row>
    <row r="217" spans="1:54" s="5" customFormat="1" hidden="1">
      <c r="A217" s="8">
        <f>IF(INDEX(FORM!$A:$A,ROW())="","",ROW()-1)</f>
        <v>216</v>
      </c>
      <c r="B217" s="41">
        <f>IF($A217="","",INDEX(FORM!$A:$A,ROW()))</f>
        <v>46311.750914351898</v>
      </c>
      <c r="C217" s="8" t="str">
        <f>IF($A217="","",TRIM(INDEX(FORM!$B:$B,ROW())))</f>
        <v>Reza Cesar Tiarso</v>
      </c>
      <c r="D217" s="8" t="str">
        <f>IF($A217="","",TRIM(INDEX(FORM!$C:$C,ROW())&amp;""))</f>
        <v>1511354</v>
      </c>
      <c r="E217" s="8" t="str">
        <f>IF($A217="","",UPPER(TRIM(INDEX(FORM!$D:$D,ROW()))))</f>
        <v>BEKASI</v>
      </c>
      <c r="F217" s="8" t="str">
        <f>IF($A217="","",IFERROR(INDEX(PROGRES!$A$2:$A$92,MATCH(E217,PROGRES!$B$2:$B$92,0)),"-"))</f>
        <v>Jawa Barat</v>
      </c>
      <c r="G217" s="8" t="str">
        <f>IF($A217="","",UPPER(TRIM(INDEX(FORM!$F:$F,ROW()))))</f>
        <v>JABAR DKI BANTEN</v>
      </c>
      <c r="H217" s="8" t="str">
        <f>IF($A217="","",UPPER(TRIM(INDEX(FORM!$E:$E,ROW()))))</f>
        <v>BAO</v>
      </c>
      <c r="I217" s="8" t="str">
        <f>IF($A217="","",UPPER(TRIM(INDEX(FORM!$G:$G,ROW()))))</f>
        <v>MUDAH</v>
      </c>
      <c r="J217" s="8" t="str">
        <f>IF($A217="","",IF(ISNUMBER(SEARCH("Ya,",INDEX(FORM!$H:$H,ROW()))),"YA",IF(ISNUMBER(SEARCH("Cukup,",INDEX(FORM!$H:$H,ROW()))),"CUKUP",IF(ISNUMBER(SEARCH("Kurang,",INDEX(FORM!$H:$H,ROW()))),"KURANG",""))))</f>
        <v>YA</v>
      </c>
      <c r="K217" s="8" t="str">
        <f>IF($A217="","",UPPER(TRIM(INDEX(FORM!$J:$J,ROW()))))</f>
        <v>MUDAH</v>
      </c>
      <c r="L217" s="8">
        <f>IF($A217="","",IF(ISNUMBER(SEARCH("Aktivitas Harian",INDEX(FORM!$K:$K,ROW()))),1,0))</f>
        <v>1</v>
      </c>
      <c r="M217" s="8">
        <f>IF($A217="","",IF(ISNUMBER(SEARCH("Aktivitas Mingguan",INDEX(FORM!$K:$K,ROW()))),1,0))</f>
        <v>1</v>
      </c>
      <c r="N217" s="8">
        <f>IF($A217="","",IF(ISNUMBER(SEARCH("Aktivitas Bulanan",INDEX(FORM!$K:$K,ROW()))),1,0))</f>
        <v>1</v>
      </c>
      <c r="O217" s="8">
        <f>IF($A217="","",IF(ISNUMBER(SEARCH("Overview Cabang",INDEX(FORM!$K:$K,ROW()))),1,0))</f>
        <v>1</v>
      </c>
      <c r="P217" s="8">
        <f>IF($A217="","",IFERROR(VLOOKUP(I217,DATA!$AH$9:$AI$13,2,0),""))</f>
        <v>3</v>
      </c>
      <c r="Q217" s="8">
        <f>IF($A217="","",IFERROR(VLOOKUP(J217,DATA!$AH$9:$AI$13,2,0),""))</f>
        <v>3</v>
      </c>
      <c r="R217" s="8">
        <f>IF($A217="","",IFERROR(VLOOKUP(K217,DATA!$AH$9:$AI$13,2,0),""))</f>
        <v>3</v>
      </c>
      <c r="S217" s="42">
        <f t="shared" si="66"/>
        <v>3</v>
      </c>
      <c r="T217" s="8">
        <f>IF($A217="","",IF(COUNTIF($D$2:D217,D217)=1,1,0))</f>
        <v>1</v>
      </c>
      <c r="U217" s="8" t="str">
        <f>IF($A217="","",IF(F217="-","Cabang tdk ada",IF(IFERROR(VLOOKUP(G217,#REF!,1,0),"")="","",IF(INDEX(DATA!$AH$2:$AH$5,MATCH(G217,DATA!$AI$2:$AI$5,0))&lt;&gt;F217,"Wilayah beda","OK"))))</f>
        <v/>
      </c>
      <c r="V217" s="8" t="str">
        <f>IF($A217="","",TRIM(INDEX(FORM!$I:$I,ROW())&amp;""))</f>
        <v>Bagus dan update</v>
      </c>
      <c r="W217" s="8" t="str">
        <f>IF($A217="","",TRIM(INDEX(FORM!$L:$L,ROW())&amp;""))</f>
        <v>Tidak ada</v>
      </c>
      <c r="X217" s="8" t="str">
        <f>IF($A217="","",TRIM(INDEX(FORM!$M:$M,ROW())&amp;""))</f>
        <v>Baik dan semoga semakin berkembang</v>
      </c>
      <c r="Y217" s="8">
        <f>IF($A217="","",IFERROR(MATCH(F217,DATA!$AH$2:$AH$5,0),9)*10000+A217)</f>
        <v>10216</v>
      </c>
      <c r="Z217" s="8" t="str">
        <f t="shared" si="67"/>
        <v>Tidak ada masukan / sudah baik</v>
      </c>
      <c r="AA217" s="8" t="str">
        <f t="shared" si="68"/>
        <v>Tidak ada masukan / sudah baik</v>
      </c>
      <c r="AB217" s="8" t="str">
        <f t="shared" si="69"/>
        <v>Saran Umum Peningkatan</v>
      </c>
      <c r="AC217" s="8"/>
      <c r="AD217" s="8"/>
      <c r="AE217" s="8"/>
      <c r="AK217" s="5">
        <f t="shared" si="70"/>
        <v>0</v>
      </c>
      <c r="AL217" s="5">
        <f t="shared" si="71"/>
        <v>0</v>
      </c>
      <c r="AM217" s="5">
        <f t="shared" si="72"/>
        <v>0</v>
      </c>
      <c r="AN217" s="5">
        <f t="shared" si="73"/>
        <v>0</v>
      </c>
      <c r="AO217" s="5">
        <f t="shared" si="74"/>
        <v>0</v>
      </c>
      <c r="AP217" s="5">
        <f t="shared" si="75"/>
        <v>0</v>
      </c>
      <c r="AQ217" s="5">
        <f t="shared" si="76"/>
        <v>0</v>
      </c>
      <c r="AR217" s="5">
        <f t="shared" si="77"/>
        <v>0</v>
      </c>
      <c r="AS217" s="5">
        <f t="shared" si="78"/>
        <v>0</v>
      </c>
      <c r="AT217" s="5">
        <f t="shared" si="79"/>
        <v>0</v>
      </c>
      <c r="AU217" s="5">
        <f t="shared" si="80"/>
        <v>0</v>
      </c>
      <c r="AV217" s="5">
        <f t="shared" si="81"/>
        <v>0</v>
      </c>
      <c r="AW217" s="5">
        <f t="shared" si="82"/>
        <v>0</v>
      </c>
      <c r="AX217" s="5">
        <f t="shared" si="83"/>
        <v>0</v>
      </c>
      <c r="AY217" s="5">
        <f t="shared" si="84"/>
        <v>0</v>
      </c>
      <c r="AZ217" s="5">
        <f t="shared" si="85"/>
        <v>1</v>
      </c>
      <c r="BA217" s="5">
        <f t="shared" si="86"/>
        <v>0</v>
      </c>
      <c r="BB217" s="5">
        <f t="shared" si="87"/>
        <v>1</v>
      </c>
    </row>
    <row r="218" spans="1:54" s="5" customFormat="1" ht="101.25" hidden="1">
      <c r="A218" s="8">
        <f>IF(INDEX(FORM!$A:$A,ROW())="","",ROW()-1)</f>
        <v>217</v>
      </c>
      <c r="B218" s="41">
        <f>IF($A218="","",INDEX(FORM!$A:$A,ROW()))</f>
        <v>46311.7869907407</v>
      </c>
      <c r="C218" s="8" t="str">
        <f>IF($A218="","",TRIM(INDEX(FORM!$B:$B,ROW())))</f>
        <v>ACHMAD BACHRI</v>
      </c>
      <c r="D218" s="8" t="str">
        <f>IF($A218="","",TRIM(INDEX(FORM!$C:$C,ROW())&amp;""))</f>
        <v>1511108</v>
      </c>
      <c r="E218" s="8" t="str">
        <f>IF($A218="","",UPPER(TRIM(INDEX(FORM!$D:$D,ROW()))))</f>
        <v>CEPU</v>
      </c>
      <c r="F218" s="8" t="str">
        <f>IF($A218="","",IFERROR(INDEX(PROGRES!$A$2:$A$92,MATCH(E218,PROGRES!$B$2:$B$92,0)),"-"))</f>
        <v>Jawa Tengah</v>
      </c>
      <c r="G218" s="8" t="str">
        <f>IF($A218="","",UPPER(TRIM(INDEX(FORM!$F:$F,ROW()))))</f>
        <v>JATENG DIY</v>
      </c>
      <c r="H218" s="8" t="str">
        <f>IF($A218="","",UPPER(TRIM(INDEX(FORM!$E:$E,ROW()))))</f>
        <v>BAO</v>
      </c>
      <c r="I218" s="8" t="str">
        <f>IF($A218="","",UPPER(TRIM(INDEX(FORM!$G:$G,ROW()))))</f>
        <v>MUDAH</v>
      </c>
      <c r="J218" s="8" t="str">
        <f>IF($A218="","",IF(ISNUMBER(SEARCH("Ya,",INDEX(FORM!$H:$H,ROW()))),"YA",IF(ISNUMBER(SEARCH("Cukup,",INDEX(FORM!$H:$H,ROW()))),"CUKUP",IF(ISNUMBER(SEARCH("Kurang,",INDEX(FORM!$H:$H,ROW()))),"KURANG",""))))</f>
        <v>YA</v>
      </c>
      <c r="K218" s="8" t="str">
        <f>IF($A218="","",UPPER(TRIM(INDEX(FORM!$J:$J,ROW()))))</f>
        <v>MUDAH</v>
      </c>
      <c r="L218" s="8">
        <f>IF($A218="","",IF(ISNUMBER(SEARCH("Aktivitas Harian",INDEX(FORM!$K:$K,ROW()))),1,0))</f>
        <v>1</v>
      </c>
      <c r="M218" s="8">
        <f>IF($A218="","",IF(ISNUMBER(SEARCH("Aktivitas Mingguan",INDEX(FORM!$K:$K,ROW()))),1,0))</f>
        <v>0</v>
      </c>
      <c r="N218" s="8">
        <f>IF($A218="","",IF(ISNUMBER(SEARCH("Aktivitas Bulanan",INDEX(FORM!$K:$K,ROW()))),1,0))</f>
        <v>0</v>
      </c>
      <c r="O218" s="8">
        <f>IF($A218="","",IF(ISNUMBER(SEARCH("Overview Cabang",INDEX(FORM!$K:$K,ROW()))),1,0))</f>
        <v>0</v>
      </c>
      <c r="P218" s="8">
        <f>IF($A218="","",IFERROR(VLOOKUP(I218,DATA!$AH$9:$AI$13,2,0),""))</f>
        <v>3</v>
      </c>
      <c r="Q218" s="8">
        <f>IF($A218="","",IFERROR(VLOOKUP(J218,DATA!$AH$9:$AI$13,2,0),""))</f>
        <v>3</v>
      </c>
      <c r="R218" s="8">
        <f>IF($A218="","",IFERROR(VLOOKUP(K218,DATA!$AH$9:$AI$13,2,0),""))</f>
        <v>3</v>
      </c>
      <c r="S218" s="42">
        <f t="shared" si="66"/>
        <v>3</v>
      </c>
      <c r="T218" s="8">
        <f>IF($A218="","",IF(COUNTIF($D$2:D218,D218)=1,1,0))</f>
        <v>1</v>
      </c>
      <c r="U218" s="8" t="str">
        <f>IF($A218="","",IF(F218="-","Cabang tdk ada",IF(IFERROR(VLOOKUP(G218,#REF!,1,0),"")="","",IF(INDEX(DATA!$AH$2:$AH$5,MATCH(G218,DATA!$AI$2:$AI$5,0))&lt;&gt;F218,"Wilayah beda","OK"))))</f>
        <v/>
      </c>
      <c r="V218" s="8" t="str">
        <f>IF($A218="","",TRIM(INDEX(FORM!$I:$I,ROW())&amp;""))</f>
        <v>saat akses via hp untuk app btk yang ngeling via brinks loading / delay nya cukup lama (kadang hp'nya error bilang tagihan kembali 8-20 billing , sedangkan 1-5 biliing masih bisa di akses via hp). satu lagi untuk entri cms saat app biaya di 99 op saat klik menu edit tampilan juga butuh waktu / delay antara 1-2 menit</v>
      </c>
      <c r="W218" s="8" t="str">
        <f>IF($A218="","",TRIM(INDEX(FORM!$L:$L,ROW())&amp;""))</f>
        <v>tidak ada</v>
      </c>
      <c r="X218" s="43" t="str">
        <f>IF($A218="","",TRIM(INDEX(FORM!$M:$M,ROW())&amp;""))</f>
        <v>masukan : 
1. secara handbook sudah baik akan tetap untuk realisasi di applikasi sacs dan cc saat buka menu loadingnya di perbaiki..
2. Jaringan internet / modem yang di pakai cabang untuk stadarisasi brp mbps
( dikarnakan koneksi internet / wifi di cabang banyak yang join dan apakah juga mempengaruhi di web SACS - CC dan SAP)</v>
      </c>
      <c r="Y218" s="8">
        <f>IF($A218="","",IFERROR(MATCH(F218,DATA!$AH$2:$AH$5,0),9)*10000+A218)</f>
        <v>20217</v>
      </c>
      <c r="Z218" s="8" t="str">
        <f t="shared" si="67"/>
        <v>Kecepatan &amp; Loading Website</v>
      </c>
      <c r="AA218" s="8" t="str">
        <f t="shared" si="68"/>
        <v>Tidak ada masukan / sudah baik</v>
      </c>
      <c r="AB218" s="8" t="str">
        <f t="shared" si="69"/>
        <v>Kecepatan Akses Website</v>
      </c>
      <c r="AC218" s="8"/>
      <c r="AD218" s="8"/>
      <c r="AE218" s="8"/>
      <c r="AK218" s="5">
        <f t="shared" si="70"/>
        <v>1</v>
      </c>
      <c r="AL218" s="5">
        <f t="shared" si="71"/>
        <v>0</v>
      </c>
      <c r="AM218" s="5">
        <f t="shared" si="72"/>
        <v>0</v>
      </c>
      <c r="AN218" s="5">
        <f t="shared" si="73"/>
        <v>0</v>
      </c>
      <c r="AO218" s="5">
        <f t="shared" si="74"/>
        <v>0</v>
      </c>
      <c r="AP218" s="5">
        <f t="shared" si="75"/>
        <v>0</v>
      </c>
      <c r="AQ218" s="5">
        <f t="shared" si="76"/>
        <v>0</v>
      </c>
      <c r="AR218" s="5">
        <f t="shared" si="77"/>
        <v>0</v>
      </c>
      <c r="AS218" s="5">
        <f t="shared" si="78"/>
        <v>0</v>
      </c>
      <c r="AT218" s="5">
        <f t="shared" si="79"/>
        <v>0</v>
      </c>
      <c r="AU218" s="5">
        <f t="shared" si="80"/>
        <v>0</v>
      </c>
      <c r="AV218" s="5">
        <f t="shared" si="81"/>
        <v>0</v>
      </c>
      <c r="AW218" s="5">
        <f t="shared" si="82"/>
        <v>0</v>
      </c>
      <c r="AX218" s="5">
        <f t="shared" si="83"/>
        <v>0</v>
      </c>
      <c r="AY218" s="5">
        <f t="shared" si="84"/>
        <v>0</v>
      </c>
      <c r="AZ218" s="5">
        <f t="shared" si="85"/>
        <v>0</v>
      </c>
      <c r="BA218" s="5">
        <f t="shared" si="86"/>
        <v>0</v>
      </c>
      <c r="BB218" s="5">
        <f t="shared" si="87"/>
        <v>1</v>
      </c>
    </row>
    <row r="219" spans="1:54">
      <c r="A219" s="87">
        <f>IF(INDEX(FORM!$A:$A,ROW())="","",ROW()-1)</f>
        <v>218</v>
      </c>
      <c r="B219" s="88">
        <f>IF($A219="","",INDEX(FORM!$A:$A,ROW()))</f>
        <v>46311.811724537001</v>
      </c>
      <c r="C219" s="87" t="str">
        <f>IF($A219="","",TRIM(INDEX(FORM!$B:$B,ROW())))</f>
        <v>TONI DWI PRASETYO</v>
      </c>
      <c r="D219" s="87" t="str">
        <f>IF($A219="","",TRIM(INDEX(FORM!$C:$C,ROW())&amp;""))</f>
        <v>1511055</v>
      </c>
      <c r="E219" s="87" t="str">
        <f>IF($A219="","",UPPER(TRIM(INDEX(FORM!$D:$D,ROW()))))</f>
        <v>MADIUN</v>
      </c>
      <c r="F219" s="87" t="str">
        <f>IF($A219="","",IFERROR(INDEX(PROGRES!$A$2:$A$92,MATCH(E219,PROGRES!$B$2:$B$92,0)),"-"))</f>
        <v>Jawa Timur</v>
      </c>
      <c r="G219" s="87" t="str">
        <f>IF($A219="","",UPPER(TRIM(INDEX(FORM!$F:$F,ROW()))))</f>
        <v>JATIM</v>
      </c>
      <c r="H219" s="87" t="str">
        <f>IF($A219="","",UPPER(TRIM(INDEX(FORM!$E:$E,ROW()))))</f>
        <v>CRO</v>
      </c>
      <c r="I219" s="87" t="str">
        <f>IF($A219="","",UPPER(TRIM(INDEX(FORM!$G:$G,ROW()))))</f>
        <v>MUDAH</v>
      </c>
      <c r="J219" s="87" t="str">
        <f>IF($A219="","",IF(ISNUMBER(SEARCH("Ya,",INDEX(FORM!$H:$H,ROW()))),"YA",IF(ISNUMBER(SEARCH("Cukup,",INDEX(FORM!$H:$H,ROW()))),"CUKUP",IF(ISNUMBER(SEARCH("Kurang,",INDEX(FORM!$H:$H,ROW()))),"KURANG",""))))</f>
        <v>YA</v>
      </c>
      <c r="K219" s="87" t="str">
        <f>IF($A219="","",UPPER(TRIM(INDEX(FORM!$J:$J,ROW()))))</f>
        <v>MUDAH</v>
      </c>
      <c r="L219" s="87">
        <f>IF($A219="","",IF(ISNUMBER(SEARCH("Aktivitas Harian",INDEX(FORM!$K:$K,ROW()))),1,0))</f>
        <v>1</v>
      </c>
      <c r="M219" s="87">
        <f>IF($A219="","",IF(ISNUMBER(SEARCH("Aktivitas Mingguan",INDEX(FORM!$K:$K,ROW()))),1,0))</f>
        <v>0</v>
      </c>
      <c r="N219" s="87">
        <f>IF($A219="","",IF(ISNUMBER(SEARCH("Aktivitas Bulanan",INDEX(FORM!$K:$K,ROW()))),1,0))</f>
        <v>0</v>
      </c>
      <c r="O219" s="87">
        <f>IF($A219="","",IF(ISNUMBER(SEARCH("Overview Cabang",INDEX(FORM!$K:$K,ROW()))),1,0))</f>
        <v>0</v>
      </c>
      <c r="P219" s="87">
        <f>IF($A219="","",IFERROR(VLOOKUP(I219,DATA!$AH$9:$AI$13,2,0),""))</f>
        <v>3</v>
      </c>
      <c r="Q219" s="87">
        <f>IF($A219="","",IFERROR(VLOOKUP(J219,DATA!$AH$9:$AI$13,2,0),""))</f>
        <v>3</v>
      </c>
      <c r="R219" s="87">
        <f>IF($A219="","",IFERROR(VLOOKUP(K219,DATA!$AH$9:$AI$13,2,0),""))</f>
        <v>3</v>
      </c>
      <c r="S219" s="89">
        <f t="shared" si="66"/>
        <v>3</v>
      </c>
      <c r="T219" s="87">
        <f>IF($A219="","",IF(COUNTIF($D$2:D219,D219)=1,1,0))</f>
        <v>1</v>
      </c>
      <c r="U219" s="87" t="str">
        <f>IF($A219="","",IF(F219="-","Cabang tdk ada",IF(IFERROR(VLOOKUP(G219,#REF!,1,0),"")="","",IF(INDEX(DATA!$AH$2:$AH$5,MATCH(G219,DATA!$AI$2:$AI$5,0))&lt;&gt;F219,"Wilayah beda","OK"))))</f>
        <v/>
      </c>
      <c r="V219" s="87" t="str">
        <f>IF($A219="","",TRIM(INDEX(FORM!$I:$I,ROW())&amp;""))</f>
        <v>Sudah cukup</v>
      </c>
      <c r="W219" s="87" t="str">
        <f>IF($A219="","",TRIM(INDEX(FORM!$L:$L,ROW())&amp;""))</f>
        <v>Sudah tercantum semua</v>
      </c>
      <c r="X219" s="87" t="str">
        <f>IF($A219="","",TRIM(INDEX(FORM!$M:$M,ROW())&amp;""))</f>
        <v>Kalau perlu di tambah menu - menu product knowlidge produk produk yang di jual SID untuk refreshing pengetahuan cro</v>
      </c>
      <c r="Y219" s="8">
        <f>IF($A219="","",IFERROR(MATCH(F219,DATA!$AH$2:$AH$5,0),9)*10000+A219)</f>
        <v>30218</v>
      </c>
      <c r="Z219" s="87" t="str">
        <f t="shared" si="67"/>
        <v>Tidak ada masukan / sudah baik</v>
      </c>
      <c r="AA219" s="87" t="str">
        <f t="shared" si="68"/>
        <v>Tidak ada masukan / sudah baik</v>
      </c>
      <c r="AB219" s="87" t="str">
        <f t="shared" si="69"/>
        <v>Lainnya (perlu dibaca manual)</v>
      </c>
      <c r="AC219" s="87"/>
      <c r="AD219" s="87"/>
      <c r="AE219" s="87"/>
      <c r="AK219" s="90">
        <f t="shared" si="70"/>
        <v>0</v>
      </c>
      <c r="AL219" s="90">
        <f t="shared" si="71"/>
        <v>0</v>
      </c>
      <c r="AM219" s="90">
        <f t="shared" si="72"/>
        <v>0</v>
      </c>
      <c r="AN219" s="90">
        <f t="shared" si="73"/>
        <v>0</v>
      </c>
      <c r="AO219" s="90">
        <f t="shared" si="74"/>
        <v>0</v>
      </c>
      <c r="AP219" s="90">
        <f t="shared" si="75"/>
        <v>0</v>
      </c>
      <c r="AQ219" s="90">
        <f t="shared" si="76"/>
        <v>0</v>
      </c>
      <c r="AR219" s="90">
        <f t="shared" si="77"/>
        <v>0</v>
      </c>
      <c r="AS219" s="90">
        <f t="shared" si="78"/>
        <v>0</v>
      </c>
      <c r="AT219" s="90">
        <f t="shared" si="79"/>
        <v>0</v>
      </c>
      <c r="AU219" s="90">
        <f t="shared" si="80"/>
        <v>0</v>
      </c>
      <c r="AV219" s="90">
        <f t="shared" si="81"/>
        <v>0</v>
      </c>
      <c r="AW219" s="90">
        <f t="shared" si="82"/>
        <v>0</v>
      </c>
      <c r="AX219" s="90">
        <f t="shared" si="83"/>
        <v>0</v>
      </c>
      <c r="AY219" s="90">
        <f t="shared" si="84"/>
        <v>0</v>
      </c>
      <c r="AZ219" s="90">
        <f t="shared" si="85"/>
        <v>0</v>
      </c>
      <c r="BA219" s="90">
        <f t="shared" si="86"/>
        <v>1</v>
      </c>
      <c r="BB219" s="90">
        <f t="shared" si="87"/>
        <v>1</v>
      </c>
    </row>
    <row r="220" spans="1:54">
      <c r="A220" s="87">
        <f>IF(INDEX(FORM!$A:$A,ROW())="","",ROW()-1)</f>
        <v>219</v>
      </c>
      <c r="B220" s="88">
        <f>IF($A220="","",INDEX(FORM!$A:$A,ROW()))</f>
        <v>46311.813449074099</v>
      </c>
      <c r="C220" s="87" t="str">
        <f>IF($A220="","",TRIM(INDEX(FORM!$B:$B,ROW())))</f>
        <v>Dede Rohendi</v>
      </c>
      <c r="D220" s="87" t="str">
        <f>IF($A220="","",TRIM(INDEX(FORM!$C:$C,ROW())&amp;""))</f>
        <v>1510696</v>
      </c>
      <c r="E220" s="87" t="str">
        <f>IF($A220="","",UPPER(TRIM(INDEX(FORM!$D:$D,ROW()))))</f>
        <v>SUKABUMI II</v>
      </c>
      <c r="F220" s="87" t="str">
        <f>IF($A220="","",IFERROR(INDEX(PROGRES!$A$2:$A$92,MATCH(E220,PROGRES!$B$2:$B$92,0)),"-"))</f>
        <v>Jawa Barat</v>
      </c>
      <c r="G220" s="87" t="str">
        <f>IF($A220="","",UPPER(TRIM(INDEX(FORM!$F:$F,ROW()))))</f>
        <v>JABAR DKI BANTEN</v>
      </c>
      <c r="H220" s="87" t="str">
        <f>IF($A220="","",UPPER(TRIM(INDEX(FORM!$E:$E,ROW()))))</f>
        <v>CRO</v>
      </c>
      <c r="I220" s="87" t="str">
        <f>IF($A220="","",UPPER(TRIM(INDEX(FORM!$G:$G,ROW()))))</f>
        <v>MUDAH</v>
      </c>
      <c r="J220" s="87" t="str">
        <f>IF($A220="","",IF(ISNUMBER(SEARCH("Ya,",INDEX(FORM!$H:$H,ROW()))),"YA",IF(ISNUMBER(SEARCH("Cukup,",INDEX(FORM!$H:$H,ROW()))),"CUKUP",IF(ISNUMBER(SEARCH("Kurang,",INDEX(FORM!$H:$H,ROW()))),"KURANG",""))))</f>
        <v>CUKUP</v>
      </c>
      <c r="K220" s="87" t="str">
        <f>IF($A220="","",UPPER(TRIM(INDEX(FORM!$J:$J,ROW()))))</f>
        <v>MUDAH</v>
      </c>
      <c r="L220" s="87">
        <f>IF($A220="","",IF(ISNUMBER(SEARCH("Aktivitas Harian",INDEX(FORM!$K:$K,ROW()))),1,0))</f>
        <v>1</v>
      </c>
      <c r="M220" s="87">
        <f>IF($A220="","",IF(ISNUMBER(SEARCH("Aktivitas Mingguan",INDEX(FORM!$K:$K,ROW()))),1,0))</f>
        <v>1</v>
      </c>
      <c r="N220" s="87">
        <f>IF($A220="","",IF(ISNUMBER(SEARCH("Aktivitas Bulanan",INDEX(FORM!$K:$K,ROW()))),1,0))</f>
        <v>1</v>
      </c>
      <c r="O220" s="87">
        <f>IF($A220="","",IF(ISNUMBER(SEARCH("Overview Cabang",INDEX(FORM!$K:$K,ROW()))),1,0))</f>
        <v>1</v>
      </c>
      <c r="P220" s="87">
        <f>IF($A220="","",IFERROR(VLOOKUP(I220,DATA!$AH$9:$AI$13,2,0),""))</f>
        <v>3</v>
      </c>
      <c r="Q220" s="87">
        <f>IF($A220="","",IFERROR(VLOOKUP(J220,DATA!$AH$9:$AI$13,2,0),""))</f>
        <v>2</v>
      </c>
      <c r="R220" s="87">
        <f>IF($A220="","",IFERROR(VLOOKUP(K220,DATA!$AH$9:$AI$13,2,0),""))</f>
        <v>3</v>
      </c>
      <c r="S220" s="89">
        <f t="shared" si="66"/>
        <v>2.6666666666666665</v>
      </c>
      <c r="T220" s="87">
        <f>IF($A220="","",IF(COUNTIF($D$2:D220,D220)=1,1,0))</f>
        <v>1</v>
      </c>
      <c r="U220" s="87" t="str">
        <f>IF($A220="","",IF(F220="-","Cabang tdk ada",IF(IFERROR(VLOOKUP(G220,#REF!,1,0),"")="","",IF(INDEX(DATA!$AH$2:$AH$5,MATCH(G220,DATA!$AI$2:$AI$5,0))&lt;&gt;F220,"Wilayah beda","OK"))))</f>
        <v/>
      </c>
      <c r="V220" s="87" t="str">
        <f>IF($A220="","",TRIM(INDEX(FORM!$I:$I,ROW())&amp;""))</f>
        <v>Dibuat lebih simple, tidak lambat /beda halaman di halaman selengkapnya</v>
      </c>
      <c r="W220" s="87" t="str">
        <f>IF($A220="","",TRIM(INDEX(FORM!$L:$L,ROW())&amp;""))</f>
        <v>tata tertib pakaian/</v>
      </c>
      <c r="X220" s="87" t="str">
        <f>IF($A220="","",TRIM(INDEX(FORM!$M:$M,ROW())&amp;""))</f>
        <v>Masing" divisi hanya bisa akses ke Handbook divisinya
Semoga terus maju dan makin mempermudah yang awalnya website bisa jadi 1 jendela /di akses di sacs(aplikasi) terima kasihh</v>
      </c>
      <c r="Y220" s="8">
        <f>IF($A220="","",IFERROR(MATCH(F220,DATA!$AH$2:$AH$5,0),9)*10000+A220)</f>
        <v>10219</v>
      </c>
      <c r="Z220" s="87" t="str">
        <f t="shared" si="67"/>
        <v>Kecepatan &amp; Loading Website</v>
      </c>
      <c r="AA220" s="87" t="str">
        <f t="shared" si="68"/>
        <v>Lainnya (perlu dibaca manual)</v>
      </c>
      <c r="AB220" s="87" t="str">
        <f t="shared" si="69"/>
        <v>Integrasi ke SACS / Aplikasi Kerja</v>
      </c>
      <c r="AC220" s="87"/>
      <c r="AD220" s="87"/>
      <c r="AE220" s="87"/>
      <c r="AK220" s="90">
        <f t="shared" si="70"/>
        <v>1</v>
      </c>
      <c r="AL220" s="90">
        <f t="shared" si="71"/>
        <v>0</v>
      </c>
      <c r="AM220" s="90">
        <f t="shared" si="72"/>
        <v>0</v>
      </c>
      <c r="AN220" s="90">
        <f t="shared" si="73"/>
        <v>0</v>
      </c>
      <c r="AO220" s="90">
        <f t="shared" si="74"/>
        <v>1</v>
      </c>
      <c r="AP220" s="90">
        <f t="shared" si="75"/>
        <v>0</v>
      </c>
      <c r="AQ220" s="90">
        <f t="shared" si="76"/>
        <v>0</v>
      </c>
      <c r="AR220" s="90">
        <f t="shared" si="77"/>
        <v>0</v>
      </c>
      <c r="AS220" s="90">
        <f t="shared" si="78"/>
        <v>0</v>
      </c>
      <c r="AT220" s="90">
        <f t="shared" si="79"/>
        <v>0</v>
      </c>
      <c r="AU220" s="90">
        <f t="shared" si="80"/>
        <v>0</v>
      </c>
      <c r="AV220" s="90">
        <f t="shared" si="81"/>
        <v>0</v>
      </c>
      <c r="AW220" s="90">
        <f t="shared" si="82"/>
        <v>0</v>
      </c>
      <c r="AX220" s="90">
        <f t="shared" si="83"/>
        <v>0</v>
      </c>
      <c r="AY220" s="90">
        <f t="shared" si="84"/>
        <v>0</v>
      </c>
      <c r="AZ220" s="90">
        <f t="shared" si="85"/>
        <v>0</v>
      </c>
      <c r="BA220" s="90">
        <f t="shared" si="86"/>
        <v>1</v>
      </c>
      <c r="BB220" s="90">
        <f t="shared" si="87"/>
        <v>1</v>
      </c>
    </row>
    <row r="221" spans="1:54">
      <c r="A221" s="87">
        <f>IF(INDEX(FORM!$A:$A,ROW())="","",ROW()-1)</f>
        <v>220</v>
      </c>
      <c r="B221" s="88">
        <f>IF($A221="","",INDEX(FORM!$A:$A,ROW()))</f>
        <v>46311.816909722198</v>
      </c>
      <c r="C221" s="87" t="str">
        <f>IF($A221="","",TRIM(INDEX(FORM!$B:$B,ROW())))</f>
        <v>Febryan Machendra</v>
      </c>
      <c r="D221" s="87" t="str">
        <f>IF($A221="","",TRIM(INDEX(FORM!$C:$C,ROW())&amp;""))</f>
        <v>1510760</v>
      </c>
      <c r="E221" s="87" t="str">
        <f>IF($A221="","",UPPER(TRIM(INDEX(FORM!$D:$D,ROW()))))</f>
        <v>MADIUN</v>
      </c>
      <c r="F221" s="87" t="str">
        <f>IF($A221="","",IFERROR(INDEX(PROGRES!$A$2:$A$92,MATCH(E221,PROGRES!$B$2:$B$92,0)),"-"))</f>
        <v>Jawa Timur</v>
      </c>
      <c r="G221" s="87" t="str">
        <f>IF($A221="","",UPPER(TRIM(INDEX(FORM!$F:$F,ROW()))))</f>
        <v>JATIM</v>
      </c>
      <c r="H221" s="87" t="str">
        <f>IF($A221="","",UPPER(TRIM(INDEX(FORM!$E:$E,ROW()))))</f>
        <v>CRO</v>
      </c>
      <c r="I221" s="87" t="str">
        <f>IF($A221="","",UPPER(TRIM(INDEX(FORM!$G:$G,ROW()))))</f>
        <v>MUDAH</v>
      </c>
      <c r="J221" s="87" t="str">
        <f>IF($A221="","",IF(ISNUMBER(SEARCH("Ya,",INDEX(FORM!$H:$H,ROW()))),"YA",IF(ISNUMBER(SEARCH("Cukup,",INDEX(FORM!$H:$H,ROW()))),"CUKUP",IF(ISNUMBER(SEARCH("Kurang,",INDEX(FORM!$H:$H,ROW()))),"KURANG",""))))</f>
        <v>YA</v>
      </c>
      <c r="K221" s="87" t="str">
        <f>IF($A221="","",UPPER(TRIM(INDEX(FORM!$J:$J,ROW()))))</f>
        <v>MUDAH</v>
      </c>
      <c r="L221" s="87">
        <f>IF($A221="","",IF(ISNUMBER(SEARCH("Aktivitas Harian",INDEX(FORM!$K:$K,ROW()))),1,0))</f>
        <v>0</v>
      </c>
      <c r="M221" s="87">
        <f>IF($A221="","",IF(ISNUMBER(SEARCH("Aktivitas Mingguan",INDEX(FORM!$K:$K,ROW()))),1,0))</f>
        <v>1</v>
      </c>
      <c r="N221" s="87">
        <f>IF($A221="","",IF(ISNUMBER(SEARCH("Aktivitas Bulanan",INDEX(FORM!$K:$K,ROW()))),1,0))</f>
        <v>0</v>
      </c>
      <c r="O221" s="87">
        <f>IF($A221="","",IF(ISNUMBER(SEARCH("Overview Cabang",INDEX(FORM!$K:$K,ROW()))),1,0))</f>
        <v>0</v>
      </c>
      <c r="P221" s="87">
        <f>IF($A221="","",IFERROR(VLOOKUP(I221,DATA!$AH$9:$AI$13,2,0),""))</f>
        <v>3</v>
      </c>
      <c r="Q221" s="87">
        <f>IF($A221="","",IFERROR(VLOOKUP(J221,DATA!$AH$9:$AI$13,2,0),""))</f>
        <v>3</v>
      </c>
      <c r="R221" s="87">
        <f>IF($A221="","",IFERROR(VLOOKUP(K221,DATA!$AH$9:$AI$13,2,0),""))</f>
        <v>3</v>
      </c>
      <c r="S221" s="89">
        <f t="shared" si="66"/>
        <v>3</v>
      </c>
      <c r="T221" s="87">
        <f>IF($A221="","",IF(COUNTIF($D$2:D221,D221)=1,1,0))</f>
        <v>1</v>
      </c>
      <c r="U221" s="87" t="str">
        <f>IF($A221="","",IF(F221="-","Cabang tdk ada",IF(IFERROR(VLOOKUP(G221,#REF!,1,0),"")="","",IF(INDEX(DATA!$AH$2:$AH$5,MATCH(G221,DATA!$AI$2:$AI$5,0))&lt;&gt;F221,"Wilayah beda","OK"))))</f>
        <v/>
      </c>
      <c r="V221" s="87" t="str">
        <f>IF($A221="","",TRIM(INDEX(FORM!$I:$I,ROW())&amp;""))</f>
        <v>Sudah bagus tata letaknya</v>
      </c>
      <c r="W221" s="87" t="str">
        <f>IF($A221="","",TRIM(INDEX(FORM!$L:$L,ROW())&amp;""))</f>
        <v>Sudah sesuai</v>
      </c>
      <c r="X221" s="87" t="str">
        <f>IF($A221="","",TRIM(INDEX(FORM!$M:$M,ROW())&amp;""))</f>
        <v>Tambahkan foto per group barang lebih detail</v>
      </c>
      <c r="Y221" s="8">
        <f>IF($A221="","",IFERROR(MATCH(F221,DATA!$AH$2:$AH$5,0),9)*10000+A221)</f>
        <v>30220</v>
      </c>
      <c r="Z221" s="87" t="str">
        <f t="shared" si="67"/>
        <v>Penyederhanaan &amp; Ringkas Isi</v>
      </c>
      <c r="AA221" s="87" t="str">
        <f t="shared" si="68"/>
        <v>Tidak ada masukan / sudah baik</v>
      </c>
      <c r="AB221" s="87" t="str">
        <f t="shared" si="69"/>
        <v>Penambahan Materi &amp; Template</v>
      </c>
      <c r="AC221" s="87"/>
      <c r="AD221" s="87"/>
      <c r="AE221" s="87"/>
      <c r="AK221" s="90">
        <f t="shared" si="70"/>
        <v>0</v>
      </c>
      <c r="AL221" s="90">
        <f t="shared" si="71"/>
        <v>0</v>
      </c>
      <c r="AM221" s="90">
        <f t="shared" si="72"/>
        <v>0</v>
      </c>
      <c r="AN221" s="90">
        <f t="shared" si="73"/>
        <v>0</v>
      </c>
      <c r="AO221" s="90">
        <f t="shared" si="74"/>
        <v>0</v>
      </c>
      <c r="AP221" s="90">
        <f t="shared" si="75"/>
        <v>0</v>
      </c>
      <c r="AQ221" s="90">
        <f t="shared" si="76"/>
        <v>1</v>
      </c>
      <c r="AR221" s="90">
        <f t="shared" si="77"/>
        <v>1</v>
      </c>
      <c r="AS221" s="90">
        <f t="shared" si="78"/>
        <v>0</v>
      </c>
      <c r="AT221" s="90">
        <f t="shared" si="79"/>
        <v>0</v>
      </c>
      <c r="AU221" s="90">
        <f t="shared" si="80"/>
        <v>0</v>
      </c>
      <c r="AV221" s="90">
        <f t="shared" si="81"/>
        <v>0</v>
      </c>
      <c r="AW221" s="90">
        <f t="shared" si="82"/>
        <v>0</v>
      </c>
      <c r="AX221" s="90">
        <f t="shared" si="83"/>
        <v>0</v>
      </c>
      <c r="AY221" s="90">
        <f t="shared" si="84"/>
        <v>0</v>
      </c>
      <c r="AZ221" s="90">
        <f t="shared" si="85"/>
        <v>0</v>
      </c>
      <c r="BA221" s="90">
        <f t="shared" si="86"/>
        <v>0</v>
      </c>
      <c r="BB221" s="90">
        <f t="shared" si="87"/>
        <v>1</v>
      </c>
    </row>
    <row r="222" spans="1:54">
      <c r="A222" s="87">
        <f>IF(INDEX(FORM!$A:$A,ROW())="","",ROW()-1)</f>
        <v>221</v>
      </c>
      <c r="B222" s="88">
        <f>IF($A222="","",INDEX(FORM!$A:$A,ROW()))</f>
        <v>46311.906122685199</v>
      </c>
      <c r="C222" s="87" t="str">
        <f>IF($A222="","",TRIM(INDEX(FORM!$B:$B,ROW())))</f>
        <v>Nur Insan Romadhon</v>
      </c>
      <c r="D222" s="87" t="str">
        <f>IF($A222="","",TRIM(INDEX(FORM!$C:$C,ROW())&amp;""))</f>
        <v>1511288</v>
      </c>
      <c r="E222" s="87" t="str">
        <f>IF($A222="","",UPPER(TRIM(INDEX(FORM!$D:$D,ROW()))))</f>
        <v>TUBAN</v>
      </c>
      <c r="F222" s="87" t="str">
        <f>IF($A222="","",IFERROR(INDEX(PROGRES!$A$2:$A$92,MATCH(E222,PROGRES!$B$2:$B$92,0)),"-"))</f>
        <v>Jawa Timur</v>
      </c>
      <c r="G222" s="87" t="str">
        <f>IF($A222="","",UPPER(TRIM(INDEX(FORM!$F:$F,ROW()))))</f>
        <v>JATIM</v>
      </c>
      <c r="H222" s="87" t="str">
        <f>IF($A222="","",UPPER(TRIM(INDEX(FORM!$E:$E,ROW()))))</f>
        <v>CRO</v>
      </c>
      <c r="I222" s="87" t="str">
        <f>IF($A222="","",UPPER(TRIM(INDEX(FORM!$G:$G,ROW()))))</f>
        <v>CUKUP</v>
      </c>
      <c r="J222" s="87" t="str">
        <f>IF($A222="","",IF(ISNUMBER(SEARCH("Ya,",INDEX(FORM!$H:$H,ROW()))),"YA",IF(ISNUMBER(SEARCH("Cukup,",INDEX(FORM!$H:$H,ROW()))),"CUKUP",IF(ISNUMBER(SEARCH("Kurang,",INDEX(FORM!$H:$H,ROW()))),"KURANG",""))))</f>
        <v>YA</v>
      </c>
      <c r="K222" s="87" t="str">
        <f>IF($A222="","",UPPER(TRIM(INDEX(FORM!$J:$J,ROW()))))</f>
        <v>MUDAH</v>
      </c>
      <c r="L222" s="87">
        <f>IF($A222="","",IF(ISNUMBER(SEARCH("Aktivitas Harian",INDEX(FORM!$K:$K,ROW()))),1,0))</f>
        <v>1</v>
      </c>
      <c r="M222" s="87">
        <f>IF($A222="","",IF(ISNUMBER(SEARCH("Aktivitas Mingguan",INDEX(FORM!$K:$K,ROW()))),1,0))</f>
        <v>1</v>
      </c>
      <c r="N222" s="87">
        <f>IF($A222="","",IF(ISNUMBER(SEARCH("Aktivitas Bulanan",INDEX(FORM!$K:$K,ROW()))),1,0))</f>
        <v>1</v>
      </c>
      <c r="O222" s="87">
        <f>IF($A222="","",IF(ISNUMBER(SEARCH("Overview Cabang",INDEX(FORM!$K:$K,ROW()))),1,0))</f>
        <v>0</v>
      </c>
      <c r="P222" s="87">
        <f>IF($A222="","",IFERROR(VLOOKUP(I222,DATA!$AH$9:$AI$13,2,0),""))</f>
        <v>2</v>
      </c>
      <c r="Q222" s="87">
        <f>IF($A222="","",IFERROR(VLOOKUP(J222,DATA!$AH$9:$AI$13,2,0),""))</f>
        <v>3</v>
      </c>
      <c r="R222" s="87">
        <f>IF($A222="","",IFERROR(VLOOKUP(K222,DATA!$AH$9:$AI$13,2,0),""))</f>
        <v>3</v>
      </c>
      <c r="S222" s="89">
        <f t="shared" si="66"/>
        <v>2.6666666666666665</v>
      </c>
      <c r="T222" s="87">
        <f>IF($A222="","",IF(COUNTIF($D$2:D222,D222)=1,1,0))</f>
        <v>1</v>
      </c>
      <c r="U222" s="87" t="str">
        <f>IF($A222="","",IF(F222="-","Cabang tdk ada",IF(IFERROR(VLOOKUP(G222,#REF!,1,0),"")="","",IF(INDEX(DATA!$AH$2:$AH$5,MATCH(G222,DATA!$AI$2:$AI$5,0))&lt;&gt;F222,"Wilayah beda","OK"))))</f>
        <v/>
      </c>
      <c r="V222" s="87" t="str">
        <f>IF($A222="","",TRIM(INDEX(FORM!$I:$I,ROW())&amp;""))</f>
        <v>Baik</v>
      </c>
      <c r="W222" s="87" t="str">
        <f>IF($A222="","",TRIM(INDEX(FORM!$L:$L,ROW())&amp;""))</f>
        <v>Cukup</v>
      </c>
      <c r="X222" s="87" t="str">
        <f>IF($A222="","",TRIM(INDEX(FORM!$M:$M,ROW())&amp;""))</f>
        <v>Perbaiki tampilan dan layouting agar lebih praktis dan tidak monoton</v>
      </c>
      <c r="Y222" s="8">
        <f>IF($A222="","",IFERROR(MATCH(F222,DATA!$AH$2:$AH$5,0),9)*10000+A222)</f>
        <v>30221</v>
      </c>
      <c r="Z222" s="87" t="str">
        <f t="shared" si="67"/>
        <v>Tidak ada masukan / sudah baik</v>
      </c>
      <c r="AA222" s="87" t="str">
        <f t="shared" si="68"/>
        <v>Tidak ada masukan / sudah baik</v>
      </c>
      <c r="AB222" s="87" t="str">
        <f t="shared" si="69"/>
        <v>Penyederhanaan Isi</v>
      </c>
      <c r="AC222" s="87"/>
      <c r="AD222" s="87"/>
      <c r="AE222" s="87"/>
      <c r="AK222" s="90">
        <f t="shared" si="70"/>
        <v>0</v>
      </c>
      <c r="AL222" s="90">
        <f t="shared" si="71"/>
        <v>0</v>
      </c>
      <c r="AM222" s="90">
        <f t="shared" si="72"/>
        <v>0</v>
      </c>
      <c r="AN222" s="90">
        <f t="shared" si="73"/>
        <v>0</v>
      </c>
      <c r="AO222" s="90">
        <f t="shared" si="74"/>
        <v>0</v>
      </c>
      <c r="AP222" s="90">
        <f t="shared" si="75"/>
        <v>0</v>
      </c>
      <c r="AQ222" s="90">
        <f t="shared" si="76"/>
        <v>1</v>
      </c>
      <c r="AR222" s="90">
        <f t="shared" si="77"/>
        <v>0</v>
      </c>
      <c r="AS222" s="90">
        <f t="shared" si="78"/>
        <v>0</v>
      </c>
      <c r="AT222" s="90">
        <f t="shared" si="79"/>
        <v>0</v>
      </c>
      <c r="AU222" s="90">
        <f t="shared" si="80"/>
        <v>0</v>
      </c>
      <c r="AV222" s="90">
        <f t="shared" si="81"/>
        <v>0</v>
      </c>
      <c r="AW222" s="90">
        <f t="shared" si="82"/>
        <v>0</v>
      </c>
      <c r="AX222" s="90">
        <f t="shared" si="83"/>
        <v>0</v>
      </c>
      <c r="AY222" s="90">
        <f t="shared" si="84"/>
        <v>0</v>
      </c>
      <c r="AZ222" s="90">
        <f t="shared" si="85"/>
        <v>0</v>
      </c>
      <c r="BA222" s="90">
        <f t="shared" si="86"/>
        <v>0</v>
      </c>
      <c r="BB222" s="90">
        <f t="shared" si="87"/>
        <v>1</v>
      </c>
    </row>
    <row r="223" spans="1:54">
      <c r="A223" s="87">
        <f>IF(INDEX(FORM!$A:$A,ROW())="","",ROW()-1)</f>
        <v>222</v>
      </c>
      <c r="B223" s="88">
        <f>IF($A223="","",INDEX(FORM!$A:$A,ROW()))</f>
        <v>46312.327152777798</v>
      </c>
      <c r="C223" s="87" t="str">
        <f>IF($A223="","",TRIM(INDEX(FORM!$B:$B,ROW())))</f>
        <v>Bambang Hariyadi</v>
      </c>
      <c r="D223" s="87" t="str">
        <f>IF($A223="","",TRIM(INDEX(FORM!$C:$C,ROW())&amp;""))</f>
        <v>1525018</v>
      </c>
      <c r="E223" s="87" t="str">
        <f>IF($A223="","",UPPER(TRIM(INDEX(FORM!$D:$D,ROW()))))</f>
        <v>WONOGIRI</v>
      </c>
      <c r="F223" s="87" t="str">
        <f>IF($A223="","",IFERROR(INDEX(PROGRES!$A$2:$A$92,MATCH(E223,PROGRES!$B$2:$B$92,0)),"-"))</f>
        <v>Jawa Tengah</v>
      </c>
      <c r="G223" s="87" t="str">
        <f>IF($A223="","",UPPER(TRIM(INDEX(FORM!$F:$F,ROW()))))</f>
        <v>JATENG DIY</v>
      </c>
      <c r="H223" s="87" t="str">
        <f>IF($A223="","",UPPER(TRIM(INDEX(FORM!$E:$E,ROW()))))</f>
        <v>CRO</v>
      </c>
      <c r="I223" s="87" t="str">
        <f>IF($A223="","",UPPER(TRIM(INDEX(FORM!$G:$G,ROW()))))</f>
        <v>MUDAH</v>
      </c>
      <c r="J223" s="87" t="str">
        <f>IF($A223="","",IF(ISNUMBER(SEARCH("Ya,",INDEX(FORM!$H:$H,ROW()))),"YA",IF(ISNUMBER(SEARCH("Cukup,",INDEX(FORM!$H:$H,ROW()))),"CUKUP",IF(ISNUMBER(SEARCH("Kurang,",INDEX(FORM!$H:$H,ROW()))),"KURANG",""))))</f>
        <v>YA</v>
      </c>
      <c r="K223" s="87" t="str">
        <f>IF($A223="","",UPPER(TRIM(INDEX(FORM!$J:$J,ROW()))))</f>
        <v>CUKUP</v>
      </c>
      <c r="L223" s="87">
        <f>IF($A223="","",IF(ISNUMBER(SEARCH("Aktivitas Harian",INDEX(FORM!$K:$K,ROW()))),1,0))</f>
        <v>1</v>
      </c>
      <c r="M223" s="87">
        <f>IF($A223="","",IF(ISNUMBER(SEARCH("Aktivitas Mingguan",INDEX(FORM!$K:$K,ROW()))),1,0))</f>
        <v>0</v>
      </c>
      <c r="N223" s="87">
        <f>IF($A223="","",IF(ISNUMBER(SEARCH("Aktivitas Bulanan",INDEX(FORM!$K:$K,ROW()))),1,0))</f>
        <v>0</v>
      </c>
      <c r="O223" s="87">
        <f>IF($A223="","",IF(ISNUMBER(SEARCH("Overview Cabang",INDEX(FORM!$K:$K,ROW()))),1,0))</f>
        <v>0</v>
      </c>
      <c r="P223" s="87">
        <f>IF($A223="","",IFERROR(VLOOKUP(I223,DATA!$AH$9:$AI$13,2,0),""))</f>
        <v>3</v>
      </c>
      <c r="Q223" s="87">
        <f>IF($A223="","",IFERROR(VLOOKUP(J223,DATA!$AH$9:$AI$13,2,0),""))</f>
        <v>3</v>
      </c>
      <c r="R223" s="87">
        <f>IF($A223="","",IFERROR(VLOOKUP(K223,DATA!$AH$9:$AI$13,2,0),""))</f>
        <v>2</v>
      </c>
      <c r="S223" s="89">
        <f t="shared" si="66"/>
        <v>2.6666666666666665</v>
      </c>
      <c r="T223" s="87">
        <f>IF($A223="","",IF(COUNTIF($D$2:D223,D223)=1,1,0))</f>
        <v>1</v>
      </c>
      <c r="U223" s="87" t="str">
        <f>IF($A223="","",IF(F223="-","Cabang tdk ada",IF(IFERROR(VLOOKUP(G223,#REF!,1,0),"")="","",IF(INDEX(DATA!$AH$2:$AH$5,MATCH(G223,DATA!$AI$2:$AI$5,0))&lt;&gt;F223,"Wilayah beda","OK"))))</f>
        <v/>
      </c>
      <c r="V223" s="87" t="str">
        <f>IF($A223="","",TRIM(INDEX(FORM!$I:$I,ROW())&amp;""))</f>
        <v xml:space="preserve">Menurut saya sudah baik gampang diakses
</v>
      </c>
      <c r="W223" s="87" t="str">
        <f>IF($A223="","",TRIM(INDEX(FORM!$L:$L,ROW())&amp;""))</f>
        <v>Tidak ada</v>
      </c>
      <c r="X223" s="87" t="str">
        <f>IF($A223="","",TRIM(INDEX(FORM!$M:$M,ROW())&amp;""))</f>
        <v>Sudah cukup bagus</v>
      </c>
      <c r="Y223" s="8">
        <f>IF($A223="","",IFERROR(MATCH(F223,DATA!$AH$2:$AH$5,0),9)*10000+A223)</f>
        <v>20222</v>
      </c>
      <c r="Z223" s="87" t="str">
        <f t="shared" si="67"/>
        <v>Tidak ada masukan / sudah baik</v>
      </c>
      <c r="AA223" s="87" t="str">
        <f t="shared" si="68"/>
        <v>Tidak ada masukan / sudah baik</v>
      </c>
      <c r="AB223" s="87" t="str">
        <f t="shared" si="69"/>
        <v>Tidak ada masukan / sudah baik</v>
      </c>
      <c r="AC223" s="87"/>
      <c r="AD223" s="87"/>
      <c r="AE223" s="87"/>
      <c r="AK223" s="90">
        <f t="shared" si="70"/>
        <v>0</v>
      </c>
      <c r="AL223" s="90">
        <f t="shared" si="71"/>
        <v>0</v>
      </c>
      <c r="AM223" s="90">
        <f t="shared" si="72"/>
        <v>0</v>
      </c>
      <c r="AN223" s="90">
        <f t="shared" si="73"/>
        <v>0</v>
      </c>
      <c r="AO223" s="90">
        <f t="shared" si="74"/>
        <v>0</v>
      </c>
      <c r="AP223" s="90">
        <f t="shared" si="75"/>
        <v>0</v>
      </c>
      <c r="AQ223" s="90">
        <f t="shared" si="76"/>
        <v>0</v>
      </c>
      <c r="AR223" s="90">
        <f t="shared" si="77"/>
        <v>0</v>
      </c>
      <c r="AS223" s="90">
        <f t="shared" si="78"/>
        <v>0</v>
      </c>
      <c r="AT223" s="90">
        <f t="shared" si="79"/>
        <v>0</v>
      </c>
      <c r="AU223" s="90">
        <f t="shared" si="80"/>
        <v>0</v>
      </c>
      <c r="AV223" s="90">
        <f t="shared" si="81"/>
        <v>0</v>
      </c>
      <c r="AW223" s="90">
        <f t="shared" si="82"/>
        <v>0</v>
      </c>
      <c r="AX223" s="90">
        <f t="shared" si="83"/>
        <v>0</v>
      </c>
      <c r="AY223" s="90">
        <f t="shared" si="84"/>
        <v>0</v>
      </c>
      <c r="AZ223" s="90">
        <f t="shared" si="85"/>
        <v>0</v>
      </c>
      <c r="BA223" s="90">
        <f t="shared" si="86"/>
        <v>0</v>
      </c>
      <c r="BB223" s="90">
        <f t="shared" si="87"/>
        <v>0</v>
      </c>
    </row>
    <row r="224" spans="1:54">
      <c r="A224" s="87">
        <f>IF(INDEX(FORM!$A:$A,ROW())="","",ROW()-1)</f>
        <v>223</v>
      </c>
      <c r="B224" s="88">
        <f>IF($A224="","",INDEX(FORM!$A:$A,ROW()))</f>
        <v>46312.365509259304</v>
      </c>
      <c r="C224" s="87" t="str">
        <f>IF($A224="","",TRIM(INDEX(FORM!$B:$B,ROW())))</f>
        <v>Andi Setiawan</v>
      </c>
      <c r="D224" s="87" t="str">
        <f>IF($A224="","",TRIM(INDEX(FORM!$C:$C,ROW())&amp;""))</f>
        <v>1511100</v>
      </c>
      <c r="E224" s="87" t="str">
        <f>IF($A224="","",UPPER(TRIM(INDEX(FORM!$D:$D,ROW()))))</f>
        <v>PATI</v>
      </c>
      <c r="F224" s="87" t="str">
        <f>IF($A224="","",IFERROR(INDEX(PROGRES!$A$2:$A$92,MATCH(E224,PROGRES!$B$2:$B$92,0)),"-"))</f>
        <v>Jawa Tengah</v>
      </c>
      <c r="G224" s="87" t="str">
        <f>IF($A224="","",UPPER(TRIM(INDEX(FORM!$F:$F,ROW()))))</f>
        <v>JATENG DIY</v>
      </c>
      <c r="H224" s="87" t="str">
        <f>IF($A224="","",UPPER(TRIM(INDEX(FORM!$E:$E,ROW()))))</f>
        <v>CRO</v>
      </c>
      <c r="I224" s="87" t="str">
        <f>IF($A224="","",UPPER(TRIM(INDEX(FORM!$G:$G,ROW()))))</f>
        <v>MUDAH</v>
      </c>
      <c r="J224" s="87" t="str">
        <f>IF($A224="","",IF(ISNUMBER(SEARCH("Ya,",INDEX(FORM!$H:$H,ROW()))),"YA",IF(ISNUMBER(SEARCH("Cukup,",INDEX(FORM!$H:$H,ROW()))),"CUKUP",IF(ISNUMBER(SEARCH("Kurang,",INDEX(FORM!$H:$H,ROW()))),"KURANG",""))))</f>
        <v>CUKUP</v>
      </c>
      <c r="K224" s="87" t="str">
        <f>IF($A224="","",UPPER(TRIM(INDEX(FORM!$J:$J,ROW()))))</f>
        <v>MUDAH</v>
      </c>
      <c r="L224" s="87">
        <f>IF($A224="","",IF(ISNUMBER(SEARCH("Aktivitas Harian",INDEX(FORM!$K:$K,ROW()))),1,0))</f>
        <v>1</v>
      </c>
      <c r="M224" s="87">
        <f>IF($A224="","",IF(ISNUMBER(SEARCH("Aktivitas Mingguan",INDEX(FORM!$K:$K,ROW()))),1,0))</f>
        <v>0</v>
      </c>
      <c r="N224" s="87">
        <f>IF($A224="","",IF(ISNUMBER(SEARCH("Aktivitas Bulanan",INDEX(FORM!$K:$K,ROW()))),1,0))</f>
        <v>0</v>
      </c>
      <c r="O224" s="87">
        <f>IF($A224="","",IF(ISNUMBER(SEARCH("Overview Cabang",INDEX(FORM!$K:$K,ROW()))),1,0))</f>
        <v>0</v>
      </c>
      <c r="P224" s="87">
        <f>IF($A224="","",IFERROR(VLOOKUP(I224,DATA!$AH$9:$AI$13,2,0),""))</f>
        <v>3</v>
      </c>
      <c r="Q224" s="87">
        <f>IF($A224="","",IFERROR(VLOOKUP(J224,DATA!$AH$9:$AI$13,2,0),""))</f>
        <v>2</v>
      </c>
      <c r="R224" s="87">
        <f>IF($A224="","",IFERROR(VLOOKUP(K224,DATA!$AH$9:$AI$13,2,0),""))</f>
        <v>3</v>
      </c>
      <c r="S224" s="89">
        <f t="shared" si="66"/>
        <v>2.6666666666666665</v>
      </c>
      <c r="T224" s="87">
        <f>IF($A224="","",IF(COUNTIF($D$2:D224,D224)=1,1,0))</f>
        <v>1</v>
      </c>
      <c r="U224" s="87" t="str">
        <f>IF($A224="","",IF(F224="-","Cabang tdk ada",IF(IFERROR(VLOOKUP(G224,#REF!,1,0),"")="","",IF(INDEX(DATA!$AH$2:$AH$5,MATCH(G224,DATA!$AI$2:$AI$5,0))&lt;&gt;F224,"Wilayah beda","OK"))))</f>
        <v/>
      </c>
      <c r="V224" s="87" t="str">
        <f>IF($A224="","",TRIM(INDEX(FORM!$I:$I,ROW())&amp;""))</f>
        <v>Mohon lebih ditingkatkan agar performa akses lebih cepat</v>
      </c>
      <c r="W224" s="87" t="str">
        <f>IF($A224="","",TRIM(INDEX(FORM!$L:$L,ROW())&amp;""))</f>
        <v>Tidak</v>
      </c>
      <c r="X224" s="87" t="str">
        <f>IF($A224="","",TRIM(INDEX(FORM!$M:$M,ROW())&amp;""))</f>
        <v>Percepat proses dalam mengakses website</v>
      </c>
      <c r="Y224" s="8">
        <f>IF($A224="","",IFERROR(MATCH(F224,DATA!$AH$2:$AH$5,0),9)*10000+A224)</f>
        <v>20223</v>
      </c>
      <c r="Z224" s="87" t="str">
        <f t="shared" si="67"/>
        <v>Saran Umum Peningkatan</v>
      </c>
      <c r="AA224" s="87" t="str">
        <f t="shared" si="68"/>
        <v>Tidak ada masukan / sudah baik</v>
      </c>
      <c r="AB224" s="87" t="str">
        <f t="shared" si="69"/>
        <v>Lainnya (perlu dibaca manual)</v>
      </c>
      <c r="AC224" s="87"/>
      <c r="AD224" s="87"/>
      <c r="AE224" s="87"/>
      <c r="AK224" s="90">
        <f t="shared" si="70"/>
        <v>0</v>
      </c>
      <c r="AL224" s="90">
        <f t="shared" si="71"/>
        <v>0</v>
      </c>
      <c r="AM224" s="90">
        <f t="shared" si="72"/>
        <v>0</v>
      </c>
      <c r="AN224" s="90">
        <f t="shared" si="73"/>
        <v>0</v>
      </c>
      <c r="AO224" s="90">
        <f t="shared" si="74"/>
        <v>0</v>
      </c>
      <c r="AP224" s="90">
        <f t="shared" si="75"/>
        <v>0</v>
      </c>
      <c r="AQ224" s="90">
        <f t="shared" si="76"/>
        <v>0</v>
      </c>
      <c r="AR224" s="90">
        <f t="shared" si="77"/>
        <v>0</v>
      </c>
      <c r="AS224" s="90">
        <f t="shared" si="78"/>
        <v>0</v>
      </c>
      <c r="AT224" s="90">
        <f t="shared" si="79"/>
        <v>0</v>
      </c>
      <c r="AU224" s="90">
        <f t="shared" si="80"/>
        <v>0</v>
      </c>
      <c r="AV224" s="90">
        <f t="shared" si="81"/>
        <v>0</v>
      </c>
      <c r="AW224" s="90">
        <f t="shared" si="82"/>
        <v>0</v>
      </c>
      <c r="AX224" s="90">
        <f t="shared" si="83"/>
        <v>0</v>
      </c>
      <c r="AY224" s="90">
        <f t="shared" si="84"/>
        <v>0</v>
      </c>
      <c r="AZ224" s="90">
        <f t="shared" si="85"/>
        <v>1</v>
      </c>
      <c r="BA224" s="90">
        <f t="shared" si="86"/>
        <v>1</v>
      </c>
      <c r="BB224" s="90">
        <f t="shared" si="87"/>
        <v>1</v>
      </c>
    </row>
    <row r="225" spans="1:54" s="5" customFormat="1" ht="33.75" hidden="1">
      <c r="A225" s="8">
        <f>IF(INDEX(FORM!$A:$A,ROW())="","",ROW()-1)</f>
        <v>224</v>
      </c>
      <c r="B225" s="41">
        <f>IF($A225="","",INDEX(FORM!$A:$A,ROW()))</f>
        <v>46312.367754629602</v>
      </c>
      <c r="C225" s="8" t="str">
        <f>IF($A225="","",TRIM(INDEX(FORM!$B:$B,ROW())))</f>
        <v>HENDRI PRASETYA</v>
      </c>
      <c r="D225" s="8" t="str">
        <f>IF($A225="","",TRIM(INDEX(FORM!$C:$C,ROW())&amp;""))</f>
        <v>89118182</v>
      </c>
      <c r="E225" s="8" t="str">
        <f>IF($A225="","",UPPER(TRIM(INDEX(FORM!$D:$D,ROW()))))</f>
        <v>PATI</v>
      </c>
      <c r="F225" s="8" t="str">
        <f>IF($A225="","",IFERROR(INDEX(PROGRES!$A$2:$A$92,MATCH(E225,PROGRES!$B$2:$B$92,0)),"-"))</f>
        <v>Jawa Tengah</v>
      </c>
      <c r="G225" s="8" t="str">
        <f>IF($A225="","",UPPER(TRIM(INDEX(FORM!$F:$F,ROW()))))</f>
        <v>JATENG DIY</v>
      </c>
      <c r="H225" s="8" t="str">
        <f>IF($A225="","",UPPER(TRIM(INDEX(FORM!$E:$E,ROW()))))</f>
        <v>BM</v>
      </c>
      <c r="I225" s="8" t="str">
        <f>IF($A225="","",UPPER(TRIM(INDEX(FORM!$G:$G,ROW()))))</f>
        <v>MUDAH</v>
      </c>
      <c r="J225" s="8" t="str">
        <f>IF($A225="","",IF(ISNUMBER(SEARCH("Ya,",INDEX(FORM!$H:$H,ROW()))),"YA",IF(ISNUMBER(SEARCH("Cukup,",INDEX(FORM!$H:$H,ROW()))),"CUKUP",IF(ISNUMBER(SEARCH("Kurang,",INDEX(FORM!$H:$H,ROW()))),"KURANG",""))))</f>
        <v>CUKUP</v>
      </c>
      <c r="K225" s="8" t="str">
        <f>IF($A225="","",UPPER(TRIM(INDEX(FORM!$J:$J,ROW()))))</f>
        <v>CUKUP</v>
      </c>
      <c r="L225" s="8">
        <f>IF($A225="","",IF(ISNUMBER(SEARCH("Aktivitas Harian",INDEX(FORM!$K:$K,ROW()))),1,0))</f>
        <v>1</v>
      </c>
      <c r="M225" s="8">
        <f>IF($A225="","",IF(ISNUMBER(SEARCH("Aktivitas Mingguan",INDEX(FORM!$K:$K,ROW()))),1,0))</f>
        <v>0</v>
      </c>
      <c r="N225" s="8">
        <f>IF($A225="","",IF(ISNUMBER(SEARCH("Aktivitas Bulanan",INDEX(FORM!$K:$K,ROW()))),1,0))</f>
        <v>0</v>
      </c>
      <c r="O225" s="8">
        <f>IF($A225="","",IF(ISNUMBER(SEARCH("Overview Cabang",INDEX(FORM!$K:$K,ROW()))),1,0))</f>
        <v>0</v>
      </c>
      <c r="P225" s="8">
        <f>IF($A225="","",IFERROR(VLOOKUP(I225,DATA!$AH$9:$AI$13,2,0),""))</f>
        <v>3</v>
      </c>
      <c r="Q225" s="8">
        <f>IF($A225="","",IFERROR(VLOOKUP(J225,DATA!$AH$9:$AI$13,2,0),""))</f>
        <v>2</v>
      </c>
      <c r="R225" s="8">
        <f>IF($A225="","",IFERROR(VLOOKUP(K225,DATA!$AH$9:$AI$13,2,0),""))</f>
        <v>2</v>
      </c>
      <c r="S225" s="42">
        <f t="shared" si="66"/>
        <v>2.3333333333333335</v>
      </c>
      <c r="T225" s="8">
        <f>IF($A225="","",IF(COUNTIF($D$2:D225,D225)=1,1,0))</f>
        <v>1</v>
      </c>
      <c r="U225" s="8" t="str">
        <f>IF($A225="","",IF(F225="-","Cabang tdk ada",IF(IFERROR(VLOOKUP(G225,#REF!,1,0),"")="","",IF(INDEX(DATA!$AH$2:$AH$5,MATCH(G225,DATA!$AI$2:$AI$5,0))&lt;&gt;F225,"Wilayah beda","OK"))))</f>
        <v/>
      </c>
      <c r="V225" s="8" t="str">
        <f>IF($A225="","",TRIM(INDEX(FORM!$I:$I,ROW())&amp;""))</f>
        <v>cukup baik</v>
      </c>
      <c r="W225" s="43" t="str">
        <f>IF($A225="","",TRIM(INDEX(FORM!$L:$L,ROW())&amp;""))</f>
        <v>SOP terkait penanganan SPJ jika dalam keadaan listik padam dan di cabang tidak ada genset. 
Alur pengajuan korin,</v>
      </c>
      <c r="X225" s="8" t="str">
        <f>IF($A225="","",TRIM(INDEX(FORM!$M:$M,ROW())&amp;""))</f>
        <v>Handbook untuk cheker, poa, operator, supir, tenaga keamanan</v>
      </c>
      <c r="Y225" s="8">
        <f>IF($A225="","",IFERROR(MATCH(F225,DATA!$AH$2:$AH$5,0),9)*10000+A225)</f>
        <v>20224</v>
      </c>
      <c r="Z225" s="8" t="str">
        <f t="shared" si="67"/>
        <v>Tidak ada masukan / sudah baik</v>
      </c>
      <c r="AA225" s="8" t="str">
        <f t="shared" si="68"/>
        <v>Tidak ada masukan / sudah baik</v>
      </c>
      <c r="AB225" s="8" t="str">
        <f t="shared" si="69"/>
        <v>Tidak ada masukan / sudah baik</v>
      </c>
      <c r="AC225" s="8"/>
      <c r="AD225" s="8"/>
      <c r="AE225" s="8"/>
      <c r="AK225" s="5">
        <f t="shared" si="70"/>
        <v>0</v>
      </c>
      <c r="AL225" s="5">
        <f t="shared" si="71"/>
        <v>0</v>
      </c>
      <c r="AM225" s="5">
        <f t="shared" si="72"/>
        <v>0</v>
      </c>
      <c r="AN225" s="5">
        <f t="shared" si="73"/>
        <v>0</v>
      </c>
      <c r="AO225" s="5">
        <f t="shared" si="74"/>
        <v>0</v>
      </c>
      <c r="AP225" s="5">
        <f t="shared" si="75"/>
        <v>0</v>
      </c>
      <c r="AQ225" s="5">
        <f t="shared" si="76"/>
        <v>0</v>
      </c>
      <c r="AR225" s="5">
        <f t="shared" si="77"/>
        <v>0</v>
      </c>
      <c r="AS225" s="5">
        <f t="shared" si="78"/>
        <v>0</v>
      </c>
      <c r="AT225" s="5">
        <f t="shared" si="79"/>
        <v>0</v>
      </c>
      <c r="AU225" s="5">
        <f t="shared" si="80"/>
        <v>0</v>
      </c>
      <c r="AV225" s="5">
        <f t="shared" si="81"/>
        <v>0</v>
      </c>
      <c r="AW225" s="5">
        <f t="shared" si="82"/>
        <v>0</v>
      </c>
      <c r="AX225" s="5">
        <f t="shared" si="83"/>
        <v>0</v>
      </c>
      <c r="AY225" s="5">
        <f t="shared" si="84"/>
        <v>0</v>
      </c>
      <c r="AZ225" s="5">
        <f t="shared" si="85"/>
        <v>0</v>
      </c>
      <c r="BA225" s="5">
        <f t="shared" si="86"/>
        <v>0</v>
      </c>
      <c r="BB225" s="5">
        <f t="shared" si="87"/>
        <v>0</v>
      </c>
    </row>
    <row r="226" spans="1:54" s="5" customFormat="1" hidden="1">
      <c r="A226" s="8">
        <f>IF(INDEX(FORM!$A:$A,ROW())="","",ROW()-1)</f>
        <v>225</v>
      </c>
      <c r="B226" s="41">
        <f>IF($A226="","",INDEX(FORM!$A:$A,ROW()))</f>
        <v>46312.372222222199</v>
      </c>
      <c r="C226" s="8" t="str">
        <f>IF($A226="","",TRIM(INDEX(FORM!$B:$B,ROW())))</f>
        <v>VEGA MELANIA FITRA</v>
      </c>
      <c r="D226" s="8" t="str">
        <f>IF($A226="","",TRIM(INDEX(FORM!$C:$C,ROW())&amp;""))</f>
        <v>1510757</v>
      </c>
      <c r="E226" s="8" t="str">
        <f>IF($A226="","",UPPER(TRIM(INDEX(FORM!$D:$D,ROW()))))</f>
        <v>SAMPANG</v>
      </c>
      <c r="F226" s="8" t="str">
        <f>IF($A226="","",IFERROR(INDEX(PROGRES!$A$2:$A$92,MATCH(E226,PROGRES!$B$2:$B$92,0)),"-"))</f>
        <v>Jawa Timur</v>
      </c>
      <c r="G226" s="8" t="str">
        <f>IF($A226="","",UPPER(TRIM(INDEX(FORM!$F:$F,ROW()))))</f>
        <v>JATIM</v>
      </c>
      <c r="H226" s="8" t="str">
        <f>IF($A226="","",UPPER(TRIM(INDEX(FORM!$E:$E,ROW()))))</f>
        <v>BAO</v>
      </c>
      <c r="I226" s="8" t="str">
        <f>IF($A226="","",UPPER(TRIM(INDEX(FORM!$G:$G,ROW()))))</f>
        <v>CUKUP</v>
      </c>
      <c r="J226" s="8" t="str">
        <f>IF($A226="","",IF(ISNUMBER(SEARCH("Ya,",INDEX(FORM!$H:$H,ROW()))),"YA",IF(ISNUMBER(SEARCH("Cukup,",INDEX(FORM!$H:$H,ROW()))),"CUKUP",IF(ISNUMBER(SEARCH("Kurang,",INDEX(FORM!$H:$H,ROW()))),"KURANG",""))))</f>
        <v>YA</v>
      </c>
      <c r="K226" s="8" t="str">
        <f>IF($A226="","",UPPER(TRIM(INDEX(FORM!$J:$J,ROW()))))</f>
        <v>CUKUP</v>
      </c>
      <c r="L226" s="8">
        <f>IF($A226="","",IF(ISNUMBER(SEARCH("Aktivitas Harian",INDEX(FORM!$K:$K,ROW()))),1,0))</f>
        <v>1</v>
      </c>
      <c r="M226" s="8">
        <f>IF($A226="","",IF(ISNUMBER(SEARCH("Aktivitas Mingguan",INDEX(FORM!$K:$K,ROW()))),1,0))</f>
        <v>0</v>
      </c>
      <c r="N226" s="8">
        <f>IF($A226="","",IF(ISNUMBER(SEARCH("Aktivitas Bulanan",INDEX(FORM!$K:$K,ROW()))),1,0))</f>
        <v>0</v>
      </c>
      <c r="O226" s="8">
        <f>IF($A226="","",IF(ISNUMBER(SEARCH("Overview Cabang",INDEX(FORM!$K:$K,ROW()))),1,0))</f>
        <v>0</v>
      </c>
      <c r="P226" s="8">
        <f>IF($A226="","",IFERROR(VLOOKUP(I226,DATA!$AH$9:$AI$13,2,0),""))</f>
        <v>2</v>
      </c>
      <c r="Q226" s="8">
        <f>IF($A226="","",IFERROR(VLOOKUP(J226,DATA!$AH$9:$AI$13,2,0),""))</f>
        <v>3</v>
      </c>
      <c r="R226" s="8">
        <f>IF($A226="","",IFERROR(VLOOKUP(K226,DATA!$AH$9:$AI$13,2,0),""))</f>
        <v>2</v>
      </c>
      <c r="S226" s="42">
        <f t="shared" si="66"/>
        <v>2.3333333333333335</v>
      </c>
      <c r="T226" s="8">
        <f>IF($A226="","",IF(COUNTIF($D$2:D226,D226)=1,1,0))</f>
        <v>1</v>
      </c>
      <c r="U226" s="8" t="str">
        <f>IF($A226="","",IF(F226="-","Cabang tdk ada",IF(IFERROR(VLOOKUP(G226,#REF!,1,0),"")="","",IF(INDEX(DATA!$AH$2:$AH$5,MATCH(G226,DATA!$AI$2:$AI$5,0))&lt;&gt;F226,"Wilayah beda","OK"))))</f>
        <v/>
      </c>
      <c r="V226" s="8" t="str">
        <f>IF($A226="","",TRIM(INDEX(FORM!$I:$I,ROW())&amp;""))</f>
        <v>tidak ada</v>
      </c>
      <c r="W226" s="8" t="str">
        <f>IF($A226="","",TRIM(INDEX(FORM!$L:$L,ROW())&amp;""))</f>
        <v>sudah tercakup</v>
      </c>
      <c r="X226" s="8" t="str">
        <f>IF($A226="","",TRIM(INDEX(FORM!$M:$M,ROW())&amp;""))</f>
        <v>sudah tercakup semua</v>
      </c>
      <c r="Y226" s="8">
        <f>IF($A226="","",IFERROR(MATCH(F226,DATA!$AH$2:$AH$5,0),9)*10000+A226)</f>
        <v>30225</v>
      </c>
      <c r="Z226" s="8" t="str">
        <f t="shared" si="67"/>
        <v>Tidak ada masukan / sudah baik</v>
      </c>
      <c r="AA226" s="8" t="str">
        <f t="shared" si="68"/>
        <v>Tidak ada masukan / sudah baik</v>
      </c>
      <c r="AB226" s="8" t="str">
        <f t="shared" si="69"/>
        <v>Tidak ada masukan / sudah baik</v>
      </c>
      <c r="AC226" s="8"/>
      <c r="AD226" s="8"/>
      <c r="AE226" s="8"/>
      <c r="AK226" s="5">
        <f t="shared" si="70"/>
        <v>0</v>
      </c>
      <c r="AL226" s="5">
        <f t="shared" si="71"/>
        <v>0</v>
      </c>
      <c r="AM226" s="5">
        <f t="shared" si="72"/>
        <v>0</v>
      </c>
      <c r="AN226" s="5">
        <f t="shared" si="73"/>
        <v>0</v>
      </c>
      <c r="AO226" s="5">
        <f t="shared" si="74"/>
        <v>0</v>
      </c>
      <c r="AP226" s="5">
        <f t="shared" si="75"/>
        <v>0</v>
      </c>
      <c r="AQ226" s="5">
        <f t="shared" si="76"/>
        <v>0</v>
      </c>
      <c r="AR226" s="5">
        <f t="shared" si="77"/>
        <v>0</v>
      </c>
      <c r="AS226" s="5">
        <f t="shared" si="78"/>
        <v>0</v>
      </c>
      <c r="AT226" s="5">
        <f t="shared" si="79"/>
        <v>0</v>
      </c>
      <c r="AU226" s="5">
        <f t="shared" si="80"/>
        <v>0</v>
      </c>
      <c r="AV226" s="5">
        <f t="shared" si="81"/>
        <v>0</v>
      </c>
      <c r="AW226" s="5">
        <f t="shared" si="82"/>
        <v>0</v>
      </c>
      <c r="AX226" s="5">
        <f t="shared" si="83"/>
        <v>0</v>
      </c>
      <c r="AY226" s="5">
        <f t="shared" si="84"/>
        <v>0</v>
      </c>
      <c r="AZ226" s="5">
        <f t="shared" si="85"/>
        <v>0</v>
      </c>
      <c r="BA226" s="5">
        <f t="shared" si="86"/>
        <v>0</v>
      </c>
      <c r="BB226" s="5">
        <f t="shared" si="87"/>
        <v>0</v>
      </c>
    </row>
    <row r="227" spans="1:54" s="5" customFormat="1" hidden="1">
      <c r="A227" s="8">
        <f>IF(INDEX(FORM!$A:$A,ROW())="","",ROW()-1)</f>
        <v>226</v>
      </c>
      <c r="B227" s="41">
        <f>IF($A227="","",INDEX(FORM!$A:$A,ROW()))</f>
        <v>46312.375949074099</v>
      </c>
      <c r="C227" s="8" t="str">
        <f>IF($A227="","",TRIM(INDEX(FORM!$B:$B,ROW())))</f>
        <v>Rifqi Safa Ardiansyah</v>
      </c>
      <c r="D227" s="8" t="str">
        <f>IF($A227="","",TRIM(INDEX(FORM!$C:$C,ROW())&amp;""))</f>
        <v>1510840</v>
      </c>
      <c r="E227" s="8" t="str">
        <f>IF($A227="","",UPPER(TRIM(INDEX(FORM!$D:$D,ROW()))))</f>
        <v>BANGKALAN</v>
      </c>
      <c r="F227" s="8" t="str">
        <f>IF($A227="","",IFERROR(INDEX(PROGRES!$A$2:$A$92,MATCH(E227,PROGRES!$B$2:$B$92,0)),"-"))</f>
        <v>Jawa Timur</v>
      </c>
      <c r="G227" s="8" t="str">
        <f>IF($A227="","",UPPER(TRIM(INDEX(FORM!$F:$F,ROW()))))</f>
        <v>JATIM</v>
      </c>
      <c r="H227" s="8" t="str">
        <f>IF($A227="","",UPPER(TRIM(INDEX(FORM!$E:$E,ROW()))))</f>
        <v>BAO</v>
      </c>
      <c r="I227" s="8" t="str">
        <f>IF($A227="","",UPPER(TRIM(INDEX(FORM!$G:$G,ROW()))))</f>
        <v>MUDAH</v>
      </c>
      <c r="J227" s="8" t="str">
        <f>IF($A227="","",IF(ISNUMBER(SEARCH("Ya,",INDEX(FORM!$H:$H,ROW()))),"YA",IF(ISNUMBER(SEARCH("Cukup,",INDEX(FORM!$H:$H,ROW()))),"CUKUP",IF(ISNUMBER(SEARCH("Kurang,",INDEX(FORM!$H:$H,ROW()))),"KURANG",""))))</f>
        <v>YA</v>
      </c>
      <c r="K227" s="8" t="str">
        <f>IF($A227="","",UPPER(TRIM(INDEX(FORM!$J:$J,ROW()))))</f>
        <v>MUDAH</v>
      </c>
      <c r="L227" s="8">
        <f>IF($A227="","",IF(ISNUMBER(SEARCH("Aktivitas Harian",INDEX(FORM!$K:$K,ROW()))),1,0))</f>
        <v>1</v>
      </c>
      <c r="M227" s="8">
        <f>IF($A227="","",IF(ISNUMBER(SEARCH("Aktivitas Mingguan",INDEX(FORM!$K:$K,ROW()))),1,0))</f>
        <v>1</v>
      </c>
      <c r="N227" s="8">
        <f>IF($A227="","",IF(ISNUMBER(SEARCH("Aktivitas Bulanan",INDEX(FORM!$K:$K,ROW()))),1,0))</f>
        <v>1</v>
      </c>
      <c r="O227" s="8">
        <f>IF($A227="","",IF(ISNUMBER(SEARCH("Overview Cabang",INDEX(FORM!$K:$K,ROW()))),1,0))</f>
        <v>0</v>
      </c>
      <c r="P227" s="8">
        <f>IF($A227="","",IFERROR(VLOOKUP(I227,DATA!$AH$9:$AI$13,2,0),""))</f>
        <v>3</v>
      </c>
      <c r="Q227" s="8">
        <f>IF($A227="","",IFERROR(VLOOKUP(J227,DATA!$AH$9:$AI$13,2,0),""))</f>
        <v>3</v>
      </c>
      <c r="R227" s="8">
        <f>IF($A227="","",IFERROR(VLOOKUP(K227,DATA!$AH$9:$AI$13,2,0),""))</f>
        <v>3</v>
      </c>
      <c r="S227" s="42">
        <f t="shared" si="66"/>
        <v>3</v>
      </c>
      <c r="T227" s="8">
        <f>IF($A227="","",IF(COUNTIF($D$2:D227,D227)=1,1,0))</f>
        <v>1</v>
      </c>
      <c r="U227" s="8" t="str">
        <f>IF($A227="","",IF(F227="-","Cabang tdk ada",IF(IFERROR(VLOOKUP(G227,#REF!,1,0),"")="","",IF(INDEX(DATA!$AH$2:$AH$5,MATCH(G227,DATA!$AI$2:$AI$5,0))&lt;&gt;F227,"Wilayah beda","OK"))))</f>
        <v/>
      </c>
      <c r="V227" s="8" t="str">
        <f>IF($A227="","",TRIM(INDEX(FORM!$I:$I,ROW())&amp;""))</f>
        <v>Sudah bagus dan semoga tidak ada kendala</v>
      </c>
      <c r="W227" s="8" t="str">
        <f>IF($A227="","",TRIM(INDEX(FORM!$L:$L,ROW())&amp;""))</f>
        <v>Sementara belum ada</v>
      </c>
      <c r="X227" s="8" t="str">
        <f>IF($A227="","",TRIM(INDEX(FORM!$M:$M,ROW())&amp;""))</f>
        <v>Sudah bagus dan semoga tidak ada kendala</v>
      </c>
      <c r="Y227" s="8">
        <f>IF($A227="","",IFERROR(MATCH(F227,DATA!$AH$2:$AH$5,0),9)*10000+A227)</f>
        <v>30226</v>
      </c>
      <c r="Z227" s="8" t="str">
        <f t="shared" si="67"/>
        <v>Tidak ada masukan / sudah baik</v>
      </c>
      <c r="AA227" s="8" t="str">
        <f t="shared" si="68"/>
        <v>Tidak ada masukan / sudah baik</v>
      </c>
      <c r="AB227" s="8" t="str">
        <f t="shared" si="69"/>
        <v>Tidak ada masukan / sudah baik</v>
      </c>
      <c r="AC227" s="8"/>
      <c r="AD227" s="8"/>
      <c r="AE227" s="8"/>
      <c r="AK227" s="5">
        <f t="shared" si="70"/>
        <v>0</v>
      </c>
      <c r="AL227" s="5">
        <f t="shared" si="71"/>
        <v>0</v>
      </c>
      <c r="AM227" s="5">
        <f t="shared" si="72"/>
        <v>0</v>
      </c>
      <c r="AN227" s="5">
        <f t="shared" si="73"/>
        <v>0</v>
      </c>
      <c r="AO227" s="5">
        <f t="shared" si="74"/>
        <v>0</v>
      </c>
      <c r="AP227" s="5">
        <f t="shared" si="75"/>
        <v>0</v>
      </c>
      <c r="AQ227" s="5">
        <f t="shared" si="76"/>
        <v>0</v>
      </c>
      <c r="AR227" s="5">
        <f t="shared" si="77"/>
        <v>0</v>
      </c>
      <c r="AS227" s="5">
        <f t="shared" si="78"/>
        <v>0</v>
      </c>
      <c r="AT227" s="5">
        <f t="shared" si="79"/>
        <v>0</v>
      </c>
      <c r="AU227" s="5">
        <f t="shared" si="80"/>
        <v>0</v>
      </c>
      <c r="AV227" s="5">
        <f t="shared" si="81"/>
        <v>0</v>
      </c>
      <c r="AW227" s="5">
        <f t="shared" si="82"/>
        <v>0</v>
      </c>
      <c r="AX227" s="5">
        <f t="shared" si="83"/>
        <v>0</v>
      </c>
      <c r="AY227" s="5">
        <f t="shared" si="84"/>
        <v>0</v>
      </c>
      <c r="AZ227" s="5">
        <f t="shared" si="85"/>
        <v>0</v>
      </c>
      <c r="BA227" s="5">
        <f t="shared" si="86"/>
        <v>0</v>
      </c>
      <c r="BB227" s="5">
        <f t="shared" si="87"/>
        <v>0</v>
      </c>
    </row>
    <row r="228" spans="1:54" s="5" customFormat="1" hidden="1">
      <c r="A228" s="8">
        <f>IF(INDEX(FORM!$A:$A,ROW())="","",ROW()-1)</f>
        <v>227</v>
      </c>
      <c r="B228" s="41">
        <f>IF($A228="","",INDEX(FORM!$A:$A,ROW()))</f>
        <v>46312.387361111098</v>
      </c>
      <c r="C228" s="8" t="str">
        <f>IF($A228="","",TRIM(INDEX(FORM!$B:$B,ROW())))</f>
        <v>ADJI ROZIQI FAJAR</v>
      </c>
      <c r="D228" s="8" t="str">
        <f>IF($A228="","",TRIM(INDEX(FORM!$C:$C,ROW())&amp;""))</f>
        <v>1510885</v>
      </c>
      <c r="E228" s="8" t="str">
        <f>IF($A228="","",UPPER(TRIM(INDEX(FORM!$D:$D,ROW()))))</f>
        <v>SUMENEP</v>
      </c>
      <c r="F228" s="8" t="str">
        <f>IF($A228="","",IFERROR(INDEX(PROGRES!$A$2:$A$92,MATCH(E228,PROGRES!$B$2:$B$92,0)),"-"))</f>
        <v>Jawa Timur</v>
      </c>
      <c r="G228" s="8" t="str">
        <f>IF($A228="","",UPPER(TRIM(INDEX(FORM!$F:$F,ROW()))))</f>
        <v>JATIM</v>
      </c>
      <c r="H228" s="8" t="str">
        <f>IF($A228="","",UPPER(TRIM(INDEX(FORM!$E:$E,ROW()))))</f>
        <v>BAO</v>
      </c>
      <c r="I228" s="8" t="str">
        <f>IF($A228="","",UPPER(TRIM(INDEX(FORM!$G:$G,ROW()))))</f>
        <v>MUDAH</v>
      </c>
      <c r="J228" s="8" t="str">
        <f>IF($A228="","",IF(ISNUMBER(SEARCH("Ya,",INDEX(FORM!$H:$H,ROW()))),"YA",IF(ISNUMBER(SEARCH("Cukup,",INDEX(FORM!$H:$H,ROW()))),"CUKUP",IF(ISNUMBER(SEARCH("Kurang,",INDEX(FORM!$H:$H,ROW()))),"KURANG",""))))</f>
        <v>YA</v>
      </c>
      <c r="K228" s="8" t="str">
        <f>IF($A228="","",UPPER(TRIM(INDEX(FORM!$J:$J,ROW()))))</f>
        <v>MUDAH</v>
      </c>
      <c r="L228" s="8">
        <f>IF($A228="","",IF(ISNUMBER(SEARCH("Aktivitas Harian",INDEX(FORM!$K:$K,ROW()))),1,0))</f>
        <v>1</v>
      </c>
      <c r="M228" s="8">
        <f>IF($A228="","",IF(ISNUMBER(SEARCH("Aktivitas Mingguan",INDEX(FORM!$K:$K,ROW()))),1,0))</f>
        <v>0</v>
      </c>
      <c r="N228" s="8">
        <f>IF($A228="","",IF(ISNUMBER(SEARCH("Aktivitas Bulanan",INDEX(FORM!$K:$K,ROW()))),1,0))</f>
        <v>0</v>
      </c>
      <c r="O228" s="8">
        <f>IF($A228="","",IF(ISNUMBER(SEARCH("Overview Cabang",INDEX(FORM!$K:$K,ROW()))),1,0))</f>
        <v>0</v>
      </c>
      <c r="P228" s="8">
        <f>IF($A228="","",IFERROR(VLOOKUP(I228,DATA!$AH$9:$AI$13,2,0),""))</f>
        <v>3</v>
      </c>
      <c r="Q228" s="8">
        <f>IF($A228="","",IFERROR(VLOOKUP(J228,DATA!$AH$9:$AI$13,2,0),""))</f>
        <v>3</v>
      </c>
      <c r="R228" s="8">
        <f>IF($A228="","",IFERROR(VLOOKUP(K228,DATA!$AH$9:$AI$13,2,0),""))</f>
        <v>3</v>
      </c>
      <c r="S228" s="42">
        <f t="shared" si="66"/>
        <v>3</v>
      </c>
      <c r="T228" s="8">
        <f>IF($A228="","",IF(COUNTIF($D$2:D228,D228)=1,1,0))</f>
        <v>1</v>
      </c>
      <c r="U228" s="8" t="str">
        <f>IF($A228="","",IF(F228="-","Cabang tdk ada",IF(IFERROR(VLOOKUP(G228,#REF!,1,0),"")="","",IF(INDEX(DATA!$AH$2:$AH$5,MATCH(G228,DATA!$AI$2:$AI$5,0))&lt;&gt;F228,"Wilayah beda","OK"))))</f>
        <v/>
      </c>
      <c r="V228" s="8" t="str">
        <f>IF($A228="","",TRIM(INDEX(FORM!$I:$I,ROW())&amp;""))</f>
        <v>-</v>
      </c>
      <c r="W228" s="8" t="str">
        <f>IF($A228="","",TRIM(INDEX(FORM!$L:$L,ROW())&amp;""))</f>
        <v>-</v>
      </c>
      <c r="X228" s="8" t="str">
        <f>IF($A228="","",TRIM(INDEX(FORM!$M:$M,ROW())&amp;""))</f>
        <v>-</v>
      </c>
      <c r="Y228" s="8">
        <f>IF($A228="","",IFERROR(MATCH(F228,DATA!$AH$2:$AH$5,0),9)*10000+A228)</f>
        <v>30227</v>
      </c>
      <c r="Z228" s="8" t="str">
        <f t="shared" si="67"/>
        <v>Tidak ada masukan / sudah baik</v>
      </c>
      <c r="AA228" s="8" t="str">
        <f t="shared" si="68"/>
        <v>Tidak ada masukan / sudah baik</v>
      </c>
      <c r="AB228" s="8" t="str">
        <f t="shared" si="69"/>
        <v>Tidak ada masukan / sudah baik</v>
      </c>
      <c r="AC228" s="8"/>
      <c r="AD228" s="8"/>
      <c r="AE228" s="8"/>
      <c r="AK228" s="5">
        <f t="shared" si="70"/>
        <v>0</v>
      </c>
      <c r="AL228" s="5">
        <f t="shared" si="71"/>
        <v>0</v>
      </c>
      <c r="AM228" s="5">
        <f t="shared" si="72"/>
        <v>0</v>
      </c>
      <c r="AN228" s="5">
        <f t="shared" si="73"/>
        <v>0</v>
      </c>
      <c r="AO228" s="5">
        <f t="shared" si="74"/>
        <v>0</v>
      </c>
      <c r="AP228" s="5">
        <f t="shared" si="75"/>
        <v>0</v>
      </c>
      <c r="AQ228" s="5">
        <f t="shared" si="76"/>
        <v>0</v>
      </c>
      <c r="AR228" s="5">
        <f t="shared" si="77"/>
        <v>0</v>
      </c>
      <c r="AS228" s="5">
        <f t="shared" si="78"/>
        <v>0</v>
      </c>
      <c r="AT228" s="5">
        <f t="shared" si="79"/>
        <v>0</v>
      </c>
      <c r="AU228" s="5">
        <f t="shared" si="80"/>
        <v>0</v>
      </c>
      <c r="AV228" s="5">
        <f t="shared" si="81"/>
        <v>0</v>
      </c>
      <c r="AW228" s="5">
        <f t="shared" si="82"/>
        <v>0</v>
      </c>
      <c r="AX228" s="5">
        <f t="shared" si="83"/>
        <v>0</v>
      </c>
      <c r="AY228" s="5">
        <f t="shared" si="84"/>
        <v>0</v>
      </c>
      <c r="AZ228" s="5">
        <f t="shared" si="85"/>
        <v>0</v>
      </c>
      <c r="BA228" s="5">
        <f t="shared" si="86"/>
        <v>0</v>
      </c>
      <c r="BB228" s="5">
        <f t="shared" si="87"/>
        <v>0</v>
      </c>
    </row>
    <row r="229" spans="1:54">
      <c r="A229" s="87">
        <f>IF(INDEX(FORM!$A:$A,ROW())="","",ROW()-1)</f>
        <v>228</v>
      </c>
      <c r="B229" s="88">
        <f>IF($A229="","",INDEX(FORM!$A:$A,ROW()))</f>
        <v>46312.397280092599</v>
      </c>
      <c r="C229" s="87" t="str">
        <f>IF($A229="","",TRIM(INDEX(FORM!$B:$B,ROW())))</f>
        <v>Moh Syaiful Anwar</v>
      </c>
      <c r="D229" s="87" t="str">
        <f>IF($A229="","",TRIM(INDEX(FORM!$C:$C,ROW())&amp;""))</f>
        <v>1510668</v>
      </c>
      <c r="E229" s="87" t="str">
        <f>IF($A229="","",UPPER(TRIM(INDEX(FORM!$D:$D,ROW()))))</f>
        <v>BANGKALAN</v>
      </c>
      <c r="F229" s="87" t="str">
        <f>IF($A229="","",IFERROR(INDEX(PROGRES!$A$2:$A$92,MATCH(E229,PROGRES!$B$2:$B$92,0)),"-"))</f>
        <v>Jawa Timur</v>
      </c>
      <c r="G229" s="87" t="str">
        <f>IF($A229="","",UPPER(TRIM(INDEX(FORM!$F:$F,ROW()))))</f>
        <v>JATIM</v>
      </c>
      <c r="H229" s="87" t="str">
        <f>IF($A229="","",UPPER(TRIM(INDEX(FORM!$E:$E,ROW()))))</f>
        <v>CRO</v>
      </c>
      <c r="I229" s="87" t="str">
        <f>IF($A229="","",UPPER(TRIM(INDEX(FORM!$G:$G,ROW()))))</f>
        <v>MUDAH</v>
      </c>
      <c r="J229" s="87" t="str">
        <f>IF($A229="","",IF(ISNUMBER(SEARCH("Ya,",INDEX(FORM!$H:$H,ROW()))),"YA",IF(ISNUMBER(SEARCH("Cukup,",INDEX(FORM!$H:$H,ROW()))),"CUKUP",IF(ISNUMBER(SEARCH("Kurang,",INDEX(FORM!$H:$H,ROW()))),"KURANG",""))))</f>
        <v>YA</v>
      </c>
      <c r="K229" s="87" t="str">
        <f>IF($A229="","",UPPER(TRIM(INDEX(FORM!$J:$J,ROW()))))</f>
        <v>MUDAH</v>
      </c>
      <c r="L229" s="87">
        <f>IF($A229="","",IF(ISNUMBER(SEARCH("Aktivitas Harian",INDEX(FORM!$K:$K,ROW()))),1,0))</f>
        <v>0</v>
      </c>
      <c r="M229" s="87">
        <f>IF($A229="","",IF(ISNUMBER(SEARCH("Aktivitas Mingguan",INDEX(FORM!$K:$K,ROW()))),1,0))</f>
        <v>1</v>
      </c>
      <c r="N229" s="87">
        <f>IF($A229="","",IF(ISNUMBER(SEARCH("Aktivitas Bulanan",INDEX(FORM!$K:$K,ROW()))),1,0))</f>
        <v>0</v>
      </c>
      <c r="O229" s="87">
        <f>IF($A229="","",IF(ISNUMBER(SEARCH("Overview Cabang",INDEX(FORM!$K:$K,ROW()))),1,0))</f>
        <v>0</v>
      </c>
      <c r="P229" s="87">
        <f>IF($A229="","",IFERROR(VLOOKUP(I229,DATA!$AH$9:$AI$13,2,0),""))</f>
        <v>3</v>
      </c>
      <c r="Q229" s="87">
        <f>IF($A229="","",IFERROR(VLOOKUP(J229,DATA!$AH$9:$AI$13,2,0),""))</f>
        <v>3</v>
      </c>
      <c r="R229" s="87">
        <f>IF($A229="","",IFERROR(VLOOKUP(K229,DATA!$AH$9:$AI$13,2,0),""))</f>
        <v>3</v>
      </c>
      <c r="S229" s="89">
        <f t="shared" si="66"/>
        <v>3</v>
      </c>
      <c r="T229" s="87">
        <f>IF($A229="","",IF(COUNTIF($D$2:D229,D229)=1,1,0))</f>
        <v>1</v>
      </c>
      <c r="U229" s="87" t="str">
        <f>IF($A229="","",IF(F229="-","Cabang tdk ada",IF(IFERROR(VLOOKUP(G229,#REF!,1,0),"")="","",IF(INDEX(DATA!$AH$2:$AH$5,MATCH(G229,DATA!$AI$2:$AI$5,0))&lt;&gt;F229,"Wilayah beda","OK"))))</f>
        <v/>
      </c>
      <c r="V229" s="87" t="str">
        <f>IF($A229="","",TRIM(INDEX(FORM!$I:$I,ROW())&amp;""))</f>
        <v>Kalau bisa d buat lebih simple dan antispasi ketika berada didaerah. Jarang sinyal</v>
      </c>
      <c r="W229" s="87" t="str">
        <f>IF($A229="","",TRIM(INDEX(FORM!$L:$L,ROW())&amp;""))</f>
        <v>,</v>
      </c>
      <c r="X229" s="87" t="str">
        <f>IF($A229="","",TRIM(INDEX(FORM!$M:$M,ROW())&amp;""))</f>
        <v/>
      </c>
      <c r="Y229" s="8">
        <f>IF($A229="","",IFERROR(MATCH(F229,DATA!$AH$2:$AH$5,0),9)*10000+A229)</f>
        <v>30228</v>
      </c>
      <c r="Z229" s="87" t="str">
        <f t="shared" si="67"/>
        <v>Penyederhanaan &amp; Ringkas Isi</v>
      </c>
      <c r="AA229" s="87" t="str">
        <f t="shared" si="68"/>
        <v>Tidak ada masukan / sudah baik</v>
      </c>
      <c r="AB229" s="87" t="str">
        <f t="shared" si="69"/>
        <v>Tidak ada masukan / sudah baik</v>
      </c>
      <c r="AC229" s="87"/>
      <c r="AD229" s="87"/>
      <c r="AE229" s="87"/>
      <c r="AK229" s="90">
        <f t="shared" si="70"/>
        <v>0</v>
      </c>
      <c r="AL229" s="90">
        <f t="shared" si="71"/>
        <v>0</v>
      </c>
      <c r="AM229" s="90">
        <f t="shared" si="72"/>
        <v>0</v>
      </c>
      <c r="AN229" s="90">
        <f t="shared" si="73"/>
        <v>0</v>
      </c>
      <c r="AO229" s="90">
        <f t="shared" si="74"/>
        <v>0</v>
      </c>
      <c r="AP229" s="90">
        <f t="shared" si="75"/>
        <v>0</v>
      </c>
      <c r="AQ229" s="90">
        <f t="shared" si="76"/>
        <v>1</v>
      </c>
      <c r="AR229" s="90">
        <f t="shared" si="77"/>
        <v>0</v>
      </c>
      <c r="AS229" s="90">
        <f t="shared" si="78"/>
        <v>0</v>
      </c>
      <c r="AT229" s="90">
        <f t="shared" si="79"/>
        <v>0</v>
      </c>
      <c r="AU229" s="90">
        <f t="shared" si="80"/>
        <v>0</v>
      </c>
      <c r="AV229" s="90">
        <f t="shared" si="81"/>
        <v>0</v>
      </c>
      <c r="AW229" s="90">
        <f t="shared" si="82"/>
        <v>0</v>
      </c>
      <c r="AX229" s="90">
        <f t="shared" si="83"/>
        <v>0</v>
      </c>
      <c r="AY229" s="90">
        <f t="shared" si="84"/>
        <v>0</v>
      </c>
      <c r="AZ229" s="90">
        <f t="shared" si="85"/>
        <v>0</v>
      </c>
      <c r="BA229" s="90">
        <f t="shared" si="86"/>
        <v>0</v>
      </c>
      <c r="BB229" s="90">
        <f t="shared" si="87"/>
        <v>1</v>
      </c>
    </row>
    <row r="230" spans="1:54">
      <c r="A230" s="87">
        <f>IF(INDEX(FORM!$A:$A,ROW())="","",ROW()-1)</f>
        <v>229</v>
      </c>
      <c r="B230" s="88">
        <f>IF($A230="","",INDEX(FORM!$A:$A,ROW()))</f>
        <v>46312.400787036997</v>
      </c>
      <c r="C230" s="87" t="str">
        <f>IF($A230="","",TRIM(INDEX(FORM!$B:$B,ROW())))</f>
        <v>Rama decky Agustyas</v>
      </c>
      <c r="D230" s="87" t="str">
        <f>IF($A230="","",TRIM(INDEX(FORM!$C:$C,ROW())&amp;""))</f>
        <v>1510497</v>
      </c>
      <c r="E230" s="87" t="str">
        <f>IF($A230="","",UPPER(TRIM(INDEX(FORM!$D:$D,ROW()))))</f>
        <v>SUMENEP</v>
      </c>
      <c r="F230" s="87" t="str">
        <f>IF($A230="","",IFERROR(INDEX(PROGRES!$A$2:$A$92,MATCH(E230,PROGRES!$B$2:$B$92,0)),"-"))</f>
        <v>Jawa Timur</v>
      </c>
      <c r="G230" s="87" t="str">
        <f>IF($A230="","",UPPER(TRIM(INDEX(FORM!$F:$F,ROW()))))</f>
        <v>JATIM</v>
      </c>
      <c r="H230" s="87" t="str">
        <f>IF($A230="","",UPPER(TRIM(INDEX(FORM!$E:$E,ROW()))))</f>
        <v>CRO</v>
      </c>
      <c r="I230" s="87" t="str">
        <f>IF($A230="","",UPPER(TRIM(INDEX(FORM!$G:$G,ROW()))))</f>
        <v>MUDAH</v>
      </c>
      <c r="J230" s="87" t="str">
        <f>IF($A230="","",IF(ISNUMBER(SEARCH("Ya,",INDEX(FORM!$H:$H,ROW()))),"YA",IF(ISNUMBER(SEARCH("Cukup,",INDEX(FORM!$H:$H,ROW()))),"CUKUP",IF(ISNUMBER(SEARCH("Kurang,",INDEX(FORM!$H:$H,ROW()))),"KURANG",""))))</f>
        <v>YA</v>
      </c>
      <c r="K230" s="87" t="str">
        <f>IF($A230="","",UPPER(TRIM(INDEX(FORM!$J:$J,ROW()))))</f>
        <v>MUDAH</v>
      </c>
      <c r="L230" s="87">
        <f>IF($A230="","",IF(ISNUMBER(SEARCH("Aktivitas Harian",INDEX(FORM!$K:$K,ROW()))),1,0))</f>
        <v>0</v>
      </c>
      <c r="M230" s="87">
        <f>IF($A230="","",IF(ISNUMBER(SEARCH("Aktivitas Mingguan",INDEX(FORM!$K:$K,ROW()))),1,0))</f>
        <v>1</v>
      </c>
      <c r="N230" s="87">
        <f>IF($A230="","",IF(ISNUMBER(SEARCH("Aktivitas Bulanan",INDEX(FORM!$K:$K,ROW()))),1,0))</f>
        <v>0</v>
      </c>
      <c r="O230" s="87">
        <f>IF($A230="","",IF(ISNUMBER(SEARCH("Overview Cabang",INDEX(FORM!$K:$K,ROW()))),1,0))</f>
        <v>0</v>
      </c>
      <c r="P230" s="87">
        <f>IF($A230="","",IFERROR(VLOOKUP(I230,DATA!$AH$9:$AI$13,2,0),""))</f>
        <v>3</v>
      </c>
      <c r="Q230" s="87">
        <f>IF($A230="","",IFERROR(VLOOKUP(J230,DATA!$AH$9:$AI$13,2,0),""))</f>
        <v>3</v>
      </c>
      <c r="R230" s="87">
        <f>IF($A230="","",IFERROR(VLOOKUP(K230,DATA!$AH$9:$AI$13,2,0),""))</f>
        <v>3</v>
      </c>
      <c r="S230" s="89">
        <f t="shared" si="66"/>
        <v>3</v>
      </c>
      <c r="T230" s="87">
        <f>IF($A230="","",IF(COUNTIF($D$2:D230,D230)=1,1,0))</f>
        <v>1</v>
      </c>
      <c r="U230" s="87" t="str">
        <f>IF($A230="","",IF(F230="-","Cabang tdk ada",IF(IFERROR(VLOOKUP(G230,#REF!,1,0),"")="","",IF(INDEX(DATA!$AH$2:$AH$5,MATCH(G230,DATA!$AI$2:$AI$5,0))&lt;&gt;F230,"Wilayah beda","OK"))))</f>
        <v/>
      </c>
      <c r="V230" s="87" t="str">
        <f>IF($A230="","",TRIM(INDEX(FORM!$I:$I,ROW())&amp;""))</f>
        <v>Cukup bagus dan mudah di akses</v>
      </c>
      <c r="W230" s="87" t="str">
        <f>IF($A230="","",TRIM(INDEX(FORM!$L:$L,ROW())&amp;""))</f>
        <v>Lengkap</v>
      </c>
      <c r="X230" s="87" t="str">
        <f>IF($A230="","",TRIM(INDEX(FORM!$M:$M,ROW())&amp;""))</f>
        <v>Sudah bagus</v>
      </c>
      <c r="Y230" s="8">
        <f>IF($A230="","",IFERROR(MATCH(F230,DATA!$AH$2:$AH$5,0),9)*10000+A230)</f>
        <v>30229</v>
      </c>
      <c r="Z230" s="87" t="str">
        <f t="shared" si="67"/>
        <v>Tidak ada masukan / sudah baik</v>
      </c>
      <c r="AA230" s="87" t="str">
        <f t="shared" si="68"/>
        <v>Tidak ada masukan / sudah baik</v>
      </c>
      <c r="AB230" s="87" t="str">
        <f t="shared" si="69"/>
        <v>Tidak ada masukan / sudah baik</v>
      </c>
      <c r="AC230" s="87"/>
      <c r="AD230" s="87"/>
      <c r="AE230" s="87"/>
      <c r="AK230" s="90">
        <f t="shared" si="70"/>
        <v>0</v>
      </c>
      <c r="AL230" s="90">
        <f t="shared" si="71"/>
        <v>0</v>
      </c>
      <c r="AM230" s="90">
        <f t="shared" si="72"/>
        <v>0</v>
      </c>
      <c r="AN230" s="90">
        <f t="shared" si="73"/>
        <v>0</v>
      </c>
      <c r="AO230" s="90">
        <f t="shared" si="74"/>
        <v>0</v>
      </c>
      <c r="AP230" s="90">
        <f t="shared" si="75"/>
        <v>0</v>
      </c>
      <c r="AQ230" s="90">
        <f t="shared" si="76"/>
        <v>0</v>
      </c>
      <c r="AR230" s="90">
        <f t="shared" si="77"/>
        <v>0</v>
      </c>
      <c r="AS230" s="90">
        <f t="shared" si="78"/>
        <v>0</v>
      </c>
      <c r="AT230" s="90">
        <f t="shared" si="79"/>
        <v>0</v>
      </c>
      <c r="AU230" s="90">
        <f t="shared" si="80"/>
        <v>0</v>
      </c>
      <c r="AV230" s="90">
        <f t="shared" si="81"/>
        <v>0</v>
      </c>
      <c r="AW230" s="90">
        <f t="shared" si="82"/>
        <v>0</v>
      </c>
      <c r="AX230" s="90">
        <f t="shared" si="83"/>
        <v>0</v>
      </c>
      <c r="AY230" s="90">
        <f t="shared" si="84"/>
        <v>0</v>
      </c>
      <c r="AZ230" s="90">
        <f t="shared" si="85"/>
        <v>0</v>
      </c>
      <c r="BA230" s="90">
        <f t="shared" si="86"/>
        <v>0</v>
      </c>
      <c r="BB230" s="90">
        <f t="shared" si="87"/>
        <v>0</v>
      </c>
    </row>
    <row r="231" spans="1:54">
      <c r="A231" s="87">
        <f>IF(INDEX(FORM!$A:$A,ROW())="","",ROW()-1)</f>
        <v>230</v>
      </c>
      <c r="B231" s="88">
        <f>IF($A231="","",INDEX(FORM!$A:$A,ROW()))</f>
        <v>46312.429965277799</v>
      </c>
      <c r="C231" s="87" t="str">
        <f>IF($A231="","",TRIM(INDEX(FORM!$B:$B,ROW())))</f>
        <v>Nurizul fadli</v>
      </c>
      <c r="D231" s="87" t="str">
        <f>IF($A231="","",TRIM(INDEX(FORM!$C:$C,ROW())&amp;""))</f>
        <v>1510963</v>
      </c>
      <c r="E231" s="87" t="str">
        <f>IF($A231="","",UPPER(TRIM(INDEX(FORM!$D:$D,ROW()))))</f>
        <v>SUMENEP</v>
      </c>
      <c r="F231" s="87" t="str">
        <f>IF($A231="","",IFERROR(INDEX(PROGRES!$A$2:$A$92,MATCH(E231,PROGRES!$B$2:$B$92,0)),"-"))</f>
        <v>Jawa Timur</v>
      </c>
      <c r="G231" s="87" t="str">
        <f>IF($A231="","",UPPER(TRIM(INDEX(FORM!$F:$F,ROW()))))</f>
        <v>JATIM</v>
      </c>
      <c r="H231" s="87" t="str">
        <f>IF($A231="","",UPPER(TRIM(INDEX(FORM!$E:$E,ROW()))))</f>
        <v>CRO</v>
      </c>
      <c r="I231" s="87" t="str">
        <f>IF($A231="","",UPPER(TRIM(INDEX(FORM!$G:$G,ROW()))))</f>
        <v>CUKUP</v>
      </c>
      <c r="J231" s="87" t="str">
        <f>IF($A231="","",IF(ISNUMBER(SEARCH("Ya,",INDEX(FORM!$H:$H,ROW()))),"YA",IF(ISNUMBER(SEARCH("Cukup,",INDEX(FORM!$H:$H,ROW()))),"CUKUP",IF(ISNUMBER(SEARCH("Kurang,",INDEX(FORM!$H:$H,ROW()))),"KURANG",""))))</f>
        <v>YA</v>
      </c>
      <c r="K231" s="87" t="str">
        <f>IF($A231="","",UPPER(TRIM(INDEX(FORM!$J:$J,ROW()))))</f>
        <v>CUKUP</v>
      </c>
      <c r="L231" s="87">
        <f>IF($A231="","",IF(ISNUMBER(SEARCH("Aktivitas Harian",INDEX(FORM!$K:$K,ROW()))),1,0))</f>
        <v>1</v>
      </c>
      <c r="M231" s="87">
        <f>IF($A231="","",IF(ISNUMBER(SEARCH("Aktivitas Mingguan",INDEX(FORM!$K:$K,ROW()))),1,0))</f>
        <v>0</v>
      </c>
      <c r="N231" s="87">
        <f>IF($A231="","",IF(ISNUMBER(SEARCH("Aktivitas Bulanan",INDEX(FORM!$K:$K,ROW()))),1,0))</f>
        <v>0</v>
      </c>
      <c r="O231" s="87">
        <f>IF($A231="","",IF(ISNUMBER(SEARCH("Overview Cabang",INDEX(FORM!$K:$K,ROW()))),1,0))</f>
        <v>0</v>
      </c>
      <c r="P231" s="87">
        <f>IF($A231="","",IFERROR(VLOOKUP(I231,DATA!$AH$9:$AI$13,2,0),""))</f>
        <v>2</v>
      </c>
      <c r="Q231" s="87">
        <f>IF($A231="","",IFERROR(VLOOKUP(J231,DATA!$AH$9:$AI$13,2,0),""))</f>
        <v>3</v>
      </c>
      <c r="R231" s="87">
        <f>IF($A231="","",IFERROR(VLOOKUP(K231,DATA!$AH$9:$AI$13,2,0),""))</f>
        <v>2</v>
      </c>
      <c r="S231" s="89">
        <f t="shared" si="66"/>
        <v>2.3333333333333335</v>
      </c>
      <c r="T231" s="87">
        <f>IF($A231="","",IF(COUNTIF($D$2:D231,D231)=1,1,0))</f>
        <v>1</v>
      </c>
      <c r="U231" s="87" t="str">
        <f>IF($A231="","",IF(F231="-","Cabang tdk ada",IF(IFERROR(VLOOKUP(G231,#REF!,1,0),"")="","",IF(INDEX(DATA!$AH$2:$AH$5,MATCH(G231,DATA!$AI$2:$AI$5,0))&lt;&gt;F231,"Wilayah beda","OK"))))</f>
        <v/>
      </c>
      <c r="V231" s="87" t="str">
        <f>IF($A231="","",TRIM(INDEX(FORM!$I:$I,ROW())&amp;""))</f>
        <v>Sudah bagus Simple mudah di akses...</v>
      </c>
      <c r="W231" s="87" t="str">
        <f>IF($A231="","",TRIM(INDEX(FORM!$L:$L,ROW())&amp;""))</f>
        <v>Sudah</v>
      </c>
      <c r="X231" s="87" t="str">
        <f>IF($A231="","",TRIM(INDEX(FORM!$M:$M,ROW())&amp;""))</f>
        <v>Diperbaharui dan di tambah sampai veberapa waktu untuk lebih menambah wawasan</v>
      </c>
      <c r="Y231" s="8">
        <f>IF($A231="","",IFERROR(MATCH(F231,DATA!$AH$2:$AH$5,0),9)*10000+A231)</f>
        <v>30230</v>
      </c>
      <c r="Z231" s="87" t="str">
        <f t="shared" si="67"/>
        <v>Penyederhanaan &amp; Ringkas Isi</v>
      </c>
      <c r="AA231" s="87" t="str">
        <f t="shared" si="68"/>
        <v>Tidak ada masukan / sudah baik</v>
      </c>
      <c r="AB231" s="87" t="str">
        <f t="shared" si="69"/>
        <v>Lainnya (perlu dibaca manual)</v>
      </c>
      <c r="AC231" s="87"/>
      <c r="AD231" s="87"/>
      <c r="AE231" s="87"/>
      <c r="AK231" s="90">
        <f t="shared" si="70"/>
        <v>0</v>
      </c>
      <c r="AL231" s="90">
        <f t="shared" si="71"/>
        <v>0</v>
      </c>
      <c r="AM231" s="90">
        <f t="shared" si="72"/>
        <v>0</v>
      </c>
      <c r="AN231" s="90">
        <f t="shared" si="73"/>
        <v>0</v>
      </c>
      <c r="AO231" s="90">
        <f t="shared" si="74"/>
        <v>0</v>
      </c>
      <c r="AP231" s="90">
        <f t="shared" si="75"/>
        <v>0</v>
      </c>
      <c r="AQ231" s="90">
        <f t="shared" si="76"/>
        <v>1</v>
      </c>
      <c r="AR231" s="90">
        <f t="shared" si="77"/>
        <v>0</v>
      </c>
      <c r="AS231" s="90">
        <f t="shared" si="78"/>
        <v>0</v>
      </c>
      <c r="AT231" s="90">
        <f t="shared" si="79"/>
        <v>0</v>
      </c>
      <c r="AU231" s="90">
        <f t="shared" si="80"/>
        <v>0</v>
      </c>
      <c r="AV231" s="90">
        <f t="shared" si="81"/>
        <v>0</v>
      </c>
      <c r="AW231" s="90">
        <f t="shared" si="82"/>
        <v>0</v>
      </c>
      <c r="AX231" s="90">
        <f t="shared" si="83"/>
        <v>0</v>
      </c>
      <c r="AY231" s="90">
        <f t="shared" si="84"/>
        <v>0</v>
      </c>
      <c r="AZ231" s="90">
        <f t="shared" si="85"/>
        <v>0</v>
      </c>
      <c r="BA231" s="90">
        <f t="shared" si="86"/>
        <v>1</v>
      </c>
      <c r="BB231" s="90">
        <f t="shared" si="87"/>
        <v>1</v>
      </c>
    </row>
    <row r="232" spans="1:54" s="5" customFormat="1" hidden="1">
      <c r="A232" s="8">
        <f>IF(INDEX(FORM!$A:$A,ROW())="","",ROW()-1)</f>
        <v>231</v>
      </c>
      <c r="B232" s="41">
        <f>IF($A232="","",INDEX(FORM!$A:$A,ROW()))</f>
        <v>46312.439687500002</v>
      </c>
      <c r="C232" s="8" t="str">
        <f>IF($A232="","",TRIM(INDEX(FORM!$B:$B,ROW())))</f>
        <v>ALVIN RIAWAN</v>
      </c>
      <c r="D232" s="8" t="str">
        <f>IF($A232="","",TRIM(INDEX(FORM!$C:$C,ROW())&amp;""))</f>
        <v>1510767</v>
      </c>
      <c r="E232" s="8" t="str">
        <f>IF($A232="","",UPPER(TRIM(INDEX(FORM!$D:$D,ROW()))))</f>
        <v>PAMEKASAN</v>
      </c>
      <c r="F232" s="8" t="str">
        <f>IF($A232="","",IFERROR(INDEX(PROGRES!$A$2:$A$92,MATCH(E232,PROGRES!$B$2:$B$92,0)),"-"))</f>
        <v>Jawa Timur</v>
      </c>
      <c r="G232" s="8" t="str">
        <f>IF($A232="","",UPPER(TRIM(INDEX(FORM!$F:$F,ROW()))))</f>
        <v>JATIM</v>
      </c>
      <c r="H232" s="8" t="str">
        <f>IF($A232="","",UPPER(TRIM(INDEX(FORM!$E:$E,ROW()))))</f>
        <v>BAO</v>
      </c>
      <c r="I232" s="8" t="str">
        <f>IF($A232="","",UPPER(TRIM(INDEX(FORM!$G:$G,ROW()))))</f>
        <v>MUDAH</v>
      </c>
      <c r="J232" s="8" t="str">
        <f>IF($A232="","",IF(ISNUMBER(SEARCH("Ya,",INDEX(FORM!$H:$H,ROW()))),"YA",IF(ISNUMBER(SEARCH("Cukup,",INDEX(FORM!$H:$H,ROW()))),"CUKUP",IF(ISNUMBER(SEARCH("Kurang,",INDEX(FORM!$H:$H,ROW()))),"KURANG",""))))</f>
        <v>YA</v>
      </c>
      <c r="K232" s="8" t="str">
        <f>IF($A232="","",UPPER(TRIM(INDEX(FORM!$J:$J,ROW()))))</f>
        <v>MUDAH</v>
      </c>
      <c r="L232" s="8">
        <f>IF($A232="","",IF(ISNUMBER(SEARCH("Aktivitas Harian",INDEX(FORM!$K:$K,ROW()))),1,0))</f>
        <v>1</v>
      </c>
      <c r="M232" s="8">
        <f>IF($A232="","",IF(ISNUMBER(SEARCH("Aktivitas Mingguan",INDEX(FORM!$K:$K,ROW()))),1,0))</f>
        <v>1</v>
      </c>
      <c r="N232" s="8">
        <f>IF($A232="","",IF(ISNUMBER(SEARCH("Aktivitas Bulanan",INDEX(FORM!$K:$K,ROW()))),1,0))</f>
        <v>1</v>
      </c>
      <c r="O232" s="8">
        <f>IF($A232="","",IF(ISNUMBER(SEARCH("Overview Cabang",INDEX(FORM!$K:$K,ROW()))),1,0))</f>
        <v>0</v>
      </c>
      <c r="P232" s="8">
        <f>IF($A232="","",IFERROR(VLOOKUP(I232,DATA!$AH$9:$AI$13,2,0),""))</f>
        <v>3</v>
      </c>
      <c r="Q232" s="8">
        <f>IF($A232="","",IFERROR(VLOOKUP(J232,DATA!$AH$9:$AI$13,2,0),""))</f>
        <v>3</v>
      </c>
      <c r="R232" s="8">
        <f>IF($A232="","",IFERROR(VLOOKUP(K232,DATA!$AH$9:$AI$13,2,0),""))</f>
        <v>3</v>
      </c>
      <c r="S232" s="42">
        <f t="shared" si="66"/>
        <v>3</v>
      </c>
      <c r="T232" s="8">
        <f>IF($A232="","",IF(COUNTIF($D$2:D232,D232)=1,1,0))</f>
        <v>1</v>
      </c>
      <c r="U232" s="8" t="str">
        <f>IF($A232="","",IF(F232="-","Cabang tdk ada",IF(IFERROR(VLOOKUP(G232,#REF!,1,0),"")="","",IF(INDEX(DATA!$AH$2:$AH$5,MATCH(G232,DATA!$AI$2:$AI$5,0))&lt;&gt;F232,"Wilayah beda","OK"))))</f>
        <v/>
      </c>
      <c r="V232" s="8" t="str">
        <f>IF($A232="","",TRIM(INDEX(FORM!$I:$I,ROW())&amp;""))</f>
        <v>MUNGKIN AKAN LEBIH MUDAH KALAU BENTUK APLIKASI, KARENA KALAU WEBSITE DIKHATIRKAN HILANG LINK NYA</v>
      </c>
      <c r="W232" s="8" t="str">
        <f>IF($A232="","",TRIM(INDEX(FORM!$L:$L,ROW())&amp;""))</f>
        <v>SUDAH TERCAKUP</v>
      </c>
      <c r="X232" s="8" t="str">
        <f>IF($A232="","",TRIM(INDEX(FORM!$M:$M,ROW())&amp;""))</f>
        <v>SELAIN WEBSITE BISA BERBENTUK APLIKASI HANDBOOK</v>
      </c>
      <c r="Y232" s="8">
        <f>IF($A232="","",IFERROR(MATCH(F232,DATA!$AH$2:$AH$5,0),9)*10000+A232)</f>
        <v>30231</v>
      </c>
      <c r="Z232" s="8" t="str">
        <f t="shared" si="67"/>
        <v>Integrasi dengan SACS / Aplikasi</v>
      </c>
      <c r="AA232" s="8" t="str">
        <f t="shared" si="68"/>
        <v>Tidak ada masukan / sudah baik</v>
      </c>
      <c r="AB232" s="8" t="str">
        <f t="shared" si="69"/>
        <v>Integrasi ke SACS / Aplikasi Kerja</v>
      </c>
      <c r="AC232" s="8"/>
      <c r="AD232" s="8"/>
      <c r="AE232" s="8"/>
      <c r="AK232" s="5">
        <f t="shared" si="70"/>
        <v>0</v>
      </c>
      <c r="AL232" s="5">
        <f t="shared" si="71"/>
        <v>0</v>
      </c>
      <c r="AM232" s="5">
        <f t="shared" si="72"/>
        <v>0</v>
      </c>
      <c r="AN232" s="5">
        <f t="shared" si="73"/>
        <v>0</v>
      </c>
      <c r="AO232" s="5">
        <f t="shared" si="74"/>
        <v>1</v>
      </c>
      <c r="AP232" s="5">
        <f t="shared" si="75"/>
        <v>0</v>
      </c>
      <c r="AQ232" s="5">
        <f t="shared" si="76"/>
        <v>0</v>
      </c>
      <c r="AR232" s="5">
        <f t="shared" si="77"/>
        <v>0</v>
      </c>
      <c r="AS232" s="5">
        <f t="shared" si="78"/>
        <v>0</v>
      </c>
      <c r="AT232" s="5">
        <f t="shared" si="79"/>
        <v>0</v>
      </c>
      <c r="AU232" s="5">
        <f t="shared" si="80"/>
        <v>0</v>
      </c>
      <c r="AV232" s="5">
        <f t="shared" si="81"/>
        <v>0</v>
      </c>
      <c r="AW232" s="5">
        <f t="shared" si="82"/>
        <v>0</v>
      </c>
      <c r="AX232" s="5">
        <f t="shared" si="83"/>
        <v>0</v>
      </c>
      <c r="AY232" s="5">
        <f t="shared" si="84"/>
        <v>0</v>
      </c>
      <c r="AZ232" s="5">
        <f t="shared" si="85"/>
        <v>0</v>
      </c>
      <c r="BA232" s="5">
        <f t="shared" si="86"/>
        <v>0</v>
      </c>
      <c r="BB232" s="5">
        <f t="shared" si="87"/>
        <v>1</v>
      </c>
    </row>
    <row r="233" spans="1:54">
      <c r="A233" s="87">
        <f>IF(INDEX(FORM!$A:$A,ROW())="","",ROW()-1)</f>
        <v>232</v>
      </c>
      <c r="B233" s="88">
        <f>IF($A233="","",INDEX(FORM!$A:$A,ROW()))</f>
        <v>46312.439814814803</v>
      </c>
      <c r="C233" s="87" t="str">
        <f>IF($A233="","",TRIM(INDEX(FORM!$B:$B,ROW())))</f>
        <v>Rendra saputra</v>
      </c>
      <c r="D233" s="87" t="str">
        <f>IF($A233="","",TRIM(INDEX(FORM!$C:$C,ROW())&amp;""))</f>
        <v>1511032</v>
      </c>
      <c r="E233" s="87" t="str">
        <f>IF($A233="","",UPPER(TRIM(INDEX(FORM!$D:$D,ROW()))))</f>
        <v>BOYOLALI</v>
      </c>
      <c r="F233" s="87" t="str">
        <f>IF($A233="","",IFERROR(INDEX(PROGRES!$A$2:$A$92,MATCH(E233,PROGRES!$B$2:$B$92,0)),"-"))</f>
        <v>Jawa Tengah</v>
      </c>
      <c r="G233" s="87" t="str">
        <f>IF($A233="","",UPPER(TRIM(INDEX(FORM!$F:$F,ROW()))))</f>
        <v>JATENG DIY</v>
      </c>
      <c r="H233" s="87" t="str">
        <f>IF($A233="","",UPPER(TRIM(INDEX(FORM!$E:$E,ROW()))))</f>
        <v>CRO</v>
      </c>
      <c r="I233" s="87" t="str">
        <f>IF($A233="","",UPPER(TRIM(INDEX(FORM!$G:$G,ROW()))))</f>
        <v>CUKUP</v>
      </c>
      <c r="J233" s="87" t="str">
        <f>IF($A233="","",IF(ISNUMBER(SEARCH("Ya,",INDEX(FORM!$H:$H,ROW()))),"YA",IF(ISNUMBER(SEARCH("Cukup,",INDEX(FORM!$H:$H,ROW()))),"CUKUP",IF(ISNUMBER(SEARCH("Kurang,",INDEX(FORM!$H:$H,ROW()))),"KURANG",""))))</f>
        <v>YA</v>
      </c>
      <c r="K233" s="87" t="str">
        <f>IF($A233="","",UPPER(TRIM(INDEX(FORM!$J:$J,ROW()))))</f>
        <v>MUDAH</v>
      </c>
      <c r="L233" s="87">
        <f>IF($A233="","",IF(ISNUMBER(SEARCH("Aktivitas Harian",INDEX(FORM!$K:$K,ROW()))),1,0))</f>
        <v>1</v>
      </c>
      <c r="M233" s="87">
        <f>IF($A233="","",IF(ISNUMBER(SEARCH("Aktivitas Mingguan",INDEX(FORM!$K:$K,ROW()))),1,0))</f>
        <v>0</v>
      </c>
      <c r="N233" s="87">
        <f>IF($A233="","",IF(ISNUMBER(SEARCH("Aktivitas Bulanan",INDEX(FORM!$K:$K,ROW()))),1,0))</f>
        <v>0</v>
      </c>
      <c r="O233" s="87">
        <f>IF($A233="","",IF(ISNUMBER(SEARCH("Overview Cabang",INDEX(FORM!$K:$K,ROW()))),1,0))</f>
        <v>0</v>
      </c>
      <c r="P233" s="87">
        <f>IF($A233="","",IFERROR(VLOOKUP(I233,DATA!$AH$9:$AI$13,2,0),""))</f>
        <v>2</v>
      </c>
      <c r="Q233" s="87">
        <f>IF($A233="","",IFERROR(VLOOKUP(J233,DATA!$AH$9:$AI$13,2,0),""))</f>
        <v>3</v>
      </c>
      <c r="R233" s="87">
        <f>IF($A233="","",IFERROR(VLOOKUP(K233,DATA!$AH$9:$AI$13,2,0),""))</f>
        <v>3</v>
      </c>
      <c r="S233" s="89">
        <f t="shared" si="66"/>
        <v>2.6666666666666665</v>
      </c>
      <c r="T233" s="87">
        <f>IF($A233="","",IF(COUNTIF($D$2:D233,D233)=1,1,0))</f>
        <v>1</v>
      </c>
      <c r="U233" s="87" t="str">
        <f>IF($A233="","",IF(F233="-","Cabang tdk ada",IF(IFERROR(VLOOKUP(G233,#REF!,1,0),"")="","",IF(INDEX(DATA!$AH$2:$AH$5,MATCH(G233,DATA!$AI$2:$AI$5,0))&lt;&gt;F233,"Wilayah beda","OK"))))</f>
        <v/>
      </c>
      <c r="V233" s="87" t="str">
        <f>IF($A233="","",TRIM(INDEX(FORM!$I:$I,ROW())&amp;""))</f>
        <v>Mohon dikasih faq untuk tanya jawab</v>
      </c>
      <c r="W233" s="87" t="str">
        <f>IF($A233="","",TRIM(INDEX(FORM!$L:$L,ROW())&amp;""))</f>
        <v>Tidak</v>
      </c>
      <c r="X233" s="87" t="str">
        <f>IF($A233="","",TRIM(INDEX(FORM!$M:$M,ROW())&amp;""))</f>
        <v>Dilakukan quiz sebulan sekali untuk mengingatkan tentang sop maupun tupoksi</v>
      </c>
      <c r="Y233" s="8">
        <f>IF($A233="","",IFERROR(MATCH(F233,DATA!$AH$2:$AH$5,0),9)*10000+A233)</f>
        <v>20232</v>
      </c>
      <c r="Z233" s="87" t="str">
        <f t="shared" si="67"/>
        <v>Lainnya (perlu dibaca manual)</v>
      </c>
      <c r="AA233" s="87" t="str">
        <f t="shared" si="68"/>
        <v>Tidak ada masukan / sudah baik</v>
      </c>
      <c r="AB233" s="87" t="str">
        <f t="shared" si="69"/>
        <v>Tidak ada masukan / sudah baik</v>
      </c>
      <c r="AC233" s="87"/>
      <c r="AD233" s="87"/>
      <c r="AE233" s="87"/>
      <c r="AK233" s="90">
        <f t="shared" si="70"/>
        <v>0</v>
      </c>
      <c r="AL233" s="90">
        <f t="shared" si="71"/>
        <v>0</v>
      </c>
      <c r="AM233" s="90">
        <f t="shared" si="72"/>
        <v>0</v>
      </c>
      <c r="AN233" s="90">
        <f t="shared" si="73"/>
        <v>0</v>
      </c>
      <c r="AO233" s="90">
        <f t="shared" si="74"/>
        <v>0</v>
      </c>
      <c r="AP233" s="90">
        <f t="shared" si="75"/>
        <v>0</v>
      </c>
      <c r="AQ233" s="90">
        <f t="shared" si="76"/>
        <v>0</v>
      </c>
      <c r="AR233" s="90">
        <f t="shared" si="77"/>
        <v>0</v>
      </c>
      <c r="AS233" s="90">
        <f t="shared" si="78"/>
        <v>0</v>
      </c>
      <c r="AT233" s="90">
        <f t="shared" si="79"/>
        <v>0</v>
      </c>
      <c r="AU233" s="90">
        <f t="shared" si="80"/>
        <v>0</v>
      </c>
      <c r="AV233" s="90">
        <f t="shared" si="81"/>
        <v>0</v>
      </c>
      <c r="AW233" s="90">
        <f t="shared" si="82"/>
        <v>0</v>
      </c>
      <c r="AX233" s="90">
        <f t="shared" si="83"/>
        <v>0</v>
      </c>
      <c r="AY233" s="90">
        <f t="shared" si="84"/>
        <v>0</v>
      </c>
      <c r="AZ233" s="90">
        <f t="shared" si="85"/>
        <v>0</v>
      </c>
      <c r="BA233" s="90">
        <f t="shared" si="86"/>
        <v>1</v>
      </c>
      <c r="BB233" s="90">
        <f t="shared" si="87"/>
        <v>1</v>
      </c>
    </row>
    <row r="234" spans="1:54">
      <c r="A234" s="87">
        <f>IF(INDEX(FORM!$A:$A,ROW())="","",ROW()-1)</f>
        <v>233</v>
      </c>
      <c r="B234" s="88">
        <f>IF($A234="","",INDEX(FORM!$A:$A,ROW()))</f>
        <v>46312.507222222201</v>
      </c>
      <c r="C234" s="87" t="str">
        <f>IF($A234="","",TRIM(INDEX(FORM!$B:$B,ROW())))</f>
        <v>Susetyo fathoni</v>
      </c>
      <c r="D234" s="87" t="str">
        <f>IF($A234="","",TRIM(INDEX(FORM!$C:$C,ROW())&amp;""))</f>
        <v>1511200</v>
      </c>
      <c r="E234" s="87" t="str">
        <f>IF($A234="","",UPPER(TRIM(INDEX(FORM!$D:$D,ROW()))))</f>
        <v>TUBAN</v>
      </c>
      <c r="F234" s="87" t="str">
        <f>IF($A234="","",IFERROR(INDEX(PROGRES!$A$2:$A$92,MATCH(E234,PROGRES!$B$2:$B$92,0)),"-"))</f>
        <v>Jawa Timur</v>
      </c>
      <c r="G234" s="87" t="str">
        <f>IF($A234="","",UPPER(TRIM(INDEX(FORM!$F:$F,ROW()))))</f>
        <v>JATIM</v>
      </c>
      <c r="H234" s="87" t="str">
        <f>IF($A234="","",UPPER(TRIM(INDEX(FORM!$E:$E,ROW()))))</f>
        <v>CRO</v>
      </c>
      <c r="I234" s="87" t="str">
        <f>IF($A234="","",UPPER(TRIM(INDEX(FORM!$G:$G,ROW()))))</f>
        <v>MUDAH</v>
      </c>
      <c r="J234" s="87" t="str">
        <f>IF($A234="","",IF(ISNUMBER(SEARCH("Ya,",INDEX(FORM!$H:$H,ROW()))),"YA",IF(ISNUMBER(SEARCH("Cukup,",INDEX(FORM!$H:$H,ROW()))),"CUKUP",IF(ISNUMBER(SEARCH("Kurang,",INDEX(FORM!$H:$H,ROW()))),"KURANG",""))))</f>
        <v>YA</v>
      </c>
      <c r="K234" s="87" t="str">
        <f>IF($A234="","",UPPER(TRIM(INDEX(FORM!$J:$J,ROW()))))</f>
        <v>MUDAH</v>
      </c>
      <c r="L234" s="87">
        <f>IF($A234="","",IF(ISNUMBER(SEARCH("Aktivitas Harian",INDEX(FORM!$K:$K,ROW()))),1,0))</f>
        <v>1</v>
      </c>
      <c r="M234" s="87">
        <f>IF($A234="","",IF(ISNUMBER(SEARCH("Aktivitas Mingguan",INDEX(FORM!$K:$K,ROW()))),1,0))</f>
        <v>0</v>
      </c>
      <c r="N234" s="87">
        <f>IF($A234="","",IF(ISNUMBER(SEARCH("Aktivitas Bulanan",INDEX(FORM!$K:$K,ROW()))),1,0))</f>
        <v>0</v>
      </c>
      <c r="O234" s="87">
        <f>IF($A234="","",IF(ISNUMBER(SEARCH("Overview Cabang",INDEX(FORM!$K:$K,ROW()))),1,0))</f>
        <v>0</v>
      </c>
      <c r="P234" s="87">
        <f>IF($A234="","",IFERROR(VLOOKUP(I234,DATA!$AH$9:$AI$13,2,0),""))</f>
        <v>3</v>
      </c>
      <c r="Q234" s="87">
        <f>IF($A234="","",IFERROR(VLOOKUP(J234,DATA!$AH$9:$AI$13,2,0),""))</f>
        <v>3</v>
      </c>
      <c r="R234" s="87">
        <f>IF($A234="","",IFERROR(VLOOKUP(K234,DATA!$AH$9:$AI$13,2,0),""))</f>
        <v>3</v>
      </c>
      <c r="S234" s="89">
        <f t="shared" si="66"/>
        <v>3</v>
      </c>
      <c r="T234" s="87">
        <f>IF($A234="","",IF(COUNTIF($D$2:D234,D234)=1,1,0))</f>
        <v>1</v>
      </c>
      <c r="U234" s="87" t="str">
        <f>IF($A234="","",IF(F234="-","Cabang tdk ada",IF(IFERROR(VLOOKUP(G234,#REF!,1,0),"")="","",IF(INDEX(DATA!$AH$2:$AH$5,MATCH(G234,DATA!$AI$2:$AI$5,0))&lt;&gt;F234,"Wilayah beda","OK"))))</f>
        <v/>
      </c>
      <c r="V234" s="87" t="str">
        <f>IF($A234="","",TRIM(INDEX(FORM!$I:$I,ROW())&amp;""))</f>
        <v>Tidak sudah cukup baik</v>
      </c>
      <c r="W234" s="87" t="str">
        <f>IF($A234="","",TRIM(INDEX(FORM!$L:$L,ROW())&amp;""))</f>
        <v>Sudah baik</v>
      </c>
      <c r="X234" s="87" t="str">
        <f>IF($A234="","",TRIM(INDEX(FORM!$M:$M,ROW())&amp;""))</f>
        <v>Sudah cukup</v>
      </c>
      <c r="Y234" s="8">
        <f>IF($A234="","",IFERROR(MATCH(F234,DATA!$AH$2:$AH$5,0),9)*10000+A234)</f>
        <v>30233</v>
      </c>
      <c r="Z234" s="87" t="str">
        <f t="shared" si="67"/>
        <v>Tidak ada masukan / sudah baik</v>
      </c>
      <c r="AA234" s="87" t="str">
        <f t="shared" si="68"/>
        <v>Tidak ada masukan / sudah baik</v>
      </c>
      <c r="AB234" s="87" t="str">
        <f t="shared" si="69"/>
        <v>Tidak ada masukan / sudah baik</v>
      </c>
      <c r="AC234" s="87"/>
      <c r="AD234" s="87"/>
      <c r="AE234" s="87"/>
      <c r="AK234" s="90">
        <f t="shared" si="70"/>
        <v>0</v>
      </c>
      <c r="AL234" s="90">
        <f t="shared" si="71"/>
        <v>0</v>
      </c>
      <c r="AM234" s="90">
        <f t="shared" si="72"/>
        <v>0</v>
      </c>
      <c r="AN234" s="90">
        <f t="shared" si="73"/>
        <v>0</v>
      </c>
      <c r="AO234" s="90">
        <f t="shared" si="74"/>
        <v>0</v>
      </c>
      <c r="AP234" s="90">
        <f t="shared" si="75"/>
        <v>0</v>
      </c>
      <c r="AQ234" s="90">
        <f t="shared" si="76"/>
        <v>0</v>
      </c>
      <c r="AR234" s="90">
        <f t="shared" si="77"/>
        <v>0</v>
      </c>
      <c r="AS234" s="90">
        <f t="shared" si="78"/>
        <v>0</v>
      </c>
      <c r="AT234" s="90">
        <f t="shared" si="79"/>
        <v>0</v>
      </c>
      <c r="AU234" s="90">
        <f t="shared" si="80"/>
        <v>0</v>
      </c>
      <c r="AV234" s="90">
        <f t="shared" si="81"/>
        <v>0</v>
      </c>
      <c r="AW234" s="90">
        <f t="shared" si="82"/>
        <v>0</v>
      </c>
      <c r="AX234" s="90">
        <f t="shared" si="83"/>
        <v>0</v>
      </c>
      <c r="AY234" s="90">
        <f t="shared" si="84"/>
        <v>0</v>
      </c>
      <c r="AZ234" s="90">
        <f t="shared" si="85"/>
        <v>0</v>
      </c>
      <c r="BA234" s="90">
        <f t="shared" si="86"/>
        <v>0</v>
      </c>
      <c r="BB234" s="90">
        <f t="shared" si="87"/>
        <v>0</v>
      </c>
    </row>
    <row r="235" spans="1:54" s="5" customFormat="1" hidden="1">
      <c r="A235" s="8">
        <f>IF(INDEX(FORM!$A:$A,ROW())="","",ROW()-1)</f>
        <v>234</v>
      </c>
      <c r="B235" s="41">
        <f>IF($A235="","",INDEX(FORM!$A:$A,ROW()))</f>
        <v>46312.515740740702</v>
      </c>
      <c r="C235" s="8" t="str">
        <f>IF($A235="","",TRIM(INDEX(FORM!$B:$B,ROW())))</f>
        <v>Ahmad Fadholi</v>
      </c>
      <c r="D235" s="8" t="str">
        <f>IF($A235="","",TRIM(INDEX(FORM!$C:$C,ROW())&amp;""))</f>
        <v>89118194</v>
      </c>
      <c r="E235" s="8" t="str">
        <f>IF($A235="","",UPPER(TRIM(INDEX(FORM!$D:$D,ROW()))))</f>
        <v>TUBAN</v>
      </c>
      <c r="F235" s="8" t="str">
        <f>IF($A235="","",IFERROR(INDEX(PROGRES!$A$2:$A$92,MATCH(E235,PROGRES!$B$2:$B$92,0)),"-"))</f>
        <v>Jawa Timur</v>
      </c>
      <c r="G235" s="8" t="str">
        <f>IF($A235="","",UPPER(TRIM(INDEX(FORM!$F:$F,ROW()))))</f>
        <v>JATIM</v>
      </c>
      <c r="H235" s="8" t="str">
        <f>IF($A235="","",UPPER(TRIM(INDEX(FORM!$E:$E,ROW()))))</f>
        <v>BM</v>
      </c>
      <c r="I235" s="8" t="str">
        <f>IF($A235="","",UPPER(TRIM(INDEX(FORM!$G:$G,ROW()))))</f>
        <v>MUDAH</v>
      </c>
      <c r="J235" s="8" t="str">
        <f>IF($A235="","",IF(ISNUMBER(SEARCH("Ya,",INDEX(FORM!$H:$H,ROW()))),"YA",IF(ISNUMBER(SEARCH("Cukup,",INDEX(FORM!$H:$H,ROW()))),"CUKUP",IF(ISNUMBER(SEARCH("Kurang,",INDEX(FORM!$H:$H,ROW()))),"KURANG",""))))</f>
        <v>YA</v>
      </c>
      <c r="K235" s="8" t="str">
        <f>IF($A235="","",UPPER(TRIM(INDEX(FORM!$J:$J,ROW()))))</f>
        <v>CUKUP</v>
      </c>
      <c r="L235" s="8">
        <f>IF($A235="","",IF(ISNUMBER(SEARCH("Aktivitas Harian",INDEX(FORM!$K:$K,ROW()))),1,0))</f>
        <v>1</v>
      </c>
      <c r="M235" s="8">
        <f>IF($A235="","",IF(ISNUMBER(SEARCH("Aktivitas Mingguan",INDEX(FORM!$K:$K,ROW()))),1,0))</f>
        <v>0</v>
      </c>
      <c r="N235" s="8">
        <f>IF($A235="","",IF(ISNUMBER(SEARCH("Aktivitas Bulanan",INDEX(FORM!$K:$K,ROW()))),1,0))</f>
        <v>0</v>
      </c>
      <c r="O235" s="8">
        <f>IF($A235="","",IF(ISNUMBER(SEARCH("Overview Cabang",INDEX(FORM!$K:$K,ROW()))),1,0))</f>
        <v>0</v>
      </c>
      <c r="P235" s="8">
        <f>IF($A235="","",IFERROR(VLOOKUP(I235,DATA!$AH$9:$AI$13,2,0),""))</f>
        <v>3</v>
      </c>
      <c r="Q235" s="8">
        <f>IF($A235="","",IFERROR(VLOOKUP(J235,DATA!$AH$9:$AI$13,2,0),""))</f>
        <v>3</v>
      </c>
      <c r="R235" s="8">
        <f>IF($A235="","",IFERROR(VLOOKUP(K235,DATA!$AH$9:$AI$13,2,0),""))</f>
        <v>2</v>
      </c>
      <c r="S235" s="42">
        <f t="shared" si="66"/>
        <v>2.6666666666666665</v>
      </c>
      <c r="T235" s="8">
        <f>IF($A235="","",IF(COUNTIF($D$2:D235,D235)=1,1,0))</f>
        <v>1</v>
      </c>
      <c r="U235" s="8" t="str">
        <f>IF($A235="","",IF(F235="-","Cabang tdk ada",IF(IFERROR(VLOOKUP(G235,#REF!,1,0),"")="","",IF(INDEX(DATA!$AH$2:$AH$5,MATCH(G235,DATA!$AI$2:$AI$5,0))&lt;&gt;F235,"Wilayah beda","OK"))))</f>
        <v/>
      </c>
      <c r="V235" s="8" t="str">
        <f>IF($A235="","",TRIM(INDEX(FORM!$I:$I,ROW())&amp;""))</f>
        <v>Seacara overall tampilan mudah di paham, dan ini interpretasi dari jobdesk harian yang sudah di print dan di tempelkan pada masing kantor cabang, sop hal 5 &amp; 6 saran kami di sandingkan dengan hal 2</v>
      </c>
      <c r="W235" s="8" t="str">
        <f>IF($A235="","",TRIM(INDEX(FORM!$L:$L,ROW())&amp;""))</f>
        <v>sebelumnya mau tanya untuk hand book ini apakah bisa di samakan dengan SOP perusahaan?? yang di jabarkan pada handbook lebih pada aktifitas harian, dari pagi hari sampaik sore hari, untuk yang hand book mingguan dan bulanan menurut kami belum di detailkan , ini berdasarkan pada jobdesk BM yang sudah tertulis pada banner / pamplet</v>
      </c>
      <c r="X235" s="8" t="str">
        <f>IF($A235="","",TRIM(INDEX(FORM!$M:$M,ROW())&amp;""))</f>
        <v>pada hand book bisa di tambahkan struktur Navigasi pintar dan pencairan</v>
      </c>
      <c r="Y235" s="8">
        <f>IF($A235="","",IFERROR(MATCH(F235,DATA!$AH$2:$AH$5,0),9)*10000+A235)</f>
        <v>30234</v>
      </c>
      <c r="Z235" s="8" t="str">
        <f t="shared" si="67"/>
        <v>Penambahan Isi / Penjelasan</v>
      </c>
      <c r="AA235" s="8" t="str">
        <f t="shared" si="68"/>
        <v>Panduan Laporan &amp; Alur Kerja</v>
      </c>
      <c r="AB235" s="8" t="str">
        <f t="shared" si="69"/>
        <v>Tidak ada masukan / sudah baik</v>
      </c>
      <c r="AC235" s="8"/>
      <c r="AD235" s="8"/>
      <c r="AE235" s="8"/>
      <c r="AK235" s="5">
        <f t="shared" si="70"/>
        <v>0</v>
      </c>
      <c r="AL235" s="5">
        <f t="shared" si="71"/>
        <v>0</v>
      </c>
      <c r="AM235" s="5">
        <f t="shared" si="72"/>
        <v>0</v>
      </c>
      <c r="AN235" s="5">
        <f t="shared" si="73"/>
        <v>0</v>
      </c>
      <c r="AO235" s="5">
        <f t="shared" si="74"/>
        <v>0</v>
      </c>
      <c r="AP235" s="5">
        <f t="shared" si="75"/>
        <v>0</v>
      </c>
      <c r="AQ235" s="5">
        <f t="shared" si="76"/>
        <v>0</v>
      </c>
      <c r="AR235" s="5">
        <f t="shared" si="77"/>
        <v>1</v>
      </c>
      <c r="AS235" s="5">
        <f t="shared" si="78"/>
        <v>0</v>
      </c>
      <c r="AT235" s="5">
        <f t="shared" si="79"/>
        <v>0</v>
      </c>
      <c r="AU235" s="5">
        <f t="shared" si="80"/>
        <v>0</v>
      </c>
      <c r="AV235" s="5">
        <f t="shared" si="81"/>
        <v>0</v>
      </c>
      <c r="AW235" s="5">
        <f t="shared" si="82"/>
        <v>0</v>
      </c>
      <c r="AX235" s="5">
        <f t="shared" si="83"/>
        <v>0</v>
      </c>
      <c r="AY235" s="5">
        <f t="shared" si="84"/>
        <v>1</v>
      </c>
      <c r="AZ235" s="5">
        <f t="shared" si="85"/>
        <v>0</v>
      </c>
      <c r="BA235" s="5">
        <f t="shared" si="86"/>
        <v>0</v>
      </c>
      <c r="BB235" s="5">
        <f t="shared" si="87"/>
        <v>1</v>
      </c>
    </row>
    <row r="236" spans="1:54" s="5" customFormat="1" hidden="1">
      <c r="A236" s="8">
        <f>IF(INDEX(FORM!$A:$A,ROW())="","",ROW()-1)</f>
        <v>235</v>
      </c>
      <c r="B236" s="41">
        <f>IF($A236="","",INDEX(FORM!$A:$A,ROW()))</f>
        <v>46312.540671296301</v>
      </c>
      <c r="C236" s="8" t="str">
        <f>IF($A236="","",TRIM(INDEX(FORM!$B:$B,ROW())))</f>
        <v>Rezal Ganda Saputra</v>
      </c>
      <c r="D236" s="8" t="str">
        <f>IF($A236="","",TRIM(INDEX(FORM!$C:$C,ROW())&amp;""))</f>
        <v>80471</v>
      </c>
      <c r="E236" s="8" t="str">
        <f>IF($A236="","",UPPER(TRIM(INDEX(FORM!$D:$D,ROW()))))</f>
        <v>SUMENEP</v>
      </c>
      <c r="F236" s="8" t="str">
        <f>IF($A236="","",IFERROR(INDEX(PROGRES!$A$2:$A$92,MATCH(E236,PROGRES!$B$2:$B$92,0)),"-"))</f>
        <v>Jawa Timur</v>
      </c>
      <c r="G236" s="8" t="str">
        <f>IF($A236="","",UPPER(TRIM(INDEX(FORM!$F:$F,ROW()))))</f>
        <v>JATIM</v>
      </c>
      <c r="H236" s="8" t="str">
        <f>IF($A236="","",UPPER(TRIM(INDEX(FORM!$E:$E,ROW()))))</f>
        <v>BM</v>
      </c>
      <c r="I236" s="8" t="str">
        <f>IF($A236="","",UPPER(TRIM(INDEX(FORM!$G:$G,ROW()))))</f>
        <v>CUKUP</v>
      </c>
      <c r="J236" s="8" t="str">
        <f>IF($A236="","",IF(ISNUMBER(SEARCH("Ya,",INDEX(FORM!$H:$H,ROW()))),"YA",IF(ISNUMBER(SEARCH("Cukup,",INDEX(FORM!$H:$H,ROW()))),"CUKUP",IF(ISNUMBER(SEARCH("Kurang,",INDEX(FORM!$H:$H,ROW()))),"KURANG",""))))</f>
        <v>YA</v>
      </c>
      <c r="K236" s="8" t="str">
        <f>IF($A236="","",UPPER(TRIM(INDEX(FORM!$J:$J,ROW()))))</f>
        <v>MUDAH</v>
      </c>
      <c r="L236" s="8">
        <f>IF($A236="","",IF(ISNUMBER(SEARCH("Aktivitas Harian",INDEX(FORM!$K:$K,ROW()))),1,0))</f>
        <v>1</v>
      </c>
      <c r="M236" s="8">
        <f>IF($A236="","",IF(ISNUMBER(SEARCH("Aktivitas Mingguan",INDEX(FORM!$K:$K,ROW()))),1,0))</f>
        <v>1</v>
      </c>
      <c r="N236" s="8">
        <f>IF($A236="","",IF(ISNUMBER(SEARCH("Aktivitas Bulanan",INDEX(FORM!$K:$K,ROW()))),1,0))</f>
        <v>1</v>
      </c>
      <c r="O236" s="8">
        <f>IF($A236="","",IF(ISNUMBER(SEARCH("Overview Cabang",INDEX(FORM!$K:$K,ROW()))),1,0))</f>
        <v>1</v>
      </c>
      <c r="P236" s="8">
        <f>IF($A236="","",IFERROR(VLOOKUP(I236,DATA!$AH$9:$AI$13,2,0),""))</f>
        <v>2</v>
      </c>
      <c r="Q236" s="8">
        <f>IF($A236="","",IFERROR(VLOOKUP(J236,DATA!$AH$9:$AI$13,2,0),""))</f>
        <v>3</v>
      </c>
      <c r="R236" s="8">
        <f>IF($A236="","",IFERROR(VLOOKUP(K236,DATA!$AH$9:$AI$13,2,0),""))</f>
        <v>3</v>
      </c>
      <c r="S236" s="42">
        <f t="shared" si="66"/>
        <v>2.6666666666666665</v>
      </c>
      <c r="T236" s="8">
        <f>IF($A236="","",IF(COUNTIF($D$2:D236,D236)=1,1,0))</f>
        <v>1</v>
      </c>
      <c r="U236" s="8" t="str">
        <f>IF($A236="","",IF(F236="-","Cabang tdk ada",IF(IFERROR(VLOOKUP(G236,#REF!,1,0),"")="","",IF(INDEX(DATA!$AH$2:$AH$5,MATCH(G236,DATA!$AI$2:$AI$5,0))&lt;&gt;F236,"Wilayah beda","OK"))))</f>
        <v/>
      </c>
      <c r="V236" s="8" t="str">
        <f>IF($A236="","",TRIM(INDEX(FORM!$I:$I,ROW())&amp;""))</f>
        <v>Sudah c</v>
      </c>
      <c r="W236" s="8" t="str">
        <f>IF($A236="","",TRIM(INDEX(FORM!$L:$L,ROW())&amp;""))</f>
        <v>Sudah cukup</v>
      </c>
      <c r="X236" s="8" t="str">
        <f>IF($A236="","",TRIM(INDEX(FORM!$M:$M,ROW())&amp;""))</f>
        <v>Sudah cukup</v>
      </c>
      <c r="Y236" s="8">
        <f>IF($A236="","",IFERROR(MATCH(F236,DATA!$AH$2:$AH$5,0),9)*10000+A236)</f>
        <v>30235</v>
      </c>
      <c r="Z236" s="8" t="str">
        <f t="shared" si="67"/>
        <v>Tidak ada masukan / sudah baik</v>
      </c>
      <c r="AA236" s="8" t="str">
        <f t="shared" si="68"/>
        <v>Tidak ada masukan / sudah baik</v>
      </c>
      <c r="AB236" s="8" t="str">
        <f t="shared" si="69"/>
        <v>Tidak ada masukan / sudah baik</v>
      </c>
      <c r="AC236" s="8"/>
      <c r="AD236" s="8"/>
      <c r="AE236" s="8"/>
      <c r="AK236" s="5">
        <f t="shared" si="70"/>
        <v>0</v>
      </c>
      <c r="AL236" s="5">
        <f t="shared" si="71"/>
        <v>0</v>
      </c>
      <c r="AM236" s="5">
        <f t="shared" si="72"/>
        <v>0</v>
      </c>
      <c r="AN236" s="5">
        <f t="shared" si="73"/>
        <v>0</v>
      </c>
      <c r="AO236" s="5">
        <f t="shared" si="74"/>
        <v>0</v>
      </c>
      <c r="AP236" s="5">
        <f t="shared" si="75"/>
        <v>0</v>
      </c>
      <c r="AQ236" s="5">
        <f t="shared" si="76"/>
        <v>0</v>
      </c>
      <c r="AR236" s="5">
        <f t="shared" si="77"/>
        <v>0</v>
      </c>
      <c r="AS236" s="5">
        <f t="shared" si="78"/>
        <v>0</v>
      </c>
      <c r="AT236" s="5">
        <f t="shared" si="79"/>
        <v>0</v>
      </c>
      <c r="AU236" s="5">
        <f t="shared" si="80"/>
        <v>0</v>
      </c>
      <c r="AV236" s="5">
        <f t="shared" si="81"/>
        <v>0</v>
      </c>
      <c r="AW236" s="5">
        <f t="shared" si="82"/>
        <v>0</v>
      </c>
      <c r="AX236" s="5">
        <f t="shared" si="83"/>
        <v>0</v>
      </c>
      <c r="AY236" s="5">
        <f t="shared" si="84"/>
        <v>0</v>
      </c>
      <c r="AZ236" s="5">
        <f t="shared" si="85"/>
        <v>0</v>
      </c>
      <c r="BA236" s="5">
        <f t="shared" si="86"/>
        <v>0</v>
      </c>
      <c r="BB236" s="5">
        <f t="shared" si="87"/>
        <v>0</v>
      </c>
    </row>
    <row r="237" spans="1:54">
      <c r="A237" s="87">
        <f>IF(INDEX(FORM!$A:$A,ROW())="","",ROW()-1)</f>
        <v>236</v>
      </c>
      <c r="B237" s="88">
        <f>IF($A237="","",INDEX(FORM!$A:$A,ROW()))</f>
        <v>46312.754884259302</v>
      </c>
      <c r="C237" s="87" t="str">
        <f>IF($A237="","",TRIM(INDEX(FORM!$B:$B,ROW())))</f>
        <v>Muhammad Alfian Nur Ilahi</v>
      </c>
      <c r="D237" s="87" t="str">
        <f>IF($A237="","",TRIM(INDEX(FORM!$C:$C,ROW())&amp;""))</f>
        <v>1510747</v>
      </c>
      <c r="E237" s="87" t="str">
        <f>IF($A237="","",UPPER(TRIM(INDEX(FORM!$D:$D,ROW()))))</f>
        <v>GOLOMANTUNG</v>
      </c>
      <c r="F237" s="87" t="str">
        <f>IF($A237="","",IFERROR(INDEX(PROGRES!$A$2:$A$92,MATCH(E237,PROGRES!$B$2:$B$92,0)),"-"))</f>
        <v>Jawa Timur</v>
      </c>
      <c r="G237" s="87" t="str">
        <f>IF($A237="","",UPPER(TRIM(INDEX(FORM!$F:$F,ROW()))))</f>
        <v>JATIM</v>
      </c>
      <c r="H237" s="87" t="str">
        <f>IF($A237="","",UPPER(TRIM(INDEX(FORM!$E:$E,ROW()))))</f>
        <v>CRO</v>
      </c>
      <c r="I237" s="87" t="str">
        <f>IF($A237="","",UPPER(TRIM(INDEX(FORM!$G:$G,ROW()))))</f>
        <v>MUDAH</v>
      </c>
      <c r="J237" s="87" t="str">
        <f>IF($A237="","",IF(ISNUMBER(SEARCH("Ya,",INDEX(FORM!$H:$H,ROW()))),"YA",IF(ISNUMBER(SEARCH("Cukup,",INDEX(FORM!$H:$H,ROW()))),"CUKUP",IF(ISNUMBER(SEARCH("Kurang,",INDEX(FORM!$H:$H,ROW()))),"KURANG",""))))</f>
        <v>YA</v>
      </c>
      <c r="K237" s="87" t="str">
        <f>IF($A237="","",UPPER(TRIM(INDEX(FORM!$J:$J,ROW()))))</f>
        <v>MUDAH</v>
      </c>
      <c r="L237" s="87">
        <f>IF($A237="","",IF(ISNUMBER(SEARCH("Aktivitas Harian",INDEX(FORM!$K:$K,ROW()))),1,0))</f>
        <v>1</v>
      </c>
      <c r="M237" s="87">
        <f>IF($A237="","",IF(ISNUMBER(SEARCH("Aktivitas Mingguan",INDEX(FORM!$K:$K,ROW()))),1,0))</f>
        <v>0</v>
      </c>
      <c r="N237" s="87">
        <f>IF($A237="","",IF(ISNUMBER(SEARCH("Aktivitas Bulanan",INDEX(FORM!$K:$K,ROW()))),1,0))</f>
        <v>0</v>
      </c>
      <c r="O237" s="87">
        <f>IF($A237="","",IF(ISNUMBER(SEARCH("Overview Cabang",INDEX(FORM!$K:$K,ROW()))),1,0))</f>
        <v>0</v>
      </c>
      <c r="P237" s="87">
        <f>IF($A237="","",IFERROR(VLOOKUP(I237,DATA!$AH$9:$AI$13,2,0),""))</f>
        <v>3</v>
      </c>
      <c r="Q237" s="87">
        <f>IF($A237="","",IFERROR(VLOOKUP(J237,DATA!$AH$9:$AI$13,2,0),""))</f>
        <v>3</v>
      </c>
      <c r="R237" s="87">
        <f>IF($A237="","",IFERROR(VLOOKUP(K237,DATA!$AH$9:$AI$13,2,0),""))</f>
        <v>3</v>
      </c>
      <c r="S237" s="89">
        <f t="shared" si="66"/>
        <v>3</v>
      </c>
      <c r="T237" s="87">
        <f>IF($A237="","",IF(COUNTIF($D$2:D237,D237)=1,1,0))</f>
        <v>1</v>
      </c>
      <c r="U237" s="87" t="str">
        <f>IF($A237="","",IF(F237="-","Cabang tdk ada",IF(IFERROR(VLOOKUP(G237,#REF!,1,0),"")="","",IF(INDEX(DATA!$AH$2:$AH$5,MATCH(G237,DATA!$AI$2:$AI$5,0))&lt;&gt;F237,"Wilayah beda","OK"))))</f>
        <v/>
      </c>
      <c r="V237" s="87" t="str">
        <f>IF($A237="","",TRIM(INDEX(FORM!$I:$I,ROW())&amp;""))</f>
        <v>Sudah cukup baik</v>
      </c>
      <c r="W237" s="87" t="str">
        <f>IF($A237="","",TRIM(INDEX(FORM!$L:$L,ROW())&amp;""))</f>
        <v>Sudah tercakup semua</v>
      </c>
      <c r="X237" s="87" t="str">
        <f>IF($A237="","",TRIM(INDEX(FORM!$M:$M,ROW())&amp;""))</f>
        <v>Sudah cukup semua. Handbook sangat membantu</v>
      </c>
      <c r="Y237" s="8">
        <f>IF($A237="","",IFERROR(MATCH(F237,DATA!$AH$2:$AH$5,0),9)*10000+A237)</f>
        <v>30236</v>
      </c>
      <c r="Z237" s="87" t="str">
        <f t="shared" si="67"/>
        <v>Tidak ada masukan / sudah baik</v>
      </c>
      <c r="AA237" s="87" t="str">
        <f t="shared" si="68"/>
        <v>Tidak ada masukan / sudah baik</v>
      </c>
      <c r="AB237" s="87" t="str">
        <f t="shared" si="69"/>
        <v>Tidak ada masukan / sudah baik</v>
      </c>
      <c r="AC237" s="87"/>
      <c r="AD237" s="87"/>
      <c r="AE237" s="87"/>
      <c r="AK237" s="90">
        <f t="shared" si="70"/>
        <v>0</v>
      </c>
      <c r="AL237" s="90">
        <f t="shared" si="71"/>
        <v>0</v>
      </c>
      <c r="AM237" s="90">
        <f t="shared" si="72"/>
        <v>0</v>
      </c>
      <c r="AN237" s="90">
        <f t="shared" si="73"/>
        <v>0</v>
      </c>
      <c r="AO237" s="90">
        <f t="shared" si="74"/>
        <v>0</v>
      </c>
      <c r="AP237" s="90">
        <f t="shared" si="75"/>
        <v>0</v>
      </c>
      <c r="AQ237" s="90">
        <f t="shared" si="76"/>
        <v>0</v>
      </c>
      <c r="AR237" s="90">
        <f t="shared" si="77"/>
        <v>0</v>
      </c>
      <c r="AS237" s="90">
        <f t="shared" si="78"/>
        <v>0</v>
      </c>
      <c r="AT237" s="90">
        <f t="shared" si="79"/>
        <v>0</v>
      </c>
      <c r="AU237" s="90">
        <f t="shared" si="80"/>
        <v>0</v>
      </c>
      <c r="AV237" s="90">
        <f t="shared" si="81"/>
        <v>0</v>
      </c>
      <c r="AW237" s="90">
        <f t="shared" si="82"/>
        <v>0</v>
      </c>
      <c r="AX237" s="90">
        <f t="shared" si="83"/>
        <v>0</v>
      </c>
      <c r="AY237" s="90">
        <f t="shared" si="84"/>
        <v>0</v>
      </c>
      <c r="AZ237" s="90">
        <f t="shared" si="85"/>
        <v>0</v>
      </c>
      <c r="BA237" s="90">
        <f t="shared" si="86"/>
        <v>0</v>
      </c>
      <c r="BB237" s="90">
        <f t="shared" si="87"/>
        <v>0</v>
      </c>
    </row>
    <row r="238" spans="1:54">
      <c r="A238" s="87">
        <f>IF(INDEX(FORM!$A:$A,ROW())="","",ROW()-1)</f>
        <v>237</v>
      </c>
      <c r="B238" s="88">
        <f>IF($A238="","",INDEX(FORM!$A:$A,ROW()))</f>
        <v>46312.811111111099</v>
      </c>
      <c r="C238" s="87" t="str">
        <f>IF($A238="","",TRIM(INDEX(FORM!$B:$B,ROW())))</f>
        <v>Feby dharmawan</v>
      </c>
      <c r="D238" s="87" t="str">
        <f>IF($A238="","",TRIM(INDEX(FORM!$C:$C,ROW())&amp;""))</f>
        <v>1510749</v>
      </c>
      <c r="E238" s="87" t="str">
        <f>IF($A238="","",UPPER(TRIM(INDEX(FORM!$D:$D,ROW()))))</f>
        <v>BOYOLALI</v>
      </c>
      <c r="F238" s="87" t="str">
        <f>IF($A238="","",IFERROR(INDEX(PROGRES!$A$2:$A$92,MATCH(E238,PROGRES!$B$2:$B$92,0)),"-"))</f>
        <v>Jawa Tengah</v>
      </c>
      <c r="G238" s="87" t="str">
        <f>IF($A238="","",UPPER(TRIM(INDEX(FORM!$F:$F,ROW()))))</f>
        <v>JATENG DIY</v>
      </c>
      <c r="H238" s="87" t="str">
        <f>IF($A238="","",UPPER(TRIM(INDEX(FORM!$E:$E,ROW()))))</f>
        <v>CRO</v>
      </c>
      <c r="I238" s="87" t="str">
        <f>IF($A238="","",UPPER(TRIM(INDEX(FORM!$G:$G,ROW()))))</f>
        <v>CUKUP</v>
      </c>
      <c r="J238" s="87" t="str">
        <f>IF($A238="","",IF(ISNUMBER(SEARCH("Ya,",INDEX(FORM!$H:$H,ROW()))),"YA",IF(ISNUMBER(SEARCH("Cukup,",INDEX(FORM!$H:$H,ROW()))),"CUKUP",IF(ISNUMBER(SEARCH("Kurang,",INDEX(FORM!$H:$H,ROW()))),"KURANG",""))))</f>
        <v>CUKUP</v>
      </c>
      <c r="K238" s="87" t="str">
        <f>IF($A238="","",UPPER(TRIM(INDEX(FORM!$J:$J,ROW()))))</f>
        <v>CUKUP</v>
      </c>
      <c r="L238" s="87">
        <f>IF($A238="","",IF(ISNUMBER(SEARCH("Aktivitas Harian",INDEX(FORM!$K:$K,ROW()))),1,0))</f>
        <v>0</v>
      </c>
      <c r="M238" s="87">
        <f>IF($A238="","",IF(ISNUMBER(SEARCH("Aktivitas Mingguan",INDEX(FORM!$K:$K,ROW()))),1,0))</f>
        <v>0</v>
      </c>
      <c r="N238" s="87">
        <f>IF($A238="","",IF(ISNUMBER(SEARCH("Aktivitas Bulanan",INDEX(FORM!$K:$K,ROW()))),1,0))</f>
        <v>0</v>
      </c>
      <c r="O238" s="87">
        <f>IF($A238="","",IF(ISNUMBER(SEARCH("Overview Cabang",INDEX(FORM!$K:$K,ROW()))),1,0))</f>
        <v>1</v>
      </c>
      <c r="P238" s="87">
        <f>IF($A238="","",IFERROR(VLOOKUP(I238,DATA!$AH$9:$AI$13,2,0),""))</f>
        <v>2</v>
      </c>
      <c r="Q238" s="87">
        <f>IF($A238="","",IFERROR(VLOOKUP(J238,DATA!$AH$9:$AI$13,2,0),""))</f>
        <v>2</v>
      </c>
      <c r="R238" s="87">
        <f>IF($A238="","",IFERROR(VLOOKUP(K238,DATA!$AH$9:$AI$13,2,0),""))</f>
        <v>2</v>
      </c>
      <c r="S238" s="89">
        <f t="shared" si="66"/>
        <v>2</v>
      </c>
      <c r="T238" s="87">
        <f>IF($A238="","",IF(COUNTIF($D$2:D238,D238)=1,1,0))</f>
        <v>1</v>
      </c>
      <c r="U238" s="87" t="str">
        <f>IF($A238="","",IF(F238="-","Cabang tdk ada",IF(IFERROR(VLOOKUP(G238,#REF!,1,0),"")="","",IF(INDEX(DATA!$AH$2:$AH$5,MATCH(G238,DATA!$AI$2:$AI$5,0))&lt;&gt;F238,"Wilayah beda","OK"))))</f>
        <v/>
      </c>
      <c r="V238" s="87" t="str">
        <f>IF($A238="","",TRIM(INDEX(FORM!$I:$I,ROW())&amp;""))</f>
        <v>Masih cukup</v>
      </c>
      <c r="W238" s="87" t="str">
        <f>IF($A238="","",TRIM(INDEX(FORM!$L:$L,ROW())&amp;""))</f>
        <v>Sudah tercakup</v>
      </c>
      <c r="X238" s="87" t="str">
        <f>IF($A238="","",TRIM(INDEX(FORM!$M:$M,ROW())&amp;""))</f>
        <v>Tidak ada</v>
      </c>
      <c r="Y238" s="8">
        <f>IF($A238="","",IFERROR(MATCH(F238,DATA!$AH$2:$AH$5,0),9)*10000+A238)</f>
        <v>20237</v>
      </c>
      <c r="Z238" s="87" t="str">
        <f t="shared" si="67"/>
        <v>Tidak ada masukan / sudah baik</v>
      </c>
      <c r="AA238" s="87" t="str">
        <f t="shared" si="68"/>
        <v>Tidak ada masukan / sudah baik</v>
      </c>
      <c r="AB238" s="87" t="str">
        <f t="shared" si="69"/>
        <v>Tidak ada masukan / sudah baik</v>
      </c>
      <c r="AC238" s="87"/>
      <c r="AD238" s="87"/>
      <c r="AE238" s="87"/>
      <c r="AK238" s="90">
        <f t="shared" si="70"/>
        <v>0</v>
      </c>
      <c r="AL238" s="90">
        <f t="shared" si="71"/>
        <v>0</v>
      </c>
      <c r="AM238" s="90">
        <f t="shared" si="72"/>
        <v>0</v>
      </c>
      <c r="AN238" s="90">
        <f t="shared" si="73"/>
        <v>0</v>
      </c>
      <c r="AO238" s="90">
        <f t="shared" si="74"/>
        <v>0</v>
      </c>
      <c r="AP238" s="90">
        <f t="shared" si="75"/>
        <v>0</v>
      </c>
      <c r="AQ238" s="90">
        <f t="shared" si="76"/>
        <v>0</v>
      </c>
      <c r="AR238" s="90">
        <f t="shared" si="77"/>
        <v>0</v>
      </c>
      <c r="AS238" s="90">
        <f t="shared" si="78"/>
        <v>0</v>
      </c>
      <c r="AT238" s="90">
        <f t="shared" si="79"/>
        <v>0</v>
      </c>
      <c r="AU238" s="90">
        <f t="shared" si="80"/>
        <v>0</v>
      </c>
      <c r="AV238" s="90">
        <f t="shared" si="81"/>
        <v>0</v>
      </c>
      <c r="AW238" s="90">
        <f t="shared" si="82"/>
        <v>0</v>
      </c>
      <c r="AX238" s="90">
        <f t="shared" si="83"/>
        <v>0</v>
      </c>
      <c r="AY238" s="90">
        <f t="shared" si="84"/>
        <v>0</v>
      </c>
      <c r="AZ238" s="90">
        <f t="shared" si="85"/>
        <v>0</v>
      </c>
      <c r="BA238" s="90">
        <f t="shared" si="86"/>
        <v>0</v>
      </c>
      <c r="BB238" s="90">
        <f t="shared" si="87"/>
        <v>0</v>
      </c>
    </row>
    <row r="239" spans="1:54" s="5" customFormat="1" hidden="1">
      <c r="A239" s="8">
        <f>IF(INDEX(FORM!$A:$A,ROW())="","",ROW()-1)</f>
        <v>238</v>
      </c>
      <c r="B239" s="41">
        <f>IF($A239="","",INDEX(FORM!$A:$A,ROW()))</f>
        <v>46314.313020833302</v>
      </c>
      <c r="C239" s="8" t="str">
        <f>IF($A239="","",TRIM(INDEX(FORM!$B:$B,ROW())))</f>
        <v>Rivaldi Kurniawan</v>
      </c>
      <c r="D239" s="8" t="str">
        <f>IF($A239="","",TRIM(INDEX(FORM!$C:$C,ROW())&amp;""))</f>
        <v>80486</v>
      </c>
      <c r="E239" s="8" t="str">
        <f>IF($A239="","",UPPER(TRIM(INDEX(FORM!$D:$D,ROW()))))</f>
        <v>SAMPANG</v>
      </c>
      <c r="F239" s="8" t="str">
        <f>IF($A239="","",IFERROR(INDEX(PROGRES!$A$2:$A$92,MATCH(E239,PROGRES!$B$2:$B$92,0)),"-"))</f>
        <v>Jawa Timur</v>
      </c>
      <c r="G239" s="8" t="str">
        <f>IF($A239="","",UPPER(TRIM(INDEX(FORM!$F:$F,ROW()))))</f>
        <v>JATIM</v>
      </c>
      <c r="H239" s="8" t="str">
        <f>IF($A239="","",UPPER(TRIM(INDEX(FORM!$E:$E,ROW()))))</f>
        <v>BM</v>
      </c>
      <c r="I239" s="8" t="str">
        <f>IF($A239="","",UPPER(TRIM(INDEX(FORM!$G:$G,ROW()))))</f>
        <v>MUDAH</v>
      </c>
      <c r="J239" s="8" t="str">
        <f>IF($A239="","",IF(ISNUMBER(SEARCH("Ya,",INDEX(FORM!$H:$H,ROW()))),"YA",IF(ISNUMBER(SEARCH("Cukup,",INDEX(FORM!$H:$H,ROW()))),"CUKUP",IF(ISNUMBER(SEARCH("Kurang,",INDEX(FORM!$H:$H,ROW()))),"KURANG",""))))</f>
        <v>YA</v>
      </c>
      <c r="K239" s="8" t="str">
        <f>IF($A239="","",UPPER(TRIM(INDEX(FORM!$J:$J,ROW()))))</f>
        <v>MUDAH</v>
      </c>
      <c r="L239" s="8">
        <f>IF($A239="","",IF(ISNUMBER(SEARCH("Aktivitas Harian",INDEX(FORM!$K:$K,ROW()))),1,0))</f>
        <v>1</v>
      </c>
      <c r="M239" s="8">
        <f>IF($A239="","",IF(ISNUMBER(SEARCH("Aktivitas Mingguan",INDEX(FORM!$K:$K,ROW()))),1,0))</f>
        <v>1</v>
      </c>
      <c r="N239" s="8">
        <f>IF($A239="","",IF(ISNUMBER(SEARCH("Aktivitas Bulanan",INDEX(FORM!$K:$K,ROW()))),1,0))</f>
        <v>1</v>
      </c>
      <c r="O239" s="8">
        <f>IF($A239="","",IF(ISNUMBER(SEARCH("Overview Cabang",INDEX(FORM!$K:$K,ROW()))),1,0))</f>
        <v>1</v>
      </c>
      <c r="P239" s="8">
        <f>IF($A239="","",IFERROR(VLOOKUP(I239,DATA!$AH$9:$AI$13,2,0),""))</f>
        <v>3</v>
      </c>
      <c r="Q239" s="8">
        <f>IF($A239="","",IFERROR(VLOOKUP(J239,DATA!$AH$9:$AI$13,2,0),""))</f>
        <v>3</v>
      </c>
      <c r="R239" s="8">
        <f>IF($A239="","",IFERROR(VLOOKUP(K239,DATA!$AH$9:$AI$13,2,0),""))</f>
        <v>3</v>
      </c>
      <c r="S239" s="42">
        <f t="shared" si="66"/>
        <v>3</v>
      </c>
      <c r="T239" s="8">
        <f>IF($A239="","",IF(COUNTIF($D$2:D239,D239)=1,1,0))</f>
        <v>1</v>
      </c>
      <c r="U239" s="8" t="str">
        <f>IF($A239="","",IF(F239="-","Cabang tdk ada",IF(IFERROR(VLOOKUP(G239,#REF!,1,0),"")="","",IF(INDEX(DATA!$AH$2:$AH$5,MATCH(G239,DATA!$AI$2:$AI$5,0))&lt;&gt;F239,"Wilayah beda","OK"))))</f>
        <v/>
      </c>
      <c r="V239" s="8" t="str">
        <f>IF($A239="","",TRIM(INDEX(FORM!$I:$I,ROW())&amp;""))</f>
        <v>Bagus</v>
      </c>
      <c r="W239" s="8" t="str">
        <f>IF($A239="","",TRIM(INDEX(FORM!$L:$L,ROW())&amp;""))</f>
        <v>tidak ada</v>
      </c>
      <c r="X239" s="8" t="str">
        <f>IF($A239="","",TRIM(INDEX(FORM!$M:$M,ROW())&amp;""))</f>
        <v>Mungkin ada sosialisasi secara vcon seperti yang di lakukan K3</v>
      </c>
      <c r="Y239" s="8">
        <f>IF($A239="","",IFERROR(MATCH(F239,DATA!$AH$2:$AH$5,0),9)*10000+A239)</f>
        <v>30238</v>
      </c>
      <c r="Z239" s="8" t="str">
        <f t="shared" si="67"/>
        <v>Tidak ada masukan / sudah baik</v>
      </c>
      <c r="AA239" s="8" t="str">
        <f t="shared" si="68"/>
        <v>Tidak ada masukan / sudah baik</v>
      </c>
      <c r="AB239" s="8" t="str">
        <f t="shared" si="69"/>
        <v>Lainnya (perlu dibaca manual)</v>
      </c>
      <c r="AC239" s="8"/>
      <c r="AD239" s="8"/>
      <c r="AE239" s="8"/>
      <c r="AK239" s="5">
        <f t="shared" si="70"/>
        <v>0</v>
      </c>
      <c r="AL239" s="5">
        <f t="shared" si="71"/>
        <v>0</v>
      </c>
      <c r="AM239" s="5">
        <f t="shared" si="72"/>
        <v>0</v>
      </c>
      <c r="AN239" s="5">
        <f t="shared" si="73"/>
        <v>0</v>
      </c>
      <c r="AO239" s="5">
        <f t="shared" si="74"/>
        <v>0</v>
      </c>
      <c r="AP239" s="5">
        <f t="shared" si="75"/>
        <v>0</v>
      </c>
      <c r="AQ239" s="5">
        <f t="shared" si="76"/>
        <v>0</v>
      </c>
      <c r="AR239" s="5">
        <f t="shared" si="77"/>
        <v>0</v>
      </c>
      <c r="AS239" s="5">
        <f t="shared" si="78"/>
        <v>0</v>
      </c>
      <c r="AT239" s="5">
        <f t="shared" si="79"/>
        <v>0</v>
      </c>
      <c r="AU239" s="5">
        <f t="shared" si="80"/>
        <v>0</v>
      </c>
      <c r="AV239" s="5">
        <f t="shared" si="81"/>
        <v>0</v>
      </c>
      <c r="AW239" s="5">
        <f t="shared" si="82"/>
        <v>0</v>
      </c>
      <c r="AX239" s="5">
        <f t="shared" si="83"/>
        <v>0</v>
      </c>
      <c r="AY239" s="5">
        <f t="shared" si="84"/>
        <v>0</v>
      </c>
      <c r="AZ239" s="5">
        <f t="shared" si="85"/>
        <v>0</v>
      </c>
      <c r="BA239" s="5">
        <f t="shared" si="86"/>
        <v>1</v>
      </c>
      <c r="BB239" s="5">
        <f t="shared" si="87"/>
        <v>1</v>
      </c>
    </row>
    <row r="240" spans="1:54">
      <c r="A240" s="87">
        <f>IF(INDEX(FORM!$A:$A,ROW())="","",ROW()-1)</f>
        <v>239</v>
      </c>
      <c r="B240" s="88">
        <f>IF($A240="","",INDEX(FORM!$A:$A,ROW()))</f>
        <v>46314.336157407401</v>
      </c>
      <c r="C240" s="87" t="str">
        <f>IF($A240="","",TRIM(INDEX(FORM!$B:$B,ROW())))</f>
        <v>Bimbi purba</v>
      </c>
      <c r="D240" s="87" t="str">
        <f>IF($A240="","",TRIM(INDEX(FORM!$C:$C,ROW())&amp;""))</f>
        <v>88307140</v>
      </c>
      <c r="E240" s="87" t="str">
        <f>IF($A240="","",UPPER(TRIM(INDEX(FORM!$D:$D,ROW()))))</f>
        <v>JOMBANG</v>
      </c>
      <c r="F240" s="87" t="str">
        <f>IF($A240="","",IFERROR(INDEX(PROGRES!$A$2:$A$92,MATCH(E240,PROGRES!$B$2:$B$92,0)),"-"))</f>
        <v>Jawa Timur</v>
      </c>
      <c r="G240" s="87" t="str">
        <f>IF($A240="","",UPPER(TRIM(INDEX(FORM!$F:$F,ROW()))))</f>
        <v>JATIM</v>
      </c>
      <c r="H240" s="87" t="str">
        <f>IF($A240="","",UPPER(TRIM(INDEX(FORM!$E:$E,ROW()))))</f>
        <v>CRO</v>
      </c>
      <c r="I240" s="87" t="str">
        <f>IF($A240="","",UPPER(TRIM(INDEX(FORM!$G:$G,ROW()))))</f>
        <v>CUKUP</v>
      </c>
      <c r="J240" s="87" t="str">
        <f>IF($A240="","",IF(ISNUMBER(SEARCH("Ya,",INDEX(FORM!$H:$H,ROW()))),"YA",IF(ISNUMBER(SEARCH("Cukup,",INDEX(FORM!$H:$H,ROW()))),"CUKUP",IF(ISNUMBER(SEARCH("Kurang,",INDEX(FORM!$H:$H,ROW()))),"KURANG",""))))</f>
        <v>YA</v>
      </c>
      <c r="K240" s="87" t="str">
        <f>IF($A240="","",UPPER(TRIM(INDEX(FORM!$J:$J,ROW()))))</f>
        <v>MUDAH</v>
      </c>
      <c r="L240" s="87">
        <f>IF($A240="","",IF(ISNUMBER(SEARCH("Aktivitas Harian",INDEX(FORM!$K:$K,ROW()))),1,0))</f>
        <v>0</v>
      </c>
      <c r="M240" s="87">
        <f>IF($A240="","",IF(ISNUMBER(SEARCH("Aktivitas Mingguan",INDEX(FORM!$K:$K,ROW()))),1,0))</f>
        <v>1</v>
      </c>
      <c r="N240" s="87">
        <f>IF($A240="","",IF(ISNUMBER(SEARCH("Aktivitas Bulanan",INDEX(FORM!$K:$K,ROW()))),1,0))</f>
        <v>0</v>
      </c>
      <c r="O240" s="87">
        <f>IF($A240="","",IF(ISNUMBER(SEARCH("Overview Cabang",INDEX(FORM!$K:$K,ROW()))),1,0))</f>
        <v>0</v>
      </c>
      <c r="P240" s="87">
        <f>IF($A240="","",IFERROR(VLOOKUP(I240,DATA!$AH$9:$AI$13,2,0),""))</f>
        <v>2</v>
      </c>
      <c r="Q240" s="87">
        <f>IF($A240="","",IFERROR(VLOOKUP(J240,DATA!$AH$9:$AI$13,2,0),""))</f>
        <v>3</v>
      </c>
      <c r="R240" s="87">
        <f>IF($A240="","",IFERROR(VLOOKUP(K240,DATA!$AH$9:$AI$13,2,0),""))</f>
        <v>3</v>
      </c>
      <c r="S240" s="89">
        <f t="shared" si="66"/>
        <v>2.6666666666666665</v>
      </c>
      <c r="T240" s="87">
        <f>IF($A240="","",IF(COUNTIF($D$2:D240,D240)=1,1,0))</f>
        <v>1</v>
      </c>
      <c r="U240" s="87" t="str">
        <f>IF($A240="","",IF(F240="-","Cabang tdk ada",IF(IFERROR(VLOOKUP(G240,#REF!,1,0),"")="","",IF(INDEX(DATA!$AH$2:$AH$5,MATCH(G240,DATA!$AI$2:$AI$5,0))&lt;&gt;F240,"Wilayah beda","OK"))))</f>
        <v/>
      </c>
      <c r="V240" s="87" t="str">
        <f>IF($A240="","",TRIM(INDEX(FORM!$I:$I,ROW())&amp;""))</f>
        <v>Bagus dan simple</v>
      </c>
      <c r="W240" s="87" t="str">
        <f>IF($A240="","",TRIM(INDEX(FORM!$L:$L,ROW())&amp;""))</f>
        <v>Tidak ada</v>
      </c>
      <c r="X240" s="87" t="str">
        <f>IF($A240="","",TRIM(INDEX(FORM!$M:$M,ROW())&amp;""))</f>
        <v>Saran tidak mudah eror dijam kerja</v>
      </c>
      <c r="Y240" s="8">
        <f>IF($A240="","",IFERROR(MATCH(F240,DATA!$AH$2:$AH$5,0),9)*10000+A240)</f>
        <v>30239</v>
      </c>
      <c r="Z240" s="87" t="str">
        <f t="shared" si="67"/>
        <v>Penyederhanaan &amp; Ringkas Isi</v>
      </c>
      <c r="AA240" s="87" t="str">
        <f t="shared" si="68"/>
        <v>Tidak ada masukan / sudah baik</v>
      </c>
      <c r="AB240" s="87" t="str">
        <f t="shared" si="69"/>
        <v>Tidak ada masukan / sudah baik</v>
      </c>
      <c r="AC240" s="87"/>
      <c r="AD240" s="87"/>
      <c r="AE240" s="87"/>
      <c r="AK240" s="90">
        <f t="shared" si="70"/>
        <v>0</v>
      </c>
      <c r="AL240" s="90">
        <f t="shared" si="71"/>
        <v>0</v>
      </c>
      <c r="AM240" s="90">
        <f t="shared" si="72"/>
        <v>0</v>
      </c>
      <c r="AN240" s="90">
        <f t="shared" si="73"/>
        <v>0</v>
      </c>
      <c r="AO240" s="90">
        <f t="shared" si="74"/>
        <v>0</v>
      </c>
      <c r="AP240" s="90">
        <f t="shared" si="75"/>
        <v>0</v>
      </c>
      <c r="AQ240" s="90">
        <f t="shared" si="76"/>
        <v>1</v>
      </c>
      <c r="AR240" s="90">
        <f t="shared" si="77"/>
        <v>0</v>
      </c>
      <c r="AS240" s="90">
        <f t="shared" si="78"/>
        <v>0</v>
      </c>
      <c r="AT240" s="90">
        <f t="shared" si="79"/>
        <v>0</v>
      </c>
      <c r="AU240" s="90">
        <f t="shared" si="80"/>
        <v>0</v>
      </c>
      <c r="AV240" s="90">
        <f t="shared" si="81"/>
        <v>0</v>
      </c>
      <c r="AW240" s="90">
        <f t="shared" si="82"/>
        <v>0</v>
      </c>
      <c r="AX240" s="90">
        <f t="shared" si="83"/>
        <v>0</v>
      </c>
      <c r="AY240" s="90">
        <f t="shared" si="84"/>
        <v>0</v>
      </c>
      <c r="AZ240" s="90">
        <f t="shared" si="85"/>
        <v>0</v>
      </c>
      <c r="BA240" s="90">
        <f t="shared" si="86"/>
        <v>0</v>
      </c>
      <c r="BB240" s="90">
        <f t="shared" si="87"/>
        <v>1</v>
      </c>
    </row>
    <row r="241" spans="1:54" s="5" customFormat="1" hidden="1">
      <c r="A241" s="8">
        <f>IF(INDEX(FORM!$A:$A,ROW())="","",ROW()-1)</f>
        <v>240</v>
      </c>
      <c r="B241" s="41">
        <f>IF($A241="","",INDEX(FORM!$A:$A,ROW()))</f>
        <v>46314.3415046296</v>
      </c>
      <c r="C241" s="8" t="str">
        <f>IF($A241="","",TRIM(INDEX(FORM!$B:$B,ROW())))</f>
        <v>Sigit Minggiawan</v>
      </c>
      <c r="D241" s="8" t="str">
        <f>IF($A241="","",TRIM(INDEX(FORM!$C:$C,ROW())&amp;""))</f>
        <v>87901051</v>
      </c>
      <c r="E241" s="8" t="str">
        <f>IF($A241="","",UPPER(TRIM(INDEX(FORM!$D:$D,ROW()))))</f>
        <v>JOMBANG</v>
      </c>
      <c r="F241" s="8" t="str">
        <f>IF($A241="","",IFERROR(INDEX(PROGRES!$A$2:$A$92,MATCH(E241,PROGRES!$B$2:$B$92,0)),"-"))</f>
        <v>Jawa Timur</v>
      </c>
      <c r="G241" s="8" t="str">
        <f>IF($A241="","",UPPER(TRIM(INDEX(FORM!$F:$F,ROW()))))</f>
        <v>JATIM</v>
      </c>
      <c r="H241" s="8" t="str">
        <f>IF($A241="","",UPPER(TRIM(INDEX(FORM!$E:$E,ROW()))))</f>
        <v>BM</v>
      </c>
      <c r="I241" s="8" t="str">
        <f>IF($A241="","",UPPER(TRIM(INDEX(FORM!$G:$G,ROW()))))</f>
        <v>MUDAH</v>
      </c>
      <c r="J241" s="8" t="str">
        <f>IF($A241="","",IF(ISNUMBER(SEARCH("Ya,",INDEX(FORM!$H:$H,ROW()))),"YA",IF(ISNUMBER(SEARCH("Cukup,",INDEX(FORM!$H:$H,ROW()))),"CUKUP",IF(ISNUMBER(SEARCH("Kurang,",INDEX(FORM!$H:$H,ROW()))),"KURANG",""))))</f>
        <v>YA</v>
      </c>
      <c r="K241" s="8" t="str">
        <f>IF($A241="","",UPPER(TRIM(INDEX(FORM!$J:$J,ROW()))))</f>
        <v>MUDAH</v>
      </c>
      <c r="L241" s="8">
        <f>IF($A241="","",IF(ISNUMBER(SEARCH("Aktivitas Harian",INDEX(FORM!$K:$K,ROW()))),1,0))</f>
        <v>1</v>
      </c>
      <c r="M241" s="8">
        <f>IF($A241="","",IF(ISNUMBER(SEARCH("Aktivitas Mingguan",INDEX(FORM!$K:$K,ROW()))),1,0))</f>
        <v>0</v>
      </c>
      <c r="N241" s="8">
        <f>IF($A241="","",IF(ISNUMBER(SEARCH("Aktivitas Bulanan",INDEX(FORM!$K:$K,ROW()))),1,0))</f>
        <v>0</v>
      </c>
      <c r="O241" s="8">
        <f>IF($A241="","",IF(ISNUMBER(SEARCH("Overview Cabang",INDEX(FORM!$K:$K,ROW()))),1,0))</f>
        <v>0</v>
      </c>
      <c r="P241" s="8">
        <f>IF($A241="","",IFERROR(VLOOKUP(I241,DATA!$AH$9:$AI$13,2,0),""))</f>
        <v>3</v>
      </c>
      <c r="Q241" s="8">
        <f>IF($A241="","",IFERROR(VLOOKUP(J241,DATA!$AH$9:$AI$13,2,0),""))</f>
        <v>3</v>
      </c>
      <c r="R241" s="8">
        <f>IF($A241="","",IFERROR(VLOOKUP(K241,DATA!$AH$9:$AI$13,2,0),""))</f>
        <v>3</v>
      </c>
      <c r="S241" s="42">
        <f t="shared" si="66"/>
        <v>3</v>
      </c>
      <c r="T241" s="8">
        <f>IF($A241="","",IF(COUNTIF($D$2:D241,D241)=1,1,0))</f>
        <v>1</v>
      </c>
      <c r="U241" s="8" t="str">
        <f>IF($A241="","",IF(F241="-","Cabang tdk ada",IF(IFERROR(VLOOKUP(G241,#REF!,1,0),"")="","",IF(INDEX(DATA!$AH$2:$AH$5,MATCH(G241,DATA!$AI$2:$AI$5,0))&lt;&gt;F241,"Wilayah beda","OK"))))</f>
        <v/>
      </c>
      <c r="V241" s="8" t="str">
        <f>IF($A241="","",TRIM(INDEX(FORM!$I:$I,ROW())&amp;""))</f>
        <v>Sudah bagus</v>
      </c>
      <c r="W241" s="8" t="str">
        <f>IF($A241="","",TRIM(INDEX(FORM!$L:$L,ROW())&amp;""))</f>
        <v>Blm ada</v>
      </c>
      <c r="X241" s="8" t="str">
        <f>IF($A241="","",TRIM(INDEX(FORM!$M:$M,ROW())&amp;""))</f>
        <v>Sdh bagus</v>
      </c>
      <c r="Y241" s="8">
        <f>IF($A241="","",IFERROR(MATCH(F241,DATA!$AH$2:$AH$5,0),9)*10000+A241)</f>
        <v>30240</v>
      </c>
      <c r="Z241" s="8" t="str">
        <f t="shared" si="67"/>
        <v>Tidak ada masukan / sudah baik</v>
      </c>
      <c r="AA241" s="8" t="str">
        <f t="shared" si="68"/>
        <v>Lainnya (perlu dibaca manual)</v>
      </c>
      <c r="AB241" s="8" t="str">
        <f t="shared" si="69"/>
        <v>Tidak ada masukan / sudah baik</v>
      </c>
      <c r="AC241" s="8"/>
      <c r="AD241" s="8"/>
      <c r="AE241" s="8"/>
      <c r="AK241" s="5">
        <f t="shared" si="70"/>
        <v>0</v>
      </c>
      <c r="AL241" s="5">
        <f t="shared" si="71"/>
        <v>0</v>
      </c>
      <c r="AM241" s="5">
        <f t="shared" si="72"/>
        <v>0</v>
      </c>
      <c r="AN241" s="5">
        <f t="shared" si="73"/>
        <v>0</v>
      </c>
      <c r="AO241" s="5">
        <f t="shared" si="74"/>
        <v>0</v>
      </c>
      <c r="AP241" s="5">
        <f t="shared" si="75"/>
        <v>0</v>
      </c>
      <c r="AQ241" s="5">
        <f t="shared" si="76"/>
        <v>0</v>
      </c>
      <c r="AR241" s="5">
        <f t="shared" si="77"/>
        <v>0</v>
      </c>
      <c r="AS241" s="5">
        <f t="shared" si="78"/>
        <v>0</v>
      </c>
      <c r="AT241" s="5">
        <f t="shared" si="79"/>
        <v>0</v>
      </c>
      <c r="AU241" s="5">
        <f t="shared" si="80"/>
        <v>0</v>
      </c>
      <c r="AV241" s="5">
        <f t="shared" si="81"/>
        <v>0</v>
      </c>
      <c r="AW241" s="5">
        <f t="shared" si="82"/>
        <v>0</v>
      </c>
      <c r="AX241" s="5">
        <f t="shared" si="83"/>
        <v>0</v>
      </c>
      <c r="AY241" s="5">
        <f t="shared" si="84"/>
        <v>0</v>
      </c>
      <c r="AZ241" s="5">
        <f t="shared" si="85"/>
        <v>0</v>
      </c>
      <c r="BA241" s="5">
        <f t="shared" si="86"/>
        <v>1</v>
      </c>
      <c r="BB241" s="5">
        <f t="shared" si="87"/>
        <v>1</v>
      </c>
    </row>
    <row r="242" spans="1:54">
      <c r="A242" s="87">
        <f>IF(INDEX(FORM!$A:$A,ROW())="","",ROW()-1)</f>
        <v>241</v>
      </c>
      <c r="B242" s="88">
        <f>IF($A242="","",INDEX(FORM!$A:$A,ROW()))</f>
        <v>46314.35</v>
      </c>
      <c r="C242" s="87" t="str">
        <f>IF($A242="","",TRIM(INDEX(FORM!$B:$B,ROW())))</f>
        <v>Akhmad dhorif ammar</v>
      </c>
      <c r="D242" s="87" t="str">
        <f>IF($A242="","",TRIM(INDEX(FORM!$C:$C,ROW())&amp;""))</f>
        <v>1511144</v>
      </c>
      <c r="E242" s="87" t="str">
        <f>IF($A242="","",UPPER(TRIM(INDEX(FORM!$D:$D,ROW()))))</f>
        <v>PATI</v>
      </c>
      <c r="F242" s="87" t="str">
        <f>IF($A242="","",IFERROR(INDEX(PROGRES!$A$2:$A$92,MATCH(E242,PROGRES!$B$2:$B$92,0)),"-"))</f>
        <v>Jawa Tengah</v>
      </c>
      <c r="G242" s="87" t="str">
        <f>IF($A242="","",UPPER(TRIM(INDEX(FORM!$F:$F,ROW()))))</f>
        <v>JATENG DIY</v>
      </c>
      <c r="H242" s="87" t="str">
        <f>IF($A242="","",UPPER(TRIM(INDEX(FORM!$E:$E,ROW()))))</f>
        <v>CRO</v>
      </c>
      <c r="I242" s="87" t="str">
        <f>IF($A242="","",UPPER(TRIM(INDEX(FORM!$G:$G,ROW()))))</f>
        <v>MUDAH</v>
      </c>
      <c r="J242" s="87" t="str">
        <f>IF($A242="","",IF(ISNUMBER(SEARCH("Ya,",INDEX(FORM!$H:$H,ROW()))),"YA",IF(ISNUMBER(SEARCH("Cukup,",INDEX(FORM!$H:$H,ROW()))),"CUKUP",IF(ISNUMBER(SEARCH("Kurang,",INDEX(FORM!$H:$H,ROW()))),"KURANG",""))))</f>
        <v>CUKUP</v>
      </c>
      <c r="K242" s="87" t="str">
        <f>IF($A242="","",UPPER(TRIM(INDEX(FORM!$J:$J,ROW()))))</f>
        <v>MUDAH</v>
      </c>
      <c r="L242" s="87">
        <f>IF($A242="","",IF(ISNUMBER(SEARCH("Aktivitas Harian",INDEX(FORM!$K:$K,ROW()))),1,0))</f>
        <v>0</v>
      </c>
      <c r="M242" s="87">
        <f>IF($A242="","",IF(ISNUMBER(SEARCH("Aktivitas Mingguan",INDEX(FORM!$K:$K,ROW()))),1,0))</f>
        <v>0</v>
      </c>
      <c r="N242" s="87">
        <f>IF($A242="","",IF(ISNUMBER(SEARCH("Aktivitas Bulanan",INDEX(FORM!$K:$K,ROW()))),1,0))</f>
        <v>1</v>
      </c>
      <c r="O242" s="87">
        <f>IF($A242="","",IF(ISNUMBER(SEARCH("Overview Cabang",INDEX(FORM!$K:$K,ROW()))),1,0))</f>
        <v>0</v>
      </c>
      <c r="P242" s="87">
        <f>IF($A242="","",IFERROR(VLOOKUP(I242,DATA!$AH$9:$AI$13,2,0),""))</f>
        <v>3</v>
      </c>
      <c r="Q242" s="87">
        <f>IF($A242="","",IFERROR(VLOOKUP(J242,DATA!$AH$9:$AI$13,2,0),""))</f>
        <v>2</v>
      </c>
      <c r="R242" s="87">
        <f>IF($A242="","",IFERROR(VLOOKUP(K242,DATA!$AH$9:$AI$13,2,0),""))</f>
        <v>3</v>
      </c>
      <c r="S242" s="89">
        <f t="shared" si="66"/>
        <v>2.6666666666666665</v>
      </c>
      <c r="T242" s="87">
        <f>IF($A242="","",IF(COUNTIF($D$2:D242,D242)=1,1,0))</f>
        <v>1</v>
      </c>
      <c r="U242" s="87" t="str">
        <f>IF($A242="","",IF(F242="-","Cabang tdk ada",IF(IFERROR(VLOOKUP(G242,#REF!,1,0),"")="","",IF(INDEX(DATA!$AH$2:$AH$5,MATCH(G242,DATA!$AI$2:$AI$5,0))&lt;&gt;F242,"Wilayah beda","OK"))))</f>
        <v/>
      </c>
      <c r="V242" s="87" t="str">
        <f>IF($A242="","",TRIM(INDEX(FORM!$I:$I,ROW())&amp;""))</f>
        <v>-</v>
      </c>
      <c r="W242" s="87" t="str">
        <f>IF($A242="","",TRIM(INDEX(FORM!$L:$L,ROW())&amp;""))</f>
        <v>Tidak ada</v>
      </c>
      <c r="X242" s="87" t="str">
        <f>IF($A242="","",TRIM(INDEX(FORM!$M:$M,ROW())&amp;""))</f>
        <v>-</v>
      </c>
      <c r="Y242" s="8">
        <f>IF($A242="","",IFERROR(MATCH(F242,DATA!$AH$2:$AH$5,0),9)*10000+A242)</f>
        <v>20241</v>
      </c>
      <c r="Z242" s="87" t="str">
        <f t="shared" si="67"/>
        <v>Tidak ada masukan / sudah baik</v>
      </c>
      <c r="AA242" s="87" t="str">
        <f t="shared" si="68"/>
        <v>Tidak ada masukan / sudah baik</v>
      </c>
      <c r="AB242" s="87" t="str">
        <f t="shared" si="69"/>
        <v>Tidak ada masukan / sudah baik</v>
      </c>
      <c r="AC242" s="87"/>
      <c r="AD242" s="87"/>
      <c r="AE242" s="87"/>
      <c r="AK242" s="90">
        <f t="shared" si="70"/>
        <v>0</v>
      </c>
      <c r="AL242" s="90">
        <f t="shared" si="71"/>
        <v>0</v>
      </c>
      <c r="AM242" s="90">
        <f t="shared" si="72"/>
        <v>0</v>
      </c>
      <c r="AN242" s="90">
        <f t="shared" si="73"/>
        <v>0</v>
      </c>
      <c r="AO242" s="90">
        <f t="shared" si="74"/>
        <v>0</v>
      </c>
      <c r="AP242" s="90">
        <f t="shared" si="75"/>
        <v>0</v>
      </c>
      <c r="AQ242" s="90">
        <f t="shared" si="76"/>
        <v>0</v>
      </c>
      <c r="AR242" s="90">
        <f t="shared" si="77"/>
        <v>0</v>
      </c>
      <c r="AS242" s="90">
        <f t="shared" si="78"/>
        <v>0</v>
      </c>
      <c r="AT242" s="90">
        <f t="shared" si="79"/>
        <v>0</v>
      </c>
      <c r="AU242" s="90">
        <f t="shared" si="80"/>
        <v>0</v>
      </c>
      <c r="AV242" s="90">
        <f t="shared" si="81"/>
        <v>0</v>
      </c>
      <c r="AW242" s="90">
        <f t="shared" si="82"/>
        <v>0</v>
      </c>
      <c r="AX242" s="90">
        <f t="shared" si="83"/>
        <v>0</v>
      </c>
      <c r="AY242" s="90">
        <f t="shared" si="84"/>
        <v>0</v>
      </c>
      <c r="AZ242" s="90">
        <f t="shared" si="85"/>
        <v>0</v>
      </c>
      <c r="BA242" s="90">
        <f t="shared" si="86"/>
        <v>0</v>
      </c>
      <c r="BB242" s="90">
        <f t="shared" si="87"/>
        <v>0</v>
      </c>
    </row>
    <row r="243" spans="1:54" s="5" customFormat="1" hidden="1">
      <c r="A243" s="8">
        <f>IF(INDEX(FORM!$A:$A,ROW())="","",ROW()-1)</f>
        <v>242</v>
      </c>
      <c r="B243" s="41">
        <f>IF($A243="","",INDEX(FORM!$A:$A,ROW()))</f>
        <v>46314.354479166701</v>
      </c>
      <c r="C243" s="8" t="str">
        <f>IF($A243="","",TRIM(INDEX(FORM!$B:$B,ROW())))</f>
        <v>handy lak setyo</v>
      </c>
      <c r="D243" s="8" t="str">
        <f>IF($A243="","",TRIM(INDEX(FORM!$C:$C,ROW())&amp;""))</f>
        <v>80462</v>
      </c>
      <c r="E243" s="8" t="str">
        <f>IF($A243="","",UPPER(TRIM(INDEX(FORM!$D:$D,ROW()))))</f>
        <v>TULUNGAGUNG</v>
      </c>
      <c r="F243" s="8" t="str">
        <f>IF($A243="","",IFERROR(INDEX(PROGRES!$A$2:$A$92,MATCH(E243,PROGRES!$B$2:$B$92,0)),"-"))</f>
        <v>Jawa Timur</v>
      </c>
      <c r="G243" s="8" t="str">
        <f>IF($A243="","",UPPER(TRIM(INDEX(FORM!$F:$F,ROW()))))</f>
        <v>JATIM</v>
      </c>
      <c r="H243" s="8" t="str">
        <f>IF($A243="","",UPPER(TRIM(INDEX(FORM!$E:$E,ROW()))))</f>
        <v>BAO</v>
      </c>
      <c r="I243" s="8" t="str">
        <f>IF($A243="","",UPPER(TRIM(INDEX(FORM!$G:$G,ROW()))))</f>
        <v>CUKUP</v>
      </c>
      <c r="J243" s="8" t="str">
        <f>IF($A243="","",IF(ISNUMBER(SEARCH("Ya,",INDEX(FORM!$H:$H,ROW()))),"YA",IF(ISNUMBER(SEARCH("Cukup,",INDEX(FORM!$H:$H,ROW()))),"CUKUP",IF(ISNUMBER(SEARCH("Kurang,",INDEX(FORM!$H:$H,ROW()))),"KURANG",""))))</f>
        <v>YA</v>
      </c>
      <c r="K243" s="8" t="str">
        <f>IF($A243="","",UPPER(TRIM(INDEX(FORM!$J:$J,ROW()))))</f>
        <v>SULIT</v>
      </c>
      <c r="L243" s="8">
        <f>IF($A243="","",IF(ISNUMBER(SEARCH("Aktivitas Harian",INDEX(FORM!$K:$K,ROW()))),1,0))</f>
        <v>1</v>
      </c>
      <c r="M243" s="8">
        <f>IF($A243="","",IF(ISNUMBER(SEARCH("Aktivitas Mingguan",INDEX(FORM!$K:$K,ROW()))),1,0))</f>
        <v>0</v>
      </c>
      <c r="N243" s="8">
        <f>IF($A243="","",IF(ISNUMBER(SEARCH("Aktivitas Bulanan",INDEX(FORM!$K:$K,ROW()))),1,0))</f>
        <v>0</v>
      </c>
      <c r="O243" s="8">
        <f>IF($A243="","",IF(ISNUMBER(SEARCH("Overview Cabang",INDEX(FORM!$K:$K,ROW()))),1,0))</f>
        <v>0</v>
      </c>
      <c r="P243" s="8">
        <f>IF($A243="","",IFERROR(VLOOKUP(I243,DATA!$AH$9:$AI$13,2,0),""))</f>
        <v>2</v>
      </c>
      <c r="Q243" s="8">
        <f>IF($A243="","",IFERROR(VLOOKUP(J243,DATA!$AH$9:$AI$13,2,0),""))</f>
        <v>3</v>
      </c>
      <c r="R243" s="8">
        <f>IF($A243="","",IFERROR(VLOOKUP(K243,DATA!$AH$9:$AI$13,2,0),""))</f>
        <v>1</v>
      </c>
      <c r="S243" s="42">
        <f t="shared" si="66"/>
        <v>2</v>
      </c>
      <c r="T243" s="8">
        <f>IF($A243="","",IF(COUNTIF($D$2:D243,D243)=1,1,0))</f>
        <v>1</v>
      </c>
      <c r="U243" s="8" t="str">
        <f>IF($A243="","",IF(F243="-","Cabang tdk ada",IF(IFERROR(VLOOKUP(G243,#REF!,1,0),"")="","",IF(INDEX(DATA!$AH$2:$AH$5,MATCH(G243,DATA!$AI$2:$AI$5,0))&lt;&gt;F243,"Wilayah beda","OK"))))</f>
        <v/>
      </c>
      <c r="V243" s="8" t="str">
        <f>IF($A243="","",TRIM(INDEX(FORM!$I:$I,ROW())&amp;""))</f>
        <v>-</v>
      </c>
      <c r="W243" s="8" t="str">
        <f>IF($A243="","",TRIM(INDEX(FORM!$L:$L,ROW())&amp;""))</f>
        <v>-</v>
      </c>
      <c r="X243" s="8" t="str">
        <f>IF($A243="","",TRIM(INDEX(FORM!$M:$M,ROW())&amp;""))</f>
        <v>-</v>
      </c>
      <c r="Y243" s="8">
        <f>IF($A243="","",IFERROR(MATCH(F243,DATA!$AH$2:$AH$5,0),9)*10000+A243)</f>
        <v>30242</v>
      </c>
      <c r="Z243" s="8" t="str">
        <f t="shared" si="67"/>
        <v>Tidak ada masukan / sudah baik</v>
      </c>
      <c r="AA243" s="8" t="str">
        <f t="shared" si="68"/>
        <v>Tidak ada masukan / sudah baik</v>
      </c>
      <c r="AB243" s="8" t="str">
        <f t="shared" si="69"/>
        <v>Tidak ada masukan / sudah baik</v>
      </c>
      <c r="AC243" s="8"/>
      <c r="AD243" s="8"/>
      <c r="AE243" s="8"/>
      <c r="AK243" s="5">
        <f t="shared" si="70"/>
        <v>0</v>
      </c>
      <c r="AL243" s="5">
        <f t="shared" si="71"/>
        <v>0</v>
      </c>
      <c r="AM243" s="5">
        <f t="shared" si="72"/>
        <v>0</v>
      </c>
      <c r="AN243" s="5">
        <f t="shared" si="73"/>
        <v>0</v>
      </c>
      <c r="AO243" s="5">
        <f t="shared" si="74"/>
        <v>0</v>
      </c>
      <c r="AP243" s="5">
        <f t="shared" si="75"/>
        <v>0</v>
      </c>
      <c r="AQ243" s="5">
        <f t="shared" si="76"/>
        <v>0</v>
      </c>
      <c r="AR243" s="5">
        <f t="shared" si="77"/>
        <v>0</v>
      </c>
      <c r="AS243" s="5">
        <f t="shared" si="78"/>
        <v>0</v>
      </c>
      <c r="AT243" s="5">
        <f t="shared" si="79"/>
        <v>0</v>
      </c>
      <c r="AU243" s="5">
        <f t="shared" si="80"/>
        <v>0</v>
      </c>
      <c r="AV243" s="5">
        <f t="shared" si="81"/>
        <v>0</v>
      </c>
      <c r="AW243" s="5">
        <f t="shared" si="82"/>
        <v>0</v>
      </c>
      <c r="AX243" s="5">
        <f t="shared" si="83"/>
        <v>0</v>
      </c>
      <c r="AY243" s="5">
        <f t="shared" si="84"/>
        <v>0</v>
      </c>
      <c r="AZ243" s="5">
        <f t="shared" si="85"/>
        <v>0</v>
      </c>
      <c r="BA243" s="5">
        <f t="shared" si="86"/>
        <v>0</v>
      </c>
      <c r="BB243" s="5">
        <f t="shared" si="87"/>
        <v>0</v>
      </c>
    </row>
    <row r="244" spans="1:54" s="5" customFormat="1" hidden="1">
      <c r="A244" s="8" t="str">
        <f>IF(INDEX(FORM!$A:$A,ROW())="","",ROW()-1)</f>
        <v/>
      </c>
      <c r="B244" s="41" t="str">
        <f>IF($A244="","",INDEX(FORM!$A:$A,ROW()))</f>
        <v/>
      </c>
      <c r="C244" s="8" t="str">
        <f>IF($A244="","",TRIM(INDEX(FORM!$B:$B,ROW())))</f>
        <v/>
      </c>
      <c r="D244" s="8" t="str">
        <f>IF($A244="","",TRIM(INDEX(FORM!$C:$C,ROW())&amp;""))</f>
        <v/>
      </c>
      <c r="E244" s="8" t="str">
        <f>IF($A244="","",UPPER(TRIM(INDEX(FORM!$D:$D,ROW()))))</f>
        <v/>
      </c>
      <c r="F244" s="8" t="str">
        <f>IF($A244="","",IFERROR(INDEX(PROGRES!$A$2:$A$92,MATCH(E244,PROGRES!$B$2:$B$92,0)),"-"))</f>
        <v/>
      </c>
      <c r="G244" s="8" t="str">
        <f>IF($A244="","",UPPER(TRIM(INDEX(FORM!$F:$F,ROW()))))</f>
        <v/>
      </c>
      <c r="H244" s="8" t="str">
        <f>IF($A244="","",UPPER(TRIM(INDEX(FORM!$E:$E,ROW()))))</f>
        <v/>
      </c>
      <c r="I244" s="8" t="str">
        <f>IF($A244="","",UPPER(TRIM(INDEX(FORM!$G:$G,ROW()))))</f>
        <v/>
      </c>
      <c r="J244" s="8" t="str">
        <f>IF($A244="","",IF(ISNUMBER(SEARCH("Ya,",INDEX(FORM!$H:$H,ROW()))),"YA",IF(ISNUMBER(SEARCH("Cukup,",INDEX(FORM!$H:$H,ROW()))),"CUKUP",IF(ISNUMBER(SEARCH("Kurang,",INDEX(FORM!$H:$H,ROW()))),"KURANG",""))))</f>
        <v/>
      </c>
      <c r="K244" s="8" t="str">
        <f>IF($A244="","",UPPER(TRIM(INDEX(FORM!$J:$J,ROW()))))</f>
        <v/>
      </c>
      <c r="L244" s="8" t="str">
        <f>IF($A244="","",IF(ISNUMBER(SEARCH("Aktivitas Harian",INDEX(FORM!$K:$K,ROW()))),1,0))</f>
        <v/>
      </c>
      <c r="M244" s="8" t="str">
        <f>IF($A244="","",IF(ISNUMBER(SEARCH("Aktivitas Mingguan",INDEX(FORM!$K:$K,ROW()))),1,0))</f>
        <v/>
      </c>
      <c r="N244" s="8" t="str">
        <f>IF($A244="","",IF(ISNUMBER(SEARCH("Aktivitas Bulanan",INDEX(FORM!$K:$K,ROW()))),1,0))</f>
        <v/>
      </c>
      <c r="O244" s="8" t="str">
        <f>IF($A244="","",IF(ISNUMBER(SEARCH("Overview Cabang",INDEX(FORM!$K:$K,ROW()))),1,0))</f>
        <v/>
      </c>
      <c r="P244" s="8" t="str">
        <f>IF($A244="","",IFERROR(VLOOKUP(I244,DATA!$AH$9:$AI$13,2,0),""))</f>
        <v/>
      </c>
      <c r="Q244" s="8" t="str">
        <f>IF($A244="","",IFERROR(VLOOKUP(J244,DATA!$AH$9:$AI$13,2,0),""))</f>
        <v/>
      </c>
      <c r="R244" s="8" t="str">
        <f>IF($A244="","",IFERROR(VLOOKUP(K244,DATA!$AH$9:$AI$13,2,0),""))</f>
        <v/>
      </c>
      <c r="S244" s="42" t="str">
        <f t="shared" si="66"/>
        <v/>
      </c>
      <c r="T244" s="8" t="str">
        <f>IF($A244="","",IF(COUNTIF($D$2:D244,D244)=1,1,0))</f>
        <v/>
      </c>
      <c r="U244" s="8" t="str">
        <f>IF($A244="","",IF(F244="-","Cabang tdk ada",IF(IFERROR(VLOOKUP(G244,#REF!,1,0),"")="","",IF(INDEX(DATA!$AH$2:$AH$5,MATCH(G244,DATA!$AI$2:$AI$5,0))&lt;&gt;F244,"Wilayah beda","OK"))))</f>
        <v/>
      </c>
      <c r="V244" s="8" t="str">
        <f>IF($A244="","",TRIM(INDEX(FORM!$I:$I,ROW())&amp;""))</f>
        <v/>
      </c>
      <c r="W244" s="8" t="str">
        <f>IF($A244="","",TRIM(INDEX(FORM!$L:$L,ROW())&amp;""))</f>
        <v/>
      </c>
      <c r="X244" s="8" t="str">
        <f>IF($A244="","",TRIM(INDEX(FORM!$M:$M,ROW())&amp;""))</f>
        <v/>
      </c>
      <c r="Y244" s="8" t="str">
        <f>IF($A244="","",IFERROR(MATCH(F244,DATA!$AH$2:$AH$5,0),9)*10000+A244)</f>
        <v/>
      </c>
      <c r="Z244" s="8" t="str">
        <f t="shared" si="67"/>
        <v/>
      </c>
      <c r="AA244" s="8" t="str">
        <f t="shared" si="68"/>
        <v/>
      </c>
      <c r="AB244" s="8" t="str">
        <f t="shared" si="69"/>
        <v/>
      </c>
      <c r="AC244" s="8"/>
      <c r="AD244" s="8"/>
      <c r="AE244" s="8"/>
      <c r="AK244" s="5" t="str">
        <f t="shared" si="70"/>
        <v/>
      </c>
      <c r="AL244" s="5" t="str">
        <f t="shared" si="71"/>
        <v/>
      </c>
      <c r="AM244" s="5" t="str">
        <f t="shared" si="72"/>
        <v/>
      </c>
      <c r="AN244" s="5" t="str">
        <f t="shared" si="73"/>
        <v/>
      </c>
      <c r="AO244" s="5" t="str">
        <f t="shared" si="74"/>
        <v/>
      </c>
      <c r="AP244" s="5" t="str">
        <f t="shared" si="75"/>
        <v/>
      </c>
      <c r="AQ244" s="5" t="str">
        <f t="shared" si="76"/>
        <v/>
      </c>
      <c r="AR244" s="5" t="str">
        <f t="shared" si="77"/>
        <v/>
      </c>
      <c r="AS244" s="5" t="str">
        <f t="shared" si="78"/>
        <v/>
      </c>
      <c r="AT244" s="5" t="str">
        <f t="shared" si="79"/>
        <v/>
      </c>
      <c r="AU244" s="5" t="str">
        <f t="shared" si="80"/>
        <v/>
      </c>
      <c r="AV244" s="5" t="str">
        <f t="shared" si="81"/>
        <v/>
      </c>
      <c r="AW244" s="5" t="str">
        <f t="shared" si="82"/>
        <v/>
      </c>
      <c r="AX244" s="5" t="str">
        <f t="shared" si="83"/>
        <v/>
      </c>
      <c r="AY244" s="5" t="str">
        <f t="shared" si="84"/>
        <v/>
      </c>
      <c r="AZ244" s="5" t="str">
        <f t="shared" si="85"/>
        <v/>
      </c>
      <c r="BA244" s="5" t="str">
        <f t="shared" si="86"/>
        <v/>
      </c>
      <c r="BB244" s="5" t="str">
        <f t="shared" si="87"/>
        <v/>
      </c>
    </row>
    <row r="245" spans="1:54" s="5" customFormat="1" hidden="1">
      <c r="A245" s="8" t="str">
        <f>IF(INDEX(FORM!$A:$A,ROW())="","",ROW()-1)</f>
        <v/>
      </c>
      <c r="B245" s="41" t="str">
        <f>IF($A245="","",INDEX(FORM!$A:$A,ROW()))</f>
        <v/>
      </c>
      <c r="C245" s="8" t="str">
        <f>IF($A245="","",TRIM(INDEX(FORM!$B:$B,ROW())))</f>
        <v/>
      </c>
      <c r="D245" s="8" t="str">
        <f>IF($A245="","",TRIM(INDEX(FORM!$C:$C,ROW())&amp;""))</f>
        <v/>
      </c>
      <c r="E245" s="8" t="str">
        <f>IF($A245="","",UPPER(TRIM(INDEX(FORM!$D:$D,ROW()))))</f>
        <v/>
      </c>
      <c r="F245" s="8" t="str">
        <f>IF($A245="","",IFERROR(INDEX(PROGRES!$A$2:$A$92,MATCH(E245,PROGRES!$B$2:$B$92,0)),"-"))</f>
        <v/>
      </c>
      <c r="G245" s="8" t="str">
        <f>IF($A245="","",UPPER(TRIM(INDEX(FORM!$F:$F,ROW()))))</f>
        <v/>
      </c>
      <c r="H245" s="8" t="str">
        <f>IF($A245="","",UPPER(TRIM(INDEX(FORM!$E:$E,ROW()))))</f>
        <v/>
      </c>
      <c r="I245" s="8" t="str">
        <f>IF($A245="","",UPPER(TRIM(INDEX(FORM!$G:$G,ROW()))))</f>
        <v/>
      </c>
      <c r="J245" s="8" t="str">
        <f>IF($A245="","",IF(ISNUMBER(SEARCH("Ya,",INDEX(FORM!$H:$H,ROW()))),"YA",IF(ISNUMBER(SEARCH("Cukup,",INDEX(FORM!$H:$H,ROW()))),"CUKUP",IF(ISNUMBER(SEARCH("Kurang,",INDEX(FORM!$H:$H,ROW()))),"KURANG",""))))</f>
        <v/>
      </c>
      <c r="K245" s="8" t="str">
        <f>IF($A245="","",UPPER(TRIM(INDEX(FORM!$J:$J,ROW()))))</f>
        <v/>
      </c>
      <c r="L245" s="8" t="str">
        <f>IF($A245="","",IF(ISNUMBER(SEARCH("Aktivitas Harian",INDEX(FORM!$K:$K,ROW()))),1,0))</f>
        <v/>
      </c>
      <c r="M245" s="8" t="str">
        <f>IF($A245="","",IF(ISNUMBER(SEARCH("Aktivitas Mingguan",INDEX(FORM!$K:$K,ROW()))),1,0))</f>
        <v/>
      </c>
      <c r="N245" s="8" t="str">
        <f>IF($A245="","",IF(ISNUMBER(SEARCH("Aktivitas Bulanan",INDEX(FORM!$K:$K,ROW()))),1,0))</f>
        <v/>
      </c>
      <c r="O245" s="8" t="str">
        <f>IF($A245="","",IF(ISNUMBER(SEARCH("Overview Cabang",INDEX(FORM!$K:$K,ROW()))),1,0))</f>
        <v/>
      </c>
      <c r="P245" s="8" t="str">
        <f>IF($A245="","",IFERROR(VLOOKUP(I245,DATA!$AH$9:$AI$13,2,0),""))</f>
        <v/>
      </c>
      <c r="Q245" s="8" t="str">
        <f>IF($A245="","",IFERROR(VLOOKUP(J245,DATA!$AH$9:$AI$13,2,0),""))</f>
        <v/>
      </c>
      <c r="R245" s="8" t="str">
        <f>IF($A245="","",IFERROR(VLOOKUP(K245,DATA!$AH$9:$AI$13,2,0),""))</f>
        <v/>
      </c>
      <c r="S245" s="42" t="str">
        <f t="shared" si="66"/>
        <v/>
      </c>
      <c r="T245" s="8" t="str">
        <f>IF($A245="","",IF(COUNTIF($D$2:D245,D245)=1,1,0))</f>
        <v/>
      </c>
      <c r="U245" s="8" t="str">
        <f>IF($A245="","",IF(F245="-","Cabang tdk ada",IF(IFERROR(VLOOKUP(G245,#REF!,1,0),"")="","",IF(INDEX(DATA!$AH$2:$AH$5,MATCH(G245,DATA!$AI$2:$AI$5,0))&lt;&gt;F245,"Wilayah beda","OK"))))</f>
        <v/>
      </c>
      <c r="V245" s="8" t="str">
        <f>IF($A245="","",TRIM(INDEX(FORM!$I:$I,ROW())&amp;""))</f>
        <v/>
      </c>
      <c r="W245" s="8" t="str">
        <f>IF($A245="","",TRIM(INDEX(FORM!$L:$L,ROW())&amp;""))</f>
        <v/>
      </c>
      <c r="X245" s="8" t="str">
        <f>IF($A245="","",TRIM(INDEX(FORM!$M:$M,ROW())&amp;""))</f>
        <v/>
      </c>
      <c r="Y245" s="8" t="str">
        <f>IF($A245="","",IFERROR(MATCH(F245,DATA!$AH$2:$AH$5,0),9)*10000+A245)</f>
        <v/>
      </c>
      <c r="Z245" s="8" t="str">
        <f t="shared" si="67"/>
        <v/>
      </c>
      <c r="AA245" s="8" t="str">
        <f t="shared" si="68"/>
        <v/>
      </c>
      <c r="AB245" s="8" t="str">
        <f t="shared" si="69"/>
        <v/>
      </c>
      <c r="AC245" s="8"/>
      <c r="AD245" s="8"/>
      <c r="AE245" s="8"/>
      <c r="AK245" s="5" t="str">
        <f t="shared" si="70"/>
        <v/>
      </c>
      <c r="AL245" s="5" t="str">
        <f t="shared" si="71"/>
        <v/>
      </c>
      <c r="AM245" s="5" t="str">
        <f t="shared" si="72"/>
        <v/>
      </c>
      <c r="AN245" s="5" t="str">
        <f t="shared" si="73"/>
        <v/>
      </c>
      <c r="AO245" s="5" t="str">
        <f t="shared" si="74"/>
        <v/>
      </c>
      <c r="AP245" s="5" t="str">
        <f t="shared" si="75"/>
        <v/>
      </c>
      <c r="AQ245" s="5" t="str">
        <f t="shared" si="76"/>
        <v/>
      </c>
      <c r="AR245" s="5" t="str">
        <f t="shared" si="77"/>
        <v/>
      </c>
      <c r="AS245" s="5" t="str">
        <f t="shared" si="78"/>
        <v/>
      </c>
      <c r="AT245" s="5" t="str">
        <f t="shared" si="79"/>
        <v/>
      </c>
      <c r="AU245" s="5" t="str">
        <f t="shared" si="80"/>
        <v/>
      </c>
      <c r="AV245" s="5" t="str">
        <f t="shared" si="81"/>
        <v/>
      </c>
      <c r="AW245" s="5" t="str">
        <f t="shared" si="82"/>
        <v/>
      </c>
      <c r="AX245" s="5" t="str">
        <f t="shared" si="83"/>
        <v/>
      </c>
      <c r="AY245" s="5" t="str">
        <f t="shared" si="84"/>
        <v/>
      </c>
      <c r="AZ245" s="5" t="str">
        <f t="shared" si="85"/>
        <v/>
      </c>
      <c r="BA245" s="5" t="str">
        <f t="shared" si="86"/>
        <v/>
      </c>
      <c r="BB245" s="5" t="str">
        <f t="shared" si="87"/>
        <v/>
      </c>
    </row>
    <row r="246" spans="1:54" s="5" customFormat="1" hidden="1">
      <c r="A246" s="8" t="str">
        <f>IF(INDEX(FORM!$A:$A,ROW())="","",ROW()-1)</f>
        <v/>
      </c>
      <c r="B246" s="41" t="str">
        <f>IF($A246="","",INDEX(FORM!$A:$A,ROW()))</f>
        <v/>
      </c>
      <c r="C246" s="8" t="str">
        <f>IF($A246="","",TRIM(INDEX(FORM!$B:$B,ROW())))</f>
        <v/>
      </c>
      <c r="D246" s="8" t="str">
        <f>IF($A246="","",TRIM(INDEX(FORM!$C:$C,ROW())&amp;""))</f>
        <v/>
      </c>
      <c r="E246" s="8" t="str">
        <f>IF($A246="","",UPPER(TRIM(INDEX(FORM!$D:$D,ROW()))))</f>
        <v/>
      </c>
      <c r="F246" s="8" t="str">
        <f>IF($A246="","",IFERROR(INDEX(PROGRES!$A$2:$A$92,MATCH(E246,PROGRES!$B$2:$B$92,0)),"-"))</f>
        <v/>
      </c>
      <c r="G246" s="8" t="str">
        <f>IF($A246="","",UPPER(TRIM(INDEX(FORM!$F:$F,ROW()))))</f>
        <v/>
      </c>
      <c r="H246" s="8" t="str">
        <f>IF($A246="","",UPPER(TRIM(INDEX(FORM!$E:$E,ROW()))))</f>
        <v/>
      </c>
      <c r="I246" s="8" t="str">
        <f>IF($A246="","",UPPER(TRIM(INDEX(FORM!$G:$G,ROW()))))</f>
        <v/>
      </c>
      <c r="J246" s="8" t="str">
        <f>IF($A246="","",IF(ISNUMBER(SEARCH("Ya,",INDEX(FORM!$H:$H,ROW()))),"YA",IF(ISNUMBER(SEARCH("Cukup,",INDEX(FORM!$H:$H,ROW()))),"CUKUP",IF(ISNUMBER(SEARCH("Kurang,",INDEX(FORM!$H:$H,ROW()))),"KURANG",""))))</f>
        <v/>
      </c>
      <c r="K246" s="8" t="str">
        <f>IF($A246="","",UPPER(TRIM(INDEX(FORM!$J:$J,ROW()))))</f>
        <v/>
      </c>
      <c r="L246" s="8" t="str">
        <f>IF($A246="","",IF(ISNUMBER(SEARCH("Aktivitas Harian",INDEX(FORM!$K:$K,ROW()))),1,0))</f>
        <v/>
      </c>
      <c r="M246" s="8" t="str">
        <f>IF($A246="","",IF(ISNUMBER(SEARCH("Aktivitas Mingguan",INDEX(FORM!$K:$K,ROW()))),1,0))</f>
        <v/>
      </c>
      <c r="N246" s="8" t="str">
        <f>IF($A246="","",IF(ISNUMBER(SEARCH("Aktivitas Bulanan",INDEX(FORM!$K:$K,ROW()))),1,0))</f>
        <v/>
      </c>
      <c r="O246" s="8" t="str">
        <f>IF($A246="","",IF(ISNUMBER(SEARCH("Overview Cabang",INDEX(FORM!$K:$K,ROW()))),1,0))</f>
        <v/>
      </c>
      <c r="P246" s="8" t="str">
        <f>IF($A246="","",IFERROR(VLOOKUP(I246,DATA!$AH$9:$AI$13,2,0),""))</f>
        <v/>
      </c>
      <c r="Q246" s="8" t="str">
        <f>IF($A246="","",IFERROR(VLOOKUP(J246,DATA!$AH$9:$AI$13,2,0),""))</f>
        <v/>
      </c>
      <c r="R246" s="8" t="str">
        <f>IF($A246="","",IFERROR(VLOOKUP(K246,DATA!$AH$9:$AI$13,2,0),""))</f>
        <v/>
      </c>
      <c r="S246" s="42" t="str">
        <f t="shared" si="66"/>
        <v/>
      </c>
      <c r="T246" s="8" t="str">
        <f>IF($A246="","",IF(COUNTIF($D$2:D246,D246)=1,1,0))</f>
        <v/>
      </c>
      <c r="U246" s="8" t="str">
        <f>IF($A246="","",IF(F246="-","Cabang tdk ada",IF(IFERROR(VLOOKUP(G246,#REF!,1,0),"")="","",IF(INDEX(DATA!$AH$2:$AH$5,MATCH(G246,DATA!$AI$2:$AI$5,0))&lt;&gt;F246,"Wilayah beda","OK"))))</f>
        <v/>
      </c>
      <c r="V246" s="8" t="str">
        <f>IF($A246="","",TRIM(INDEX(FORM!$I:$I,ROW())&amp;""))</f>
        <v/>
      </c>
      <c r="W246" s="8" t="str">
        <f>IF($A246="","",TRIM(INDEX(FORM!$L:$L,ROW())&amp;""))</f>
        <v/>
      </c>
      <c r="X246" s="8" t="str">
        <f>IF($A246="","",TRIM(INDEX(FORM!$M:$M,ROW())&amp;""))</f>
        <v/>
      </c>
      <c r="Y246" s="8" t="str">
        <f>IF($A246="","",IFERROR(MATCH(F246,DATA!$AH$2:$AH$5,0),9)*10000+A246)</f>
        <v/>
      </c>
      <c r="Z246" s="8" t="str">
        <f t="shared" si="67"/>
        <v/>
      </c>
      <c r="AA246" s="8" t="str">
        <f t="shared" si="68"/>
        <v/>
      </c>
      <c r="AB246" s="8" t="str">
        <f t="shared" si="69"/>
        <v/>
      </c>
      <c r="AC246" s="8"/>
      <c r="AD246" s="8"/>
      <c r="AE246" s="8"/>
      <c r="AK246" s="5" t="str">
        <f t="shared" si="70"/>
        <v/>
      </c>
      <c r="AL246" s="5" t="str">
        <f t="shared" si="71"/>
        <v/>
      </c>
      <c r="AM246" s="5" t="str">
        <f t="shared" si="72"/>
        <v/>
      </c>
      <c r="AN246" s="5" t="str">
        <f t="shared" si="73"/>
        <v/>
      </c>
      <c r="AO246" s="5" t="str">
        <f t="shared" si="74"/>
        <v/>
      </c>
      <c r="AP246" s="5" t="str">
        <f t="shared" si="75"/>
        <v/>
      </c>
      <c r="AQ246" s="5" t="str">
        <f t="shared" si="76"/>
        <v/>
      </c>
      <c r="AR246" s="5" t="str">
        <f t="shared" si="77"/>
        <v/>
      </c>
      <c r="AS246" s="5" t="str">
        <f t="shared" si="78"/>
        <v/>
      </c>
      <c r="AT246" s="5" t="str">
        <f t="shared" si="79"/>
        <v/>
      </c>
      <c r="AU246" s="5" t="str">
        <f t="shared" si="80"/>
        <v/>
      </c>
      <c r="AV246" s="5" t="str">
        <f t="shared" si="81"/>
        <v/>
      </c>
      <c r="AW246" s="5" t="str">
        <f t="shared" si="82"/>
        <v/>
      </c>
      <c r="AX246" s="5" t="str">
        <f t="shared" si="83"/>
        <v/>
      </c>
      <c r="AY246" s="5" t="str">
        <f t="shared" si="84"/>
        <v/>
      </c>
      <c r="AZ246" s="5" t="str">
        <f t="shared" si="85"/>
        <v/>
      </c>
      <c r="BA246" s="5" t="str">
        <f t="shared" si="86"/>
        <v/>
      </c>
      <c r="BB246" s="5" t="str">
        <f t="shared" si="87"/>
        <v/>
      </c>
    </row>
    <row r="247" spans="1:54" s="5" customFormat="1" hidden="1">
      <c r="A247" s="8" t="str">
        <f>IF(INDEX(FORM!$A:$A,ROW())="","",ROW()-1)</f>
        <v/>
      </c>
      <c r="B247" s="41" t="str">
        <f>IF($A247="","",INDEX(FORM!$A:$A,ROW()))</f>
        <v/>
      </c>
      <c r="C247" s="8" t="str">
        <f>IF($A247="","",TRIM(INDEX(FORM!$B:$B,ROW())))</f>
        <v/>
      </c>
      <c r="D247" s="8" t="str">
        <f>IF($A247="","",TRIM(INDEX(FORM!$C:$C,ROW())&amp;""))</f>
        <v/>
      </c>
      <c r="E247" s="8" t="str">
        <f>IF($A247="","",UPPER(TRIM(INDEX(FORM!$D:$D,ROW()))))</f>
        <v/>
      </c>
      <c r="F247" s="8" t="str">
        <f>IF($A247="","",IFERROR(INDEX(PROGRES!$A$2:$A$92,MATCH(E247,PROGRES!$B$2:$B$92,0)),"-"))</f>
        <v/>
      </c>
      <c r="G247" s="8" t="str">
        <f>IF($A247="","",UPPER(TRIM(INDEX(FORM!$F:$F,ROW()))))</f>
        <v/>
      </c>
      <c r="H247" s="8" t="str">
        <f>IF($A247="","",UPPER(TRIM(INDEX(FORM!$E:$E,ROW()))))</f>
        <v/>
      </c>
      <c r="I247" s="8" t="str">
        <f>IF($A247="","",UPPER(TRIM(INDEX(FORM!$G:$G,ROW()))))</f>
        <v/>
      </c>
      <c r="J247" s="8" t="str">
        <f>IF($A247="","",IF(ISNUMBER(SEARCH("Ya,",INDEX(FORM!$H:$H,ROW()))),"YA",IF(ISNUMBER(SEARCH("Cukup,",INDEX(FORM!$H:$H,ROW()))),"CUKUP",IF(ISNUMBER(SEARCH("Kurang,",INDEX(FORM!$H:$H,ROW()))),"KURANG",""))))</f>
        <v/>
      </c>
      <c r="K247" s="8" t="str">
        <f>IF($A247="","",UPPER(TRIM(INDEX(FORM!$J:$J,ROW()))))</f>
        <v/>
      </c>
      <c r="L247" s="8" t="str">
        <f>IF($A247="","",IF(ISNUMBER(SEARCH("Aktivitas Harian",INDEX(FORM!$K:$K,ROW()))),1,0))</f>
        <v/>
      </c>
      <c r="M247" s="8" t="str">
        <f>IF($A247="","",IF(ISNUMBER(SEARCH("Aktivitas Mingguan",INDEX(FORM!$K:$K,ROW()))),1,0))</f>
        <v/>
      </c>
      <c r="N247" s="8" t="str">
        <f>IF($A247="","",IF(ISNUMBER(SEARCH("Aktivitas Bulanan",INDEX(FORM!$K:$K,ROW()))),1,0))</f>
        <v/>
      </c>
      <c r="O247" s="8" t="str">
        <f>IF($A247="","",IF(ISNUMBER(SEARCH("Overview Cabang",INDEX(FORM!$K:$K,ROW()))),1,0))</f>
        <v/>
      </c>
      <c r="P247" s="8" t="str">
        <f>IF($A247="","",IFERROR(VLOOKUP(I247,DATA!$AH$9:$AI$13,2,0),""))</f>
        <v/>
      </c>
      <c r="Q247" s="8" t="str">
        <f>IF($A247="","",IFERROR(VLOOKUP(J247,DATA!$AH$9:$AI$13,2,0),""))</f>
        <v/>
      </c>
      <c r="R247" s="8" t="str">
        <f>IF($A247="","",IFERROR(VLOOKUP(K247,DATA!$AH$9:$AI$13,2,0),""))</f>
        <v/>
      </c>
      <c r="S247" s="42" t="str">
        <f t="shared" si="66"/>
        <v/>
      </c>
      <c r="T247" s="8" t="str">
        <f>IF($A247="","",IF(COUNTIF($D$2:D247,D247)=1,1,0))</f>
        <v/>
      </c>
      <c r="U247" s="8" t="str">
        <f>IF($A247="","",IF(F247="-","Cabang tdk ada",IF(IFERROR(VLOOKUP(G247,#REF!,1,0),"")="","",IF(INDEX(DATA!$AH$2:$AH$5,MATCH(G247,DATA!$AI$2:$AI$5,0))&lt;&gt;F247,"Wilayah beda","OK"))))</f>
        <v/>
      </c>
      <c r="V247" s="8" t="str">
        <f>IF($A247="","",TRIM(INDEX(FORM!$I:$I,ROW())&amp;""))</f>
        <v/>
      </c>
      <c r="W247" s="8" t="str">
        <f>IF($A247="","",TRIM(INDEX(FORM!$L:$L,ROW())&amp;""))</f>
        <v/>
      </c>
      <c r="X247" s="8" t="str">
        <f>IF($A247="","",TRIM(INDEX(FORM!$M:$M,ROW())&amp;""))</f>
        <v/>
      </c>
      <c r="Y247" s="8" t="str">
        <f>IF($A247="","",IFERROR(MATCH(F247,DATA!$AH$2:$AH$5,0),9)*10000+A247)</f>
        <v/>
      </c>
      <c r="Z247" s="8" t="str">
        <f t="shared" si="67"/>
        <v/>
      </c>
      <c r="AA247" s="8" t="str">
        <f t="shared" si="68"/>
        <v/>
      </c>
      <c r="AB247" s="8" t="str">
        <f t="shared" si="69"/>
        <v/>
      </c>
      <c r="AC247" s="8"/>
      <c r="AD247" s="8"/>
      <c r="AE247" s="8"/>
      <c r="AK247" s="5" t="str">
        <f t="shared" si="70"/>
        <v/>
      </c>
      <c r="AL247" s="5" t="str">
        <f t="shared" si="71"/>
        <v/>
      </c>
      <c r="AM247" s="5" t="str">
        <f t="shared" si="72"/>
        <v/>
      </c>
      <c r="AN247" s="5" t="str">
        <f t="shared" si="73"/>
        <v/>
      </c>
      <c r="AO247" s="5" t="str">
        <f t="shared" si="74"/>
        <v/>
      </c>
      <c r="AP247" s="5" t="str">
        <f t="shared" si="75"/>
        <v/>
      </c>
      <c r="AQ247" s="5" t="str">
        <f t="shared" si="76"/>
        <v/>
      </c>
      <c r="AR247" s="5" t="str">
        <f t="shared" si="77"/>
        <v/>
      </c>
      <c r="AS247" s="5" t="str">
        <f t="shared" si="78"/>
        <v/>
      </c>
      <c r="AT247" s="5" t="str">
        <f t="shared" si="79"/>
        <v/>
      </c>
      <c r="AU247" s="5" t="str">
        <f t="shared" si="80"/>
        <v/>
      </c>
      <c r="AV247" s="5" t="str">
        <f t="shared" si="81"/>
        <v/>
      </c>
      <c r="AW247" s="5" t="str">
        <f t="shared" si="82"/>
        <v/>
      </c>
      <c r="AX247" s="5" t="str">
        <f t="shared" si="83"/>
        <v/>
      </c>
      <c r="AY247" s="5" t="str">
        <f t="shared" si="84"/>
        <v/>
      </c>
      <c r="AZ247" s="5" t="str">
        <f t="shared" si="85"/>
        <v/>
      </c>
      <c r="BA247" s="5" t="str">
        <f t="shared" si="86"/>
        <v/>
      </c>
      <c r="BB247" s="5" t="str">
        <f t="shared" si="87"/>
        <v/>
      </c>
    </row>
    <row r="248" spans="1:54" s="5" customFormat="1" hidden="1">
      <c r="A248" s="8" t="str">
        <f>IF(INDEX(FORM!$A:$A,ROW())="","",ROW()-1)</f>
        <v/>
      </c>
      <c r="B248" s="41" t="str">
        <f>IF($A248="","",INDEX(FORM!$A:$A,ROW()))</f>
        <v/>
      </c>
      <c r="C248" s="8" t="str">
        <f>IF($A248="","",TRIM(INDEX(FORM!$B:$B,ROW())))</f>
        <v/>
      </c>
      <c r="D248" s="8" t="str">
        <f>IF($A248="","",TRIM(INDEX(FORM!$C:$C,ROW())&amp;""))</f>
        <v/>
      </c>
      <c r="E248" s="8" t="str">
        <f>IF($A248="","",UPPER(TRIM(INDEX(FORM!$D:$D,ROW()))))</f>
        <v/>
      </c>
      <c r="F248" s="8" t="str">
        <f>IF($A248="","",IFERROR(INDEX(PROGRES!$A$2:$A$92,MATCH(E248,PROGRES!$B$2:$B$92,0)),"-"))</f>
        <v/>
      </c>
      <c r="G248" s="8" t="str">
        <f>IF($A248="","",UPPER(TRIM(INDEX(FORM!$F:$F,ROW()))))</f>
        <v/>
      </c>
      <c r="H248" s="8" t="str">
        <f>IF($A248="","",UPPER(TRIM(INDEX(FORM!$E:$E,ROW()))))</f>
        <v/>
      </c>
      <c r="I248" s="8" t="str">
        <f>IF($A248="","",UPPER(TRIM(INDEX(FORM!$G:$G,ROW()))))</f>
        <v/>
      </c>
      <c r="J248" s="8" t="str">
        <f>IF($A248="","",IF(ISNUMBER(SEARCH("Ya,",INDEX(FORM!$H:$H,ROW()))),"YA",IF(ISNUMBER(SEARCH("Cukup,",INDEX(FORM!$H:$H,ROW()))),"CUKUP",IF(ISNUMBER(SEARCH("Kurang,",INDEX(FORM!$H:$H,ROW()))),"KURANG",""))))</f>
        <v/>
      </c>
      <c r="K248" s="8" t="str">
        <f>IF($A248="","",UPPER(TRIM(INDEX(FORM!$J:$J,ROW()))))</f>
        <v/>
      </c>
      <c r="L248" s="8" t="str">
        <f>IF($A248="","",IF(ISNUMBER(SEARCH("Aktivitas Harian",INDEX(FORM!$K:$K,ROW()))),1,0))</f>
        <v/>
      </c>
      <c r="M248" s="8" t="str">
        <f>IF($A248="","",IF(ISNUMBER(SEARCH("Aktivitas Mingguan",INDEX(FORM!$K:$K,ROW()))),1,0))</f>
        <v/>
      </c>
      <c r="N248" s="8" t="str">
        <f>IF($A248="","",IF(ISNUMBER(SEARCH("Aktivitas Bulanan",INDEX(FORM!$K:$K,ROW()))),1,0))</f>
        <v/>
      </c>
      <c r="O248" s="8" t="str">
        <f>IF($A248="","",IF(ISNUMBER(SEARCH("Overview Cabang",INDEX(FORM!$K:$K,ROW()))),1,0))</f>
        <v/>
      </c>
      <c r="P248" s="8" t="str">
        <f>IF($A248="","",IFERROR(VLOOKUP(I248,DATA!$AH$9:$AI$13,2,0),""))</f>
        <v/>
      </c>
      <c r="Q248" s="8" t="str">
        <f>IF($A248="","",IFERROR(VLOOKUP(J248,DATA!$AH$9:$AI$13,2,0),""))</f>
        <v/>
      </c>
      <c r="R248" s="8" t="str">
        <f>IF($A248="","",IFERROR(VLOOKUP(K248,DATA!$AH$9:$AI$13,2,0),""))</f>
        <v/>
      </c>
      <c r="S248" s="42" t="str">
        <f t="shared" si="66"/>
        <v/>
      </c>
      <c r="T248" s="8" t="str">
        <f>IF($A248="","",IF(COUNTIF($D$2:D248,D248)=1,1,0))</f>
        <v/>
      </c>
      <c r="U248" s="8" t="str">
        <f>IF($A248="","",IF(F248="-","Cabang tdk ada",IF(IFERROR(VLOOKUP(G248,#REF!,1,0),"")="","",IF(INDEX(DATA!$AH$2:$AH$5,MATCH(G248,DATA!$AI$2:$AI$5,0))&lt;&gt;F248,"Wilayah beda","OK"))))</f>
        <v/>
      </c>
      <c r="V248" s="8" t="str">
        <f>IF($A248="","",TRIM(INDEX(FORM!$I:$I,ROW())&amp;""))</f>
        <v/>
      </c>
      <c r="W248" s="8" t="str">
        <f>IF($A248="","",TRIM(INDEX(FORM!$L:$L,ROW())&amp;""))</f>
        <v/>
      </c>
      <c r="X248" s="8" t="str">
        <f>IF($A248="","",TRIM(INDEX(FORM!$M:$M,ROW())&amp;""))</f>
        <v/>
      </c>
      <c r="Y248" s="8" t="str">
        <f>IF($A248="","",IFERROR(MATCH(F248,DATA!$AH$2:$AH$5,0),9)*10000+A248)</f>
        <v/>
      </c>
      <c r="Z248" s="8" t="str">
        <f t="shared" si="67"/>
        <v/>
      </c>
      <c r="AA248" s="8" t="str">
        <f t="shared" si="68"/>
        <v/>
      </c>
      <c r="AB248" s="8" t="str">
        <f t="shared" si="69"/>
        <v/>
      </c>
      <c r="AC248" s="8"/>
      <c r="AD248" s="8"/>
      <c r="AE248" s="8"/>
      <c r="AK248" s="5" t="str">
        <f t="shared" si="70"/>
        <v/>
      </c>
      <c r="AL248" s="5" t="str">
        <f t="shared" si="71"/>
        <v/>
      </c>
      <c r="AM248" s="5" t="str">
        <f t="shared" si="72"/>
        <v/>
      </c>
      <c r="AN248" s="5" t="str">
        <f t="shared" si="73"/>
        <v/>
      </c>
      <c r="AO248" s="5" t="str">
        <f t="shared" si="74"/>
        <v/>
      </c>
      <c r="AP248" s="5" t="str">
        <f t="shared" si="75"/>
        <v/>
      </c>
      <c r="AQ248" s="5" t="str">
        <f t="shared" si="76"/>
        <v/>
      </c>
      <c r="AR248" s="5" t="str">
        <f t="shared" si="77"/>
        <v/>
      </c>
      <c r="AS248" s="5" t="str">
        <f t="shared" si="78"/>
        <v/>
      </c>
      <c r="AT248" s="5" t="str">
        <f t="shared" si="79"/>
        <v/>
      </c>
      <c r="AU248" s="5" t="str">
        <f t="shared" si="80"/>
        <v/>
      </c>
      <c r="AV248" s="5" t="str">
        <f t="shared" si="81"/>
        <v/>
      </c>
      <c r="AW248" s="5" t="str">
        <f t="shared" si="82"/>
        <v/>
      </c>
      <c r="AX248" s="5" t="str">
        <f t="shared" si="83"/>
        <v/>
      </c>
      <c r="AY248" s="5" t="str">
        <f t="shared" si="84"/>
        <v/>
      </c>
      <c r="AZ248" s="5" t="str">
        <f t="shared" si="85"/>
        <v/>
      </c>
      <c r="BA248" s="5" t="str">
        <f t="shared" si="86"/>
        <v/>
      </c>
      <c r="BB248" s="5" t="str">
        <f t="shared" si="87"/>
        <v/>
      </c>
    </row>
    <row r="249" spans="1:54" s="5" customFormat="1" hidden="1">
      <c r="A249" s="8" t="str">
        <f>IF(INDEX(FORM!$A:$A,ROW())="","",ROW()-1)</f>
        <v/>
      </c>
      <c r="B249" s="41" t="str">
        <f>IF($A249="","",INDEX(FORM!$A:$A,ROW()))</f>
        <v/>
      </c>
      <c r="C249" s="8" t="str">
        <f>IF($A249="","",TRIM(INDEX(FORM!$B:$B,ROW())))</f>
        <v/>
      </c>
      <c r="D249" s="8" t="str">
        <f>IF($A249="","",TRIM(INDEX(FORM!$C:$C,ROW())&amp;""))</f>
        <v/>
      </c>
      <c r="E249" s="8" t="str">
        <f>IF($A249="","",UPPER(TRIM(INDEX(FORM!$D:$D,ROW()))))</f>
        <v/>
      </c>
      <c r="F249" s="8" t="str">
        <f>IF($A249="","",IFERROR(INDEX(PROGRES!$A$2:$A$92,MATCH(E249,PROGRES!$B$2:$B$92,0)),"-"))</f>
        <v/>
      </c>
      <c r="G249" s="8" t="str">
        <f>IF($A249="","",UPPER(TRIM(INDEX(FORM!$F:$F,ROW()))))</f>
        <v/>
      </c>
      <c r="H249" s="8" t="str">
        <f>IF($A249="","",UPPER(TRIM(INDEX(FORM!$E:$E,ROW()))))</f>
        <v/>
      </c>
      <c r="I249" s="8" t="str">
        <f>IF($A249="","",UPPER(TRIM(INDEX(FORM!$G:$G,ROW()))))</f>
        <v/>
      </c>
      <c r="J249" s="8" t="str">
        <f>IF($A249="","",IF(ISNUMBER(SEARCH("Ya,",INDEX(FORM!$H:$H,ROW()))),"YA",IF(ISNUMBER(SEARCH("Cukup,",INDEX(FORM!$H:$H,ROW()))),"CUKUP",IF(ISNUMBER(SEARCH("Kurang,",INDEX(FORM!$H:$H,ROW()))),"KURANG",""))))</f>
        <v/>
      </c>
      <c r="K249" s="8" t="str">
        <f>IF($A249="","",UPPER(TRIM(INDEX(FORM!$J:$J,ROW()))))</f>
        <v/>
      </c>
      <c r="L249" s="8" t="str">
        <f>IF($A249="","",IF(ISNUMBER(SEARCH("Aktivitas Harian",INDEX(FORM!$K:$K,ROW()))),1,0))</f>
        <v/>
      </c>
      <c r="M249" s="8" t="str">
        <f>IF($A249="","",IF(ISNUMBER(SEARCH("Aktivitas Mingguan",INDEX(FORM!$K:$K,ROW()))),1,0))</f>
        <v/>
      </c>
      <c r="N249" s="8" t="str">
        <f>IF($A249="","",IF(ISNUMBER(SEARCH("Aktivitas Bulanan",INDEX(FORM!$K:$K,ROW()))),1,0))</f>
        <v/>
      </c>
      <c r="O249" s="8" t="str">
        <f>IF($A249="","",IF(ISNUMBER(SEARCH("Overview Cabang",INDEX(FORM!$K:$K,ROW()))),1,0))</f>
        <v/>
      </c>
      <c r="P249" s="8" t="str">
        <f>IF($A249="","",IFERROR(VLOOKUP(I249,DATA!$AH$9:$AI$13,2,0),""))</f>
        <v/>
      </c>
      <c r="Q249" s="8" t="str">
        <f>IF($A249="","",IFERROR(VLOOKUP(J249,DATA!$AH$9:$AI$13,2,0),""))</f>
        <v/>
      </c>
      <c r="R249" s="8" t="str">
        <f>IF($A249="","",IFERROR(VLOOKUP(K249,DATA!$AH$9:$AI$13,2,0),""))</f>
        <v/>
      </c>
      <c r="S249" s="42" t="str">
        <f t="shared" si="66"/>
        <v/>
      </c>
      <c r="T249" s="8" t="str">
        <f>IF($A249="","",IF(COUNTIF($D$2:D249,D249)=1,1,0))</f>
        <v/>
      </c>
      <c r="U249" s="8" t="str">
        <f>IF($A249="","",IF(F249="-","Cabang tdk ada",IF(IFERROR(VLOOKUP(G249,#REF!,1,0),"")="","",IF(INDEX(DATA!$AH$2:$AH$5,MATCH(G249,DATA!$AI$2:$AI$5,0))&lt;&gt;F249,"Wilayah beda","OK"))))</f>
        <v/>
      </c>
      <c r="V249" s="8" t="str">
        <f>IF($A249="","",TRIM(INDEX(FORM!$I:$I,ROW())&amp;""))</f>
        <v/>
      </c>
      <c r="W249" s="8" t="str">
        <f>IF($A249="","",TRIM(INDEX(FORM!$L:$L,ROW())&amp;""))</f>
        <v/>
      </c>
      <c r="X249" s="8" t="str">
        <f>IF($A249="","",TRIM(INDEX(FORM!$M:$M,ROW())&amp;""))</f>
        <v/>
      </c>
      <c r="Y249" s="8" t="str">
        <f>IF($A249="","",IFERROR(MATCH(F249,DATA!$AH$2:$AH$5,0),9)*10000+A249)</f>
        <v/>
      </c>
      <c r="Z249" s="8" t="str">
        <f t="shared" si="67"/>
        <v/>
      </c>
      <c r="AA249" s="8" t="str">
        <f t="shared" si="68"/>
        <v/>
      </c>
      <c r="AB249" s="8" t="str">
        <f t="shared" si="69"/>
        <v/>
      </c>
      <c r="AC249" s="8"/>
      <c r="AD249" s="8"/>
      <c r="AE249" s="8"/>
      <c r="AK249" s="5" t="str">
        <f t="shared" si="70"/>
        <v/>
      </c>
      <c r="AL249" s="5" t="str">
        <f t="shared" si="71"/>
        <v/>
      </c>
      <c r="AM249" s="5" t="str">
        <f t="shared" si="72"/>
        <v/>
      </c>
      <c r="AN249" s="5" t="str">
        <f t="shared" si="73"/>
        <v/>
      </c>
      <c r="AO249" s="5" t="str">
        <f t="shared" si="74"/>
        <v/>
      </c>
      <c r="AP249" s="5" t="str">
        <f t="shared" si="75"/>
        <v/>
      </c>
      <c r="AQ249" s="5" t="str">
        <f t="shared" si="76"/>
        <v/>
      </c>
      <c r="AR249" s="5" t="str">
        <f t="shared" si="77"/>
        <v/>
      </c>
      <c r="AS249" s="5" t="str">
        <f t="shared" si="78"/>
        <v/>
      </c>
      <c r="AT249" s="5" t="str">
        <f t="shared" si="79"/>
        <v/>
      </c>
      <c r="AU249" s="5" t="str">
        <f t="shared" si="80"/>
        <v/>
      </c>
      <c r="AV249" s="5" t="str">
        <f t="shared" si="81"/>
        <v/>
      </c>
      <c r="AW249" s="5" t="str">
        <f t="shared" si="82"/>
        <v/>
      </c>
      <c r="AX249" s="5" t="str">
        <f t="shared" si="83"/>
        <v/>
      </c>
      <c r="AY249" s="5" t="str">
        <f t="shared" si="84"/>
        <v/>
      </c>
      <c r="AZ249" s="5" t="str">
        <f t="shared" si="85"/>
        <v/>
      </c>
      <c r="BA249" s="5" t="str">
        <f t="shared" si="86"/>
        <v/>
      </c>
      <c r="BB249" s="5" t="str">
        <f t="shared" si="87"/>
        <v/>
      </c>
    </row>
    <row r="250" spans="1:54" s="5" customFormat="1" hidden="1">
      <c r="A250" s="8" t="str">
        <f>IF(INDEX(FORM!$A:$A,ROW())="","",ROW()-1)</f>
        <v/>
      </c>
      <c r="B250" s="41" t="str">
        <f>IF($A250="","",INDEX(FORM!$A:$A,ROW()))</f>
        <v/>
      </c>
      <c r="C250" s="8" t="str">
        <f>IF($A250="","",TRIM(INDEX(FORM!$B:$B,ROW())))</f>
        <v/>
      </c>
      <c r="D250" s="8" t="str">
        <f>IF($A250="","",TRIM(INDEX(FORM!$C:$C,ROW())&amp;""))</f>
        <v/>
      </c>
      <c r="E250" s="8" t="str">
        <f>IF($A250="","",UPPER(TRIM(INDEX(FORM!$D:$D,ROW()))))</f>
        <v/>
      </c>
      <c r="F250" s="8" t="str">
        <f>IF($A250="","",IFERROR(INDEX(PROGRES!$A$2:$A$92,MATCH(E250,PROGRES!$B$2:$B$92,0)),"-"))</f>
        <v/>
      </c>
      <c r="G250" s="8" t="str">
        <f>IF($A250="","",UPPER(TRIM(INDEX(FORM!$F:$F,ROW()))))</f>
        <v/>
      </c>
      <c r="H250" s="8" t="str">
        <f>IF($A250="","",UPPER(TRIM(INDEX(FORM!$E:$E,ROW()))))</f>
        <v/>
      </c>
      <c r="I250" s="8" t="str">
        <f>IF($A250="","",UPPER(TRIM(INDEX(FORM!$G:$G,ROW()))))</f>
        <v/>
      </c>
      <c r="J250" s="8" t="str">
        <f>IF($A250="","",IF(ISNUMBER(SEARCH("Ya,",INDEX(FORM!$H:$H,ROW()))),"YA",IF(ISNUMBER(SEARCH("Cukup,",INDEX(FORM!$H:$H,ROW()))),"CUKUP",IF(ISNUMBER(SEARCH("Kurang,",INDEX(FORM!$H:$H,ROW()))),"KURANG",""))))</f>
        <v/>
      </c>
      <c r="K250" s="8" t="str">
        <f>IF($A250="","",UPPER(TRIM(INDEX(FORM!$J:$J,ROW()))))</f>
        <v/>
      </c>
      <c r="L250" s="8" t="str">
        <f>IF($A250="","",IF(ISNUMBER(SEARCH("Aktivitas Harian",INDEX(FORM!$K:$K,ROW()))),1,0))</f>
        <v/>
      </c>
      <c r="M250" s="8" t="str">
        <f>IF($A250="","",IF(ISNUMBER(SEARCH("Aktivitas Mingguan",INDEX(FORM!$K:$K,ROW()))),1,0))</f>
        <v/>
      </c>
      <c r="N250" s="8" t="str">
        <f>IF($A250="","",IF(ISNUMBER(SEARCH("Aktivitas Bulanan",INDEX(FORM!$K:$K,ROW()))),1,0))</f>
        <v/>
      </c>
      <c r="O250" s="8" t="str">
        <f>IF($A250="","",IF(ISNUMBER(SEARCH("Overview Cabang",INDEX(FORM!$K:$K,ROW()))),1,0))</f>
        <v/>
      </c>
      <c r="P250" s="8" t="str">
        <f>IF($A250="","",IFERROR(VLOOKUP(I250,DATA!$AH$9:$AI$13,2,0),""))</f>
        <v/>
      </c>
      <c r="Q250" s="8" t="str">
        <f>IF($A250="","",IFERROR(VLOOKUP(J250,DATA!$AH$9:$AI$13,2,0),""))</f>
        <v/>
      </c>
      <c r="R250" s="8" t="str">
        <f>IF($A250="","",IFERROR(VLOOKUP(K250,DATA!$AH$9:$AI$13,2,0),""))</f>
        <v/>
      </c>
      <c r="S250" s="42" t="str">
        <f t="shared" si="66"/>
        <v/>
      </c>
      <c r="T250" s="8" t="str">
        <f>IF($A250="","",IF(COUNTIF($D$2:D250,D250)=1,1,0))</f>
        <v/>
      </c>
      <c r="U250" s="8" t="str">
        <f>IF($A250="","",IF(F250="-","Cabang tdk ada",IF(IFERROR(VLOOKUP(G250,#REF!,1,0),"")="","",IF(INDEX(DATA!$AH$2:$AH$5,MATCH(G250,DATA!$AI$2:$AI$5,0))&lt;&gt;F250,"Wilayah beda","OK"))))</f>
        <v/>
      </c>
      <c r="V250" s="8" t="str">
        <f>IF($A250="","",TRIM(INDEX(FORM!$I:$I,ROW())&amp;""))</f>
        <v/>
      </c>
      <c r="W250" s="8" t="str">
        <f>IF($A250="","",TRIM(INDEX(FORM!$L:$L,ROW())&amp;""))</f>
        <v/>
      </c>
      <c r="X250" s="8" t="str">
        <f>IF($A250="","",TRIM(INDEX(FORM!$M:$M,ROW())&amp;""))</f>
        <v/>
      </c>
      <c r="Y250" s="8" t="str">
        <f>IF($A250="","",IFERROR(MATCH(F250,DATA!$AH$2:$AH$5,0),9)*10000+A250)</f>
        <v/>
      </c>
      <c r="Z250" s="8" t="str">
        <f t="shared" si="67"/>
        <v/>
      </c>
      <c r="AA250" s="8" t="str">
        <f t="shared" si="68"/>
        <v/>
      </c>
      <c r="AB250" s="8" t="str">
        <f t="shared" si="69"/>
        <v/>
      </c>
      <c r="AC250" s="8"/>
      <c r="AD250" s="8"/>
      <c r="AE250" s="8"/>
      <c r="AK250" s="5" t="str">
        <f t="shared" si="70"/>
        <v/>
      </c>
      <c r="AL250" s="5" t="str">
        <f t="shared" si="71"/>
        <v/>
      </c>
      <c r="AM250" s="5" t="str">
        <f t="shared" si="72"/>
        <v/>
      </c>
      <c r="AN250" s="5" t="str">
        <f t="shared" si="73"/>
        <v/>
      </c>
      <c r="AO250" s="5" t="str">
        <f t="shared" si="74"/>
        <v/>
      </c>
      <c r="AP250" s="5" t="str">
        <f t="shared" si="75"/>
        <v/>
      </c>
      <c r="AQ250" s="5" t="str">
        <f t="shared" si="76"/>
        <v/>
      </c>
      <c r="AR250" s="5" t="str">
        <f t="shared" si="77"/>
        <v/>
      </c>
      <c r="AS250" s="5" t="str">
        <f t="shared" si="78"/>
        <v/>
      </c>
      <c r="AT250" s="5" t="str">
        <f t="shared" si="79"/>
        <v/>
      </c>
      <c r="AU250" s="5" t="str">
        <f t="shared" si="80"/>
        <v/>
      </c>
      <c r="AV250" s="5" t="str">
        <f t="shared" si="81"/>
        <v/>
      </c>
      <c r="AW250" s="5" t="str">
        <f t="shared" si="82"/>
        <v/>
      </c>
      <c r="AX250" s="5" t="str">
        <f t="shared" si="83"/>
        <v/>
      </c>
      <c r="AY250" s="5" t="str">
        <f t="shared" si="84"/>
        <v/>
      </c>
      <c r="AZ250" s="5" t="str">
        <f t="shared" si="85"/>
        <v/>
      </c>
      <c r="BA250" s="5" t="str">
        <f t="shared" si="86"/>
        <v/>
      </c>
      <c r="BB250" s="5" t="str">
        <f t="shared" si="87"/>
        <v/>
      </c>
    </row>
    <row r="251" spans="1:54" s="5" customFormat="1" hidden="1">
      <c r="A251" s="8" t="str">
        <f>IF(INDEX(FORM!$A:$A,ROW())="","",ROW()-1)</f>
        <v/>
      </c>
      <c r="B251" s="41" t="str">
        <f>IF($A251="","",INDEX(FORM!$A:$A,ROW()))</f>
        <v/>
      </c>
      <c r="C251" s="8" t="str">
        <f>IF($A251="","",TRIM(INDEX(FORM!$B:$B,ROW())))</f>
        <v/>
      </c>
      <c r="D251" s="8" t="str">
        <f>IF($A251="","",TRIM(INDEX(FORM!$C:$C,ROW())&amp;""))</f>
        <v/>
      </c>
      <c r="E251" s="8" t="str">
        <f>IF($A251="","",UPPER(TRIM(INDEX(FORM!$D:$D,ROW()))))</f>
        <v/>
      </c>
      <c r="F251" s="8" t="str">
        <f>IF($A251="","",IFERROR(INDEX(PROGRES!$A$2:$A$92,MATCH(E251,PROGRES!$B$2:$B$92,0)),"-"))</f>
        <v/>
      </c>
      <c r="G251" s="8" t="str">
        <f>IF($A251="","",UPPER(TRIM(INDEX(FORM!$F:$F,ROW()))))</f>
        <v/>
      </c>
      <c r="H251" s="8" t="str">
        <f>IF($A251="","",UPPER(TRIM(INDEX(FORM!$E:$E,ROW()))))</f>
        <v/>
      </c>
      <c r="I251" s="8" t="str">
        <f>IF($A251="","",UPPER(TRIM(INDEX(FORM!$G:$G,ROW()))))</f>
        <v/>
      </c>
      <c r="J251" s="8" t="str">
        <f>IF($A251="","",IF(ISNUMBER(SEARCH("Ya,",INDEX(FORM!$H:$H,ROW()))),"YA",IF(ISNUMBER(SEARCH("Cukup,",INDEX(FORM!$H:$H,ROW()))),"CUKUP",IF(ISNUMBER(SEARCH("Kurang,",INDEX(FORM!$H:$H,ROW()))),"KURANG",""))))</f>
        <v/>
      </c>
      <c r="K251" s="8" t="str">
        <f>IF($A251="","",UPPER(TRIM(INDEX(FORM!$J:$J,ROW()))))</f>
        <v/>
      </c>
      <c r="L251" s="8" t="str">
        <f>IF($A251="","",IF(ISNUMBER(SEARCH("Aktivitas Harian",INDEX(FORM!$K:$K,ROW()))),1,0))</f>
        <v/>
      </c>
      <c r="M251" s="8" t="str">
        <f>IF($A251="","",IF(ISNUMBER(SEARCH("Aktivitas Mingguan",INDEX(FORM!$K:$K,ROW()))),1,0))</f>
        <v/>
      </c>
      <c r="N251" s="8" t="str">
        <f>IF($A251="","",IF(ISNUMBER(SEARCH("Aktivitas Bulanan",INDEX(FORM!$K:$K,ROW()))),1,0))</f>
        <v/>
      </c>
      <c r="O251" s="8" t="str">
        <f>IF($A251="","",IF(ISNUMBER(SEARCH("Overview Cabang",INDEX(FORM!$K:$K,ROW()))),1,0))</f>
        <v/>
      </c>
      <c r="P251" s="8" t="str">
        <f>IF($A251="","",IFERROR(VLOOKUP(I251,DATA!$AH$9:$AI$13,2,0),""))</f>
        <v/>
      </c>
      <c r="Q251" s="8" t="str">
        <f>IF($A251="","",IFERROR(VLOOKUP(J251,DATA!$AH$9:$AI$13,2,0),""))</f>
        <v/>
      </c>
      <c r="R251" s="8" t="str">
        <f>IF($A251="","",IFERROR(VLOOKUP(K251,DATA!$AH$9:$AI$13,2,0),""))</f>
        <v/>
      </c>
      <c r="S251" s="42" t="str">
        <f t="shared" si="66"/>
        <v/>
      </c>
      <c r="T251" s="8" t="str">
        <f>IF($A251="","",IF(COUNTIF($D$2:D251,D251)=1,1,0))</f>
        <v/>
      </c>
      <c r="U251" s="8" t="str">
        <f>IF($A251="","",IF(F251="-","Cabang tdk ada",IF(IFERROR(VLOOKUP(G251,#REF!,1,0),"")="","",IF(INDEX(DATA!$AH$2:$AH$5,MATCH(G251,DATA!$AI$2:$AI$5,0))&lt;&gt;F251,"Wilayah beda","OK"))))</f>
        <v/>
      </c>
      <c r="V251" s="8" t="str">
        <f>IF($A251="","",TRIM(INDEX(FORM!$I:$I,ROW())&amp;""))</f>
        <v/>
      </c>
      <c r="W251" s="8" t="str">
        <f>IF($A251="","",TRIM(INDEX(FORM!$L:$L,ROW())&amp;""))</f>
        <v/>
      </c>
      <c r="X251" s="8" t="str">
        <f>IF($A251="","",TRIM(INDEX(FORM!$M:$M,ROW())&amp;""))</f>
        <v/>
      </c>
      <c r="Y251" s="8" t="str">
        <f>IF($A251="","",IFERROR(MATCH(F251,DATA!$AH$2:$AH$5,0),9)*10000+A251)</f>
        <v/>
      </c>
      <c r="Z251" s="8" t="str">
        <f t="shared" si="67"/>
        <v/>
      </c>
      <c r="AA251" s="8" t="str">
        <f t="shared" si="68"/>
        <v/>
      </c>
      <c r="AB251" s="8" t="str">
        <f t="shared" si="69"/>
        <v/>
      </c>
      <c r="AC251" s="8"/>
      <c r="AD251" s="8"/>
      <c r="AE251" s="8"/>
      <c r="AK251" s="5" t="str">
        <f t="shared" si="70"/>
        <v/>
      </c>
      <c r="AL251" s="5" t="str">
        <f t="shared" si="71"/>
        <v/>
      </c>
      <c r="AM251" s="5" t="str">
        <f t="shared" si="72"/>
        <v/>
      </c>
      <c r="AN251" s="5" t="str">
        <f t="shared" si="73"/>
        <v/>
      </c>
      <c r="AO251" s="5" t="str">
        <f t="shared" si="74"/>
        <v/>
      </c>
      <c r="AP251" s="5" t="str">
        <f t="shared" si="75"/>
        <v/>
      </c>
      <c r="AQ251" s="5" t="str">
        <f t="shared" si="76"/>
        <v/>
      </c>
      <c r="AR251" s="5" t="str">
        <f t="shared" si="77"/>
        <v/>
      </c>
      <c r="AS251" s="5" t="str">
        <f t="shared" si="78"/>
        <v/>
      </c>
      <c r="AT251" s="5" t="str">
        <f t="shared" si="79"/>
        <v/>
      </c>
      <c r="AU251" s="5" t="str">
        <f t="shared" si="80"/>
        <v/>
      </c>
      <c r="AV251" s="5" t="str">
        <f t="shared" si="81"/>
        <v/>
      </c>
      <c r="AW251" s="5" t="str">
        <f t="shared" si="82"/>
        <v/>
      </c>
      <c r="AX251" s="5" t="str">
        <f t="shared" si="83"/>
        <v/>
      </c>
      <c r="AY251" s="5" t="str">
        <f t="shared" si="84"/>
        <v/>
      </c>
      <c r="AZ251" s="5" t="str">
        <f t="shared" si="85"/>
        <v/>
      </c>
      <c r="BA251" s="5" t="str">
        <f t="shared" si="86"/>
        <v/>
      </c>
      <c r="BB251" s="5" t="str">
        <f t="shared" si="87"/>
        <v/>
      </c>
    </row>
    <row r="252" spans="1:54" s="5" customFormat="1" hidden="1">
      <c r="A252" s="8" t="str">
        <f>IF(INDEX(FORM!$A:$A,ROW())="","",ROW()-1)</f>
        <v/>
      </c>
      <c r="B252" s="41" t="str">
        <f>IF($A252="","",INDEX(FORM!$A:$A,ROW()))</f>
        <v/>
      </c>
      <c r="C252" s="8" t="str">
        <f>IF($A252="","",TRIM(INDEX(FORM!$B:$B,ROW())))</f>
        <v/>
      </c>
      <c r="D252" s="8" t="str">
        <f>IF($A252="","",TRIM(INDEX(FORM!$C:$C,ROW())&amp;""))</f>
        <v/>
      </c>
      <c r="E252" s="8" t="str">
        <f>IF($A252="","",UPPER(TRIM(INDEX(FORM!$D:$D,ROW()))))</f>
        <v/>
      </c>
      <c r="F252" s="8" t="str">
        <f>IF($A252="","",IFERROR(INDEX(PROGRES!$A$2:$A$92,MATCH(E252,PROGRES!$B$2:$B$92,0)),"-"))</f>
        <v/>
      </c>
      <c r="G252" s="8" t="str">
        <f>IF($A252="","",UPPER(TRIM(INDEX(FORM!$F:$F,ROW()))))</f>
        <v/>
      </c>
      <c r="H252" s="8" t="str">
        <f>IF($A252="","",UPPER(TRIM(INDEX(FORM!$E:$E,ROW()))))</f>
        <v/>
      </c>
      <c r="I252" s="8" t="str">
        <f>IF($A252="","",UPPER(TRIM(INDEX(FORM!$G:$G,ROW()))))</f>
        <v/>
      </c>
      <c r="J252" s="8" t="str">
        <f>IF($A252="","",IF(ISNUMBER(SEARCH("Ya,",INDEX(FORM!$H:$H,ROW()))),"YA",IF(ISNUMBER(SEARCH("Cukup,",INDEX(FORM!$H:$H,ROW()))),"CUKUP",IF(ISNUMBER(SEARCH("Kurang,",INDEX(FORM!$H:$H,ROW()))),"KURANG",""))))</f>
        <v/>
      </c>
      <c r="K252" s="8" t="str">
        <f>IF($A252="","",UPPER(TRIM(INDEX(FORM!$J:$J,ROW()))))</f>
        <v/>
      </c>
      <c r="L252" s="8" t="str">
        <f>IF($A252="","",IF(ISNUMBER(SEARCH("Aktivitas Harian",INDEX(FORM!$K:$K,ROW()))),1,0))</f>
        <v/>
      </c>
      <c r="M252" s="8" t="str">
        <f>IF($A252="","",IF(ISNUMBER(SEARCH("Aktivitas Mingguan",INDEX(FORM!$K:$K,ROW()))),1,0))</f>
        <v/>
      </c>
      <c r="N252" s="8" t="str">
        <f>IF($A252="","",IF(ISNUMBER(SEARCH("Aktivitas Bulanan",INDEX(FORM!$K:$K,ROW()))),1,0))</f>
        <v/>
      </c>
      <c r="O252" s="8" t="str">
        <f>IF($A252="","",IF(ISNUMBER(SEARCH("Overview Cabang",INDEX(FORM!$K:$K,ROW()))),1,0))</f>
        <v/>
      </c>
      <c r="P252" s="8" t="str">
        <f>IF($A252="","",IFERROR(VLOOKUP(I252,DATA!$AH$9:$AI$13,2,0),""))</f>
        <v/>
      </c>
      <c r="Q252" s="8" t="str">
        <f>IF($A252="","",IFERROR(VLOOKUP(J252,DATA!$AH$9:$AI$13,2,0),""))</f>
        <v/>
      </c>
      <c r="R252" s="8" t="str">
        <f>IF($A252="","",IFERROR(VLOOKUP(K252,DATA!$AH$9:$AI$13,2,0),""))</f>
        <v/>
      </c>
      <c r="S252" s="42" t="str">
        <f t="shared" si="66"/>
        <v/>
      </c>
      <c r="T252" s="8" t="str">
        <f>IF($A252="","",IF(COUNTIF($D$2:D252,D252)=1,1,0))</f>
        <v/>
      </c>
      <c r="U252" s="8" t="str">
        <f>IF($A252="","",IF(F252="-","Cabang tdk ada",IF(IFERROR(VLOOKUP(G252,#REF!,1,0),"")="","",IF(INDEX(DATA!$AH$2:$AH$5,MATCH(G252,DATA!$AI$2:$AI$5,0))&lt;&gt;F252,"Wilayah beda","OK"))))</f>
        <v/>
      </c>
      <c r="V252" s="8" t="str">
        <f>IF($A252="","",TRIM(INDEX(FORM!$I:$I,ROW())&amp;""))</f>
        <v/>
      </c>
      <c r="W252" s="8" t="str">
        <f>IF($A252="","",TRIM(INDEX(FORM!$L:$L,ROW())&amp;""))</f>
        <v/>
      </c>
      <c r="X252" s="8" t="str">
        <f>IF($A252="","",TRIM(INDEX(FORM!$M:$M,ROW())&amp;""))</f>
        <v/>
      </c>
      <c r="Y252" s="8" t="str">
        <f>IF($A252="","",IFERROR(MATCH(F252,DATA!$AH$2:$AH$5,0),9)*10000+A252)</f>
        <v/>
      </c>
      <c r="Z252" s="8" t="str">
        <f t="shared" si="67"/>
        <v/>
      </c>
      <c r="AA252" s="8" t="str">
        <f t="shared" si="68"/>
        <v/>
      </c>
      <c r="AB252" s="8" t="str">
        <f t="shared" si="69"/>
        <v/>
      </c>
      <c r="AC252" s="8"/>
      <c r="AD252" s="8"/>
      <c r="AE252" s="8"/>
      <c r="AK252" s="5" t="str">
        <f t="shared" si="70"/>
        <v/>
      </c>
      <c r="AL252" s="5" t="str">
        <f t="shared" si="71"/>
        <v/>
      </c>
      <c r="AM252" s="5" t="str">
        <f t="shared" si="72"/>
        <v/>
      </c>
      <c r="AN252" s="5" t="str">
        <f t="shared" si="73"/>
        <v/>
      </c>
      <c r="AO252" s="5" t="str">
        <f t="shared" si="74"/>
        <v/>
      </c>
      <c r="AP252" s="5" t="str">
        <f t="shared" si="75"/>
        <v/>
      </c>
      <c r="AQ252" s="5" t="str">
        <f t="shared" si="76"/>
        <v/>
      </c>
      <c r="AR252" s="5" t="str">
        <f t="shared" si="77"/>
        <v/>
      </c>
      <c r="AS252" s="5" t="str">
        <f t="shared" si="78"/>
        <v/>
      </c>
      <c r="AT252" s="5" t="str">
        <f t="shared" si="79"/>
        <v/>
      </c>
      <c r="AU252" s="5" t="str">
        <f t="shared" si="80"/>
        <v/>
      </c>
      <c r="AV252" s="5" t="str">
        <f t="shared" si="81"/>
        <v/>
      </c>
      <c r="AW252" s="5" t="str">
        <f t="shared" si="82"/>
        <v/>
      </c>
      <c r="AX252" s="5" t="str">
        <f t="shared" si="83"/>
        <v/>
      </c>
      <c r="AY252" s="5" t="str">
        <f t="shared" si="84"/>
        <v/>
      </c>
      <c r="AZ252" s="5" t="str">
        <f t="shared" si="85"/>
        <v/>
      </c>
      <c r="BA252" s="5" t="str">
        <f t="shared" si="86"/>
        <v/>
      </c>
      <c r="BB252" s="5" t="str">
        <f t="shared" si="87"/>
        <v/>
      </c>
    </row>
    <row r="253" spans="1:54" s="5" customFormat="1" hidden="1">
      <c r="A253" s="8" t="str">
        <f>IF(INDEX(FORM!$A:$A,ROW())="","",ROW()-1)</f>
        <v/>
      </c>
      <c r="B253" s="41" t="str">
        <f>IF($A253="","",INDEX(FORM!$A:$A,ROW()))</f>
        <v/>
      </c>
      <c r="C253" s="8" t="str">
        <f>IF($A253="","",TRIM(INDEX(FORM!$B:$B,ROW())))</f>
        <v/>
      </c>
      <c r="D253" s="8" t="str">
        <f>IF($A253="","",TRIM(INDEX(FORM!$C:$C,ROW())&amp;""))</f>
        <v/>
      </c>
      <c r="E253" s="8" t="str">
        <f>IF($A253="","",UPPER(TRIM(INDEX(FORM!$D:$D,ROW()))))</f>
        <v/>
      </c>
      <c r="F253" s="8" t="str">
        <f>IF($A253="","",IFERROR(INDEX(PROGRES!$A$2:$A$92,MATCH(E253,PROGRES!$B$2:$B$92,0)),"-"))</f>
        <v/>
      </c>
      <c r="G253" s="8" t="str">
        <f>IF($A253="","",UPPER(TRIM(INDEX(FORM!$F:$F,ROW()))))</f>
        <v/>
      </c>
      <c r="H253" s="8" t="str">
        <f>IF($A253="","",UPPER(TRIM(INDEX(FORM!$E:$E,ROW()))))</f>
        <v/>
      </c>
      <c r="I253" s="8" t="str">
        <f>IF($A253="","",UPPER(TRIM(INDEX(FORM!$G:$G,ROW()))))</f>
        <v/>
      </c>
      <c r="J253" s="8" t="str">
        <f>IF($A253="","",IF(ISNUMBER(SEARCH("Ya,",INDEX(FORM!$H:$H,ROW()))),"YA",IF(ISNUMBER(SEARCH("Cukup,",INDEX(FORM!$H:$H,ROW()))),"CUKUP",IF(ISNUMBER(SEARCH("Kurang,",INDEX(FORM!$H:$H,ROW()))),"KURANG",""))))</f>
        <v/>
      </c>
      <c r="K253" s="8" t="str">
        <f>IF($A253="","",UPPER(TRIM(INDEX(FORM!$J:$J,ROW()))))</f>
        <v/>
      </c>
      <c r="L253" s="8" t="str">
        <f>IF($A253="","",IF(ISNUMBER(SEARCH("Aktivitas Harian",INDEX(FORM!$K:$K,ROW()))),1,0))</f>
        <v/>
      </c>
      <c r="M253" s="8" t="str">
        <f>IF($A253="","",IF(ISNUMBER(SEARCH("Aktivitas Mingguan",INDEX(FORM!$K:$K,ROW()))),1,0))</f>
        <v/>
      </c>
      <c r="N253" s="8" t="str">
        <f>IF($A253="","",IF(ISNUMBER(SEARCH("Aktivitas Bulanan",INDEX(FORM!$K:$K,ROW()))),1,0))</f>
        <v/>
      </c>
      <c r="O253" s="8" t="str">
        <f>IF($A253="","",IF(ISNUMBER(SEARCH("Overview Cabang",INDEX(FORM!$K:$K,ROW()))),1,0))</f>
        <v/>
      </c>
      <c r="P253" s="8" t="str">
        <f>IF($A253="","",IFERROR(VLOOKUP(I253,DATA!$AH$9:$AI$13,2,0),""))</f>
        <v/>
      </c>
      <c r="Q253" s="8" t="str">
        <f>IF($A253="","",IFERROR(VLOOKUP(J253,DATA!$AH$9:$AI$13,2,0),""))</f>
        <v/>
      </c>
      <c r="R253" s="8" t="str">
        <f>IF($A253="","",IFERROR(VLOOKUP(K253,DATA!$AH$9:$AI$13,2,0),""))</f>
        <v/>
      </c>
      <c r="S253" s="42" t="str">
        <f t="shared" si="66"/>
        <v/>
      </c>
      <c r="T253" s="8" t="str">
        <f>IF($A253="","",IF(COUNTIF($D$2:D253,D253)=1,1,0))</f>
        <v/>
      </c>
      <c r="U253" s="8" t="str">
        <f>IF($A253="","",IF(F253="-","Cabang tdk ada",IF(IFERROR(VLOOKUP(G253,#REF!,1,0),"")="","",IF(INDEX(DATA!$AH$2:$AH$5,MATCH(G253,DATA!$AI$2:$AI$5,0))&lt;&gt;F253,"Wilayah beda","OK"))))</f>
        <v/>
      </c>
      <c r="V253" s="8" t="str">
        <f>IF($A253="","",TRIM(INDEX(FORM!$I:$I,ROW())&amp;""))</f>
        <v/>
      </c>
      <c r="W253" s="8" t="str">
        <f>IF($A253="","",TRIM(INDEX(FORM!$L:$L,ROW())&amp;""))</f>
        <v/>
      </c>
      <c r="X253" s="8" t="str">
        <f>IF($A253="","",TRIM(INDEX(FORM!$M:$M,ROW())&amp;""))</f>
        <v/>
      </c>
      <c r="Y253" s="8" t="str">
        <f>IF($A253="","",IFERROR(MATCH(F253,DATA!$AH$2:$AH$5,0),9)*10000+A253)</f>
        <v/>
      </c>
      <c r="Z253" s="8" t="str">
        <f t="shared" si="67"/>
        <v/>
      </c>
      <c r="AA253" s="8" t="str">
        <f t="shared" si="68"/>
        <v/>
      </c>
      <c r="AB253" s="8" t="str">
        <f t="shared" si="69"/>
        <v/>
      </c>
      <c r="AC253" s="8"/>
      <c r="AD253" s="8"/>
      <c r="AE253" s="8"/>
      <c r="AK253" s="5" t="str">
        <f t="shared" si="70"/>
        <v/>
      </c>
      <c r="AL253" s="5" t="str">
        <f t="shared" si="71"/>
        <v/>
      </c>
      <c r="AM253" s="5" t="str">
        <f t="shared" si="72"/>
        <v/>
      </c>
      <c r="AN253" s="5" t="str">
        <f t="shared" si="73"/>
        <v/>
      </c>
      <c r="AO253" s="5" t="str">
        <f t="shared" si="74"/>
        <v/>
      </c>
      <c r="AP253" s="5" t="str">
        <f t="shared" si="75"/>
        <v/>
      </c>
      <c r="AQ253" s="5" t="str">
        <f t="shared" si="76"/>
        <v/>
      </c>
      <c r="AR253" s="5" t="str">
        <f t="shared" si="77"/>
        <v/>
      </c>
      <c r="AS253" s="5" t="str">
        <f t="shared" si="78"/>
        <v/>
      </c>
      <c r="AT253" s="5" t="str">
        <f t="shared" si="79"/>
        <v/>
      </c>
      <c r="AU253" s="5" t="str">
        <f t="shared" si="80"/>
        <v/>
      </c>
      <c r="AV253" s="5" t="str">
        <f t="shared" si="81"/>
        <v/>
      </c>
      <c r="AW253" s="5" t="str">
        <f t="shared" si="82"/>
        <v/>
      </c>
      <c r="AX253" s="5" t="str">
        <f t="shared" si="83"/>
        <v/>
      </c>
      <c r="AY253" s="5" t="str">
        <f t="shared" si="84"/>
        <v/>
      </c>
      <c r="AZ253" s="5" t="str">
        <f t="shared" si="85"/>
        <v/>
      </c>
      <c r="BA253" s="5" t="str">
        <f t="shared" si="86"/>
        <v/>
      </c>
      <c r="BB253" s="5" t="str">
        <f t="shared" si="87"/>
        <v/>
      </c>
    </row>
    <row r="254" spans="1:54" s="5" customFormat="1" hidden="1">
      <c r="A254" s="8" t="str">
        <f>IF(INDEX(FORM!$A:$A,ROW())="","",ROW()-1)</f>
        <v/>
      </c>
      <c r="B254" s="41" t="str">
        <f>IF($A254="","",INDEX(FORM!$A:$A,ROW()))</f>
        <v/>
      </c>
      <c r="C254" s="8" t="str">
        <f>IF($A254="","",TRIM(INDEX(FORM!$B:$B,ROW())))</f>
        <v/>
      </c>
      <c r="D254" s="8" t="str">
        <f>IF($A254="","",TRIM(INDEX(FORM!$C:$C,ROW())&amp;""))</f>
        <v/>
      </c>
      <c r="E254" s="8" t="str">
        <f>IF($A254="","",UPPER(TRIM(INDEX(FORM!$D:$D,ROW()))))</f>
        <v/>
      </c>
      <c r="F254" s="8" t="str">
        <f>IF($A254="","",IFERROR(INDEX(PROGRES!$A$2:$A$92,MATCH(E254,PROGRES!$B$2:$B$92,0)),"-"))</f>
        <v/>
      </c>
      <c r="G254" s="8" t="str">
        <f>IF($A254="","",UPPER(TRIM(INDEX(FORM!$F:$F,ROW()))))</f>
        <v/>
      </c>
      <c r="H254" s="8" t="str">
        <f>IF($A254="","",UPPER(TRIM(INDEX(FORM!$E:$E,ROW()))))</f>
        <v/>
      </c>
      <c r="I254" s="8" t="str">
        <f>IF($A254="","",UPPER(TRIM(INDEX(FORM!$G:$G,ROW()))))</f>
        <v/>
      </c>
      <c r="J254" s="8" t="str">
        <f>IF($A254="","",IF(ISNUMBER(SEARCH("Ya,",INDEX(FORM!$H:$H,ROW()))),"YA",IF(ISNUMBER(SEARCH("Cukup,",INDEX(FORM!$H:$H,ROW()))),"CUKUP",IF(ISNUMBER(SEARCH("Kurang,",INDEX(FORM!$H:$H,ROW()))),"KURANG",""))))</f>
        <v/>
      </c>
      <c r="K254" s="8" t="str">
        <f>IF($A254="","",UPPER(TRIM(INDEX(FORM!$J:$J,ROW()))))</f>
        <v/>
      </c>
      <c r="L254" s="8" t="str">
        <f>IF($A254="","",IF(ISNUMBER(SEARCH("Aktivitas Harian",INDEX(FORM!$K:$K,ROW()))),1,0))</f>
        <v/>
      </c>
      <c r="M254" s="8" t="str">
        <f>IF($A254="","",IF(ISNUMBER(SEARCH("Aktivitas Mingguan",INDEX(FORM!$K:$K,ROW()))),1,0))</f>
        <v/>
      </c>
      <c r="N254" s="8" t="str">
        <f>IF($A254="","",IF(ISNUMBER(SEARCH("Aktivitas Bulanan",INDEX(FORM!$K:$K,ROW()))),1,0))</f>
        <v/>
      </c>
      <c r="O254" s="8" t="str">
        <f>IF($A254="","",IF(ISNUMBER(SEARCH("Overview Cabang",INDEX(FORM!$K:$K,ROW()))),1,0))</f>
        <v/>
      </c>
      <c r="P254" s="8" t="str">
        <f>IF($A254="","",IFERROR(VLOOKUP(I254,DATA!$AH$9:$AI$13,2,0),""))</f>
        <v/>
      </c>
      <c r="Q254" s="8" t="str">
        <f>IF($A254="","",IFERROR(VLOOKUP(J254,DATA!$AH$9:$AI$13,2,0),""))</f>
        <v/>
      </c>
      <c r="R254" s="8" t="str">
        <f>IF($A254="","",IFERROR(VLOOKUP(K254,DATA!$AH$9:$AI$13,2,0),""))</f>
        <v/>
      </c>
      <c r="S254" s="42" t="str">
        <f t="shared" si="66"/>
        <v/>
      </c>
      <c r="T254" s="8" t="str">
        <f>IF($A254="","",IF(COUNTIF($D$2:D254,D254)=1,1,0))</f>
        <v/>
      </c>
      <c r="U254" s="8" t="str">
        <f>IF($A254="","",IF(F254="-","Cabang tdk ada",IF(IFERROR(VLOOKUP(G254,#REF!,1,0),"")="","",IF(INDEX(DATA!$AH$2:$AH$5,MATCH(G254,DATA!$AI$2:$AI$5,0))&lt;&gt;F254,"Wilayah beda","OK"))))</f>
        <v/>
      </c>
      <c r="V254" s="8" t="str">
        <f>IF($A254="","",TRIM(INDEX(FORM!$I:$I,ROW())&amp;""))</f>
        <v/>
      </c>
      <c r="W254" s="8" t="str">
        <f>IF($A254="","",TRIM(INDEX(FORM!$L:$L,ROW())&amp;""))</f>
        <v/>
      </c>
      <c r="X254" s="8" t="str">
        <f>IF($A254="","",TRIM(INDEX(FORM!$M:$M,ROW())&amp;""))</f>
        <v/>
      </c>
      <c r="Y254" s="8" t="str">
        <f>IF($A254="","",IFERROR(MATCH(F254,DATA!$AH$2:$AH$5,0),9)*10000+A254)</f>
        <v/>
      </c>
      <c r="Z254" s="8" t="str">
        <f t="shared" si="67"/>
        <v/>
      </c>
      <c r="AA254" s="8" t="str">
        <f t="shared" si="68"/>
        <v/>
      </c>
      <c r="AB254" s="8" t="str">
        <f t="shared" si="69"/>
        <v/>
      </c>
      <c r="AC254" s="8"/>
      <c r="AD254" s="8"/>
      <c r="AE254" s="8"/>
      <c r="AK254" s="5" t="str">
        <f t="shared" si="70"/>
        <v/>
      </c>
      <c r="AL254" s="5" t="str">
        <f t="shared" si="71"/>
        <v/>
      </c>
      <c r="AM254" s="5" t="str">
        <f t="shared" si="72"/>
        <v/>
      </c>
      <c r="AN254" s="5" t="str">
        <f t="shared" si="73"/>
        <v/>
      </c>
      <c r="AO254" s="5" t="str">
        <f t="shared" si="74"/>
        <v/>
      </c>
      <c r="AP254" s="5" t="str">
        <f t="shared" si="75"/>
        <v/>
      </c>
      <c r="AQ254" s="5" t="str">
        <f t="shared" si="76"/>
        <v/>
      </c>
      <c r="AR254" s="5" t="str">
        <f t="shared" si="77"/>
        <v/>
      </c>
      <c r="AS254" s="5" t="str">
        <f t="shared" si="78"/>
        <v/>
      </c>
      <c r="AT254" s="5" t="str">
        <f t="shared" si="79"/>
        <v/>
      </c>
      <c r="AU254" s="5" t="str">
        <f t="shared" si="80"/>
        <v/>
      </c>
      <c r="AV254" s="5" t="str">
        <f t="shared" si="81"/>
        <v/>
      </c>
      <c r="AW254" s="5" t="str">
        <f t="shared" si="82"/>
        <v/>
      </c>
      <c r="AX254" s="5" t="str">
        <f t="shared" si="83"/>
        <v/>
      </c>
      <c r="AY254" s="5" t="str">
        <f t="shared" si="84"/>
        <v/>
      </c>
      <c r="AZ254" s="5" t="str">
        <f t="shared" si="85"/>
        <v/>
      </c>
      <c r="BA254" s="5" t="str">
        <f t="shared" si="86"/>
        <v/>
      </c>
      <c r="BB254" s="5" t="str">
        <f t="shared" si="87"/>
        <v/>
      </c>
    </row>
    <row r="255" spans="1:54" s="5" customFormat="1" hidden="1">
      <c r="A255" s="8" t="str">
        <f>IF(INDEX(FORM!$A:$A,ROW())="","",ROW()-1)</f>
        <v/>
      </c>
      <c r="B255" s="41" t="str">
        <f>IF($A255="","",INDEX(FORM!$A:$A,ROW()))</f>
        <v/>
      </c>
      <c r="C255" s="8" t="str">
        <f>IF($A255="","",TRIM(INDEX(FORM!$B:$B,ROW())))</f>
        <v/>
      </c>
      <c r="D255" s="8" t="str">
        <f>IF($A255="","",TRIM(INDEX(FORM!$C:$C,ROW())&amp;""))</f>
        <v/>
      </c>
      <c r="E255" s="8" t="str">
        <f>IF($A255="","",UPPER(TRIM(INDEX(FORM!$D:$D,ROW()))))</f>
        <v/>
      </c>
      <c r="F255" s="8" t="str">
        <f>IF($A255="","",IFERROR(INDEX(PROGRES!$A$2:$A$92,MATCH(E255,PROGRES!$B$2:$B$92,0)),"-"))</f>
        <v/>
      </c>
      <c r="G255" s="8" t="str">
        <f>IF($A255="","",UPPER(TRIM(INDEX(FORM!$F:$F,ROW()))))</f>
        <v/>
      </c>
      <c r="H255" s="8" t="str">
        <f>IF($A255="","",UPPER(TRIM(INDEX(FORM!$E:$E,ROW()))))</f>
        <v/>
      </c>
      <c r="I255" s="8" t="str">
        <f>IF($A255="","",UPPER(TRIM(INDEX(FORM!$G:$G,ROW()))))</f>
        <v/>
      </c>
      <c r="J255" s="8" t="str">
        <f>IF($A255="","",IF(ISNUMBER(SEARCH("Ya,",INDEX(FORM!$H:$H,ROW()))),"YA",IF(ISNUMBER(SEARCH("Cukup,",INDEX(FORM!$H:$H,ROW()))),"CUKUP",IF(ISNUMBER(SEARCH("Kurang,",INDEX(FORM!$H:$H,ROW()))),"KURANG",""))))</f>
        <v/>
      </c>
      <c r="K255" s="8" t="str">
        <f>IF($A255="","",UPPER(TRIM(INDEX(FORM!$J:$J,ROW()))))</f>
        <v/>
      </c>
      <c r="L255" s="8" t="str">
        <f>IF($A255="","",IF(ISNUMBER(SEARCH("Aktivitas Harian",INDEX(FORM!$K:$K,ROW()))),1,0))</f>
        <v/>
      </c>
      <c r="M255" s="8" t="str">
        <f>IF($A255="","",IF(ISNUMBER(SEARCH("Aktivitas Mingguan",INDEX(FORM!$K:$K,ROW()))),1,0))</f>
        <v/>
      </c>
      <c r="N255" s="8" t="str">
        <f>IF($A255="","",IF(ISNUMBER(SEARCH("Aktivitas Bulanan",INDEX(FORM!$K:$K,ROW()))),1,0))</f>
        <v/>
      </c>
      <c r="O255" s="8" t="str">
        <f>IF($A255="","",IF(ISNUMBER(SEARCH("Overview Cabang",INDEX(FORM!$K:$K,ROW()))),1,0))</f>
        <v/>
      </c>
      <c r="P255" s="8" t="str">
        <f>IF($A255="","",IFERROR(VLOOKUP(I255,DATA!$AH$9:$AI$13,2,0),""))</f>
        <v/>
      </c>
      <c r="Q255" s="8" t="str">
        <f>IF($A255="","",IFERROR(VLOOKUP(J255,DATA!$AH$9:$AI$13,2,0),""))</f>
        <v/>
      </c>
      <c r="R255" s="8" t="str">
        <f>IF($A255="","",IFERROR(VLOOKUP(K255,DATA!$AH$9:$AI$13,2,0),""))</f>
        <v/>
      </c>
      <c r="S255" s="42" t="str">
        <f t="shared" si="66"/>
        <v/>
      </c>
      <c r="T255" s="8" t="str">
        <f>IF($A255="","",IF(COUNTIF($D$2:D255,D255)=1,1,0))</f>
        <v/>
      </c>
      <c r="U255" s="8" t="str">
        <f>IF($A255="","",IF(F255="-","Cabang tdk ada",IF(IFERROR(VLOOKUP(G255,#REF!,1,0),"")="","",IF(INDEX(DATA!$AH$2:$AH$5,MATCH(G255,DATA!$AI$2:$AI$5,0))&lt;&gt;F255,"Wilayah beda","OK"))))</f>
        <v/>
      </c>
      <c r="V255" s="8" t="str">
        <f>IF($A255="","",TRIM(INDEX(FORM!$I:$I,ROW())&amp;""))</f>
        <v/>
      </c>
      <c r="W255" s="8" t="str">
        <f>IF($A255="","",TRIM(INDEX(FORM!$L:$L,ROW())&amp;""))</f>
        <v/>
      </c>
      <c r="X255" s="8" t="str">
        <f>IF($A255="","",TRIM(INDEX(FORM!$M:$M,ROW())&amp;""))</f>
        <v/>
      </c>
      <c r="Y255" s="8" t="str">
        <f>IF($A255="","",IFERROR(MATCH(F255,DATA!$AH$2:$AH$5,0),9)*10000+A255)</f>
        <v/>
      </c>
      <c r="Z255" s="8" t="str">
        <f t="shared" si="67"/>
        <v/>
      </c>
      <c r="AA255" s="8" t="str">
        <f t="shared" si="68"/>
        <v/>
      </c>
      <c r="AB255" s="8" t="str">
        <f t="shared" si="69"/>
        <v/>
      </c>
      <c r="AC255" s="8"/>
      <c r="AD255" s="8"/>
      <c r="AE255" s="8"/>
      <c r="AK255" s="5" t="str">
        <f t="shared" si="70"/>
        <v/>
      </c>
      <c r="AL255" s="5" t="str">
        <f t="shared" si="71"/>
        <v/>
      </c>
      <c r="AM255" s="5" t="str">
        <f t="shared" si="72"/>
        <v/>
      </c>
      <c r="AN255" s="5" t="str">
        <f t="shared" si="73"/>
        <v/>
      </c>
      <c r="AO255" s="5" t="str">
        <f t="shared" si="74"/>
        <v/>
      </c>
      <c r="AP255" s="5" t="str">
        <f t="shared" si="75"/>
        <v/>
      </c>
      <c r="AQ255" s="5" t="str">
        <f t="shared" si="76"/>
        <v/>
      </c>
      <c r="AR255" s="5" t="str">
        <f t="shared" si="77"/>
        <v/>
      </c>
      <c r="AS255" s="5" t="str">
        <f t="shared" si="78"/>
        <v/>
      </c>
      <c r="AT255" s="5" t="str">
        <f t="shared" si="79"/>
        <v/>
      </c>
      <c r="AU255" s="5" t="str">
        <f t="shared" si="80"/>
        <v/>
      </c>
      <c r="AV255" s="5" t="str">
        <f t="shared" si="81"/>
        <v/>
      </c>
      <c r="AW255" s="5" t="str">
        <f t="shared" si="82"/>
        <v/>
      </c>
      <c r="AX255" s="5" t="str">
        <f t="shared" si="83"/>
        <v/>
      </c>
      <c r="AY255" s="5" t="str">
        <f t="shared" si="84"/>
        <v/>
      </c>
      <c r="AZ255" s="5" t="str">
        <f t="shared" si="85"/>
        <v/>
      </c>
      <c r="BA255" s="5" t="str">
        <f t="shared" si="86"/>
        <v/>
      </c>
      <c r="BB255" s="5" t="str">
        <f t="shared" si="87"/>
        <v/>
      </c>
    </row>
    <row r="256" spans="1:54" s="5" customFormat="1" hidden="1">
      <c r="A256" s="8" t="str">
        <f>IF(INDEX(FORM!$A:$A,ROW())="","",ROW()-1)</f>
        <v/>
      </c>
      <c r="B256" s="41" t="str">
        <f>IF($A256="","",INDEX(FORM!$A:$A,ROW()))</f>
        <v/>
      </c>
      <c r="C256" s="8" t="str">
        <f>IF($A256="","",TRIM(INDEX(FORM!$B:$B,ROW())))</f>
        <v/>
      </c>
      <c r="D256" s="8" t="str">
        <f>IF($A256="","",TRIM(INDEX(FORM!$C:$C,ROW())&amp;""))</f>
        <v/>
      </c>
      <c r="E256" s="8" t="str">
        <f>IF($A256="","",UPPER(TRIM(INDEX(FORM!$D:$D,ROW()))))</f>
        <v/>
      </c>
      <c r="F256" s="8" t="str">
        <f>IF($A256="","",IFERROR(INDEX(PROGRES!$A$2:$A$92,MATCH(E256,PROGRES!$B$2:$B$92,0)),"-"))</f>
        <v/>
      </c>
      <c r="G256" s="8" t="str">
        <f>IF($A256="","",UPPER(TRIM(INDEX(FORM!$F:$F,ROW()))))</f>
        <v/>
      </c>
      <c r="H256" s="8" t="str">
        <f>IF($A256="","",UPPER(TRIM(INDEX(FORM!$E:$E,ROW()))))</f>
        <v/>
      </c>
      <c r="I256" s="8" t="str">
        <f>IF($A256="","",UPPER(TRIM(INDEX(FORM!$G:$G,ROW()))))</f>
        <v/>
      </c>
      <c r="J256" s="8" t="str">
        <f>IF($A256="","",IF(ISNUMBER(SEARCH("Ya,",INDEX(FORM!$H:$H,ROW()))),"YA",IF(ISNUMBER(SEARCH("Cukup,",INDEX(FORM!$H:$H,ROW()))),"CUKUP",IF(ISNUMBER(SEARCH("Kurang,",INDEX(FORM!$H:$H,ROW()))),"KURANG",""))))</f>
        <v/>
      </c>
      <c r="K256" s="8" t="str">
        <f>IF($A256="","",UPPER(TRIM(INDEX(FORM!$J:$J,ROW()))))</f>
        <v/>
      </c>
      <c r="L256" s="8" t="str">
        <f>IF($A256="","",IF(ISNUMBER(SEARCH("Aktivitas Harian",INDEX(FORM!$K:$K,ROW()))),1,0))</f>
        <v/>
      </c>
      <c r="M256" s="8" t="str">
        <f>IF($A256="","",IF(ISNUMBER(SEARCH("Aktivitas Mingguan",INDEX(FORM!$K:$K,ROW()))),1,0))</f>
        <v/>
      </c>
      <c r="N256" s="8" t="str">
        <f>IF($A256="","",IF(ISNUMBER(SEARCH("Aktivitas Bulanan",INDEX(FORM!$K:$K,ROW()))),1,0))</f>
        <v/>
      </c>
      <c r="O256" s="8" t="str">
        <f>IF($A256="","",IF(ISNUMBER(SEARCH("Overview Cabang",INDEX(FORM!$K:$K,ROW()))),1,0))</f>
        <v/>
      </c>
      <c r="P256" s="8" t="str">
        <f>IF($A256="","",IFERROR(VLOOKUP(I256,DATA!$AH$9:$AI$13,2,0),""))</f>
        <v/>
      </c>
      <c r="Q256" s="8" t="str">
        <f>IF($A256="","",IFERROR(VLOOKUP(J256,DATA!$AH$9:$AI$13,2,0),""))</f>
        <v/>
      </c>
      <c r="R256" s="8" t="str">
        <f>IF($A256="","",IFERROR(VLOOKUP(K256,DATA!$AH$9:$AI$13,2,0),""))</f>
        <v/>
      </c>
      <c r="S256" s="42" t="str">
        <f t="shared" si="66"/>
        <v/>
      </c>
      <c r="T256" s="8" t="str">
        <f>IF($A256="","",IF(COUNTIF($D$2:D256,D256)=1,1,0))</f>
        <v/>
      </c>
      <c r="U256" s="8" t="str">
        <f>IF($A256="","",IF(F256="-","Cabang tdk ada",IF(IFERROR(VLOOKUP(G256,#REF!,1,0),"")="","",IF(INDEX(DATA!$AH$2:$AH$5,MATCH(G256,DATA!$AI$2:$AI$5,0))&lt;&gt;F256,"Wilayah beda","OK"))))</f>
        <v/>
      </c>
      <c r="V256" s="8" t="str">
        <f>IF($A256="","",TRIM(INDEX(FORM!$I:$I,ROW())&amp;""))</f>
        <v/>
      </c>
      <c r="W256" s="8" t="str">
        <f>IF($A256="","",TRIM(INDEX(FORM!$L:$L,ROW())&amp;""))</f>
        <v/>
      </c>
      <c r="X256" s="8" t="str">
        <f>IF($A256="","",TRIM(INDEX(FORM!$M:$M,ROW())&amp;""))</f>
        <v/>
      </c>
      <c r="Y256" s="8" t="str">
        <f>IF($A256="","",IFERROR(MATCH(F256,DATA!$AH$2:$AH$5,0),9)*10000+A256)</f>
        <v/>
      </c>
      <c r="Z256" s="8" t="str">
        <f t="shared" si="67"/>
        <v/>
      </c>
      <c r="AA256" s="8" t="str">
        <f t="shared" si="68"/>
        <v/>
      </c>
      <c r="AB256" s="8" t="str">
        <f t="shared" si="69"/>
        <v/>
      </c>
      <c r="AC256" s="8"/>
      <c r="AD256" s="8"/>
      <c r="AE256" s="8"/>
      <c r="AK256" s="5" t="str">
        <f t="shared" si="70"/>
        <v/>
      </c>
      <c r="AL256" s="5" t="str">
        <f t="shared" si="71"/>
        <v/>
      </c>
      <c r="AM256" s="5" t="str">
        <f t="shared" si="72"/>
        <v/>
      </c>
      <c r="AN256" s="5" t="str">
        <f t="shared" si="73"/>
        <v/>
      </c>
      <c r="AO256" s="5" t="str">
        <f t="shared" si="74"/>
        <v/>
      </c>
      <c r="AP256" s="5" t="str">
        <f t="shared" si="75"/>
        <v/>
      </c>
      <c r="AQ256" s="5" t="str">
        <f t="shared" si="76"/>
        <v/>
      </c>
      <c r="AR256" s="5" t="str">
        <f t="shared" si="77"/>
        <v/>
      </c>
      <c r="AS256" s="5" t="str">
        <f t="shared" si="78"/>
        <v/>
      </c>
      <c r="AT256" s="5" t="str">
        <f t="shared" si="79"/>
        <v/>
      </c>
      <c r="AU256" s="5" t="str">
        <f t="shared" si="80"/>
        <v/>
      </c>
      <c r="AV256" s="5" t="str">
        <f t="shared" si="81"/>
        <v/>
      </c>
      <c r="AW256" s="5" t="str">
        <f t="shared" si="82"/>
        <v/>
      </c>
      <c r="AX256" s="5" t="str">
        <f t="shared" si="83"/>
        <v/>
      </c>
      <c r="AY256" s="5" t="str">
        <f t="shared" si="84"/>
        <v/>
      </c>
      <c r="AZ256" s="5" t="str">
        <f t="shared" si="85"/>
        <v/>
      </c>
      <c r="BA256" s="5" t="str">
        <f t="shared" si="86"/>
        <v/>
      </c>
      <c r="BB256" s="5" t="str">
        <f t="shared" si="87"/>
        <v/>
      </c>
    </row>
    <row r="257" spans="1:54" s="5" customFormat="1" hidden="1">
      <c r="A257" s="8" t="str">
        <f>IF(INDEX(FORM!$A:$A,ROW())="","",ROW()-1)</f>
        <v/>
      </c>
      <c r="B257" s="41" t="str">
        <f>IF($A257="","",INDEX(FORM!$A:$A,ROW()))</f>
        <v/>
      </c>
      <c r="C257" s="8" t="str">
        <f>IF($A257="","",TRIM(INDEX(FORM!$B:$B,ROW())))</f>
        <v/>
      </c>
      <c r="D257" s="8" t="str">
        <f>IF($A257="","",TRIM(INDEX(FORM!$C:$C,ROW())&amp;""))</f>
        <v/>
      </c>
      <c r="E257" s="8" t="str">
        <f>IF($A257="","",UPPER(TRIM(INDEX(FORM!$D:$D,ROW()))))</f>
        <v/>
      </c>
      <c r="F257" s="8" t="str">
        <f>IF($A257="","",IFERROR(INDEX(PROGRES!$A$2:$A$92,MATCH(E257,PROGRES!$B$2:$B$92,0)),"-"))</f>
        <v/>
      </c>
      <c r="G257" s="8" t="str">
        <f>IF($A257="","",UPPER(TRIM(INDEX(FORM!$F:$F,ROW()))))</f>
        <v/>
      </c>
      <c r="H257" s="8" t="str">
        <f>IF($A257="","",UPPER(TRIM(INDEX(FORM!$E:$E,ROW()))))</f>
        <v/>
      </c>
      <c r="I257" s="8" t="str">
        <f>IF($A257="","",UPPER(TRIM(INDEX(FORM!$G:$G,ROW()))))</f>
        <v/>
      </c>
      <c r="J257" s="8" t="str">
        <f>IF($A257="","",IF(ISNUMBER(SEARCH("Ya,",INDEX(FORM!$H:$H,ROW()))),"YA",IF(ISNUMBER(SEARCH("Cukup,",INDEX(FORM!$H:$H,ROW()))),"CUKUP",IF(ISNUMBER(SEARCH("Kurang,",INDEX(FORM!$H:$H,ROW()))),"KURANG",""))))</f>
        <v/>
      </c>
      <c r="K257" s="8" t="str">
        <f>IF($A257="","",UPPER(TRIM(INDEX(FORM!$J:$J,ROW()))))</f>
        <v/>
      </c>
      <c r="L257" s="8" t="str">
        <f>IF($A257="","",IF(ISNUMBER(SEARCH("Aktivitas Harian",INDEX(FORM!$K:$K,ROW()))),1,0))</f>
        <v/>
      </c>
      <c r="M257" s="8" t="str">
        <f>IF($A257="","",IF(ISNUMBER(SEARCH("Aktivitas Mingguan",INDEX(FORM!$K:$K,ROW()))),1,0))</f>
        <v/>
      </c>
      <c r="N257" s="8" t="str">
        <f>IF($A257="","",IF(ISNUMBER(SEARCH("Aktivitas Bulanan",INDEX(FORM!$K:$K,ROW()))),1,0))</f>
        <v/>
      </c>
      <c r="O257" s="8" t="str">
        <f>IF($A257="","",IF(ISNUMBER(SEARCH("Overview Cabang",INDEX(FORM!$K:$K,ROW()))),1,0))</f>
        <v/>
      </c>
      <c r="P257" s="8" t="str">
        <f>IF($A257="","",IFERROR(VLOOKUP(I257,DATA!$AH$9:$AI$13,2,0),""))</f>
        <v/>
      </c>
      <c r="Q257" s="8" t="str">
        <f>IF($A257="","",IFERROR(VLOOKUP(J257,DATA!$AH$9:$AI$13,2,0),""))</f>
        <v/>
      </c>
      <c r="R257" s="8" t="str">
        <f>IF($A257="","",IFERROR(VLOOKUP(K257,DATA!$AH$9:$AI$13,2,0),""))</f>
        <v/>
      </c>
      <c r="S257" s="42" t="str">
        <f t="shared" si="66"/>
        <v/>
      </c>
      <c r="T257" s="8" t="str">
        <f>IF($A257="","",IF(COUNTIF($D$2:D257,D257)=1,1,0))</f>
        <v/>
      </c>
      <c r="U257" s="8" t="str">
        <f>IF($A257="","",IF(F257="-","Cabang tdk ada",IF(IFERROR(VLOOKUP(G257,#REF!,1,0),"")="","",IF(INDEX(DATA!$AH$2:$AH$5,MATCH(G257,DATA!$AI$2:$AI$5,0))&lt;&gt;F257,"Wilayah beda","OK"))))</f>
        <v/>
      </c>
      <c r="V257" s="8" t="str">
        <f>IF($A257="","",TRIM(INDEX(FORM!$I:$I,ROW())&amp;""))</f>
        <v/>
      </c>
      <c r="W257" s="8" t="str">
        <f>IF($A257="","",TRIM(INDEX(FORM!$L:$L,ROW())&amp;""))</f>
        <v/>
      </c>
      <c r="X257" s="8" t="str">
        <f>IF($A257="","",TRIM(INDEX(FORM!$M:$M,ROW())&amp;""))</f>
        <v/>
      </c>
      <c r="Y257" s="8" t="str">
        <f>IF($A257="","",IFERROR(MATCH(F257,DATA!$AH$2:$AH$5,0),9)*10000+A257)</f>
        <v/>
      </c>
      <c r="Z257" s="8" t="str">
        <f t="shared" si="67"/>
        <v/>
      </c>
      <c r="AA257" s="8" t="str">
        <f t="shared" si="68"/>
        <v/>
      </c>
      <c r="AB257" s="8" t="str">
        <f t="shared" si="69"/>
        <v/>
      </c>
      <c r="AC257" s="8"/>
      <c r="AD257" s="8"/>
      <c r="AE257" s="8"/>
      <c r="AK257" s="5" t="str">
        <f t="shared" si="70"/>
        <v/>
      </c>
      <c r="AL257" s="5" t="str">
        <f t="shared" si="71"/>
        <v/>
      </c>
      <c r="AM257" s="5" t="str">
        <f t="shared" si="72"/>
        <v/>
      </c>
      <c r="AN257" s="5" t="str">
        <f t="shared" si="73"/>
        <v/>
      </c>
      <c r="AO257" s="5" t="str">
        <f t="shared" si="74"/>
        <v/>
      </c>
      <c r="AP257" s="5" t="str">
        <f t="shared" si="75"/>
        <v/>
      </c>
      <c r="AQ257" s="5" t="str">
        <f t="shared" si="76"/>
        <v/>
      </c>
      <c r="AR257" s="5" t="str">
        <f t="shared" si="77"/>
        <v/>
      </c>
      <c r="AS257" s="5" t="str">
        <f t="shared" si="78"/>
        <v/>
      </c>
      <c r="AT257" s="5" t="str">
        <f t="shared" si="79"/>
        <v/>
      </c>
      <c r="AU257" s="5" t="str">
        <f t="shared" si="80"/>
        <v/>
      </c>
      <c r="AV257" s="5" t="str">
        <f t="shared" si="81"/>
        <v/>
      </c>
      <c r="AW257" s="5" t="str">
        <f t="shared" si="82"/>
        <v/>
      </c>
      <c r="AX257" s="5" t="str">
        <f t="shared" si="83"/>
        <v/>
      </c>
      <c r="AY257" s="5" t="str">
        <f t="shared" si="84"/>
        <v/>
      </c>
      <c r="AZ257" s="5" t="str">
        <f t="shared" si="85"/>
        <v/>
      </c>
      <c r="BA257" s="5" t="str">
        <f t="shared" si="86"/>
        <v/>
      </c>
      <c r="BB257" s="5" t="str">
        <f t="shared" si="87"/>
        <v/>
      </c>
    </row>
    <row r="258" spans="1:54" s="5" customFormat="1" hidden="1">
      <c r="A258" s="8" t="str">
        <f>IF(INDEX(FORM!$A:$A,ROW())="","",ROW()-1)</f>
        <v/>
      </c>
      <c r="B258" s="41" t="str">
        <f>IF($A258="","",INDEX(FORM!$A:$A,ROW()))</f>
        <v/>
      </c>
      <c r="C258" s="8" t="str">
        <f>IF($A258="","",TRIM(INDEX(FORM!$B:$B,ROW())))</f>
        <v/>
      </c>
      <c r="D258" s="8" t="str">
        <f>IF($A258="","",TRIM(INDEX(FORM!$C:$C,ROW())&amp;""))</f>
        <v/>
      </c>
      <c r="E258" s="8" t="str">
        <f>IF($A258="","",UPPER(TRIM(INDEX(FORM!$D:$D,ROW()))))</f>
        <v/>
      </c>
      <c r="F258" s="8" t="str">
        <f>IF($A258="","",IFERROR(INDEX(PROGRES!$A$2:$A$92,MATCH(E258,PROGRES!$B$2:$B$92,0)),"-"))</f>
        <v/>
      </c>
      <c r="G258" s="8" t="str">
        <f>IF($A258="","",UPPER(TRIM(INDEX(FORM!$F:$F,ROW()))))</f>
        <v/>
      </c>
      <c r="H258" s="8" t="str">
        <f>IF($A258="","",UPPER(TRIM(INDEX(FORM!$E:$E,ROW()))))</f>
        <v/>
      </c>
      <c r="I258" s="8" t="str">
        <f>IF($A258="","",UPPER(TRIM(INDEX(FORM!$G:$G,ROW()))))</f>
        <v/>
      </c>
      <c r="J258" s="8" t="str">
        <f>IF($A258="","",IF(ISNUMBER(SEARCH("Ya,",INDEX(FORM!$H:$H,ROW()))),"YA",IF(ISNUMBER(SEARCH("Cukup,",INDEX(FORM!$H:$H,ROW()))),"CUKUP",IF(ISNUMBER(SEARCH("Kurang,",INDEX(FORM!$H:$H,ROW()))),"KURANG",""))))</f>
        <v/>
      </c>
      <c r="K258" s="8" t="str">
        <f>IF($A258="","",UPPER(TRIM(INDEX(FORM!$J:$J,ROW()))))</f>
        <v/>
      </c>
      <c r="L258" s="8" t="str">
        <f>IF($A258="","",IF(ISNUMBER(SEARCH("Aktivitas Harian",INDEX(FORM!$K:$K,ROW()))),1,0))</f>
        <v/>
      </c>
      <c r="M258" s="8" t="str">
        <f>IF($A258="","",IF(ISNUMBER(SEARCH("Aktivitas Mingguan",INDEX(FORM!$K:$K,ROW()))),1,0))</f>
        <v/>
      </c>
      <c r="N258" s="8" t="str">
        <f>IF($A258="","",IF(ISNUMBER(SEARCH("Aktivitas Bulanan",INDEX(FORM!$K:$K,ROW()))),1,0))</f>
        <v/>
      </c>
      <c r="O258" s="8" t="str">
        <f>IF($A258="","",IF(ISNUMBER(SEARCH("Overview Cabang",INDEX(FORM!$K:$K,ROW()))),1,0))</f>
        <v/>
      </c>
      <c r="P258" s="8" t="str">
        <f>IF($A258="","",IFERROR(VLOOKUP(I258,DATA!$AH$9:$AI$13,2,0),""))</f>
        <v/>
      </c>
      <c r="Q258" s="8" t="str">
        <f>IF($A258="","",IFERROR(VLOOKUP(J258,DATA!$AH$9:$AI$13,2,0),""))</f>
        <v/>
      </c>
      <c r="R258" s="8" t="str">
        <f>IF($A258="","",IFERROR(VLOOKUP(K258,DATA!$AH$9:$AI$13,2,0),""))</f>
        <v/>
      </c>
      <c r="S258" s="42" t="str">
        <f t="shared" ref="S258:S321" si="88">IF($A258="","",IFERROR(AVERAGE(P258:R258),""))</f>
        <v/>
      </c>
      <c r="T258" s="8" t="str">
        <f>IF($A258="","",IF(COUNTIF($D$2:D258,D258)=1,1,0))</f>
        <v/>
      </c>
      <c r="U258" s="8" t="str">
        <f>IF($A258="","",IF(F258="-","Cabang tdk ada",IF(IFERROR(VLOOKUP(G258,#REF!,1,0),"")="","",IF(INDEX(DATA!$AH$2:$AH$5,MATCH(G258,DATA!$AI$2:$AI$5,0))&lt;&gt;F258,"Wilayah beda","OK"))))</f>
        <v/>
      </c>
      <c r="V258" s="8" t="str">
        <f>IF($A258="","",TRIM(INDEX(FORM!$I:$I,ROW())&amp;""))</f>
        <v/>
      </c>
      <c r="W258" s="8" t="str">
        <f>IF($A258="","",TRIM(INDEX(FORM!$L:$L,ROW())&amp;""))</f>
        <v/>
      </c>
      <c r="X258" s="8" t="str">
        <f>IF($A258="","",TRIM(INDEX(FORM!$M:$M,ROW())&amp;""))</f>
        <v/>
      </c>
      <c r="Y258" s="8" t="str">
        <f>IF($A258="","",IFERROR(MATCH(F258,DATA!$AH$2:$AH$5,0),9)*10000+A258)</f>
        <v/>
      </c>
      <c r="Z258" s="8" t="str">
        <f t="shared" ref="Z258:Z321" si="89">IF($A258="","",IF(LEN(SUBSTITUTE(SUBSTITUTE(SUBSTITUTE(V258,"-",""),".",""),"?",""))&lt;2,"Tidak ada masukan / sudah baik",IF(OR(ISNUMBER(SEARCH("memang harus",V258&amp;" "))),"Tidak ada masukan / sudah baik",IF(OR(ISNUMBER(SEARCH("lemot",V258&amp;" ")),ISNUMBER(SEARCH("loading",V258&amp;" ")),ISNUMBER(SEARCH("lambat",V258&amp;" ")),ISNUMBER(SEARCH("kecepatan",V258&amp;" ")),ISNUMBER(SEARCH("koneksi",V258&amp;" ")),ISNUMBER(SEARCH("eroro",V258&amp;" ")),ISNUMBER(SEARCH("error",V258&amp;" ")),ISNUMBER(SEARCH("ketutup",V258&amp;" "))),"Kecepatan &amp; Loading Website",IF(OR(ISNUMBER(SEARCH("kontak",V258&amp;" ")),ISNUMBER(SEARCH("pic",V258&amp;" ")),ISNUMBER(SEARCH("darurat",V258&amp;" "))),"Kontak &amp; Informasi PIC",IF(OR(ISNUMBER(SEARCH("sacs",V258&amp;" ")),ISNUMBER(SEARCH("aplikasi",V258&amp;" ")),ISNUMBER(SEARCH("kinerja",V258&amp;" ")),ISNUMBER(SEARCH("seluruh cabang",V258&amp;" "))),"Integrasi dengan SACS / Aplikasi",IF(OR(ISNUMBER(SEARCH("mobile",V258&amp;" ")),ISNUMBER(SEARCH("lebih responsif",V258&amp;" ")),ISNUMBER(SEARCH("scroll",V258&amp;" ")),ISNUMBER(SEARCH("melebar",V258&amp;" "))),"Tampilan di HP (Responsif)",IF(OR(ISNUMBER(SEARCH("simpel",V258&amp;" ")),ISNUMBER(SEARCH("simple",V258&amp;" ")),ISNUMBER(SEARCH("sederhana",V258&amp;" ")),ISNUMBER(SEARCH("ringkas",V258&amp;" ")),ISNUMBER(SEARCH("intinya",V258&amp;" ")),ISNUMBER(SEARCH("panjang lebar",V258&amp;" ")),ISNUMBER(SEARCH("mudah dipahami lagi",V258&amp;" ")),ISNUMBER(SEARCH("tata letak",V258&amp;" ")),ISNUMBER(SEARCH("harus mencari",V258&amp;" "))),"Penyederhanaan &amp; Ringkas Isi",IF(OR(ISNUMBER(SEARCH("menu ",V258&amp;" ")),ISNUMBER(SEARCH("tiap posisi",V258&amp;" ")),ISNUMBER(SEARCH("pilihan antara",V258&amp;" "))),"Menu per Jabatan / Navigasi",IF(OR(ISNUMBER(SEARCH("video",V258&amp;" ")),ISNUMBER(SEARCH("vidio",V258&amp;" ")),ISNUMBER(SEARCH("bagan",V258&amp;" ")),ISNUMBER(SEARCH("gambar",V258&amp;" ")),ISNUMBER(SEARCH("qna",V258&amp;" "))),"Tambah Video / Bagan",IF(OR(ISNUMBER(SEARCH("menarik",V258&amp;" ")),ISNUMBER(SEARCH("design",V258&amp;" ")),ISNUMBER(SEARCH("desain",V258&amp;" ")),ISNUMBER(SEARCH("font",V258&amp;" ")),ISNUMBER(SEARCH("warna",V258&amp;" ")),ISNUMBER(SEARCH("soft",V258&amp;" ")),ISNUMBER(SEARCH("kaku",V258&amp;" ")),ISNUMBER(SEARCH("elegan",V258&amp;" ")),ISNUMBER(SEARCH("grafis",V258&amp;" ")),ISNUMBER(SEARCH("visual",V258&amp;" ")),ISNUMBER(SEARCH("logo",V258&amp;" ")),ISNUMBER(SEARCH("jenuh",V258&amp;" ")),ISNUMBER(SEARCH("abu",V258&amp;" ")),ISNUMBER(SEARCH("tampilannya",V258&amp;" ")),ISNUMBER(SEARCH("tampilan dibuat",V258&amp;" ")),ISNUMBER(SEARCH("tamoilan",V258&amp;" ")),ISNUMBER(SEARCH("lebih user friendly",V258&amp;" "))),"Desain, Warna &amp; Font",IF(OR(ISNUMBER(SEARCH("perbanyak",V258&amp;" ")),ISNUMBER(SEARCH("jabarkan",V258&amp;" ")),ISNUMBER(SEARCH("jobdesk",V258&amp;" ")),ISNUMBER(SEARCH("pengajuan",V258&amp;" ")),ISNUMBER(SEARCH("informasi",V258&amp;" "))),"Penambahan Isi / Penjelasan",IF(OR(ISNUMBER(SEARCH("tingkat",V258&amp;" ")),ISNUMBER(SEARCH("kembang",V258&amp;" ")),ISNUMBER(SEARCH("lebih baik lagi",V258&amp;" ")),ISNUMBER(SEARCH("maksimal",V258&amp;" ")),ISNUMBER(SEARCH("penikatan",V258&amp;" "))),"Saran Umum Peningkatan",IF(OR(ISNUMBER(SEARCH("tidak",V258&amp;" ")),ISNUMBER(SEARCH("tdk",V258&amp;" ")),ISNUMBER(SEARCH("sudah",V258&amp;" ")),ISNUMBER(SEARCH("sdh",V258&amp;" ")),ISNUMBER(SEARCH("cukup",V258&amp;" ")),ISNUMBER(SEARCH("baik",V258&amp;" ")),ISNUMBER(SEARCH("bagus",V258&amp;" ")),ISNUMBER(SEARCH("ok",V258&amp;" ")),ISNUMBER(SEARCH("good",V258&amp;" ")),ISNUMBER(SEARCH("aman",V258&amp;" ")),ISNUMBER(SEARCH("lanjut",V258&amp;" ")),ISNUMBER(SEARCH("mantap",V258&amp;" ")),ISNUMBER(SEARCH("josjis",V258&amp;" ")),ISNUMBER(SEARCH("lumayan",V258&amp;" ")),ISNUMBER(SEARCH("mudah",V258&amp;" ")),ISNUMBER(SEARCH("belum",V258&amp;" ")),ISNUMBER(SEARCH("membantu",V258&amp;" ")),ISNUMBER(SEARCH("comment",V258&amp;" ")),ISNUMBER(SEARCH("lengkap",V258&amp;" ")),ISNUMBER(SEARCH("tercakup",V258&amp;" ")),ISNUMBER(SEARCH("mencakup",V258&amp;" ")),ISNUMBER(SEARCH("semua",V258&amp;" ")),ISNUMBER(SEARCH("penting",V258&amp;" ")),ISNUMBER(SEARCH("terangkum",V258&amp;" ")),ISNUMBER(SEARCH("pas",V258&amp;" ")),ISNUMBER(SEARCH("berjalan",V258&amp;" ")),ISNUMBER(SEARCH("sesuai",V258&amp;" "))),"Tidak ada masukan / sudah baik","Lainnya (perlu dibaca manual)"))))))))))))))</f>
        <v/>
      </c>
      <c r="AA258" s="8" t="str">
        <f t="shared" ref="AA258:AA321" si="90">IF($A258="","",IF(LEN(SUBSTITUTE(SUBSTITUTE(SUBSTITUTE(W258,"-",""),".",""),"?",""))&lt;2,"Tidak ada masukan / sudah baik",IF(OR(ISNUMBER(SEARCH("tampilan",W258&amp;" ")),ISNUMBER(SEARCH("lemot",W258&amp;" "))),"Bukan Terkait SOP (Tampilan / Akses)",IF(OR(ISNUMBER(SEARCH("sanksi",W258&amp;" ")),ISNUMBER(SEARCH("pelanggaran",W258&amp;" ")),ISNUMBER(SEARCH("larangan",W258&amp;" ")),ISNUMBER(SEARCH("rekening pribadi",W258&amp;" "))),"Sanksi &amp; Pelanggaran SOP",IF(OR(ISNUMBER(SEARCH("npl",W258&amp;" ")),ISNUMBER(SEARCH("piutang",W258&amp;" ")),ISNUMBER(SEARCH("rekon",W258&amp;" ")),ISNUMBER(SEARCH("overdue",W258&amp;" ")),ISNUMBER(SEARCH("restruk",W258&amp;" ")),ISNUMBER(SEARCH("tempo",W258&amp;" "))),"Piutang &amp; Pelanggan Bermasalah",IF(OR(ISNUMBER(SEARCH("kiriman",W258&amp;" ")),ISNUMBER(SEARCH("pengiriman",W258&amp;" ")),ISNUMBER(SEARCH("retur",W258&amp;" ")),ISNUMBER(SEARCH("barang",W258&amp;" "))),"Pengiriman, Retur &amp; Logistik",IF(OR(ISNUMBER(SEARCH("contact",W258&amp;" ")),ISNUMBER(SEARCH("kontak",W258&amp;" ")),ISNUMBER(SEARCH("pic",W258&amp;" ")),ISNUMBER(SEARCH("berwenang",W258&amp;" ")),ISNUMBER(SEARCH("follow up",W258&amp;" ")),ISNUMBER(SEARCH("eskalasi",W258&amp;" "))),"Kontak PIC &amp; Eskalasi",IF(OR(ISNUMBER(SEARCH("laporan evaluasi",W258&amp;" ")),ISNUMBER(SEARCH("aplikasi cp",W258&amp;" ")),ISNUMBER(SEARCH("flowchart",W258&amp;" ")),ISNUMBER(SEARCH("acuan",W258&amp;" ")),ISNUMBER(SEARCH("poa",W258&amp;" ")),ISNUMBER(SEARCH("aktifitas",W258&amp;" ")),ISNUMBER(SEARCH("aktivitas",W258&amp;" "))),"Panduan Laporan &amp; Alur Kerja",IF(OR(ISNUMBER(SEARCH("notifikasi",W258&amp;" ")),ISNUMBER(SEARCH("pembaruan",W258&amp;" ")),ISNUMBER(SEARCH("perubahan",W258&amp;" ")),ISNUMBER(SEARCH("update",W258&amp;" "))),"Pembaruan &amp; Notifikasi SOP",IF(OR(ISNUMBER(SEARCH("tidak",W258&amp;" ")),ISNUMBER(SEARCH("tdk",W258&amp;" ")),ISNUMBER(SEARCH("sudah",W258&amp;" ")),ISNUMBER(SEARCH("sdh",W258&amp;" ")),ISNUMBER(SEARCH("cukup",W258&amp;" ")),ISNUMBER(SEARCH("baik",W258&amp;" ")),ISNUMBER(SEARCH("bagus",W258&amp;" ")),ISNUMBER(SEARCH("ok",W258&amp;" ")),ISNUMBER(SEARCH("good",W258&amp;" ")),ISNUMBER(SEARCH("aman",W258&amp;" ")),ISNUMBER(SEARCH("lanjut",W258&amp;" ")),ISNUMBER(SEARCH("mantap",W258&amp;" ")),ISNUMBER(SEARCH("josjis",W258&amp;" ")),ISNUMBER(SEARCH("lumayan",W258&amp;" ")),ISNUMBER(SEARCH("mudah",W258&amp;" ")),ISNUMBER(SEARCH("belum",W258&amp;" ")),ISNUMBER(SEARCH("membantu",W258&amp;" ")),ISNUMBER(SEARCH("comment",W258&amp;" ")),ISNUMBER(SEARCH("lengkap",W258&amp;" ")),ISNUMBER(SEARCH("tercakup",W258&amp;" ")),ISNUMBER(SEARCH("mencakup",W258&amp;" ")),ISNUMBER(SEARCH("semua",W258&amp;" ")),ISNUMBER(SEARCH("penting",W258&amp;" ")),ISNUMBER(SEARCH("terangkum",W258&amp;" ")),ISNUMBER(SEARCH("pas",W258&amp;" ")),ISNUMBER(SEARCH("berjalan",W258&amp;" ")),ISNUMBER(SEARCH("sesuai",W258&amp;" "))),"Tidak ada masukan / sudah baik","Lainnya (perlu dibaca manual)"))))))))))</f>
        <v/>
      </c>
      <c r="AB258" s="8" t="str">
        <f t="shared" ref="AB258:AB321" si="91">IF($A258="","",IF(LEN(SUBSTITUTE(SUBSTITUTE(SUBSTITUTE(X258,"-",""),".",""),"?",""))&lt;2,"Tidak ada masukan / sudah baik",IF(OR(ISNUMBER(SEARCH("urgent",X258&amp;" "))),"Lainnya (perlu dibaca manual)",IF(OR(ISNUMBER(SEARCH("struktur organisasi",X258&amp;" ")),ISNUMBER(SEARCH("pic",X258&amp;" ")),ISNUMBER(SEARCH("cp",X258&amp;" ")),ISNUMBER(SEARCH("personil",X258&amp;" ")),ISNUMBER(SEARCH("sales",X258&amp;" ")),ISNUMBER(SEARCH("muka",X258&amp;" ")),ISNUMBER(SEARCH("eskalasi",X258&amp;" "))),"Struktur Organisasi, PIC &amp; Tim",IF(OR(ISNUMBER(SEARCH("lemot",X258&amp;" ")),ISNUMBER(SEARCH("lambat",X258&amp;" ")),ISNUMBER(SEARCH("memuat",X258&amp;" ")),ISNUMBER(SEARCH("koneksi",X258&amp;" "))),"Kecepatan Akses Website",IF(OR(ISNUMBER(SEARCH("sacs",X258&amp;" ")),ISNUMBER(SEARCH("aplikasi",X258&amp;" "))),"Integrasi ke SACS / Aplikasi Kerja",IF(OR(ISNUMBER(SEARCH("dashboard",X258&amp;" ")),ISNUMBER(SEARCH("kpi",X258&amp;" ")),ISNUMBER(SEARCH("database",X258&amp;" ")),ISNUMBER(SEARCH("kinerja",X258&amp;" ")),ISNUMBER(SEARCH("seluruh cabang",X258&amp;" "))),"Fitur Baru (Dashboard / KPI / Database)",IF(OR(ISNUMBER(SEARCH("video",X258&amp;" ")),ISNUMBER(SEARCH("gambar",X258&amp;" ")),ISNUMBER(SEARCH("jpg",X258&amp;" ")),ISNUMBER(SEARCH("flowchart",X258&amp;" ")),ISNUMBER(SEARCH("tutorial",X258&amp;" "))),"Tambah Video / Gambar / Flowchart",IF(OR(ISNUMBER(SEARCH("template",X258&amp;" ")),ISNUMBER(SEARCH("surat",X258&amp;" ")),ISNUMBER(SEARCH("korin",X258&amp;" ")),ISNUMBER(SEARCH("overdue",X258&amp;" ")),ISNUMBER(SEARCH("restruk",X258&amp;" ")),ISNUMBER(SEARCH("tempo",X258&amp;" ")),ISNUMBER(SEARCH("larangan",X258&amp;" ")),ISNUMBER(SEARCH("posisi lain",X258&amp;" ")),ISNUMBER(SEARCH("jobdesk",X258&amp;" ")),ISNUMBER(SEARCH("jobdisk",X258&amp;" ")),ISNUMBER(SEARCH("langkah",X258&amp;" ")),ISNUMBER(SEARCH("detail",X258&amp;" ")),ISNUMBER(SEARCH("panduan",X258&amp;" ")),ISNUMBER(SEARCH("lengkap lagi",X258&amp;" ")),ISNUMBER(SEARCH("tips",X258&amp;" "))),"Penambahan Materi &amp; Template",IF(OR(ISNUMBER(SEARCH("simpel",X258&amp;" ")),ISNUMBER(SEARCH("simple",X258&amp;" ")),ISNUMBER(SEARCH("ringkas",X258&amp;" ")),ISNUMBER(SEARCH("monoton",X258&amp;" ")),ISNUMBER(SEARCH("penataan",X258&amp;" "))),"Penyederhanaan Isi",IF(OR(ISNUMBER(SEARCH("menarik",X258&amp;" ")),ISNUMBER(SEARCH("design",X258&amp;" ")),ISNUMBER(SEARCH("desain",X258&amp;" ")),ISNUMBER(SEARCH("tampilan",X258&amp;" ")),ISNUMBER(SEARCH("kaku",X258&amp;" ")),ISNUMBER(SEARCH("user friendly",X258&amp;" "))),"Desain Tampilan",IF(OR(ISNUMBER(SEARCH("update",X258&amp;" ")),ISNUMBER(SEARCH("terbaru",X258&amp;" ")),ISNUMBER(SEARCH("terkini",X258&amp;" ")),ISNUMBER(SEARCH("uptodate",X258&amp;" "))),"Update Informasi Berkala",IF(OR(ISNUMBER(SEARCH("tingkat",X258&amp;" ")),ISNUMBER(SEARCH("kembang",X258&amp;" ")),ISNUMBER(SEARCH("inovasi",X258&amp;" ")),ISNUMBER(SEARCH("maintenance",X258&amp;" "))),"Saran Umum Peningkatan",IF(OR(ISNUMBER(SEARCH("tidak",X258&amp;" ")),ISNUMBER(SEARCH("tdk",X258&amp;" ")),ISNUMBER(SEARCH("sudah",X258&amp;" ")),ISNUMBER(SEARCH("sdh",X258&amp;" ")),ISNUMBER(SEARCH("cukup",X258&amp;" ")),ISNUMBER(SEARCH("baik",X258&amp;" ")),ISNUMBER(SEARCH("bagus",X258&amp;" ")),ISNUMBER(SEARCH("ok",X258&amp;" ")),ISNUMBER(SEARCH("good",X258&amp;" ")),ISNUMBER(SEARCH("aman",X258&amp;" ")),ISNUMBER(SEARCH("lanjut",X258&amp;" ")),ISNUMBER(SEARCH("mantap",X258&amp;" ")),ISNUMBER(SEARCH("josjis",X258&amp;" ")),ISNUMBER(SEARCH("lumayan",X258&amp;" ")),ISNUMBER(SEARCH("mudah",X258&amp;" ")),ISNUMBER(SEARCH("belum",X258&amp;" ")),ISNUMBER(SEARCH("membantu",X258&amp;" ")),ISNUMBER(SEARCH("comment",X258&amp;" ")),ISNUMBER(SEARCH("lengkap",X258&amp;" ")),ISNUMBER(SEARCH("tercakup",X258&amp;" ")),ISNUMBER(SEARCH("mencakup",X258&amp;" ")),ISNUMBER(SEARCH("semua",X258&amp;" ")),ISNUMBER(SEARCH("penting",X258&amp;" ")),ISNUMBER(SEARCH("terangkum",X258&amp;" ")),ISNUMBER(SEARCH("pas",X258&amp;" ")),ISNUMBER(SEARCH("berjalan",X258&amp;" ")),ISNUMBER(SEARCH("sesuai",X258&amp;" "))),"Tidak ada masukan / sudah baik","Lainnya (perlu dibaca manual)"))))))))))))))</f>
        <v/>
      </c>
      <c r="AC258" s="8"/>
      <c r="AD258" s="8"/>
      <c r="AE258" s="8"/>
      <c r="AK258" s="5" t="str">
        <f t="shared" ref="AK258:AK321" si="92">IF($A258="","",IF(OR($Z258="Kecepatan &amp; Loading Website",$AB258="Kecepatan Akses Website",AND($AA258="Bukan Terkait SOP (Tampilan / Akses)",OR(ISNUMBER(SEARCH("lemot",$W258)),ISNUMBER(SEARCH("loading",$W258)),ISNUMBER(SEARCH("lambat",$W258))))),1,0))</f>
        <v/>
      </c>
      <c r="AL258" s="5" t="str">
        <f t="shared" ref="AL258:AL321" si="93">IF($A258="","",IF(OR($Z258="Tampilan di HP (Responsif)"),1,0))</f>
        <v/>
      </c>
      <c r="AM258" s="5" t="str">
        <f t="shared" ref="AM258:AM321" si="94">IF($A258="","",IF(OR($Z258="Desain, Warna &amp; Font",$AB258="Desain Tampilan",AND($AA258="Bukan Terkait SOP (Tampilan / Akses)",NOT(OR(ISNUMBER(SEARCH("lemot",$W258)),ISNUMBER(SEARCH("loading",$W258)),ISNUMBER(SEARCH("lambat",$W258)))))),1,0))</f>
        <v/>
      </c>
      <c r="AN258" s="5" t="str">
        <f t="shared" ref="AN258:AN321" si="95">IF($A258="","",IF(OR($Z258="Menu per Jabatan / Navigasi"),1,0))</f>
        <v/>
      </c>
      <c r="AO258" s="5" t="str">
        <f t="shared" ref="AO258:AO321" si="96">IF($A258="","",IF(OR($Z258="Integrasi dengan SACS / Aplikasi",$AB258="Integrasi ke SACS / Aplikasi Kerja"),1,0))</f>
        <v/>
      </c>
      <c r="AP258" s="5" t="str">
        <f t="shared" ref="AP258:AP321" si="97">IF($A258="","",IF(OR($AB258="Fitur Baru (Dashboard / KPI / Database)"),1,0))</f>
        <v/>
      </c>
      <c r="AQ258" s="5" t="str">
        <f t="shared" ref="AQ258:AQ321" si="98">IF($A258="","",IF(OR($Z258="Penyederhanaan &amp; Ringkas Isi",$AB258="Penyederhanaan Isi"),1,0))</f>
        <v/>
      </c>
      <c r="AR258" s="5" t="str">
        <f t="shared" ref="AR258:AR321" si="99">IF($A258="","",IF(OR($Z258="Penambahan Isi / Penjelasan",$AB258="Penambahan Materi &amp; Template"),1,0))</f>
        <v/>
      </c>
      <c r="AS258" s="5" t="str">
        <f t="shared" ref="AS258:AS321" si="100">IF($A258="","",IF(OR($Z258="Tambah Video / Bagan",$AB258="Tambah Video / Gambar / Flowchart"),1,0))</f>
        <v/>
      </c>
      <c r="AT258" s="5" t="str">
        <f t="shared" ref="AT258:AT321" si="101">IF($A258="","",IF(OR($Z258="Kontak &amp; Informasi PIC",$AA258="Kontak PIC &amp; Eskalasi",$AB258="Struktur Organisasi, PIC &amp; Tim"),1,0))</f>
        <v/>
      </c>
      <c r="AU258" s="5" t="str">
        <f t="shared" ref="AU258:AU321" si="102">IF($A258="","",IF(OR($AA258="Pembaruan &amp; Notifikasi SOP",$AB258="Update Informasi Berkala"),1,0))</f>
        <v/>
      </c>
      <c r="AV258" s="5" t="str">
        <f t="shared" ref="AV258:AV321" si="103">IF($A258="","",IF(OR($AA258="Sanksi &amp; Pelanggaran SOP"),1,0))</f>
        <v/>
      </c>
      <c r="AW258" s="5" t="str">
        <f t="shared" ref="AW258:AW321" si="104">IF($A258="","",IF(OR($AA258="Piutang &amp; Pelanggan Bermasalah"),1,0))</f>
        <v/>
      </c>
      <c r="AX258" s="5" t="str">
        <f t="shared" ref="AX258:AX321" si="105">IF($A258="","",IF(OR($AA258="Pengiriman, Retur &amp; Logistik"),1,0))</f>
        <v/>
      </c>
      <c r="AY258" s="5" t="str">
        <f t="shared" ref="AY258:AY321" si="106">IF($A258="","",IF(OR($AA258="Panduan Laporan &amp; Alur Kerja"),1,0))</f>
        <v/>
      </c>
      <c r="AZ258" s="5" t="str">
        <f t="shared" ref="AZ258:AZ321" si="107">IF($A258="","",IF(OR($Z258="Saran Umum Peningkatan",$AB258="Saran Umum Peningkatan"),1,0))</f>
        <v/>
      </c>
      <c r="BA258" s="5" t="str">
        <f t="shared" ref="BA258:BA321" si="108">IF($A258="","",IF(OR($Z258="Lainnya (perlu dibaca manual)",$AA258="Lainnya (perlu dibaca manual)",$AB258="Lainnya (perlu dibaca manual)"),1,0))</f>
        <v/>
      </c>
      <c r="BB258" s="5" t="str">
        <f t="shared" ref="BB258:BB321" si="109">IF($A258="","",IF(AND($Z258="Tidak ada masukan / sudah baik",$AA258="Tidak ada masukan / sudah baik",$AB258="Tidak ada masukan / sudah baik"),0,1))</f>
        <v/>
      </c>
    </row>
    <row r="259" spans="1:54" s="5" customFormat="1" hidden="1">
      <c r="A259" s="8" t="str">
        <f>IF(INDEX(FORM!$A:$A,ROW())="","",ROW()-1)</f>
        <v/>
      </c>
      <c r="B259" s="41" t="str">
        <f>IF($A259="","",INDEX(FORM!$A:$A,ROW()))</f>
        <v/>
      </c>
      <c r="C259" s="8" t="str">
        <f>IF($A259="","",TRIM(INDEX(FORM!$B:$B,ROW())))</f>
        <v/>
      </c>
      <c r="D259" s="8" t="str">
        <f>IF($A259="","",TRIM(INDEX(FORM!$C:$C,ROW())&amp;""))</f>
        <v/>
      </c>
      <c r="E259" s="8" t="str">
        <f>IF($A259="","",UPPER(TRIM(INDEX(FORM!$D:$D,ROW()))))</f>
        <v/>
      </c>
      <c r="F259" s="8" t="str">
        <f>IF($A259="","",IFERROR(INDEX(PROGRES!$A$2:$A$92,MATCH(E259,PROGRES!$B$2:$B$92,0)),"-"))</f>
        <v/>
      </c>
      <c r="G259" s="8" t="str">
        <f>IF($A259="","",UPPER(TRIM(INDEX(FORM!$F:$F,ROW()))))</f>
        <v/>
      </c>
      <c r="H259" s="8" t="str">
        <f>IF($A259="","",UPPER(TRIM(INDEX(FORM!$E:$E,ROW()))))</f>
        <v/>
      </c>
      <c r="I259" s="8" t="str">
        <f>IF($A259="","",UPPER(TRIM(INDEX(FORM!$G:$G,ROW()))))</f>
        <v/>
      </c>
      <c r="J259" s="8" t="str">
        <f>IF($A259="","",IF(ISNUMBER(SEARCH("Ya,",INDEX(FORM!$H:$H,ROW()))),"YA",IF(ISNUMBER(SEARCH("Cukup,",INDEX(FORM!$H:$H,ROW()))),"CUKUP",IF(ISNUMBER(SEARCH("Kurang,",INDEX(FORM!$H:$H,ROW()))),"KURANG",""))))</f>
        <v/>
      </c>
      <c r="K259" s="8" t="str">
        <f>IF($A259="","",UPPER(TRIM(INDEX(FORM!$J:$J,ROW()))))</f>
        <v/>
      </c>
      <c r="L259" s="8" t="str">
        <f>IF($A259="","",IF(ISNUMBER(SEARCH("Aktivitas Harian",INDEX(FORM!$K:$K,ROW()))),1,0))</f>
        <v/>
      </c>
      <c r="M259" s="8" t="str">
        <f>IF($A259="","",IF(ISNUMBER(SEARCH("Aktivitas Mingguan",INDEX(FORM!$K:$K,ROW()))),1,0))</f>
        <v/>
      </c>
      <c r="N259" s="8" t="str">
        <f>IF($A259="","",IF(ISNUMBER(SEARCH("Aktivitas Bulanan",INDEX(FORM!$K:$K,ROW()))),1,0))</f>
        <v/>
      </c>
      <c r="O259" s="8" t="str">
        <f>IF($A259="","",IF(ISNUMBER(SEARCH("Overview Cabang",INDEX(FORM!$K:$K,ROW()))),1,0))</f>
        <v/>
      </c>
      <c r="P259" s="8" t="str">
        <f>IF($A259="","",IFERROR(VLOOKUP(I259,DATA!$AH$9:$AI$13,2,0),""))</f>
        <v/>
      </c>
      <c r="Q259" s="8" t="str">
        <f>IF($A259="","",IFERROR(VLOOKUP(J259,DATA!$AH$9:$AI$13,2,0),""))</f>
        <v/>
      </c>
      <c r="R259" s="8" t="str">
        <f>IF($A259="","",IFERROR(VLOOKUP(K259,DATA!$AH$9:$AI$13,2,0),""))</f>
        <v/>
      </c>
      <c r="S259" s="42" t="str">
        <f t="shared" si="88"/>
        <v/>
      </c>
      <c r="T259" s="8" t="str">
        <f>IF($A259="","",IF(COUNTIF($D$2:D259,D259)=1,1,0))</f>
        <v/>
      </c>
      <c r="U259" s="8" t="str">
        <f>IF($A259="","",IF(F259="-","Cabang tdk ada",IF(IFERROR(VLOOKUP(G259,#REF!,1,0),"")="","",IF(INDEX(DATA!$AH$2:$AH$5,MATCH(G259,DATA!$AI$2:$AI$5,0))&lt;&gt;F259,"Wilayah beda","OK"))))</f>
        <v/>
      </c>
      <c r="V259" s="8" t="str">
        <f>IF($A259="","",TRIM(INDEX(FORM!$I:$I,ROW())&amp;""))</f>
        <v/>
      </c>
      <c r="W259" s="8" t="str">
        <f>IF($A259="","",TRIM(INDEX(FORM!$L:$L,ROW())&amp;""))</f>
        <v/>
      </c>
      <c r="X259" s="8" t="str">
        <f>IF($A259="","",TRIM(INDEX(FORM!$M:$M,ROW())&amp;""))</f>
        <v/>
      </c>
      <c r="Y259" s="8" t="str">
        <f>IF($A259="","",IFERROR(MATCH(F259,DATA!$AH$2:$AH$5,0),9)*10000+A259)</f>
        <v/>
      </c>
      <c r="Z259" s="8" t="str">
        <f t="shared" si="89"/>
        <v/>
      </c>
      <c r="AA259" s="8" t="str">
        <f t="shared" si="90"/>
        <v/>
      </c>
      <c r="AB259" s="8" t="str">
        <f t="shared" si="91"/>
        <v/>
      </c>
      <c r="AC259" s="8"/>
      <c r="AD259" s="8"/>
      <c r="AE259" s="8"/>
      <c r="AK259" s="5" t="str">
        <f t="shared" si="92"/>
        <v/>
      </c>
      <c r="AL259" s="5" t="str">
        <f t="shared" si="93"/>
        <v/>
      </c>
      <c r="AM259" s="5" t="str">
        <f t="shared" si="94"/>
        <v/>
      </c>
      <c r="AN259" s="5" t="str">
        <f t="shared" si="95"/>
        <v/>
      </c>
      <c r="AO259" s="5" t="str">
        <f t="shared" si="96"/>
        <v/>
      </c>
      <c r="AP259" s="5" t="str">
        <f t="shared" si="97"/>
        <v/>
      </c>
      <c r="AQ259" s="5" t="str">
        <f t="shared" si="98"/>
        <v/>
      </c>
      <c r="AR259" s="5" t="str">
        <f t="shared" si="99"/>
        <v/>
      </c>
      <c r="AS259" s="5" t="str">
        <f t="shared" si="100"/>
        <v/>
      </c>
      <c r="AT259" s="5" t="str">
        <f t="shared" si="101"/>
        <v/>
      </c>
      <c r="AU259" s="5" t="str">
        <f t="shared" si="102"/>
        <v/>
      </c>
      <c r="AV259" s="5" t="str">
        <f t="shared" si="103"/>
        <v/>
      </c>
      <c r="AW259" s="5" t="str">
        <f t="shared" si="104"/>
        <v/>
      </c>
      <c r="AX259" s="5" t="str">
        <f t="shared" si="105"/>
        <v/>
      </c>
      <c r="AY259" s="5" t="str">
        <f t="shared" si="106"/>
        <v/>
      </c>
      <c r="AZ259" s="5" t="str">
        <f t="shared" si="107"/>
        <v/>
      </c>
      <c r="BA259" s="5" t="str">
        <f t="shared" si="108"/>
        <v/>
      </c>
      <c r="BB259" s="5" t="str">
        <f t="shared" si="109"/>
        <v/>
      </c>
    </row>
    <row r="260" spans="1:54" s="5" customFormat="1" hidden="1">
      <c r="A260" s="8" t="str">
        <f>IF(INDEX(FORM!$A:$A,ROW())="","",ROW()-1)</f>
        <v/>
      </c>
      <c r="B260" s="41" t="str">
        <f>IF($A260="","",INDEX(FORM!$A:$A,ROW()))</f>
        <v/>
      </c>
      <c r="C260" s="8" t="str">
        <f>IF($A260="","",TRIM(INDEX(FORM!$B:$B,ROW())))</f>
        <v/>
      </c>
      <c r="D260" s="8" t="str">
        <f>IF($A260="","",TRIM(INDEX(FORM!$C:$C,ROW())&amp;""))</f>
        <v/>
      </c>
      <c r="E260" s="8" t="str">
        <f>IF($A260="","",UPPER(TRIM(INDEX(FORM!$D:$D,ROW()))))</f>
        <v/>
      </c>
      <c r="F260" s="8" t="str">
        <f>IF($A260="","",IFERROR(INDEX(PROGRES!$A$2:$A$92,MATCH(E260,PROGRES!$B$2:$B$92,0)),"-"))</f>
        <v/>
      </c>
      <c r="G260" s="8" t="str">
        <f>IF($A260="","",UPPER(TRIM(INDEX(FORM!$F:$F,ROW()))))</f>
        <v/>
      </c>
      <c r="H260" s="8" t="str">
        <f>IF($A260="","",UPPER(TRIM(INDEX(FORM!$E:$E,ROW()))))</f>
        <v/>
      </c>
      <c r="I260" s="8" t="str">
        <f>IF($A260="","",UPPER(TRIM(INDEX(FORM!$G:$G,ROW()))))</f>
        <v/>
      </c>
      <c r="J260" s="8" t="str">
        <f>IF($A260="","",IF(ISNUMBER(SEARCH("Ya,",INDEX(FORM!$H:$H,ROW()))),"YA",IF(ISNUMBER(SEARCH("Cukup,",INDEX(FORM!$H:$H,ROW()))),"CUKUP",IF(ISNUMBER(SEARCH("Kurang,",INDEX(FORM!$H:$H,ROW()))),"KURANG",""))))</f>
        <v/>
      </c>
      <c r="K260" s="8" t="str">
        <f>IF($A260="","",UPPER(TRIM(INDEX(FORM!$J:$J,ROW()))))</f>
        <v/>
      </c>
      <c r="L260" s="8" t="str">
        <f>IF($A260="","",IF(ISNUMBER(SEARCH("Aktivitas Harian",INDEX(FORM!$K:$K,ROW()))),1,0))</f>
        <v/>
      </c>
      <c r="M260" s="8" t="str">
        <f>IF($A260="","",IF(ISNUMBER(SEARCH("Aktivitas Mingguan",INDEX(FORM!$K:$K,ROW()))),1,0))</f>
        <v/>
      </c>
      <c r="N260" s="8" t="str">
        <f>IF($A260="","",IF(ISNUMBER(SEARCH("Aktivitas Bulanan",INDEX(FORM!$K:$K,ROW()))),1,0))</f>
        <v/>
      </c>
      <c r="O260" s="8" t="str">
        <f>IF($A260="","",IF(ISNUMBER(SEARCH("Overview Cabang",INDEX(FORM!$K:$K,ROW()))),1,0))</f>
        <v/>
      </c>
      <c r="P260" s="8" t="str">
        <f>IF($A260="","",IFERROR(VLOOKUP(I260,DATA!$AH$9:$AI$13,2,0),""))</f>
        <v/>
      </c>
      <c r="Q260" s="8" t="str">
        <f>IF($A260="","",IFERROR(VLOOKUP(J260,DATA!$AH$9:$AI$13,2,0),""))</f>
        <v/>
      </c>
      <c r="R260" s="8" t="str">
        <f>IF($A260="","",IFERROR(VLOOKUP(K260,DATA!$AH$9:$AI$13,2,0),""))</f>
        <v/>
      </c>
      <c r="S260" s="42" t="str">
        <f t="shared" si="88"/>
        <v/>
      </c>
      <c r="T260" s="8" t="str">
        <f>IF($A260="","",IF(COUNTIF($D$2:D260,D260)=1,1,0))</f>
        <v/>
      </c>
      <c r="U260" s="8" t="str">
        <f>IF($A260="","",IF(F260="-","Cabang tdk ada",IF(IFERROR(VLOOKUP(G260,#REF!,1,0),"")="","",IF(INDEX(DATA!$AH$2:$AH$5,MATCH(G260,DATA!$AI$2:$AI$5,0))&lt;&gt;F260,"Wilayah beda","OK"))))</f>
        <v/>
      </c>
      <c r="V260" s="8" t="str">
        <f>IF($A260="","",TRIM(INDEX(FORM!$I:$I,ROW())&amp;""))</f>
        <v/>
      </c>
      <c r="W260" s="8" t="str">
        <f>IF($A260="","",TRIM(INDEX(FORM!$L:$L,ROW())&amp;""))</f>
        <v/>
      </c>
      <c r="X260" s="8" t="str">
        <f>IF($A260="","",TRIM(INDEX(FORM!$M:$M,ROW())&amp;""))</f>
        <v/>
      </c>
      <c r="Y260" s="8" t="str">
        <f>IF($A260="","",IFERROR(MATCH(F260,DATA!$AH$2:$AH$5,0),9)*10000+A260)</f>
        <v/>
      </c>
      <c r="Z260" s="8" t="str">
        <f t="shared" si="89"/>
        <v/>
      </c>
      <c r="AA260" s="8" t="str">
        <f t="shared" si="90"/>
        <v/>
      </c>
      <c r="AB260" s="8" t="str">
        <f t="shared" si="91"/>
        <v/>
      </c>
      <c r="AC260" s="8"/>
      <c r="AD260" s="8"/>
      <c r="AE260" s="8"/>
      <c r="AK260" s="5" t="str">
        <f t="shared" si="92"/>
        <v/>
      </c>
      <c r="AL260" s="5" t="str">
        <f t="shared" si="93"/>
        <v/>
      </c>
      <c r="AM260" s="5" t="str">
        <f t="shared" si="94"/>
        <v/>
      </c>
      <c r="AN260" s="5" t="str">
        <f t="shared" si="95"/>
        <v/>
      </c>
      <c r="AO260" s="5" t="str">
        <f t="shared" si="96"/>
        <v/>
      </c>
      <c r="AP260" s="5" t="str">
        <f t="shared" si="97"/>
        <v/>
      </c>
      <c r="AQ260" s="5" t="str">
        <f t="shared" si="98"/>
        <v/>
      </c>
      <c r="AR260" s="5" t="str">
        <f t="shared" si="99"/>
        <v/>
      </c>
      <c r="AS260" s="5" t="str">
        <f t="shared" si="100"/>
        <v/>
      </c>
      <c r="AT260" s="5" t="str">
        <f t="shared" si="101"/>
        <v/>
      </c>
      <c r="AU260" s="5" t="str">
        <f t="shared" si="102"/>
        <v/>
      </c>
      <c r="AV260" s="5" t="str">
        <f t="shared" si="103"/>
        <v/>
      </c>
      <c r="AW260" s="5" t="str">
        <f t="shared" si="104"/>
        <v/>
      </c>
      <c r="AX260" s="5" t="str">
        <f t="shared" si="105"/>
        <v/>
      </c>
      <c r="AY260" s="5" t="str">
        <f t="shared" si="106"/>
        <v/>
      </c>
      <c r="AZ260" s="5" t="str">
        <f t="shared" si="107"/>
        <v/>
      </c>
      <c r="BA260" s="5" t="str">
        <f t="shared" si="108"/>
        <v/>
      </c>
      <c r="BB260" s="5" t="str">
        <f t="shared" si="109"/>
        <v/>
      </c>
    </row>
    <row r="261" spans="1:54" s="5" customFormat="1" hidden="1">
      <c r="A261" s="8" t="str">
        <f>IF(INDEX(FORM!$A:$A,ROW())="","",ROW()-1)</f>
        <v/>
      </c>
      <c r="B261" s="41" t="str">
        <f>IF($A261="","",INDEX(FORM!$A:$A,ROW()))</f>
        <v/>
      </c>
      <c r="C261" s="8" t="str">
        <f>IF($A261="","",TRIM(INDEX(FORM!$B:$B,ROW())))</f>
        <v/>
      </c>
      <c r="D261" s="8" t="str">
        <f>IF($A261="","",TRIM(INDEX(FORM!$C:$C,ROW())&amp;""))</f>
        <v/>
      </c>
      <c r="E261" s="8" t="str">
        <f>IF($A261="","",UPPER(TRIM(INDEX(FORM!$D:$D,ROW()))))</f>
        <v/>
      </c>
      <c r="F261" s="8" t="str">
        <f>IF($A261="","",IFERROR(INDEX(PROGRES!$A$2:$A$92,MATCH(E261,PROGRES!$B$2:$B$92,0)),"-"))</f>
        <v/>
      </c>
      <c r="G261" s="8" t="str">
        <f>IF($A261="","",UPPER(TRIM(INDEX(FORM!$F:$F,ROW()))))</f>
        <v/>
      </c>
      <c r="H261" s="8" t="str">
        <f>IF($A261="","",UPPER(TRIM(INDEX(FORM!$E:$E,ROW()))))</f>
        <v/>
      </c>
      <c r="I261" s="8" t="str">
        <f>IF($A261="","",UPPER(TRIM(INDEX(FORM!$G:$G,ROW()))))</f>
        <v/>
      </c>
      <c r="J261" s="8" t="str">
        <f>IF($A261="","",IF(ISNUMBER(SEARCH("Ya,",INDEX(FORM!$H:$H,ROW()))),"YA",IF(ISNUMBER(SEARCH("Cukup,",INDEX(FORM!$H:$H,ROW()))),"CUKUP",IF(ISNUMBER(SEARCH("Kurang,",INDEX(FORM!$H:$H,ROW()))),"KURANG",""))))</f>
        <v/>
      </c>
      <c r="K261" s="8" t="str">
        <f>IF($A261="","",UPPER(TRIM(INDEX(FORM!$J:$J,ROW()))))</f>
        <v/>
      </c>
      <c r="L261" s="8" t="str">
        <f>IF($A261="","",IF(ISNUMBER(SEARCH("Aktivitas Harian",INDEX(FORM!$K:$K,ROW()))),1,0))</f>
        <v/>
      </c>
      <c r="M261" s="8" t="str">
        <f>IF($A261="","",IF(ISNUMBER(SEARCH("Aktivitas Mingguan",INDEX(FORM!$K:$K,ROW()))),1,0))</f>
        <v/>
      </c>
      <c r="N261" s="8" t="str">
        <f>IF($A261="","",IF(ISNUMBER(SEARCH("Aktivitas Bulanan",INDEX(FORM!$K:$K,ROW()))),1,0))</f>
        <v/>
      </c>
      <c r="O261" s="8" t="str">
        <f>IF($A261="","",IF(ISNUMBER(SEARCH("Overview Cabang",INDEX(FORM!$K:$K,ROW()))),1,0))</f>
        <v/>
      </c>
      <c r="P261" s="8" t="str">
        <f>IF($A261="","",IFERROR(VLOOKUP(I261,DATA!$AH$9:$AI$13,2,0),""))</f>
        <v/>
      </c>
      <c r="Q261" s="8" t="str">
        <f>IF($A261="","",IFERROR(VLOOKUP(J261,DATA!$AH$9:$AI$13,2,0),""))</f>
        <v/>
      </c>
      <c r="R261" s="8" t="str">
        <f>IF($A261="","",IFERROR(VLOOKUP(K261,DATA!$AH$9:$AI$13,2,0),""))</f>
        <v/>
      </c>
      <c r="S261" s="42" t="str">
        <f t="shared" si="88"/>
        <v/>
      </c>
      <c r="T261" s="8" t="str">
        <f>IF($A261="","",IF(COUNTIF($D$2:D261,D261)=1,1,0))</f>
        <v/>
      </c>
      <c r="U261" s="8" t="str">
        <f>IF($A261="","",IF(F261="-","Cabang tdk ada",IF(IFERROR(VLOOKUP(G261,#REF!,1,0),"")="","",IF(INDEX(DATA!$AH$2:$AH$5,MATCH(G261,DATA!$AI$2:$AI$5,0))&lt;&gt;F261,"Wilayah beda","OK"))))</f>
        <v/>
      </c>
      <c r="V261" s="8" t="str">
        <f>IF($A261="","",TRIM(INDEX(FORM!$I:$I,ROW())&amp;""))</f>
        <v/>
      </c>
      <c r="W261" s="8" t="str">
        <f>IF($A261="","",TRIM(INDEX(FORM!$L:$L,ROW())&amp;""))</f>
        <v/>
      </c>
      <c r="X261" s="8" t="str">
        <f>IF($A261="","",TRIM(INDEX(FORM!$M:$M,ROW())&amp;""))</f>
        <v/>
      </c>
      <c r="Y261" s="8" t="str">
        <f>IF($A261="","",IFERROR(MATCH(F261,DATA!$AH$2:$AH$5,0),9)*10000+A261)</f>
        <v/>
      </c>
      <c r="Z261" s="8" t="str">
        <f t="shared" si="89"/>
        <v/>
      </c>
      <c r="AA261" s="8" t="str">
        <f t="shared" si="90"/>
        <v/>
      </c>
      <c r="AB261" s="8" t="str">
        <f t="shared" si="91"/>
        <v/>
      </c>
      <c r="AC261" s="8"/>
      <c r="AD261" s="8"/>
      <c r="AE261" s="8"/>
      <c r="AK261" s="5" t="str">
        <f t="shared" si="92"/>
        <v/>
      </c>
      <c r="AL261" s="5" t="str">
        <f t="shared" si="93"/>
        <v/>
      </c>
      <c r="AM261" s="5" t="str">
        <f t="shared" si="94"/>
        <v/>
      </c>
      <c r="AN261" s="5" t="str">
        <f t="shared" si="95"/>
        <v/>
      </c>
      <c r="AO261" s="5" t="str">
        <f t="shared" si="96"/>
        <v/>
      </c>
      <c r="AP261" s="5" t="str">
        <f t="shared" si="97"/>
        <v/>
      </c>
      <c r="AQ261" s="5" t="str">
        <f t="shared" si="98"/>
        <v/>
      </c>
      <c r="AR261" s="5" t="str">
        <f t="shared" si="99"/>
        <v/>
      </c>
      <c r="AS261" s="5" t="str">
        <f t="shared" si="100"/>
        <v/>
      </c>
      <c r="AT261" s="5" t="str">
        <f t="shared" si="101"/>
        <v/>
      </c>
      <c r="AU261" s="5" t="str">
        <f t="shared" si="102"/>
        <v/>
      </c>
      <c r="AV261" s="5" t="str">
        <f t="shared" si="103"/>
        <v/>
      </c>
      <c r="AW261" s="5" t="str">
        <f t="shared" si="104"/>
        <v/>
      </c>
      <c r="AX261" s="5" t="str">
        <f t="shared" si="105"/>
        <v/>
      </c>
      <c r="AY261" s="5" t="str">
        <f t="shared" si="106"/>
        <v/>
      </c>
      <c r="AZ261" s="5" t="str">
        <f t="shared" si="107"/>
        <v/>
      </c>
      <c r="BA261" s="5" t="str">
        <f t="shared" si="108"/>
        <v/>
      </c>
      <c r="BB261" s="5" t="str">
        <f t="shared" si="109"/>
        <v/>
      </c>
    </row>
    <row r="262" spans="1:54" s="5" customFormat="1" hidden="1">
      <c r="A262" s="8" t="str">
        <f>IF(INDEX(FORM!$A:$A,ROW())="","",ROW()-1)</f>
        <v/>
      </c>
      <c r="B262" s="41" t="str">
        <f>IF($A262="","",INDEX(FORM!$A:$A,ROW()))</f>
        <v/>
      </c>
      <c r="C262" s="8" t="str">
        <f>IF($A262="","",TRIM(INDEX(FORM!$B:$B,ROW())))</f>
        <v/>
      </c>
      <c r="D262" s="8" t="str">
        <f>IF($A262="","",TRIM(INDEX(FORM!$C:$C,ROW())&amp;""))</f>
        <v/>
      </c>
      <c r="E262" s="8" t="str">
        <f>IF($A262="","",UPPER(TRIM(INDEX(FORM!$D:$D,ROW()))))</f>
        <v/>
      </c>
      <c r="F262" s="8" t="str">
        <f>IF($A262="","",IFERROR(INDEX(PROGRES!$A$2:$A$92,MATCH(E262,PROGRES!$B$2:$B$92,0)),"-"))</f>
        <v/>
      </c>
      <c r="G262" s="8" t="str">
        <f>IF($A262="","",UPPER(TRIM(INDEX(FORM!$F:$F,ROW()))))</f>
        <v/>
      </c>
      <c r="H262" s="8" t="str">
        <f>IF($A262="","",UPPER(TRIM(INDEX(FORM!$E:$E,ROW()))))</f>
        <v/>
      </c>
      <c r="I262" s="8" t="str">
        <f>IF($A262="","",UPPER(TRIM(INDEX(FORM!$G:$G,ROW()))))</f>
        <v/>
      </c>
      <c r="J262" s="8" t="str">
        <f>IF($A262="","",IF(ISNUMBER(SEARCH("Ya,",INDEX(FORM!$H:$H,ROW()))),"YA",IF(ISNUMBER(SEARCH("Cukup,",INDEX(FORM!$H:$H,ROW()))),"CUKUP",IF(ISNUMBER(SEARCH("Kurang,",INDEX(FORM!$H:$H,ROW()))),"KURANG",""))))</f>
        <v/>
      </c>
      <c r="K262" s="8" t="str">
        <f>IF($A262="","",UPPER(TRIM(INDEX(FORM!$J:$J,ROW()))))</f>
        <v/>
      </c>
      <c r="L262" s="8" t="str">
        <f>IF($A262="","",IF(ISNUMBER(SEARCH("Aktivitas Harian",INDEX(FORM!$K:$K,ROW()))),1,0))</f>
        <v/>
      </c>
      <c r="M262" s="8" t="str">
        <f>IF($A262="","",IF(ISNUMBER(SEARCH("Aktivitas Mingguan",INDEX(FORM!$K:$K,ROW()))),1,0))</f>
        <v/>
      </c>
      <c r="N262" s="8" t="str">
        <f>IF($A262="","",IF(ISNUMBER(SEARCH("Aktivitas Bulanan",INDEX(FORM!$K:$K,ROW()))),1,0))</f>
        <v/>
      </c>
      <c r="O262" s="8" t="str">
        <f>IF($A262="","",IF(ISNUMBER(SEARCH("Overview Cabang",INDEX(FORM!$K:$K,ROW()))),1,0))</f>
        <v/>
      </c>
      <c r="P262" s="8" t="str">
        <f>IF($A262="","",IFERROR(VLOOKUP(I262,DATA!$AH$9:$AI$13,2,0),""))</f>
        <v/>
      </c>
      <c r="Q262" s="8" t="str">
        <f>IF($A262="","",IFERROR(VLOOKUP(J262,DATA!$AH$9:$AI$13,2,0),""))</f>
        <v/>
      </c>
      <c r="R262" s="8" t="str">
        <f>IF($A262="","",IFERROR(VLOOKUP(K262,DATA!$AH$9:$AI$13,2,0),""))</f>
        <v/>
      </c>
      <c r="S262" s="42" t="str">
        <f t="shared" si="88"/>
        <v/>
      </c>
      <c r="T262" s="8" t="str">
        <f>IF($A262="","",IF(COUNTIF($D$2:D262,D262)=1,1,0))</f>
        <v/>
      </c>
      <c r="U262" s="8" t="str">
        <f>IF($A262="","",IF(F262="-","Cabang tdk ada",IF(IFERROR(VLOOKUP(G262,#REF!,1,0),"")="","",IF(INDEX(DATA!$AH$2:$AH$5,MATCH(G262,DATA!$AI$2:$AI$5,0))&lt;&gt;F262,"Wilayah beda","OK"))))</f>
        <v/>
      </c>
      <c r="V262" s="8" t="str">
        <f>IF($A262="","",TRIM(INDEX(FORM!$I:$I,ROW())&amp;""))</f>
        <v/>
      </c>
      <c r="W262" s="8" t="str">
        <f>IF($A262="","",TRIM(INDEX(FORM!$L:$L,ROW())&amp;""))</f>
        <v/>
      </c>
      <c r="X262" s="8" t="str">
        <f>IF($A262="","",TRIM(INDEX(FORM!$M:$M,ROW())&amp;""))</f>
        <v/>
      </c>
      <c r="Y262" s="8" t="str">
        <f>IF($A262="","",IFERROR(MATCH(F262,DATA!$AH$2:$AH$5,0),9)*10000+A262)</f>
        <v/>
      </c>
      <c r="Z262" s="8" t="str">
        <f t="shared" si="89"/>
        <v/>
      </c>
      <c r="AA262" s="8" t="str">
        <f t="shared" si="90"/>
        <v/>
      </c>
      <c r="AB262" s="8" t="str">
        <f t="shared" si="91"/>
        <v/>
      </c>
      <c r="AC262" s="8"/>
      <c r="AD262" s="8"/>
      <c r="AE262" s="8"/>
      <c r="AK262" s="5" t="str">
        <f t="shared" si="92"/>
        <v/>
      </c>
      <c r="AL262" s="5" t="str">
        <f t="shared" si="93"/>
        <v/>
      </c>
      <c r="AM262" s="5" t="str">
        <f t="shared" si="94"/>
        <v/>
      </c>
      <c r="AN262" s="5" t="str">
        <f t="shared" si="95"/>
        <v/>
      </c>
      <c r="AO262" s="5" t="str">
        <f t="shared" si="96"/>
        <v/>
      </c>
      <c r="AP262" s="5" t="str">
        <f t="shared" si="97"/>
        <v/>
      </c>
      <c r="AQ262" s="5" t="str">
        <f t="shared" si="98"/>
        <v/>
      </c>
      <c r="AR262" s="5" t="str">
        <f t="shared" si="99"/>
        <v/>
      </c>
      <c r="AS262" s="5" t="str">
        <f t="shared" si="100"/>
        <v/>
      </c>
      <c r="AT262" s="5" t="str">
        <f t="shared" si="101"/>
        <v/>
      </c>
      <c r="AU262" s="5" t="str">
        <f t="shared" si="102"/>
        <v/>
      </c>
      <c r="AV262" s="5" t="str">
        <f t="shared" si="103"/>
        <v/>
      </c>
      <c r="AW262" s="5" t="str">
        <f t="shared" si="104"/>
        <v/>
      </c>
      <c r="AX262" s="5" t="str">
        <f t="shared" si="105"/>
        <v/>
      </c>
      <c r="AY262" s="5" t="str">
        <f t="shared" si="106"/>
        <v/>
      </c>
      <c r="AZ262" s="5" t="str">
        <f t="shared" si="107"/>
        <v/>
      </c>
      <c r="BA262" s="5" t="str">
        <f t="shared" si="108"/>
        <v/>
      </c>
      <c r="BB262" s="5" t="str">
        <f t="shared" si="109"/>
        <v/>
      </c>
    </row>
    <row r="263" spans="1:54" s="5" customFormat="1" hidden="1">
      <c r="A263" s="8" t="str">
        <f>IF(INDEX(FORM!$A:$A,ROW())="","",ROW()-1)</f>
        <v/>
      </c>
      <c r="B263" s="41" t="str">
        <f>IF($A263="","",INDEX(FORM!$A:$A,ROW()))</f>
        <v/>
      </c>
      <c r="C263" s="8" t="str">
        <f>IF($A263="","",TRIM(INDEX(FORM!$B:$B,ROW())))</f>
        <v/>
      </c>
      <c r="D263" s="8" t="str">
        <f>IF($A263="","",TRIM(INDEX(FORM!$C:$C,ROW())&amp;""))</f>
        <v/>
      </c>
      <c r="E263" s="8" t="str">
        <f>IF($A263="","",UPPER(TRIM(INDEX(FORM!$D:$D,ROW()))))</f>
        <v/>
      </c>
      <c r="F263" s="8" t="str">
        <f>IF($A263="","",IFERROR(INDEX(PROGRES!$A$2:$A$92,MATCH(E263,PROGRES!$B$2:$B$92,0)),"-"))</f>
        <v/>
      </c>
      <c r="G263" s="8" t="str">
        <f>IF($A263="","",UPPER(TRIM(INDEX(FORM!$F:$F,ROW()))))</f>
        <v/>
      </c>
      <c r="H263" s="8" t="str">
        <f>IF($A263="","",UPPER(TRIM(INDEX(FORM!$E:$E,ROW()))))</f>
        <v/>
      </c>
      <c r="I263" s="8" t="str">
        <f>IF($A263="","",UPPER(TRIM(INDEX(FORM!$G:$G,ROW()))))</f>
        <v/>
      </c>
      <c r="J263" s="8" t="str">
        <f>IF($A263="","",IF(ISNUMBER(SEARCH("Ya,",INDEX(FORM!$H:$H,ROW()))),"YA",IF(ISNUMBER(SEARCH("Cukup,",INDEX(FORM!$H:$H,ROW()))),"CUKUP",IF(ISNUMBER(SEARCH("Kurang,",INDEX(FORM!$H:$H,ROW()))),"KURANG",""))))</f>
        <v/>
      </c>
      <c r="K263" s="8" t="str">
        <f>IF($A263="","",UPPER(TRIM(INDEX(FORM!$J:$J,ROW()))))</f>
        <v/>
      </c>
      <c r="L263" s="8" t="str">
        <f>IF($A263="","",IF(ISNUMBER(SEARCH("Aktivitas Harian",INDEX(FORM!$K:$K,ROW()))),1,0))</f>
        <v/>
      </c>
      <c r="M263" s="8" t="str">
        <f>IF($A263="","",IF(ISNUMBER(SEARCH("Aktivitas Mingguan",INDEX(FORM!$K:$K,ROW()))),1,0))</f>
        <v/>
      </c>
      <c r="N263" s="8" t="str">
        <f>IF($A263="","",IF(ISNUMBER(SEARCH("Aktivitas Bulanan",INDEX(FORM!$K:$K,ROW()))),1,0))</f>
        <v/>
      </c>
      <c r="O263" s="8" t="str">
        <f>IF($A263="","",IF(ISNUMBER(SEARCH("Overview Cabang",INDEX(FORM!$K:$K,ROW()))),1,0))</f>
        <v/>
      </c>
      <c r="P263" s="8" t="str">
        <f>IF($A263="","",IFERROR(VLOOKUP(I263,DATA!$AH$9:$AI$13,2,0),""))</f>
        <v/>
      </c>
      <c r="Q263" s="8" t="str">
        <f>IF($A263="","",IFERROR(VLOOKUP(J263,DATA!$AH$9:$AI$13,2,0),""))</f>
        <v/>
      </c>
      <c r="R263" s="8" t="str">
        <f>IF($A263="","",IFERROR(VLOOKUP(K263,DATA!$AH$9:$AI$13,2,0),""))</f>
        <v/>
      </c>
      <c r="S263" s="42" t="str">
        <f t="shared" si="88"/>
        <v/>
      </c>
      <c r="T263" s="8" t="str">
        <f>IF($A263="","",IF(COUNTIF($D$2:D263,D263)=1,1,0))</f>
        <v/>
      </c>
      <c r="U263" s="8" t="str">
        <f>IF($A263="","",IF(F263="-","Cabang tdk ada",IF(IFERROR(VLOOKUP(G263,#REF!,1,0),"")="","",IF(INDEX(DATA!$AH$2:$AH$5,MATCH(G263,DATA!$AI$2:$AI$5,0))&lt;&gt;F263,"Wilayah beda","OK"))))</f>
        <v/>
      </c>
      <c r="V263" s="8" t="str">
        <f>IF($A263="","",TRIM(INDEX(FORM!$I:$I,ROW())&amp;""))</f>
        <v/>
      </c>
      <c r="W263" s="8" t="str">
        <f>IF($A263="","",TRIM(INDEX(FORM!$L:$L,ROW())&amp;""))</f>
        <v/>
      </c>
      <c r="X263" s="8" t="str">
        <f>IF($A263="","",TRIM(INDEX(FORM!$M:$M,ROW())&amp;""))</f>
        <v/>
      </c>
      <c r="Y263" s="8" t="str">
        <f>IF($A263="","",IFERROR(MATCH(F263,DATA!$AH$2:$AH$5,0),9)*10000+A263)</f>
        <v/>
      </c>
      <c r="Z263" s="8" t="str">
        <f t="shared" si="89"/>
        <v/>
      </c>
      <c r="AA263" s="8" t="str">
        <f t="shared" si="90"/>
        <v/>
      </c>
      <c r="AB263" s="8" t="str">
        <f t="shared" si="91"/>
        <v/>
      </c>
      <c r="AC263" s="8"/>
      <c r="AD263" s="8"/>
      <c r="AE263" s="8"/>
      <c r="AK263" s="5" t="str">
        <f t="shared" si="92"/>
        <v/>
      </c>
      <c r="AL263" s="5" t="str">
        <f t="shared" si="93"/>
        <v/>
      </c>
      <c r="AM263" s="5" t="str">
        <f t="shared" si="94"/>
        <v/>
      </c>
      <c r="AN263" s="5" t="str">
        <f t="shared" si="95"/>
        <v/>
      </c>
      <c r="AO263" s="5" t="str">
        <f t="shared" si="96"/>
        <v/>
      </c>
      <c r="AP263" s="5" t="str">
        <f t="shared" si="97"/>
        <v/>
      </c>
      <c r="AQ263" s="5" t="str">
        <f t="shared" si="98"/>
        <v/>
      </c>
      <c r="AR263" s="5" t="str">
        <f t="shared" si="99"/>
        <v/>
      </c>
      <c r="AS263" s="5" t="str">
        <f t="shared" si="100"/>
        <v/>
      </c>
      <c r="AT263" s="5" t="str">
        <f t="shared" si="101"/>
        <v/>
      </c>
      <c r="AU263" s="5" t="str">
        <f t="shared" si="102"/>
        <v/>
      </c>
      <c r="AV263" s="5" t="str">
        <f t="shared" si="103"/>
        <v/>
      </c>
      <c r="AW263" s="5" t="str">
        <f t="shared" si="104"/>
        <v/>
      </c>
      <c r="AX263" s="5" t="str">
        <f t="shared" si="105"/>
        <v/>
      </c>
      <c r="AY263" s="5" t="str">
        <f t="shared" si="106"/>
        <v/>
      </c>
      <c r="AZ263" s="5" t="str">
        <f t="shared" si="107"/>
        <v/>
      </c>
      <c r="BA263" s="5" t="str">
        <f t="shared" si="108"/>
        <v/>
      </c>
      <c r="BB263" s="5" t="str">
        <f t="shared" si="109"/>
        <v/>
      </c>
    </row>
    <row r="264" spans="1:54" s="5" customFormat="1" hidden="1">
      <c r="A264" s="8" t="str">
        <f>IF(INDEX(FORM!$A:$A,ROW())="","",ROW()-1)</f>
        <v/>
      </c>
      <c r="B264" s="41" t="str">
        <f>IF($A264="","",INDEX(FORM!$A:$A,ROW()))</f>
        <v/>
      </c>
      <c r="C264" s="8" t="str">
        <f>IF($A264="","",TRIM(INDEX(FORM!$B:$B,ROW())))</f>
        <v/>
      </c>
      <c r="D264" s="8" t="str">
        <f>IF($A264="","",TRIM(INDEX(FORM!$C:$C,ROW())&amp;""))</f>
        <v/>
      </c>
      <c r="E264" s="8" t="str">
        <f>IF($A264="","",UPPER(TRIM(INDEX(FORM!$D:$D,ROW()))))</f>
        <v/>
      </c>
      <c r="F264" s="8" t="str">
        <f>IF($A264="","",IFERROR(INDEX(PROGRES!$A$2:$A$92,MATCH(E264,PROGRES!$B$2:$B$92,0)),"-"))</f>
        <v/>
      </c>
      <c r="G264" s="8" t="str">
        <f>IF($A264="","",UPPER(TRIM(INDEX(FORM!$F:$F,ROW()))))</f>
        <v/>
      </c>
      <c r="H264" s="8" t="str">
        <f>IF($A264="","",UPPER(TRIM(INDEX(FORM!$E:$E,ROW()))))</f>
        <v/>
      </c>
      <c r="I264" s="8" t="str">
        <f>IF($A264="","",UPPER(TRIM(INDEX(FORM!$G:$G,ROW()))))</f>
        <v/>
      </c>
      <c r="J264" s="8" t="str">
        <f>IF($A264="","",IF(ISNUMBER(SEARCH("Ya,",INDEX(FORM!$H:$H,ROW()))),"YA",IF(ISNUMBER(SEARCH("Cukup,",INDEX(FORM!$H:$H,ROW()))),"CUKUP",IF(ISNUMBER(SEARCH("Kurang,",INDEX(FORM!$H:$H,ROW()))),"KURANG",""))))</f>
        <v/>
      </c>
      <c r="K264" s="8" t="str">
        <f>IF($A264="","",UPPER(TRIM(INDEX(FORM!$J:$J,ROW()))))</f>
        <v/>
      </c>
      <c r="L264" s="8" t="str">
        <f>IF($A264="","",IF(ISNUMBER(SEARCH("Aktivitas Harian",INDEX(FORM!$K:$K,ROW()))),1,0))</f>
        <v/>
      </c>
      <c r="M264" s="8" t="str">
        <f>IF($A264="","",IF(ISNUMBER(SEARCH("Aktivitas Mingguan",INDEX(FORM!$K:$K,ROW()))),1,0))</f>
        <v/>
      </c>
      <c r="N264" s="8" t="str">
        <f>IF($A264="","",IF(ISNUMBER(SEARCH("Aktivitas Bulanan",INDEX(FORM!$K:$K,ROW()))),1,0))</f>
        <v/>
      </c>
      <c r="O264" s="8" t="str">
        <f>IF($A264="","",IF(ISNUMBER(SEARCH("Overview Cabang",INDEX(FORM!$K:$K,ROW()))),1,0))</f>
        <v/>
      </c>
      <c r="P264" s="8" t="str">
        <f>IF($A264="","",IFERROR(VLOOKUP(I264,DATA!$AH$9:$AI$13,2,0),""))</f>
        <v/>
      </c>
      <c r="Q264" s="8" t="str">
        <f>IF($A264="","",IFERROR(VLOOKUP(J264,DATA!$AH$9:$AI$13,2,0),""))</f>
        <v/>
      </c>
      <c r="R264" s="8" t="str">
        <f>IF($A264="","",IFERROR(VLOOKUP(K264,DATA!$AH$9:$AI$13,2,0),""))</f>
        <v/>
      </c>
      <c r="S264" s="42" t="str">
        <f t="shared" si="88"/>
        <v/>
      </c>
      <c r="T264" s="8" t="str">
        <f>IF($A264="","",IF(COUNTIF($D$2:D264,D264)=1,1,0))</f>
        <v/>
      </c>
      <c r="U264" s="8" t="str">
        <f>IF($A264="","",IF(F264="-","Cabang tdk ada",IF(IFERROR(VLOOKUP(G264,#REF!,1,0),"")="","",IF(INDEX(DATA!$AH$2:$AH$5,MATCH(G264,DATA!$AI$2:$AI$5,0))&lt;&gt;F264,"Wilayah beda","OK"))))</f>
        <v/>
      </c>
      <c r="V264" s="8" t="str">
        <f>IF($A264="","",TRIM(INDEX(FORM!$I:$I,ROW())&amp;""))</f>
        <v/>
      </c>
      <c r="W264" s="8" t="str">
        <f>IF($A264="","",TRIM(INDEX(FORM!$L:$L,ROW())&amp;""))</f>
        <v/>
      </c>
      <c r="X264" s="8" t="str">
        <f>IF($A264="","",TRIM(INDEX(FORM!$M:$M,ROW())&amp;""))</f>
        <v/>
      </c>
      <c r="Y264" s="8" t="str">
        <f>IF($A264="","",IFERROR(MATCH(F264,DATA!$AH$2:$AH$5,0),9)*10000+A264)</f>
        <v/>
      </c>
      <c r="Z264" s="8" t="str">
        <f t="shared" si="89"/>
        <v/>
      </c>
      <c r="AA264" s="8" t="str">
        <f t="shared" si="90"/>
        <v/>
      </c>
      <c r="AB264" s="8" t="str">
        <f t="shared" si="91"/>
        <v/>
      </c>
      <c r="AC264" s="8"/>
      <c r="AD264" s="8"/>
      <c r="AE264" s="8"/>
      <c r="AK264" s="5" t="str">
        <f t="shared" si="92"/>
        <v/>
      </c>
      <c r="AL264" s="5" t="str">
        <f t="shared" si="93"/>
        <v/>
      </c>
      <c r="AM264" s="5" t="str">
        <f t="shared" si="94"/>
        <v/>
      </c>
      <c r="AN264" s="5" t="str">
        <f t="shared" si="95"/>
        <v/>
      </c>
      <c r="AO264" s="5" t="str">
        <f t="shared" si="96"/>
        <v/>
      </c>
      <c r="AP264" s="5" t="str">
        <f t="shared" si="97"/>
        <v/>
      </c>
      <c r="AQ264" s="5" t="str">
        <f t="shared" si="98"/>
        <v/>
      </c>
      <c r="AR264" s="5" t="str">
        <f t="shared" si="99"/>
        <v/>
      </c>
      <c r="AS264" s="5" t="str">
        <f t="shared" si="100"/>
        <v/>
      </c>
      <c r="AT264" s="5" t="str">
        <f t="shared" si="101"/>
        <v/>
      </c>
      <c r="AU264" s="5" t="str">
        <f t="shared" si="102"/>
        <v/>
      </c>
      <c r="AV264" s="5" t="str">
        <f t="shared" si="103"/>
        <v/>
      </c>
      <c r="AW264" s="5" t="str">
        <f t="shared" si="104"/>
        <v/>
      </c>
      <c r="AX264" s="5" t="str">
        <f t="shared" si="105"/>
        <v/>
      </c>
      <c r="AY264" s="5" t="str">
        <f t="shared" si="106"/>
        <v/>
      </c>
      <c r="AZ264" s="5" t="str">
        <f t="shared" si="107"/>
        <v/>
      </c>
      <c r="BA264" s="5" t="str">
        <f t="shared" si="108"/>
        <v/>
      </c>
      <c r="BB264" s="5" t="str">
        <f t="shared" si="109"/>
        <v/>
      </c>
    </row>
    <row r="265" spans="1:54" s="5" customFormat="1" hidden="1">
      <c r="A265" s="8" t="str">
        <f>IF(INDEX(FORM!$A:$A,ROW())="","",ROW()-1)</f>
        <v/>
      </c>
      <c r="B265" s="41" t="str">
        <f>IF($A265="","",INDEX(FORM!$A:$A,ROW()))</f>
        <v/>
      </c>
      <c r="C265" s="8" t="str">
        <f>IF($A265="","",TRIM(INDEX(FORM!$B:$B,ROW())))</f>
        <v/>
      </c>
      <c r="D265" s="8" t="str">
        <f>IF($A265="","",TRIM(INDEX(FORM!$C:$C,ROW())&amp;""))</f>
        <v/>
      </c>
      <c r="E265" s="8" t="str">
        <f>IF($A265="","",UPPER(TRIM(INDEX(FORM!$D:$D,ROW()))))</f>
        <v/>
      </c>
      <c r="F265" s="8" t="str">
        <f>IF($A265="","",IFERROR(INDEX(PROGRES!$A$2:$A$92,MATCH(E265,PROGRES!$B$2:$B$92,0)),"-"))</f>
        <v/>
      </c>
      <c r="G265" s="8" t="str">
        <f>IF($A265="","",UPPER(TRIM(INDEX(FORM!$F:$F,ROW()))))</f>
        <v/>
      </c>
      <c r="H265" s="8" t="str">
        <f>IF($A265="","",UPPER(TRIM(INDEX(FORM!$E:$E,ROW()))))</f>
        <v/>
      </c>
      <c r="I265" s="8" t="str">
        <f>IF($A265="","",UPPER(TRIM(INDEX(FORM!$G:$G,ROW()))))</f>
        <v/>
      </c>
      <c r="J265" s="8" t="str">
        <f>IF($A265="","",IF(ISNUMBER(SEARCH("Ya,",INDEX(FORM!$H:$H,ROW()))),"YA",IF(ISNUMBER(SEARCH("Cukup,",INDEX(FORM!$H:$H,ROW()))),"CUKUP",IF(ISNUMBER(SEARCH("Kurang,",INDEX(FORM!$H:$H,ROW()))),"KURANG",""))))</f>
        <v/>
      </c>
      <c r="K265" s="8" t="str">
        <f>IF($A265="","",UPPER(TRIM(INDEX(FORM!$J:$J,ROW()))))</f>
        <v/>
      </c>
      <c r="L265" s="8" t="str">
        <f>IF($A265="","",IF(ISNUMBER(SEARCH("Aktivitas Harian",INDEX(FORM!$K:$K,ROW()))),1,0))</f>
        <v/>
      </c>
      <c r="M265" s="8" t="str">
        <f>IF($A265="","",IF(ISNUMBER(SEARCH("Aktivitas Mingguan",INDEX(FORM!$K:$K,ROW()))),1,0))</f>
        <v/>
      </c>
      <c r="N265" s="8" t="str">
        <f>IF($A265="","",IF(ISNUMBER(SEARCH("Aktivitas Bulanan",INDEX(FORM!$K:$K,ROW()))),1,0))</f>
        <v/>
      </c>
      <c r="O265" s="8" t="str">
        <f>IF($A265="","",IF(ISNUMBER(SEARCH("Overview Cabang",INDEX(FORM!$K:$K,ROW()))),1,0))</f>
        <v/>
      </c>
      <c r="P265" s="8" t="str">
        <f>IF($A265="","",IFERROR(VLOOKUP(I265,DATA!$AH$9:$AI$13,2,0),""))</f>
        <v/>
      </c>
      <c r="Q265" s="8" t="str">
        <f>IF($A265="","",IFERROR(VLOOKUP(J265,DATA!$AH$9:$AI$13,2,0),""))</f>
        <v/>
      </c>
      <c r="R265" s="8" t="str">
        <f>IF($A265="","",IFERROR(VLOOKUP(K265,DATA!$AH$9:$AI$13,2,0),""))</f>
        <v/>
      </c>
      <c r="S265" s="42" t="str">
        <f t="shared" si="88"/>
        <v/>
      </c>
      <c r="T265" s="8" t="str">
        <f>IF($A265="","",IF(COUNTIF($D$2:D265,D265)=1,1,0))</f>
        <v/>
      </c>
      <c r="U265" s="8" t="str">
        <f>IF($A265="","",IF(F265="-","Cabang tdk ada",IF(IFERROR(VLOOKUP(G265,#REF!,1,0),"")="","",IF(INDEX(DATA!$AH$2:$AH$5,MATCH(G265,DATA!$AI$2:$AI$5,0))&lt;&gt;F265,"Wilayah beda","OK"))))</f>
        <v/>
      </c>
      <c r="V265" s="8" t="str">
        <f>IF($A265="","",TRIM(INDEX(FORM!$I:$I,ROW())&amp;""))</f>
        <v/>
      </c>
      <c r="W265" s="8" t="str">
        <f>IF($A265="","",TRIM(INDEX(FORM!$L:$L,ROW())&amp;""))</f>
        <v/>
      </c>
      <c r="X265" s="8" t="str">
        <f>IF($A265="","",TRIM(INDEX(FORM!$M:$M,ROW())&amp;""))</f>
        <v/>
      </c>
      <c r="Y265" s="8" t="str">
        <f>IF($A265="","",IFERROR(MATCH(F265,DATA!$AH$2:$AH$5,0),9)*10000+A265)</f>
        <v/>
      </c>
      <c r="Z265" s="8" t="str">
        <f t="shared" si="89"/>
        <v/>
      </c>
      <c r="AA265" s="8" t="str">
        <f t="shared" si="90"/>
        <v/>
      </c>
      <c r="AB265" s="8" t="str">
        <f t="shared" si="91"/>
        <v/>
      </c>
      <c r="AC265" s="8"/>
      <c r="AD265" s="8"/>
      <c r="AE265" s="8"/>
      <c r="AK265" s="5" t="str">
        <f t="shared" si="92"/>
        <v/>
      </c>
      <c r="AL265" s="5" t="str">
        <f t="shared" si="93"/>
        <v/>
      </c>
      <c r="AM265" s="5" t="str">
        <f t="shared" si="94"/>
        <v/>
      </c>
      <c r="AN265" s="5" t="str">
        <f t="shared" si="95"/>
        <v/>
      </c>
      <c r="AO265" s="5" t="str">
        <f t="shared" si="96"/>
        <v/>
      </c>
      <c r="AP265" s="5" t="str">
        <f t="shared" si="97"/>
        <v/>
      </c>
      <c r="AQ265" s="5" t="str">
        <f t="shared" si="98"/>
        <v/>
      </c>
      <c r="AR265" s="5" t="str">
        <f t="shared" si="99"/>
        <v/>
      </c>
      <c r="AS265" s="5" t="str">
        <f t="shared" si="100"/>
        <v/>
      </c>
      <c r="AT265" s="5" t="str">
        <f t="shared" si="101"/>
        <v/>
      </c>
      <c r="AU265" s="5" t="str">
        <f t="shared" si="102"/>
        <v/>
      </c>
      <c r="AV265" s="5" t="str">
        <f t="shared" si="103"/>
        <v/>
      </c>
      <c r="AW265" s="5" t="str">
        <f t="shared" si="104"/>
        <v/>
      </c>
      <c r="AX265" s="5" t="str">
        <f t="shared" si="105"/>
        <v/>
      </c>
      <c r="AY265" s="5" t="str">
        <f t="shared" si="106"/>
        <v/>
      </c>
      <c r="AZ265" s="5" t="str">
        <f t="shared" si="107"/>
        <v/>
      </c>
      <c r="BA265" s="5" t="str">
        <f t="shared" si="108"/>
        <v/>
      </c>
      <c r="BB265" s="5" t="str">
        <f t="shared" si="109"/>
        <v/>
      </c>
    </row>
    <row r="266" spans="1:54" s="5" customFormat="1" hidden="1">
      <c r="A266" s="8" t="str">
        <f>IF(INDEX(FORM!$A:$A,ROW())="","",ROW()-1)</f>
        <v/>
      </c>
      <c r="B266" s="41" t="str">
        <f>IF($A266="","",INDEX(FORM!$A:$A,ROW()))</f>
        <v/>
      </c>
      <c r="C266" s="8" t="str">
        <f>IF($A266="","",TRIM(INDEX(FORM!$B:$B,ROW())))</f>
        <v/>
      </c>
      <c r="D266" s="8" t="str">
        <f>IF($A266="","",TRIM(INDEX(FORM!$C:$C,ROW())&amp;""))</f>
        <v/>
      </c>
      <c r="E266" s="8" t="str">
        <f>IF($A266="","",UPPER(TRIM(INDEX(FORM!$D:$D,ROW()))))</f>
        <v/>
      </c>
      <c r="F266" s="8" t="str">
        <f>IF($A266="","",IFERROR(INDEX(PROGRES!$A$2:$A$92,MATCH(E266,PROGRES!$B$2:$B$92,0)),"-"))</f>
        <v/>
      </c>
      <c r="G266" s="8" t="str">
        <f>IF($A266="","",UPPER(TRIM(INDEX(FORM!$F:$F,ROW()))))</f>
        <v/>
      </c>
      <c r="H266" s="8" t="str">
        <f>IF($A266="","",UPPER(TRIM(INDEX(FORM!$E:$E,ROW()))))</f>
        <v/>
      </c>
      <c r="I266" s="8" t="str">
        <f>IF($A266="","",UPPER(TRIM(INDEX(FORM!$G:$G,ROW()))))</f>
        <v/>
      </c>
      <c r="J266" s="8" t="str">
        <f>IF($A266="","",IF(ISNUMBER(SEARCH("Ya,",INDEX(FORM!$H:$H,ROW()))),"YA",IF(ISNUMBER(SEARCH("Cukup,",INDEX(FORM!$H:$H,ROW()))),"CUKUP",IF(ISNUMBER(SEARCH("Kurang,",INDEX(FORM!$H:$H,ROW()))),"KURANG",""))))</f>
        <v/>
      </c>
      <c r="K266" s="8" t="str">
        <f>IF($A266="","",UPPER(TRIM(INDEX(FORM!$J:$J,ROW()))))</f>
        <v/>
      </c>
      <c r="L266" s="8" t="str">
        <f>IF($A266="","",IF(ISNUMBER(SEARCH("Aktivitas Harian",INDEX(FORM!$K:$K,ROW()))),1,0))</f>
        <v/>
      </c>
      <c r="M266" s="8" t="str">
        <f>IF($A266="","",IF(ISNUMBER(SEARCH("Aktivitas Mingguan",INDEX(FORM!$K:$K,ROW()))),1,0))</f>
        <v/>
      </c>
      <c r="N266" s="8" t="str">
        <f>IF($A266="","",IF(ISNUMBER(SEARCH("Aktivitas Bulanan",INDEX(FORM!$K:$K,ROW()))),1,0))</f>
        <v/>
      </c>
      <c r="O266" s="8" t="str">
        <f>IF($A266="","",IF(ISNUMBER(SEARCH("Overview Cabang",INDEX(FORM!$K:$K,ROW()))),1,0))</f>
        <v/>
      </c>
      <c r="P266" s="8" t="str">
        <f>IF($A266="","",IFERROR(VLOOKUP(I266,DATA!$AH$9:$AI$13,2,0),""))</f>
        <v/>
      </c>
      <c r="Q266" s="8" t="str">
        <f>IF($A266="","",IFERROR(VLOOKUP(J266,DATA!$AH$9:$AI$13,2,0),""))</f>
        <v/>
      </c>
      <c r="R266" s="8" t="str">
        <f>IF($A266="","",IFERROR(VLOOKUP(K266,DATA!$AH$9:$AI$13,2,0),""))</f>
        <v/>
      </c>
      <c r="S266" s="42" t="str">
        <f t="shared" si="88"/>
        <v/>
      </c>
      <c r="T266" s="8" t="str">
        <f>IF($A266="","",IF(COUNTIF($D$2:D266,D266)=1,1,0))</f>
        <v/>
      </c>
      <c r="U266" s="8" t="str">
        <f>IF($A266="","",IF(F266="-","Cabang tdk ada",IF(IFERROR(VLOOKUP(G266,#REF!,1,0),"")="","",IF(INDEX(DATA!$AH$2:$AH$5,MATCH(G266,DATA!$AI$2:$AI$5,0))&lt;&gt;F266,"Wilayah beda","OK"))))</f>
        <v/>
      </c>
      <c r="V266" s="8" t="str">
        <f>IF($A266="","",TRIM(INDEX(FORM!$I:$I,ROW())&amp;""))</f>
        <v/>
      </c>
      <c r="W266" s="8" t="str">
        <f>IF($A266="","",TRIM(INDEX(FORM!$L:$L,ROW())&amp;""))</f>
        <v/>
      </c>
      <c r="X266" s="8" t="str">
        <f>IF($A266="","",TRIM(INDEX(FORM!$M:$M,ROW())&amp;""))</f>
        <v/>
      </c>
      <c r="Y266" s="8" t="str">
        <f>IF($A266="","",IFERROR(MATCH(F266,DATA!$AH$2:$AH$5,0),9)*10000+A266)</f>
        <v/>
      </c>
      <c r="Z266" s="8" t="str">
        <f t="shared" si="89"/>
        <v/>
      </c>
      <c r="AA266" s="8" t="str">
        <f t="shared" si="90"/>
        <v/>
      </c>
      <c r="AB266" s="8" t="str">
        <f t="shared" si="91"/>
        <v/>
      </c>
      <c r="AC266" s="8"/>
      <c r="AD266" s="8"/>
      <c r="AE266" s="8"/>
      <c r="AK266" s="5" t="str">
        <f t="shared" si="92"/>
        <v/>
      </c>
      <c r="AL266" s="5" t="str">
        <f t="shared" si="93"/>
        <v/>
      </c>
      <c r="AM266" s="5" t="str">
        <f t="shared" si="94"/>
        <v/>
      </c>
      <c r="AN266" s="5" t="str">
        <f t="shared" si="95"/>
        <v/>
      </c>
      <c r="AO266" s="5" t="str">
        <f t="shared" si="96"/>
        <v/>
      </c>
      <c r="AP266" s="5" t="str">
        <f t="shared" si="97"/>
        <v/>
      </c>
      <c r="AQ266" s="5" t="str">
        <f t="shared" si="98"/>
        <v/>
      </c>
      <c r="AR266" s="5" t="str">
        <f t="shared" si="99"/>
        <v/>
      </c>
      <c r="AS266" s="5" t="str">
        <f t="shared" si="100"/>
        <v/>
      </c>
      <c r="AT266" s="5" t="str">
        <f t="shared" si="101"/>
        <v/>
      </c>
      <c r="AU266" s="5" t="str">
        <f t="shared" si="102"/>
        <v/>
      </c>
      <c r="AV266" s="5" t="str">
        <f t="shared" si="103"/>
        <v/>
      </c>
      <c r="AW266" s="5" t="str">
        <f t="shared" si="104"/>
        <v/>
      </c>
      <c r="AX266" s="5" t="str">
        <f t="shared" si="105"/>
        <v/>
      </c>
      <c r="AY266" s="5" t="str">
        <f t="shared" si="106"/>
        <v/>
      </c>
      <c r="AZ266" s="5" t="str">
        <f t="shared" si="107"/>
        <v/>
      </c>
      <c r="BA266" s="5" t="str">
        <f t="shared" si="108"/>
        <v/>
      </c>
      <c r="BB266" s="5" t="str">
        <f t="shared" si="109"/>
        <v/>
      </c>
    </row>
    <row r="267" spans="1:54" s="5" customFormat="1" hidden="1">
      <c r="A267" s="8" t="str">
        <f>IF(INDEX(FORM!$A:$A,ROW())="","",ROW()-1)</f>
        <v/>
      </c>
      <c r="B267" s="41" t="str">
        <f>IF($A267="","",INDEX(FORM!$A:$A,ROW()))</f>
        <v/>
      </c>
      <c r="C267" s="8" t="str">
        <f>IF($A267="","",TRIM(INDEX(FORM!$B:$B,ROW())))</f>
        <v/>
      </c>
      <c r="D267" s="8" t="str">
        <f>IF($A267="","",TRIM(INDEX(FORM!$C:$C,ROW())&amp;""))</f>
        <v/>
      </c>
      <c r="E267" s="8" t="str">
        <f>IF($A267="","",UPPER(TRIM(INDEX(FORM!$D:$D,ROW()))))</f>
        <v/>
      </c>
      <c r="F267" s="8" t="str">
        <f>IF($A267="","",IFERROR(INDEX(PROGRES!$A$2:$A$92,MATCH(E267,PROGRES!$B$2:$B$92,0)),"-"))</f>
        <v/>
      </c>
      <c r="G267" s="8" t="str">
        <f>IF($A267="","",UPPER(TRIM(INDEX(FORM!$F:$F,ROW()))))</f>
        <v/>
      </c>
      <c r="H267" s="8" t="str">
        <f>IF($A267="","",UPPER(TRIM(INDEX(FORM!$E:$E,ROW()))))</f>
        <v/>
      </c>
      <c r="I267" s="8" t="str">
        <f>IF($A267="","",UPPER(TRIM(INDEX(FORM!$G:$G,ROW()))))</f>
        <v/>
      </c>
      <c r="J267" s="8" t="str">
        <f>IF($A267="","",IF(ISNUMBER(SEARCH("Ya,",INDEX(FORM!$H:$H,ROW()))),"YA",IF(ISNUMBER(SEARCH("Cukup,",INDEX(FORM!$H:$H,ROW()))),"CUKUP",IF(ISNUMBER(SEARCH("Kurang,",INDEX(FORM!$H:$H,ROW()))),"KURANG",""))))</f>
        <v/>
      </c>
      <c r="K267" s="8" t="str">
        <f>IF($A267="","",UPPER(TRIM(INDEX(FORM!$J:$J,ROW()))))</f>
        <v/>
      </c>
      <c r="L267" s="8" t="str">
        <f>IF($A267="","",IF(ISNUMBER(SEARCH("Aktivitas Harian",INDEX(FORM!$K:$K,ROW()))),1,0))</f>
        <v/>
      </c>
      <c r="M267" s="8" t="str">
        <f>IF($A267="","",IF(ISNUMBER(SEARCH("Aktivitas Mingguan",INDEX(FORM!$K:$K,ROW()))),1,0))</f>
        <v/>
      </c>
      <c r="N267" s="8" t="str">
        <f>IF($A267="","",IF(ISNUMBER(SEARCH("Aktivitas Bulanan",INDEX(FORM!$K:$K,ROW()))),1,0))</f>
        <v/>
      </c>
      <c r="O267" s="8" t="str">
        <f>IF($A267="","",IF(ISNUMBER(SEARCH("Overview Cabang",INDEX(FORM!$K:$K,ROW()))),1,0))</f>
        <v/>
      </c>
      <c r="P267" s="8" t="str">
        <f>IF($A267="","",IFERROR(VLOOKUP(I267,DATA!$AH$9:$AI$13,2,0),""))</f>
        <v/>
      </c>
      <c r="Q267" s="8" t="str">
        <f>IF($A267="","",IFERROR(VLOOKUP(J267,DATA!$AH$9:$AI$13,2,0),""))</f>
        <v/>
      </c>
      <c r="R267" s="8" t="str">
        <f>IF($A267="","",IFERROR(VLOOKUP(K267,DATA!$AH$9:$AI$13,2,0),""))</f>
        <v/>
      </c>
      <c r="S267" s="42" t="str">
        <f t="shared" si="88"/>
        <v/>
      </c>
      <c r="T267" s="8" t="str">
        <f>IF($A267="","",IF(COUNTIF($D$2:D267,D267)=1,1,0))</f>
        <v/>
      </c>
      <c r="U267" s="8" t="str">
        <f>IF($A267="","",IF(F267="-","Cabang tdk ada",IF(IFERROR(VLOOKUP(G267,#REF!,1,0),"")="","",IF(INDEX(DATA!$AH$2:$AH$5,MATCH(G267,DATA!$AI$2:$AI$5,0))&lt;&gt;F267,"Wilayah beda","OK"))))</f>
        <v/>
      </c>
      <c r="V267" s="8" t="str">
        <f>IF($A267="","",TRIM(INDEX(FORM!$I:$I,ROW())&amp;""))</f>
        <v/>
      </c>
      <c r="W267" s="8" t="str">
        <f>IF($A267="","",TRIM(INDEX(FORM!$L:$L,ROW())&amp;""))</f>
        <v/>
      </c>
      <c r="X267" s="8" t="str">
        <f>IF($A267="","",TRIM(INDEX(FORM!$M:$M,ROW())&amp;""))</f>
        <v/>
      </c>
      <c r="Y267" s="8" t="str">
        <f>IF($A267="","",IFERROR(MATCH(F267,DATA!$AH$2:$AH$5,0),9)*10000+A267)</f>
        <v/>
      </c>
      <c r="Z267" s="8" t="str">
        <f t="shared" si="89"/>
        <v/>
      </c>
      <c r="AA267" s="8" t="str">
        <f t="shared" si="90"/>
        <v/>
      </c>
      <c r="AB267" s="8" t="str">
        <f t="shared" si="91"/>
        <v/>
      </c>
      <c r="AC267" s="8"/>
      <c r="AD267" s="8"/>
      <c r="AE267" s="8"/>
      <c r="AK267" s="5" t="str">
        <f t="shared" si="92"/>
        <v/>
      </c>
      <c r="AL267" s="5" t="str">
        <f t="shared" si="93"/>
        <v/>
      </c>
      <c r="AM267" s="5" t="str">
        <f t="shared" si="94"/>
        <v/>
      </c>
      <c r="AN267" s="5" t="str">
        <f t="shared" si="95"/>
        <v/>
      </c>
      <c r="AO267" s="5" t="str">
        <f t="shared" si="96"/>
        <v/>
      </c>
      <c r="AP267" s="5" t="str">
        <f t="shared" si="97"/>
        <v/>
      </c>
      <c r="AQ267" s="5" t="str">
        <f t="shared" si="98"/>
        <v/>
      </c>
      <c r="AR267" s="5" t="str">
        <f t="shared" si="99"/>
        <v/>
      </c>
      <c r="AS267" s="5" t="str">
        <f t="shared" si="100"/>
        <v/>
      </c>
      <c r="AT267" s="5" t="str">
        <f t="shared" si="101"/>
        <v/>
      </c>
      <c r="AU267" s="5" t="str">
        <f t="shared" si="102"/>
        <v/>
      </c>
      <c r="AV267" s="5" t="str">
        <f t="shared" si="103"/>
        <v/>
      </c>
      <c r="AW267" s="5" t="str">
        <f t="shared" si="104"/>
        <v/>
      </c>
      <c r="AX267" s="5" t="str">
        <f t="shared" si="105"/>
        <v/>
      </c>
      <c r="AY267" s="5" t="str">
        <f t="shared" si="106"/>
        <v/>
      </c>
      <c r="AZ267" s="5" t="str">
        <f t="shared" si="107"/>
        <v/>
      </c>
      <c r="BA267" s="5" t="str">
        <f t="shared" si="108"/>
        <v/>
      </c>
      <c r="BB267" s="5" t="str">
        <f t="shared" si="109"/>
        <v/>
      </c>
    </row>
    <row r="268" spans="1:54" s="5" customFormat="1" hidden="1">
      <c r="A268" s="8" t="str">
        <f>IF(INDEX(FORM!$A:$A,ROW())="","",ROW()-1)</f>
        <v/>
      </c>
      <c r="B268" s="41" t="str">
        <f>IF($A268="","",INDEX(FORM!$A:$A,ROW()))</f>
        <v/>
      </c>
      <c r="C268" s="8" t="str">
        <f>IF($A268="","",TRIM(INDEX(FORM!$B:$B,ROW())))</f>
        <v/>
      </c>
      <c r="D268" s="8" t="str">
        <f>IF($A268="","",TRIM(INDEX(FORM!$C:$C,ROW())&amp;""))</f>
        <v/>
      </c>
      <c r="E268" s="8" t="str">
        <f>IF($A268="","",UPPER(TRIM(INDEX(FORM!$D:$D,ROW()))))</f>
        <v/>
      </c>
      <c r="F268" s="8" t="str">
        <f>IF($A268="","",IFERROR(INDEX(PROGRES!$A$2:$A$92,MATCH(E268,PROGRES!$B$2:$B$92,0)),"-"))</f>
        <v/>
      </c>
      <c r="G268" s="8" t="str">
        <f>IF($A268="","",UPPER(TRIM(INDEX(FORM!$F:$F,ROW()))))</f>
        <v/>
      </c>
      <c r="H268" s="8" t="str">
        <f>IF($A268="","",UPPER(TRIM(INDEX(FORM!$E:$E,ROW()))))</f>
        <v/>
      </c>
      <c r="I268" s="8" t="str">
        <f>IF($A268="","",UPPER(TRIM(INDEX(FORM!$G:$G,ROW()))))</f>
        <v/>
      </c>
      <c r="J268" s="8" t="str">
        <f>IF($A268="","",IF(ISNUMBER(SEARCH("Ya,",INDEX(FORM!$H:$H,ROW()))),"YA",IF(ISNUMBER(SEARCH("Cukup,",INDEX(FORM!$H:$H,ROW()))),"CUKUP",IF(ISNUMBER(SEARCH("Kurang,",INDEX(FORM!$H:$H,ROW()))),"KURANG",""))))</f>
        <v/>
      </c>
      <c r="K268" s="8" t="str">
        <f>IF($A268="","",UPPER(TRIM(INDEX(FORM!$J:$J,ROW()))))</f>
        <v/>
      </c>
      <c r="L268" s="8" t="str">
        <f>IF($A268="","",IF(ISNUMBER(SEARCH("Aktivitas Harian",INDEX(FORM!$K:$K,ROW()))),1,0))</f>
        <v/>
      </c>
      <c r="M268" s="8" t="str">
        <f>IF($A268="","",IF(ISNUMBER(SEARCH("Aktivitas Mingguan",INDEX(FORM!$K:$K,ROW()))),1,0))</f>
        <v/>
      </c>
      <c r="N268" s="8" t="str">
        <f>IF($A268="","",IF(ISNUMBER(SEARCH("Aktivitas Bulanan",INDEX(FORM!$K:$K,ROW()))),1,0))</f>
        <v/>
      </c>
      <c r="O268" s="8" t="str">
        <f>IF($A268="","",IF(ISNUMBER(SEARCH("Overview Cabang",INDEX(FORM!$K:$K,ROW()))),1,0))</f>
        <v/>
      </c>
      <c r="P268" s="8" t="str">
        <f>IF($A268="","",IFERROR(VLOOKUP(I268,DATA!$AH$9:$AI$13,2,0),""))</f>
        <v/>
      </c>
      <c r="Q268" s="8" t="str">
        <f>IF($A268="","",IFERROR(VLOOKUP(J268,DATA!$AH$9:$AI$13,2,0),""))</f>
        <v/>
      </c>
      <c r="R268" s="8" t="str">
        <f>IF($A268="","",IFERROR(VLOOKUP(K268,DATA!$AH$9:$AI$13,2,0),""))</f>
        <v/>
      </c>
      <c r="S268" s="42" t="str">
        <f t="shared" si="88"/>
        <v/>
      </c>
      <c r="T268" s="8" t="str">
        <f>IF($A268="","",IF(COUNTIF($D$2:D268,D268)=1,1,0))</f>
        <v/>
      </c>
      <c r="U268" s="8" t="str">
        <f>IF($A268="","",IF(F268="-","Cabang tdk ada",IF(IFERROR(VLOOKUP(G268,#REF!,1,0),"")="","",IF(INDEX(DATA!$AH$2:$AH$5,MATCH(G268,DATA!$AI$2:$AI$5,0))&lt;&gt;F268,"Wilayah beda","OK"))))</f>
        <v/>
      </c>
      <c r="V268" s="8" t="str">
        <f>IF($A268="","",TRIM(INDEX(FORM!$I:$I,ROW())&amp;""))</f>
        <v/>
      </c>
      <c r="W268" s="8" t="str">
        <f>IF($A268="","",TRIM(INDEX(FORM!$L:$L,ROW())&amp;""))</f>
        <v/>
      </c>
      <c r="X268" s="8" t="str">
        <f>IF($A268="","",TRIM(INDEX(FORM!$M:$M,ROW())&amp;""))</f>
        <v/>
      </c>
      <c r="Y268" s="8" t="str">
        <f>IF($A268="","",IFERROR(MATCH(F268,DATA!$AH$2:$AH$5,0),9)*10000+A268)</f>
        <v/>
      </c>
      <c r="Z268" s="8" t="str">
        <f t="shared" si="89"/>
        <v/>
      </c>
      <c r="AA268" s="8" t="str">
        <f t="shared" si="90"/>
        <v/>
      </c>
      <c r="AB268" s="8" t="str">
        <f t="shared" si="91"/>
        <v/>
      </c>
      <c r="AC268" s="8"/>
      <c r="AD268" s="8"/>
      <c r="AE268" s="8"/>
      <c r="AK268" s="5" t="str">
        <f t="shared" si="92"/>
        <v/>
      </c>
      <c r="AL268" s="5" t="str">
        <f t="shared" si="93"/>
        <v/>
      </c>
      <c r="AM268" s="5" t="str">
        <f t="shared" si="94"/>
        <v/>
      </c>
      <c r="AN268" s="5" t="str">
        <f t="shared" si="95"/>
        <v/>
      </c>
      <c r="AO268" s="5" t="str">
        <f t="shared" si="96"/>
        <v/>
      </c>
      <c r="AP268" s="5" t="str">
        <f t="shared" si="97"/>
        <v/>
      </c>
      <c r="AQ268" s="5" t="str">
        <f t="shared" si="98"/>
        <v/>
      </c>
      <c r="AR268" s="5" t="str">
        <f t="shared" si="99"/>
        <v/>
      </c>
      <c r="AS268" s="5" t="str">
        <f t="shared" si="100"/>
        <v/>
      </c>
      <c r="AT268" s="5" t="str">
        <f t="shared" si="101"/>
        <v/>
      </c>
      <c r="AU268" s="5" t="str">
        <f t="shared" si="102"/>
        <v/>
      </c>
      <c r="AV268" s="5" t="str">
        <f t="shared" si="103"/>
        <v/>
      </c>
      <c r="AW268" s="5" t="str">
        <f t="shared" si="104"/>
        <v/>
      </c>
      <c r="AX268" s="5" t="str">
        <f t="shared" si="105"/>
        <v/>
      </c>
      <c r="AY268" s="5" t="str">
        <f t="shared" si="106"/>
        <v/>
      </c>
      <c r="AZ268" s="5" t="str">
        <f t="shared" si="107"/>
        <v/>
      </c>
      <c r="BA268" s="5" t="str">
        <f t="shared" si="108"/>
        <v/>
      </c>
      <c r="BB268" s="5" t="str">
        <f t="shared" si="109"/>
        <v/>
      </c>
    </row>
    <row r="269" spans="1:54" s="5" customFormat="1" hidden="1">
      <c r="A269" s="8" t="str">
        <f>IF(INDEX(FORM!$A:$A,ROW())="","",ROW()-1)</f>
        <v/>
      </c>
      <c r="B269" s="41" t="str">
        <f>IF($A269="","",INDEX(FORM!$A:$A,ROW()))</f>
        <v/>
      </c>
      <c r="C269" s="8" t="str">
        <f>IF($A269="","",TRIM(INDEX(FORM!$B:$B,ROW())))</f>
        <v/>
      </c>
      <c r="D269" s="8" t="str">
        <f>IF($A269="","",TRIM(INDEX(FORM!$C:$C,ROW())&amp;""))</f>
        <v/>
      </c>
      <c r="E269" s="8" t="str">
        <f>IF($A269="","",UPPER(TRIM(INDEX(FORM!$D:$D,ROW()))))</f>
        <v/>
      </c>
      <c r="F269" s="8" t="str">
        <f>IF($A269="","",IFERROR(INDEX(PROGRES!$A$2:$A$92,MATCH(E269,PROGRES!$B$2:$B$92,0)),"-"))</f>
        <v/>
      </c>
      <c r="G269" s="8" t="str">
        <f>IF($A269="","",UPPER(TRIM(INDEX(FORM!$F:$F,ROW()))))</f>
        <v/>
      </c>
      <c r="H269" s="8" t="str">
        <f>IF($A269="","",UPPER(TRIM(INDEX(FORM!$E:$E,ROW()))))</f>
        <v/>
      </c>
      <c r="I269" s="8" t="str">
        <f>IF($A269="","",UPPER(TRIM(INDEX(FORM!$G:$G,ROW()))))</f>
        <v/>
      </c>
      <c r="J269" s="8" t="str">
        <f>IF($A269="","",IF(ISNUMBER(SEARCH("Ya,",INDEX(FORM!$H:$H,ROW()))),"YA",IF(ISNUMBER(SEARCH("Cukup,",INDEX(FORM!$H:$H,ROW()))),"CUKUP",IF(ISNUMBER(SEARCH("Kurang,",INDEX(FORM!$H:$H,ROW()))),"KURANG",""))))</f>
        <v/>
      </c>
      <c r="K269" s="8" t="str">
        <f>IF($A269="","",UPPER(TRIM(INDEX(FORM!$J:$J,ROW()))))</f>
        <v/>
      </c>
      <c r="L269" s="8" t="str">
        <f>IF($A269="","",IF(ISNUMBER(SEARCH("Aktivitas Harian",INDEX(FORM!$K:$K,ROW()))),1,0))</f>
        <v/>
      </c>
      <c r="M269" s="8" t="str">
        <f>IF($A269="","",IF(ISNUMBER(SEARCH("Aktivitas Mingguan",INDEX(FORM!$K:$K,ROW()))),1,0))</f>
        <v/>
      </c>
      <c r="N269" s="8" t="str">
        <f>IF($A269="","",IF(ISNUMBER(SEARCH("Aktivitas Bulanan",INDEX(FORM!$K:$K,ROW()))),1,0))</f>
        <v/>
      </c>
      <c r="O269" s="8" t="str">
        <f>IF($A269="","",IF(ISNUMBER(SEARCH("Overview Cabang",INDEX(FORM!$K:$K,ROW()))),1,0))</f>
        <v/>
      </c>
      <c r="P269" s="8" t="str">
        <f>IF($A269="","",IFERROR(VLOOKUP(I269,DATA!$AH$9:$AI$13,2,0),""))</f>
        <v/>
      </c>
      <c r="Q269" s="8" t="str">
        <f>IF($A269="","",IFERROR(VLOOKUP(J269,DATA!$AH$9:$AI$13,2,0),""))</f>
        <v/>
      </c>
      <c r="R269" s="8" t="str">
        <f>IF($A269="","",IFERROR(VLOOKUP(K269,DATA!$AH$9:$AI$13,2,0),""))</f>
        <v/>
      </c>
      <c r="S269" s="42" t="str">
        <f t="shared" si="88"/>
        <v/>
      </c>
      <c r="T269" s="8" t="str">
        <f>IF($A269="","",IF(COUNTIF($D$2:D269,D269)=1,1,0))</f>
        <v/>
      </c>
      <c r="U269" s="8" t="str">
        <f>IF($A269="","",IF(F269="-","Cabang tdk ada",IF(IFERROR(VLOOKUP(G269,#REF!,1,0),"")="","",IF(INDEX(DATA!$AH$2:$AH$5,MATCH(G269,DATA!$AI$2:$AI$5,0))&lt;&gt;F269,"Wilayah beda","OK"))))</f>
        <v/>
      </c>
      <c r="V269" s="8" t="str">
        <f>IF($A269="","",TRIM(INDEX(FORM!$I:$I,ROW())&amp;""))</f>
        <v/>
      </c>
      <c r="W269" s="8" t="str">
        <f>IF($A269="","",TRIM(INDEX(FORM!$L:$L,ROW())&amp;""))</f>
        <v/>
      </c>
      <c r="X269" s="8" t="str">
        <f>IF($A269="","",TRIM(INDEX(FORM!$M:$M,ROW())&amp;""))</f>
        <v/>
      </c>
      <c r="Y269" s="8" t="str">
        <f>IF($A269="","",IFERROR(MATCH(F269,DATA!$AH$2:$AH$5,0),9)*10000+A269)</f>
        <v/>
      </c>
      <c r="Z269" s="8" t="str">
        <f t="shared" si="89"/>
        <v/>
      </c>
      <c r="AA269" s="8" t="str">
        <f t="shared" si="90"/>
        <v/>
      </c>
      <c r="AB269" s="8" t="str">
        <f t="shared" si="91"/>
        <v/>
      </c>
      <c r="AC269" s="8"/>
      <c r="AD269" s="8"/>
      <c r="AE269" s="8"/>
      <c r="AK269" s="5" t="str">
        <f t="shared" si="92"/>
        <v/>
      </c>
      <c r="AL269" s="5" t="str">
        <f t="shared" si="93"/>
        <v/>
      </c>
      <c r="AM269" s="5" t="str">
        <f t="shared" si="94"/>
        <v/>
      </c>
      <c r="AN269" s="5" t="str">
        <f t="shared" si="95"/>
        <v/>
      </c>
      <c r="AO269" s="5" t="str">
        <f t="shared" si="96"/>
        <v/>
      </c>
      <c r="AP269" s="5" t="str">
        <f t="shared" si="97"/>
        <v/>
      </c>
      <c r="AQ269" s="5" t="str">
        <f t="shared" si="98"/>
        <v/>
      </c>
      <c r="AR269" s="5" t="str">
        <f t="shared" si="99"/>
        <v/>
      </c>
      <c r="AS269" s="5" t="str">
        <f t="shared" si="100"/>
        <v/>
      </c>
      <c r="AT269" s="5" t="str">
        <f t="shared" si="101"/>
        <v/>
      </c>
      <c r="AU269" s="5" t="str">
        <f t="shared" si="102"/>
        <v/>
      </c>
      <c r="AV269" s="5" t="str">
        <f t="shared" si="103"/>
        <v/>
      </c>
      <c r="AW269" s="5" t="str">
        <f t="shared" si="104"/>
        <v/>
      </c>
      <c r="AX269" s="5" t="str">
        <f t="shared" si="105"/>
        <v/>
      </c>
      <c r="AY269" s="5" t="str">
        <f t="shared" si="106"/>
        <v/>
      </c>
      <c r="AZ269" s="5" t="str">
        <f t="shared" si="107"/>
        <v/>
      </c>
      <c r="BA269" s="5" t="str">
        <f t="shared" si="108"/>
        <v/>
      </c>
      <c r="BB269" s="5" t="str">
        <f t="shared" si="109"/>
        <v/>
      </c>
    </row>
    <row r="270" spans="1:54" s="5" customFormat="1" hidden="1">
      <c r="A270" s="8" t="str">
        <f>IF(INDEX(FORM!$A:$A,ROW())="","",ROW()-1)</f>
        <v/>
      </c>
      <c r="B270" s="41" t="str">
        <f>IF($A270="","",INDEX(FORM!$A:$A,ROW()))</f>
        <v/>
      </c>
      <c r="C270" s="8" t="str">
        <f>IF($A270="","",TRIM(INDEX(FORM!$B:$B,ROW())))</f>
        <v/>
      </c>
      <c r="D270" s="8" t="str">
        <f>IF($A270="","",TRIM(INDEX(FORM!$C:$C,ROW())&amp;""))</f>
        <v/>
      </c>
      <c r="E270" s="8" t="str">
        <f>IF($A270="","",UPPER(TRIM(INDEX(FORM!$D:$D,ROW()))))</f>
        <v/>
      </c>
      <c r="F270" s="8" t="str">
        <f>IF($A270="","",IFERROR(INDEX(PROGRES!$A$2:$A$92,MATCH(E270,PROGRES!$B$2:$B$92,0)),"-"))</f>
        <v/>
      </c>
      <c r="G270" s="8" t="str">
        <f>IF($A270="","",UPPER(TRIM(INDEX(FORM!$F:$F,ROW()))))</f>
        <v/>
      </c>
      <c r="H270" s="8" t="str">
        <f>IF($A270="","",UPPER(TRIM(INDEX(FORM!$E:$E,ROW()))))</f>
        <v/>
      </c>
      <c r="I270" s="8" t="str">
        <f>IF($A270="","",UPPER(TRIM(INDEX(FORM!$G:$G,ROW()))))</f>
        <v/>
      </c>
      <c r="J270" s="8" t="str">
        <f>IF($A270="","",IF(ISNUMBER(SEARCH("Ya,",INDEX(FORM!$H:$H,ROW()))),"YA",IF(ISNUMBER(SEARCH("Cukup,",INDEX(FORM!$H:$H,ROW()))),"CUKUP",IF(ISNUMBER(SEARCH("Kurang,",INDEX(FORM!$H:$H,ROW()))),"KURANG",""))))</f>
        <v/>
      </c>
      <c r="K270" s="8" t="str">
        <f>IF($A270="","",UPPER(TRIM(INDEX(FORM!$J:$J,ROW()))))</f>
        <v/>
      </c>
      <c r="L270" s="8" t="str">
        <f>IF($A270="","",IF(ISNUMBER(SEARCH("Aktivitas Harian",INDEX(FORM!$K:$K,ROW()))),1,0))</f>
        <v/>
      </c>
      <c r="M270" s="8" t="str">
        <f>IF($A270="","",IF(ISNUMBER(SEARCH("Aktivitas Mingguan",INDEX(FORM!$K:$K,ROW()))),1,0))</f>
        <v/>
      </c>
      <c r="N270" s="8" t="str">
        <f>IF($A270="","",IF(ISNUMBER(SEARCH("Aktivitas Bulanan",INDEX(FORM!$K:$K,ROW()))),1,0))</f>
        <v/>
      </c>
      <c r="O270" s="8" t="str">
        <f>IF($A270="","",IF(ISNUMBER(SEARCH("Overview Cabang",INDEX(FORM!$K:$K,ROW()))),1,0))</f>
        <v/>
      </c>
      <c r="P270" s="8" t="str">
        <f>IF($A270="","",IFERROR(VLOOKUP(I270,DATA!$AH$9:$AI$13,2,0),""))</f>
        <v/>
      </c>
      <c r="Q270" s="8" t="str">
        <f>IF($A270="","",IFERROR(VLOOKUP(J270,DATA!$AH$9:$AI$13,2,0),""))</f>
        <v/>
      </c>
      <c r="R270" s="8" t="str">
        <f>IF($A270="","",IFERROR(VLOOKUP(K270,DATA!$AH$9:$AI$13,2,0),""))</f>
        <v/>
      </c>
      <c r="S270" s="42" t="str">
        <f t="shared" si="88"/>
        <v/>
      </c>
      <c r="T270" s="8" t="str">
        <f>IF($A270="","",IF(COUNTIF($D$2:D270,D270)=1,1,0))</f>
        <v/>
      </c>
      <c r="U270" s="8" t="str">
        <f>IF($A270="","",IF(F270="-","Cabang tdk ada",IF(IFERROR(VLOOKUP(G270,#REF!,1,0),"")="","",IF(INDEX(DATA!$AH$2:$AH$5,MATCH(G270,DATA!$AI$2:$AI$5,0))&lt;&gt;F270,"Wilayah beda","OK"))))</f>
        <v/>
      </c>
      <c r="V270" s="8" t="str">
        <f>IF($A270="","",TRIM(INDEX(FORM!$I:$I,ROW())&amp;""))</f>
        <v/>
      </c>
      <c r="W270" s="8" t="str">
        <f>IF($A270="","",TRIM(INDEX(FORM!$L:$L,ROW())&amp;""))</f>
        <v/>
      </c>
      <c r="X270" s="8" t="str">
        <f>IF($A270="","",TRIM(INDEX(FORM!$M:$M,ROW())&amp;""))</f>
        <v/>
      </c>
      <c r="Y270" s="8" t="str">
        <f>IF($A270="","",IFERROR(MATCH(F270,DATA!$AH$2:$AH$5,0),9)*10000+A270)</f>
        <v/>
      </c>
      <c r="Z270" s="8" t="str">
        <f t="shared" si="89"/>
        <v/>
      </c>
      <c r="AA270" s="8" t="str">
        <f t="shared" si="90"/>
        <v/>
      </c>
      <c r="AB270" s="8" t="str">
        <f t="shared" si="91"/>
        <v/>
      </c>
      <c r="AC270" s="8"/>
      <c r="AD270" s="8"/>
      <c r="AE270" s="8"/>
      <c r="AK270" s="5" t="str">
        <f t="shared" si="92"/>
        <v/>
      </c>
      <c r="AL270" s="5" t="str">
        <f t="shared" si="93"/>
        <v/>
      </c>
      <c r="AM270" s="5" t="str">
        <f t="shared" si="94"/>
        <v/>
      </c>
      <c r="AN270" s="5" t="str">
        <f t="shared" si="95"/>
        <v/>
      </c>
      <c r="AO270" s="5" t="str">
        <f t="shared" si="96"/>
        <v/>
      </c>
      <c r="AP270" s="5" t="str">
        <f t="shared" si="97"/>
        <v/>
      </c>
      <c r="AQ270" s="5" t="str">
        <f t="shared" si="98"/>
        <v/>
      </c>
      <c r="AR270" s="5" t="str">
        <f t="shared" si="99"/>
        <v/>
      </c>
      <c r="AS270" s="5" t="str">
        <f t="shared" si="100"/>
        <v/>
      </c>
      <c r="AT270" s="5" t="str">
        <f t="shared" si="101"/>
        <v/>
      </c>
      <c r="AU270" s="5" t="str">
        <f t="shared" si="102"/>
        <v/>
      </c>
      <c r="AV270" s="5" t="str">
        <f t="shared" si="103"/>
        <v/>
      </c>
      <c r="AW270" s="5" t="str">
        <f t="shared" si="104"/>
        <v/>
      </c>
      <c r="AX270" s="5" t="str">
        <f t="shared" si="105"/>
        <v/>
      </c>
      <c r="AY270" s="5" t="str">
        <f t="shared" si="106"/>
        <v/>
      </c>
      <c r="AZ270" s="5" t="str">
        <f t="shared" si="107"/>
        <v/>
      </c>
      <c r="BA270" s="5" t="str">
        <f t="shared" si="108"/>
        <v/>
      </c>
      <c r="BB270" s="5" t="str">
        <f t="shared" si="109"/>
        <v/>
      </c>
    </row>
    <row r="271" spans="1:54" s="5" customFormat="1" hidden="1">
      <c r="A271" s="8" t="str">
        <f>IF(INDEX(FORM!$A:$A,ROW())="","",ROW()-1)</f>
        <v/>
      </c>
      <c r="B271" s="41" t="str">
        <f>IF($A271="","",INDEX(FORM!$A:$A,ROW()))</f>
        <v/>
      </c>
      <c r="C271" s="8" t="str">
        <f>IF($A271="","",TRIM(INDEX(FORM!$B:$B,ROW())))</f>
        <v/>
      </c>
      <c r="D271" s="8" t="str">
        <f>IF($A271="","",TRIM(INDEX(FORM!$C:$C,ROW())&amp;""))</f>
        <v/>
      </c>
      <c r="E271" s="8" t="str">
        <f>IF($A271="","",UPPER(TRIM(INDEX(FORM!$D:$D,ROW()))))</f>
        <v/>
      </c>
      <c r="F271" s="8" t="str">
        <f>IF($A271="","",IFERROR(INDEX(PROGRES!$A$2:$A$92,MATCH(E271,PROGRES!$B$2:$B$92,0)),"-"))</f>
        <v/>
      </c>
      <c r="G271" s="8" t="str">
        <f>IF($A271="","",UPPER(TRIM(INDEX(FORM!$F:$F,ROW()))))</f>
        <v/>
      </c>
      <c r="H271" s="8" t="str">
        <f>IF($A271="","",UPPER(TRIM(INDEX(FORM!$E:$E,ROW()))))</f>
        <v/>
      </c>
      <c r="I271" s="8" t="str">
        <f>IF($A271="","",UPPER(TRIM(INDEX(FORM!$G:$G,ROW()))))</f>
        <v/>
      </c>
      <c r="J271" s="8" t="str">
        <f>IF($A271="","",IF(ISNUMBER(SEARCH("Ya,",INDEX(FORM!$H:$H,ROW()))),"YA",IF(ISNUMBER(SEARCH("Cukup,",INDEX(FORM!$H:$H,ROW()))),"CUKUP",IF(ISNUMBER(SEARCH("Kurang,",INDEX(FORM!$H:$H,ROW()))),"KURANG",""))))</f>
        <v/>
      </c>
      <c r="K271" s="8" t="str">
        <f>IF($A271="","",UPPER(TRIM(INDEX(FORM!$J:$J,ROW()))))</f>
        <v/>
      </c>
      <c r="L271" s="8" t="str">
        <f>IF($A271="","",IF(ISNUMBER(SEARCH("Aktivitas Harian",INDEX(FORM!$K:$K,ROW()))),1,0))</f>
        <v/>
      </c>
      <c r="M271" s="8" t="str">
        <f>IF($A271="","",IF(ISNUMBER(SEARCH("Aktivitas Mingguan",INDEX(FORM!$K:$K,ROW()))),1,0))</f>
        <v/>
      </c>
      <c r="N271" s="8" t="str">
        <f>IF($A271="","",IF(ISNUMBER(SEARCH("Aktivitas Bulanan",INDEX(FORM!$K:$K,ROW()))),1,0))</f>
        <v/>
      </c>
      <c r="O271" s="8" t="str">
        <f>IF($A271="","",IF(ISNUMBER(SEARCH("Overview Cabang",INDEX(FORM!$K:$K,ROW()))),1,0))</f>
        <v/>
      </c>
      <c r="P271" s="8" t="str">
        <f>IF($A271="","",IFERROR(VLOOKUP(I271,DATA!$AH$9:$AI$13,2,0),""))</f>
        <v/>
      </c>
      <c r="Q271" s="8" t="str">
        <f>IF($A271="","",IFERROR(VLOOKUP(J271,DATA!$AH$9:$AI$13,2,0),""))</f>
        <v/>
      </c>
      <c r="R271" s="8" t="str">
        <f>IF($A271="","",IFERROR(VLOOKUP(K271,DATA!$AH$9:$AI$13,2,0),""))</f>
        <v/>
      </c>
      <c r="S271" s="42" t="str">
        <f t="shared" si="88"/>
        <v/>
      </c>
      <c r="T271" s="8" t="str">
        <f>IF($A271="","",IF(COUNTIF($D$2:D271,D271)=1,1,0))</f>
        <v/>
      </c>
      <c r="U271" s="8" t="str">
        <f>IF($A271="","",IF(F271="-","Cabang tdk ada",IF(IFERROR(VLOOKUP(G271,#REF!,1,0),"")="","",IF(INDEX(DATA!$AH$2:$AH$5,MATCH(G271,DATA!$AI$2:$AI$5,0))&lt;&gt;F271,"Wilayah beda","OK"))))</f>
        <v/>
      </c>
      <c r="V271" s="8" t="str">
        <f>IF($A271="","",TRIM(INDEX(FORM!$I:$I,ROW())&amp;""))</f>
        <v/>
      </c>
      <c r="W271" s="8" t="str">
        <f>IF($A271="","",TRIM(INDEX(FORM!$L:$L,ROW())&amp;""))</f>
        <v/>
      </c>
      <c r="X271" s="8" t="str">
        <f>IF($A271="","",TRIM(INDEX(FORM!$M:$M,ROW())&amp;""))</f>
        <v/>
      </c>
      <c r="Y271" s="8" t="str">
        <f>IF($A271="","",IFERROR(MATCH(F271,DATA!$AH$2:$AH$5,0),9)*10000+A271)</f>
        <v/>
      </c>
      <c r="Z271" s="8" t="str">
        <f t="shared" si="89"/>
        <v/>
      </c>
      <c r="AA271" s="8" t="str">
        <f t="shared" si="90"/>
        <v/>
      </c>
      <c r="AB271" s="8" t="str">
        <f t="shared" si="91"/>
        <v/>
      </c>
      <c r="AC271" s="8"/>
      <c r="AD271" s="8"/>
      <c r="AE271" s="8"/>
      <c r="AK271" s="5" t="str">
        <f t="shared" si="92"/>
        <v/>
      </c>
      <c r="AL271" s="5" t="str">
        <f t="shared" si="93"/>
        <v/>
      </c>
      <c r="AM271" s="5" t="str">
        <f t="shared" si="94"/>
        <v/>
      </c>
      <c r="AN271" s="5" t="str">
        <f t="shared" si="95"/>
        <v/>
      </c>
      <c r="AO271" s="5" t="str">
        <f t="shared" si="96"/>
        <v/>
      </c>
      <c r="AP271" s="5" t="str">
        <f t="shared" si="97"/>
        <v/>
      </c>
      <c r="AQ271" s="5" t="str">
        <f t="shared" si="98"/>
        <v/>
      </c>
      <c r="AR271" s="5" t="str">
        <f t="shared" si="99"/>
        <v/>
      </c>
      <c r="AS271" s="5" t="str">
        <f t="shared" si="100"/>
        <v/>
      </c>
      <c r="AT271" s="5" t="str">
        <f t="shared" si="101"/>
        <v/>
      </c>
      <c r="AU271" s="5" t="str">
        <f t="shared" si="102"/>
        <v/>
      </c>
      <c r="AV271" s="5" t="str">
        <f t="shared" si="103"/>
        <v/>
      </c>
      <c r="AW271" s="5" t="str">
        <f t="shared" si="104"/>
        <v/>
      </c>
      <c r="AX271" s="5" t="str">
        <f t="shared" si="105"/>
        <v/>
      </c>
      <c r="AY271" s="5" t="str">
        <f t="shared" si="106"/>
        <v/>
      </c>
      <c r="AZ271" s="5" t="str">
        <f t="shared" si="107"/>
        <v/>
      </c>
      <c r="BA271" s="5" t="str">
        <f t="shared" si="108"/>
        <v/>
      </c>
      <c r="BB271" s="5" t="str">
        <f t="shared" si="109"/>
        <v/>
      </c>
    </row>
    <row r="272" spans="1:54" s="5" customFormat="1" hidden="1">
      <c r="A272" s="8" t="str">
        <f>IF(INDEX(FORM!$A:$A,ROW())="","",ROW()-1)</f>
        <v/>
      </c>
      <c r="B272" s="41" t="str">
        <f>IF($A272="","",INDEX(FORM!$A:$A,ROW()))</f>
        <v/>
      </c>
      <c r="C272" s="8" t="str">
        <f>IF($A272="","",TRIM(INDEX(FORM!$B:$B,ROW())))</f>
        <v/>
      </c>
      <c r="D272" s="8" t="str">
        <f>IF($A272="","",TRIM(INDEX(FORM!$C:$C,ROW())&amp;""))</f>
        <v/>
      </c>
      <c r="E272" s="8" t="str">
        <f>IF($A272="","",UPPER(TRIM(INDEX(FORM!$D:$D,ROW()))))</f>
        <v/>
      </c>
      <c r="F272" s="8" t="str">
        <f>IF($A272="","",IFERROR(INDEX(PROGRES!$A$2:$A$92,MATCH(E272,PROGRES!$B$2:$B$92,0)),"-"))</f>
        <v/>
      </c>
      <c r="G272" s="8" t="str">
        <f>IF($A272="","",UPPER(TRIM(INDEX(FORM!$F:$F,ROW()))))</f>
        <v/>
      </c>
      <c r="H272" s="8" t="str">
        <f>IF($A272="","",UPPER(TRIM(INDEX(FORM!$E:$E,ROW()))))</f>
        <v/>
      </c>
      <c r="I272" s="8" t="str">
        <f>IF($A272="","",UPPER(TRIM(INDEX(FORM!$G:$G,ROW()))))</f>
        <v/>
      </c>
      <c r="J272" s="8" t="str">
        <f>IF($A272="","",IF(ISNUMBER(SEARCH("Ya,",INDEX(FORM!$H:$H,ROW()))),"YA",IF(ISNUMBER(SEARCH("Cukup,",INDEX(FORM!$H:$H,ROW()))),"CUKUP",IF(ISNUMBER(SEARCH("Kurang,",INDEX(FORM!$H:$H,ROW()))),"KURANG",""))))</f>
        <v/>
      </c>
      <c r="K272" s="8" t="str">
        <f>IF($A272="","",UPPER(TRIM(INDEX(FORM!$J:$J,ROW()))))</f>
        <v/>
      </c>
      <c r="L272" s="8" t="str">
        <f>IF($A272="","",IF(ISNUMBER(SEARCH("Aktivitas Harian",INDEX(FORM!$K:$K,ROW()))),1,0))</f>
        <v/>
      </c>
      <c r="M272" s="8" t="str">
        <f>IF($A272="","",IF(ISNUMBER(SEARCH("Aktivitas Mingguan",INDEX(FORM!$K:$K,ROW()))),1,0))</f>
        <v/>
      </c>
      <c r="N272" s="8" t="str">
        <f>IF($A272="","",IF(ISNUMBER(SEARCH("Aktivitas Bulanan",INDEX(FORM!$K:$K,ROW()))),1,0))</f>
        <v/>
      </c>
      <c r="O272" s="8" t="str">
        <f>IF($A272="","",IF(ISNUMBER(SEARCH("Overview Cabang",INDEX(FORM!$K:$K,ROW()))),1,0))</f>
        <v/>
      </c>
      <c r="P272" s="8" t="str">
        <f>IF($A272="","",IFERROR(VLOOKUP(I272,DATA!$AH$9:$AI$13,2,0),""))</f>
        <v/>
      </c>
      <c r="Q272" s="8" t="str">
        <f>IF($A272="","",IFERROR(VLOOKUP(J272,DATA!$AH$9:$AI$13,2,0),""))</f>
        <v/>
      </c>
      <c r="R272" s="8" t="str">
        <f>IF($A272="","",IFERROR(VLOOKUP(K272,DATA!$AH$9:$AI$13,2,0),""))</f>
        <v/>
      </c>
      <c r="S272" s="42" t="str">
        <f t="shared" si="88"/>
        <v/>
      </c>
      <c r="T272" s="8" t="str">
        <f>IF($A272="","",IF(COUNTIF($D$2:D272,D272)=1,1,0))</f>
        <v/>
      </c>
      <c r="U272" s="8" t="str">
        <f>IF($A272="","",IF(F272="-","Cabang tdk ada",IF(IFERROR(VLOOKUP(G272,#REF!,1,0),"")="","",IF(INDEX(DATA!$AH$2:$AH$5,MATCH(G272,DATA!$AI$2:$AI$5,0))&lt;&gt;F272,"Wilayah beda","OK"))))</f>
        <v/>
      </c>
      <c r="V272" s="8" t="str">
        <f>IF($A272="","",TRIM(INDEX(FORM!$I:$I,ROW())&amp;""))</f>
        <v/>
      </c>
      <c r="W272" s="8" t="str">
        <f>IF($A272="","",TRIM(INDEX(FORM!$L:$L,ROW())&amp;""))</f>
        <v/>
      </c>
      <c r="X272" s="8" t="str">
        <f>IF($A272="","",TRIM(INDEX(FORM!$M:$M,ROW())&amp;""))</f>
        <v/>
      </c>
      <c r="Y272" s="8" t="str">
        <f>IF($A272="","",IFERROR(MATCH(F272,DATA!$AH$2:$AH$5,0),9)*10000+A272)</f>
        <v/>
      </c>
      <c r="Z272" s="8" t="str">
        <f t="shared" si="89"/>
        <v/>
      </c>
      <c r="AA272" s="8" t="str">
        <f t="shared" si="90"/>
        <v/>
      </c>
      <c r="AB272" s="8" t="str">
        <f t="shared" si="91"/>
        <v/>
      </c>
      <c r="AC272" s="8"/>
      <c r="AD272" s="8"/>
      <c r="AE272" s="8"/>
      <c r="AK272" s="5" t="str">
        <f t="shared" si="92"/>
        <v/>
      </c>
      <c r="AL272" s="5" t="str">
        <f t="shared" si="93"/>
        <v/>
      </c>
      <c r="AM272" s="5" t="str">
        <f t="shared" si="94"/>
        <v/>
      </c>
      <c r="AN272" s="5" t="str">
        <f t="shared" si="95"/>
        <v/>
      </c>
      <c r="AO272" s="5" t="str">
        <f t="shared" si="96"/>
        <v/>
      </c>
      <c r="AP272" s="5" t="str">
        <f t="shared" si="97"/>
        <v/>
      </c>
      <c r="AQ272" s="5" t="str">
        <f t="shared" si="98"/>
        <v/>
      </c>
      <c r="AR272" s="5" t="str">
        <f t="shared" si="99"/>
        <v/>
      </c>
      <c r="AS272" s="5" t="str">
        <f t="shared" si="100"/>
        <v/>
      </c>
      <c r="AT272" s="5" t="str">
        <f t="shared" si="101"/>
        <v/>
      </c>
      <c r="AU272" s="5" t="str">
        <f t="shared" si="102"/>
        <v/>
      </c>
      <c r="AV272" s="5" t="str">
        <f t="shared" si="103"/>
        <v/>
      </c>
      <c r="AW272" s="5" t="str">
        <f t="shared" si="104"/>
        <v/>
      </c>
      <c r="AX272" s="5" t="str">
        <f t="shared" si="105"/>
        <v/>
      </c>
      <c r="AY272" s="5" t="str">
        <f t="shared" si="106"/>
        <v/>
      </c>
      <c r="AZ272" s="5" t="str">
        <f t="shared" si="107"/>
        <v/>
      </c>
      <c r="BA272" s="5" t="str">
        <f t="shared" si="108"/>
        <v/>
      </c>
      <c r="BB272" s="5" t="str">
        <f t="shared" si="109"/>
        <v/>
      </c>
    </row>
    <row r="273" spans="1:54" s="5" customFormat="1" hidden="1">
      <c r="A273" s="8" t="str">
        <f>IF(INDEX(FORM!$A:$A,ROW())="","",ROW()-1)</f>
        <v/>
      </c>
      <c r="B273" s="41" t="str">
        <f>IF($A273="","",INDEX(FORM!$A:$A,ROW()))</f>
        <v/>
      </c>
      <c r="C273" s="8" t="str">
        <f>IF($A273="","",TRIM(INDEX(FORM!$B:$B,ROW())))</f>
        <v/>
      </c>
      <c r="D273" s="8" t="str">
        <f>IF($A273="","",TRIM(INDEX(FORM!$C:$C,ROW())&amp;""))</f>
        <v/>
      </c>
      <c r="E273" s="8" t="str">
        <f>IF($A273="","",UPPER(TRIM(INDEX(FORM!$D:$D,ROW()))))</f>
        <v/>
      </c>
      <c r="F273" s="8" t="str">
        <f>IF($A273="","",IFERROR(INDEX(PROGRES!$A$2:$A$92,MATCH(E273,PROGRES!$B$2:$B$92,0)),"-"))</f>
        <v/>
      </c>
      <c r="G273" s="8" t="str">
        <f>IF($A273="","",UPPER(TRIM(INDEX(FORM!$F:$F,ROW()))))</f>
        <v/>
      </c>
      <c r="H273" s="8" t="str">
        <f>IF($A273="","",UPPER(TRIM(INDEX(FORM!$E:$E,ROW()))))</f>
        <v/>
      </c>
      <c r="I273" s="8" t="str">
        <f>IF($A273="","",UPPER(TRIM(INDEX(FORM!$G:$G,ROW()))))</f>
        <v/>
      </c>
      <c r="J273" s="8" t="str">
        <f>IF($A273="","",IF(ISNUMBER(SEARCH("Ya,",INDEX(FORM!$H:$H,ROW()))),"YA",IF(ISNUMBER(SEARCH("Cukup,",INDEX(FORM!$H:$H,ROW()))),"CUKUP",IF(ISNUMBER(SEARCH("Kurang,",INDEX(FORM!$H:$H,ROW()))),"KURANG",""))))</f>
        <v/>
      </c>
      <c r="K273" s="8" t="str">
        <f>IF($A273="","",UPPER(TRIM(INDEX(FORM!$J:$J,ROW()))))</f>
        <v/>
      </c>
      <c r="L273" s="8" t="str">
        <f>IF($A273="","",IF(ISNUMBER(SEARCH("Aktivitas Harian",INDEX(FORM!$K:$K,ROW()))),1,0))</f>
        <v/>
      </c>
      <c r="M273" s="8" t="str">
        <f>IF($A273="","",IF(ISNUMBER(SEARCH("Aktivitas Mingguan",INDEX(FORM!$K:$K,ROW()))),1,0))</f>
        <v/>
      </c>
      <c r="N273" s="8" t="str">
        <f>IF($A273="","",IF(ISNUMBER(SEARCH("Aktivitas Bulanan",INDEX(FORM!$K:$K,ROW()))),1,0))</f>
        <v/>
      </c>
      <c r="O273" s="8" t="str">
        <f>IF($A273="","",IF(ISNUMBER(SEARCH("Overview Cabang",INDEX(FORM!$K:$K,ROW()))),1,0))</f>
        <v/>
      </c>
      <c r="P273" s="8" t="str">
        <f>IF($A273="","",IFERROR(VLOOKUP(I273,DATA!$AH$9:$AI$13,2,0),""))</f>
        <v/>
      </c>
      <c r="Q273" s="8" t="str">
        <f>IF($A273="","",IFERROR(VLOOKUP(J273,DATA!$AH$9:$AI$13,2,0),""))</f>
        <v/>
      </c>
      <c r="R273" s="8" t="str">
        <f>IF($A273="","",IFERROR(VLOOKUP(K273,DATA!$AH$9:$AI$13,2,0),""))</f>
        <v/>
      </c>
      <c r="S273" s="42" t="str">
        <f t="shared" si="88"/>
        <v/>
      </c>
      <c r="T273" s="8" t="str">
        <f>IF($A273="","",IF(COUNTIF($D$2:D273,D273)=1,1,0))</f>
        <v/>
      </c>
      <c r="U273" s="8" t="str">
        <f>IF($A273="","",IF(F273="-","Cabang tdk ada",IF(IFERROR(VLOOKUP(G273,#REF!,1,0),"")="","",IF(INDEX(DATA!$AH$2:$AH$5,MATCH(G273,DATA!$AI$2:$AI$5,0))&lt;&gt;F273,"Wilayah beda","OK"))))</f>
        <v/>
      </c>
      <c r="V273" s="8" t="str">
        <f>IF($A273="","",TRIM(INDEX(FORM!$I:$I,ROW())&amp;""))</f>
        <v/>
      </c>
      <c r="W273" s="8" t="str">
        <f>IF($A273="","",TRIM(INDEX(FORM!$L:$L,ROW())&amp;""))</f>
        <v/>
      </c>
      <c r="X273" s="8" t="str">
        <f>IF($A273="","",TRIM(INDEX(FORM!$M:$M,ROW())&amp;""))</f>
        <v/>
      </c>
      <c r="Y273" s="8" t="str">
        <f>IF($A273="","",IFERROR(MATCH(F273,DATA!$AH$2:$AH$5,0),9)*10000+A273)</f>
        <v/>
      </c>
      <c r="Z273" s="8" t="str">
        <f t="shared" si="89"/>
        <v/>
      </c>
      <c r="AA273" s="8" t="str">
        <f t="shared" si="90"/>
        <v/>
      </c>
      <c r="AB273" s="8" t="str">
        <f t="shared" si="91"/>
        <v/>
      </c>
      <c r="AC273" s="8"/>
      <c r="AD273" s="8"/>
      <c r="AE273" s="8"/>
      <c r="AK273" s="5" t="str">
        <f t="shared" si="92"/>
        <v/>
      </c>
      <c r="AL273" s="5" t="str">
        <f t="shared" si="93"/>
        <v/>
      </c>
      <c r="AM273" s="5" t="str">
        <f t="shared" si="94"/>
        <v/>
      </c>
      <c r="AN273" s="5" t="str">
        <f t="shared" si="95"/>
        <v/>
      </c>
      <c r="AO273" s="5" t="str">
        <f t="shared" si="96"/>
        <v/>
      </c>
      <c r="AP273" s="5" t="str">
        <f t="shared" si="97"/>
        <v/>
      </c>
      <c r="AQ273" s="5" t="str">
        <f t="shared" si="98"/>
        <v/>
      </c>
      <c r="AR273" s="5" t="str">
        <f t="shared" si="99"/>
        <v/>
      </c>
      <c r="AS273" s="5" t="str">
        <f t="shared" si="100"/>
        <v/>
      </c>
      <c r="AT273" s="5" t="str">
        <f t="shared" si="101"/>
        <v/>
      </c>
      <c r="AU273" s="5" t="str">
        <f t="shared" si="102"/>
        <v/>
      </c>
      <c r="AV273" s="5" t="str">
        <f t="shared" si="103"/>
        <v/>
      </c>
      <c r="AW273" s="5" t="str">
        <f t="shared" si="104"/>
        <v/>
      </c>
      <c r="AX273" s="5" t="str">
        <f t="shared" si="105"/>
        <v/>
      </c>
      <c r="AY273" s="5" t="str">
        <f t="shared" si="106"/>
        <v/>
      </c>
      <c r="AZ273" s="5" t="str">
        <f t="shared" si="107"/>
        <v/>
      </c>
      <c r="BA273" s="5" t="str">
        <f t="shared" si="108"/>
        <v/>
      </c>
      <c r="BB273" s="5" t="str">
        <f t="shared" si="109"/>
        <v/>
      </c>
    </row>
    <row r="274" spans="1:54" s="5" customFormat="1" hidden="1">
      <c r="A274" s="8" t="str">
        <f>IF(INDEX(FORM!$A:$A,ROW())="","",ROW()-1)</f>
        <v/>
      </c>
      <c r="B274" s="41" t="str">
        <f>IF($A274="","",INDEX(FORM!$A:$A,ROW()))</f>
        <v/>
      </c>
      <c r="C274" s="8" t="str">
        <f>IF($A274="","",TRIM(INDEX(FORM!$B:$B,ROW())))</f>
        <v/>
      </c>
      <c r="D274" s="8" t="str">
        <f>IF($A274="","",TRIM(INDEX(FORM!$C:$C,ROW())&amp;""))</f>
        <v/>
      </c>
      <c r="E274" s="8" t="str">
        <f>IF($A274="","",UPPER(TRIM(INDEX(FORM!$D:$D,ROW()))))</f>
        <v/>
      </c>
      <c r="F274" s="8" t="str">
        <f>IF($A274="","",IFERROR(INDEX(PROGRES!$A$2:$A$92,MATCH(E274,PROGRES!$B$2:$B$92,0)),"-"))</f>
        <v/>
      </c>
      <c r="G274" s="8" t="str">
        <f>IF($A274="","",UPPER(TRIM(INDEX(FORM!$F:$F,ROW()))))</f>
        <v/>
      </c>
      <c r="H274" s="8" t="str">
        <f>IF($A274="","",UPPER(TRIM(INDEX(FORM!$E:$E,ROW()))))</f>
        <v/>
      </c>
      <c r="I274" s="8" t="str">
        <f>IF($A274="","",UPPER(TRIM(INDEX(FORM!$G:$G,ROW()))))</f>
        <v/>
      </c>
      <c r="J274" s="8" t="str">
        <f>IF($A274="","",IF(ISNUMBER(SEARCH("Ya,",INDEX(FORM!$H:$H,ROW()))),"YA",IF(ISNUMBER(SEARCH("Cukup,",INDEX(FORM!$H:$H,ROW()))),"CUKUP",IF(ISNUMBER(SEARCH("Kurang,",INDEX(FORM!$H:$H,ROW()))),"KURANG",""))))</f>
        <v/>
      </c>
      <c r="K274" s="8" t="str">
        <f>IF($A274="","",UPPER(TRIM(INDEX(FORM!$J:$J,ROW()))))</f>
        <v/>
      </c>
      <c r="L274" s="8" t="str">
        <f>IF($A274="","",IF(ISNUMBER(SEARCH("Aktivitas Harian",INDEX(FORM!$K:$K,ROW()))),1,0))</f>
        <v/>
      </c>
      <c r="M274" s="8" t="str">
        <f>IF($A274="","",IF(ISNUMBER(SEARCH("Aktivitas Mingguan",INDEX(FORM!$K:$K,ROW()))),1,0))</f>
        <v/>
      </c>
      <c r="N274" s="8" t="str">
        <f>IF($A274="","",IF(ISNUMBER(SEARCH("Aktivitas Bulanan",INDEX(FORM!$K:$K,ROW()))),1,0))</f>
        <v/>
      </c>
      <c r="O274" s="8" t="str">
        <f>IF($A274="","",IF(ISNUMBER(SEARCH("Overview Cabang",INDEX(FORM!$K:$K,ROW()))),1,0))</f>
        <v/>
      </c>
      <c r="P274" s="8" t="str">
        <f>IF($A274="","",IFERROR(VLOOKUP(I274,DATA!$AH$9:$AI$13,2,0),""))</f>
        <v/>
      </c>
      <c r="Q274" s="8" t="str">
        <f>IF($A274="","",IFERROR(VLOOKUP(J274,DATA!$AH$9:$AI$13,2,0),""))</f>
        <v/>
      </c>
      <c r="R274" s="8" t="str">
        <f>IF($A274="","",IFERROR(VLOOKUP(K274,DATA!$AH$9:$AI$13,2,0),""))</f>
        <v/>
      </c>
      <c r="S274" s="42" t="str">
        <f t="shared" si="88"/>
        <v/>
      </c>
      <c r="T274" s="8" t="str">
        <f>IF($A274="","",IF(COUNTIF($D$2:D274,D274)=1,1,0))</f>
        <v/>
      </c>
      <c r="U274" s="8" t="str">
        <f>IF($A274="","",IF(F274="-","Cabang tdk ada",IF(IFERROR(VLOOKUP(G274,#REF!,1,0),"")="","",IF(INDEX(DATA!$AH$2:$AH$5,MATCH(G274,DATA!$AI$2:$AI$5,0))&lt;&gt;F274,"Wilayah beda","OK"))))</f>
        <v/>
      </c>
      <c r="V274" s="8" t="str">
        <f>IF($A274="","",TRIM(INDEX(FORM!$I:$I,ROW())&amp;""))</f>
        <v/>
      </c>
      <c r="W274" s="8" t="str">
        <f>IF($A274="","",TRIM(INDEX(FORM!$L:$L,ROW())&amp;""))</f>
        <v/>
      </c>
      <c r="X274" s="8" t="str">
        <f>IF($A274="","",TRIM(INDEX(FORM!$M:$M,ROW())&amp;""))</f>
        <v/>
      </c>
      <c r="Y274" s="8" t="str">
        <f>IF($A274="","",IFERROR(MATCH(F274,DATA!$AH$2:$AH$5,0),9)*10000+A274)</f>
        <v/>
      </c>
      <c r="Z274" s="8" t="str">
        <f t="shared" si="89"/>
        <v/>
      </c>
      <c r="AA274" s="8" t="str">
        <f t="shared" si="90"/>
        <v/>
      </c>
      <c r="AB274" s="8" t="str">
        <f t="shared" si="91"/>
        <v/>
      </c>
      <c r="AC274" s="8"/>
      <c r="AD274" s="8"/>
      <c r="AE274" s="8"/>
      <c r="AK274" s="5" t="str">
        <f t="shared" si="92"/>
        <v/>
      </c>
      <c r="AL274" s="5" t="str">
        <f t="shared" si="93"/>
        <v/>
      </c>
      <c r="AM274" s="5" t="str">
        <f t="shared" si="94"/>
        <v/>
      </c>
      <c r="AN274" s="5" t="str">
        <f t="shared" si="95"/>
        <v/>
      </c>
      <c r="AO274" s="5" t="str">
        <f t="shared" si="96"/>
        <v/>
      </c>
      <c r="AP274" s="5" t="str">
        <f t="shared" si="97"/>
        <v/>
      </c>
      <c r="AQ274" s="5" t="str">
        <f t="shared" si="98"/>
        <v/>
      </c>
      <c r="AR274" s="5" t="str">
        <f t="shared" si="99"/>
        <v/>
      </c>
      <c r="AS274" s="5" t="str">
        <f t="shared" si="100"/>
        <v/>
      </c>
      <c r="AT274" s="5" t="str">
        <f t="shared" si="101"/>
        <v/>
      </c>
      <c r="AU274" s="5" t="str">
        <f t="shared" si="102"/>
        <v/>
      </c>
      <c r="AV274" s="5" t="str">
        <f t="shared" si="103"/>
        <v/>
      </c>
      <c r="AW274" s="5" t="str">
        <f t="shared" si="104"/>
        <v/>
      </c>
      <c r="AX274" s="5" t="str">
        <f t="shared" si="105"/>
        <v/>
      </c>
      <c r="AY274" s="5" t="str">
        <f t="shared" si="106"/>
        <v/>
      </c>
      <c r="AZ274" s="5" t="str">
        <f t="shared" si="107"/>
        <v/>
      </c>
      <c r="BA274" s="5" t="str">
        <f t="shared" si="108"/>
        <v/>
      </c>
      <c r="BB274" s="5" t="str">
        <f t="shared" si="109"/>
        <v/>
      </c>
    </row>
    <row r="275" spans="1:54" s="5" customFormat="1" hidden="1">
      <c r="A275" s="8" t="str">
        <f>IF(INDEX(FORM!$A:$A,ROW())="","",ROW()-1)</f>
        <v/>
      </c>
      <c r="B275" s="41" t="str">
        <f>IF($A275="","",INDEX(FORM!$A:$A,ROW()))</f>
        <v/>
      </c>
      <c r="C275" s="8" t="str">
        <f>IF($A275="","",TRIM(INDEX(FORM!$B:$B,ROW())))</f>
        <v/>
      </c>
      <c r="D275" s="8" t="str">
        <f>IF($A275="","",TRIM(INDEX(FORM!$C:$C,ROW())&amp;""))</f>
        <v/>
      </c>
      <c r="E275" s="8" t="str">
        <f>IF($A275="","",UPPER(TRIM(INDEX(FORM!$D:$D,ROW()))))</f>
        <v/>
      </c>
      <c r="F275" s="8" t="str">
        <f>IF($A275="","",IFERROR(INDEX(PROGRES!$A$2:$A$92,MATCH(E275,PROGRES!$B$2:$B$92,0)),"-"))</f>
        <v/>
      </c>
      <c r="G275" s="8" t="str">
        <f>IF($A275="","",UPPER(TRIM(INDEX(FORM!$F:$F,ROW()))))</f>
        <v/>
      </c>
      <c r="H275" s="8" t="str">
        <f>IF($A275="","",UPPER(TRIM(INDEX(FORM!$E:$E,ROW()))))</f>
        <v/>
      </c>
      <c r="I275" s="8" t="str">
        <f>IF($A275="","",UPPER(TRIM(INDEX(FORM!$G:$G,ROW()))))</f>
        <v/>
      </c>
      <c r="J275" s="8" t="str">
        <f>IF($A275="","",IF(ISNUMBER(SEARCH("Ya,",INDEX(FORM!$H:$H,ROW()))),"YA",IF(ISNUMBER(SEARCH("Cukup,",INDEX(FORM!$H:$H,ROW()))),"CUKUP",IF(ISNUMBER(SEARCH("Kurang,",INDEX(FORM!$H:$H,ROW()))),"KURANG",""))))</f>
        <v/>
      </c>
      <c r="K275" s="8" t="str">
        <f>IF($A275="","",UPPER(TRIM(INDEX(FORM!$J:$J,ROW()))))</f>
        <v/>
      </c>
      <c r="L275" s="8" t="str">
        <f>IF($A275="","",IF(ISNUMBER(SEARCH("Aktivitas Harian",INDEX(FORM!$K:$K,ROW()))),1,0))</f>
        <v/>
      </c>
      <c r="M275" s="8" t="str">
        <f>IF($A275="","",IF(ISNUMBER(SEARCH("Aktivitas Mingguan",INDEX(FORM!$K:$K,ROW()))),1,0))</f>
        <v/>
      </c>
      <c r="N275" s="8" t="str">
        <f>IF($A275="","",IF(ISNUMBER(SEARCH("Aktivitas Bulanan",INDEX(FORM!$K:$K,ROW()))),1,0))</f>
        <v/>
      </c>
      <c r="O275" s="8" t="str">
        <f>IF($A275="","",IF(ISNUMBER(SEARCH("Overview Cabang",INDEX(FORM!$K:$K,ROW()))),1,0))</f>
        <v/>
      </c>
      <c r="P275" s="8" t="str">
        <f>IF($A275="","",IFERROR(VLOOKUP(I275,DATA!$AH$9:$AI$13,2,0),""))</f>
        <v/>
      </c>
      <c r="Q275" s="8" t="str">
        <f>IF($A275="","",IFERROR(VLOOKUP(J275,DATA!$AH$9:$AI$13,2,0),""))</f>
        <v/>
      </c>
      <c r="R275" s="8" t="str">
        <f>IF($A275="","",IFERROR(VLOOKUP(K275,DATA!$AH$9:$AI$13,2,0),""))</f>
        <v/>
      </c>
      <c r="S275" s="42" t="str">
        <f t="shared" si="88"/>
        <v/>
      </c>
      <c r="T275" s="8" t="str">
        <f>IF($A275="","",IF(COUNTIF($D$2:D275,D275)=1,1,0))</f>
        <v/>
      </c>
      <c r="U275" s="8" t="str">
        <f>IF($A275="","",IF(F275="-","Cabang tdk ada",IF(IFERROR(VLOOKUP(G275,#REF!,1,0),"")="","",IF(INDEX(DATA!$AH$2:$AH$5,MATCH(G275,DATA!$AI$2:$AI$5,0))&lt;&gt;F275,"Wilayah beda","OK"))))</f>
        <v/>
      </c>
      <c r="V275" s="8" t="str">
        <f>IF($A275="","",TRIM(INDEX(FORM!$I:$I,ROW())&amp;""))</f>
        <v/>
      </c>
      <c r="W275" s="8" t="str">
        <f>IF($A275="","",TRIM(INDEX(FORM!$L:$L,ROW())&amp;""))</f>
        <v/>
      </c>
      <c r="X275" s="8" t="str">
        <f>IF($A275="","",TRIM(INDEX(FORM!$M:$M,ROW())&amp;""))</f>
        <v/>
      </c>
      <c r="Y275" s="8" t="str">
        <f>IF($A275="","",IFERROR(MATCH(F275,DATA!$AH$2:$AH$5,0),9)*10000+A275)</f>
        <v/>
      </c>
      <c r="Z275" s="8" t="str">
        <f t="shared" si="89"/>
        <v/>
      </c>
      <c r="AA275" s="8" t="str">
        <f t="shared" si="90"/>
        <v/>
      </c>
      <c r="AB275" s="8" t="str">
        <f t="shared" si="91"/>
        <v/>
      </c>
      <c r="AC275" s="8"/>
      <c r="AD275" s="8"/>
      <c r="AE275" s="8"/>
      <c r="AK275" s="5" t="str">
        <f t="shared" si="92"/>
        <v/>
      </c>
      <c r="AL275" s="5" t="str">
        <f t="shared" si="93"/>
        <v/>
      </c>
      <c r="AM275" s="5" t="str">
        <f t="shared" si="94"/>
        <v/>
      </c>
      <c r="AN275" s="5" t="str">
        <f t="shared" si="95"/>
        <v/>
      </c>
      <c r="AO275" s="5" t="str">
        <f t="shared" si="96"/>
        <v/>
      </c>
      <c r="AP275" s="5" t="str">
        <f t="shared" si="97"/>
        <v/>
      </c>
      <c r="AQ275" s="5" t="str">
        <f t="shared" si="98"/>
        <v/>
      </c>
      <c r="AR275" s="5" t="str">
        <f t="shared" si="99"/>
        <v/>
      </c>
      <c r="AS275" s="5" t="str">
        <f t="shared" si="100"/>
        <v/>
      </c>
      <c r="AT275" s="5" t="str">
        <f t="shared" si="101"/>
        <v/>
      </c>
      <c r="AU275" s="5" t="str">
        <f t="shared" si="102"/>
        <v/>
      </c>
      <c r="AV275" s="5" t="str">
        <f t="shared" si="103"/>
        <v/>
      </c>
      <c r="AW275" s="5" t="str">
        <f t="shared" si="104"/>
        <v/>
      </c>
      <c r="AX275" s="5" t="str">
        <f t="shared" si="105"/>
        <v/>
      </c>
      <c r="AY275" s="5" t="str">
        <f t="shared" si="106"/>
        <v/>
      </c>
      <c r="AZ275" s="5" t="str">
        <f t="shared" si="107"/>
        <v/>
      </c>
      <c r="BA275" s="5" t="str">
        <f t="shared" si="108"/>
        <v/>
      </c>
      <c r="BB275" s="5" t="str">
        <f t="shared" si="109"/>
        <v/>
      </c>
    </row>
    <row r="276" spans="1:54" s="5" customFormat="1" hidden="1">
      <c r="A276" s="8" t="str">
        <f>IF(INDEX(FORM!$A:$A,ROW())="","",ROW()-1)</f>
        <v/>
      </c>
      <c r="B276" s="41" t="str">
        <f>IF($A276="","",INDEX(FORM!$A:$A,ROW()))</f>
        <v/>
      </c>
      <c r="C276" s="8" t="str">
        <f>IF($A276="","",TRIM(INDEX(FORM!$B:$B,ROW())))</f>
        <v/>
      </c>
      <c r="D276" s="8" t="str">
        <f>IF($A276="","",TRIM(INDEX(FORM!$C:$C,ROW())&amp;""))</f>
        <v/>
      </c>
      <c r="E276" s="8" t="str">
        <f>IF($A276="","",UPPER(TRIM(INDEX(FORM!$D:$D,ROW()))))</f>
        <v/>
      </c>
      <c r="F276" s="8" t="str">
        <f>IF($A276="","",IFERROR(INDEX(PROGRES!$A$2:$A$92,MATCH(E276,PROGRES!$B$2:$B$92,0)),"-"))</f>
        <v/>
      </c>
      <c r="G276" s="8" t="str">
        <f>IF($A276="","",UPPER(TRIM(INDEX(FORM!$F:$F,ROW()))))</f>
        <v/>
      </c>
      <c r="H276" s="8" t="str">
        <f>IF($A276="","",UPPER(TRIM(INDEX(FORM!$E:$E,ROW()))))</f>
        <v/>
      </c>
      <c r="I276" s="8" t="str">
        <f>IF($A276="","",UPPER(TRIM(INDEX(FORM!$G:$G,ROW()))))</f>
        <v/>
      </c>
      <c r="J276" s="8" t="str">
        <f>IF($A276="","",IF(ISNUMBER(SEARCH("Ya,",INDEX(FORM!$H:$H,ROW()))),"YA",IF(ISNUMBER(SEARCH("Cukup,",INDEX(FORM!$H:$H,ROW()))),"CUKUP",IF(ISNUMBER(SEARCH("Kurang,",INDEX(FORM!$H:$H,ROW()))),"KURANG",""))))</f>
        <v/>
      </c>
      <c r="K276" s="8" t="str">
        <f>IF($A276="","",UPPER(TRIM(INDEX(FORM!$J:$J,ROW()))))</f>
        <v/>
      </c>
      <c r="L276" s="8" t="str">
        <f>IF($A276="","",IF(ISNUMBER(SEARCH("Aktivitas Harian",INDEX(FORM!$K:$K,ROW()))),1,0))</f>
        <v/>
      </c>
      <c r="M276" s="8" t="str">
        <f>IF($A276="","",IF(ISNUMBER(SEARCH("Aktivitas Mingguan",INDEX(FORM!$K:$K,ROW()))),1,0))</f>
        <v/>
      </c>
      <c r="N276" s="8" t="str">
        <f>IF($A276="","",IF(ISNUMBER(SEARCH("Aktivitas Bulanan",INDEX(FORM!$K:$K,ROW()))),1,0))</f>
        <v/>
      </c>
      <c r="O276" s="8" t="str">
        <f>IF($A276="","",IF(ISNUMBER(SEARCH("Overview Cabang",INDEX(FORM!$K:$K,ROW()))),1,0))</f>
        <v/>
      </c>
      <c r="P276" s="8" t="str">
        <f>IF($A276="","",IFERROR(VLOOKUP(I276,DATA!$AH$9:$AI$13,2,0),""))</f>
        <v/>
      </c>
      <c r="Q276" s="8" t="str">
        <f>IF($A276="","",IFERROR(VLOOKUP(J276,DATA!$AH$9:$AI$13,2,0),""))</f>
        <v/>
      </c>
      <c r="R276" s="8" t="str">
        <f>IF($A276="","",IFERROR(VLOOKUP(K276,DATA!$AH$9:$AI$13,2,0),""))</f>
        <v/>
      </c>
      <c r="S276" s="42" t="str">
        <f t="shared" si="88"/>
        <v/>
      </c>
      <c r="T276" s="8" t="str">
        <f>IF($A276="","",IF(COUNTIF($D$2:D276,D276)=1,1,0))</f>
        <v/>
      </c>
      <c r="U276" s="8" t="str">
        <f>IF($A276="","",IF(F276="-","Cabang tdk ada",IF(IFERROR(VLOOKUP(G276,#REF!,1,0),"")="","",IF(INDEX(DATA!$AH$2:$AH$5,MATCH(G276,DATA!$AI$2:$AI$5,0))&lt;&gt;F276,"Wilayah beda","OK"))))</f>
        <v/>
      </c>
      <c r="V276" s="8" t="str">
        <f>IF($A276="","",TRIM(INDEX(FORM!$I:$I,ROW())&amp;""))</f>
        <v/>
      </c>
      <c r="W276" s="8" t="str">
        <f>IF($A276="","",TRIM(INDEX(FORM!$L:$L,ROW())&amp;""))</f>
        <v/>
      </c>
      <c r="X276" s="8" t="str">
        <f>IF($A276="","",TRIM(INDEX(FORM!$M:$M,ROW())&amp;""))</f>
        <v/>
      </c>
      <c r="Y276" s="8" t="str">
        <f>IF($A276="","",IFERROR(MATCH(F276,DATA!$AH$2:$AH$5,0),9)*10000+A276)</f>
        <v/>
      </c>
      <c r="Z276" s="8" t="str">
        <f t="shared" si="89"/>
        <v/>
      </c>
      <c r="AA276" s="8" t="str">
        <f t="shared" si="90"/>
        <v/>
      </c>
      <c r="AB276" s="8" t="str">
        <f t="shared" si="91"/>
        <v/>
      </c>
      <c r="AC276" s="8"/>
      <c r="AD276" s="8"/>
      <c r="AE276" s="8"/>
      <c r="AK276" s="5" t="str">
        <f t="shared" si="92"/>
        <v/>
      </c>
      <c r="AL276" s="5" t="str">
        <f t="shared" si="93"/>
        <v/>
      </c>
      <c r="AM276" s="5" t="str">
        <f t="shared" si="94"/>
        <v/>
      </c>
      <c r="AN276" s="5" t="str">
        <f t="shared" si="95"/>
        <v/>
      </c>
      <c r="AO276" s="5" t="str">
        <f t="shared" si="96"/>
        <v/>
      </c>
      <c r="AP276" s="5" t="str">
        <f t="shared" si="97"/>
        <v/>
      </c>
      <c r="AQ276" s="5" t="str">
        <f t="shared" si="98"/>
        <v/>
      </c>
      <c r="AR276" s="5" t="str">
        <f t="shared" si="99"/>
        <v/>
      </c>
      <c r="AS276" s="5" t="str">
        <f t="shared" si="100"/>
        <v/>
      </c>
      <c r="AT276" s="5" t="str">
        <f t="shared" si="101"/>
        <v/>
      </c>
      <c r="AU276" s="5" t="str">
        <f t="shared" si="102"/>
        <v/>
      </c>
      <c r="AV276" s="5" t="str">
        <f t="shared" si="103"/>
        <v/>
      </c>
      <c r="AW276" s="5" t="str">
        <f t="shared" si="104"/>
        <v/>
      </c>
      <c r="AX276" s="5" t="str">
        <f t="shared" si="105"/>
        <v/>
      </c>
      <c r="AY276" s="5" t="str">
        <f t="shared" si="106"/>
        <v/>
      </c>
      <c r="AZ276" s="5" t="str">
        <f t="shared" si="107"/>
        <v/>
      </c>
      <c r="BA276" s="5" t="str">
        <f t="shared" si="108"/>
        <v/>
      </c>
      <c r="BB276" s="5" t="str">
        <f t="shared" si="109"/>
        <v/>
      </c>
    </row>
    <row r="277" spans="1:54" s="5" customFormat="1" hidden="1">
      <c r="A277" s="8" t="str">
        <f>IF(INDEX(FORM!$A:$A,ROW())="","",ROW()-1)</f>
        <v/>
      </c>
      <c r="B277" s="41" t="str">
        <f>IF($A277="","",INDEX(FORM!$A:$A,ROW()))</f>
        <v/>
      </c>
      <c r="C277" s="8" t="str">
        <f>IF($A277="","",TRIM(INDEX(FORM!$B:$B,ROW())))</f>
        <v/>
      </c>
      <c r="D277" s="8" t="str">
        <f>IF($A277="","",TRIM(INDEX(FORM!$C:$C,ROW())&amp;""))</f>
        <v/>
      </c>
      <c r="E277" s="8" t="str">
        <f>IF($A277="","",UPPER(TRIM(INDEX(FORM!$D:$D,ROW()))))</f>
        <v/>
      </c>
      <c r="F277" s="8" t="str">
        <f>IF($A277="","",IFERROR(INDEX(PROGRES!$A$2:$A$92,MATCH(E277,PROGRES!$B$2:$B$92,0)),"-"))</f>
        <v/>
      </c>
      <c r="G277" s="8" t="str">
        <f>IF($A277="","",UPPER(TRIM(INDEX(FORM!$F:$F,ROW()))))</f>
        <v/>
      </c>
      <c r="H277" s="8" t="str">
        <f>IF($A277="","",UPPER(TRIM(INDEX(FORM!$E:$E,ROW()))))</f>
        <v/>
      </c>
      <c r="I277" s="8" t="str">
        <f>IF($A277="","",UPPER(TRIM(INDEX(FORM!$G:$G,ROW()))))</f>
        <v/>
      </c>
      <c r="J277" s="8" t="str">
        <f>IF($A277="","",IF(ISNUMBER(SEARCH("Ya,",INDEX(FORM!$H:$H,ROW()))),"YA",IF(ISNUMBER(SEARCH("Cukup,",INDEX(FORM!$H:$H,ROW()))),"CUKUP",IF(ISNUMBER(SEARCH("Kurang,",INDEX(FORM!$H:$H,ROW()))),"KURANG",""))))</f>
        <v/>
      </c>
      <c r="K277" s="8" t="str">
        <f>IF($A277="","",UPPER(TRIM(INDEX(FORM!$J:$J,ROW()))))</f>
        <v/>
      </c>
      <c r="L277" s="8" t="str">
        <f>IF($A277="","",IF(ISNUMBER(SEARCH("Aktivitas Harian",INDEX(FORM!$K:$K,ROW()))),1,0))</f>
        <v/>
      </c>
      <c r="M277" s="8" t="str">
        <f>IF($A277="","",IF(ISNUMBER(SEARCH("Aktivitas Mingguan",INDEX(FORM!$K:$K,ROW()))),1,0))</f>
        <v/>
      </c>
      <c r="N277" s="8" t="str">
        <f>IF($A277="","",IF(ISNUMBER(SEARCH("Aktivitas Bulanan",INDEX(FORM!$K:$K,ROW()))),1,0))</f>
        <v/>
      </c>
      <c r="O277" s="8" t="str">
        <f>IF($A277="","",IF(ISNUMBER(SEARCH("Overview Cabang",INDEX(FORM!$K:$K,ROW()))),1,0))</f>
        <v/>
      </c>
      <c r="P277" s="8" t="str">
        <f>IF($A277="","",IFERROR(VLOOKUP(I277,DATA!$AH$9:$AI$13,2,0),""))</f>
        <v/>
      </c>
      <c r="Q277" s="8" t="str">
        <f>IF($A277="","",IFERROR(VLOOKUP(J277,DATA!$AH$9:$AI$13,2,0),""))</f>
        <v/>
      </c>
      <c r="R277" s="8" t="str">
        <f>IF($A277="","",IFERROR(VLOOKUP(K277,DATA!$AH$9:$AI$13,2,0),""))</f>
        <v/>
      </c>
      <c r="S277" s="42" t="str">
        <f t="shared" si="88"/>
        <v/>
      </c>
      <c r="T277" s="8" t="str">
        <f>IF($A277="","",IF(COUNTIF($D$2:D277,D277)=1,1,0))</f>
        <v/>
      </c>
      <c r="U277" s="8" t="str">
        <f>IF($A277="","",IF(F277="-","Cabang tdk ada",IF(IFERROR(VLOOKUP(G277,#REF!,1,0),"")="","",IF(INDEX(DATA!$AH$2:$AH$5,MATCH(G277,DATA!$AI$2:$AI$5,0))&lt;&gt;F277,"Wilayah beda","OK"))))</f>
        <v/>
      </c>
      <c r="V277" s="8" t="str">
        <f>IF($A277="","",TRIM(INDEX(FORM!$I:$I,ROW())&amp;""))</f>
        <v/>
      </c>
      <c r="W277" s="8" t="str">
        <f>IF($A277="","",TRIM(INDEX(FORM!$L:$L,ROW())&amp;""))</f>
        <v/>
      </c>
      <c r="X277" s="8" t="str">
        <f>IF($A277="","",TRIM(INDEX(FORM!$M:$M,ROW())&amp;""))</f>
        <v/>
      </c>
      <c r="Y277" s="8" t="str">
        <f>IF($A277="","",IFERROR(MATCH(F277,DATA!$AH$2:$AH$5,0),9)*10000+A277)</f>
        <v/>
      </c>
      <c r="Z277" s="8" t="str">
        <f t="shared" si="89"/>
        <v/>
      </c>
      <c r="AA277" s="8" t="str">
        <f t="shared" si="90"/>
        <v/>
      </c>
      <c r="AB277" s="8" t="str">
        <f t="shared" si="91"/>
        <v/>
      </c>
      <c r="AC277" s="8"/>
      <c r="AD277" s="8"/>
      <c r="AE277" s="8"/>
      <c r="AK277" s="5" t="str">
        <f t="shared" si="92"/>
        <v/>
      </c>
      <c r="AL277" s="5" t="str">
        <f t="shared" si="93"/>
        <v/>
      </c>
      <c r="AM277" s="5" t="str">
        <f t="shared" si="94"/>
        <v/>
      </c>
      <c r="AN277" s="5" t="str">
        <f t="shared" si="95"/>
        <v/>
      </c>
      <c r="AO277" s="5" t="str">
        <f t="shared" si="96"/>
        <v/>
      </c>
      <c r="AP277" s="5" t="str">
        <f t="shared" si="97"/>
        <v/>
      </c>
      <c r="AQ277" s="5" t="str">
        <f t="shared" si="98"/>
        <v/>
      </c>
      <c r="AR277" s="5" t="str">
        <f t="shared" si="99"/>
        <v/>
      </c>
      <c r="AS277" s="5" t="str">
        <f t="shared" si="100"/>
        <v/>
      </c>
      <c r="AT277" s="5" t="str">
        <f t="shared" si="101"/>
        <v/>
      </c>
      <c r="AU277" s="5" t="str">
        <f t="shared" si="102"/>
        <v/>
      </c>
      <c r="AV277" s="5" t="str">
        <f t="shared" si="103"/>
        <v/>
      </c>
      <c r="AW277" s="5" t="str">
        <f t="shared" si="104"/>
        <v/>
      </c>
      <c r="AX277" s="5" t="str">
        <f t="shared" si="105"/>
        <v/>
      </c>
      <c r="AY277" s="5" t="str">
        <f t="shared" si="106"/>
        <v/>
      </c>
      <c r="AZ277" s="5" t="str">
        <f t="shared" si="107"/>
        <v/>
      </c>
      <c r="BA277" s="5" t="str">
        <f t="shared" si="108"/>
        <v/>
      </c>
      <c r="BB277" s="5" t="str">
        <f t="shared" si="109"/>
        <v/>
      </c>
    </row>
    <row r="278" spans="1:54" s="5" customFormat="1" hidden="1">
      <c r="A278" s="8" t="str">
        <f>IF(INDEX(FORM!$A:$A,ROW())="","",ROW()-1)</f>
        <v/>
      </c>
      <c r="B278" s="41" t="str">
        <f>IF($A278="","",INDEX(FORM!$A:$A,ROW()))</f>
        <v/>
      </c>
      <c r="C278" s="8" t="str">
        <f>IF($A278="","",TRIM(INDEX(FORM!$B:$B,ROW())))</f>
        <v/>
      </c>
      <c r="D278" s="8" t="str">
        <f>IF($A278="","",TRIM(INDEX(FORM!$C:$C,ROW())&amp;""))</f>
        <v/>
      </c>
      <c r="E278" s="8" t="str">
        <f>IF($A278="","",UPPER(TRIM(INDEX(FORM!$D:$D,ROW()))))</f>
        <v/>
      </c>
      <c r="F278" s="8" t="str">
        <f>IF($A278="","",IFERROR(INDEX(PROGRES!$A$2:$A$92,MATCH(E278,PROGRES!$B$2:$B$92,0)),"-"))</f>
        <v/>
      </c>
      <c r="G278" s="8" t="str">
        <f>IF($A278="","",UPPER(TRIM(INDEX(FORM!$F:$F,ROW()))))</f>
        <v/>
      </c>
      <c r="H278" s="8" t="str">
        <f>IF($A278="","",UPPER(TRIM(INDEX(FORM!$E:$E,ROW()))))</f>
        <v/>
      </c>
      <c r="I278" s="8" t="str">
        <f>IF($A278="","",UPPER(TRIM(INDEX(FORM!$G:$G,ROW()))))</f>
        <v/>
      </c>
      <c r="J278" s="8" t="str">
        <f>IF($A278="","",IF(ISNUMBER(SEARCH("Ya,",INDEX(FORM!$H:$H,ROW()))),"YA",IF(ISNUMBER(SEARCH("Cukup,",INDEX(FORM!$H:$H,ROW()))),"CUKUP",IF(ISNUMBER(SEARCH("Kurang,",INDEX(FORM!$H:$H,ROW()))),"KURANG",""))))</f>
        <v/>
      </c>
      <c r="K278" s="8" t="str">
        <f>IF($A278="","",UPPER(TRIM(INDEX(FORM!$J:$J,ROW()))))</f>
        <v/>
      </c>
      <c r="L278" s="8" t="str">
        <f>IF($A278="","",IF(ISNUMBER(SEARCH("Aktivitas Harian",INDEX(FORM!$K:$K,ROW()))),1,0))</f>
        <v/>
      </c>
      <c r="M278" s="8" t="str">
        <f>IF($A278="","",IF(ISNUMBER(SEARCH("Aktivitas Mingguan",INDEX(FORM!$K:$K,ROW()))),1,0))</f>
        <v/>
      </c>
      <c r="N278" s="8" t="str">
        <f>IF($A278="","",IF(ISNUMBER(SEARCH("Aktivitas Bulanan",INDEX(FORM!$K:$K,ROW()))),1,0))</f>
        <v/>
      </c>
      <c r="O278" s="8" t="str">
        <f>IF($A278="","",IF(ISNUMBER(SEARCH("Overview Cabang",INDEX(FORM!$K:$K,ROW()))),1,0))</f>
        <v/>
      </c>
      <c r="P278" s="8" t="str">
        <f>IF($A278="","",IFERROR(VLOOKUP(I278,DATA!$AH$9:$AI$13,2,0),""))</f>
        <v/>
      </c>
      <c r="Q278" s="8" t="str">
        <f>IF($A278="","",IFERROR(VLOOKUP(J278,DATA!$AH$9:$AI$13,2,0),""))</f>
        <v/>
      </c>
      <c r="R278" s="8" t="str">
        <f>IF($A278="","",IFERROR(VLOOKUP(K278,DATA!$AH$9:$AI$13,2,0),""))</f>
        <v/>
      </c>
      <c r="S278" s="42" t="str">
        <f t="shared" si="88"/>
        <v/>
      </c>
      <c r="T278" s="8" t="str">
        <f>IF($A278="","",IF(COUNTIF($D$2:D278,D278)=1,1,0))</f>
        <v/>
      </c>
      <c r="U278" s="8" t="str">
        <f>IF($A278="","",IF(F278="-","Cabang tdk ada",IF(IFERROR(VLOOKUP(G278,#REF!,1,0),"")="","",IF(INDEX(DATA!$AH$2:$AH$5,MATCH(G278,DATA!$AI$2:$AI$5,0))&lt;&gt;F278,"Wilayah beda","OK"))))</f>
        <v/>
      </c>
      <c r="V278" s="8" t="str">
        <f>IF($A278="","",TRIM(INDEX(FORM!$I:$I,ROW())&amp;""))</f>
        <v/>
      </c>
      <c r="W278" s="8" t="str">
        <f>IF($A278="","",TRIM(INDEX(FORM!$L:$L,ROW())&amp;""))</f>
        <v/>
      </c>
      <c r="X278" s="8" t="str">
        <f>IF($A278="","",TRIM(INDEX(FORM!$M:$M,ROW())&amp;""))</f>
        <v/>
      </c>
      <c r="Y278" s="8" t="str">
        <f>IF($A278="","",IFERROR(MATCH(F278,DATA!$AH$2:$AH$5,0),9)*10000+A278)</f>
        <v/>
      </c>
      <c r="Z278" s="8" t="str">
        <f t="shared" si="89"/>
        <v/>
      </c>
      <c r="AA278" s="8" t="str">
        <f t="shared" si="90"/>
        <v/>
      </c>
      <c r="AB278" s="8" t="str">
        <f t="shared" si="91"/>
        <v/>
      </c>
      <c r="AC278" s="8"/>
      <c r="AD278" s="8"/>
      <c r="AE278" s="8"/>
      <c r="AK278" s="5" t="str">
        <f t="shared" si="92"/>
        <v/>
      </c>
      <c r="AL278" s="5" t="str">
        <f t="shared" si="93"/>
        <v/>
      </c>
      <c r="AM278" s="5" t="str">
        <f t="shared" si="94"/>
        <v/>
      </c>
      <c r="AN278" s="5" t="str">
        <f t="shared" si="95"/>
        <v/>
      </c>
      <c r="AO278" s="5" t="str">
        <f t="shared" si="96"/>
        <v/>
      </c>
      <c r="AP278" s="5" t="str">
        <f t="shared" si="97"/>
        <v/>
      </c>
      <c r="AQ278" s="5" t="str">
        <f t="shared" si="98"/>
        <v/>
      </c>
      <c r="AR278" s="5" t="str">
        <f t="shared" si="99"/>
        <v/>
      </c>
      <c r="AS278" s="5" t="str">
        <f t="shared" si="100"/>
        <v/>
      </c>
      <c r="AT278" s="5" t="str">
        <f t="shared" si="101"/>
        <v/>
      </c>
      <c r="AU278" s="5" t="str">
        <f t="shared" si="102"/>
        <v/>
      </c>
      <c r="AV278" s="5" t="str">
        <f t="shared" si="103"/>
        <v/>
      </c>
      <c r="AW278" s="5" t="str">
        <f t="shared" si="104"/>
        <v/>
      </c>
      <c r="AX278" s="5" t="str">
        <f t="shared" si="105"/>
        <v/>
      </c>
      <c r="AY278" s="5" t="str">
        <f t="shared" si="106"/>
        <v/>
      </c>
      <c r="AZ278" s="5" t="str">
        <f t="shared" si="107"/>
        <v/>
      </c>
      <c r="BA278" s="5" t="str">
        <f t="shared" si="108"/>
        <v/>
      </c>
      <c r="BB278" s="5" t="str">
        <f t="shared" si="109"/>
        <v/>
      </c>
    </row>
    <row r="279" spans="1:54" s="5" customFormat="1" hidden="1">
      <c r="A279" s="8" t="str">
        <f>IF(INDEX(FORM!$A:$A,ROW())="","",ROW()-1)</f>
        <v/>
      </c>
      <c r="B279" s="41" t="str">
        <f>IF($A279="","",INDEX(FORM!$A:$A,ROW()))</f>
        <v/>
      </c>
      <c r="C279" s="8" t="str">
        <f>IF($A279="","",TRIM(INDEX(FORM!$B:$B,ROW())))</f>
        <v/>
      </c>
      <c r="D279" s="8" t="str">
        <f>IF($A279="","",TRIM(INDEX(FORM!$C:$C,ROW())&amp;""))</f>
        <v/>
      </c>
      <c r="E279" s="8" t="str">
        <f>IF($A279="","",UPPER(TRIM(INDEX(FORM!$D:$D,ROW()))))</f>
        <v/>
      </c>
      <c r="F279" s="8" t="str">
        <f>IF($A279="","",IFERROR(INDEX(PROGRES!$A$2:$A$92,MATCH(E279,PROGRES!$B$2:$B$92,0)),"-"))</f>
        <v/>
      </c>
      <c r="G279" s="8" t="str">
        <f>IF($A279="","",UPPER(TRIM(INDEX(FORM!$F:$F,ROW()))))</f>
        <v/>
      </c>
      <c r="H279" s="8" t="str">
        <f>IF($A279="","",UPPER(TRIM(INDEX(FORM!$E:$E,ROW()))))</f>
        <v/>
      </c>
      <c r="I279" s="8" t="str">
        <f>IF($A279="","",UPPER(TRIM(INDEX(FORM!$G:$G,ROW()))))</f>
        <v/>
      </c>
      <c r="J279" s="8" t="str">
        <f>IF($A279="","",IF(ISNUMBER(SEARCH("Ya,",INDEX(FORM!$H:$H,ROW()))),"YA",IF(ISNUMBER(SEARCH("Cukup,",INDEX(FORM!$H:$H,ROW()))),"CUKUP",IF(ISNUMBER(SEARCH("Kurang,",INDEX(FORM!$H:$H,ROW()))),"KURANG",""))))</f>
        <v/>
      </c>
      <c r="K279" s="8" t="str">
        <f>IF($A279="","",UPPER(TRIM(INDEX(FORM!$J:$J,ROW()))))</f>
        <v/>
      </c>
      <c r="L279" s="8" t="str">
        <f>IF($A279="","",IF(ISNUMBER(SEARCH("Aktivitas Harian",INDEX(FORM!$K:$K,ROW()))),1,0))</f>
        <v/>
      </c>
      <c r="M279" s="8" t="str">
        <f>IF($A279="","",IF(ISNUMBER(SEARCH("Aktivitas Mingguan",INDEX(FORM!$K:$K,ROW()))),1,0))</f>
        <v/>
      </c>
      <c r="N279" s="8" t="str">
        <f>IF($A279="","",IF(ISNUMBER(SEARCH("Aktivitas Bulanan",INDEX(FORM!$K:$K,ROW()))),1,0))</f>
        <v/>
      </c>
      <c r="O279" s="8" t="str">
        <f>IF($A279="","",IF(ISNUMBER(SEARCH("Overview Cabang",INDEX(FORM!$K:$K,ROW()))),1,0))</f>
        <v/>
      </c>
      <c r="P279" s="8" t="str">
        <f>IF($A279="","",IFERROR(VLOOKUP(I279,DATA!$AH$9:$AI$13,2,0),""))</f>
        <v/>
      </c>
      <c r="Q279" s="8" t="str">
        <f>IF($A279="","",IFERROR(VLOOKUP(J279,DATA!$AH$9:$AI$13,2,0),""))</f>
        <v/>
      </c>
      <c r="R279" s="8" t="str">
        <f>IF($A279="","",IFERROR(VLOOKUP(K279,DATA!$AH$9:$AI$13,2,0),""))</f>
        <v/>
      </c>
      <c r="S279" s="42" t="str">
        <f t="shared" si="88"/>
        <v/>
      </c>
      <c r="T279" s="8" t="str">
        <f>IF($A279="","",IF(COUNTIF($D$2:D279,D279)=1,1,0))</f>
        <v/>
      </c>
      <c r="U279" s="8" t="str">
        <f>IF($A279="","",IF(F279="-","Cabang tdk ada",IF(IFERROR(VLOOKUP(G279,#REF!,1,0),"")="","",IF(INDEX(DATA!$AH$2:$AH$5,MATCH(G279,DATA!$AI$2:$AI$5,0))&lt;&gt;F279,"Wilayah beda","OK"))))</f>
        <v/>
      </c>
      <c r="V279" s="8" t="str">
        <f>IF($A279="","",TRIM(INDEX(FORM!$I:$I,ROW())&amp;""))</f>
        <v/>
      </c>
      <c r="W279" s="8" t="str">
        <f>IF($A279="","",TRIM(INDEX(FORM!$L:$L,ROW())&amp;""))</f>
        <v/>
      </c>
      <c r="X279" s="8" t="str">
        <f>IF($A279="","",TRIM(INDEX(FORM!$M:$M,ROW())&amp;""))</f>
        <v/>
      </c>
      <c r="Y279" s="8" t="str">
        <f>IF($A279="","",IFERROR(MATCH(F279,DATA!$AH$2:$AH$5,0),9)*10000+A279)</f>
        <v/>
      </c>
      <c r="Z279" s="8" t="str">
        <f t="shared" si="89"/>
        <v/>
      </c>
      <c r="AA279" s="8" t="str">
        <f t="shared" si="90"/>
        <v/>
      </c>
      <c r="AB279" s="8" t="str">
        <f t="shared" si="91"/>
        <v/>
      </c>
      <c r="AC279" s="8"/>
      <c r="AD279" s="8"/>
      <c r="AE279" s="8"/>
      <c r="AK279" s="5" t="str">
        <f t="shared" si="92"/>
        <v/>
      </c>
      <c r="AL279" s="5" t="str">
        <f t="shared" si="93"/>
        <v/>
      </c>
      <c r="AM279" s="5" t="str">
        <f t="shared" si="94"/>
        <v/>
      </c>
      <c r="AN279" s="5" t="str">
        <f t="shared" si="95"/>
        <v/>
      </c>
      <c r="AO279" s="5" t="str">
        <f t="shared" si="96"/>
        <v/>
      </c>
      <c r="AP279" s="5" t="str">
        <f t="shared" si="97"/>
        <v/>
      </c>
      <c r="AQ279" s="5" t="str">
        <f t="shared" si="98"/>
        <v/>
      </c>
      <c r="AR279" s="5" t="str">
        <f t="shared" si="99"/>
        <v/>
      </c>
      <c r="AS279" s="5" t="str">
        <f t="shared" si="100"/>
        <v/>
      </c>
      <c r="AT279" s="5" t="str">
        <f t="shared" si="101"/>
        <v/>
      </c>
      <c r="AU279" s="5" t="str">
        <f t="shared" si="102"/>
        <v/>
      </c>
      <c r="AV279" s="5" t="str">
        <f t="shared" si="103"/>
        <v/>
      </c>
      <c r="AW279" s="5" t="str">
        <f t="shared" si="104"/>
        <v/>
      </c>
      <c r="AX279" s="5" t="str">
        <f t="shared" si="105"/>
        <v/>
      </c>
      <c r="AY279" s="5" t="str">
        <f t="shared" si="106"/>
        <v/>
      </c>
      <c r="AZ279" s="5" t="str">
        <f t="shared" si="107"/>
        <v/>
      </c>
      <c r="BA279" s="5" t="str">
        <f t="shared" si="108"/>
        <v/>
      </c>
      <c r="BB279" s="5" t="str">
        <f t="shared" si="109"/>
        <v/>
      </c>
    </row>
    <row r="280" spans="1:54" s="5" customFormat="1" hidden="1">
      <c r="A280" s="8" t="str">
        <f>IF(INDEX(FORM!$A:$A,ROW())="","",ROW()-1)</f>
        <v/>
      </c>
      <c r="B280" s="41" t="str">
        <f>IF($A280="","",INDEX(FORM!$A:$A,ROW()))</f>
        <v/>
      </c>
      <c r="C280" s="8" t="str">
        <f>IF($A280="","",TRIM(INDEX(FORM!$B:$B,ROW())))</f>
        <v/>
      </c>
      <c r="D280" s="8" t="str">
        <f>IF($A280="","",TRIM(INDEX(FORM!$C:$C,ROW())&amp;""))</f>
        <v/>
      </c>
      <c r="E280" s="8" t="str">
        <f>IF($A280="","",UPPER(TRIM(INDEX(FORM!$D:$D,ROW()))))</f>
        <v/>
      </c>
      <c r="F280" s="8" t="str">
        <f>IF($A280="","",IFERROR(INDEX(PROGRES!$A$2:$A$92,MATCH(E280,PROGRES!$B$2:$B$92,0)),"-"))</f>
        <v/>
      </c>
      <c r="G280" s="8" t="str">
        <f>IF($A280="","",UPPER(TRIM(INDEX(FORM!$F:$F,ROW()))))</f>
        <v/>
      </c>
      <c r="H280" s="8" t="str">
        <f>IF($A280="","",UPPER(TRIM(INDEX(FORM!$E:$E,ROW()))))</f>
        <v/>
      </c>
      <c r="I280" s="8" t="str">
        <f>IF($A280="","",UPPER(TRIM(INDEX(FORM!$G:$G,ROW()))))</f>
        <v/>
      </c>
      <c r="J280" s="8" t="str">
        <f>IF($A280="","",IF(ISNUMBER(SEARCH("Ya,",INDEX(FORM!$H:$H,ROW()))),"YA",IF(ISNUMBER(SEARCH("Cukup,",INDEX(FORM!$H:$H,ROW()))),"CUKUP",IF(ISNUMBER(SEARCH("Kurang,",INDEX(FORM!$H:$H,ROW()))),"KURANG",""))))</f>
        <v/>
      </c>
      <c r="K280" s="8" t="str">
        <f>IF($A280="","",UPPER(TRIM(INDEX(FORM!$J:$J,ROW()))))</f>
        <v/>
      </c>
      <c r="L280" s="8" t="str">
        <f>IF($A280="","",IF(ISNUMBER(SEARCH("Aktivitas Harian",INDEX(FORM!$K:$K,ROW()))),1,0))</f>
        <v/>
      </c>
      <c r="M280" s="8" t="str">
        <f>IF($A280="","",IF(ISNUMBER(SEARCH("Aktivitas Mingguan",INDEX(FORM!$K:$K,ROW()))),1,0))</f>
        <v/>
      </c>
      <c r="N280" s="8" t="str">
        <f>IF($A280="","",IF(ISNUMBER(SEARCH("Aktivitas Bulanan",INDEX(FORM!$K:$K,ROW()))),1,0))</f>
        <v/>
      </c>
      <c r="O280" s="8" t="str">
        <f>IF($A280="","",IF(ISNUMBER(SEARCH("Overview Cabang",INDEX(FORM!$K:$K,ROW()))),1,0))</f>
        <v/>
      </c>
      <c r="P280" s="8" t="str">
        <f>IF($A280="","",IFERROR(VLOOKUP(I280,DATA!$AH$9:$AI$13,2,0),""))</f>
        <v/>
      </c>
      <c r="Q280" s="8" t="str">
        <f>IF($A280="","",IFERROR(VLOOKUP(J280,DATA!$AH$9:$AI$13,2,0),""))</f>
        <v/>
      </c>
      <c r="R280" s="8" t="str">
        <f>IF($A280="","",IFERROR(VLOOKUP(K280,DATA!$AH$9:$AI$13,2,0),""))</f>
        <v/>
      </c>
      <c r="S280" s="42" t="str">
        <f t="shared" si="88"/>
        <v/>
      </c>
      <c r="T280" s="8" t="str">
        <f>IF($A280="","",IF(COUNTIF($D$2:D280,D280)=1,1,0))</f>
        <v/>
      </c>
      <c r="U280" s="8" t="str">
        <f>IF($A280="","",IF(F280="-","Cabang tdk ada",IF(IFERROR(VLOOKUP(G280,#REF!,1,0),"")="","",IF(INDEX(DATA!$AH$2:$AH$5,MATCH(G280,DATA!$AI$2:$AI$5,0))&lt;&gt;F280,"Wilayah beda","OK"))))</f>
        <v/>
      </c>
      <c r="V280" s="8" t="str">
        <f>IF($A280="","",TRIM(INDEX(FORM!$I:$I,ROW())&amp;""))</f>
        <v/>
      </c>
      <c r="W280" s="8" t="str">
        <f>IF($A280="","",TRIM(INDEX(FORM!$L:$L,ROW())&amp;""))</f>
        <v/>
      </c>
      <c r="X280" s="8" t="str">
        <f>IF($A280="","",TRIM(INDEX(FORM!$M:$M,ROW())&amp;""))</f>
        <v/>
      </c>
      <c r="Y280" s="8" t="str">
        <f>IF($A280="","",IFERROR(MATCH(F280,DATA!$AH$2:$AH$5,0),9)*10000+A280)</f>
        <v/>
      </c>
      <c r="Z280" s="8" t="str">
        <f t="shared" si="89"/>
        <v/>
      </c>
      <c r="AA280" s="8" t="str">
        <f t="shared" si="90"/>
        <v/>
      </c>
      <c r="AB280" s="8" t="str">
        <f t="shared" si="91"/>
        <v/>
      </c>
      <c r="AC280" s="8"/>
      <c r="AD280" s="8"/>
      <c r="AE280" s="8"/>
      <c r="AK280" s="5" t="str">
        <f t="shared" si="92"/>
        <v/>
      </c>
      <c r="AL280" s="5" t="str">
        <f t="shared" si="93"/>
        <v/>
      </c>
      <c r="AM280" s="5" t="str">
        <f t="shared" si="94"/>
        <v/>
      </c>
      <c r="AN280" s="5" t="str">
        <f t="shared" si="95"/>
        <v/>
      </c>
      <c r="AO280" s="5" t="str">
        <f t="shared" si="96"/>
        <v/>
      </c>
      <c r="AP280" s="5" t="str">
        <f t="shared" si="97"/>
        <v/>
      </c>
      <c r="AQ280" s="5" t="str">
        <f t="shared" si="98"/>
        <v/>
      </c>
      <c r="AR280" s="5" t="str">
        <f t="shared" si="99"/>
        <v/>
      </c>
      <c r="AS280" s="5" t="str">
        <f t="shared" si="100"/>
        <v/>
      </c>
      <c r="AT280" s="5" t="str">
        <f t="shared" si="101"/>
        <v/>
      </c>
      <c r="AU280" s="5" t="str">
        <f t="shared" si="102"/>
        <v/>
      </c>
      <c r="AV280" s="5" t="str">
        <f t="shared" si="103"/>
        <v/>
      </c>
      <c r="AW280" s="5" t="str">
        <f t="shared" si="104"/>
        <v/>
      </c>
      <c r="AX280" s="5" t="str">
        <f t="shared" si="105"/>
        <v/>
      </c>
      <c r="AY280" s="5" t="str">
        <f t="shared" si="106"/>
        <v/>
      </c>
      <c r="AZ280" s="5" t="str">
        <f t="shared" si="107"/>
        <v/>
      </c>
      <c r="BA280" s="5" t="str">
        <f t="shared" si="108"/>
        <v/>
      </c>
      <c r="BB280" s="5" t="str">
        <f t="shared" si="109"/>
        <v/>
      </c>
    </row>
    <row r="281" spans="1:54" s="5" customFormat="1" hidden="1">
      <c r="A281" s="8" t="str">
        <f>IF(INDEX(FORM!$A:$A,ROW())="","",ROW()-1)</f>
        <v/>
      </c>
      <c r="B281" s="41" t="str">
        <f>IF($A281="","",INDEX(FORM!$A:$A,ROW()))</f>
        <v/>
      </c>
      <c r="C281" s="8" t="str">
        <f>IF($A281="","",TRIM(INDEX(FORM!$B:$B,ROW())))</f>
        <v/>
      </c>
      <c r="D281" s="8" t="str">
        <f>IF($A281="","",TRIM(INDEX(FORM!$C:$C,ROW())&amp;""))</f>
        <v/>
      </c>
      <c r="E281" s="8" t="str">
        <f>IF($A281="","",UPPER(TRIM(INDEX(FORM!$D:$D,ROW()))))</f>
        <v/>
      </c>
      <c r="F281" s="8" t="str">
        <f>IF($A281="","",IFERROR(INDEX(PROGRES!$A$2:$A$92,MATCH(E281,PROGRES!$B$2:$B$92,0)),"-"))</f>
        <v/>
      </c>
      <c r="G281" s="8" t="str">
        <f>IF($A281="","",UPPER(TRIM(INDEX(FORM!$F:$F,ROW()))))</f>
        <v/>
      </c>
      <c r="H281" s="8" t="str">
        <f>IF($A281="","",UPPER(TRIM(INDEX(FORM!$E:$E,ROW()))))</f>
        <v/>
      </c>
      <c r="I281" s="8" t="str">
        <f>IF($A281="","",UPPER(TRIM(INDEX(FORM!$G:$G,ROW()))))</f>
        <v/>
      </c>
      <c r="J281" s="8" t="str">
        <f>IF($A281="","",IF(ISNUMBER(SEARCH("Ya,",INDEX(FORM!$H:$H,ROW()))),"YA",IF(ISNUMBER(SEARCH("Cukup,",INDEX(FORM!$H:$H,ROW()))),"CUKUP",IF(ISNUMBER(SEARCH("Kurang,",INDEX(FORM!$H:$H,ROW()))),"KURANG",""))))</f>
        <v/>
      </c>
      <c r="K281" s="8" t="str">
        <f>IF($A281="","",UPPER(TRIM(INDEX(FORM!$J:$J,ROW()))))</f>
        <v/>
      </c>
      <c r="L281" s="8" t="str">
        <f>IF($A281="","",IF(ISNUMBER(SEARCH("Aktivitas Harian",INDEX(FORM!$K:$K,ROW()))),1,0))</f>
        <v/>
      </c>
      <c r="M281" s="8" t="str">
        <f>IF($A281="","",IF(ISNUMBER(SEARCH("Aktivitas Mingguan",INDEX(FORM!$K:$K,ROW()))),1,0))</f>
        <v/>
      </c>
      <c r="N281" s="8" t="str">
        <f>IF($A281="","",IF(ISNUMBER(SEARCH("Aktivitas Bulanan",INDEX(FORM!$K:$K,ROW()))),1,0))</f>
        <v/>
      </c>
      <c r="O281" s="8" t="str">
        <f>IF($A281="","",IF(ISNUMBER(SEARCH("Overview Cabang",INDEX(FORM!$K:$K,ROW()))),1,0))</f>
        <v/>
      </c>
      <c r="P281" s="8" t="str">
        <f>IF($A281="","",IFERROR(VLOOKUP(I281,DATA!$AH$9:$AI$13,2,0),""))</f>
        <v/>
      </c>
      <c r="Q281" s="8" t="str">
        <f>IF($A281="","",IFERROR(VLOOKUP(J281,DATA!$AH$9:$AI$13,2,0),""))</f>
        <v/>
      </c>
      <c r="R281" s="8" t="str">
        <f>IF($A281="","",IFERROR(VLOOKUP(K281,DATA!$AH$9:$AI$13,2,0),""))</f>
        <v/>
      </c>
      <c r="S281" s="42" t="str">
        <f t="shared" si="88"/>
        <v/>
      </c>
      <c r="T281" s="8" t="str">
        <f>IF($A281="","",IF(COUNTIF($D$2:D281,D281)=1,1,0))</f>
        <v/>
      </c>
      <c r="U281" s="8" t="str">
        <f>IF($A281="","",IF(F281="-","Cabang tdk ada",IF(IFERROR(VLOOKUP(G281,#REF!,1,0),"")="","",IF(INDEX(DATA!$AH$2:$AH$5,MATCH(G281,DATA!$AI$2:$AI$5,0))&lt;&gt;F281,"Wilayah beda","OK"))))</f>
        <v/>
      </c>
      <c r="V281" s="8" t="str">
        <f>IF($A281="","",TRIM(INDEX(FORM!$I:$I,ROW())&amp;""))</f>
        <v/>
      </c>
      <c r="W281" s="8" t="str">
        <f>IF($A281="","",TRIM(INDEX(FORM!$L:$L,ROW())&amp;""))</f>
        <v/>
      </c>
      <c r="X281" s="8" t="str">
        <f>IF($A281="","",TRIM(INDEX(FORM!$M:$M,ROW())&amp;""))</f>
        <v/>
      </c>
      <c r="Y281" s="8" t="str">
        <f>IF($A281="","",IFERROR(MATCH(F281,DATA!$AH$2:$AH$5,0),9)*10000+A281)</f>
        <v/>
      </c>
      <c r="Z281" s="8" t="str">
        <f t="shared" si="89"/>
        <v/>
      </c>
      <c r="AA281" s="8" t="str">
        <f t="shared" si="90"/>
        <v/>
      </c>
      <c r="AB281" s="8" t="str">
        <f t="shared" si="91"/>
        <v/>
      </c>
      <c r="AC281" s="8"/>
      <c r="AD281" s="8"/>
      <c r="AE281" s="8"/>
      <c r="AK281" s="5" t="str">
        <f t="shared" si="92"/>
        <v/>
      </c>
      <c r="AL281" s="5" t="str">
        <f t="shared" si="93"/>
        <v/>
      </c>
      <c r="AM281" s="5" t="str">
        <f t="shared" si="94"/>
        <v/>
      </c>
      <c r="AN281" s="5" t="str">
        <f t="shared" si="95"/>
        <v/>
      </c>
      <c r="AO281" s="5" t="str">
        <f t="shared" si="96"/>
        <v/>
      </c>
      <c r="AP281" s="5" t="str">
        <f t="shared" si="97"/>
        <v/>
      </c>
      <c r="AQ281" s="5" t="str">
        <f t="shared" si="98"/>
        <v/>
      </c>
      <c r="AR281" s="5" t="str">
        <f t="shared" si="99"/>
        <v/>
      </c>
      <c r="AS281" s="5" t="str">
        <f t="shared" si="100"/>
        <v/>
      </c>
      <c r="AT281" s="5" t="str">
        <f t="shared" si="101"/>
        <v/>
      </c>
      <c r="AU281" s="5" t="str">
        <f t="shared" si="102"/>
        <v/>
      </c>
      <c r="AV281" s="5" t="str">
        <f t="shared" si="103"/>
        <v/>
      </c>
      <c r="AW281" s="5" t="str">
        <f t="shared" si="104"/>
        <v/>
      </c>
      <c r="AX281" s="5" t="str">
        <f t="shared" si="105"/>
        <v/>
      </c>
      <c r="AY281" s="5" t="str">
        <f t="shared" si="106"/>
        <v/>
      </c>
      <c r="AZ281" s="5" t="str">
        <f t="shared" si="107"/>
        <v/>
      </c>
      <c r="BA281" s="5" t="str">
        <f t="shared" si="108"/>
        <v/>
      </c>
      <c r="BB281" s="5" t="str">
        <f t="shared" si="109"/>
        <v/>
      </c>
    </row>
    <row r="282" spans="1:54" s="5" customFormat="1" hidden="1">
      <c r="A282" s="8" t="str">
        <f>IF(INDEX(FORM!$A:$A,ROW())="","",ROW()-1)</f>
        <v/>
      </c>
      <c r="B282" s="41" t="str">
        <f>IF($A282="","",INDEX(FORM!$A:$A,ROW()))</f>
        <v/>
      </c>
      <c r="C282" s="8" t="str">
        <f>IF($A282="","",TRIM(INDEX(FORM!$B:$B,ROW())))</f>
        <v/>
      </c>
      <c r="D282" s="8" t="str">
        <f>IF($A282="","",TRIM(INDEX(FORM!$C:$C,ROW())&amp;""))</f>
        <v/>
      </c>
      <c r="E282" s="8" t="str">
        <f>IF($A282="","",UPPER(TRIM(INDEX(FORM!$D:$D,ROW()))))</f>
        <v/>
      </c>
      <c r="F282" s="8" t="str">
        <f>IF($A282="","",IFERROR(INDEX(PROGRES!$A$2:$A$92,MATCH(E282,PROGRES!$B$2:$B$92,0)),"-"))</f>
        <v/>
      </c>
      <c r="G282" s="8" t="str">
        <f>IF($A282="","",UPPER(TRIM(INDEX(FORM!$F:$F,ROW()))))</f>
        <v/>
      </c>
      <c r="H282" s="8" t="str">
        <f>IF($A282="","",UPPER(TRIM(INDEX(FORM!$E:$E,ROW()))))</f>
        <v/>
      </c>
      <c r="I282" s="8" t="str">
        <f>IF($A282="","",UPPER(TRIM(INDEX(FORM!$G:$G,ROW()))))</f>
        <v/>
      </c>
      <c r="J282" s="8" t="str">
        <f>IF($A282="","",IF(ISNUMBER(SEARCH("Ya,",INDEX(FORM!$H:$H,ROW()))),"YA",IF(ISNUMBER(SEARCH("Cukup,",INDEX(FORM!$H:$H,ROW()))),"CUKUP",IF(ISNUMBER(SEARCH("Kurang,",INDEX(FORM!$H:$H,ROW()))),"KURANG",""))))</f>
        <v/>
      </c>
      <c r="K282" s="8" t="str">
        <f>IF($A282="","",UPPER(TRIM(INDEX(FORM!$J:$J,ROW()))))</f>
        <v/>
      </c>
      <c r="L282" s="8" t="str">
        <f>IF($A282="","",IF(ISNUMBER(SEARCH("Aktivitas Harian",INDEX(FORM!$K:$K,ROW()))),1,0))</f>
        <v/>
      </c>
      <c r="M282" s="8" t="str">
        <f>IF($A282="","",IF(ISNUMBER(SEARCH("Aktivitas Mingguan",INDEX(FORM!$K:$K,ROW()))),1,0))</f>
        <v/>
      </c>
      <c r="N282" s="8" t="str">
        <f>IF($A282="","",IF(ISNUMBER(SEARCH("Aktivitas Bulanan",INDEX(FORM!$K:$K,ROW()))),1,0))</f>
        <v/>
      </c>
      <c r="O282" s="8" t="str">
        <f>IF($A282="","",IF(ISNUMBER(SEARCH("Overview Cabang",INDEX(FORM!$K:$K,ROW()))),1,0))</f>
        <v/>
      </c>
      <c r="P282" s="8" t="str">
        <f>IF($A282="","",IFERROR(VLOOKUP(I282,DATA!$AH$9:$AI$13,2,0),""))</f>
        <v/>
      </c>
      <c r="Q282" s="8" t="str">
        <f>IF($A282="","",IFERROR(VLOOKUP(J282,DATA!$AH$9:$AI$13,2,0),""))</f>
        <v/>
      </c>
      <c r="R282" s="8" t="str">
        <f>IF($A282="","",IFERROR(VLOOKUP(K282,DATA!$AH$9:$AI$13,2,0),""))</f>
        <v/>
      </c>
      <c r="S282" s="42" t="str">
        <f t="shared" si="88"/>
        <v/>
      </c>
      <c r="T282" s="8" t="str">
        <f>IF($A282="","",IF(COUNTIF($D$2:D282,D282)=1,1,0))</f>
        <v/>
      </c>
      <c r="U282" s="8" t="str">
        <f>IF($A282="","",IF(F282="-","Cabang tdk ada",IF(IFERROR(VLOOKUP(G282,#REF!,1,0),"")="","",IF(INDEX(DATA!$AH$2:$AH$5,MATCH(G282,DATA!$AI$2:$AI$5,0))&lt;&gt;F282,"Wilayah beda","OK"))))</f>
        <v/>
      </c>
      <c r="V282" s="8" t="str">
        <f>IF($A282="","",TRIM(INDEX(FORM!$I:$I,ROW())&amp;""))</f>
        <v/>
      </c>
      <c r="W282" s="8" t="str">
        <f>IF($A282="","",TRIM(INDEX(FORM!$L:$L,ROW())&amp;""))</f>
        <v/>
      </c>
      <c r="X282" s="8" t="str">
        <f>IF($A282="","",TRIM(INDEX(FORM!$M:$M,ROW())&amp;""))</f>
        <v/>
      </c>
      <c r="Y282" s="8" t="str">
        <f>IF($A282="","",IFERROR(MATCH(F282,DATA!$AH$2:$AH$5,0),9)*10000+A282)</f>
        <v/>
      </c>
      <c r="Z282" s="8" t="str">
        <f t="shared" si="89"/>
        <v/>
      </c>
      <c r="AA282" s="8" t="str">
        <f t="shared" si="90"/>
        <v/>
      </c>
      <c r="AB282" s="8" t="str">
        <f t="shared" si="91"/>
        <v/>
      </c>
      <c r="AC282" s="8"/>
      <c r="AD282" s="8"/>
      <c r="AE282" s="8"/>
      <c r="AK282" s="5" t="str">
        <f t="shared" si="92"/>
        <v/>
      </c>
      <c r="AL282" s="5" t="str">
        <f t="shared" si="93"/>
        <v/>
      </c>
      <c r="AM282" s="5" t="str">
        <f t="shared" si="94"/>
        <v/>
      </c>
      <c r="AN282" s="5" t="str">
        <f t="shared" si="95"/>
        <v/>
      </c>
      <c r="AO282" s="5" t="str">
        <f t="shared" si="96"/>
        <v/>
      </c>
      <c r="AP282" s="5" t="str">
        <f t="shared" si="97"/>
        <v/>
      </c>
      <c r="AQ282" s="5" t="str">
        <f t="shared" si="98"/>
        <v/>
      </c>
      <c r="AR282" s="5" t="str">
        <f t="shared" si="99"/>
        <v/>
      </c>
      <c r="AS282" s="5" t="str">
        <f t="shared" si="100"/>
        <v/>
      </c>
      <c r="AT282" s="5" t="str">
        <f t="shared" si="101"/>
        <v/>
      </c>
      <c r="AU282" s="5" t="str">
        <f t="shared" si="102"/>
        <v/>
      </c>
      <c r="AV282" s="5" t="str">
        <f t="shared" si="103"/>
        <v/>
      </c>
      <c r="AW282" s="5" t="str">
        <f t="shared" si="104"/>
        <v/>
      </c>
      <c r="AX282" s="5" t="str">
        <f t="shared" si="105"/>
        <v/>
      </c>
      <c r="AY282" s="5" t="str">
        <f t="shared" si="106"/>
        <v/>
      </c>
      <c r="AZ282" s="5" t="str">
        <f t="shared" si="107"/>
        <v/>
      </c>
      <c r="BA282" s="5" t="str">
        <f t="shared" si="108"/>
        <v/>
      </c>
      <c r="BB282" s="5" t="str">
        <f t="shared" si="109"/>
        <v/>
      </c>
    </row>
    <row r="283" spans="1:54" s="5" customFormat="1" hidden="1">
      <c r="A283" s="8" t="str">
        <f>IF(INDEX(FORM!$A:$A,ROW())="","",ROW()-1)</f>
        <v/>
      </c>
      <c r="B283" s="41" t="str">
        <f>IF($A283="","",INDEX(FORM!$A:$A,ROW()))</f>
        <v/>
      </c>
      <c r="C283" s="8" t="str">
        <f>IF($A283="","",TRIM(INDEX(FORM!$B:$B,ROW())))</f>
        <v/>
      </c>
      <c r="D283" s="8" t="str">
        <f>IF($A283="","",TRIM(INDEX(FORM!$C:$C,ROW())&amp;""))</f>
        <v/>
      </c>
      <c r="E283" s="8" t="str">
        <f>IF($A283="","",UPPER(TRIM(INDEX(FORM!$D:$D,ROW()))))</f>
        <v/>
      </c>
      <c r="F283" s="8" t="str">
        <f>IF($A283="","",IFERROR(INDEX(PROGRES!$A$2:$A$92,MATCH(E283,PROGRES!$B$2:$B$92,0)),"-"))</f>
        <v/>
      </c>
      <c r="G283" s="8" t="str">
        <f>IF($A283="","",UPPER(TRIM(INDEX(FORM!$F:$F,ROW()))))</f>
        <v/>
      </c>
      <c r="H283" s="8" t="str">
        <f>IF($A283="","",UPPER(TRIM(INDEX(FORM!$E:$E,ROW()))))</f>
        <v/>
      </c>
      <c r="I283" s="8" t="str">
        <f>IF($A283="","",UPPER(TRIM(INDEX(FORM!$G:$G,ROW()))))</f>
        <v/>
      </c>
      <c r="J283" s="8" t="str">
        <f>IF($A283="","",IF(ISNUMBER(SEARCH("Ya,",INDEX(FORM!$H:$H,ROW()))),"YA",IF(ISNUMBER(SEARCH("Cukup,",INDEX(FORM!$H:$H,ROW()))),"CUKUP",IF(ISNUMBER(SEARCH("Kurang,",INDEX(FORM!$H:$H,ROW()))),"KURANG",""))))</f>
        <v/>
      </c>
      <c r="K283" s="8" t="str">
        <f>IF($A283="","",UPPER(TRIM(INDEX(FORM!$J:$J,ROW()))))</f>
        <v/>
      </c>
      <c r="L283" s="8" t="str">
        <f>IF($A283="","",IF(ISNUMBER(SEARCH("Aktivitas Harian",INDEX(FORM!$K:$K,ROW()))),1,0))</f>
        <v/>
      </c>
      <c r="M283" s="8" t="str">
        <f>IF($A283="","",IF(ISNUMBER(SEARCH("Aktivitas Mingguan",INDEX(FORM!$K:$K,ROW()))),1,0))</f>
        <v/>
      </c>
      <c r="N283" s="8" t="str">
        <f>IF($A283="","",IF(ISNUMBER(SEARCH("Aktivitas Bulanan",INDEX(FORM!$K:$K,ROW()))),1,0))</f>
        <v/>
      </c>
      <c r="O283" s="8" t="str">
        <f>IF($A283="","",IF(ISNUMBER(SEARCH("Overview Cabang",INDEX(FORM!$K:$K,ROW()))),1,0))</f>
        <v/>
      </c>
      <c r="P283" s="8" t="str">
        <f>IF($A283="","",IFERROR(VLOOKUP(I283,DATA!$AH$9:$AI$13,2,0),""))</f>
        <v/>
      </c>
      <c r="Q283" s="8" t="str">
        <f>IF($A283="","",IFERROR(VLOOKUP(J283,DATA!$AH$9:$AI$13,2,0),""))</f>
        <v/>
      </c>
      <c r="R283" s="8" t="str">
        <f>IF($A283="","",IFERROR(VLOOKUP(K283,DATA!$AH$9:$AI$13,2,0),""))</f>
        <v/>
      </c>
      <c r="S283" s="42" t="str">
        <f t="shared" si="88"/>
        <v/>
      </c>
      <c r="T283" s="8" t="str">
        <f>IF($A283="","",IF(COUNTIF($D$2:D283,D283)=1,1,0))</f>
        <v/>
      </c>
      <c r="U283" s="8" t="str">
        <f>IF($A283="","",IF(F283="-","Cabang tdk ada",IF(IFERROR(VLOOKUP(G283,#REF!,1,0),"")="","",IF(INDEX(DATA!$AH$2:$AH$5,MATCH(G283,DATA!$AI$2:$AI$5,0))&lt;&gt;F283,"Wilayah beda","OK"))))</f>
        <v/>
      </c>
      <c r="V283" s="8" t="str">
        <f>IF($A283="","",TRIM(INDEX(FORM!$I:$I,ROW())&amp;""))</f>
        <v/>
      </c>
      <c r="W283" s="8" t="str">
        <f>IF($A283="","",TRIM(INDEX(FORM!$L:$L,ROW())&amp;""))</f>
        <v/>
      </c>
      <c r="X283" s="8" t="str">
        <f>IF($A283="","",TRIM(INDEX(FORM!$M:$M,ROW())&amp;""))</f>
        <v/>
      </c>
      <c r="Y283" s="8" t="str">
        <f>IF($A283="","",IFERROR(MATCH(F283,DATA!$AH$2:$AH$5,0),9)*10000+A283)</f>
        <v/>
      </c>
      <c r="Z283" s="8" t="str">
        <f t="shared" si="89"/>
        <v/>
      </c>
      <c r="AA283" s="8" t="str">
        <f t="shared" si="90"/>
        <v/>
      </c>
      <c r="AB283" s="8" t="str">
        <f t="shared" si="91"/>
        <v/>
      </c>
      <c r="AC283" s="8"/>
      <c r="AD283" s="8"/>
      <c r="AE283" s="8"/>
      <c r="AK283" s="5" t="str">
        <f t="shared" si="92"/>
        <v/>
      </c>
      <c r="AL283" s="5" t="str">
        <f t="shared" si="93"/>
        <v/>
      </c>
      <c r="AM283" s="5" t="str">
        <f t="shared" si="94"/>
        <v/>
      </c>
      <c r="AN283" s="5" t="str">
        <f t="shared" si="95"/>
        <v/>
      </c>
      <c r="AO283" s="5" t="str">
        <f t="shared" si="96"/>
        <v/>
      </c>
      <c r="AP283" s="5" t="str">
        <f t="shared" si="97"/>
        <v/>
      </c>
      <c r="AQ283" s="5" t="str">
        <f t="shared" si="98"/>
        <v/>
      </c>
      <c r="AR283" s="5" t="str">
        <f t="shared" si="99"/>
        <v/>
      </c>
      <c r="AS283" s="5" t="str">
        <f t="shared" si="100"/>
        <v/>
      </c>
      <c r="AT283" s="5" t="str">
        <f t="shared" si="101"/>
        <v/>
      </c>
      <c r="AU283" s="5" t="str">
        <f t="shared" si="102"/>
        <v/>
      </c>
      <c r="AV283" s="5" t="str">
        <f t="shared" si="103"/>
        <v/>
      </c>
      <c r="AW283" s="5" t="str">
        <f t="shared" si="104"/>
        <v/>
      </c>
      <c r="AX283" s="5" t="str">
        <f t="shared" si="105"/>
        <v/>
      </c>
      <c r="AY283" s="5" t="str">
        <f t="shared" si="106"/>
        <v/>
      </c>
      <c r="AZ283" s="5" t="str">
        <f t="shared" si="107"/>
        <v/>
      </c>
      <c r="BA283" s="5" t="str">
        <f t="shared" si="108"/>
        <v/>
      </c>
      <c r="BB283" s="5" t="str">
        <f t="shared" si="109"/>
        <v/>
      </c>
    </row>
    <row r="284" spans="1:54" s="5" customFormat="1" hidden="1">
      <c r="A284" s="8" t="str">
        <f>IF(INDEX(FORM!$A:$A,ROW())="","",ROW()-1)</f>
        <v/>
      </c>
      <c r="B284" s="41" t="str">
        <f>IF($A284="","",INDEX(FORM!$A:$A,ROW()))</f>
        <v/>
      </c>
      <c r="C284" s="8" t="str">
        <f>IF($A284="","",TRIM(INDEX(FORM!$B:$B,ROW())))</f>
        <v/>
      </c>
      <c r="D284" s="8" t="str">
        <f>IF($A284="","",TRIM(INDEX(FORM!$C:$C,ROW())&amp;""))</f>
        <v/>
      </c>
      <c r="E284" s="8" t="str">
        <f>IF($A284="","",UPPER(TRIM(INDEX(FORM!$D:$D,ROW()))))</f>
        <v/>
      </c>
      <c r="F284" s="8" t="str">
        <f>IF($A284="","",IFERROR(INDEX(PROGRES!$A$2:$A$92,MATCH(E284,PROGRES!$B$2:$B$92,0)),"-"))</f>
        <v/>
      </c>
      <c r="G284" s="8" t="str">
        <f>IF($A284="","",UPPER(TRIM(INDEX(FORM!$F:$F,ROW()))))</f>
        <v/>
      </c>
      <c r="H284" s="8" t="str">
        <f>IF($A284="","",UPPER(TRIM(INDEX(FORM!$E:$E,ROW()))))</f>
        <v/>
      </c>
      <c r="I284" s="8" t="str">
        <f>IF($A284="","",UPPER(TRIM(INDEX(FORM!$G:$G,ROW()))))</f>
        <v/>
      </c>
      <c r="J284" s="8" t="str">
        <f>IF($A284="","",IF(ISNUMBER(SEARCH("Ya,",INDEX(FORM!$H:$H,ROW()))),"YA",IF(ISNUMBER(SEARCH("Cukup,",INDEX(FORM!$H:$H,ROW()))),"CUKUP",IF(ISNUMBER(SEARCH("Kurang,",INDEX(FORM!$H:$H,ROW()))),"KURANG",""))))</f>
        <v/>
      </c>
      <c r="K284" s="8" t="str">
        <f>IF($A284="","",UPPER(TRIM(INDEX(FORM!$J:$J,ROW()))))</f>
        <v/>
      </c>
      <c r="L284" s="8" t="str">
        <f>IF($A284="","",IF(ISNUMBER(SEARCH("Aktivitas Harian",INDEX(FORM!$K:$K,ROW()))),1,0))</f>
        <v/>
      </c>
      <c r="M284" s="8" t="str">
        <f>IF($A284="","",IF(ISNUMBER(SEARCH("Aktivitas Mingguan",INDEX(FORM!$K:$K,ROW()))),1,0))</f>
        <v/>
      </c>
      <c r="N284" s="8" t="str">
        <f>IF($A284="","",IF(ISNUMBER(SEARCH("Aktivitas Bulanan",INDEX(FORM!$K:$K,ROW()))),1,0))</f>
        <v/>
      </c>
      <c r="O284" s="8" t="str">
        <f>IF($A284="","",IF(ISNUMBER(SEARCH("Overview Cabang",INDEX(FORM!$K:$K,ROW()))),1,0))</f>
        <v/>
      </c>
      <c r="P284" s="8" t="str">
        <f>IF($A284="","",IFERROR(VLOOKUP(I284,DATA!$AH$9:$AI$13,2,0),""))</f>
        <v/>
      </c>
      <c r="Q284" s="8" t="str">
        <f>IF($A284="","",IFERROR(VLOOKUP(J284,DATA!$AH$9:$AI$13,2,0),""))</f>
        <v/>
      </c>
      <c r="R284" s="8" t="str">
        <f>IF($A284="","",IFERROR(VLOOKUP(K284,DATA!$AH$9:$AI$13,2,0),""))</f>
        <v/>
      </c>
      <c r="S284" s="42" t="str">
        <f t="shared" si="88"/>
        <v/>
      </c>
      <c r="T284" s="8" t="str">
        <f>IF($A284="","",IF(COUNTIF($D$2:D284,D284)=1,1,0))</f>
        <v/>
      </c>
      <c r="U284" s="8" t="str">
        <f>IF($A284="","",IF(F284="-","Cabang tdk ada",IF(IFERROR(VLOOKUP(G284,#REF!,1,0),"")="","",IF(INDEX(DATA!$AH$2:$AH$5,MATCH(G284,DATA!$AI$2:$AI$5,0))&lt;&gt;F284,"Wilayah beda","OK"))))</f>
        <v/>
      </c>
      <c r="V284" s="8" t="str">
        <f>IF($A284="","",TRIM(INDEX(FORM!$I:$I,ROW())&amp;""))</f>
        <v/>
      </c>
      <c r="W284" s="8" t="str">
        <f>IF($A284="","",TRIM(INDEX(FORM!$L:$L,ROW())&amp;""))</f>
        <v/>
      </c>
      <c r="X284" s="8" t="str">
        <f>IF($A284="","",TRIM(INDEX(FORM!$M:$M,ROW())&amp;""))</f>
        <v/>
      </c>
      <c r="Y284" s="8" t="str">
        <f>IF($A284="","",IFERROR(MATCH(F284,DATA!$AH$2:$AH$5,0),9)*10000+A284)</f>
        <v/>
      </c>
      <c r="Z284" s="8" t="str">
        <f t="shared" si="89"/>
        <v/>
      </c>
      <c r="AA284" s="8" t="str">
        <f t="shared" si="90"/>
        <v/>
      </c>
      <c r="AB284" s="8" t="str">
        <f t="shared" si="91"/>
        <v/>
      </c>
      <c r="AC284" s="8"/>
      <c r="AD284" s="8"/>
      <c r="AE284" s="8"/>
      <c r="AK284" s="5" t="str">
        <f t="shared" si="92"/>
        <v/>
      </c>
      <c r="AL284" s="5" t="str">
        <f t="shared" si="93"/>
        <v/>
      </c>
      <c r="AM284" s="5" t="str">
        <f t="shared" si="94"/>
        <v/>
      </c>
      <c r="AN284" s="5" t="str">
        <f t="shared" si="95"/>
        <v/>
      </c>
      <c r="AO284" s="5" t="str">
        <f t="shared" si="96"/>
        <v/>
      </c>
      <c r="AP284" s="5" t="str">
        <f t="shared" si="97"/>
        <v/>
      </c>
      <c r="AQ284" s="5" t="str">
        <f t="shared" si="98"/>
        <v/>
      </c>
      <c r="AR284" s="5" t="str">
        <f t="shared" si="99"/>
        <v/>
      </c>
      <c r="AS284" s="5" t="str">
        <f t="shared" si="100"/>
        <v/>
      </c>
      <c r="AT284" s="5" t="str">
        <f t="shared" si="101"/>
        <v/>
      </c>
      <c r="AU284" s="5" t="str">
        <f t="shared" si="102"/>
        <v/>
      </c>
      <c r="AV284" s="5" t="str">
        <f t="shared" si="103"/>
        <v/>
      </c>
      <c r="AW284" s="5" t="str">
        <f t="shared" si="104"/>
        <v/>
      </c>
      <c r="AX284" s="5" t="str">
        <f t="shared" si="105"/>
        <v/>
      </c>
      <c r="AY284" s="5" t="str">
        <f t="shared" si="106"/>
        <v/>
      </c>
      <c r="AZ284" s="5" t="str">
        <f t="shared" si="107"/>
        <v/>
      </c>
      <c r="BA284" s="5" t="str">
        <f t="shared" si="108"/>
        <v/>
      </c>
      <c r="BB284" s="5" t="str">
        <f t="shared" si="109"/>
        <v/>
      </c>
    </row>
    <row r="285" spans="1:54" s="5" customFormat="1" hidden="1">
      <c r="A285" s="8" t="str">
        <f>IF(INDEX(FORM!$A:$A,ROW())="","",ROW()-1)</f>
        <v/>
      </c>
      <c r="B285" s="41" t="str">
        <f>IF($A285="","",INDEX(FORM!$A:$A,ROW()))</f>
        <v/>
      </c>
      <c r="C285" s="8" t="str">
        <f>IF($A285="","",TRIM(INDEX(FORM!$B:$B,ROW())))</f>
        <v/>
      </c>
      <c r="D285" s="8" t="str">
        <f>IF($A285="","",TRIM(INDEX(FORM!$C:$C,ROW())&amp;""))</f>
        <v/>
      </c>
      <c r="E285" s="8" t="str">
        <f>IF($A285="","",UPPER(TRIM(INDEX(FORM!$D:$D,ROW()))))</f>
        <v/>
      </c>
      <c r="F285" s="8" t="str">
        <f>IF($A285="","",IFERROR(INDEX(PROGRES!$A$2:$A$92,MATCH(E285,PROGRES!$B$2:$B$92,0)),"-"))</f>
        <v/>
      </c>
      <c r="G285" s="8" t="str">
        <f>IF($A285="","",UPPER(TRIM(INDEX(FORM!$F:$F,ROW()))))</f>
        <v/>
      </c>
      <c r="H285" s="8" t="str">
        <f>IF($A285="","",UPPER(TRIM(INDEX(FORM!$E:$E,ROW()))))</f>
        <v/>
      </c>
      <c r="I285" s="8" t="str">
        <f>IF($A285="","",UPPER(TRIM(INDEX(FORM!$G:$G,ROW()))))</f>
        <v/>
      </c>
      <c r="J285" s="8" t="str">
        <f>IF($A285="","",IF(ISNUMBER(SEARCH("Ya,",INDEX(FORM!$H:$H,ROW()))),"YA",IF(ISNUMBER(SEARCH("Cukup,",INDEX(FORM!$H:$H,ROW()))),"CUKUP",IF(ISNUMBER(SEARCH("Kurang,",INDEX(FORM!$H:$H,ROW()))),"KURANG",""))))</f>
        <v/>
      </c>
      <c r="K285" s="8" t="str">
        <f>IF($A285="","",UPPER(TRIM(INDEX(FORM!$J:$J,ROW()))))</f>
        <v/>
      </c>
      <c r="L285" s="8" t="str">
        <f>IF($A285="","",IF(ISNUMBER(SEARCH("Aktivitas Harian",INDEX(FORM!$K:$K,ROW()))),1,0))</f>
        <v/>
      </c>
      <c r="M285" s="8" t="str">
        <f>IF($A285="","",IF(ISNUMBER(SEARCH("Aktivitas Mingguan",INDEX(FORM!$K:$K,ROW()))),1,0))</f>
        <v/>
      </c>
      <c r="N285" s="8" t="str">
        <f>IF($A285="","",IF(ISNUMBER(SEARCH("Aktivitas Bulanan",INDEX(FORM!$K:$K,ROW()))),1,0))</f>
        <v/>
      </c>
      <c r="O285" s="8" t="str">
        <f>IF($A285="","",IF(ISNUMBER(SEARCH("Overview Cabang",INDEX(FORM!$K:$K,ROW()))),1,0))</f>
        <v/>
      </c>
      <c r="P285" s="8" t="str">
        <f>IF($A285="","",IFERROR(VLOOKUP(I285,DATA!$AH$9:$AI$13,2,0),""))</f>
        <v/>
      </c>
      <c r="Q285" s="8" t="str">
        <f>IF($A285="","",IFERROR(VLOOKUP(J285,DATA!$AH$9:$AI$13,2,0),""))</f>
        <v/>
      </c>
      <c r="R285" s="8" t="str">
        <f>IF($A285="","",IFERROR(VLOOKUP(K285,DATA!$AH$9:$AI$13,2,0),""))</f>
        <v/>
      </c>
      <c r="S285" s="42" t="str">
        <f t="shared" si="88"/>
        <v/>
      </c>
      <c r="T285" s="8" t="str">
        <f>IF($A285="","",IF(COUNTIF($D$2:D285,D285)=1,1,0))</f>
        <v/>
      </c>
      <c r="U285" s="8" t="str">
        <f>IF($A285="","",IF(F285="-","Cabang tdk ada",IF(IFERROR(VLOOKUP(G285,#REF!,1,0),"")="","",IF(INDEX(DATA!$AH$2:$AH$5,MATCH(G285,DATA!$AI$2:$AI$5,0))&lt;&gt;F285,"Wilayah beda","OK"))))</f>
        <v/>
      </c>
      <c r="V285" s="8" t="str">
        <f>IF($A285="","",TRIM(INDEX(FORM!$I:$I,ROW())&amp;""))</f>
        <v/>
      </c>
      <c r="W285" s="8" t="str">
        <f>IF($A285="","",TRIM(INDEX(FORM!$L:$L,ROW())&amp;""))</f>
        <v/>
      </c>
      <c r="X285" s="8" t="str">
        <f>IF($A285="","",TRIM(INDEX(FORM!$M:$M,ROW())&amp;""))</f>
        <v/>
      </c>
      <c r="Y285" s="8" t="str">
        <f>IF($A285="","",IFERROR(MATCH(F285,DATA!$AH$2:$AH$5,0),9)*10000+A285)</f>
        <v/>
      </c>
      <c r="Z285" s="8" t="str">
        <f t="shared" si="89"/>
        <v/>
      </c>
      <c r="AA285" s="8" t="str">
        <f t="shared" si="90"/>
        <v/>
      </c>
      <c r="AB285" s="8" t="str">
        <f t="shared" si="91"/>
        <v/>
      </c>
      <c r="AC285" s="8"/>
      <c r="AD285" s="8"/>
      <c r="AE285" s="8"/>
      <c r="AK285" s="5" t="str">
        <f t="shared" si="92"/>
        <v/>
      </c>
      <c r="AL285" s="5" t="str">
        <f t="shared" si="93"/>
        <v/>
      </c>
      <c r="AM285" s="5" t="str">
        <f t="shared" si="94"/>
        <v/>
      </c>
      <c r="AN285" s="5" t="str">
        <f t="shared" si="95"/>
        <v/>
      </c>
      <c r="AO285" s="5" t="str">
        <f t="shared" si="96"/>
        <v/>
      </c>
      <c r="AP285" s="5" t="str">
        <f t="shared" si="97"/>
        <v/>
      </c>
      <c r="AQ285" s="5" t="str">
        <f t="shared" si="98"/>
        <v/>
      </c>
      <c r="AR285" s="5" t="str">
        <f t="shared" si="99"/>
        <v/>
      </c>
      <c r="AS285" s="5" t="str">
        <f t="shared" si="100"/>
        <v/>
      </c>
      <c r="AT285" s="5" t="str">
        <f t="shared" si="101"/>
        <v/>
      </c>
      <c r="AU285" s="5" t="str">
        <f t="shared" si="102"/>
        <v/>
      </c>
      <c r="AV285" s="5" t="str">
        <f t="shared" si="103"/>
        <v/>
      </c>
      <c r="AW285" s="5" t="str">
        <f t="shared" si="104"/>
        <v/>
      </c>
      <c r="AX285" s="5" t="str">
        <f t="shared" si="105"/>
        <v/>
      </c>
      <c r="AY285" s="5" t="str">
        <f t="shared" si="106"/>
        <v/>
      </c>
      <c r="AZ285" s="5" t="str">
        <f t="shared" si="107"/>
        <v/>
      </c>
      <c r="BA285" s="5" t="str">
        <f t="shared" si="108"/>
        <v/>
      </c>
      <c r="BB285" s="5" t="str">
        <f t="shared" si="109"/>
        <v/>
      </c>
    </row>
    <row r="286" spans="1:54" s="5" customFormat="1" hidden="1">
      <c r="A286" s="8" t="str">
        <f>IF(INDEX(FORM!$A:$A,ROW())="","",ROW()-1)</f>
        <v/>
      </c>
      <c r="B286" s="41" t="str">
        <f>IF($A286="","",INDEX(FORM!$A:$A,ROW()))</f>
        <v/>
      </c>
      <c r="C286" s="8" t="str">
        <f>IF($A286="","",TRIM(INDEX(FORM!$B:$B,ROW())))</f>
        <v/>
      </c>
      <c r="D286" s="8" t="str">
        <f>IF($A286="","",TRIM(INDEX(FORM!$C:$C,ROW())&amp;""))</f>
        <v/>
      </c>
      <c r="E286" s="8" t="str">
        <f>IF($A286="","",UPPER(TRIM(INDEX(FORM!$D:$D,ROW()))))</f>
        <v/>
      </c>
      <c r="F286" s="8" t="str">
        <f>IF($A286="","",IFERROR(INDEX(PROGRES!$A$2:$A$92,MATCH(E286,PROGRES!$B$2:$B$92,0)),"-"))</f>
        <v/>
      </c>
      <c r="G286" s="8" t="str">
        <f>IF($A286="","",UPPER(TRIM(INDEX(FORM!$F:$F,ROW()))))</f>
        <v/>
      </c>
      <c r="H286" s="8" t="str">
        <f>IF($A286="","",UPPER(TRIM(INDEX(FORM!$E:$E,ROW()))))</f>
        <v/>
      </c>
      <c r="I286" s="8" t="str">
        <f>IF($A286="","",UPPER(TRIM(INDEX(FORM!$G:$G,ROW()))))</f>
        <v/>
      </c>
      <c r="J286" s="8" t="str">
        <f>IF($A286="","",IF(ISNUMBER(SEARCH("Ya,",INDEX(FORM!$H:$H,ROW()))),"YA",IF(ISNUMBER(SEARCH("Cukup,",INDEX(FORM!$H:$H,ROW()))),"CUKUP",IF(ISNUMBER(SEARCH("Kurang,",INDEX(FORM!$H:$H,ROW()))),"KURANG",""))))</f>
        <v/>
      </c>
      <c r="K286" s="8" t="str">
        <f>IF($A286="","",UPPER(TRIM(INDEX(FORM!$J:$J,ROW()))))</f>
        <v/>
      </c>
      <c r="L286" s="8" t="str">
        <f>IF($A286="","",IF(ISNUMBER(SEARCH("Aktivitas Harian",INDEX(FORM!$K:$K,ROW()))),1,0))</f>
        <v/>
      </c>
      <c r="M286" s="8" t="str">
        <f>IF($A286="","",IF(ISNUMBER(SEARCH("Aktivitas Mingguan",INDEX(FORM!$K:$K,ROW()))),1,0))</f>
        <v/>
      </c>
      <c r="N286" s="8" t="str">
        <f>IF($A286="","",IF(ISNUMBER(SEARCH("Aktivitas Bulanan",INDEX(FORM!$K:$K,ROW()))),1,0))</f>
        <v/>
      </c>
      <c r="O286" s="8" t="str">
        <f>IF($A286="","",IF(ISNUMBER(SEARCH("Overview Cabang",INDEX(FORM!$K:$K,ROW()))),1,0))</f>
        <v/>
      </c>
      <c r="P286" s="8" t="str">
        <f>IF($A286="","",IFERROR(VLOOKUP(I286,DATA!$AH$9:$AI$13,2,0),""))</f>
        <v/>
      </c>
      <c r="Q286" s="8" t="str">
        <f>IF($A286="","",IFERROR(VLOOKUP(J286,DATA!$AH$9:$AI$13,2,0),""))</f>
        <v/>
      </c>
      <c r="R286" s="8" t="str">
        <f>IF($A286="","",IFERROR(VLOOKUP(K286,DATA!$AH$9:$AI$13,2,0),""))</f>
        <v/>
      </c>
      <c r="S286" s="42" t="str">
        <f t="shared" si="88"/>
        <v/>
      </c>
      <c r="T286" s="8" t="str">
        <f>IF($A286="","",IF(COUNTIF($D$2:D286,D286)=1,1,0))</f>
        <v/>
      </c>
      <c r="U286" s="8" t="str">
        <f>IF($A286="","",IF(F286="-","Cabang tdk ada",IF(IFERROR(VLOOKUP(G286,#REF!,1,0),"")="","",IF(INDEX(DATA!$AH$2:$AH$5,MATCH(G286,DATA!$AI$2:$AI$5,0))&lt;&gt;F286,"Wilayah beda","OK"))))</f>
        <v/>
      </c>
      <c r="V286" s="8" t="str">
        <f>IF($A286="","",TRIM(INDEX(FORM!$I:$I,ROW())&amp;""))</f>
        <v/>
      </c>
      <c r="W286" s="8" t="str">
        <f>IF($A286="","",TRIM(INDEX(FORM!$L:$L,ROW())&amp;""))</f>
        <v/>
      </c>
      <c r="X286" s="8" t="str">
        <f>IF($A286="","",TRIM(INDEX(FORM!$M:$M,ROW())&amp;""))</f>
        <v/>
      </c>
      <c r="Y286" s="8" t="str">
        <f>IF($A286="","",IFERROR(MATCH(F286,DATA!$AH$2:$AH$5,0),9)*10000+A286)</f>
        <v/>
      </c>
      <c r="Z286" s="8" t="str">
        <f t="shared" si="89"/>
        <v/>
      </c>
      <c r="AA286" s="8" t="str">
        <f t="shared" si="90"/>
        <v/>
      </c>
      <c r="AB286" s="8" t="str">
        <f t="shared" si="91"/>
        <v/>
      </c>
      <c r="AC286" s="8"/>
      <c r="AD286" s="8"/>
      <c r="AE286" s="8"/>
      <c r="AK286" s="5" t="str">
        <f t="shared" si="92"/>
        <v/>
      </c>
      <c r="AL286" s="5" t="str">
        <f t="shared" si="93"/>
        <v/>
      </c>
      <c r="AM286" s="5" t="str">
        <f t="shared" si="94"/>
        <v/>
      </c>
      <c r="AN286" s="5" t="str">
        <f t="shared" si="95"/>
        <v/>
      </c>
      <c r="AO286" s="5" t="str">
        <f t="shared" si="96"/>
        <v/>
      </c>
      <c r="AP286" s="5" t="str">
        <f t="shared" si="97"/>
        <v/>
      </c>
      <c r="AQ286" s="5" t="str">
        <f t="shared" si="98"/>
        <v/>
      </c>
      <c r="AR286" s="5" t="str">
        <f t="shared" si="99"/>
        <v/>
      </c>
      <c r="AS286" s="5" t="str">
        <f t="shared" si="100"/>
        <v/>
      </c>
      <c r="AT286" s="5" t="str">
        <f t="shared" si="101"/>
        <v/>
      </c>
      <c r="AU286" s="5" t="str">
        <f t="shared" si="102"/>
        <v/>
      </c>
      <c r="AV286" s="5" t="str">
        <f t="shared" si="103"/>
        <v/>
      </c>
      <c r="AW286" s="5" t="str">
        <f t="shared" si="104"/>
        <v/>
      </c>
      <c r="AX286" s="5" t="str">
        <f t="shared" si="105"/>
        <v/>
      </c>
      <c r="AY286" s="5" t="str">
        <f t="shared" si="106"/>
        <v/>
      </c>
      <c r="AZ286" s="5" t="str">
        <f t="shared" si="107"/>
        <v/>
      </c>
      <c r="BA286" s="5" t="str">
        <f t="shared" si="108"/>
        <v/>
      </c>
      <c r="BB286" s="5" t="str">
        <f t="shared" si="109"/>
        <v/>
      </c>
    </row>
    <row r="287" spans="1:54" s="5" customFormat="1" hidden="1">
      <c r="A287" s="8" t="str">
        <f>IF(INDEX(FORM!$A:$A,ROW())="","",ROW()-1)</f>
        <v/>
      </c>
      <c r="B287" s="41" t="str">
        <f>IF($A287="","",INDEX(FORM!$A:$A,ROW()))</f>
        <v/>
      </c>
      <c r="C287" s="8" t="str">
        <f>IF($A287="","",TRIM(INDEX(FORM!$B:$B,ROW())))</f>
        <v/>
      </c>
      <c r="D287" s="8" t="str">
        <f>IF($A287="","",TRIM(INDEX(FORM!$C:$C,ROW())&amp;""))</f>
        <v/>
      </c>
      <c r="E287" s="8" t="str">
        <f>IF($A287="","",UPPER(TRIM(INDEX(FORM!$D:$D,ROW()))))</f>
        <v/>
      </c>
      <c r="F287" s="8" t="str">
        <f>IF($A287="","",IFERROR(INDEX(PROGRES!$A$2:$A$92,MATCH(E287,PROGRES!$B$2:$B$92,0)),"-"))</f>
        <v/>
      </c>
      <c r="G287" s="8" t="str">
        <f>IF($A287="","",UPPER(TRIM(INDEX(FORM!$F:$F,ROW()))))</f>
        <v/>
      </c>
      <c r="H287" s="8" t="str">
        <f>IF($A287="","",UPPER(TRIM(INDEX(FORM!$E:$E,ROW()))))</f>
        <v/>
      </c>
      <c r="I287" s="8" t="str">
        <f>IF($A287="","",UPPER(TRIM(INDEX(FORM!$G:$G,ROW()))))</f>
        <v/>
      </c>
      <c r="J287" s="8" t="str">
        <f>IF($A287="","",IF(ISNUMBER(SEARCH("Ya,",INDEX(FORM!$H:$H,ROW()))),"YA",IF(ISNUMBER(SEARCH("Cukup,",INDEX(FORM!$H:$H,ROW()))),"CUKUP",IF(ISNUMBER(SEARCH("Kurang,",INDEX(FORM!$H:$H,ROW()))),"KURANG",""))))</f>
        <v/>
      </c>
      <c r="K287" s="8" t="str">
        <f>IF($A287="","",UPPER(TRIM(INDEX(FORM!$J:$J,ROW()))))</f>
        <v/>
      </c>
      <c r="L287" s="8" t="str">
        <f>IF($A287="","",IF(ISNUMBER(SEARCH("Aktivitas Harian",INDEX(FORM!$K:$K,ROW()))),1,0))</f>
        <v/>
      </c>
      <c r="M287" s="8" t="str">
        <f>IF($A287="","",IF(ISNUMBER(SEARCH("Aktivitas Mingguan",INDEX(FORM!$K:$K,ROW()))),1,0))</f>
        <v/>
      </c>
      <c r="N287" s="8" t="str">
        <f>IF($A287="","",IF(ISNUMBER(SEARCH("Aktivitas Bulanan",INDEX(FORM!$K:$K,ROW()))),1,0))</f>
        <v/>
      </c>
      <c r="O287" s="8" t="str">
        <f>IF($A287="","",IF(ISNUMBER(SEARCH("Overview Cabang",INDEX(FORM!$K:$K,ROW()))),1,0))</f>
        <v/>
      </c>
      <c r="P287" s="8" t="str">
        <f>IF($A287="","",IFERROR(VLOOKUP(I287,DATA!$AH$9:$AI$13,2,0),""))</f>
        <v/>
      </c>
      <c r="Q287" s="8" t="str">
        <f>IF($A287="","",IFERROR(VLOOKUP(J287,DATA!$AH$9:$AI$13,2,0),""))</f>
        <v/>
      </c>
      <c r="R287" s="8" t="str">
        <f>IF($A287="","",IFERROR(VLOOKUP(K287,DATA!$AH$9:$AI$13,2,0),""))</f>
        <v/>
      </c>
      <c r="S287" s="42" t="str">
        <f t="shared" si="88"/>
        <v/>
      </c>
      <c r="T287" s="8" t="str">
        <f>IF($A287="","",IF(COUNTIF($D$2:D287,D287)=1,1,0))</f>
        <v/>
      </c>
      <c r="U287" s="8" t="str">
        <f>IF($A287="","",IF(F287="-","Cabang tdk ada",IF(IFERROR(VLOOKUP(G287,#REF!,1,0),"")="","",IF(INDEX(DATA!$AH$2:$AH$5,MATCH(G287,DATA!$AI$2:$AI$5,0))&lt;&gt;F287,"Wilayah beda","OK"))))</f>
        <v/>
      </c>
      <c r="V287" s="8" t="str">
        <f>IF($A287="","",TRIM(INDEX(FORM!$I:$I,ROW())&amp;""))</f>
        <v/>
      </c>
      <c r="W287" s="8" t="str">
        <f>IF($A287="","",TRIM(INDEX(FORM!$L:$L,ROW())&amp;""))</f>
        <v/>
      </c>
      <c r="X287" s="8" t="str">
        <f>IF($A287="","",TRIM(INDEX(FORM!$M:$M,ROW())&amp;""))</f>
        <v/>
      </c>
      <c r="Y287" s="8" t="str">
        <f>IF($A287="","",IFERROR(MATCH(F287,DATA!$AH$2:$AH$5,0),9)*10000+A287)</f>
        <v/>
      </c>
      <c r="Z287" s="8" t="str">
        <f t="shared" si="89"/>
        <v/>
      </c>
      <c r="AA287" s="8" t="str">
        <f t="shared" si="90"/>
        <v/>
      </c>
      <c r="AB287" s="8" t="str">
        <f t="shared" si="91"/>
        <v/>
      </c>
      <c r="AC287" s="8"/>
      <c r="AD287" s="8"/>
      <c r="AE287" s="8"/>
      <c r="AK287" s="5" t="str">
        <f t="shared" si="92"/>
        <v/>
      </c>
      <c r="AL287" s="5" t="str">
        <f t="shared" si="93"/>
        <v/>
      </c>
      <c r="AM287" s="5" t="str">
        <f t="shared" si="94"/>
        <v/>
      </c>
      <c r="AN287" s="5" t="str">
        <f t="shared" si="95"/>
        <v/>
      </c>
      <c r="AO287" s="5" t="str">
        <f t="shared" si="96"/>
        <v/>
      </c>
      <c r="AP287" s="5" t="str">
        <f t="shared" si="97"/>
        <v/>
      </c>
      <c r="AQ287" s="5" t="str">
        <f t="shared" si="98"/>
        <v/>
      </c>
      <c r="AR287" s="5" t="str">
        <f t="shared" si="99"/>
        <v/>
      </c>
      <c r="AS287" s="5" t="str">
        <f t="shared" si="100"/>
        <v/>
      </c>
      <c r="AT287" s="5" t="str">
        <f t="shared" si="101"/>
        <v/>
      </c>
      <c r="AU287" s="5" t="str">
        <f t="shared" si="102"/>
        <v/>
      </c>
      <c r="AV287" s="5" t="str">
        <f t="shared" si="103"/>
        <v/>
      </c>
      <c r="AW287" s="5" t="str">
        <f t="shared" si="104"/>
        <v/>
      </c>
      <c r="AX287" s="5" t="str">
        <f t="shared" si="105"/>
        <v/>
      </c>
      <c r="AY287" s="5" t="str">
        <f t="shared" si="106"/>
        <v/>
      </c>
      <c r="AZ287" s="5" t="str">
        <f t="shared" si="107"/>
        <v/>
      </c>
      <c r="BA287" s="5" t="str">
        <f t="shared" si="108"/>
        <v/>
      </c>
      <c r="BB287" s="5" t="str">
        <f t="shared" si="109"/>
        <v/>
      </c>
    </row>
    <row r="288" spans="1:54" s="5" customFormat="1" hidden="1">
      <c r="A288" s="8" t="str">
        <f>IF(INDEX(FORM!$A:$A,ROW())="","",ROW()-1)</f>
        <v/>
      </c>
      <c r="B288" s="41" t="str">
        <f>IF($A288="","",INDEX(FORM!$A:$A,ROW()))</f>
        <v/>
      </c>
      <c r="C288" s="8" t="str">
        <f>IF($A288="","",TRIM(INDEX(FORM!$B:$B,ROW())))</f>
        <v/>
      </c>
      <c r="D288" s="8" t="str">
        <f>IF($A288="","",TRIM(INDEX(FORM!$C:$C,ROW())&amp;""))</f>
        <v/>
      </c>
      <c r="E288" s="8" t="str">
        <f>IF($A288="","",UPPER(TRIM(INDEX(FORM!$D:$D,ROW()))))</f>
        <v/>
      </c>
      <c r="F288" s="8" t="str">
        <f>IF($A288="","",IFERROR(INDEX(PROGRES!$A$2:$A$92,MATCH(E288,PROGRES!$B$2:$B$92,0)),"-"))</f>
        <v/>
      </c>
      <c r="G288" s="8" t="str">
        <f>IF($A288="","",UPPER(TRIM(INDEX(FORM!$F:$F,ROW()))))</f>
        <v/>
      </c>
      <c r="H288" s="8" t="str">
        <f>IF($A288="","",UPPER(TRIM(INDEX(FORM!$E:$E,ROW()))))</f>
        <v/>
      </c>
      <c r="I288" s="8" t="str">
        <f>IF($A288="","",UPPER(TRIM(INDEX(FORM!$G:$G,ROW()))))</f>
        <v/>
      </c>
      <c r="J288" s="8" t="str">
        <f>IF($A288="","",IF(ISNUMBER(SEARCH("Ya,",INDEX(FORM!$H:$H,ROW()))),"YA",IF(ISNUMBER(SEARCH("Cukup,",INDEX(FORM!$H:$H,ROW()))),"CUKUP",IF(ISNUMBER(SEARCH("Kurang,",INDEX(FORM!$H:$H,ROW()))),"KURANG",""))))</f>
        <v/>
      </c>
      <c r="K288" s="8" t="str">
        <f>IF($A288="","",UPPER(TRIM(INDEX(FORM!$J:$J,ROW()))))</f>
        <v/>
      </c>
      <c r="L288" s="8" t="str">
        <f>IF($A288="","",IF(ISNUMBER(SEARCH("Aktivitas Harian",INDEX(FORM!$K:$K,ROW()))),1,0))</f>
        <v/>
      </c>
      <c r="M288" s="8" t="str">
        <f>IF($A288="","",IF(ISNUMBER(SEARCH("Aktivitas Mingguan",INDEX(FORM!$K:$K,ROW()))),1,0))</f>
        <v/>
      </c>
      <c r="N288" s="8" t="str">
        <f>IF($A288="","",IF(ISNUMBER(SEARCH("Aktivitas Bulanan",INDEX(FORM!$K:$K,ROW()))),1,0))</f>
        <v/>
      </c>
      <c r="O288" s="8" t="str">
        <f>IF($A288="","",IF(ISNUMBER(SEARCH("Overview Cabang",INDEX(FORM!$K:$K,ROW()))),1,0))</f>
        <v/>
      </c>
      <c r="P288" s="8" t="str">
        <f>IF($A288="","",IFERROR(VLOOKUP(I288,DATA!$AH$9:$AI$13,2,0),""))</f>
        <v/>
      </c>
      <c r="Q288" s="8" t="str">
        <f>IF($A288="","",IFERROR(VLOOKUP(J288,DATA!$AH$9:$AI$13,2,0),""))</f>
        <v/>
      </c>
      <c r="R288" s="8" t="str">
        <f>IF($A288="","",IFERROR(VLOOKUP(K288,DATA!$AH$9:$AI$13,2,0),""))</f>
        <v/>
      </c>
      <c r="S288" s="42" t="str">
        <f t="shared" si="88"/>
        <v/>
      </c>
      <c r="T288" s="8" t="str">
        <f>IF($A288="","",IF(COUNTIF($D$2:D288,D288)=1,1,0))</f>
        <v/>
      </c>
      <c r="U288" s="8" t="str">
        <f>IF($A288="","",IF(F288="-","Cabang tdk ada",IF(IFERROR(VLOOKUP(G288,#REF!,1,0),"")="","",IF(INDEX(DATA!$AH$2:$AH$5,MATCH(G288,DATA!$AI$2:$AI$5,0))&lt;&gt;F288,"Wilayah beda","OK"))))</f>
        <v/>
      </c>
      <c r="V288" s="8" t="str">
        <f>IF($A288="","",TRIM(INDEX(FORM!$I:$I,ROW())&amp;""))</f>
        <v/>
      </c>
      <c r="W288" s="8" t="str">
        <f>IF($A288="","",TRIM(INDEX(FORM!$L:$L,ROW())&amp;""))</f>
        <v/>
      </c>
      <c r="X288" s="8" t="str">
        <f>IF($A288="","",TRIM(INDEX(FORM!$M:$M,ROW())&amp;""))</f>
        <v/>
      </c>
      <c r="Y288" s="8" t="str">
        <f>IF($A288="","",IFERROR(MATCH(F288,DATA!$AH$2:$AH$5,0),9)*10000+A288)</f>
        <v/>
      </c>
      <c r="Z288" s="8" t="str">
        <f t="shared" si="89"/>
        <v/>
      </c>
      <c r="AA288" s="8" t="str">
        <f t="shared" si="90"/>
        <v/>
      </c>
      <c r="AB288" s="8" t="str">
        <f t="shared" si="91"/>
        <v/>
      </c>
      <c r="AC288" s="8"/>
      <c r="AD288" s="8"/>
      <c r="AE288" s="8"/>
      <c r="AK288" s="5" t="str">
        <f t="shared" si="92"/>
        <v/>
      </c>
      <c r="AL288" s="5" t="str">
        <f t="shared" si="93"/>
        <v/>
      </c>
      <c r="AM288" s="5" t="str">
        <f t="shared" si="94"/>
        <v/>
      </c>
      <c r="AN288" s="5" t="str">
        <f t="shared" si="95"/>
        <v/>
      </c>
      <c r="AO288" s="5" t="str">
        <f t="shared" si="96"/>
        <v/>
      </c>
      <c r="AP288" s="5" t="str">
        <f t="shared" si="97"/>
        <v/>
      </c>
      <c r="AQ288" s="5" t="str">
        <f t="shared" si="98"/>
        <v/>
      </c>
      <c r="AR288" s="5" t="str">
        <f t="shared" si="99"/>
        <v/>
      </c>
      <c r="AS288" s="5" t="str">
        <f t="shared" si="100"/>
        <v/>
      </c>
      <c r="AT288" s="5" t="str">
        <f t="shared" si="101"/>
        <v/>
      </c>
      <c r="AU288" s="5" t="str">
        <f t="shared" si="102"/>
        <v/>
      </c>
      <c r="AV288" s="5" t="str">
        <f t="shared" si="103"/>
        <v/>
      </c>
      <c r="AW288" s="5" t="str">
        <f t="shared" si="104"/>
        <v/>
      </c>
      <c r="AX288" s="5" t="str">
        <f t="shared" si="105"/>
        <v/>
      </c>
      <c r="AY288" s="5" t="str">
        <f t="shared" si="106"/>
        <v/>
      </c>
      <c r="AZ288" s="5" t="str">
        <f t="shared" si="107"/>
        <v/>
      </c>
      <c r="BA288" s="5" t="str">
        <f t="shared" si="108"/>
        <v/>
      </c>
      <c r="BB288" s="5" t="str">
        <f t="shared" si="109"/>
        <v/>
      </c>
    </row>
    <row r="289" spans="1:54" s="5" customFormat="1" hidden="1">
      <c r="A289" s="8" t="str">
        <f>IF(INDEX(FORM!$A:$A,ROW())="","",ROW()-1)</f>
        <v/>
      </c>
      <c r="B289" s="41" t="str">
        <f>IF($A289="","",INDEX(FORM!$A:$A,ROW()))</f>
        <v/>
      </c>
      <c r="C289" s="8" t="str">
        <f>IF($A289="","",TRIM(INDEX(FORM!$B:$B,ROW())))</f>
        <v/>
      </c>
      <c r="D289" s="8" t="str">
        <f>IF($A289="","",TRIM(INDEX(FORM!$C:$C,ROW())&amp;""))</f>
        <v/>
      </c>
      <c r="E289" s="8" t="str">
        <f>IF($A289="","",UPPER(TRIM(INDEX(FORM!$D:$D,ROW()))))</f>
        <v/>
      </c>
      <c r="F289" s="8" t="str">
        <f>IF($A289="","",IFERROR(INDEX(PROGRES!$A$2:$A$92,MATCH(E289,PROGRES!$B$2:$B$92,0)),"-"))</f>
        <v/>
      </c>
      <c r="G289" s="8" t="str">
        <f>IF($A289="","",UPPER(TRIM(INDEX(FORM!$F:$F,ROW()))))</f>
        <v/>
      </c>
      <c r="H289" s="8" t="str">
        <f>IF($A289="","",UPPER(TRIM(INDEX(FORM!$E:$E,ROW()))))</f>
        <v/>
      </c>
      <c r="I289" s="8" t="str">
        <f>IF($A289="","",UPPER(TRIM(INDEX(FORM!$G:$G,ROW()))))</f>
        <v/>
      </c>
      <c r="J289" s="8" t="str">
        <f>IF($A289="","",IF(ISNUMBER(SEARCH("Ya,",INDEX(FORM!$H:$H,ROW()))),"YA",IF(ISNUMBER(SEARCH("Cukup,",INDEX(FORM!$H:$H,ROW()))),"CUKUP",IF(ISNUMBER(SEARCH("Kurang,",INDEX(FORM!$H:$H,ROW()))),"KURANG",""))))</f>
        <v/>
      </c>
      <c r="K289" s="8" t="str">
        <f>IF($A289="","",UPPER(TRIM(INDEX(FORM!$J:$J,ROW()))))</f>
        <v/>
      </c>
      <c r="L289" s="8" t="str">
        <f>IF($A289="","",IF(ISNUMBER(SEARCH("Aktivitas Harian",INDEX(FORM!$K:$K,ROW()))),1,0))</f>
        <v/>
      </c>
      <c r="M289" s="8" t="str">
        <f>IF($A289="","",IF(ISNUMBER(SEARCH("Aktivitas Mingguan",INDEX(FORM!$K:$K,ROW()))),1,0))</f>
        <v/>
      </c>
      <c r="N289" s="8" t="str">
        <f>IF($A289="","",IF(ISNUMBER(SEARCH("Aktivitas Bulanan",INDEX(FORM!$K:$K,ROW()))),1,0))</f>
        <v/>
      </c>
      <c r="O289" s="8" t="str">
        <f>IF($A289="","",IF(ISNUMBER(SEARCH("Overview Cabang",INDEX(FORM!$K:$K,ROW()))),1,0))</f>
        <v/>
      </c>
      <c r="P289" s="8" t="str">
        <f>IF($A289="","",IFERROR(VLOOKUP(I289,DATA!$AH$9:$AI$13,2,0),""))</f>
        <v/>
      </c>
      <c r="Q289" s="8" t="str">
        <f>IF($A289="","",IFERROR(VLOOKUP(J289,DATA!$AH$9:$AI$13,2,0),""))</f>
        <v/>
      </c>
      <c r="R289" s="8" t="str">
        <f>IF($A289="","",IFERROR(VLOOKUP(K289,DATA!$AH$9:$AI$13,2,0),""))</f>
        <v/>
      </c>
      <c r="S289" s="42" t="str">
        <f t="shared" si="88"/>
        <v/>
      </c>
      <c r="T289" s="8" t="str">
        <f>IF($A289="","",IF(COUNTIF($D$2:D289,D289)=1,1,0))</f>
        <v/>
      </c>
      <c r="U289" s="8" t="str">
        <f>IF($A289="","",IF(F289="-","Cabang tdk ada",IF(IFERROR(VLOOKUP(G289,#REF!,1,0),"")="","",IF(INDEX(DATA!$AH$2:$AH$5,MATCH(G289,DATA!$AI$2:$AI$5,0))&lt;&gt;F289,"Wilayah beda","OK"))))</f>
        <v/>
      </c>
      <c r="V289" s="8" t="str">
        <f>IF($A289="","",TRIM(INDEX(FORM!$I:$I,ROW())&amp;""))</f>
        <v/>
      </c>
      <c r="W289" s="8" t="str">
        <f>IF($A289="","",TRIM(INDEX(FORM!$L:$L,ROW())&amp;""))</f>
        <v/>
      </c>
      <c r="X289" s="8" t="str">
        <f>IF($A289="","",TRIM(INDEX(FORM!$M:$M,ROW())&amp;""))</f>
        <v/>
      </c>
      <c r="Y289" s="8" t="str">
        <f>IF($A289="","",IFERROR(MATCH(F289,DATA!$AH$2:$AH$5,0),9)*10000+A289)</f>
        <v/>
      </c>
      <c r="Z289" s="8" t="str">
        <f t="shared" si="89"/>
        <v/>
      </c>
      <c r="AA289" s="8" t="str">
        <f t="shared" si="90"/>
        <v/>
      </c>
      <c r="AB289" s="8" t="str">
        <f t="shared" si="91"/>
        <v/>
      </c>
      <c r="AC289" s="8"/>
      <c r="AD289" s="8"/>
      <c r="AE289" s="8"/>
      <c r="AK289" s="5" t="str">
        <f t="shared" si="92"/>
        <v/>
      </c>
      <c r="AL289" s="5" t="str">
        <f t="shared" si="93"/>
        <v/>
      </c>
      <c r="AM289" s="5" t="str">
        <f t="shared" si="94"/>
        <v/>
      </c>
      <c r="AN289" s="5" t="str">
        <f t="shared" si="95"/>
        <v/>
      </c>
      <c r="AO289" s="5" t="str">
        <f t="shared" si="96"/>
        <v/>
      </c>
      <c r="AP289" s="5" t="str">
        <f t="shared" si="97"/>
        <v/>
      </c>
      <c r="AQ289" s="5" t="str">
        <f t="shared" si="98"/>
        <v/>
      </c>
      <c r="AR289" s="5" t="str">
        <f t="shared" si="99"/>
        <v/>
      </c>
      <c r="AS289" s="5" t="str">
        <f t="shared" si="100"/>
        <v/>
      </c>
      <c r="AT289" s="5" t="str">
        <f t="shared" si="101"/>
        <v/>
      </c>
      <c r="AU289" s="5" t="str">
        <f t="shared" si="102"/>
        <v/>
      </c>
      <c r="AV289" s="5" t="str">
        <f t="shared" si="103"/>
        <v/>
      </c>
      <c r="AW289" s="5" t="str">
        <f t="shared" si="104"/>
        <v/>
      </c>
      <c r="AX289" s="5" t="str">
        <f t="shared" si="105"/>
        <v/>
      </c>
      <c r="AY289" s="5" t="str">
        <f t="shared" si="106"/>
        <v/>
      </c>
      <c r="AZ289" s="5" t="str">
        <f t="shared" si="107"/>
        <v/>
      </c>
      <c r="BA289" s="5" t="str">
        <f t="shared" si="108"/>
        <v/>
      </c>
      <c r="BB289" s="5" t="str">
        <f t="shared" si="109"/>
        <v/>
      </c>
    </row>
    <row r="290" spans="1:54" s="5" customFormat="1" hidden="1">
      <c r="A290" s="8" t="str">
        <f>IF(INDEX(FORM!$A:$A,ROW())="","",ROW()-1)</f>
        <v/>
      </c>
      <c r="B290" s="41" t="str">
        <f>IF($A290="","",INDEX(FORM!$A:$A,ROW()))</f>
        <v/>
      </c>
      <c r="C290" s="8" t="str">
        <f>IF($A290="","",TRIM(INDEX(FORM!$B:$B,ROW())))</f>
        <v/>
      </c>
      <c r="D290" s="8" t="str">
        <f>IF($A290="","",TRIM(INDEX(FORM!$C:$C,ROW())&amp;""))</f>
        <v/>
      </c>
      <c r="E290" s="8" t="str">
        <f>IF($A290="","",UPPER(TRIM(INDEX(FORM!$D:$D,ROW()))))</f>
        <v/>
      </c>
      <c r="F290" s="8" t="str">
        <f>IF($A290="","",IFERROR(INDEX(PROGRES!$A$2:$A$92,MATCH(E290,PROGRES!$B$2:$B$92,0)),"-"))</f>
        <v/>
      </c>
      <c r="G290" s="8" t="str">
        <f>IF($A290="","",UPPER(TRIM(INDEX(FORM!$F:$F,ROW()))))</f>
        <v/>
      </c>
      <c r="H290" s="8" t="str">
        <f>IF($A290="","",UPPER(TRIM(INDEX(FORM!$E:$E,ROW()))))</f>
        <v/>
      </c>
      <c r="I290" s="8" t="str">
        <f>IF($A290="","",UPPER(TRIM(INDEX(FORM!$G:$G,ROW()))))</f>
        <v/>
      </c>
      <c r="J290" s="8" t="str">
        <f>IF($A290="","",IF(ISNUMBER(SEARCH("Ya,",INDEX(FORM!$H:$H,ROW()))),"YA",IF(ISNUMBER(SEARCH("Cukup,",INDEX(FORM!$H:$H,ROW()))),"CUKUP",IF(ISNUMBER(SEARCH("Kurang,",INDEX(FORM!$H:$H,ROW()))),"KURANG",""))))</f>
        <v/>
      </c>
      <c r="K290" s="8" t="str">
        <f>IF($A290="","",UPPER(TRIM(INDEX(FORM!$J:$J,ROW()))))</f>
        <v/>
      </c>
      <c r="L290" s="8" t="str">
        <f>IF($A290="","",IF(ISNUMBER(SEARCH("Aktivitas Harian",INDEX(FORM!$K:$K,ROW()))),1,0))</f>
        <v/>
      </c>
      <c r="M290" s="8" t="str">
        <f>IF($A290="","",IF(ISNUMBER(SEARCH("Aktivitas Mingguan",INDEX(FORM!$K:$K,ROW()))),1,0))</f>
        <v/>
      </c>
      <c r="N290" s="8" t="str">
        <f>IF($A290="","",IF(ISNUMBER(SEARCH("Aktivitas Bulanan",INDEX(FORM!$K:$K,ROW()))),1,0))</f>
        <v/>
      </c>
      <c r="O290" s="8" t="str">
        <f>IF($A290="","",IF(ISNUMBER(SEARCH("Overview Cabang",INDEX(FORM!$K:$K,ROW()))),1,0))</f>
        <v/>
      </c>
      <c r="P290" s="8" t="str">
        <f>IF($A290="","",IFERROR(VLOOKUP(I290,DATA!$AH$9:$AI$13,2,0),""))</f>
        <v/>
      </c>
      <c r="Q290" s="8" t="str">
        <f>IF($A290="","",IFERROR(VLOOKUP(J290,DATA!$AH$9:$AI$13,2,0),""))</f>
        <v/>
      </c>
      <c r="R290" s="8" t="str">
        <f>IF($A290="","",IFERROR(VLOOKUP(K290,DATA!$AH$9:$AI$13,2,0),""))</f>
        <v/>
      </c>
      <c r="S290" s="42" t="str">
        <f t="shared" si="88"/>
        <v/>
      </c>
      <c r="T290" s="8" t="str">
        <f>IF($A290="","",IF(COUNTIF($D$2:D290,D290)=1,1,0))</f>
        <v/>
      </c>
      <c r="U290" s="8" t="str">
        <f>IF($A290="","",IF(F290="-","Cabang tdk ada",IF(IFERROR(VLOOKUP(G290,#REF!,1,0),"")="","",IF(INDEX(DATA!$AH$2:$AH$5,MATCH(G290,DATA!$AI$2:$AI$5,0))&lt;&gt;F290,"Wilayah beda","OK"))))</f>
        <v/>
      </c>
      <c r="V290" s="8" t="str">
        <f>IF($A290="","",TRIM(INDEX(FORM!$I:$I,ROW())&amp;""))</f>
        <v/>
      </c>
      <c r="W290" s="8" t="str">
        <f>IF($A290="","",TRIM(INDEX(FORM!$L:$L,ROW())&amp;""))</f>
        <v/>
      </c>
      <c r="X290" s="8" t="str">
        <f>IF($A290="","",TRIM(INDEX(FORM!$M:$M,ROW())&amp;""))</f>
        <v/>
      </c>
      <c r="Y290" s="8" t="str">
        <f>IF($A290="","",IFERROR(MATCH(F290,DATA!$AH$2:$AH$5,0),9)*10000+A290)</f>
        <v/>
      </c>
      <c r="Z290" s="8" t="str">
        <f t="shared" si="89"/>
        <v/>
      </c>
      <c r="AA290" s="8" t="str">
        <f t="shared" si="90"/>
        <v/>
      </c>
      <c r="AB290" s="8" t="str">
        <f t="shared" si="91"/>
        <v/>
      </c>
      <c r="AC290" s="8"/>
      <c r="AD290" s="8"/>
      <c r="AE290" s="8"/>
      <c r="AK290" s="5" t="str">
        <f t="shared" si="92"/>
        <v/>
      </c>
      <c r="AL290" s="5" t="str">
        <f t="shared" si="93"/>
        <v/>
      </c>
      <c r="AM290" s="5" t="str">
        <f t="shared" si="94"/>
        <v/>
      </c>
      <c r="AN290" s="5" t="str">
        <f t="shared" si="95"/>
        <v/>
      </c>
      <c r="AO290" s="5" t="str">
        <f t="shared" si="96"/>
        <v/>
      </c>
      <c r="AP290" s="5" t="str">
        <f t="shared" si="97"/>
        <v/>
      </c>
      <c r="AQ290" s="5" t="str">
        <f t="shared" si="98"/>
        <v/>
      </c>
      <c r="AR290" s="5" t="str">
        <f t="shared" si="99"/>
        <v/>
      </c>
      <c r="AS290" s="5" t="str">
        <f t="shared" si="100"/>
        <v/>
      </c>
      <c r="AT290" s="5" t="str">
        <f t="shared" si="101"/>
        <v/>
      </c>
      <c r="AU290" s="5" t="str">
        <f t="shared" si="102"/>
        <v/>
      </c>
      <c r="AV290" s="5" t="str">
        <f t="shared" si="103"/>
        <v/>
      </c>
      <c r="AW290" s="5" t="str">
        <f t="shared" si="104"/>
        <v/>
      </c>
      <c r="AX290" s="5" t="str">
        <f t="shared" si="105"/>
        <v/>
      </c>
      <c r="AY290" s="5" t="str">
        <f t="shared" si="106"/>
        <v/>
      </c>
      <c r="AZ290" s="5" t="str">
        <f t="shared" si="107"/>
        <v/>
      </c>
      <c r="BA290" s="5" t="str">
        <f t="shared" si="108"/>
        <v/>
      </c>
      <c r="BB290" s="5" t="str">
        <f t="shared" si="109"/>
        <v/>
      </c>
    </row>
    <row r="291" spans="1:54" s="5" customFormat="1" hidden="1">
      <c r="A291" s="8" t="str">
        <f>IF(INDEX(FORM!$A:$A,ROW())="","",ROW()-1)</f>
        <v/>
      </c>
      <c r="B291" s="41" t="str">
        <f>IF($A291="","",INDEX(FORM!$A:$A,ROW()))</f>
        <v/>
      </c>
      <c r="C291" s="8" t="str">
        <f>IF($A291="","",TRIM(INDEX(FORM!$B:$B,ROW())))</f>
        <v/>
      </c>
      <c r="D291" s="8" t="str">
        <f>IF($A291="","",TRIM(INDEX(FORM!$C:$C,ROW())&amp;""))</f>
        <v/>
      </c>
      <c r="E291" s="8" t="str">
        <f>IF($A291="","",UPPER(TRIM(INDEX(FORM!$D:$D,ROW()))))</f>
        <v/>
      </c>
      <c r="F291" s="8" t="str">
        <f>IF($A291="","",IFERROR(INDEX(PROGRES!$A$2:$A$92,MATCH(E291,PROGRES!$B$2:$B$92,0)),"-"))</f>
        <v/>
      </c>
      <c r="G291" s="8" t="str">
        <f>IF($A291="","",UPPER(TRIM(INDEX(FORM!$F:$F,ROW()))))</f>
        <v/>
      </c>
      <c r="H291" s="8" t="str">
        <f>IF($A291="","",UPPER(TRIM(INDEX(FORM!$E:$E,ROW()))))</f>
        <v/>
      </c>
      <c r="I291" s="8" t="str">
        <f>IF($A291="","",UPPER(TRIM(INDEX(FORM!$G:$G,ROW()))))</f>
        <v/>
      </c>
      <c r="J291" s="8" t="str">
        <f>IF($A291="","",IF(ISNUMBER(SEARCH("Ya,",INDEX(FORM!$H:$H,ROW()))),"YA",IF(ISNUMBER(SEARCH("Cukup,",INDEX(FORM!$H:$H,ROW()))),"CUKUP",IF(ISNUMBER(SEARCH("Kurang,",INDEX(FORM!$H:$H,ROW()))),"KURANG",""))))</f>
        <v/>
      </c>
      <c r="K291" s="8" t="str">
        <f>IF($A291="","",UPPER(TRIM(INDEX(FORM!$J:$J,ROW()))))</f>
        <v/>
      </c>
      <c r="L291" s="8" t="str">
        <f>IF($A291="","",IF(ISNUMBER(SEARCH("Aktivitas Harian",INDEX(FORM!$K:$K,ROW()))),1,0))</f>
        <v/>
      </c>
      <c r="M291" s="8" t="str">
        <f>IF($A291="","",IF(ISNUMBER(SEARCH("Aktivitas Mingguan",INDEX(FORM!$K:$K,ROW()))),1,0))</f>
        <v/>
      </c>
      <c r="N291" s="8" t="str">
        <f>IF($A291="","",IF(ISNUMBER(SEARCH("Aktivitas Bulanan",INDEX(FORM!$K:$K,ROW()))),1,0))</f>
        <v/>
      </c>
      <c r="O291" s="8" t="str">
        <f>IF($A291="","",IF(ISNUMBER(SEARCH("Overview Cabang",INDEX(FORM!$K:$K,ROW()))),1,0))</f>
        <v/>
      </c>
      <c r="P291" s="8" t="str">
        <f>IF($A291="","",IFERROR(VLOOKUP(I291,DATA!$AH$9:$AI$13,2,0),""))</f>
        <v/>
      </c>
      <c r="Q291" s="8" t="str">
        <f>IF($A291="","",IFERROR(VLOOKUP(J291,DATA!$AH$9:$AI$13,2,0),""))</f>
        <v/>
      </c>
      <c r="R291" s="8" t="str">
        <f>IF($A291="","",IFERROR(VLOOKUP(K291,DATA!$AH$9:$AI$13,2,0),""))</f>
        <v/>
      </c>
      <c r="S291" s="42" t="str">
        <f t="shared" si="88"/>
        <v/>
      </c>
      <c r="T291" s="8" t="str">
        <f>IF($A291="","",IF(COUNTIF($D$2:D291,D291)=1,1,0))</f>
        <v/>
      </c>
      <c r="U291" s="8" t="str">
        <f>IF($A291="","",IF(F291="-","Cabang tdk ada",IF(IFERROR(VLOOKUP(G291,#REF!,1,0),"")="","",IF(INDEX(DATA!$AH$2:$AH$5,MATCH(G291,DATA!$AI$2:$AI$5,0))&lt;&gt;F291,"Wilayah beda","OK"))))</f>
        <v/>
      </c>
      <c r="V291" s="8" t="str">
        <f>IF($A291="","",TRIM(INDEX(FORM!$I:$I,ROW())&amp;""))</f>
        <v/>
      </c>
      <c r="W291" s="8" t="str">
        <f>IF($A291="","",TRIM(INDEX(FORM!$L:$L,ROW())&amp;""))</f>
        <v/>
      </c>
      <c r="X291" s="8" t="str">
        <f>IF($A291="","",TRIM(INDEX(FORM!$M:$M,ROW())&amp;""))</f>
        <v/>
      </c>
      <c r="Y291" s="8" t="str">
        <f>IF($A291="","",IFERROR(MATCH(F291,DATA!$AH$2:$AH$5,0),9)*10000+A291)</f>
        <v/>
      </c>
      <c r="Z291" s="8" t="str">
        <f t="shared" si="89"/>
        <v/>
      </c>
      <c r="AA291" s="8" t="str">
        <f t="shared" si="90"/>
        <v/>
      </c>
      <c r="AB291" s="8" t="str">
        <f t="shared" si="91"/>
        <v/>
      </c>
      <c r="AC291" s="8"/>
      <c r="AD291" s="8"/>
      <c r="AE291" s="8"/>
      <c r="AK291" s="5" t="str">
        <f t="shared" si="92"/>
        <v/>
      </c>
      <c r="AL291" s="5" t="str">
        <f t="shared" si="93"/>
        <v/>
      </c>
      <c r="AM291" s="5" t="str">
        <f t="shared" si="94"/>
        <v/>
      </c>
      <c r="AN291" s="5" t="str">
        <f t="shared" si="95"/>
        <v/>
      </c>
      <c r="AO291" s="5" t="str">
        <f t="shared" si="96"/>
        <v/>
      </c>
      <c r="AP291" s="5" t="str">
        <f t="shared" si="97"/>
        <v/>
      </c>
      <c r="AQ291" s="5" t="str">
        <f t="shared" si="98"/>
        <v/>
      </c>
      <c r="AR291" s="5" t="str">
        <f t="shared" si="99"/>
        <v/>
      </c>
      <c r="AS291" s="5" t="str">
        <f t="shared" si="100"/>
        <v/>
      </c>
      <c r="AT291" s="5" t="str">
        <f t="shared" si="101"/>
        <v/>
      </c>
      <c r="AU291" s="5" t="str">
        <f t="shared" si="102"/>
        <v/>
      </c>
      <c r="AV291" s="5" t="str">
        <f t="shared" si="103"/>
        <v/>
      </c>
      <c r="AW291" s="5" t="str">
        <f t="shared" si="104"/>
        <v/>
      </c>
      <c r="AX291" s="5" t="str">
        <f t="shared" si="105"/>
        <v/>
      </c>
      <c r="AY291" s="5" t="str">
        <f t="shared" si="106"/>
        <v/>
      </c>
      <c r="AZ291" s="5" t="str">
        <f t="shared" si="107"/>
        <v/>
      </c>
      <c r="BA291" s="5" t="str">
        <f t="shared" si="108"/>
        <v/>
      </c>
      <c r="BB291" s="5" t="str">
        <f t="shared" si="109"/>
        <v/>
      </c>
    </row>
    <row r="292" spans="1:54" s="5" customFormat="1" hidden="1">
      <c r="A292" s="8" t="str">
        <f>IF(INDEX(FORM!$A:$A,ROW())="","",ROW()-1)</f>
        <v/>
      </c>
      <c r="B292" s="41" t="str">
        <f>IF($A292="","",INDEX(FORM!$A:$A,ROW()))</f>
        <v/>
      </c>
      <c r="C292" s="8" t="str">
        <f>IF($A292="","",TRIM(INDEX(FORM!$B:$B,ROW())))</f>
        <v/>
      </c>
      <c r="D292" s="8" t="str">
        <f>IF($A292="","",TRIM(INDEX(FORM!$C:$C,ROW())&amp;""))</f>
        <v/>
      </c>
      <c r="E292" s="8" t="str">
        <f>IF($A292="","",UPPER(TRIM(INDEX(FORM!$D:$D,ROW()))))</f>
        <v/>
      </c>
      <c r="F292" s="8" t="str">
        <f>IF($A292="","",IFERROR(INDEX(PROGRES!$A$2:$A$92,MATCH(E292,PROGRES!$B$2:$B$92,0)),"-"))</f>
        <v/>
      </c>
      <c r="G292" s="8" t="str">
        <f>IF($A292="","",UPPER(TRIM(INDEX(FORM!$F:$F,ROW()))))</f>
        <v/>
      </c>
      <c r="H292" s="8" t="str">
        <f>IF($A292="","",UPPER(TRIM(INDEX(FORM!$E:$E,ROW()))))</f>
        <v/>
      </c>
      <c r="I292" s="8" t="str">
        <f>IF($A292="","",UPPER(TRIM(INDEX(FORM!$G:$G,ROW()))))</f>
        <v/>
      </c>
      <c r="J292" s="8" t="str">
        <f>IF($A292="","",IF(ISNUMBER(SEARCH("Ya,",INDEX(FORM!$H:$H,ROW()))),"YA",IF(ISNUMBER(SEARCH("Cukup,",INDEX(FORM!$H:$H,ROW()))),"CUKUP",IF(ISNUMBER(SEARCH("Kurang,",INDEX(FORM!$H:$H,ROW()))),"KURANG",""))))</f>
        <v/>
      </c>
      <c r="K292" s="8" t="str">
        <f>IF($A292="","",UPPER(TRIM(INDEX(FORM!$J:$J,ROW()))))</f>
        <v/>
      </c>
      <c r="L292" s="8" t="str">
        <f>IF($A292="","",IF(ISNUMBER(SEARCH("Aktivitas Harian",INDEX(FORM!$K:$K,ROW()))),1,0))</f>
        <v/>
      </c>
      <c r="M292" s="8" t="str">
        <f>IF($A292="","",IF(ISNUMBER(SEARCH("Aktivitas Mingguan",INDEX(FORM!$K:$K,ROW()))),1,0))</f>
        <v/>
      </c>
      <c r="N292" s="8" t="str">
        <f>IF($A292="","",IF(ISNUMBER(SEARCH("Aktivitas Bulanan",INDEX(FORM!$K:$K,ROW()))),1,0))</f>
        <v/>
      </c>
      <c r="O292" s="8" t="str">
        <f>IF($A292="","",IF(ISNUMBER(SEARCH("Overview Cabang",INDEX(FORM!$K:$K,ROW()))),1,0))</f>
        <v/>
      </c>
      <c r="P292" s="8" t="str">
        <f>IF($A292="","",IFERROR(VLOOKUP(I292,DATA!$AH$9:$AI$13,2,0),""))</f>
        <v/>
      </c>
      <c r="Q292" s="8" t="str">
        <f>IF($A292="","",IFERROR(VLOOKUP(J292,DATA!$AH$9:$AI$13,2,0),""))</f>
        <v/>
      </c>
      <c r="R292" s="8" t="str">
        <f>IF($A292="","",IFERROR(VLOOKUP(K292,DATA!$AH$9:$AI$13,2,0),""))</f>
        <v/>
      </c>
      <c r="S292" s="42" t="str">
        <f t="shared" si="88"/>
        <v/>
      </c>
      <c r="T292" s="8" t="str">
        <f>IF($A292="","",IF(COUNTIF($D$2:D292,D292)=1,1,0))</f>
        <v/>
      </c>
      <c r="U292" s="8" t="str">
        <f>IF($A292="","",IF(F292="-","Cabang tdk ada",IF(IFERROR(VLOOKUP(G292,#REF!,1,0),"")="","",IF(INDEX(DATA!$AH$2:$AH$5,MATCH(G292,DATA!$AI$2:$AI$5,0))&lt;&gt;F292,"Wilayah beda","OK"))))</f>
        <v/>
      </c>
      <c r="V292" s="8" t="str">
        <f>IF($A292="","",TRIM(INDEX(FORM!$I:$I,ROW())&amp;""))</f>
        <v/>
      </c>
      <c r="W292" s="8" t="str">
        <f>IF($A292="","",TRIM(INDEX(FORM!$L:$L,ROW())&amp;""))</f>
        <v/>
      </c>
      <c r="X292" s="8" t="str">
        <f>IF($A292="","",TRIM(INDEX(FORM!$M:$M,ROW())&amp;""))</f>
        <v/>
      </c>
      <c r="Y292" s="8" t="str">
        <f>IF($A292="","",IFERROR(MATCH(F292,DATA!$AH$2:$AH$5,0),9)*10000+A292)</f>
        <v/>
      </c>
      <c r="Z292" s="8" t="str">
        <f t="shared" si="89"/>
        <v/>
      </c>
      <c r="AA292" s="8" t="str">
        <f t="shared" si="90"/>
        <v/>
      </c>
      <c r="AB292" s="8" t="str">
        <f t="shared" si="91"/>
        <v/>
      </c>
      <c r="AC292" s="8"/>
      <c r="AD292" s="8"/>
      <c r="AE292" s="8"/>
      <c r="AK292" s="5" t="str">
        <f t="shared" si="92"/>
        <v/>
      </c>
      <c r="AL292" s="5" t="str">
        <f t="shared" si="93"/>
        <v/>
      </c>
      <c r="AM292" s="5" t="str">
        <f t="shared" si="94"/>
        <v/>
      </c>
      <c r="AN292" s="5" t="str">
        <f t="shared" si="95"/>
        <v/>
      </c>
      <c r="AO292" s="5" t="str">
        <f t="shared" si="96"/>
        <v/>
      </c>
      <c r="AP292" s="5" t="str">
        <f t="shared" si="97"/>
        <v/>
      </c>
      <c r="AQ292" s="5" t="str">
        <f t="shared" si="98"/>
        <v/>
      </c>
      <c r="AR292" s="5" t="str">
        <f t="shared" si="99"/>
        <v/>
      </c>
      <c r="AS292" s="5" t="str">
        <f t="shared" si="100"/>
        <v/>
      </c>
      <c r="AT292" s="5" t="str">
        <f t="shared" si="101"/>
        <v/>
      </c>
      <c r="AU292" s="5" t="str">
        <f t="shared" si="102"/>
        <v/>
      </c>
      <c r="AV292" s="5" t="str">
        <f t="shared" si="103"/>
        <v/>
      </c>
      <c r="AW292" s="5" t="str">
        <f t="shared" si="104"/>
        <v/>
      </c>
      <c r="AX292" s="5" t="str">
        <f t="shared" si="105"/>
        <v/>
      </c>
      <c r="AY292" s="5" t="str">
        <f t="shared" si="106"/>
        <v/>
      </c>
      <c r="AZ292" s="5" t="str">
        <f t="shared" si="107"/>
        <v/>
      </c>
      <c r="BA292" s="5" t="str">
        <f t="shared" si="108"/>
        <v/>
      </c>
      <c r="BB292" s="5" t="str">
        <f t="shared" si="109"/>
        <v/>
      </c>
    </row>
    <row r="293" spans="1:54" s="5" customFormat="1" hidden="1">
      <c r="A293" s="8" t="str">
        <f>IF(INDEX(FORM!$A:$A,ROW())="","",ROW()-1)</f>
        <v/>
      </c>
      <c r="B293" s="41" t="str">
        <f>IF($A293="","",INDEX(FORM!$A:$A,ROW()))</f>
        <v/>
      </c>
      <c r="C293" s="8" t="str">
        <f>IF($A293="","",TRIM(INDEX(FORM!$B:$B,ROW())))</f>
        <v/>
      </c>
      <c r="D293" s="8" t="str">
        <f>IF($A293="","",TRIM(INDEX(FORM!$C:$C,ROW())&amp;""))</f>
        <v/>
      </c>
      <c r="E293" s="8" t="str">
        <f>IF($A293="","",UPPER(TRIM(INDEX(FORM!$D:$D,ROW()))))</f>
        <v/>
      </c>
      <c r="F293" s="8" t="str">
        <f>IF($A293="","",IFERROR(INDEX(PROGRES!$A$2:$A$92,MATCH(E293,PROGRES!$B$2:$B$92,0)),"-"))</f>
        <v/>
      </c>
      <c r="G293" s="8" t="str">
        <f>IF($A293="","",UPPER(TRIM(INDEX(FORM!$F:$F,ROW()))))</f>
        <v/>
      </c>
      <c r="H293" s="8" t="str">
        <f>IF($A293="","",UPPER(TRIM(INDEX(FORM!$E:$E,ROW()))))</f>
        <v/>
      </c>
      <c r="I293" s="8" t="str">
        <f>IF($A293="","",UPPER(TRIM(INDEX(FORM!$G:$G,ROW()))))</f>
        <v/>
      </c>
      <c r="J293" s="8" t="str">
        <f>IF($A293="","",IF(ISNUMBER(SEARCH("Ya,",INDEX(FORM!$H:$H,ROW()))),"YA",IF(ISNUMBER(SEARCH("Cukup,",INDEX(FORM!$H:$H,ROW()))),"CUKUP",IF(ISNUMBER(SEARCH("Kurang,",INDEX(FORM!$H:$H,ROW()))),"KURANG",""))))</f>
        <v/>
      </c>
      <c r="K293" s="8" t="str">
        <f>IF($A293="","",UPPER(TRIM(INDEX(FORM!$J:$J,ROW()))))</f>
        <v/>
      </c>
      <c r="L293" s="8" t="str">
        <f>IF($A293="","",IF(ISNUMBER(SEARCH("Aktivitas Harian",INDEX(FORM!$K:$K,ROW()))),1,0))</f>
        <v/>
      </c>
      <c r="M293" s="8" t="str">
        <f>IF($A293="","",IF(ISNUMBER(SEARCH("Aktivitas Mingguan",INDEX(FORM!$K:$K,ROW()))),1,0))</f>
        <v/>
      </c>
      <c r="N293" s="8" t="str">
        <f>IF($A293="","",IF(ISNUMBER(SEARCH("Aktivitas Bulanan",INDEX(FORM!$K:$K,ROW()))),1,0))</f>
        <v/>
      </c>
      <c r="O293" s="8" t="str">
        <f>IF($A293="","",IF(ISNUMBER(SEARCH("Overview Cabang",INDEX(FORM!$K:$K,ROW()))),1,0))</f>
        <v/>
      </c>
      <c r="P293" s="8" t="str">
        <f>IF($A293="","",IFERROR(VLOOKUP(I293,DATA!$AH$9:$AI$13,2,0),""))</f>
        <v/>
      </c>
      <c r="Q293" s="8" t="str">
        <f>IF($A293="","",IFERROR(VLOOKUP(J293,DATA!$AH$9:$AI$13,2,0),""))</f>
        <v/>
      </c>
      <c r="R293" s="8" t="str">
        <f>IF($A293="","",IFERROR(VLOOKUP(K293,DATA!$AH$9:$AI$13,2,0),""))</f>
        <v/>
      </c>
      <c r="S293" s="42" t="str">
        <f t="shared" si="88"/>
        <v/>
      </c>
      <c r="T293" s="8" t="str">
        <f>IF($A293="","",IF(COUNTIF($D$2:D293,D293)=1,1,0))</f>
        <v/>
      </c>
      <c r="U293" s="8" t="str">
        <f>IF($A293="","",IF(F293="-","Cabang tdk ada",IF(IFERROR(VLOOKUP(G293,#REF!,1,0),"")="","",IF(INDEX(DATA!$AH$2:$AH$5,MATCH(G293,DATA!$AI$2:$AI$5,0))&lt;&gt;F293,"Wilayah beda","OK"))))</f>
        <v/>
      </c>
      <c r="V293" s="8" t="str">
        <f>IF($A293="","",TRIM(INDEX(FORM!$I:$I,ROW())&amp;""))</f>
        <v/>
      </c>
      <c r="W293" s="8" t="str">
        <f>IF($A293="","",TRIM(INDEX(FORM!$L:$L,ROW())&amp;""))</f>
        <v/>
      </c>
      <c r="X293" s="8" t="str">
        <f>IF($A293="","",TRIM(INDEX(FORM!$M:$M,ROW())&amp;""))</f>
        <v/>
      </c>
      <c r="Y293" s="8" t="str">
        <f>IF($A293="","",IFERROR(MATCH(F293,DATA!$AH$2:$AH$5,0),9)*10000+A293)</f>
        <v/>
      </c>
      <c r="Z293" s="8" t="str">
        <f t="shared" si="89"/>
        <v/>
      </c>
      <c r="AA293" s="8" t="str">
        <f t="shared" si="90"/>
        <v/>
      </c>
      <c r="AB293" s="8" t="str">
        <f t="shared" si="91"/>
        <v/>
      </c>
      <c r="AC293" s="8"/>
      <c r="AD293" s="8"/>
      <c r="AE293" s="8"/>
      <c r="AK293" s="5" t="str">
        <f t="shared" si="92"/>
        <v/>
      </c>
      <c r="AL293" s="5" t="str">
        <f t="shared" si="93"/>
        <v/>
      </c>
      <c r="AM293" s="5" t="str">
        <f t="shared" si="94"/>
        <v/>
      </c>
      <c r="AN293" s="5" t="str">
        <f t="shared" si="95"/>
        <v/>
      </c>
      <c r="AO293" s="5" t="str">
        <f t="shared" si="96"/>
        <v/>
      </c>
      <c r="AP293" s="5" t="str">
        <f t="shared" si="97"/>
        <v/>
      </c>
      <c r="AQ293" s="5" t="str">
        <f t="shared" si="98"/>
        <v/>
      </c>
      <c r="AR293" s="5" t="str">
        <f t="shared" si="99"/>
        <v/>
      </c>
      <c r="AS293" s="5" t="str">
        <f t="shared" si="100"/>
        <v/>
      </c>
      <c r="AT293" s="5" t="str">
        <f t="shared" si="101"/>
        <v/>
      </c>
      <c r="AU293" s="5" t="str">
        <f t="shared" si="102"/>
        <v/>
      </c>
      <c r="AV293" s="5" t="str">
        <f t="shared" si="103"/>
        <v/>
      </c>
      <c r="AW293" s="5" t="str">
        <f t="shared" si="104"/>
        <v/>
      </c>
      <c r="AX293" s="5" t="str">
        <f t="shared" si="105"/>
        <v/>
      </c>
      <c r="AY293" s="5" t="str">
        <f t="shared" si="106"/>
        <v/>
      </c>
      <c r="AZ293" s="5" t="str">
        <f t="shared" si="107"/>
        <v/>
      </c>
      <c r="BA293" s="5" t="str">
        <f t="shared" si="108"/>
        <v/>
      </c>
      <c r="BB293" s="5" t="str">
        <f t="shared" si="109"/>
        <v/>
      </c>
    </row>
    <row r="294" spans="1:54" s="5" customFormat="1" hidden="1">
      <c r="A294" s="8" t="str">
        <f>IF(INDEX(FORM!$A:$A,ROW())="","",ROW()-1)</f>
        <v/>
      </c>
      <c r="B294" s="41" t="str">
        <f>IF($A294="","",INDEX(FORM!$A:$A,ROW()))</f>
        <v/>
      </c>
      <c r="C294" s="8" t="str">
        <f>IF($A294="","",TRIM(INDEX(FORM!$B:$B,ROW())))</f>
        <v/>
      </c>
      <c r="D294" s="8" t="str">
        <f>IF($A294="","",TRIM(INDEX(FORM!$C:$C,ROW())&amp;""))</f>
        <v/>
      </c>
      <c r="E294" s="8" t="str">
        <f>IF($A294="","",UPPER(TRIM(INDEX(FORM!$D:$D,ROW()))))</f>
        <v/>
      </c>
      <c r="F294" s="8" t="str">
        <f>IF($A294="","",IFERROR(INDEX(PROGRES!$A$2:$A$92,MATCH(E294,PROGRES!$B$2:$B$92,0)),"-"))</f>
        <v/>
      </c>
      <c r="G294" s="8" t="str">
        <f>IF($A294="","",UPPER(TRIM(INDEX(FORM!$F:$F,ROW()))))</f>
        <v/>
      </c>
      <c r="H294" s="8" t="str">
        <f>IF($A294="","",UPPER(TRIM(INDEX(FORM!$E:$E,ROW()))))</f>
        <v/>
      </c>
      <c r="I294" s="8" t="str">
        <f>IF($A294="","",UPPER(TRIM(INDEX(FORM!$G:$G,ROW()))))</f>
        <v/>
      </c>
      <c r="J294" s="8" t="str">
        <f>IF($A294="","",IF(ISNUMBER(SEARCH("Ya,",INDEX(FORM!$H:$H,ROW()))),"YA",IF(ISNUMBER(SEARCH("Cukup,",INDEX(FORM!$H:$H,ROW()))),"CUKUP",IF(ISNUMBER(SEARCH("Kurang,",INDEX(FORM!$H:$H,ROW()))),"KURANG",""))))</f>
        <v/>
      </c>
      <c r="K294" s="8" t="str">
        <f>IF($A294="","",UPPER(TRIM(INDEX(FORM!$J:$J,ROW()))))</f>
        <v/>
      </c>
      <c r="L294" s="8" t="str">
        <f>IF($A294="","",IF(ISNUMBER(SEARCH("Aktivitas Harian",INDEX(FORM!$K:$K,ROW()))),1,0))</f>
        <v/>
      </c>
      <c r="M294" s="8" t="str">
        <f>IF($A294="","",IF(ISNUMBER(SEARCH("Aktivitas Mingguan",INDEX(FORM!$K:$K,ROW()))),1,0))</f>
        <v/>
      </c>
      <c r="N294" s="8" t="str">
        <f>IF($A294="","",IF(ISNUMBER(SEARCH("Aktivitas Bulanan",INDEX(FORM!$K:$K,ROW()))),1,0))</f>
        <v/>
      </c>
      <c r="O294" s="8" t="str">
        <f>IF($A294="","",IF(ISNUMBER(SEARCH("Overview Cabang",INDEX(FORM!$K:$K,ROW()))),1,0))</f>
        <v/>
      </c>
      <c r="P294" s="8" t="str">
        <f>IF($A294="","",IFERROR(VLOOKUP(I294,DATA!$AH$9:$AI$13,2,0),""))</f>
        <v/>
      </c>
      <c r="Q294" s="8" t="str">
        <f>IF($A294="","",IFERROR(VLOOKUP(J294,DATA!$AH$9:$AI$13,2,0),""))</f>
        <v/>
      </c>
      <c r="R294" s="8" t="str">
        <f>IF($A294="","",IFERROR(VLOOKUP(K294,DATA!$AH$9:$AI$13,2,0),""))</f>
        <v/>
      </c>
      <c r="S294" s="42" t="str">
        <f t="shared" si="88"/>
        <v/>
      </c>
      <c r="T294" s="8" t="str">
        <f>IF($A294="","",IF(COUNTIF($D$2:D294,D294)=1,1,0))</f>
        <v/>
      </c>
      <c r="U294" s="8" t="str">
        <f>IF($A294="","",IF(F294="-","Cabang tdk ada",IF(IFERROR(VLOOKUP(G294,#REF!,1,0),"")="","",IF(INDEX(DATA!$AH$2:$AH$5,MATCH(G294,DATA!$AI$2:$AI$5,0))&lt;&gt;F294,"Wilayah beda","OK"))))</f>
        <v/>
      </c>
      <c r="V294" s="8" t="str">
        <f>IF($A294="","",TRIM(INDEX(FORM!$I:$I,ROW())&amp;""))</f>
        <v/>
      </c>
      <c r="W294" s="8" t="str">
        <f>IF($A294="","",TRIM(INDEX(FORM!$L:$L,ROW())&amp;""))</f>
        <v/>
      </c>
      <c r="X294" s="8" t="str">
        <f>IF($A294="","",TRIM(INDEX(FORM!$M:$M,ROW())&amp;""))</f>
        <v/>
      </c>
      <c r="Y294" s="8" t="str">
        <f>IF($A294="","",IFERROR(MATCH(F294,DATA!$AH$2:$AH$5,0),9)*10000+A294)</f>
        <v/>
      </c>
      <c r="Z294" s="8" t="str">
        <f t="shared" si="89"/>
        <v/>
      </c>
      <c r="AA294" s="8" t="str">
        <f t="shared" si="90"/>
        <v/>
      </c>
      <c r="AB294" s="8" t="str">
        <f t="shared" si="91"/>
        <v/>
      </c>
      <c r="AC294" s="8"/>
      <c r="AD294" s="8"/>
      <c r="AE294" s="8"/>
      <c r="AK294" s="5" t="str">
        <f t="shared" si="92"/>
        <v/>
      </c>
      <c r="AL294" s="5" t="str">
        <f t="shared" si="93"/>
        <v/>
      </c>
      <c r="AM294" s="5" t="str">
        <f t="shared" si="94"/>
        <v/>
      </c>
      <c r="AN294" s="5" t="str">
        <f t="shared" si="95"/>
        <v/>
      </c>
      <c r="AO294" s="5" t="str">
        <f t="shared" si="96"/>
        <v/>
      </c>
      <c r="AP294" s="5" t="str">
        <f t="shared" si="97"/>
        <v/>
      </c>
      <c r="AQ294" s="5" t="str">
        <f t="shared" si="98"/>
        <v/>
      </c>
      <c r="AR294" s="5" t="str">
        <f t="shared" si="99"/>
        <v/>
      </c>
      <c r="AS294" s="5" t="str">
        <f t="shared" si="100"/>
        <v/>
      </c>
      <c r="AT294" s="5" t="str">
        <f t="shared" si="101"/>
        <v/>
      </c>
      <c r="AU294" s="5" t="str">
        <f t="shared" si="102"/>
        <v/>
      </c>
      <c r="AV294" s="5" t="str">
        <f t="shared" si="103"/>
        <v/>
      </c>
      <c r="AW294" s="5" t="str">
        <f t="shared" si="104"/>
        <v/>
      </c>
      <c r="AX294" s="5" t="str">
        <f t="shared" si="105"/>
        <v/>
      </c>
      <c r="AY294" s="5" t="str">
        <f t="shared" si="106"/>
        <v/>
      </c>
      <c r="AZ294" s="5" t="str">
        <f t="shared" si="107"/>
        <v/>
      </c>
      <c r="BA294" s="5" t="str">
        <f t="shared" si="108"/>
        <v/>
      </c>
      <c r="BB294" s="5" t="str">
        <f t="shared" si="109"/>
        <v/>
      </c>
    </row>
    <row r="295" spans="1:54" s="5" customFormat="1" hidden="1">
      <c r="A295" s="8" t="str">
        <f>IF(INDEX(FORM!$A:$A,ROW())="","",ROW()-1)</f>
        <v/>
      </c>
      <c r="B295" s="41" t="str">
        <f>IF($A295="","",INDEX(FORM!$A:$A,ROW()))</f>
        <v/>
      </c>
      <c r="C295" s="8" t="str">
        <f>IF($A295="","",TRIM(INDEX(FORM!$B:$B,ROW())))</f>
        <v/>
      </c>
      <c r="D295" s="8" t="str">
        <f>IF($A295="","",TRIM(INDEX(FORM!$C:$C,ROW())&amp;""))</f>
        <v/>
      </c>
      <c r="E295" s="8" t="str">
        <f>IF($A295="","",UPPER(TRIM(INDEX(FORM!$D:$D,ROW()))))</f>
        <v/>
      </c>
      <c r="F295" s="8" t="str">
        <f>IF($A295="","",IFERROR(INDEX(PROGRES!$A$2:$A$92,MATCH(E295,PROGRES!$B$2:$B$92,0)),"-"))</f>
        <v/>
      </c>
      <c r="G295" s="8" t="str">
        <f>IF($A295="","",UPPER(TRIM(INDEX(FORM!$F:$F,ROW()))))</f>
        <v/>
      </c>
      <c r="H295" s="8" t="str">
        <f>IF($A295="","",UPPER(TRIM(INDEX(FORM!$E:$E,ROW()))))</f>
        <v/>
      </c>
      <c r="I295" s="8" t="str">
        <f>IF($A295="","",UPPER(TRIM(INDEX(FORM!$G:$G,ROW()))))</f>
        <v/>
      </c>
      <c r="J295" s="8" t="str">
        <f>IF($A295="","",IF(ISNUMBER(SEARCH("Ya,",INDEX(FORM!$H:$H,ROW()))),"YA",IF(ISNUMBER(SEARCH("Cukup,",INDEX(FORM!$H:$H,ROW()))),"CUKUP",IF(ISNUMBER(SEARCH("Kurang,",INDEX(FORM!$H:$H,ROW()))),"KURANG",""))))</f>
        <v/>
      </c>
      <c r="K295" s="8" t="str">
        <f>IF($A295="","",UPPER(TRIM(INDEX(FORM!$J:$J,ROW()))))</f>
        <v/>
      </c>
      <c r="L295" s="8" t="str">
        <f>IF($A295="","",IF(ISNUMBER(SEARCH("Aktivitas Harian",INDEX(FORM!$K:$K,ROW()))),1,0))</f>
        <v/>
      </c>
      <c r="M295" s="8" t="str">
        <f>IF($A295="","",IF(ISNUMBER(SEARCH("Aktivitas Mingguan",INDEX(FORM!$K:$K,ROW()))),1,0))</f>
        <v/>
      </c>
      <c r="N295" s="8" t="str">
        <f>IF($A295="","",IF(ISNUMBER(SEARCH("Aktivitas Bulanan",INDEX(FORM!$K:$K,ROW()))),1,0))</f>
        <v/>
      </c>
      <c r="O295" s="8" t="str">
        <f>IF($A295="","",IF(ISNUMBER(SEARCH("Overview Cabang",INDEX(FORM!$K:$K,ROW()))),1,0))</f>
        <v/>
      </c>
      <c r="P295" s="8" t="str">
        <f>IF($A295="","",IFERROR(VLOOKUP(I295,DATA!$AH$9:$AI$13,2,0),""))</f>
        <v/>
      </c>
      <c r="Q295" s="8" t="str">
        <f>IF($A295="","",IFERROR(VLOOKUP(J295,DATA!$AH$9:$AI$13,2,0),""))</f>
        <v/>
      </c>
      <c r="R295" s="8" t="str">
        <f>IF($A295="","",IFERROR(VLOOKUP(K295,DATA!$AH$9:$AI$13,2,0),""))</f>
        <v/>
      </c>
      <c r="S295" s="42" t="str">
        <f t="shared" si="88"/>
        <v/>
      </c>
      <c r="T295" s="8" t="str">
        <f>IF($A295="","",IF(COUNTIF($D$2:D295,D295)=1,1,0))</f>
        <v/>
      </c>
      <c r="U295" s="8" t="str">
        <f>IF($A295="","",IF(F295="-","Cabang tdk ada",IF(IFERROR(VLOOKUP(G295,#REF!,1,0),"")="","",IF(INDEX(DATA!$AH$2:$AH$5,MATCH(G295,DATA!$AI$2:$AI$5,0))&lt;&gt;F295,"Wilayah beda","OK"))))</f>
        <v/>
      </c>
      <c r="V295" s="8" t="str">
        <f>IF($A295="","",TRIM(INDEX(FORM!$I:$I,ROW())&amp;""))</f>
        <v/>
      </c>
      <c r="W295" s="8" t="str">
        <f>IF($A295="","",TRIM(INDEX(FORM!$L:$L,ROW())&amp;""))</f>
        <v/>
      </c>
      <c r="X295" s="8" t="str">
        <f>IF($A295="","",TRIM(INDEX(FORM!$M:$M,ROW())&amp;""))</f>
        <v/>
      </c>
      <c r="Y295" s="8" t="str">
        <f>IF($A295="","",IFERROR(MATCH(F295,DATA!$AH$2:$AH$5,0),9)*10000+A295)</f>
        <v/>
      </c>
      <c r="Z295" s="8" t="str">
        <f t="shared" si="89"/>
        <v/>
      </c>
      <c r="AA295" s="8" t="str">
        <f t="shared" si="90"/>
        <v/>
      </c>
      <c r="AB295" s="8" t="str">
        <f t="shared" si="91"/>
        <v/>
      </c>
      <c r="AC295" s="8"/>
      <c r="AD295" s="8"/>
      <c r="AE295" s="8"/>
      <c r="AK295" s="5" t="str">
        <f t="shared" si="92"/>
        <v/>
      </c>
      <c r="AL295" s="5" t="str">
        <f t="shared" si="93"/>
        <v/>
      </c>
      <c r="AM295" s="5" t="str">
        <f t="shared" si="94"/>
        <v/>
      </c>
      <c r="AN295" s="5" t="str">
        <f t="shared" si="95"/>
        <v/>
      </c>
      <c r="AO295" s="5" t="str">
        <f t="shared" si="96"/>
        <v/>
      </c>
      <c r="AP295" s="5" t="str">
        <f t="shared" si="97"/>
        <v/>
      </c>
      <c r="AQ295" s="5" t="str">
        <f t="shared" si="98"/>
        <v/>
      </c>
      <c r="AR295" s="5" t="str">
        <f t="shared" si="99"/>
        <v/>
      </c>
      <c r="AS295" s="5" t="str">
        <f t="shared" si="100"/>
        <v/>
      </c>
      <c r="AT295" s="5" t="str">
        <f t="shared" si="101"/>
        <v/>
      </c>
      <c r="AU295" s="5" t="str">
        <f t="shared" si="102"/>
        <v/>
      </c>
      <c r="AV295" s="5" t="str">
        <f t="shared" si="103"/>
        <v/>
      </c>
      <c r="AW295" s="5" t="str">
        <f t="shared" si="104"/>
        <v/>
      </c>
      <c r="AX295" s="5" t="str">
        <f t="shared" si="105"/>
        <v/>
      </c>
      <c r="AY295" s="5" t="str">
        <f t="shared" si="106"/>
        <v/>
      </c>
      <c r="AZ295" s="5" t="str">
        <f t="shared" si="107"/>
        <v/>
      </c>
      <c r="BA295" s="5" t="str">
        <f t="shared" si="108"/>
        <v/>
      </c>
      <c r="BB295" s="5" t="str">
        <f t="shared" si="109"/>
        <v/>
      </c>
    </row>
    <row r="296" spans="1:54" s="5" customFormat="1" hidden="1">
      <c r="A296" s="8" t="str">
        <f>IF(INDEX(FORM!$A:$A,ROW())="","",ROW()-1)</f>
        <v/>
      </c>
      <c r="B296" s="41" t="str">
        <f>IF($A296="","",INDEX(FORM!$A:$A,ROW()))</f>
        <v/>
      </c>
      <c r="C296" s="8" t="str">
        <f>IF($A296="","",TRIM(INDEX(FORM!$B:$B,ROW())))</f>
        <v/>
      </c>
      <c r="D296" s="8" t="str">
        <f>IF($A296="","",TRIM(INDEX(FORM!$C:$C,ROW())&amp;""))</f>
        <v/>
      </c>
      <c r="E296" s="8" t="str">
        <f>IF($A296="","",UPPER(TRIM(INDEX(FORM!$D:$D,ROW()))))</f>
        <v/>
      </c>
      <c r="F296" s="8" t="str">
        <f>IF($A296="","",IFERROR(INDEX(PROGRES!$A$2:$A$92,MATCH(E296,PROGRES!$B$2:$B$92,0)),"-"))</f>
        <v/>
      </c>
      <c r="G296" s="8" t="str">
        <f>IF($A296="","",UPPER(TRIM(INDEX(FORM!$F:$F,ROW()))))</f>
        <v/>
      </c>
      <c r="H296" s="8" t="str">
        <f>IF($A296="","",UPPER(TRIM(INDEX(FORM!$E:$E,ROW()))))</f>
        <v/>
      </c>
      <c r="I296" s="8" t="str">
        <f>IF($A296="","",UPPER(TRIM(INDEX(FORM!$G:$G,ROW()))))</f>
        <v/>
      </c>
      <c r="J296" s="8" t="str">
        <f>IF($A296="","",IF(ISNUMBER(SEARCH("Ya,",INDEX(FORM!$H:$H,ROW()))),"YA",IF(ISNUMBER(SEARCH("Cukup,",INDEX(FORM!$H:$H,ROW()))),"CUKUP",IF(ISNUMBER(SEARCH("Kurang,",INDEX(FORM!$H:$H,ROW()))),"KURANG",""))))</f>
        <v/>
      </c>
      <c r="K296" s="8" t="str">
        <f>IF($A296="","",UPPER(TRIM(INDEX(FORM!$J:$J,ROW()))))</f>
        <v/>
      </c>
      <c r="L296" s="8" t="str">
        <f>IF($A296="","",IF(ISNUMBER(SEARCH("Aktivitas Harian",INDEX(FORM!$K:$K,ROW()))),1,0))</f>
        <v/>
      </c>
      <c r="M296" s="8" t="str">
        <f>IF($A296="","",IF(ISNUMBER(SEARCH("Aktivitas Mingguan",INDEX(FORM!$K:$K,ROW()))),1,0))</f>
        <v/>
      </c>
      <c r="N296" s="8" t="str">
        <f>IF($A296="","",IF(ISNUMBER(SEARCH("Aktivitas Bulanan",INDEX(FORM!$K:$K,ROW()))),1,0))</f>
        <v/>
      </c>
      <c r="O296" s="8" t="str">
        <f>IF($A296="","",IF(ISNUMBER(SEARCH("Overview Cabang",INDEX(FORM!$K:$K,ROW()))),1,0))</f>
        <v/>
      </c>
      <c r="P296" s="8" t="str">
        <f>IF($A296="","",IFERROR(VLOOKUP(I296,DATA!$AH$9:$AI$13,2,0),""))</f>
        <v/>
      </c>
      <c r="Q296" s="8" t="str">
        <f>IF($A296="","",IFERROR(VLOOKUP(J296,DATA!$AH$9:$AI$13,2,0),""))</f>
        <v/>
      </c>
      <c r="R296" s="8" t="str">
        <f>IF($A296="","",IFERROR(VLOOKUP(K296,DATA!$AH$9:$AI$13,2,0),""))</f>
        <v/>
      </c>
      <c r="S296" s="42" t="str">
        <f t="shared" si="88"/>
        <v/>
      </c>
      <c r="T296" s="8" t="str">
        <f>IF($A296="","",IF(COUNTIF($D$2:D296,D296)=1,1,0))</f>
        <v/>
      </c>
      <c r="U296" s="8" t="str">
        <f>IF($A296="","",IF(F296="-","Cabang tdk ada",IF(IFERROR(VLOOKUP(G296,#REF!,1,0),"")="","",IF(INDEX(DATA!$AH$2:$AH$5,MATCH(G296,DATA!$AI$2:$AI$5,0))&lt;&gt;F296,"Wilayah beda","OK"))))</f>
        <v/>
      </c>
      <c r="V296" s="8" t="str">
        <f>IF($A296="","",TRIM(INDEX(FORM!$I:$I,ROW())&amp;""))</f>
        <v/>
      </c>
      <c r="W296" s="8" t="str">
        <f>IF($A296="","",TRIM(INDEX(FORM!$L:$L,ROW())&amp;""))</f>
        <v/>
      </c>
      <c r="X296" s="8" t="str">
        <f>IF($A296="","",TRIM(INDEX(FORM!$M:$M,ROW())&amp;""))</f>
        <v/>
      </c>
      <c r="Y296" s="8" t="str">
        <f>IF($A296="","",IFERROR(MATCH(F296,DATA!$AH$2:$AH$5,0),9)*10000+A296)</f>
        <v/>
      </c>
      <c r="Z296" s="8" t="str">
        <f t="shared" si="89"/>
        <v/>
      </c>
      <c r="AA296" s="8" t="str">
        <f t="shared" si="90"/>
        <v/>
      </c>
      <c r="AB296" s="8" t="str">
        <f t="shared" si="91"/>
        <v/>
      </c>
      <c r="AC296" s="8"/>
      <c r="AD296" s="8"/>
      <c r="AE296" s="8"/>
      <c r="AK296" s="5" t="str">
        <f t="shared" si="92"/>
        <v/>
      </c>
      <c r="AL296" s="5" t="str">
        <f t="shared" si="93"/>
        <v/>
      </c>
      <c r="AM296" s="5" t="str">
        <f t="shared" si="94"/>
        <v/>
      </c>
      <c r="AN296" s="5" t="str">
        <f t="shared" si="95"/>
        <v/>
      </c>
      <c r="AO296" s="5" t="str">
        <f t="shared" si="96"/>
        <v/>
      </c>
      <c r="AP296" s="5" t="str">
        <f t="shared" si="97"/>
        <v/>
      </c>
      <c r="AQ296" s="5" t="str">
        <f t="shared" si="98"/>
        <v/>
      </c>
      <c r="AR296" s="5" t="str">
        <f t="shared" si="99"/>
        <v/>
      </c>
      <c r="AS296" s="5" t="str">
        <f t="shared" si="100"/>
        <v/>
      </c>
      <c r="AT296" s="5" t="str">
        <f t="shared" si="101"/>
        <v/>
      </c>
      <c r="AU296" s="5" t="str">
        <f t="shared" si="102"/>
        <v/>
      </c>
      <c r="AV296" s="5" t="str">
        <f t="shared" si="103"/>
        <v/>
      </c>
      <c r="AW296" s="5" t="str">
        <f t="shared" si="104"/>
        <v/>
      </c>
      <c r="AX296" s="5" t="str">
        <f t="shared" si="105"/>
        <v/>
      </c>
      <c r="AY296" s="5" t="str">
        <f t="shared" si="106"/>
        <v/>
      </c>
      <c r="AZ296" s="5" t="str">
        <f t="shared" si="107"/>
        <v/>
      </c>
      <c r="BA296" s="5" t="str">
        <f t="shared" si="108"/>
        <v/>
      </c>
      <c r="BB296" s="5" t="str">
        <f t="shared" si="109"/>
        <v/>
      </c>
    </row>
    <row r="297" spans="1:54" s="5" customFormat="1" hidden="1">
      <c r="A297" s="8" t="str">
        <f>IF(INDEX(FORM!$A:$A,ROW())="","",ROW()-1)</f>
        <v/>
      </c>
      <c r="B297" s="41" t="str">
        <f>IF($A297="","",INDEX(FORM!$A:$A,ROW()))</f>
        <v/>
      </c>
      <c r="C297" s="8" t="str">
        <f>IF($A297="","",TRIM(INDEX(FORM!$B:$B,ROW())))</f>
        <v/>
      </c>
      <c r="D297" s="8" t="str">
        <f>IF($A297="","",TRIM(INDEX(FORM!$C:$C,ROW())&amp;""))</f>
        <v/>
      </c>
      <c r="E297" s="8" t="str">
        <f>IF($A297="","",UPPER(TRIM(INDEX(FORM!$D:$D,ROW()))))</f>
        <v/>
      </c>
      <c r="F297" s="8" t="str">
        <f>IF($A297="","",IFERROR(INDEX(PROGRES!$A$2:$A$92,MATCH(E297,PROGRES!$B$2:$B$92,0)),"-"))</f>
        <v/>
      </c>
      <c r="G297" s="8" t="str">
        <f>IF($A297="","",UPPER(TRIM(INDEX(FORM!$F:$F,ROW()))))</f>
        <v/>
      </c>
      <c r="H297" s="8" t="str">
        <f>IF($A297="","",UPPER(TRIM(INDEX(FORM!$E:$E,ROW()))))</f>
        <v/>
      </c>
      <c r="I297" s="8" t="str">
        <f>IF($A297="","",UPPER(TRIM(INDEX(FORM!$G:$G,ROW()))))</f>
        <v/>
      </c>
      <c r="J297" s="8" t="str">
        <f>IF($A297="","",IF(ISNUMBER(SEARCH("Ya,",INDEX(FORM!$H:$H,ROW()))),"YA",IF(ISNUMBER(SEARCH("Cukup,",INDEX(FORM!$H:$H,ROW()))),"CUKUP",IF(ISNUMBER(SEARCH("Kurang,",INDEX(FORM!$H:$H,ROW()))),"KURANG",""))))</f>
        <v/>
      </c>
      <c r="K297" s="8" t="str">
        <f>IF($A297="","",UPPER(TRIM(INDEX(FORM!$J:$J,ROW()))))</f>
        <v/>
      </c>
      <c r="L297" s="8" t="str">
        <f>IF($A297="","",IF(ISNUMBER(SEARCH("Aktivitas Harian",INDEX(FORM!$K:$K,ROW()))),1,0))</f>
        <v/>
      </c>
      <c r="M297" s="8" t="str">
        <f>IF($A297="","",IF(ISNUMBER(SEARCH("Aktivitas Mingguan",INDEX(FORM!$K:$K,ROW()))),1,0))</f>
        <v/>
      </c>
      <c r="N297" s="8" t="str">
        <f>IF($A297="","",IF(ISNUMBER(SEARCH("Aktivitas Bulanan",INDEX(FORM!$K:$K,ROW()))),1,0))</f>
        <v/>
      </c>
      <c r="O297" s="8" t="str">
        <f>IF($A297="","",IF(ISNUMBER(SEARCH("Overview Cabang",INDEX(FORM!$K:$K,ROW()))),1,0))</f>
        <v/>
      </c>
      <c r="P297" s="8" t="str">
        <f>IF($A297="","",IFERROR(VLOOKUP(I297,DATA!$AH$9:$AI$13,2,0),""))</f>
        <v/>
      </c>
      <c r="Q297" s="8" t="str">
        <f>IF($A297="","",IFERROR(VLOOKUP(J297,DATA!$AH$9:$AI$13,2,0),""))</f>
        <v/>
      </c>
      <c r="R297" s="8" t="str">
        <f>IF($A297="","",IFERROR(VLOOKUP(K297,DATA!$AH$9:$AI$13,2,0),""))</f>
        <v/>
      </c>
      <c r="S297" s="42" t="str">
        <f t="shared" si="88"/>
        <v/>
      </c>
      <c r="T297" s="8" t="str">
        <f>IF($A297="","",IF(COUNTIF($D$2:D297,D297)=1,1,0))</f>
        <v/>
      </c>
      <c r="U297" s="8" t="str">
        <f>IF($A297="","",IF(F297="-","Cabang tdk ada",IF(IFERROR(VLOOKUP(G297,#REF!,1,0),"")="","",IF(INDEX(DATA!$AH$2:$AH$5,MATCH(G297,DATA!$AI$2:$AI$5,0))&lt;&gt;F297,"Wilayah beda","OK"))))</f>
        <v/>
      </c>
      <c r="V297" s="8" t="str">
        <f>IF($A297="","",TRIM(INDEX(FORM!$I:$I,ROW())&amp;""))</f>
        <v/>
      </c>
      <c r="W297" s="8" t="str">
        <f>IF($A297="","",TRIM(INDEX(FORM!$L:$L,ROW())&amp;""))</f>
        <v/>
      </c>
      <c r="X297" s="8" t="str">
        <f>IF($A297="","",TRIM(INDEX(FORM!$M:$M,ROW())&amp;""))</f>
        <v/>
      </c>
      <c r="Y297" s="8" t="str">
        <f>IF($A297="","",IFERROR(MATCH(F297,DATA!$AH$2:$AH$5,0),9)*10000+A297)</f>
        <v/>
      </c>
      <c r="Z297" s="8" t="str">
        <f t="shared" si="89"/>
        <v/>
      </c>
      <c r="AA297" s="8" t="str">
        <f t="shared" si="90"/>
        <v/>
      </c>
      <c r="AB297" s="8" t="str">
        <f t="shared" si="91"/>
        <v/>
      </c>
      <c r="AC297" s="8"/>
      <c r="AD297" s="8"/>
      <c r="AE297" s="8"/>
      <c r="AK297" s="5" t="str">
        <f t="shared" si="92"/>
        <v/>
      </c>
      <c r="AL297" s="5" t="str">
        <f t="shared" si="93"/>
        <v/>
      </c>
      <c r="AM297" s="5" t="str">
        <f t="shared" si="94"/>
        <v/>
      </c>
      <c r="AN297" s="5" t="str">
        <f t="shared" si="95"/>
        <v/>
      </c>
      <c r="AO297" s="5" t="str">
        <f t="shared" si="96"/>
        <v/>
      </c>
      <c r="AP297" s="5" t="str">
        <f t="shared" si="97"/>
        <v/>
      </c>
      <c r="AQ297" s="5" t="str">
        <f t="shared" si="98"/>
        <v/>
      </c>
      <c r="AR297" s="5" t="str">
        <f t="shared" si="99"/>
        <v/>
      </c>
      <c r="AS297" s="5" t="str">
        <f t="shared" si="100"/>
        <v/>
      </c>
      <c r="AT297" s="5" t="str">
        <f t="shared" si="101"/>
        <v/>
      </c>
      <c r="AU297" s="5" t="str">
        <f t="shared" si="102"/>
        <v/>
      </c>
      <c r="AV297" s="5" t="str">
        <f t="shared" si="103"/>
        <v/>
      </c>
      <c r="AW297" s="5" t="str">
        <f t="shared" si="104"/>
        <v/>
      </c>
      <c r="AX297" s="5" t="str">
        <f t="shared" si="105"/>
        <v/>
      </c>
      <c r="AY297" s="5" t="str">
        <f t="shared" si="106"/>
        <v/>
      </c>
      <c r="AZ297" s="5" t="str">
        <f t="shared" si="107"/>
        <v/>
      </c>
      <c r="BA297" s="5" t="str">
        <f t="shared" si="108"/>
        <v/>
      </c>
      <c r="BB297" s="5" t="str">
        <f t="shared" si="109"/>
        <v/>
      </c>
    </row>
    <row r="298" spans="1:54" s="5" customFormat="1" hidden="1">
      <c r="A298" s="8" t="str">
        <f>IF(INDEX(FORM!$A:$A,ROW())="","",ROW()-1)</f>
        <v/>
      </c>
      <c r="B298" s="41" t="str">
        <f>IF($A298="","",INDEX(FORM!$A:$A,ROW()))</f>
        <v/>
      </c>
      <c r="C298" s="8" t="str">
        <f>IF($A298="","",TRIM(INDEX(FORM!$B:$B,ROW())))</f>
        <v/>
      </c>
      <c r="D298" s="8" t="str">
        <f>IF($A298="","",TRIM(INDEX(FORM!$C:$C,ROW())&amp;""))</f>
        <v/>
      </c>
      <c r="E298" s="8" t="str">
        <f>IF($A298="","",UPPER(TRIM(INDEX(FORM!$D:$D,ROW()))))</f>
        <v/>
      </c>
      <c r="F298" s="8" t="str">
        <f>IF($A298="","",IFERROR(INDEX(PROGRES!$A$2:$A$92,MATCH(E298,PROGRES!$B$2:$B$92,0)),"-"))</f>
        <v/>
      </c>
      <c r="G298" s="8" t="str">
        <f>IF($A298="","",UPPER(TRIM(INDEX(FORM!$F:$F,ROW()))))</f>
        <v/>
      </c>
      <c r="H298" s="8" t="str">
        <f>IF($A298="","",UPPER(TRIM(INDEX(FORM!$E:$E,ROW()))))</f>
        <v/>
      </c>
      <c r="I298" s="8" t="str">
        <f>IF($A298="","",UPPER(TRIM(INDEX(FORM!$G:$G,ROW()))))</f>
        <v/>
      </c>
      <c r="J298" s="8" t="str">
        <f>IF($A298="","",IF(ISNUMBER(SEARCH("Ya,",INDEX(FORM!$H:$H,ROW()))),"YA",IF(ISNUMBER(SEARCH("Cukup,",INDEX(FORM!$H:$H,ROW()))),"CUKUP",IF(ISNUMBER(SEARCH("Kurang,",INDEX(FORM!$H:$H,ROW()))),"KURANG",""))))</f>
        <v/>
      </c>
      <c r="K298" s="8" t="str">
        <f>IF($A298="","",UPPER(TRIM(INDEX(FORM!$J:$J,ROW()))))</f>
        <v/>
      </c>
      <c r="L298" s="8" t="str">
        <f>IF($A298="","",IF(ISNUMBER(SEARCH("Aktivitas Harian",INDEX(FORM!$K:$K,ROW()))),1,0))</f>
        <v/>
      </c>
      <c r="M298" s="8" t="str">
        <f>IF($A298="","",IF(ISNUMBER(SEARCH("Aktivitas Mingguan",INDEX(FORM!$K:$K,ROW()))),1,0))</f>
        <v/>
      </c>
      <c r="N298" s="8" t="str">
        <f>IF($A298="","",IF(ISNUMBER(SEARCH("Aktivitas Bulanan",INDEX(FORM!$K:$K,ROW()))),1,0))</f>
        <v/>
      </c>
      <c r="O298" s="8" t="str">
        <f>IF($A298="","",IF(ISNUMBER(SEARCH("Overview Cabang",INDEX(FORM!$K:$K,ROW()))),1,0))</f>
        <v/>
      </c>
      <c r="P298" s="8" t="str">
        <f>IF($A298="","",IFERROR(VLOOKUP(I298,DATA!$AH$9:$AI$13,2,0),""))</f>
        <v/>
      </c>
      <c r="Q298" s="8" t="str">
        <f>IF($A298="","",IFERROR(VLOOKUP(J298,DATA!$AH$9:$AI$13,2,0),""))</f>
        <v/>
      </c>
      <c r="R298" s="8" t="str">
        <f>IF($A298="","",IFERROR(VLOOKUP(K298,DATA!$AH$9:$AI$13,2,0),""))</f>
        <v/>
      </c>
      <c r="S298" s="42" t="str">
        <f t="shared" si="88"/>
        <v/>
      </c>
      <c r="T298" s="8" t="str">
        <f>IF($A298="","",IF(COUNTIF($D$2:D298,D298)=1,1,0))</f>
        <v/>
      </c>
      <c r="U298" s="8" t="str">
        <f>IF($A298="","",IF(F298="-","Cabang tdk ada",IF(IFERROR(VLOOKUP(G298,#REF!,1,0),"")="","",IF(INDEX(DATA!$AH$2:$AH$5,MATCH(G298,DATA!$AI$2:$AI$5,0))&lt;&gt;F298,"Wilayah beda","OK"))))</f>
        <v/>
      </c>
      <c r="V298" s="8" t="str">
        <f>IF($A298="","",TRIM(INDEX(FORM!$I:$I,ROW())&amp;""))</f>
        <v/>
      </c>
      <c r="W298" s="8" t="str">
        <f>IF($A298="","",TRIM(INDEX(FORM!$L:$L,ROW())&amp;""))</f>
        <v/>
      </c>
      <c r="X298" s="8" t="str">
        <f>IF($A298="","",TRIM(INDEX(FORM!$M:$M,ROW())&amp;""))</f>
        <v/>
      </c>
      <c r="Y298" s="8" t="str">
        <f>IF($A298="","",IFERROR(MATCH(F298,DATA!$AH$2:$AH$5,0),9)*10000+A298)</f>
        <v/>
      </c>
      <c r="Z298" s="8" t="str">
        <f t="shared" si="89"/>
        <v/>
      </c>
      <c r="AA298" s="8" t="str">
        <f t="shared" si="90"/>
        <v/>
      </c>
      <c r="AB298" s="8" t="str">
        <f t="shared" si="91"/>
        <v/>
      </c>
      <c r="AC298" s="8"/>
      <c r="AD298" s="8"/>
      <c r="AE298" s="8"/>
      <c r="AK298" s="5" t="str">
        <f t="shared" si="92"/>
        <v/>
      </c>
      <c r="AL298" s="5" t="str">
        <f t="shared" si="93"/>
        <v/>
      </c>
      <c r="AM298" s="5" t="str">
        <f t="shared" si="94"/>
        <v/>
      </c>
      <c r="AN298" s="5" t="str">
        <f t="shared" si="95"/>
        <v/>
      </c>
      <c r="AO298" s="5" t="str">
        <f t="shared" si="96"/>
        <v/>
      </c>
      <c r="AP298" s="5" t="str">
        <f t="shared" si="97"/>
        <v/>
      </c>
      <c r="AQ298" s="5" t="str">
        <f t="shared" si="98"/>
        <v/>
      </c>
      <c r="AR298" s="5" t="str">
        <f t="shared" si="99"/>
        <v/>
      </c>
      <c r="AS298" s="5" t="str">
        <f t="shared" si="100"/>
        <v/>
      </c>
      <c r="AT298" s="5" t="str">
        <f t="shared" si="101"/>
        <v/>
      </c>
      <c r="AU298" s="5" t="str">
        <f t="shared" si="102"/>
        <v/>
      </c>
      <c r="AV298" s="5" t="str">
        <f t="shared" si="103"/>
        <v/>
      </c>
      <c r="AW298" s="5" t="str">
        <f t="shared" si="104"/>
        <v/>
      </c>
      <c r="AX298" s="5" t="str">
        <f t="shared" si="105"/>
        <v/>
      </c>
      <c r="AY298" s="5" t="str">
        <f t="shared" si="106"/>
        <v/>
      </c>
      <c r="AZ298" s="5" t="str">
        <f t="shared" si="107"/>
        <v/>
      </c>
      <c r="BA298" s="5" t="str">
        <f t="shared" si="108"/>
        <v/>
      </c>
      <c r="BB298" s="5" t="str">
        <f t="shared" si="109"/>
        <v/>
      </c>
    </row>
    <row r="299" spans="1:54" s="5" customFormat="1" hidden="1">
      <c r="A299" s="8" t="str">
        <f>IF(INDEX(FORM!$A:$A,ROW())="","",ROW()-1)</f>
        <v/>
      </c>
      <c r="B299" s="41" t="str">
        <f>IF($A299="","",INDEX(FORM!$A:$A,ROW()))</f>
        <v/>
      </c>
      <c r="C299" s="8" t="str">
        <f>IF($A299="","",TRIM(INDEX(FORM!$B:$B,ROW())))</f>
        <v/>
      </c>
      <c r="D299" s="8" t="str">
        <f>IF($A299="","",TRIM(INDEX(FORM!$C:$C,ROW())&amp;""))</f>
        <v/>
      </c>
      <c r="E299" s="8" t="str">
        <f>IF($A299="","",UPPER(TRIM(INDEX(FORM!$D:$D,ROW()))))</f>
        <v/>
      </c>
      <c r="F299" s="8" t="str">
        <f>IF($A299="","",IFERROR(INDEX(PROGRES!$A$2:$A$92,MATCH(E299,PROGRES!$B$2:$B$92,0)),"-"))</f>
        <v/>
      </c>
      <c r="G299" s="8" t="str">
        <f>IF($A299="","",UPPER(TRIM(INDEX(FORM!$F:$F,ROW()))))</f>
        <v/>
      </c>
      <c r="H299" s="8" t="str">
        <f>IF($A299="","",UPPER(TRIM(INDEX(FORM!$E:$E,ROW()))))</f>
        <v/>
      </c>
      <c r="I299" s="8" t="str">
        <f>IF($A299="","",UPPER(TRIM(INDEX(FORM!$G:$G,ROW()))))</f>
        <v/>
      </c>
      <c r="J299" s="8" t="str">
        <f>IF($A299="","",IF(ISNUMBER(SEARCH("Ya,",INDEX(FORM!$H:$H,ROW()))),"YA",IF(ISNUMBER(SEARCH("Cukup,",INDEX(FORM!$H:$H,ROW()))),"CUKUP",IF(ISNUMBER(SEARCH("Kurang,",INDEX(FORM!$H:$H,ROW()))),"KURANG",""))))</f>
        <v/>
      </c>
      <c r="K299" s="8" t="str">
        <f>IF($A299="","",UPPER(TRIM(INDEX(FORM!$J:$J,ROW()))))</f>
        <v/>
      </c>
      <c r="L299" s="8" t="str">
        <f>IF($A299="","",IF(ISNUMBER(SEARCH("Aktivitas Harian",INDEX(FORM!$K:$K,ROW()))),1,0))</f>
        <v/>
      </c>
      <c r="M299" s="8" t="str">
        <f>IF($A299="","",IF(ISNUMBER(SEARCH("Aktivitas Mingguan",INDEX(FORM!$K:$K,ROW()))),1,0))</f>
        <v/>
      </c>
      <c r="N299" s="8" t="str">
        <f>IF($A299="","",IF(ISNUMBER(SEARCH("Aktivitas Bulanan",INDEX(FORM!$K:$K,ROW()))),1,0))</f>
        <v/>
      </c>
      <c r="O299" s="8" t="str">
        <f>IF($A299="","",IF(ISNUMBER(SEARCH("Overview Cabang",INDEX(FORM!$K:$K,ROW()))),1,0))</f>
        <v/>
      </c>
      <c r="P299" s="8" t="str">
        <f>IF($A299="","",IFERROR(VLOOKUP(I299,DATA!$AH$9:$AI$13,2,0),""))</f>
        <v/>
      </c>
      <c r="Q299" s="8" t="str">
        <f>IF($A299="","",IFERROR(VLOOKUP(J299,DATA!$AH$9:$AI$13,2,0),""))</f>
        <v/>
      </c>
      <c r="R299" s="8" t="str">
        <f>IF($A299="","",IFERROR(VLOOKUP(K299,DATA!$AH$9:$AI$13,2,0),""))</f>
        <v/>
      </c>
      <c r="S299" s="42" t="str">
        <f t="shared" si="88"/>
        <v/>
      </c>
      <c r="T299" s="8" t="str">
        <f>IF($A299="","",IF(COUNTIF($D$2:D299,D299)=1,1,0))</f>
        <v/>
      </c>
      <c r="U299" s="8" t="str">
        <f>IF($A299="","",IF(F299="-","Cabang tdk ada",IF(IFERROR(VLOOKUP(G299,#REF!,1,0),"")="","",IF(INDEX(DATA!$AH$2:$AH$5,MATCH(G299,DATA!$AI$2:$AI$5,0))&lt;&gt;F299,"Wilayah beda","OK"))))</f>
        <v/>
      </c>
      <c r="V299" s="8" t="str">
        <f>IF($A299="","",TRIM(INDEX(FORM!$I:$I,ROW())&amp;""))</f>
        <v/>
      </c>
      <c r="W299" s="8" t="str">
        <f>IF($A299="","",TRIM(INDEX(FORM!$L:$L,ROW())&amp;""))</f>
        <v/>
      </c>
      <c r="X299" s="8" t="str">
        <f>IF($A299="","",TRIM(INDEX(FORM!$M:$M,ROW())&amp;""))</f>
        <v/>
      </c>
      <c r="Y299" s="8" t="str">
        <f>IF($A299="","",IFERROR(MATCH(F299,DATA!$AH$2:$AH$5,0),9)*10000+A299)</f>
        <v/>
      </c>
      <c r="Z299" s="8" t="str">
        <f t="shared" si="89"/>
        <v/>
      </c>
      <c r="AA299" s="8" t="str">
        <f t="shared" si="90"/>
        <v/>
      </c>
      <c r="AB299" s="8" t="str">
        <f t="shared" si="91"/>
        <v/>
      </c>
      <c r="AC299" s="8"/>
      <c r="AD299" s="8"/>
      <c r="AE299" s="8"/>
      <c r="AK299" s="5" t="str">
        <f t="shared" si="92"/>
        <v/>
      </c>
      <c r="AL299" s="5" t="str">
        <f t="shared" si="93"/>
        <v/>
      </c>
      <c r="AM299" s="5" t="str">
        <f t="shared" si="94"/>
        <v/>
      </c>
      <c r="AN299" s="5" t="str">
        <f t="shared" si="95"/>
        <v/>
      </c>
      <c r="AO299" s="5" t="str">
        <f t="shared" si="96"/>
        <v/>
      </c>
      <c r="AP299" s="5" t="str">
        <f t="shared" si="97"/>
        <v/>
      </c>
      <c r="AQ299" s="5" t="str">
        <f t="shared" si="98"/>
        <v/>
      </c>
      <c r="AR299" s="5" t="str">
        <f t="shared" si="99"/>
        <v/>
      </c>
      <c r="AS299" s="5" t="str">
        <f t="shared" si="100"/>
        <v/>
      </c>
      <c r="AT299" s="5" t="str">
        <f t="shared" si="101"/>
        <v/>
      </c>
      <c r="AU299" s="5" t="str">
        <f t="shared" si="102"/>
        <v/>
      </c>
      <c r="AV299" s="5" t="str">
        <f t="shared" si="103"/>
        <v/>
      </c>
      <c r="AW299" s="5" t="str">
        <f t="shared" si="104"/>
        <v/>
      </c>
      <c r="AX299" s="5" t="str">
        <f t="shared" si="105"/>
        <v/>
      </c>
      <c r="AY299" s="5" t="str">
        <f t="shared" si="106"/>
        <v/>
      </c>
      <c r="AZ299" s="5" t="str">
        <f t="shared" si="107"/>
        <v/>
      </c>
      <c r="BA299" s="5" t="str">
        <f t="shared" si="108"/>
        <v/>
      </c>
      <c r="BB299" s="5" t="str">
        <f t="shared" si="109"/>
        <v/>
      </c>
    </row>
    <row r="300" spans="1:54" s="5" customFormat="1" hidden="1">
      <c r="A300" s="8" t="str">
        <f>IF(INDEX(FORM!$A:$A,ROW())="","",ROW()-1)</f>
        <v/>
      </c>
      <c r="B300" s="41" t="str">
        <f>IF($A300="","",INDEX(FORM!$A:$A,ROW()))</f>
        <v/>
      </c>
      <c r="C300" s="8" t="str">
        <f>IF($A300="","",TRIM(INDEX(FORM!$B:$B,ROW())))</f>
        <v/>
      </c>
      <c r="D300" s="8" t="str">
        <f>IF($A300="","",TRIM(INDEX(FORM!$C:$C,ROW())&amp;""))</f>
        <v/>
      </c>
      <c r="E300" s="8" t="str">
        <f>IF($A300="","",UPPER(TRIM(INDEX(FORM!$D:$D,ROW()))))</f>
        <v/>
      </c>
      <c r="F300" s="8" t="str">
        <f>IF($A300="","",IFERROR(INDEX(PROGRES!$A$2:$A$92,MATCH(E300,PROGRES!$B$2:$B$92,0)),"-"))</f>
        <v/>
      </c>
      <c r="G300" s="8" t="str">
        <f>IF($A300="","",UPPER(TRIM(INDEX(FORM!$F:$F,ROW()))))</f>
        <v/>
      </c>
      <c r="H300" s="8" t="str">
        <f>IF($A300="","",UPPER(TRIM(INDEX(FORM!$E:$E,ROW()))))</f>
        <v/>
      </c>
      <c r="I300" s="8" t="str">
        <f>IF($A300="","",UPPER(TRIM(INDEX(FORM!$G:$G,ROW()))))</f>
        <v/>
      </c>
      <c r="J300" s="8" t="str">
        <f>IF($A300="","",IF(ISNUMBER(SEARCH("Ya,",INDEX(FORM!$H:$H,ROW()))),"YA",IF(ISNUMBER(SEARCH("Cukup,",INDEX(FORM!$H:$H,ROW()))),"CUKUP",IF(ISNUMBER(SEARCH("Kurang,",INDEX(FORM!$H:$H,ROW()))),"KURANG",""))))</f>
        <v/>
      </c>
      <c r="K300" s="8" t="str">
        <f>IF($A300="","",UPPER(TRIM(INDEX(FORM!$J:$J,ROW()))))</f>
        <v/>
      </c>
      <c r="L300" s="8" t="str">
        <f>IF($A300="","",IF(ISNUMBER(SEARCH("Aktivitas Harian",INDEX(FORM!$K:$K,ROW()))),1,0))</f>
        <v/>
      </c>
      <c r="M300" s="8" t="str">
        <f>IF($A300="","",IF(ISNUMBER(SEARCH("Aktivitas Mingguan",INDEX(FORM!$K:$K,ROW()))),1,0))</f>
        <v/>
      </c>
      <c r="N300" s="8" t="str">
        <f>IF($A300="","",IF(ISNUMBER(SEARCH("Aktivitas Bulanan",INDEX(FORM!$K:$K,ROW()))),1,0))</f>
        <v/>
      </c>
      <c r="O300" s="8" t="str">
        <f>IF($A300="","",IF(ISNUMBER(SEARCH("Overview Cabang",INDEX(FORM!$K:$K,ROW()))),1,0))</f>
        <v/>
      </c>
      <c r="P300" s="8" t="str">
        <f>IF($A300="","",IFERROR(VLOOKUP(I300,DATA!$AH$9:$AI$13,2,0),""))</f>
        <v/>
      </c>
      <c r="Q300" s="8" t="str">
        <f>IF($A300="","",IFERROR(VLOOKUP(J300,DATA!$AH$9:$AI$13,2,0),""))</f>
        <v/>
      </c>
      <c r="R300" s="8" t="str">
        <f>IF($A300="","",IFERROR(VLOOKUP(K300,DATA!$AH$9:$AI$13,2,0),""))</f>
        <v/>
      </c>
      <c r="S300" s="42" t="str">
        <f t="shared" si="88"/>
        <v/>
      </c>
      <c r="T300" s="8" t="str">
        <f>IF($A300="","",IF(COUNTIF($D$2:D300,D300)=1,1,0))</f>
        <v/>
      </c>
      <c r="U300" s="8" t="str">
        <f>IF($A300="","",IF(F300="-","Cabang tdk ada",IF(IFERROR(VLOOKUP(G300,#REF!,1,0),"")="","",IF(INDEX(DATA!$AH$2:$AH$5,MATCH(G300,DATA!$AI$2:$AI$5,0))&lt;&gt;F300,"Wilayah beda","OK"))))</f>
        <v/>
      </c>
      <c r="V300" s="8" t="str">
        <f>IF($A300="","",TRIM(INDEX(FORM!$I:$I,ROW())&amp;""))</f>
        <v/>
      </c>
      <c r="W300" s="8" t="str">
        <f>IF($A300="","",TRIM(INDEX(FORM!$L:$L,ROW())&amp;""))</f>
        <v/>
      </c>
      <c r="X300" s="8" t="str">
        <f>IF($A300="","",TRIM(INDEX(FORM!$M:$M,ROW())&amp;""))</f>
        <v/>
      </c>
      <c r="Y300" s="8" t="str">
        <f>IF($A300="","",IFERROR(MATCH(F300,DATA!$AH$2:$AH$5,0),9)*10000+A300)</f>
        <v/>
      </c>
      <c r="Z300" s="8" t="str">
        <f t="shared" si="89"/>
        <v/>
      </c>
      <c r="AA300" s="8" t="str">
        <f t="shared" si="90"/>
        <v/>
      </c>
      <c r="AB300" s="8" t="str">
        <f t="shared" si="91"/>
        <v/>
      </c>
      <c r="AC300" s="8"/>
      <c r="AD300" s="8"/>
      <c r="AE300" s="8"/>
      <c r="AK300" s="5" t="str">
        <f t="shared" si="92"/>
        <v/>
      </c>
      <c r="AL300" s="5" t="str">
        <f t="shared" si="93"/>
        <v/>
      </c>
      <c r="AM300" s="5" t="str">
        <f t="shared" si="94"/>
        <v/>
      </c>
      <c r="AN300" s="5" t="str">
        <f t="shared" si="95"/>
        <v/>
      </c>
      <c r="AO300" s="5" t="str">
        <f t="shared" si="96"/>
        <v/>
      </c>
      <c r="AP300" s="5" t="str">
        <f t="shared" si="97"/>
        <v/>
      </c>
      <c r="AQ300" s="5" t="str">
        <f t="shared" si="98"/>
        <v/>
      </c>
      <c r="AR300" s="5" t="str">
        <f t="shared" si="99"/>
        <v/>
      </c>
      <c r="AS300" s="5" t="str">
        <f t="shared" si="100"/>
        <v/>
      </c>
      <c r="AT300" s="5" t="str">
        <f t="shared" si="101"/>
        <v/>
      </c>
      <c r="AU300" s="5" t="str">
        <f t="shared" si="102"/>
        <v/>
      </c>
      <c r="AV300" s="5" t="str">
        <f t="shared" si="103"/>
        <v/>
      </c>
      <c r="AW300" s="5" t="str">
        <f t="shared" si="104"/>
        <v/>
      </c>
      <c r="AX300" s="5" t="str">
        <f t="shared" si="105"/>
        <v/>
      </c>
      <c r="AY300" s="5" t="str">
        <f t="shared" si="106"/>
        <v/>
      </c>
      <c r="AZ300" s="5" t="str">
        <f t="shared" si="107"/>
        <v/>
      </c>
      <c r="BA300" s="5" t="str">
        <f t="shared" si="108"/>
        <v/>
      </c>
      <c r="BB300" s="5" t="str">
        <f t="shared" si="109"/>
        <v/>
      </c>
    </row>
    <row r="301" spans="1:54" s="5" customFormat="1" hidden="1">
      <c r="A301" s="8" t="str">
        <f>IF(INDEX(FORM!$A:$A,ROW())="","",ROW()-1)</f>
        <v/>
      </c>
      <c r="B301" s="41" t="str">
        <f>IF($A301="","",INDEX(FORM!$A:$A,ROW()))</f>
        <v/>
      </c>
      <c r="C301" s="8" t="str">
        <f>IF($A301="","",TRIM(INDEX(FORM!$B:$B,ROW())))</f>
        <v/>
      </c>
      <c r="D301" s="8" t="str">
        <f>IF($A301="","",TRIM(INDEX(FORM!$C:$C,ROW())&amp;""))</f>
        <v/>
      </c>
      <c r="E301" s="8" t="str">
        <f>IF($A301="","",UPPER(TRIM(INDEX(FORM!$D:$D,ROW()))))</f>
        <v/>
      </c>
      <c r="F301" s="8" t="str">
        <f>IF($A301="","",IFERROR(INDEX(PROGRES!$A$2:$A$92,MATCH(E301,PROGRES!$B$2:$B$92,0)),"-"))</f>
        <v/>
      </c>
      <c r="G301" s="8" t="str">
        <f>IF($A301="","",UPPER(TRIM(INDEX(FORM!$F:$F,ROW()))))</f>
        <v/>
      </c>
      <c r="H301" s="8" t="str">
        <f>IF($A301="","",UPPER(TRIM(INDEX(FORM!$E:$E,ROW()))))</f>
        <v/>
      </c>
      <c r="I301" s="8" t="str">
        <f>IF($A301="","",UPPER(TRIM(INDEX(FORM!$G:$G,ROW()))))</f>
        <v/>
      </c>
      <c r="J301" s="8" t="str">
        <f>IF($A301="","",IF(ISNUMBER(SEARCH("Ya,",INDEX(FORM!$H:$H,ROW()))),"YA",IF(ISNUMBER(SEARCH("Cukup,",INDEX(FORM!$H:$H,ROW()))),"CUKUP",IF(ISNUMBER(SEARCH("Kurang,",INDEX(FORM!$H:$H,ROW()))),"KURANG",""))))</f>
        <v/>
      </c>
      <c r="K301" s="8" t="str">
        <f>IF($A301="","",UPPER(TRIM(INDEX(FORM!$J:$J,ROW()))))</f>
        <v/>
      </c>
      <c r="L301" s="8" t="str">
        <f>IF($A301="","",IF(ISNUMBER(SEARCH("Aktivitas Harian",INDEX(FORM!$K:$K,ROW()))),1,0))</f>
        <v/>
      </c>
      <c r="M301" s="8" t="str">
        <f>IF($A301="","",IF(ISNUMBER(SEARCH("Aktivitas Mingguan",INDEX(FORM!$K:$K,ROW()))),1,0))</f>
        <v/>
      </c>
      <c r="N301" s="8" t="str">
        <f>IF($A301="","",IF(ISNUMBER(SEARCH("Aktivitas Bulanan",INDEX(FORM!$K:$K,ROW()))),1,0))</f>
        <v/>
      </c>
      <c r="O301" s="8" t="str">
        <f>IF($A301="","",IF(ISNUMBER(SEARCH("Overview Cabang",INDEX(FORM!$K:$K,ROW()))),1,0))</f>
        <v/>
      </c>
      <c r="P301" s="8" t="str">
        <f>IF($A301="","",IFERROR(VLOOKUP(I301,DATA!$AH$9:$AI$13,2,0),""))</f>
        <v/>
      </c>
      <c r="Q301" s="8" t="str">
        <f>IF($A301="","",IFERROR(VLOOKUP(J301,DATA!$AH$9:$AI$13,2,0),""))</f>
        <v/>
      </c>
      <c r="R301" s="8" t="str">
        <f>IF($A301="","",IFERROR(VLOOKUP(K301,DATA!$AH$9:$AI$13,2,0),""))</f>
        <v/>
      </c>
      <c r="S301" s="42" t="str">
        <f t="shared" si="88"/>
        <v/>
      </c>
      <c r="T301" s="8" t="str">
        <f>IF($A301="","",IF(COUNTIF($D$2:D301,D301)=1,1,0))</f>
        <v/>
      </c>
      <c r="U301" s="8" t="str">
        <f>IF($A301="","",IF(F301="-","Cabang tdk ada",IF(IFERROR(VLOOKUP(G301,#REF!,1,0),"")="","",IF(INDEX(DATA!$AH$2:$AH$5,MATCH(G301,DATA!$AI$2:$AI$5,0))&lt;&gt;F301,"Wilayah beda","OK"))))</f>
        <v/>
      </c>
      <c r="V301" s="8" t="str">
        <f>IF($A301="","",TRIM(INDEX(FORM!$I:$I,ROW())&amp;""))</f>
        <v/>
      </c>
      <c r="W301" s="8" t="str">
        <f>IF($A301="","",TRIM(INDEX(FORM!$L:$L,ROW())&amp;""))</f>
        <v/>
      </c>
      <c r="X301" s="8" t="str">
        <f>IF($A301="","",TRIM(INDEX(FORM!$M:$M,ROW())&amp;""))</f>
        <v/>
      </c>
      <c r="Y301" s="8" t="str">
        <f>IF($A301="","",IFERROR(MATCH(F301,DATA!$AH$2:$AH$5,0),9)*10000+A301)</f>
        <v/>
      </c>
      <c r="Z301" s="8" t="str">
        <f t="shared" si="89"/>
        <v/>
      </c>
      <c r="AA301" s="8" t="str">
        <f t="shared" si="90"/>
        <v/>
      </c>
      <c r="AB301" s="8" t="str">
        <f t="shared" si="91"/>
        <v/>
      </c>
      <c r="AC301" s="8"/>
      <c r="AD301" s="8"/>
      <c r="AE301" s="8"/>
      <c r="AK301" s="5" t="str">
        <f t="shared" si="92"/>
        <v/>
      </c>
      <c r="AL301" s="5" t="str">
        <f t="shared" si="93"/>
        <v/>
      </c>
      <c r="AM301" s="5" t="str">
        <f t="shared" si="94"/>
        <v/>
      </c>
      <c r="AN301" s="5" t="str">
        <f t="shared" si="95"/>
        <v/>
      </c>
      <c r="AO301" s="5" t="str">
        <f t="shared" si="96"/>
        <v/>
      </c>
      <c r="AP301" s="5" t="str">
        <f t="shared" si="97"/>
        <v/>
      </c>
      <c r="AQ301" s="5" t="str">
        <f t="shared" si="98"/>
        <v/>
      </c>
      <c r="AR301" s="5" t="str">
        <f t="shared" si="99"/>
        <v/>
      </c>
      <c r="AS301" s="5" t="str">
        <f t="shared" si="100"/>
        <v/>
      </c>
      <c r="AT301" s="5" t="str">
        <f t="shared" si="101"/>
        <v/>
      </c>
      <c r="AU301" s="5" t="str">
        <f t="shared" si="102"/>
        <v/>
      </c>
      <c r="AV301" s="5" t="str">
        <f t="shared" si="103"/>
        <v/>
      </c>
      <c r="AW301" s="5" t="str">
        <f t="shared" si="104"/>
        <v/>
      </c>
      <c r="AX301" s="5" t="str">
        <f t="shared" si="105"/>
        <v/>
      </c>
      <c r="AY301" s="5" t="str">
        <f t="shared" si="106"/>
        <v/>
      </c>
      <c r="AZ301" s="5" t="str">
        <f t="shared" si="107"/>
        <v/>
      </c>
      <c r="BA301" s="5" t="str">
        <f t="shared" si="108"/>
        <v/>
      </c>
      <c r="BB301" s="5" t="str">
        <f t="shared" si="109"/>
        <v/>
      </c>
    </row>
    <row r="302" spans="1:54" s="5" customFormat="1" hidden="1">
      <c r="A302" s="8" t="str">
        <f>IF(INDEX(FORM!$A:$A,ROW())="","",ROW()-1)</f>
        <v/>
      </c>
      <c r="B302" s="41" t="str">
        <f>IF($A302="","",INDEX(FORM!$A:$A,ROW()))</f>
        <v/>
      </c>
      <c r="C302" s="8" t="str">
        <f>IF($A302="","",TRIM(INDEX(FORM!$B:$B,ROW())))</f>
        <v/>
      </c>
      <c r="D302" s="8" t="str">
        <f>IF($A302="","",TRIM(INDEX(FORM!$C:$C,ROW())&amp;""))</f>
        <v/>
      </c>
      <c r="E302" s="8" t="str">
        <f>IF($A302="","",UPPER(TRIM(INDEX(FORM!$D:$D,ROW()))))</f>
        <v/>
      </c>
      <c r="F302" s="8" t="str">
        <f>IF($A302="","",IFERROR(INDEX(PROGRES!$A$2:$A$92,MATCH(E302,PROGRES!$B$2:$B$92,0)),"-"))</f>
        <v/>
      </c>
      <c r="G302" s="8" t="str">
        <f>IF($A302="","",UPPER(TRIM(INDEX(FORM!$F:$F,ROW()))))</f>
        <v/>
      </c>
      <c r="H302" s="8" t="str">
        <f>IF($A302="","",UPPER(TRIM(INDEX(FORM!$E:$E,ROW()))))</f>
        <v/>
      </c>
      <c r="I302" s="8" t="str">
        <f>IF($A302="","",UPPER(TRIM(INDEX(FORM!$G:$G,ROW()))))</f>
        <v/>
      </c>
      <c r="J302" s="8" t="str">
        <f>IF($A302="","",IF(ISNUMBER(SEARCH("Ya,",INDEX(FORM!$H:$H,ROW()))),"YA",IF(ISNUMBER(SEARCH("Cukup,",INDEX(FORM!$H:$H,ROW()))),"CUKUP",IF(ISNUMBER(SEARCH("Kurang,",INDEX(FORM!$H:$H,ROW()))),"KURANG",""))))</f>
        <v/>
      </c>
      <c r="K302" s="8" t="str">
        <f>IF($A302="","",UPPER(TRIM(INDEX(FORM!$J:$J,ROW()))))</f>
        <v/>
      </c>
      <c r="L302" s="8" t="str">
        <f>IF($A302="","",IF(ISNUMBER(SEARCH("Aktivitas Harian",INDEX(FORM!$K:$K,ROW()))),1,0))</f>
        <v/>
      </c>
      <c r="M302" s="8" t="str">
        <f>IF($A302="","",IF(ISNUMBER(SEARCH("Aktivitas Mingguan",INDEX(FORM!$K:$K,ROW()))),1,0))</f>
        <v/>
      </c>
      <c r="N302" s="8" t="str">
        <f>IF($A302="","",IF(ISNUMBER(SEARCH("Aktivitas Bulanan",INDEX(FORM!$K:$K,ROW()))),1,0))</f>
        <v/>
      </c>
      <c r="O302" s="8" t="str">
        <f>IF($A302="","",IF(ISNUMBER(SEARCH("Overview Cabang",INDEX(FORM!$K:$K,ROW()))),1,0))</f>
        <v/>
      </c>
      <c r="P302" s="8" t="str">
        <f>IF($A302="","",IFERROR(VLOOKUP(I302,DATA!$AH$9:$AI$13,2,0),""))</f>
        <v/>
      </c>
      <c r="Q302" s="8" t="str">
        <f>IF($A302="","",IFERROR(VLOOKUP(J302,DATA!$AH$9:$AI$13,2,0),""))</f>
        <v/>
      </c>
      <c r="R302" s="8" t="str">
        <f>IF($A302="","",IFERROR(VLOOKUP(K302,DATA!$AH$9:$AI$13,2,0),""))</f>
        <v/>
      </c>
      <c r="S302" s="42" t="str">
        <f t="shared" si="88"/>
        <v/>
      </c>
      <c r="T302" s="8" t="str">
        <f>IF($A302="","",IF(COUNTIF($D$2:D302,D302)=1,1,0))</f>
        <v/>
      </c>
      <c r="U302" s="8" t="str">
        <f>IF($A302="","",IF(F302="-","Cabang tdk ada",IF(IFERROR(VLOOKUP(G302,#REF!,1,0),"")="","",IF(INDEX(DATA!$AH$2:$AH$5,MATCH(G302,DATA!$AI$2:$AI$5,0))&lt;&gt;F302,"Wilayah beda","OK"))))</f>
        <v/>
      </c>
      <c r="V302" s="8" t="str">
        <f>IF($A302="","",TRIM(INDEX(FORM!$I:$I,ROW())&amp;""))</f>
        <v/>
      </c>
      <c r="W302" s="8" t="str">
        <f>IF($A302="","",TRIM(INDEX(FORM!$L:$L,ROW())&amp;""))</f>
        <v/>
      </c>
      <c r="X302" s="8" t="str">
        <f>IF($A302="","",TRIM(INDEX(FORM!$M:$M,ROW())&amp;""))</f>
        <v/>
      </c>
      <c r="Y302" s="8" t="str">
        <f>IF($A302="","",IFERROR(MATCH(F302,DATA!$AH$2:$AH$5,0),9)*10000+A302)</f>
        <v/>
      </c>
      <c r="Z302" s="8" t="str">
        <f t="shared" si="89"/>
        <v/>
      </c>
      <c r="AA302" s="8" t="str">
        <f t="shared" si="90"/>
        <v/>
      </c>
      <c r="AB302" s="8" t="str">
        <f t="shared" si="91"/>
        <v/>
      </c>
      <c r="AC302" s="8"/>
      <c r="AD302" s="8"/>
      <c r="AE302" s="8"/>
      <c r="AK302" s="5" t="str">
        <f t="shared" si="92"/>
        <v/>
      </c>
      <c r="AL302" s="5" t="str">
        <f t="shared" si="93"/>
        <v/>
      </c>
      <c r="AM302" s="5" t="str">
        <f t="shared" si="94"/>
        <v/>
      </c>
      <c r="AN302" s="5" t="str">
        <f t="shared" si="95"/>
        <v/>
      </c>
      <c r="AO302" s="5" t="str">
        <f t="shared" si="96"/>
        <v/>
      </c>
      <c r="AP302" s="5" t="str">
        <f t="shared" si="97"/>
        <v/>
      </c>
      <c r="AQ302" s="5" t="str">
        <f t="shared" si="98"/>
        <v/>
      </c>
      <c r="AR302" s="5" t="str">
        <f t="shared" si="99"/>
        <v/>
      </c>
      <c r="AS302" s="5" t="str">
        <f t="shared" si="100"/>
        <v/>
      </c>
      <c r="AT302" s="5" t="str">
        <f t="shared" si="101"/>
        <v/>
      </c>
      <c r="AU302" s="5" t="str">
        <f t="shared" si="102"/>
        <v/>
      </c>
      <c r="AV302" s="5" t="str">
        <f t="shared" si="103"/>
        <v/>
      </c>
      <c r="AW302" s="5" t="str">
        <f t="shared" si="104"/>
        <v/>
      </c>
      <c r="AX302" s="5" t="str">
        <f t="shared" si="105"/>
        <v/>
      </c>
      <c r="AY302" s="5" t="str">
        <f t="shared" si="106"/>
        <v/>
      </c>
      <c r="AZ302" s="5" t="str">
        <f t="shared" si="107"/>
        <v/>
      </c>
      <c r="BA302" s="5" t="str">
        <f t="shared" si="108"/>
        <v/>
      </c>
      <c r="BB302" s="5" t="str">
        <f t="shared" si="109"/>
        <v/>
      </c>
    </row>
    <row r="303" spans="1:54" s="5" customFormat="1" hidden="1">
      <c r="A303" s="8" t="str">
        <f>IF(INDEX(FORM!$A:$A,ROW())="","",ROW()-1)</f>
        <v/>
      </c>
      <c r="B303" s="41" t="str">
        <f>IF($A303="","",INDEX(FORM!$A:$A,ROW()))</f>
        <v/>
      </c>
      <c r="C303" s="8" t="str">
        <f>IF($A303="","",TRIM(INDEX(FORM!$B:$B,ROW())))</f>
        <v/>
      </c>
      <c r="D303" s="8" t="str">
        <f>IF($A303="","",TRIM(INDEX(FORM!$C:$C,ROW())&amp;""))</f>
        <v/>
      </c>
      <c r="E303" s="8" t="str">
        <f>IF($A303="","",UPPER(TRIM(INDEX(FORM!$D:$D,ROW()))))</f>
        <v/>
      </c>
      <c r="F303" s="8" t="str">
        <f>IF($A303="","",IFERROR(INDEX(PROGRES!$A$2:$A$92,MATCH(E303,PROGRES!$B$2:$B$92,0)),"-"))</f>
        <v/>
      </c>
      <c r="G303" s="8" t="str">
        <f>IF($A303="","",UPPER(TRIM(INDEX(FORM!$F:$F,ROW()))))</f>
        <v/>
      </c>
      <c r="H303" s="8" t="str">
        <f>IF($A303="","",UPPER(TRIM(INDEX(FORM!$E:$E,ROW()))))</f>
        <v/>
      </c>
      <c r="I303" s="8" t="str">
        <f>IF($A303="","",UPPER(TRIM(INDEX(FORM!$G:$G,ROW()))))</f>
        <v/>
      </c>
      <c r="J303" s="8" t="str">
        <f>IF($A303="","",IF(ISNUMBER(SEARCH("Ya,",INDEX(FORM!$H:$H,ROW()))),"YA",IF(ISNUMBER(SEARCH("Cukup,",INDEX(FORM!$H:$H,ROW()))),"CUKUP",IF(ISNUMBER(SEARCH("Kurang,",INDEX(FORM!$H:$H,ROW()))),"KURANG",""))))</f>
        <v/>
      </c>
      <c r="K303" s="8" t="str">
        <f>IF($A303="","",UPPER(TRIM(INDEX(FORM!$J:$J,ROW()))))</f>
        <v/>
      </c>
      <c r="L303" s="8" t="str">
        <f>IF($A303="","",IF(ISNUMBER(SEARCH("Aktivitas Harian",INDEX(FORM!$K:$K,ROW()))),1,0))</f>
        <v/>
      </c>
      <c r="M303" s="8" t="str">
        <f>IF($A303="","",IF(ISNUMBER(SEARCH("Aktivitas Mingguan",INDEX(FORM!$K:$K,ROW()))),1,0))</f>
        <v/>
      </c>
      <c r="N303" s="8" t="str">
        <f>IF($A303="","",IF(ISNUMBER(SEARCH("Aktivitas Bulanan",INDEX(FORM!$K:$K,ROW()))),1,0))</f>
        <v/>
      </c>
      <c r="O303" s="8" t="str">
        <f>IF($A303="","",IF(ISNUMBER(SEARCH("Overview Cabang",INDEX(FORM!$K:$K,ROW()))),1,0))</f>
        <v/>
      </c>
      <c r="P303" s="8" t="str">
        <f>IF($A303="","",IFERROR(VLOOKUP(I303,DATA!$AH$9:$AI$13,2,0),""))</f>
        <v/>
      </c>
      <c r="Q303" s="8" t="str">
        <f>IF($A303="","",IFERROR(VLOOKUP(J303,DATA!$AH$9:$AI$13,2,0),""))</f>
        <v/>
      </c>
      <c r="R303" s="8" t="str">
        <f>IF($A303="","",IFERROR(VLOOKUP(K303,DATA!$AH$9:$AI$13,2,0),""))</f>
        <v/>
      </c>
      <c r="S303" s="42" t="str">
        <f t="shared" si="88"/>
        <v/>
      </c>
      <c r="T303" s="8" t="str">
        <f>IF($A303="","",IF(COUNTIF($D$2:D303,D303)=1,1,0))</f>
        <v/>
      </c>
      <c r="U303" s="8" t="str">
        <f>IF($A303="","",IF(F303="-","Cabang tdk ada",IF(IFERROR(VLOOKUP(G303,#REF!,1,0),"")="","",IF(INDEX(DATA!$AH$2:$AH$5,MATCH(G303,DATA!$AI$2:$AI$5,0))&lt;&gt;F303,"Wilayah beda","OK"))))</f>
        <v/>
      </c>
      <c r="V303" s="8" t="str">
        <f>IF($A303="","",TRIM(INDEX(FORM!$I:$I,ROW())&amp;""))</f>
        <v/>
      </c>
      <c r="W303" s="8" t="str">
        <f>IF($A303="","",TRIM(INDEX(FORM!$L:$L,ROW())&amp;""))</f>
        <v/>
      </c>
      <c r="X303" s="8" t="str">
        <f>IF($A303="","",TRIM(INDEX(FORM!$M:$M,ROW())&amp;""))</f>
        <v/>
      </c>
      <c r="Y303" s="8" t="str">
        <f>IF($A303="","",IFERROR(MATCH(F303,DATA!$AH$2:$AH$5,0),9)*10000+A303)</f>
        <v/>
      </c>
      <c r="Z303" s="8" t="str">
        <f t="shared" si="89"/>
        <v/>
      </c>
      <c r="AA303" s="8" t="str">
        <f t="shared" si="90"/>
        <v/>
      </c>
      <c r="AB303" s="8" t="str">
        <f t="shared" si="91"/>
        <v/>
      </c>
      <c r="AC303" s="8"/>
      <c r="AD303" s="8"/>
      <c r="AE303" s="8"/>
      <c r="AK303" s="5" t="str">
        <f t="shared" si="92"/>
        <v/>
      </c>
      <c r="AL303" s="5" t="str">
        <f t="shared" si="93"/>
        <v/>
      </c>
      <c r="AM303" s="5" t="str">
        <f t="shared" si="94"/>
        <v/>
      </c>
      <c r="AN303" s="5" t="str">
        <f t="shared" si="95"/>
        <v/>
      </c>
      <c r="AO303" s="5" t="str">
        <f t="shared" si="96"/>
        <v/>
      </c>
      <c r="AP303" s="5" t="str">
        <f t="shared" si="97"/>
        <v/>
      </c>
      <c r="AQ303" s="5" t="str">
        <f t="shared" si="98"/>
        <v/>
      </c>
      <c r="AR303" s="5" t="str">
        <f t="shared" si="99"/>
        <v/>
      </c>
      <c r="AS303" s="5" t="str">
        <f t="shared" si="100"/>
        <v/>
      </c>
      <c r="AT303" s="5" t="str">
        <f t="shared" si="101"/>
        <v/>
      </c>
      <c r="AU303" s="5" t="str">
        <f t="shared" si="102"/>
        <v/>
      </c>
      <c r="AV303" s="5" t="str">
        <f t="shared" si="103"/>
        <v/>
      </c>
      <c r="AW303" s="5" t="str">
        <f t="shared" si="104"/>
        <v/>
      </c>
      <c r="AX303" s="5" t="str">
        <f t="shared" si="105"/>
        <v/>
      </c>
      <c r="AY303" s="5" t="str">
        <f t="shared" si="106"/>
        <v/>
      </c>
      <c r="AZ303" s="5" t="str">
        <f t="shared" si="107"/>
        <v/>
      </c>
      <c r="BA303" s="5" t="str">
        <f t="shared" si="108"/>
        <v/>
      </c>
      <c r="BB303" s="5" t="str">
        <f t="shared" si="109"/>
        <v/>
      </c>
    </row>
    <row r="304" spans="1:54" s="5" customFormat="1" hidden="1">
      <c r="A304" s="8" t="str">
        <f>IF(INDEX(FORM!$A:$A,ROW())="","",ROW()-1)</f>
        <v/>
      </c>
      <c r="B304" s="41" t="str">
        <f>IF($A304="","",INDEX(FORM!$A:$A,ROW()))</f>
        <v/>
      </c>
      <c r="C304" s="8" t="str">
        <f>IF($A304="","",TRIM(INDEX(FORM!$B:$B,ROW())))</f>
        <v/>
      </c>
      <c r="D304" s="8" t="str">
        <f>IF($A304="","",TRIM(INDEX(FORM!$C:$C,ROW())&amp;""))</f>
        <v/>
      </c>
      <c r="E304" s="8" t="str">
        <f>IF($A304="","",UPPER(TRIM(INDEX(FORM!$D:$D,ROW()))))</f>
        <v/>
      </c>
      <c r="F304" s="8" t="str">
        <f>IF($A304="","",IFERROR(INDEX(PROGRES!$A$2:$A$92,MATCH(E304,PROGRES!$B$2:$B$92,0)),"-"))</f>
        <v/>
      </c>
      <c r="G304" s="8" t="str">
        <f>IF($A304="","",UPPER(TRIM(INDEX(FORM!$F:$F,ROW()))))</f>
        <v/>
      </c>
      <c r="H304" s="8" t="str">
        <f>IF($A304="","",UPPER(TRIM(INDEX(FORM!$E:$E,ROW()))))</f>
        <v/>
      </c>
      <c r="I304" s="8" t="str">
        <f>IF($A304="","",UPPER(TRIM(INDEX(FORM!$G:$G,ROW()))))</f>
        <v/>
      </c>
      <c r="J304" s="8" t="str">
        <f>IF($A304="","",IF(ISNUMBER(SEARCH("Ya,",INDEX(FORM!$H:$H,ROW()))),"YA",IF(ISNUMBER(SEARCH("Cukup,",INDEX(FORM!$H:$H,ROW()))),"CUKUP",IF(ISNUMBER(SEARCH("Kurang,",INDEX(FORM!$H:$H,ROW()))),"KURANG",""))))</f>
        <v/>
      </c>
      <c r="K304" s="8" t="str">
        <f>IF($A304="","",UPPER(TRIM(INDEX(FORM!$J:$J,ROW()))))</f>
        <v/>
      </c>
      <c r="L304" s="8" t="str">
        <f>IF($A304="","",IF(ISNUMBER(SEARCH("Aktivitas Harian",INDEX(FORM!$K:$K,ROW()))),1,0))</f>
        <v/>
      </c>
      <c r="M304" s="8" t="str">
        <f>IF($A304="","",IF(ISNUMBER(SEARCH("Aktivitas Mingguan",INDEX(FORM!$K:$K,ROW()))),1,0))</f>
        <v/>
      </c>
      <c r="N304" s="8" t="str">
        <f>IF($A304="","",IF(ISNUMBER(SEARCH("Aktivitas Bulanan",INDEX(FORM!$K:$K,ROW()))),1,0))</f>
        <v/>
      </c>
      <c r="O304" s="8" t="str">
        <f>IF($A304="","",IF(ISNUMBER(SEARCH("Overview Cabang",INDEX(FORM!$K:$K,ROW()))),1,0))</f>
        <v/>
      </c>
      <c r="P304" s="8" t="str">
        <f>IF($A304="","",IFERROR(VLOOKUP(I304,DATA!$AH$9:$AI$13,2,0),""))</f>
        <v/>
      </c>
      <c r="Q304" s="8" t="str">
        <f>IF($A304="","",IFERROR(VLOOKUP(J304,DATA!$AH$9:$AI$13,2,0),""))</f>
        <v/>
      </c>
      <c r="R304" s="8" t="str">
        <f>IF($A304="","",IFERROR(VLOOKUP(K304,DATA!$AH$9:$AI$13,2,0),""))</f>
        <v/>
      </c>
      <c r="S304" s="42" t="str">
        <f t="shared" si="88"/>
        <v/>
      </c>
      <c r="T304" s="8" t="str">
        <f>IF($A304="","",IF(COUNTIF($D$2:D304,D304)=1,1,0))</f>
        <v/>
      </c>
      <c r="U304" s="8" t="str">
        <f>IF($A304="","",IF(F304="-","Cabang tdk ada",IF(IFERROR(VLOOKUP(G304,#REF!,1,0),"")="","",IF(INDEX(DATA!$AH$2:$AH$5,MATCH(G304,DATA!$AI$2:$AI$5,0))&lt;&gt;F304,"Wilayah beda","OK"))))</f>
        <v/>
      </c>
      <c r="V304" s="8" t="str">
        <f>IF($A304="","",TRIM(INDEX(FORM!$I:$I,ROW())&amp;""))</f>
        <v/>
      </c>
      <c r="W304" s="8" t="str">
        <f>IF($A304="","",TRIM(INDEX(FORM!$L:$L,ROW())&amp;""))</f>
        <v/>
      </c>
      <c r="X304" s="8" t="str">
        <f>IF($A304="","",TRIM(INDEX(FORM!$M:$M,ROW())&amp;""))</f>
        <v/>
      </c>
      <c r="Y304" s="8" t="str">
        <f>IF($A304="","",IFERROR(MATCH(F304,DATA!$AH$2:$AH$5,0),9)*10000+A304)</f>
        <v/>
      </c>
      <c r="Z304" s="8" t="str">
        <f t="shared" si="89"/>
        <v/>
      </c>
      <c r="AA304" s="8" t="str">
        <f t="shared" si="90"/>
        <v/>
      </c>
      <c r="AB304" s="8" t="str">
        <f t="shared" si="91"/>
        <v/>
      </c>
      <c r="AC304" s="8"/>
      <c r="AD304" s="8"/>
      <c r="AE304" s="8"/>
      <c r="AK304" s="5" t="str">
        <f t="shared" si="92"/>
        <v/>
      </c>
      <c r="AL304" s="5" t="str">
        <f t="shared" si="93"/>
        <v/>
      </c>
      <c r="AM304" s="5" t="str">
        <f t="shared" si="94"/>
        <v/>
      </c>
      <c r="AN304" s="5" t="str">
        <f t="shared" si="95"/>
        <v/>
      </c>
      <c r="AO304" s="5" t="str">
        <f t="shared" si="96"/>
        <v/>
      </c>
      <c r="AP304" s="5" t="str">
        <f t="shared" si="97"/>
        <v/>
      </c>
      <c r="AQ304" s="5" t="str">
        <f t="shared" si="98"/>
        <v/>
      </c>
      <c r="AR304" s="5" t="str">
        <f t="shared" si="99"/>
        <v/>
      </c>
      <c r="AS304" s="5" t="str">
        <f t="shared" si="100"/>
        <v/>
      </c>
      <c r="AT304" s="5" t="str">
        <f t="shared" si="101"/>
        <v/>
      </c>
      <c r="AU304" s="5" t="str">
        <f t="shared" si="102"/>
        <v/>
      </c>
      <c r="AV304" s="5" t="str">
        <f t="shared" si="103"/>
        <v/>
      </c>
      <c r="AW304" s="5" t="str">
        <f t="shared" si="104"/>
        <v/>
      </c>
      <c r="AX304" s="5" t="str">
        <f t="shared" si="105"/>
        <v/>
      </c>
      <c r="AY304" s="5" t="str">
        <f t="shared" si="106"/>
        <v/>
      </c>
      <c r="AZ304" s="5" t="str">
        <f t="shared" si="107"/>
        <v/>
      </c>
      <c r="BA304" s="5" t="str">
        <f t="shared" si="108"/>
        <v/>
      </c>
      <c r="BB304" s="5" t="str">
        <f t="shared" si="109"/>
        <v/>
      </c>
    </row>
    <row r="305" spans="1:54" s="5" customFormat="1" hidden="1">
      <c r="A305" s="8" t="str">
        <f>IF(INDEX(FORM!$A:$A,ROW())="","",ROW()-1)</f>
        <v/>
      </c>
      <c r="B305" s="41" t="str">
        <f>IF($A305="","",INDEX(FORM!$A:$A,ROW()))</f>
        <v/>
      </c>
      <c r="C305" s="8" t="str">
        <f>IF($A305="","",TRIM(INDEX(FORM!$B:$B,ROW())))</f>
        <v/>
      </c>
      <c r="D305" s="8" t="str">
        <f>IF($A305="","",TRIM(INDEX(FORM!$C:$C,ROW())&amp;""))</f>
        <v/>
      </c>
      <c r="E305" s="8" t="str">
        <f>IF($A305="","",UPPER(TRIM(INDEX(FORM!$D:$D,ROW()))))</f>
        <v/>
      </c>
      <c r="F305" s="8" t="str">
        <f>IF($A305="","",IFERROR(INDEX(PROGRES!$A$2:$A$92,MATCH(E305,PROGRES!$B$2:$B$92,0)),"-"))</f>
        <v/>
      </c>
      <c r="G305" s="8" t="str">
        <f>IF($A305="","",UPPER(TRIM(INDEX(FORM!$F:$F,ROW()))))</f>
        <v/>
      </c>
      <c r="H305" s="8" t="str">
        <f>IF($A305="","",UPPER(TRIM(INDEX(FORM!$E:$E,ROW()))))</f>
        <v/>
      </c>
      <c r="I305" s="8" t="str">
        <f>IF($A305="","",UPPER(TRIM(INDEX(FORM!$G:$G,ROW()))))</f>
        <v/>
      </c>
      <c r="J305" s="8" t="str">
        <f>IF($A305="","",IF(ISNUMBER(SEARCH("Ya,",INDEX(FORM!$H:$H,ROW()))),"YA",IF(ISNUMBER(SEARCH("Cukup,",INDEX(FORM!$H:$H,ROW()))),"CUKUP",IF(ISNUMBER(SEARCH("Kurang,",INDEX(FORM!$H:$H,ROW()))),"KURANG",""))))</f>
        <v/>
      </c>
      <c r="K305" s="8" t="str">
        <f>IF($A305="","",UPPER(TRIM(INDEX(FORM!$J:$J,ROW()))))</f>
        <v/>
      </c>
      <c r="L305" s="8" t="str">
        <f>IF($A305="","",IF(ISNUMBER(SEARCH("Aktivitas Harian",INDEX(FORM!$K:$K,ROW()))),1,0))</f>
        <v/>
      </c>
      <c r="M305" s="8" t="str">
        <f>IF($A305="","",IF(ISNUMBER(SEARCH("Aktivitas Mingguan",INDEX(FORM!$K:$K,ROW()))),1,0))</f>
        <v/>
      </c>
      <c r="N305" s="8" t="str">
        <f>IF($A305="","",IF(ISNUMBER(SEARCH("Aktivitas Bulanan",INDEX(FORM!$K:$K,ROW()))),1,0))</f>
        <v/>
      </c>
      <c r="O305" s="8" t="str">
        <f>IF($A305="","",IF(ISNUMBER(SEARCH("Overview Cabang",INDEX(FORM!$K:$K,ROW()))),1,0))</f>
        <v/>
      </c>
      <c r="P305" s="8" t="str">
        <f>IF($A305="","",IFERROR(VLOOKUP(I305,DATA!$AH$9:$AI$13,2,0),""))</f>
        <v/>
      </c>
      <c r="Q305" s="8" t="str">
        <f>IF($A305="","",IFERROR(VLOOKUP(J305,DATA!$AH$9:$AI$13,2,0),""))</f>
        <v/>
      </c>
      <c r="R305" s="8" t="str">
        <f>IF($A305="","",IFERROR(VLOOKUP(K305,DATA!$AH$9:$AI$13,2,0),""))</f>
        <v/>
      </c>
      <c r="S305" s="42" t="str">
        <f t="shared" si="88"/>
        <v/>
      </c>
      <c r="T305" s="8" t="str">
        <f>IF($A305="","",IF(COUNTIF($D$2:D305,D305)=1,1,0))</f>
        <v/>
      </c>
      <c r="U305" s="8" t="str">
        <f>IF($A305="","",IF(F305="-","Cabang tdk ada",IF(IFERROR(VLOOKUP(G305,#REF!,1,0),"")="","",IF(INDEX(DATA!$AH$2:$AH$5,MATCH(G305,DATA!$AI$2:$AI$5,0))&lt;&gt;F305,"Wilayah beda","OK"))))</f>
        <v/>
      </c>
      <c r="V305" s="8" t="str">
        <f>IF($A305="","",TRIM(INDEX(FORM!$I:$I,ROW())&amp;""))</f>
        <v/>
      </c>
      <c r="W305" s="8" t="str">
        <f>IF($A305="","",TRIM(INDEX(FORM!$L:$L,ROW())&amp;""))</f>
        <v/>
      </c>
      <c r="X305" s="8" t="str">
        <f>IF($A305="","",TRIM(INDEX(FORM!$M:$M,ROW())&amp;""))</f>
        <v/>
      </c>
      <c r="Y305" s="8" t="str">
        <f>IF($A305="","",IFERROR(MATCH(F305,DATA!$AH$2:$AH$5,0),9)*10000+A305)</f>
        <v/>
      </c>
      <c r="Z305" s="8" t="str">
        <f t="shared" si="89"/>
        <v/>
      </c>
      <c r="AA305" s="8" t="str">
        <f t="shared" si="90"/>
        <v/>
      </c>
      <c r="AB305" s="8" t="str">
        <f t="shared" si="91"/>
        <v/>
      </c>
      <c r="AC305" s="8"/>
      <c r="AD305" s="8"/>
      <c r="AE305" s="8"/>
      <c r="AK305" s="5" t="str">
        <f t="shared" si="92"/>
        <v/>
      </c>
      <c r="AL305" s="5" t="str">
        <f t="shared" si="93"/>
        <v/>
      </c>
      <c r="AM305" s="5" t="str">
        <f t="shared" si="94"/>
        <v/>
      </c>
      <c r="AN305" s="5" t="str">
        <f t="shared" si="95"/>
        <v/>
      </c>
      <c r="AO305" s="5" t="str">
        <f t="shared" si="96"/>
        <v/>
      </c>
      <c r="AP305" s="5" t="str">
        <f t="shared" si="97"/>
        <v/>
      </c>
      <c r="AQ305" s="5" t="str">
        <f t="shared" si="98"/>
        <v/>
      </c>
      <c r="AR305" s="5" t="str">
        <f t="shared" si="99"/>
        <v/>
      </c>
      <c r="AS305" s="5" t="str">
        <f t="shared" si="100"/>
        <v/>
      </c>
      <c r="AT305" s="5" t="str">
        <f t="shared" si="101"/>
        <v/>
      </c>
      <c r="AU305" s="5" t="str">
        <f t="shared" si="102"/>
        <v/>
      </c>
      <c r="AV305" s="5" t="str">
        <f t="shared" si="103"/>
        <v/>
      </c>
      <c r="AW305" s="5" t="str">
        <f t="shared" si="104"/>
        <v/>
      </c>
      <c r="AX305" s="5" t="str">
        <f t="shared" si="105"/>
        <v/>
      </c>
      <c r="AY305" s="5" t="str">
        <f t="shared" si="106"/>
        <v/>
      </c>
      <c r="AZ305" s="5" t="str">
        <f t="shared" si="107"/>
        <v/>
      </c>
      <c r="BA305" s="5" t="str">
        <f t="shared" si="108"/>
        <v/>
      </c>
      <c r="BB305" s="5" t="str">
        <f t="shared" si="109"/>
        <v/>
      </c>
    </row>
    <row r="306" spans="1:54" s="5" customFormat="1" hidden="1">
      <c r="A306" s="8" t="str">
        <f>IF(INDEX(FORM!$A:$A,ROW())="","",ROW()-1)</f>
        <v/>
      </c>
      <c r="B306" s="41" t="str">
        <f>IF($A306="","",INDEX(FORM!$A:$A,ROW()))</f>
        <v/>
      </c>
      <c r="C306" s="8" t="str">
        <f>IF($A306="","",TRIM(INDEX(FORM!$B:$B,ROW())))</f>
        <v/>
      </c>
      <c r="D306" s="8" t="str">
        <f>IF($A306="","",TRIM(INDEX(FORM!$C:$C,ROW())&amp;""))</f>
        <v/>
      </c>
      <c r="E306" s="8" t="str">
        <f>IF($A306="","",UPPER(TRIM(INDEX(FORM!$D:$D,ROW()))))</f>
        <v/>
      </c>
      <c r="F306" s="8" t="str">
        <f>IF($A306="","",IFERROR(INDEX(PROGRES!$A$2:$A$92,MATCH(E306,PROGRES!$B$2:$B$92,0)),"-"))</f>
        <v/>
      </c>
      <c r="G306" s="8" t="str">
        <f>IF($A306="","",UPPER(TRIM(INDEX(FORM!$F:$F,ROW()))))</f>
        <v/>
      </c>
      <c r="H306" s="8" t="str">
        <f>IF($A306="","",UPPER(TRIM(INDEX(FORM!$E:$E,ROW()))))</f>
        <v/>
      </c>
      <c r="I306" s="8" t="str">
        <f>IF($A306="","",UPPER(TRIM(INDEX(FORM!$G:$G,ROW()))))</f>
        <v/>
      </c>
      <c r="J306" s="8" t="str">
        <f>IF($A306="","",IF(ISNUMBER(SEARCH("Ya,",INDEX(FORM!$H:$H,ROW()))),"YA",IF(ISNUMBER(SEARCH("Cukup,",INDEX(FORM!$H:$H,ROW()))),"CUKUP",IF(ISNUMBER(SEARCH("Kurang,",INDEX(FORM!$H:$H,ROW()))),"KURANG",""))))</f>
        <v/>
      </c>
      <c r="K306" s="8" t="str">
        <f>IF($A306="","",UPPER(TRIM(INDEX(FORM!$J:$J,ROW()))))</f>
        <v/>
      </c>
      <c r="L306" s="8" t="str">
        <f>IF($A306="","",IF(ISNUMBER(SEARCH("Aktivitas Harian",INDEX(FORM!$K:$K,ROW()))),1,0))</f>
        <v/>
      </c>
      <c r="M306" s="8" t="str">
        <f>IF($A306="","",IF(ISNUMBER(SEARCH("Aktivitas Mingguan",INDEX(FORM!$K:$K,ROW()))),1,0))</f>
        <v/>
      </c>
      <c r="N306" s="8" t="str">
        <f>IF($A306="","",IF(ISNUMBER(SEARCH("Aktivitas Bulanan",INDEX(FORM!$K:$K,ROW()))),1,0))</f>
        <v/>
      </c>
      <c r="O306" s="8" t="str">
        <f>IF($A306="","",IF(ISNUMBER(SEARCH("Overview Cabang",INDEX(FORM!$K:$K,ROW()))),1,0))</f>
        <v/>
      </c>
      <c r="P306" s="8" t="str">
        <f>IF($A306="","",IFERROR(VLOOKUP(I306,DATA!$AH$9:$AI$13,2,0),""))</f>
        <v/>
      </c>
      <c r="Q306" s="8" t="str">
        <f>IF($A306="","",IFERROR(VLOOKUP(J306,DATA!$AH$9:$AI$13,2,0),""))</f>
        <v/>
      </c>
      <c r="R306" s="8" t="str">
        <f>IF($A306="","",IFERROR(VLOOKUP(K306,DATA!$AH$9:$AI$13,2,0),""))</f>
        <v/>
      </c>
      <c r="S306" s="42" t="str">
        <f t="shared" si="88"/>
        <v/>
      </c>
      <c r="T306" s="8" t="str">
        <f>IF($A306="","",IF(COUNTIF($D$2:D306,D306)=1,1,0))</f>
        <v/>
      </c>
      <c r="U306" s="8" t="str">
        <f>IF($A306="","",IF(F306="-","Cabang tdk ada",IF(IFERROR(VLOOKUP(G306,#REF!,1,0),"")="","",IF(INDEX(DATA!$AH$2:$AH$5,MATCH(G306,DATA!$AI$2:$AI$5,0))&lt;&gt;F306,"Wilayah beda","OK"))))</f>
        <v/>
      </c>
      <c r="V306" s="8" t="str">
        <f>IF($A306="","",TRIM(INDEX(FORM!$I:$I,ROW())&amp;""))</f>
        <v/>
      </c>
      <c r="W306" s="8" t="str">
        <f>IF($A306="","",TRIM(INDEX(FORM!$L:$L,ROW())&amp;""))</f>
        <v/>
      </c>
      <c r="X306" s="8" t="str">
        <f>IF($A306="","",TRIM(INDEX(FORM!$M:$M,ROW())&amp;""))</f>
        <v/>
      </c>
      <c r="Y306" s="8" t="str">
        <f>IF($A306="","",IFERROR(MATCH(F306,DATA!$AH$2:$AH$5,0),9)*10000+A306)</f>
        <v/>
      </c>
      <c r="Z306" s="8" t="str">
        <f t="shared" si="89"/>
        <v/>
      </c>
      <c r="AA306" s="8" t="str">
        <f t="shared" si="90"/>
        <v/>
      </c>
      <c r="AB306" s="8" t="str">
        <f t="shared" si="91"/>
        <v/>
      </c>
      <c r="AC306" s="8"/>
      <c r="AD306" s="8"/>
      <c r="AE306" s="8"/>
      <c r="AK306" s="5" t="str">
        <f t="shared" si="92"/>
        <v/>
      </c>
      <c r="AL306" s="5" t="str">
        <f t="shared" si="93"/>
        <v/>
      </c>
      <c r="AM306" s="5" t="str">
        <f t="shared" si="94"/>
        <v/>
      </c>
      <c r="AN306" s="5" t="str">
        <f t="shared" si="95"/>
        <v/>
      </c>
      <c r="AO306" s="5" t="str">
        <f t="shared" si="96"/>
        <v/>
      </c>
      <c r="AP306" s="5" t="str">
        <f t="shared" si="97"/>
        <v/>
      </c>
      <c r="AQ306" s="5" t="str">
        <f t="shared" si="98"/>
        <v/>
      </c>
      <c r="AR306" s="5" t="str">
        <f t="shared" si="99"/>
        <v/>
      </c>
      <c r="AS306" s="5" t="str">
        <f t="shared" si="100"/>
        <v/>
      </c>
      <c r="AT306" s="5" t="str">
        <f t="shared" si="101"/>
        <v/>
      </c>
      <c r="AU306" s="5" t="str">
        <f t="shared" si="102"/>
        <v/>
      </c>
      <c r="AV306" s="5" t="str">
        <f t="shared" si="103"/>
        <v/>
      </c>
      <c r="AW306" s="5" t="str">
        <f t="shared" si="104"/>
        <v/>
      </c>
      <c r="AX306" s="5" t="str">
        <f t="shared" si="105"/>
        <v/>
      </c>
      <c r="AY306" s="5" t="str">
        <f t="shared" si="106"/>
        <v/>
      </c>
      <c r="AZ306" s="5" t="str">
        <f t="shared" si="107"/>
        <v/>
      </c>
      <c r="BA306" s="5" t="str">
        <f t="shared" si="108"/>
        <v/>
      </c>
      <c r="BB306" s="5" t="str">
        <f t="shared" si="109"/>
        <v/>
      </c>
    </row>
    <row r="307" spans="1:54" s="5" customFormat="1" hidden="1">
      <c r="A307" s="8" t="str">
        <f>IF(INDEX(FORM!$A:$A,ROW())="","",ROW()-1)</f>
        <v/>
      </c>
      <c r="B307" s="41" t="str">
        <f>IF($A307="","",INDEX(FORM!$A:$A,ROW()))</f>
        <v/>
      </c>
      <c r="C307" s="8" t="str">
        <f>IF($A307="","",TRIM(INDEX(FORM!$B:$B,ROW())))</f>
        <v/>
      </c>
      <c r="D307" s="8" t="str">
        <f>IF($A307="","",TRIM(INDEX(FORM!$C:$C,ROW())&amp;""))</f>
        <v/>
      </c>
      <c r="E307" s="8" t="str">
        <f>IF($A307="","",UPPER(TRIM(INDEX(FORM!$D:$D,ROW()))))</f>
        <v/>
      </c>
      <c r="F307" s="8" t="str">
        <f>IF($A307="","",IFERROR(INDEX(PROGRES!$A$2:$A$92,MATCH(E307,PROGRES!$B$2:$B$92,0)),"-"))</f>
        <v/>
      </c>
      <c r="G307" s="8" t="str">
        <f>IF($A307="","",UPPER(TRIM(INDEX(FORM!$F:$F,ROW()))))</f>
        <v/>
      </c>
      <c r="H307" s="8" t="str">
        <f>IF($A307="","",UPPER(TRIM(INDEX(FORM!$E:$E,ROW()))))</f>
        <v/>
      </c>
      <c r="I307" s="8" t="str">
        <f>IF($A307="","",UPPER(TRIM(INDEX(FORM!$G:$G,ROW()))))</f>
        <v/>
      </c>
      <c r="J307" s="8" t="str">
        <f>IF($A307="","",IF(ISNUMBER(SEARCH("Ya,",INDEX(FORM!$H:$H,ROW()))),"YA",IF(ISNUMBER(SEARCH("Cukup,",INDEX(FORM!$H:$H,ROW()))),"CUKUP",IF(ISNUMBER(SEARCH("Kurang,",INDEX(FORM!$H:$H,ROW()))),"KURANG",""))))</f>
        <v/>
      </c>
      <c r="K307" s="8" t="str">
        <f>IF($A307="","",UPPER(TRIM(INDEX(FORM!$J:$J,ROW()))))</f>
        <v/>
      </c>
      <c r="L307" s="8" t="str">
        <f>IF($A307="","",IF(ISNUMBER(SEARCH("Aktivitas Harian",INDEX(FORM!$K:$K,ROW()))),1,0))</f>
        <v/>
      </c>
      <c r="M307" s="8" t="str">
        <f>IF($A307="","",IF(ISNUMBER(SEARCH("Aktivitas Mingguan",INDEX(FORM!$K:$K,ROW()))),1,0))</f>
        <v/>
      </c>
      <c r="N307" s="8" t="str">
        <f>IF($A307="","",IF(ISNUMBER(SEARCH("Aktivitas Bulanan",INDEX(FORM!$K:$K,ROW()))),1,0))</f>
        <v/>
      </c>
      <c r="O307" s="8" t="str">
        <f>IF($A307="","",IF(ISNUMBER(SEARCH("Overview Cabang",INDEX(FORM!$K:$K,ROW()))),1,0))</f>
        <v/>
      </c>
      <c r="P307" s="8" t="str">
        <f>IF($A307="","",IFERROR(VLOOKUP(I307,DATA!$AH$9:$AI$13,2,0),""))</f>
        <v/>
      </c>
      <c r="Q307" s="8" t="str">
        <f>IF($A307="","",IFERROR(VLOOKUP(J307,DATA!$AH$9:$AI$13,2,0),""))</f>
        <v/>
      </c>
      <c r="R307" s="8" t="str">
        <f>IF($A307="","",IFERROR(VLOOKUP(K307,DATA!$AH$9:$AI$13,2,0),""))</f>
        <v/>
      </c>
      <c r="S307" s="42" t="str">
        <f t="shared" si="88"/>
        <v/>
      </c>
      <c r="T307" s="8" t="str">
        <f>IF($A307="","",IF(COUNTIF($D$2:D307,D307)=1,1,0))</f>
        <v/>
      </c>
      <c r="U307" s="8" t="str">
        <f>IF($A307="","",IF(F307="-","Cabang tdk ada",IF(IFERROR(VLOOKUP(G307,#REF!,1,0),"")="","",IF(INDEX(DATA!$AH$2:$AH$5,MATCH(G307,DATA!$AI$2:$AI$5,0))&lt;&gt;F307,"Wilayah beda","OK"))))</f>
        <v/>
      </c>
      <c r="V307" s="8" t="str">
        <f>IF($A307="","",TRIM(INDEX(FORM!$I:$I,ROW())&amp;""))</f>
        <v/>
      </c>
      <c r="W307" s="8" t="str">
        <f>IF($A307="","",TRIM(INDEX(FORM!$L:$L,ROW())&amp;""))</f>
        <v/>
      </c>
      <c r="X307" s="8" t="str">
        <f>IF($A307="","",TRIM(INDEX(FORM!$M:$M,ROW())&amp;""))</f>
        <v/>
      </c>
      <c r="Y307" s="8" t="str">
        <f>IF($A307="","",IFERROR(MATCH(F307,DATA!$AH$2:$AH$5,0),9)*10000+A307)</f>
        <v/>
      </c>
      <c r="Z307" s="8" t="str">
        <f t="shared" si="89"/>
        <v/>
      </c>
      <c r="AA307" s="8" t="str">
        <f t="shared" si="90"/>
        <v/>
      </c>
      <c r="AB307" s="8" t="str">
        <f t="shared" si="91"/>
        <v/>
      </c>
      <c r="AC307" s="8"/>
      <c r="AD307" s="8"/>
      <c r="AE307" s="8"/>
      <c r="AK307" s="5" t="str">
        <f t="shared" si="92"/>
        <v/>
      </c>
      <c r="AL307" s="5" t="str">
        <f t="shared" si="93"/>
        <v/>
      </c>
      <c r="AM307" s="5" t="str">
        <f t="shared" si="94"/>
        <v/>
      </c>
      <c r="AN307" s="5" t="str">
        <f t="shared" si="95"/>
        <v/>
      </c>
      <c r="AO307" s="5" t="str">
        <f t="shared" si="96"/>
        <v/>
      </c>
      <c r="AP307" s="5" t="str">
        <f t="shared" si="97"/>
        <v/>
      </c>
      <c r="AQ307" s="5" t="str">
        <f t="shared" si="98"/>
        <v/>
      </c>
      <c r="AR307" s="5" t="str">
        <f t="shared" si="99"/>
        <v/>
      </c>
      <c r="AS307" s="5" t="str">
        <f t="shared" si="100"/>
        <v/>
      </c>
      <c r="AT307" s="5" t="str">
        <f t="shared" si="101"/>
        <v/>
      </c>
      <c r="AU307" s="5" t="str">
        <f t="shared" si="102"/>
        <v/>
      </c>
      <c r="AV307" s="5" t="str">
        <f t="shared" si="103"/>
        <v/>
      </c>
      <c r="AW307" s="5" t="str">
        <f t="shared" si="104"/>
        <v/>
      </c>
      <c r="AX307" s="5" t="str">
        <f t="shared" si="105"/>
        <v/>
      </c>
      <c r="AY307" s="5" t="str">
        <f t="shared" si="106"/>
        <v/>
      </c>
      <c r="AZ307" s="5" t="str">
        <f t="shared" si="107"/>
        <v/>
      </c>
      <c r="BA307" s="5" t="str">
        <f t="shared" si="108"/>
        <v/>
      </c>
      <c r="BB307" s="5" t="str">
        <f t="shared" si="109"/>
        <v/>
      </c>
    </row>
    <row r="308" spans="1:54" s="5" customFormat="1" hidden="1">
      <c r="A308" s="8" t="str">
        <f>IF(INDEX(FORM!$A:$A,ROW())="","",ROW()-1)</f>
        <v/>
      </c>
      <c r="B308" s="41" t="str">
        <f>IF($A308="","",INDEX(FORM!$A:$A,ROW()))</f>
        <v/>
      </c>
      <c r="C308" s="8" t="str">
        <f>IF($A308="","",TRIM(INDEX(FORM!$B:$B,ROW())))</f>
        <v/>
      </c>
      <c r="D308" s="8" t="str">
        <f>IF($A308="","",TRIM(INDEX(FORM!$C:$C,ROW())&amp;""))</f>
        <v/>
      </c>
      <c r="E308" s="8" t="str">
        <f>IF($A308="","",UPPER(TRIM(INDEX(FORM!$D:$D,ROW()))))</f>
        <v/>
      </c>
      <c r="F308" s="8" t="str">
        <f>IF($A308="","",IFERROR(INDEX(PROGRES!$A$2:$A$92,MATCH(E308,PROGRES!$B$2:$B$92,0)),"-"))</f>
        <v/>
      </c>
      <c r="G308" s="8" t="str">
        <f>IF($A308="","",UPPER(TRIM(INDEX(FORM!$F:$F,ROW()))))</f>
        <v/>
      </c>
      <c r="H308" s="8" t="str">
        <f>IF($A308="","",UPPER(TRIM(INDEX(FORM!$E:$E,ROW()))))</f>
        <v/>
      </c>
      <c r="I308" s="8" t="str">
        <f>IF($A308="","",UPPER(TRIM(INDEX(FORM!$G:$G,ROW()))))</f>
        <v/>
      </c>
      <c r="J308" s="8" t="str">
        <f>IF($A308="","",IF(ISNUMBER(SEARCH("Ya,",INDEX(FORM!$H:$H,ROW()))),"YA",IF(ISNUMBER(SEARCH("Cukup,",INDEX(FORM!$H:$H,ROW()))),"CUKUP",IF(ISNUMBER(SEARCH("Kurang,",INDEX(FORM!$H:$H,ROW()))),"KURANG",""))))</f>
        <v/>
      </c>
      <c r="K308" s="8" t="str">
        <f>IF($A308="","",UPPER(TRIM(INDEX(FORM!$J:$J,ROW()))))</f>
        <v/>
      </c>
      <c r="L308" s="8" t="str">
        <f>IF($A308="","",IF(ISNUMBER(SEARCH("Aktivitas Harian",INDEX(FORM!$K:$K,ROW()))),1,0))</f>
        <v/>
      </c>
      <c r="M308" s="8" t="str">
        <f>IF($A308="","",IF(ISNUMBER(SEARCH("Aktivitas Mingguan",INDEX(FORM!$K:$K,ROW()))),1,0))</f>
        <v/>
      </c>
      <c r="N308" s="8" t="str">
        <f>IF($A308="","",IF(ISNUMBER(SEARCH("Aktivitas Bulanan",INDEX(FORM!$K:$K,ROW()))),1,0))</f>
        <v/>
      </c>
      <c r="O308" s="8" t="str">
        <f>IF($A308="","",IF(ISNUMBER(SEARCH("Overview Cabang",INDEX(FORM!$K:$K,ROW()))),1,0))</f>
        <v/>
      </c>
      <c r="P308" s="8" t="str">
        <f>IF($A308="","",IFERROR(VLOOKUP(I308,DATA!$AH$9:$AI$13,2,0),""))</f>
        <v/>
      </c>
      <c r="Q308" s="8" t="str">
        <f>IF($A308="","",IFERROR(VLOOKUP(J308,DATA!$AH$9:$AI$13,2,0),""))</f>
        <v/>
      </c>
      <c r="R308" s="8" t="str">
        <f>IF($A308="","",IFERROR(VLOOKUP(K308,DATA!$AH$9:$AI$13,2,0),""))</f>
        <v/>
      </c>
      <c r="S308" s="42" t="str">
        <f t="shared" si="88"/>
        <v/>
      </c>
      <c r="T308" s="8" t="str">
        <f>IF($A308="","",IF(COUNTIF($D$2:D308,D308)=1,1,0))</f>
        <v/>
      </c>
      <c r="U308" s="8" t="str">
        <f>IF($A308="","",IF(F308="-","Cabang tdk ada",IF(IFERROR(VLOOKUP(G308,#REF!,1,0),"")="","",IF(INDEX(DATA!$AH$2:$AH$5,MATCH(G308,DATA!$AI$2:$AI$5,0))&lt;&gt;F308,"Wilayah beda","OK"))))</f>
        <v/>
      </c>
      <c r="V308" s="8" t="str">
        <f>IF($A308="","",TRIM(INDEX(FORM!$I:$I,ROW())&amp;""))</f>
        <v/>
      </c>
      <c r="W308" s="8" t="str">
        <f>IF($A308="","",TRIM(INDEX(FORM!$L:$L,ROW())&amp;""))</f>
        <v/>
      </c>
      <c r="X308" s="8" t="str">
        <f>IF($A308="","",TRIM(INDEX(FORM!$M:$M,ROW())&amp;""))</f>
        <v/>
      </c>
      <c r="Y308" s="8" t="str">
        <f>IF($A308="","",IFERROR(MATCH(F308,DATA!$AH$2:$AH$5,0),9)*10000+A308)</f>
        <v/>
      </c>
      <c r="Z308" s="8" t="str">
        <f t="shared" si="89"/>
        <v/>
      </c>
      <c r="AA308" s="8" t="str">
        <f t="shared" si="90"/>
        <v/>
      </c>
      <c r="AB308" s="8" t="str">
        <f t="shared" si="91"/>
        <v/>
      </c>
      <c r="AC308" s="8"/>
      <c r="AD308" s="8"/>
      <c r="AE308" s="8"/>
      <c r="AK308" s="5" t="str">
        <f t="shared" si="92"/>
        <v/>
      </c>
      <c r="AL308" s="5" t="str">
        <f t="shared" si="93"/>
        <v/>
      </c>
      <c r="AM308" s="5" t="str">
        <f t="shared" si="94"/>
        <v/>
      </c>
      <c r="AN308" s="5" t="str">
        <f t="shared" si="95"/>
        <v/>
      </c>
      <c r="AO308" s="5" t="str">
        <f t="shared" si="96"/>
        <v/>
      </c>
      <c r="AP308" s="5" t="str">
        <f t="shared" si="97"/>
        <v/>
      </c>
      <c r="AQ308" s="5" t="str">
        <f t="shared" si="98"/>
        <v/>
      </c>
      <c r="AR308" s="5" t="str">
        <f t="shared" si="99"/>
        <v/>
      </c>
      <c r="AS308" s="5" t="str">
        <f t="shared" si="100"/>
        <v/>
      </c>
      <c r="AT308" s="5" t="str">
        <f t="shared" si="101"/>
        <v/>
      </c>
      <c r="AU308" s="5" t="str">
        <f t="shared" si="102"/>
        <v/>
      </c>
      <c r="AV308" s="5" t="str">
        <f t="shared" si="103"/>
        <v/>
      </c>
      <c r="AW308" s="5" t="str">
        <f t="shared" si="104"/>
        <v/>
      </c>
      <c r="AX308" s="5" t="str">
        <f t="shared" si="105"/>
        <v/>
      </c>
      <c r="AY308" s="5" t="str">
        <f t="shared" si="106"/>
        <v/>
      </c>
      <c r="AZ308" s="5" t="str">
        <f t="shared" si="107"/>
        <v/>
      </c>
      <c r="BA308" s="5" t="str">
        <f t="shared" si="108"/>
        <v/>
      </c>
      <c r="BB308" s="5" t="str">
        <f t="shared" si="109"/>
        <v/>
      </c>
    </row>
    <row r="309" spans="1:54" s="5" customFormat="1" hidden="1">
      <c r="A309" s="8" t="str">
        <f>IF(INDEX(FORM!$A:$A,ROW())="","",ROW()-1)</f>
        <v/>
      </c>
      <c r="B309" s="41" t="str">
        <f>IF($A309="","",INDEX(FORM!$A:$A,ROW()))</f>
        <v/>
      </c>
      <c r="C309" s="8" t="str">
        <f>IF($A309="","",TRIM(INDEX(FORM!$B:$B,ROW())))</f>
        <v/>
      </c>
      <c r="D309" s="8" t="str">
        <f>IF($A309="","",TRIM(INDEX(FORM!$C:$C,ROW())&amp;""))</f>
        <v/>
      </c>
      <c r="E309" s="8" t="str">
        <f>IF($A309="","",UPPER(TRIM(INDEX(FORM!$D:$D,ROW()))))</f>
        <v/>
      </c>
      <c r="F309" s="8" t="str">
        <f>IF($A309="","",IFERROR(INDEX(PROGRES!$A$2:$A$92,MATCH(E309,PROGRES!$B$2:$B$92,0)),"-"))</f>
        <v/>
      </c>
      <c r="G309" s="8" t="str">
        <f>IF($A309="","",UPPER(TRIM(INDEX(FORM!$F:$F,ROW()))))</f>
        <v/>
      </c>
      <c r="H309" s="8" t="str">
        <f>IF($A309="","",UPPER(TRIM(INDEX(FORM!$E:$E,ROW()))))</f>
        <v/>
      </c>
      <c r="I309" s="8" t="str">
        <f>IF($A309="","",UPPER(TRIM(INDEX(FORM!$G:$G,ROW()))))</f>
        <v/>
      </c>
      <c r="J309" s="8" t="str">
        <f>IF($A309="","",IF(ISNUMBER(SEARCH("Ya,",INDEX(FORM!$H:$H,ROW()))),"YA",IF(ISNUMBER(SEARCH("Cukup,",INDEX(FORM!$H:$H,ROW()))),"CUKUP",IF(ISNUMBER(SEARCH("Kurang,",INDEX(FORM!$H:$H,ROW()))),"KURANG",""))))</f>
        <v/>
      </c>
      <c r="K309" s="8" t="str">
        <f>IF($A309="","",UPPER(TRIM(INDEX(FORM!$J:$J,ROW()))))</f>
        <v/>
      </c>
      <c r="L309" s="8" t="str">
        <f>IF($A309="","",IF(ISNUMBER(SEARCH("Aktivitas Harian",INDEX(FORM!$K:$K,ROW()))),1,0))</f>
        <v/>
      </c>
      <c r="M309" s="8" t="str">
        <f>IF($A309="","",IF(ISNUMBER(SEARCH("Aktivitas Mingguan",INDEX(FORM!$K:$K,ROW()))),1,0))</f>
        <v/>
      </c>
      <c r="N309" s="8" t="str">
        <f>IF($A309="","",IF(ISNUMBER(SEARCH("Aktivitas Bulanan",INDEX(FORM!$K:$K,ROW()))),1,0))</f>
        <v/>
      </c>
      <c r="O309" s="8" t="str">
        <f>IF($A309="","",IF(ISNUMBER(SEARCH("Overview Cabang",INDEX(FORM!$K:$K,ROW()))),1,0))</f>
        <v/>
      </c>
      <c r="P309" s="8" t="str">
        <f>IF($A309="","",IFERROR(VLOOKUP(I309,DATA!$AH$9:$AI$13,2,0),""))</f>
        <v/>
      </c>
      <c r="Q309" s="8" t="str">
        <f>IF($A309="","",IFERROR(VLOOKUP(J309,DATA!$AH$9:$AI$13,2,0),""))</f>
        <v/>
      </c>
      <c r="R309" s="8" t="str">
        <f>IF($A309="","",IFERROR(VLOOKUP(K309,DATA!$AH$9:$AI$13,2,0),""))</f>
        <v/>
      </c>
      <c r="S309" s="42" t="str">
        <f t="shared" si="88"/>
        <v/>
      </c>
      <c r="T309" s="8" t="str">
        <f>IF($A309="","",IF(COUNTIF($D$2:D309,D309)=1,1,0))</f>
        <v/>
      </c>
      <c r="U309" s="8" t="str">
        <f>IF($A309="","",IF(F309="-","Cabang tdk ada",IF(IFERROR(VLOOKUP(G309,#REF!,1,0),"")="","",IF(INDEX(DATA!$AH$2:$AH$5,MATCH(G309,DATA!$AI$2:$AI$5,0))&lt;&gt;F309,"Wilayah beda","OK"))))</f>
        <v/>
      </c>
      <c r="V309" s="8" t="str">
        <f>IF($A309="","",TRIM(INDEX(FORM!$I:$I,ROW())&amp;""))</f>
        <v/>
      </c>
      <c r="W309" s="8" t="str">
        <f>IF($A309="","",TRIM(INDEX(FORM!$L:$L,ROW())&amp;""))</f>
        <v/>
      </c>
      <c r="X309" s="8" t="str">
        <f>IF($A309="","",TRIM(INDEX(FORM!$M:$M,ROW())&amp;""))</f>
        <v/>
      </c>
      <c r="Y309" s="8" t="str">
        <f>IF($A309="","",IFERROR(MATCH(F309,DATA!$AH$2:$AH$5,0),9)*10000+A309)</f>
        <v/>
      </c>
      <c r="Z309" s="8" t="str">
        <f t="shared" si="89"/>
        <v/>
      </c>
      <c r="AA309" s="8" t="str">
        <f t="shared" si="90"/>
        <v/>
      </c>
      <c r="AB309" s="8" t="str">
        <f t="shared" si="91"/>
        <v/>
      </c>
      <c r="AC309" s="8"/>
      <c r="AD309" s="8"/>
      <c r="AE309" s="8"/>
      <c r="AK309" s="5" t="str">
        <f t="shared" si="92"/>
        <v/>
      </c>
      <c r="AL309" s="5" t="str">
        <f t="shared" si="93"/>
        <v/>
      </c>
      <c r="AM309" s="5" t="str">
        <f t="shared" si="94"/>
        <v/>
      </c>
      <c r="AN309" s="5" t="str">
        <f t="shared" si="95"/>
        <v/>
      </c>
      <c r="AO309" s="5" t="str">
        <f t="shared" si="96"/>
        <v/>
      </c>
      <c r="AP309" s="5" t="str">
        <f t="shared" si="97"/>
        <v/>
      </c>
      <c r="AQ309" s="5" t="str">
        <f t="shared" si="98"/>
        <v/>
      </c>
      <c r="AR309" s="5" t="str">
        <f t="shared" si="99"/>
        <v/>
      </c>
      <c r="AS309" s="5" t="str">
        <f t="shared" si="100"/>
        <v/>
      </c>
      <c r="AT309" s="5" t="str">
        <f t="shared" si="101"/>
        <v/>
      </c>
      <c r="AU309" s="5" t="str">
        <f t="shared" si="102"/>
        <v/>
      </c>
      <c r="AV309" s="5" t="str">
        <f t="shared" si="103"/>
        <v/>
      </c>
      <c r="AW309" s="5" t="str">
        <f t="shared" si="104"/>
        <v/>
      </c>
      <c r="AX309" s="5" t="str">
        <f t="shared" si="105"/>
        <v/>
      </c>
      <c r="AY309" s="5" t="str">
        <f t="shared" si="106"/>
        <v/>
      </c>
      <c r="AZ309" s="5" t="str">
        <f t="shared" si="107"/>
        <v/>
      </c>
      <c r="BA309" s="5" t="str">
        <f t="shared" si="108"/>
        <v/>
      </c>
      <c r="BB309" s="5" t="str">
        <f t="shared" si="109"/>
        <v/>
      </c>
    </row>
    <row r="310" spans="1:54" s="5" customFormat="1" hidden="1">
      <c r="A310" s="8" t="str">
        <f>IF(INDEX(FORM!$A:$A,ROW())="","",ROW()-1)</f>
        <v/>
      </c>
      <c r="B310" s="41" t="str">
        <f>IF($A310="","",INDEX(FORM!$A:$A,ROW()))</f>
        <v/>
      </c>
      <c r="C310" s="8" t="str">
        <f>IF($A310="","",TRIM(INDEX(FORM!$B:$B,ROW())))</f>
        <v/>
      </c>
      <c r="D310" s="8" t="str">
        <f>IF($A310="","",TRIM(INDEX(FORM!$C:$C,ROW())&amp;""))</f>
        <v/>
      </c>
      <c r="E310" s="8" t="str">
        <f>IF($A310="","",UPPER(TRIM(INDEX(FORM!$D:$D,ROW()))))</f>
        <v/>
      </c>
      <c r="F310" s="8" t="str">
        <f>IF($A310="","",IFERROR(INDEX(PROGRES!$A$2:$A$92,MATCH(E310,PROGRES!$B$2:$B$92,0)),"-"))</f>
        <v/>
      </c>
      <c r="G310" s="8" t="str">
        <f>IF($A310="","",UPPER(TRIM(INDEX(FORM!$F:$F,ROW()))))</f>
        <v/>
      </c>
      <c r="H310" s="8" t="str">
        <f>IF($A310="","",UPPER(TRIM(INDEX(FORM!$E:$E,ROW()))))</f>
        <v/>
      </c>
      <c r="I310" s="8" t="str">
        <f>IF($A310="","",UPPER(TRIM(INDEX(FORM!$G:$G,ROW()))))</f>
        <v/>
      </c>
      <c r="J310" s="8" t="str">
        <f>IF($A310="","",IF(ISNUMBER(SEARCH("Ya,",INDEX(FORM!$H:$H,ROW()))),"YA",IF(ISNUMBER(SEARCH("Cukup,",INDEX(FORM!$H:$H,ROW()))),"CUKUP",IF(ISNUMBER(SEARCH("Kurang,",INDEX(FORM!$H:$H,ROW()))),"KURANG",""))))</f>
        <v/>
      </c>
      <c r="K310" s="8" t="str">
        <f>IF($A310="","",UPPER(TRIM(INDEX(FORM!$J:$J,ROW()))))</f>
        <v/>
      </c>
      <c r="L310" s="8" t="str">
        <f>IF($A310="","",IF(ISNUMBER(SEARCH("Aktivitas Harian",INDEX(FORM!$K:$K,ROW()))),1,0))</f>
        <v/>
      </c>
      <c r="M310" s="8" t="str">
        <f>IF($A310="","",IF(ISNUMBER(SEARCH("Aktivitas Mingguan",INDEX(FORM!$K:$K,ROW()))),1,0))</f>
        <v/>
      </c>
      <c r="N310" s="8" t="str">
        <f>IF($A310="","",IF(ISNUMBER(SEARCH("Aktivitas Bulanan",INDEX(FORM!$K:$K,ROW()))),1,0))</f>
        <v/>
      </c>
      <c r="O310" s="8" t="str">
        <f>IF($A310="","",IF(ISNUMBER(SEARCH("Overview Cabang",INDEX(FORM!$K:$K,ROW()))),1,0))</f>
        <v/>
      </c>
      <c r="P310" s="8" t="str">
        <f>IF($A310="","",IFERROR(VLOOKUP(I310,DATA!$AH$9:$AI$13,2,0),""))</f>
        <v/>
      </c>
      <c r="Q310" s="8" t="str">
        <f>IF($A310="","",IFERROR(VLOOKUP(J310,DATA!$AH$9:$AI$13,2,0),""))</f>
        <v/>
      </c>
      <c r="R310" s="8" t="str">
        <f>IF($A310="","",IFERROR(VLOOKUP(K310,DATA!$AH$9:$AI$13,2,0),""))</f>
        <v/>
      </c>
      <c r="S310" s="42" t="str">
        <f t="shared" si="88"/>
        <v/>
      </c>
      <c r="T310" s="8" t="str">
        <f>IF($A310="","",IF(COUNTIF($D$2:D310,D310)=1,1,0))</f>
        <v/>
      </c>
      <c r="U310" s="8" t="str">
        <f>IF($A310="","",IF(F310="-","Cabang tdk ada",IF(IFERROR(VLOOKUP(G310,#REF!,1,0),"")="","",IF(INDEX(DATA!$AH$2:$AH$5,MATCH(G310,DATA!$AI$2:$AI$5,0))&lt;&gt;F310,"Wilayah beda","OK"))))</f>
        <v/>
      </c>
      <c r="V310" s="8" t="str">
        <f>IF($A310="","",TRIM(INDEX(FORM!$I:$I,ROW())&amp;""))</f>
        <v/>
      </c>
      <c r="W310" s="8" t="str">
        <f>IF($A310="","",TRIM(INDEX(FORM!$L:$L,ROW())&amp;""))</f>
        <v/>
      </c>
      <c r="X310" s="8" t="str">
        <f>IF($A310="","",TRIM(INDEX(FORM!$M:$M,ROW())&amp;""))</f>
        <v/>
      </c>
      <c r="Y310" s="8" t="str">
        <f>IF($A310="","",IFERROR(MATCH(F310,DATA!$AH$2:$AH$5,0),9)*10000+A310)</f>
        <v/>
      </c>
      <c r="Z310" s="8" t="str">
        <f t="shared" si="89"/>
        <v/>
      </c>
      <c r="AA310" s="8" t="str">
        <f t="shared" si="90"/>
        <v/>
      </c>
      <c r="AB310" s="8" t="str">
        <f t="shared" si="91"/>
        <v/>
      </c>
      <c r="AC310" s="8"/>
      <c r="AD310" s="8"/>
      <c r="AE310" s="8"/>
      <c r="AK310" s="5" t="str">
        <f t="shared" si="92"/>
        <v/>
      </c>
      <c r="AL310" s="5" t="str">
        <f t="shared" si="93"/>
        <v/>
      </c>
      <c r="AM310" s="5" t="str">
        <f t="shared" si="94"/>
        <v/>
      </c>
      <c r="AN310" s="5" t="str">
        <f t="shared" si="95"/>
        <v/>
      </c>
      <c r="AO310" s="5" t="str">
        <f t="shared" si="96"/>
        <v/>
      </c>
      <c r="AP310" s="5" t="str">
        <f t="shared" si="97"/>
        <v/>
      </c>
      <c r="AQ310" s="5" t="str">
        <f t="shared" si="98"/>
        <v/>
      </c>
      <c r="AR310" s="5" t="str">
        <f t="shared" si="99"/>
        <v/>
      </c>
      <c r="AS310" s="5" t="str">
        <f t="shared" si="100"/>
        <v/>
      </c>
      <c r="AT310" s="5" t="str">
        <f t="shared" si="101"/>
        <v/>
      </c>
      <c r="AU310" s="5" t="str">
        <f t="shared" si="102"/>
        <v/>
      </c>
      <c r="AV310" s="5" t="str">
        <f t="shared" si="103"/>
        <v/>
      </c>
      <c r="AW310" s="5" t="str">
        <f t="shared" si="104"/>
        <v/>
      </c>
      <c r="AX310" s="5" t="str">
        <f t="shared" si="105"/>
        <v/>
      </c>
      <c r="AY310" s="5" t="str">
        <f t="shared" si="106"/>
        <v/>
      </c>
      <c r="AZ310" s="5" t="str">
        <f t="shared" si="107"/>
        <v/>
      </c>
      <c r="BA310" s="5" t="str">
        <f t="shared" si="108"/>
        <v/>
      </c>
      <c r="BB310" s="5" t="str">
        <f t="shared" si="109"/>
        <v/>
      </c>
    </row>
    <row r="311" spans="1:54" s="5" customFormat="1" hidden="1">
      <c r="A311" s="8" t="str">
        <f>IF(INDEX(FORM!$A:$A,ROW())="","",ROW()-1)</f>
        <v/>
      </c>
      <c r="B311" s="41" t="str">
        <f>IF($A311="","",INDEX(FORM!$A:$A,ROW()))</f>
        <v/>
      </c>
      <c r="C311" s="8" t="str">
        <f>IF($A311="","",TRIM(INDEX(FORM!$B:$B,ROW())))</f>
        <v/>
      </c>
      <c r="D311" s="8" t="str">
        <f>IF($A311="","",TRIM(INDEX(FORM!$C:$C,ROW())&amp;""))</f>
        <v/>
      </c>
      <c r="E311" s="8" t="str">
        <f>IF($A311="","",UPPER(TRIM(INDEX(FORM!$D:$D,ROW()))))</f>
        <v/>
      </c>
      <c r="F311" s="8" t="str">
        <f>IF($A311="","",IFERROR(INDEX(PROGRES!$A$2:$A$92,MATCH(E311,PROGRES!$B$2:$B$92,0)),"-"))</f>
        <v/>
      </c>
      <c r="G311" s="8" t="str">
        <f>IF($A311="","",UPPER(TRIM(INDEX(FORM!$F:$F,ROW()))))</f>
        <v/>
      </c>
      <c r="H311" s="8" t="str">
        <f>IF($A311="","",UPPER(TRIM(INDEX(FORM!$E:$E,ROW()))))</f>
        <v/>
      </c>
      <c r="I311" s="8" t="str">
        <f>IF($A311="","",UPPER(TRIM(INDEX(FORM!$G:$G,ROW()))))</f>
        <v/>
      </c>
      <c r="J311" s="8" t="str">
        <f>IF($A311="","",IF(ISNUMBER(SEARCH("Ya,",INDEX(FORM!$H:$H,ROW()))),"YA",IF(ISNUMBER(SEARCH("Cukup,",INDEX(FORM!$H:$H,ROW()))),"CUKUP",IF(ISNUMBER(SEARCH("Kurang,",INDEX(FORM!$H:$H,ROW()))),"KURANG",""))))</f>
        <v/>
      </c>
      <c r="K311" s="8" t="str">
        <f>IF($A311="","",UPPER(TRIM(INDEX(FORM!$J:$J,ROW()))))</f>
        <v/>
      </c>
      <c r="L311" s="8" t="str">
        <f>IF($A311="","",IF(ISNUMBER(SEARCH("Aktivitas Harian",INDEX(FORM!$K:$K,ROW()))),1,0))</f>
        <v/>
      </c>
      <c r="M311" s="8" t="str">
        <f>IF($A311="","",IF(ISNUMBER(SEARCH("Aktivitas Mingguan",INDEX(FORM!$K:$K,ROW()))),1,0))</f>
        <v/>
      </c>
      <c r="N311" s="8" t="str">
        <f>IF($A311="","",IF(ISNUMBER(SEARCH("Aktivitas Bulanan",INDEX(FORM!$K:$K,ROW()))),1,0))</f>
        <v/>
      </c>
      <c r="O311" s="8" t="str">
        <f>IF($A311="","",IF(ISNUMBER(SEARCH("Overview Cabang",INDEX(FORM!$K:$K,ROW()))),1,0))</f>
        <v/>
      </c>
      <c r="P311" s="8" t="str">
        <f>IF($A311="","",IFERROR(VLOOKUP(I311,DATA!$AH$9:$AI$13,2,0),""))</f>
        <v/>
      </c>
      <c r="Q311" s="8" t="str">
        <f>IF($A311="","",IFERROR(VLOOKUP(J311,DATA!$AH$9:$AI$13,2,0),""))</f>
        <v/>
      </c>
      <c r="R311" s="8" t="str">
        <f>IF($A311="","",IFERROR(VLOOKUP(K311,DATA!$AH$9:$AI$13,2,0),""))</f>
        <v/>
      </c>
      <c r="S311" s="42" t="str">
        <f t="shared" si="88"/>
        <v/>
      </c>
      <c r="T311" s="8" t="str">
        <f>IF($A311="","",IF(COUNTIF($D$2:D311,D311)=1,1,0))</f>
        <v/>
      </c>
      <c r="U311" s="8" t="str">
        <f>IF($A311="","",IF(F311="-","Cabang tdk ada",IF(IFERROR(VLOOKUP(G311,#REF!,1,0),"")="","",IF(INDEX(DATA!$AH$2:$AH$5,MATCH(G311,DATA!$AI$2:$AI$5,0))&lt;&gt;F311,"Wilayah beda","OK"))))</f>
        <v/>
      </c>
      <c r="V311" s="8" t="str">
        <f>IF($A311="","",TRIM(INDEX(FORM!$I:$I,ROW())&amp;""))</f>
        <v/>
      </c>
      <c r="W311" s="8" t="str">
        <f>IF($A311="","",TRIM(INDEX(FORM!$L:$L,ROW())&amp;""))</f>
        <v/>
      </c>
      <c r="X311" s="8" t="str">
        <f>IF($A311="","",TRIM(INDEX(FORM!$M:$M,ROW())&amp;""))</f>
        <v/>
      </c>
      <c r="Y311" s="8" t="str">
        <f>IF($A311="","",IFERROR(MATCH(F311,DATA!$AH$2:$AH$5,0),9)*10000+A311)</f>
        <v/>
      </c>
      <c r="Z311" s="8" t="str">
        <f t="shared" si="89"/>
        <v/>
      </c>
      <c r="AA311" s="8" t="str">
        <f t="shared" si="90"/>
        <v/>
      </c>
      <c r="AB311" s="8" t="str">
        <f t="shared" si="91"/>
        <v/>
      </c>
      <c r="AC311" s="8"/>
      <c r="AD311" s="8"/>
      <c r="AE311" s="8"/>
      <c r="AK311" s="5" t="str">
        <f t="shared" si="92"/>
        <v/>
      </c>
      <c r="AL311" s="5" t="str">
        <f t="shared" si="93"/>
        <v/>
      </c>
      <c r="AM311" s="5" t="str">
        <f t="shared" si="94"/>
        <v/>
      </c>
      <c r="AN311" s="5" t="str">
        <f t="shared" si="95"/>
        <v/>
      </c>
      <c r="AO311" s="5" t="str">
        <f t="shared" si="96"/>
        <v/>
      </c>
      <c r="AP311" s="5" t="str">
        <f t="shared" si="97"/>
        <v/>
      </c>
      <c r="AQ311" s="5" t="str">
        <f t="shared" si="98"/>
        <v/>
      </c>
      <c r="AR311" s="5" t="str">
        <f t="shared" si="99"/>
        <v/>
      </c>
      <c r="AS311" s="5" t="str">
        <f t="shared" si="100"/>
        <v/>
      </c>
      <c r="AT311" s="5" t="str">
        <f t="shared" si="101"/>
        <v/>
      </c>
      <c r="AU311" s="5" t="str">
        <f t="shared" si="102"/>
        <v/>
      </c>
      <c r="AV311" s="5" t="str">
        <f t="shared" si="103"/>
        <v/>
      </c>
      <c r="AW311" s="5" t="str">
        <f t="shared" si="104"/>
        <v/>
      </c>
      <c r="AX311" s="5" t="str">
        <f t="shared" si="105"/>
        <v/>
      </c>
      <c r="AY311" s="5" t="str">
        <f t="shared" si="106"/>
        <v/>
      </c>
      <c r="AZ311" s="5" t="str">
        <f t="shared" si="107"/>
        <v/>
      </c>
      <c r="BA311" s="5" t="str">
        <f t="shared" si="108"/>
        <v/>
      </c>
      <c r="BB311" s="5" t="str">
        <f t="shared" si="109"/>
        <v/>
      </c>
    </row>
    <row r="312" spans="1:54" s="5" customFormat="1" hidden="1">
      <c r="A312" s="8" t="str">
        <f>IF(INDEX(FORM!$A:$A,ROW())="","",ROW()-1)</f>
        <v/>
      </c>
      <c r="B312" s="41" t="str">
        <f>IF($A312="","",INDEX(FORM!$A:$A,ROW()))</f>
        <v/>
      </c>
      <c r="C312" s="8" t="str">
        <f>IF($A312="","",TRIM(INDEX(FORM!$B:$B,ROW())))</f>
        <v/>
      </c>
      <c r="D312" s="8" t="str">
        <f>IF($A312="","",TRIM(INDEX(FORM!$C:$C,ROW())&amp;""))</f>
        <v/>
      </c>
      <c r="E312" s="8" t="str">
        <f>IF($A312="","",UPPER(TRIM(INDEX(FORM!$D:$D,ROW()))))</f>
        <v/>
      </c>
      <c r="F312" s="8" t="str">
        <f>IF($A312="","",IFERROR(INDEX(PROGRES!$A$2:$A$92,MATCH(E312,PROGRES!$B$2:$B$92,0)),"-"))</f>
        <v/>
      </c>
      <c r="G312" s="8" t="str">
        <f>IF($A312="","",UPPER(TRIM(INDEX(FORM!$F:$F,ROW()))))</f>
        <v/>
      </c>
      <c r="H312" s="8" t="str">
        <f>IF($A312="","",UPPER(TRIM(INDEX(FORM!$E:$E,ROW()))))</f>
        <v/>
      </c>
      <c r="I312" s="8" t="str">
        <f>IF($A312="","",UPPER(TRIM(INDEX(FORM!$G:$G,ROW()))))</f>
        <v/>
      </c>
      <c r="J312" s="8" t="str">
        <f>IF($A312="","",IF(ISNUMBER(SEARCH("Ya,",INDEX(FORM!$H:$H,ROW()))),"YA",IF(ISNUMBER(SEARCH("Cukup,",INDEX(FORM!$H:$H,ROW()))),"CUKUP",IF(ISNUMBER(SEARCH("Kurang,",INDEX(FORM!$H:$H,ROW()))),"KURANG",""))))</f>
        <v/>
      </c>
      <c r="K312" s="8" t="str">
        <f>IF($A312="","",UPPER(TRIM(INDEX(FORM!$J:$J,ROW()))))</f>
        <v/>
      </c>
      <c r="L312" s="8" t="str">
        <f>IF($A312="","",IF(ISNUMBER(SEARCH("Aktivitas Harian",INDEX(FORM!$K:$K,ROW()))),1,0))</f>
        <v/>
      </c>
      <c r="M312" s="8" t="str">
        <f>IF($A312="","",IF(ISNUMBER(SEARCH("Aktivitas Mingguan",INDEX(FORM!$K:$K,ROW()))),1,0))</f>
        <v/>
      </c>
      <c r="N312" s="8" t="str">
        <f>IF($A312="","",IF(ISNUMBER(SEARCH("Aktivitas Bulanan",INDEX(FORM!$K:$K,ROW()))),1,0))</f>
        <v/>
      </c>
      <c r="O312" s="8" t="str">
        <f>IF($A312="","",IF(ISNUMBER(SEARCH("Overview Cabang",INDEX(FORM!$K:$K,ROW()))),1,0))</f>
        <v/>
      </c>
      <c r="P312" s="8" t="str">
        <f>IF($A312="","",IFERROR(VLOOKUP(I312,DATA!$AH$9:$AI$13,2,0),""))</f>
        <v/>
      </c>
      <c r="Q312" s="8" t="str">
        <f>IF($A312="","",IFERROR(VLOOKUP(J312,DATA!$AH$9:$AI$13,2,0),""))</f>
        <v/>
      </c>
      <c r="R312" s="8" t="str">
        <f>IF($A312="","",IFERROR(VLOOKUP(K312,DATA!$AH$9:$AI$13,2,0),""))</f>
        <v/>
      </c>
      <c r="S312" s="42" t="str">
        <f t="shared" si="88"/>
        <v/>
      </c>
      <c r="T312" s="8" t="str">
        <f>IF($A312="","",IF(COUNTIF($D$2:D312,D312)=1,1,0))</f>
        <v/>
      </c>
      <c r="U312" s="8" t="str">
        <f>IF($A312="","",IF(F312="-","Cabang tdk ada",IF(IFERROR(VLOOKUP(G312,#REF!,1,0),"")="","",IF(INDEX(DATA!$AH$2:$AH$5,MATCH(G312,DATA!$AI$2:$AI$5,0))&lt;&gt;F312,"Wilayah beda","OK"))))</f>
        <v/>
      </c>
      <c r="V312" s="8" t="str">
        <f>IF($A312="","",TRIM(INDEX(FORM!$I:$I,ROW())&amp;""))</f>
        <v/>
      </c>
      <c r="W312" s="8" t="str">
        <f>IF($A312="","",TRIM(INDEX(FORM!$L:$L,ROW())&amp;""))</f>
        <v/>
      </c>
      <c r="X312" s="8" t="str">
        <f>IF($A312="","",TRIM(INDEX(FORM!$M:$M,ROW())&amp;""))</f>
        <v/>
      </c>
      <c r="Y312" s="8" t="str">
        <f>IF($A312="","",IFERROR(MATCH(F312,DATA!$AH$2:$AH$5,0),9)*10000+A312)</f>
        <v/>
      </c>
      <c r="Z312" s="8" t="str">
        <f t="shared" si="89"/>
        <v/>
      </c>
      <c r="AA312" s="8" t="str">
        <f t="shared" si="90"/>
        <v/>
      </c>
      <c r="AB312" s="8" t="str">
        <f t="shared" si="91"/>
        <v/>
      </c>
      <c r="AC312" s="8"/>
      <c r="AD312" s="8"/>
      <c r="AE312" s="8"/>
      <c r="AK312" s="5" t="str">
        <f t="shared" si="92"/>
        <v/>
      </c>
      <c r="AL312" s="5" t="str">
        <f t="shared" si="93"/>
        <v/>
      </c>
      <c r="AM312" s="5" t="str">
        <f t="shared" si="94"/>
        <v/>
      </c>
      <c r="AN312" s="5" t="str">
        <f t="shared" si="95"/>
        <v/>
      </c>
      <c r="AO312" s="5" t="str">
        <f t="shared" si="96"/>
        <v/>
      </c>
      <c r="AP312" s="5" t="str">
        <f t="shared" si="97"/>
        <v/>
      </c>
      <c r="AQ312" s="5" t="str">
        <f t="shared" si="98"/>
        <v/>
      </c>
      <c r="AR312" s="5" t="str">
        <f t="shared" si="99"/>
        <v/>
      </c>
      <c r="AS312" s="5" t="str">
        <f t="shared" si="100"/>
        <v/>
      </c>
      <c r="AT312" s="5" t="str">
        <f t="shared" si="101"/>
        <v/>
      </c>
      <c r="AU312" s="5" t="str">
        <f t="shared" si="102"/>
        <v/>
      </c>
      <c r="AV312" s="5" t="str">
        <f t="shared" si="103"/>
        <v/>
      </c>
      <c r="AW312" s="5" t="str">
        <f t="shared" si="104"/>
        <v/>
      </c>
      <c r="AX312" s="5" t="str">
        <f t="shared" si="105"/>
        <v/>
      </c>
      <c r="AY312" s="5" t="str">
        <f t="shared" si="106"/>
        <v/>
      </c>
      <c r="AZ312" s="5" t="str">
        <f t="shared" si="107"/>
        <v/>
      </c>
      <c r="BA312" s="5" t="str">
        <f t="shared" si="108"/>
        <v/>
      </c>
      <c r="BB312" s="5" t="str">
        <f t="shared" si="109"/>
        <v/>
      </c>
    </row>
    <row r="313" spans="1:54" s="5" customFormat="1" hidden="1">
      <c r="A313" s="8" t="str">
        <f>IF(INDEX(FORM!$A:$A,ROW())="","",ROW()-1)</f>
        <v/>
      </c>
      <c r="B313" s="41" t="str">
        <f>IF($A313="","",INDEX(FORM!$A:$A,ROW()))</f>
        <v/>
      </c>
      <c r="C313" s="8" t="str">
        <f>IF($A313="","",TRIM(INDEX(FORM!$B:$B,ROW())))</f>
        <v/>
      </c>
      <c r="D313" s="8" t="str">
        <f>IF($A313="","",TRIM(INDEX(FORM!$C:$C,ROW())&amp;""))</f>
        <v/>
      </c>
      <c r="E313" s="8" t="str">
        <f>IF($A313="","",UPPER(TRIM(INDEX(FORM!$D:$D,ROW()))))</f>
        <v/>
      </c>
      <c r="F313" s="8" t="str">
        <f>IF($A313="","",IFERROR(INDEX(PROGRES!$A$2:$A$92,MATCH(E313,PROGRES!$B$2:$B$92,0)),"-"))</f>
        <v/>
      </c>
      <c r="G313" s="8" t="str">
        <f>IF($A313="","",UPPER(TRIM(INDEX(FORM!$F:$F,ROW()))))</f>
        <v/>
      </c>
      <c r="H313" s="8" t="str">
        <f>IF($A313="","",UPPER(TRIM(INDEX(FORM!$E:$E,ROW()))))</f>
        <v/>
      </c>
      <c r="I313" s="8" t="str">
        <f>IF($A313="","",UPPER(TRIM(INDEX(FORM!$G:$G,ROW()))))</f>
        <v/>
      </c>
      <c r="J313" s="8" t="str">
        <f>IF($A313="","",IF(ISNUMBER(SEARCH("Ya,",INDEX(FORM!$H:$H,ROW()))),"YA",IF(ISNUMBER(SEARCH("Cukup,",INDEX(FORM!$H:$H,ROW()))),"CUKUP",IF(ISNUMBER(SEARCH("Kurang,",INDEX(FORM!$H:$H,ROW()))),"KURANG",""))))</f>
        <v/>
      </c>
      <c r="K313" s="8" t="str">
        <f>IF($A313="","",UPPER(TRIM(INDEX(FORM!$J:$J,ROW()))))</f>
        <v/>
      </c>
      <c r="L313" s="8" t="str">
        <f>IF($A313="","",IF(ISNUMBER(SEARCH("Aktivitas Harian",INDEX(FORM!$K:$K,ROW()))),1,0))</f>
        <v/>
      </c>
      <c r="M313" s="8" t="str">
        <f>IF($A313="","",IF(ISNUMBER(SEARCH("Aktivitas Mingguan",INDEX(FORM!$K:$K,ROW()))),1,0))</f>
        <v/>
      </c>
      <c r="N313" s="8" t="str">
        <f>IF($A313="","",IF(ISNUMBER(SEARCH("Aktivitas Bulanan",INDEX(FORM!$K:$K,ROW()))),1,0))</f>
        <v/>
      </c>
      <c r="O313" s="8" t="str">
        <f>IF($A313="","",IF(ISNUMBER(SEARCH("Overview Cabang",INDEX(FORM!$K:$K,ROW()))),1,0))</f>
        <v/>
      </c>
      <c r="P313" s="8" t="str">
        <f>IF($A313="","",IFERROR(VLOOKUP(I313,DATA!$AH$9:$AI$13,2,0),""))</f>
        <v/>
      </c>
      <c r="Q313" s="8" t="str">
        <f>IF($A313="","",IFERROR(VLOOKUP(J313,DATA!$AH$9:$AI$13,2,0),""))</f>
        <v/>
      </c>
      <c r="R313" s="8" t="str">
        <f>IF($A313="","",IFERROR(VLOOKUP(K313,DATA!$AH$9:$AI$13,2,0),""))</f>
        <v/>
      </c>
      <c r="S313" s="42" t="str">
        <f t="shared" si="88"/>
        <v/>
      </c>
      <c r="T313" s="8" t="str">
        <f>IF($A313="","",IF(COUNTIF($D$2:D313,D313)=1,1,0))</f>
        <v/>
      </c>
      <c r="U313" s="8" t="str">
        <f>IF($A313="","",IF(F313="-","Cabang tdk ada",IF(IFERROR(VLOOKUP(G313,#REF!,1,0),"")="","",IF(INDEX(DATA!$AH$2:$AH$5,MATCH(G313,DATA!$AI$2:$AI$5,0))&lt;&gt;F313,"Wilayah beda","OK"))))</f>
        <v/>
      </c>
      <c r="V313" s="8" t="str">
        <f>IF($A313="","",TRIM(INDEX(FORM!$I:$I,ROW())&amp;""))</f>
        <v/>
      </c>
      <c r="W313" s="8" t="str">
        <f>IF($A313="","",TRIM(INDEX(FORM!$L:$L,ROW())&amp;""))</f>
        <v/>
      </c>
      <c r="X313" s="8" t="str">
        <f>IF($A313="","",TRIM(INDEX(FORM!$M:$M,ROW())&amp;""))</f>
        <v/>
      </c>
      <c r="Y313" s="8" t="str">
        <f>IF($A313="","",IFERROR(MATCH(F313,DATA!$AH$2:$AH$5,0),9)*10000+A313)</f>
        <v/>
      </c>
      <c r="Z313" s="8" t="str">
        <f t="shared" si="89"/>
        <v/>
      </c>
      <c r="AA313" s="8" t="str">
        <f t="shared" si="90"/>
        <v/>
      </c>
      <c r="AB313" s="8" t="str">
        <f t="shared" si="91"/>
        <v/>
      </c>
      <c r="AC313" s="8"/>
      <c r="AD313" s="8"/>
      <c r="AE313" s="8"/>
      <c r="AK313" s="5" t="str">
        <f t="shared" si="92"/>
        <v/>
      </c>
      <c r="AL313" s="5" t="str">
        <f t="shared" si="93"/>
        <v/>
      </c>
      <c r="AM313" s="5" t="str">
        <f t="shared" si="94"/>
        <v/>
      </c>
      <c r="AN313" s="5" t="str">
        <f t="shared" si="95"/>
        <v/>
      </c>
      <c r="AO313" s="5" t="str">
        <f t="shared" si="96"/>
        <v/>
      </c>
      <c r="AP313" s="5" t="str">
        <f t="shared" si="97"/>
        <v/>
      </c>
      <c r="AQ313" s="5" t="str">
        <f t="shared" si="98"/>
        <v/>
      </c>
      <c r="AR313" s="5" t="str">
        <f t="shared" si="99"/>
        <v/>
      </c>
      <c r="AS313" s="5" t="str">
        <f t="shared" si="100"/>
        <v/>
      </c>
      <c r="AT313" s="5" t="str">
        <f t="shared" si="101"/>
        <v/>
      </c>
      <c r="AU313" s="5" t="str">
        <f t="shared" si="102"/>
        <v/>
      </c>
      <c r="AV313" s="5" t="str">
        <f t="shared" si="103"/>
        <v/>
      </c>
      <c r="AW313" s="5" t="str">
        <f t="shared" si="104"/>
        <v/>
      </c>
      <c r="AX313" s="5" t="str">
        <f t="shared" si="105"/>
        <v/>
      </c>
      <c r="AY313" s="5" t="str">
        <f t="shared" si="106"/>
        <v/>
      </c>
      <c r="AZ313" s="5" t="str">
        <f t="shared" si="107"/>
        <v/>
      </c>
      <c r="BA313" s="5" t="str">
        <f t="shared" si="108"/>
        <v/>
      </c>
      <c r="BB313" s="5" t="str">
        <f t="shared" si="109"/>
        <v/>
      </c>
    </row>
    <row r="314" spans="1:54" s="5" customFormat="1" hidden="1">
      <c r="A314" s="8" t="str">
        <f>IF(INDEX(FORM!$A:$A,ROW())="","",ROW()-1)</f>
        <v/>
      </c>
      <c r="B314" s="41" t="str">
        <f>IF($A314="","",INDEX(FORM!$A:$A,ROW()))</f>
        <v/>
      </c>
      <c r="C314" s="8" t="str">
        <f>IF($A314="","",TRIM(INDEX(FORM!$B:$B,ROW())))</f>
        <v/>
      </c>
      <c r="D314" s="8" t="str">
        <f>IF($A314="","",TRIM(INDEX(FORM!$C:$C,ROW())&amp;""))</f>
        <v/>
      </c>
      <c r="E314" s="8" t="str">
        <f>IF($A314="","",UPPER(TRIM(INDEX(FORM!$D:$D,ROW()))))</f>
        <v/>
      </c>
      <c r="F314" s="8" t="str">
        <f>IF($A314="","",IFERROR(INDEX(PROGRES!$A$2:$A$92,MATCH(E314,PROGRES!$B$2:$B$92,0)),"-"))</f>
        <v/>
      </c>
      <c r="G314" s="8" t="str">
        <f>IF($A314="","",UPPER(TRIM(INDEX(FORM!$F:$F,ROW()))))</f>
        <v/>
      </c>
      <c r="H314" s="8" t="str">
        <f>IF($A314="","",UPPER(TRIM(INDEX(FORM!$E:$E,ROW()))))</f>
        <v/>
      </c>
      <c r="I314" s="8" t="str">
        <f>IF($A314="","",UPPER(TRIM(INDEX(FORM!$G:$G,ROW()))))</f>
        <v/>
      </c>
      <c r="J314" s="8" t="str">
        <f>IF($A314="","",IF(ISNUMBER(SEARCH("Ya,",INDEX(FORM!$H:$H,ROW()))),"YA",IF(ISNUMBER(SEARCH("Cukup,",INDEX(FORM!$H:$H,ROW()))),"CUKUP",IF(ISNUMBER(SEARCH("Kurang,",INDEX(FORM!$H:$H,ROW()))),"KURANG",""))))</f>
        <v/>
      </c>
      <c r="K314" s="8" t="str">
        <f>IF($A314="","",UPPER(TRIM(INDEX(FORM!$J:$J,ROW()))))</f>
        <v/>
      </c>
      <c r="L314" s="8" t="str">
        <f>IF($A314="","",IF(ISNUMBER(SEARCH("Aktivitas Harian",INDEX(FORM!$K:$K,ROW()))),1,0))</f>
        <v/>
      </c>
      <c r="M314" s="8" t="str">
        <f>IF($A314="","",IF(ISNUMBER(SEARCH("Aktivitas Mingguan",INDEX(FORM!$K:$K,ROW()))),1,0))</f>
        <v/>
      </c>
      <c r="N314" s="8" t="str">
        <f>IF($A314="","",IF(ISNUMBER(SEARCH("Aktivitas Bulanan",INDEX(FORM!$K:$K,ROW()))),1,0))</f>
        <v/>
      </c>
      <c r="O314" s="8" t="str">
        <f>IF($A314="","",IF(ISNUMBER(SEARCH("Overview Cabang",INDEX(FORM!$K:$K,ROW()))),1,0))</f>
        <v/>
      </c>
      <c r="P314" s="8" t="str">
        <f>IF($A314="","",IFERROR(VLOOKUP(I314,DATA!$AH$9:$AI$13,2,0),""))</f>
        <v/>
      </c>
      <c r="Q314" s="8" t="str">
        <f>IF($A314="","",IFERROR(VLOOKUP(J314,DATA!$AH$9:$AI$13,2,0),""))</f>
        <v/>
      </c>
      <c r="R314" s="8" t="str">
        <f>IF($A314="","",IFERROR(VLOOKUP(K314,DATA!$AH$9:$AI$13,2,0),""))</f>
        <v/>
      </c>
      <c r="S314" s="42" t="str">
        <f t="shared" si="88"/>
        <v/>
      </c>
      <c r="T314" s="8" t="str">
        <f>IF($A314="","",IF(COUNTIF($D$2:D314,D314)=1,1,0))</f>
        <v/>
      </c>
      <c r="U314" s="8" t="str">
        <f>IF($A314="","",IF(F314="-","Cabang tdk ada",IF(IFERROR(VLOOKUP(G314,#REF!,1,0),"")="","",IF(INDEX(DATA!$AH$2:$AH$5,MATCH(G314,DATA!$AI$2:$AI$5,0))&lt;&gt;F314,"Wilayah beda","OK"))))</f>
        <v/>
      </c>
      <c r="V314" s="8" t="str">
        <f>IF($A314="","",TRIM(INDEX(FORM!$I:$I,ROW())&amp;""))</f>
        <v/>
      </c>
      <c r="W314" s="8" t="str">
        <f>IF($A314="","",TRIM(INDEX(FORM!$L:$L,ROW())&amp;""))</f>
        <v/>
      </c>
      <c r="X314" s="8" t="str">
        <f>IF($A314="","",TRIM(INDEX(FORM!$M:$M,ROW())&amp;""))</f>
        <v/>
      </c>
      <c r="Y314" s="8" t="str">
        <f>IF($A314="","",IFERROR(MATCH(F314,DATA!$AH$2:$AH$5,0),9)*10000+A314)</f>
        <v/>
      </c>
      <c r="Z314" s="8" t="str">
        <f t="shared" si="89"/>
        <v/>
      </c>
      <c r="AA314" s="8" t="str">
        <f t="shared" si="90"/>
        <v/>
      </c>
      <c r="AB314" s="8" t="str">
        <f t="shared" si="91"/>
        <v/>
      </c>
      <c r="AC314" s="8"/>
      <c r="AD314" s="8"/>
      <c r="AE314" s="8"/>
      <c r="AK314" s="5" t="str">
        <f t="shared" si="92"/>
        <v/>
      </c>
      <c r="AL314" s="5" t="str">
        <f t="shared" si="93"/>
        <v/>
      </c>
      <c r="AM314" s="5" t="str">
        <f t="shared" si="94"/>
        <v/>
      </c>
      <c r="AN314" s="5" t="str">
        <f t="shared" si="95"/>
        <v/>
      </c>
      <c r="AO314" s="5" t="str">
        <f t="shared" si="96"/>
        <v/>
      </c>
      <c r="AP314" s="5" t="str">
        <f t="shared" si="97"/>
        <v/>
      </c>
      <c r="AQ314" s="5" t="str">
        <f t="shared" si="98"/>
        <v/>
      </c>
      <c r="AR314" s="5" t="str">
        <f t="shared" si="99"/>
        <v/>
      </c>
      <c r="AS314" s="5" t="str">
        <f t="shared" si="100"/>
        <v/>
      </c>
      <c r="AT314" s="5" t="str">
        <f t="shared" si="101"/>
        <v/>
      </c>
      <c r="AU314" s="5" t="str">
        <f t="shared" si="102"/>
        <v/>
      </c>
      <c r="AV314" s="5" t="str">
        <f t="shared" si="103"/>
        <v/>
      </c>
      <c r="AW314" s="5" t="str">
        <f t="shared" si="104"/>
        <v/>
      </c>
      <c r="AX314" s="5" t="str">
        <f t="shared" si="105"/>
        <v/>
      </c>
      <c r="AY314" s="5" t="str">
        <f t="shared" si="106"/>
        <v/>
      </c>
      <c r="AZ314" s="5" t="str">
        <f t="shared" si="107"/>
        <v/>
      </c>
      <c r="BA314" s="5" t="str">
        <f t="shared" si="108"/>
        <v/>
      </c>
      <c r="BB314" s="5" t="str">
        <f t="shared" si="109"/>
        <v/>
      </c>
    </row>
    <row r="315" spans="1:54" s="5" customFormat="1" hidden="1">
      <c r="A315" s="8" t="str">
        <f>IF(INDEX(FORM!$A:$A,ROW())="","",ROW()-1)</f>
        <v/>
      </c>
      <c r="B315" s="41" t="str">
        <f>IF($A315="","",INDEX(FORM!$A:$A,ROW()))</f>
        <v/>
      </c>
      <c r="C315" s="8" t="str">
        <f>IF($A315="","",TRIM(INDEX(FORM!$B:$B,ROW())))</f>
        <v/>
      </c>
      <c r="D315" s="8" t="str">
        <f>IF($A315="","",TRIM(INDEX(FORM!$C:$C,ROW())&amp;""))</f>
        <v/>
      </c>
      <c r="E315" s="8" t="str">
        <f>IF($A315="","",UPPER(TRIM(INDEX(FORM!$D:$D,ROW()))))</f>
        <v/>
      </c>
      <c r="F315" s="8" t="str">
        <f>IF($A315="","",IFERROR(INDEX(PROGRES!$A$2:$A$92,MATCH(E315,PROGRES!$B$2:$B$92,0)),"-"))</f>
        <v/>
      </c>
      <c r="G315" s="8" t="str">
        <f>IF($A315="","",UPPER(TRIM(INDEX(FORM!$F:$F,ROW()))))</f>
        <v/>
      </c>
      <c r="H315" s="8" t="str">
        <f>IF($A315="","",UPPER(TRIM(INDEX(FORM!$E:$E,ROW()))))</f>
        <v/>
      </c>
      <c r="I315" s="8" t="str">
        <f>IF($A315="","",UPPER(TRIM(INDEX(FORM!$G:$G,ROW()))))</f>
        <v/>
      </c>
      <c r="J315" s="8" t="str">
        <f>IF($A315="","",IF(ISNUMBER(SEARCH("Ya,",INDEX(FORM!$H:$H,ROW()))),"YA",IF(ISNUMBER(SEARCH("Cukup,",INDEX(FORM!$H:$H,ROW()))),"CUKUP",IF(ISNUMBER(SEARCH("Kurang,",INDEX(FORM!$H:$H,ROW()))),"KURANG",""))))</f>
        <v/>
      </c>
      <c r="K315" s="8" t="str">
        <f>IF($A315="","",UPPER(TRIM(INDEX(FORM!$J:$J,ROW()))))</f>
        <v/>
      </c>
      <c r="L315" s="8" t="str">
        <f>IF($A315="","",IF(ISNUMBER(SEARCH("Aktivitas Harian",INDEX(FORM!$K:$K,ROW()))),1,0))</f>
        <v/>
      </c>
      <c r="M315" s="8" t="str">
        <f>IF($A315="","",IF(ISNUMBER(SEARCH("Aktivitas Mingguan",INDEX(FORM!$K:$K,ROW()))),1,0))</f>
        <v/>
      </c>
      <c r="N315" s="8" t="str">
        <f>IF($A315="","",IF(ISNUMBER(SEARCH("Aktivitas Bulanan",INDEX(FORM!$K:$K,ROW()))),1,0))</f>
        <v/>
      </c>
      <c r="O315" s="8" t="str">
        <f>IF($A315="","",IF(ISNUMBER(SEARCH("Overview Cabang",INDEX(FORM!$K:$K,ROW()))),1,0))</f>
        <v/>
      </c>
      <c r="P315" s="8" t="str">
        <f>IF($A315="","",IFERROR(VLOOKUP(I315,DATA!$AH$9:$AI$13,2,0),""))</f>
        <v/>
      </c>
      <c r="Q315" s="8" t="str">
        <f>IF($A315="","",IFERROR(VLOOKUP(J315,DATA!$AH$9:$AI$13,2,0),""))</f>
        <v/>
      </c>
      <c r="R315" s="8" t="str">
        <f>IF($A315="","",IFERROR(VLOOKUP(K315,DATA!$AH$9:$AI$13,2,0),""))</f>
        <v/>
      </c>
      <c r="S315" s="42" t="str">
        <f t="shared" si="88"/>
        <v/>
      </c>
      <c r="T315" s="8" t="str">
        <f>IF($A315="","",IF(COUNTIF($D$2:D315,D315)=1,1,0))</f>
        <v/>
      </c>
      <c r="U315" s="8" t="str">
        <f>IF($A315="","",IF(F315="-","Cabang tdk ada",IF(IFERROR(VLOOKUP(G315,#REF!,1,0),"")="","",IF(INDEX(DATA!$AH$2:$AH$5,MATCH(G315,DATA!$AI$2:$AI$5,0))&lt;&gt;F315,"Wilayah beda","OK"))))</f>
        <v/>
      </c>
      <c r="V315" s="8" t="str">
        <f>IF($A315="","",TRIM(INDEX(FORM!$I:$I,ROW())&amp;""))</f>
        <v/>
      </c>
      <c r="W315" s="8" t="str">
        <f>IF($A315="","",TRIM(INDEX(FORM!$L:$L,ROW())&amp;""))</f>
        <v/>
      </c>
      <c r="X315" s="8" t="str">
        <f>IF($A315="","",TRIM(INDEX(FORM!$M:$M,ROW())&amp;""))</f>
        <v/>
      </c>
      <c r="Y315" s="8" t="str">
        <f>IF($A315="","",IFERROR(MATCH(F315,DATA!$AH$2:$AH$5,0),9)*10000+A315)</f>
        <v/>
      </c>
      <c r="Z315" s="8" t="str">
        <f t="shared" si="89"/>
        <v/>
      </c>
      <c r="AA315" s="8" t="str">
        <f t="shared" si="90"/>
        <v/>
      </c>
      <c r="AB315" s="8" t="str">
        <f t="shared" si="91"/>
        <v/>
      </c>
      <c r="AC315" s="8"/>
      <c r="AD315" s="8"/>
      <c r="AE315" s="8"/>
      <c r="AK315" s="5" t="str">
        <f t="shared" si="92"/>
        <v/>
      </c>
      <c r="AL315" s="5" t="str">
        <f t="shared" si="93"/>
        <v/>
      </c>
      <c r="AM315" s="5" t="str">
        <f t="shared" si="94"/>
        <v/>
      </c>
      <c r="AN315" s="5" t="str">
        <f t="shared" si="95"/>
        <v/>
      </c>
      <c r="AO315" s="5" t="str">
        <f t="shared" si="96"/>
        <v/>
      </c>
      <c r="AP315" s="5" t="str">
        <f t="shared" si="97"/>
        <v/>
      </c>
      <c r="AQ315" s="5" t="str">
        <f t="shared" si="98"/>
        <v/>
      </c>
      <c r="AR315" s="5" t="str">
        <f t="shared" si="99"/>
        <v/>
      </c>
      <c r="AS315" s="5" t="str">
        <f t="shared" si="100"/>
        <v/>
      </c>
      <c r="AT315" s="5" t="str">
        <f t="shared" si="101"/>
        <v/>
      </c>
      <c r="AU315" s="5" t="str">
        <f t="shared" si="102"/>
        <v/>
      </c>
      <c r="AV315" s="5" t="str">
        <f t="shared" si="103"/>
        <v/>
      </c>
      <c r="AW315" s="5" t="str">
        <f t="shared" si="104"/>
        <v/>
      </c>
      <c r="AX315" s="5" t="str">
        <f t="shared" si="105"/>
        <v/>
      </c>
      <c r="AY315" s="5" t="str">
        <f t="shared" si="106"/>
        <v/>
      </c>
      <c r="AZ315" s="5" t="str">
        <f t="shared" si="107"/>
        <v/>
      </c>
      <c r="BA315" s="5" t="str">
        <f t="shared" si="108"/>
        <v/>
      </c>
      <c r="BB315" s="5" t="str">
        <f t="shared" si="109"/>
        <v/>
      </c>
    </row>
    <row r="316" spans="1:54" s="5" customFormat="1" hidden="1">
      <c r="A316" s="8" t="str">
        <f>IF(INDEX(FORM!$A:$A,ROW())="","",ROW()-1)</f>
        <v/>
      </c>
      <c r="B316" s="41" t="str">
        <f>IF($A316="","",INDEX(FORM!$A:$A,ROW()))</f>
        <v/>
      </c>
      <c r="C316" s="8" t="str">
        <f>IF($A316="","",TRIM(INDEX(FORM!$B:$B,ROW())))</f>
        <v/>
      </c>
      <c r="D316" s="8" t="str">
        <f>IF($A316="","",TRIM(INDEX(FORM!$C:$C,ROW())&amp;""))</f>
        <v/>
      </c>
      <c r="E316" s="8" t="str">
        <f>IF($A316="","",UPPER(TRIM(INDEX(FORM!$D:$D,ROW()))))</f>
        <v/>
      </c>
      <c r="F316" s="8" t="str">
        <f>IF($A316="","",IFERROR(INDEX(PROGRES!$A$2:$A$92,MATCH(E316,PROGRES!$B$2:$B$92,0)),"-"))</f>
        <v/>
      </c>
      <c r="G316" s="8" t="str">
        <f>IF($A316="","",UPPER(TRIM(INDEX(FORM!$F:$F,ROW()))))</f>
        <v/>
      </c>
      <c r="H316" s="8" t="str">
        <f>IF($A316="","",UPPER(TRIM(INDEX(FORM!$E:$E,ROW()))))</f>
        <v/>
      </c>
      <c r="I316" s="8" t="str">
        <f>IF($A316="","",UPPER(TRIM(INDEX(FORM!$G:$G,ROW()))))</f>
        <v/>
      </c>
      <c r="J316" s="8" t="str">
        <f>IF($A316="","",IF(ISNUMBER(SEARCH("Ya,",INDEX(FORM!$H:$H,ROW()))),"YA",IF(ISNUMBER(SEARCH("Cukup,",INDEX(FORM!$H:$H,ROW()))),"CUKUP",IF(ISNUMBER(SEARCH("Kurang,",INDEX(FORM!$H:$H,ROW()))),"KURANG",""))))</f>
        <v/>
      </c>
      <c r="K316" s="8" t="str">
        <f>IF($A316="","",UPPER(TRIM(INDEX(FORM!$J:$J,ROW()))))</f>
        <v/>
      </c>
      <c r="L316" s="8" t="str">
        <f>IF($A316="","",IF(ISNUMBER(SEARCH("Aktivitas Harian",INDEX(FORM!$K:$K,ROW()))),1,0))</f>
        <v/>
      </c>
      <c r="M316" s="8" t="str">
        <f>IF($A316="","",IF(ISNUMBER(SEARCH("Aktivitas Mingguan",INDEX(FORM!$K:$K,ROW()))),1,0))</f>
        <v/>
      </c>
      <c r="N316" s="8" t="str">
        <f>IF($A316="","",IF(ISNUMBER(SEARCH("Aktivitas Bulanan",INDEX(FORM!$K:$K,ROW()))),1,0))</f>
        <v/>
      </c>
      <c r="O316" s="8" t="str">
        <f>IF($A316="","",IF(ISNUMBER(SEARCH("Overview Cabang",INDEX(FORM!$K:$K,ROW()))),1,0))</f>
        <v/>
      </c>
      <c r="P316" s="8" t="str">
        <f>IF($A316="","",IFERROR(VLOOKUP(I316,DATA!$AH$9:$AI$13,2,0),""))</f>
        <v/>
      </c>
      <c r="Q316" s="8" t="str">
        <f>IF($A316="","",IFERROR(VLOOKUP(J316,DATA!$AH$9:$AI$13,2,0),""))</f>
        <v/>
      </c>
      <c r="R316" s="8" t="str">
        <f>IF($A316="","",IFERROR(VLOOKUP(K316,DATA!$AH$9:$AI$13,2,0),""))</f>
        <v/>
      </c>
      <c r="S316" s="42" t="str">
        <f t="shared" si="88"/>
        <v/>
      </c>
      <c r="T316" s="8" t="str">
        <f>IF($A316="","",IF(COUNTIF($D$2:D316,D316)=1,1,0))</f>
        <v/>
      </c>
      <c r="U316" s="8" t="str">
        <f>IF($A316="","",IF(F316="-","Cabang tdk ada",IF(IFERROR(VLOOKUP(G316,#REF!,1,0),"")="","",IF(INDEX(DATA!$AH$2:$AH$5,MATCH(G316,DATA!$AI$2:$AI$5,0))&lt;&gt;F316,"Wilayah beda","OK"))))</f>
        <v/>
      </c>
      <c r="V316" s="8" t="str">
        <f>IF($A316="","",TRIM(INDEX(FORM!$I:$I,ROW())&amp;""))</f>
        <v/>
      </c>
      <c r="W316" s="8" t="str">
        <f>IF($A316="","",TRIM(INDEX(FORM!$L:$L,ROW())&amp;""))</f>
        <v/>
      </c>
      <c r="X316" s="8" t="str">
        <f>IF($A316="","",TRIM(INDEX(FORM!$M:$M,ROW())&amp;""))</f>
        <v/>
      </c>
      <c r="Y316" s="8" t="str">
        <f>IF($A316="","",IFERROR(MATCH(F316,DATA!$AH$2:$AH$5,0),9)*10000+A316)</f>
        <v/>
      </c>
      <c r="Z316" s="8" t="str">
        <f t="shared" si="89"/>
        <v/>
      </c>
      <c r="AA316" s="8" t="str">
        <f t="shared" si="90"/>
        <v/>
      </c>
      <c r="AB316" s="8" t="str">
        <f t="shared" si="91"/>
        <v/>
      </c>
      <c r="AC316" s="8"/>
      <c r="AD316" s="8"/>
      <c r="AE316" s="8"/>
      <c r="AK316" s="5" t="str">
        <f t="shared" si="92"/>
        <v/>
      </c>
      <c r="AL316" s="5" t="str">
        <f t="shared" si="93"/>
        <v/>
      </c>
      <c r="AM316" s="5" t="str">
        <f t="shared" si="94"/>
        <v/>
      </c>
      <c r="AN316" s="5" t="str">
        <f t="shared" si="95"/>
        <v/>
      </c>
      <c r="AO316" s="5" t="str">
        <f t="shared" si="96"/>
        <v/>
      </c>
      <c r="AP316" s="5" t="str">
        <f t="shared" si="97"/>
        <v/>
      </c>
      <c r="AQ316" s="5" t="str">
        <f t="shared" si="98"/>
        <v/>
      </c>
      <c r="AR316" s="5" t="str">
        <f t="shared" si="99"/>
        <v/>
      </c>
      <c r="AS316" s="5" t="str">
        <f t="shared" si="100"/>
        <v/>
      </c>
      <c r="AT316" s="5" t="str">
        <f t="shared" si="101"/>
        <v/>
      </c>
      <c r="AU316" s="5" t="str">
        <f t="shared" si="102"/>
        <v/>
      </c>
      <c r="AV316" s="5" t="str">
        <f t="shared" si="103"/>
        <v/>
      </c>
      <c r="AW316" s="5" t="str">
        <f t="shared" si="104"/>
        <v/>
      </c>
      <c r="AX316" s="5" t="str">
        <f t="shared" si="105"/>
        <v/>
      </c>
      <c r="AY316" s="5" t="str">
        <f t="shared" si="106"/>
        <v/>
      </c>
      <c r="AZ316" s="5" t="str">
        <f t="shared" si="107"/>
        <v/>
      </c>
      <c r="BA316" s="5" t="str">
        <f t="shared" si="108"/>
        <v/>
      </c>
      <c r="BB316" s="5" t="str">
        <f t="shared" si="109"/>
        <v/>
      </c>
    </row>
    <row r="317" spans="1:54" s="5" customFormat="1" hidden="1">
      <c r="A317" s="8" t="str">
        <f>IF(INDEX(FORM!$A:$A,ROW())="","",ROW()-1)</f>
        <v/>
      </c>
      <c r="B317" s="41" t="str">
        <f>IF($A317="","",INDEX(FORM!$A:$A,ROW()))</f>
        <v/>
      </c>
      <c r="C317" s="8" t="str">
        <f>IF($A317="","",TRIM(INDEX(FORM!$B:$B,ROW())))</f>
        <v/>
      </c>
      <c r="D317" s="8" t="str">
        <f>IF($A317="","",TRIM(INDEX(FORM!$C:$C,ROW())&amp;""))</f>
        <v/>
      </c>
      <c r="E317" s="8" t="str">
        <f>IF($A317="","",UPPER(TRIM(INDEX(FORM!$D:$D,ROW()))))</f>
        <v/>
      </c>
      <c r="F317" s="8" t="str">
        <f>IF($A317="","",IFERROR(INDEX(PROGRES!$A$2:$A$92,MATCH(E317,PROGRES!$B$2:$B$92,0)),"-"))</f>
        <v/>
      </c>
      <c r="G317" s="8" t="str">
        <f>IF($A317="","",UPPER(TRIM(INDEX(FORM!$F:$F,ROW()))))</f>
        <v/>
      </c>
      <c r="H317" s="8" t="str">
        <f>IF($A317="","",UPPER(TRIM(INDEX(FORM!$E:$E,ROW()))))</f>
        <v/>
      </c>
      <c r="I317" s="8" t="str">
        <f>IF($A317="","",UPPER(TRIM(INDEX(FORM!$G:$G,ROW()))))</f>
        <v/>
      </c>
      <c r="J317" s="8" t="str">
        <f>IF($A317="","",IF(ISNUMBER(SEARCH("Ya,",INDEX(FORM!$H:$H,ROW()))),"YA",IF(ISNUMBER(SEARCH("Cukup,",INDEX(FORM!$H:$H,ROW()))),"CUKUP",IF(ISNUMBER(SEARCH("Kurang,",INDEX(FORM!$H:$H,ROW()))),"KURANG",""))))</f>
        <v/>
      </c>
      <c r="K317" s="8" t="str">
        <f>IF($A317="","",UPPER(TRIM(INDEX(FORM!$J:$J,ROW()))))</f>
        <v/>
      </c>
      <c r="L317" s="8" t="str">
        <f>IF($A317="","",IF(ISNUMBER(SEARCH("Aktivitas Harian",INDEX(FORM!$K:$K,ROW()))),1,0))</f>
        <v/>
      </c>
      <c r="M317" s="8" t="str">
        <f>IF($A317="","",IF(ISNUMBER(SEARCH("Aktivitas Mingguan",INDEX(FORM!$K:$K,ROW()))),1,0))</f>
        <v/>
      </c>
      <c r="N317" s="8" t="str">
        <f>IF($A317="","",IF(ISNUMBER(SEARCH("Aktivitas Bulanan",INDEX(FORM!$K:$K,ROW()))),1,0))</f>
        <v/>
      </c>
      <c r="O317" s="8" t="str">
        <f>IF($A317="","",IF(ISNUMBER(SEARCH("Overview Cabang",INDEX(FORM!$K:$K,ROW()))),1,0))</f>
        <v/>
      </c>
      <c r="P317" s="8" t="str">
        <f>IF($A317="","",IFERROR(VLOOKUP(I317,DATA!$AH$9:$AI$13,2,0),""))</f>
        <v/>
      </c>
      <c r="Q317" s="8" t="str">
        <f>IF($A317="","",IFERROR(VLOOKUP(J317,DATA!$AH$9:$AI$13,2,0),""))</f>
        <v/>
      </c>
      <c r="R317" s="8" t="str">
        <f>IF($A317="","",IFERROR(VLOOKUP(K317,DATA!$AH$9:$AI$13,2,0),""))</f>
        <v/>
      </c>
      <c r="S317" s="42" t="str">
        <f t="shared" si="88"/>
        <v/>
      </c>
      <c r="T317" s="8" t="str">
        <f>IF($A317="","",IF(COUNTIF($D$2:D317,D317)=1,1,0))</f>
        <v/>
      </c>
      <c r="U317" s="8" t="str">
        <f>IF($A317="","",IF(F317="-","Cabang tdk ada",IF(IFERROR(VLOOKUP(G317,#REF!,1,0),"")="","",IF(INDEX(DATA!$AH$2:$AH$5,MATCH(G317,DATA!$AI$2:$AI$5,0))&lt;&gt;F317,"Wilayah beda","OK"))))</f>
        <v/>
      </c>
      <c r="V317" s="8" t="str">
        <f>IF($A317="","",TRIM(INDEX(FORM!$I:$I,ROW())&amp;""))</f>
        <v/>
      </c>
      <c r="W317" s="8" t="str">
        <f>IF($A317="","",TRIM(INDEX(FORM!$L:$L,ROW())&amp;""))</f>
        <v/>
      </c>
      <c r="X317" s="8" t="str">
        <f>IF($A317="","",TRIM(INDEX(FORM!$M:$M,ROW())&amp;""))</f>
        <v/>
      </c>
      <c r="Y317" s="8" t="str">
        <f>IF($A317="","",IFERROR(MATCH(F317,DATA!$AH$2:$AH$5,0),9)*10000+A317)</f>
        <v/>
      </c>
      <c r="Z317" s="8" t="str">
        <f t="shared" si="89"/>
        <v/>
      </c>
      <c r="AA317" s="8" t="str">
        <f t="shared" si="90"/>
        <v/>
      </c>
      <c r="AB317" s="8" t="str">
        <f t="shared" si="91"/>
        <v/>
      </c>
      <c r="AC317" s="8"/>
      <c r="AD317" s="8"/>
      <c r="AE317" s="8"/>
      <c r="AK317" s="5" t="str">
        <f t="shared" si="92"/>
        <v/>
      </c>
      <c r="AL317" s="5" t="str">
        <f t="shared" si="93"/>
        <v/>
      </c>
      <c r="AM317" s="5" t="str">
        <f t="shared" si="94"/>
        <v/>
      </c>
      <c r="AN317" s="5" t="str">
        <f t="shared" si="95"/>
        <v/>
      </c>
      <c r="AO317" s="5" t="str">
        <f t="shared" si="96"/>
        <v/>
      </c>
      <c r="AP317" s="5" t="str">
        <f t="shared" si="97"/>
        <v/>
      </c>
      <c r="AQ317" s="5" t="str">
        <f t="shared" si="98"/>
        <v/>
      </c>
      <c r="AR317" s="5" t="str">
        <f t="shared" si="99"/>
        <v/>
      </c>
      <c r="AS317" s="5" t="str">
        <f t="shared" si="100"/>
        <v/>
      </c>
      <c r="AT317" s="5" t="str">
        <f t="shared" si="101"/>
        <v/>
      </c>
      <c r="AU317" s="5" t="str">
        <f t="shared" si="102"/>
        <v/>
      </c>
      <c r="AV317" s="5" t="str">
        <f t="shared" si="103"/>
        <v/>
      </c>
      <c r="AW317" s="5" t="str">
        <f t="shared" si="104"/>
        <v/>
      </c>
      <c r="AX317" s="5" t="str">
        <f t="shared" si="105"/>
        <v/>
      </c>
      <c r="AY317" s="5" t="str">
        <f t="shared" si="106"/>
        <v/>
      </c>
      <c r="AZ317" s="5" t="str">
        <f t="shared" si="107"/>
        <v/>
      </c>
      <c r="BA317" s="5" t="str">
        <f t="shared" si="108"/>
        <v/>
      </c>
      <c r="BB317" s="5" t="str">
        <f t="shared" si="109"/>
        <v/>
      </c>
    </row>
    <row r="318" spans="1:54" s="5" customFormat="1" hidden="1">
      <c r="A318" s="8" t="str">
        <f>IF(INDEX(FORM!$A:$A,ROW())="","",ROW()-1)</f>
        <v/>
      </c>
      <c r="B318" s="41" t="str">
        <f>IF($A318="","",INDEX(FORM!$A:$A,ROW()))</f>
        <v/>
      </c>
      <c r="C318" s="8" t="str">
        <f>IF($A318="","",TRIM(INDEX(FORM!$B:$B,ROW())))</f>
        <v/>
      </c>
      <c r="D318" s="8" t="str">
        <f>IF($A318="","",TRIM(INDEX(FORM!$C:$C,ROW())&amp;""))</f>
        <v/>
      </c>
      <c r="E318" s="8" t="str">
        <f>IF($A318="","",UPPER(TRIM(INDEX(FORM!$D:$D,ROW()))))</f>
        <v/>
      </c>
      <c r="F318" s="8" t="str">
        <f>IF($A318="","",IFERROR(INDEX(PROGRES!$A$2:$A$92,MATCH(E318,PROGRES!$B$2:$B$92,0)),"-"))</f>
        <v/>
      </c>
      <c r="G318" s="8" t="str">
        <f>IF($A318="","",UPPER(TRIM(INDEX(FORM!$F:$F,ROW()))))</f>
        <v/>
      </c>
      <c r="H318" s="8" t="str">
        <f>IF($A318="","",UPPER(TRIM(INDEX(FORM!$E:$E,ROW()))))</f>
        <v/>
      </c>
      <c r="I318" s="8" t="str">
        <f>IF($A318="","",UPPER(TRIM(INDEX(FORM!$G:$G,ROW()))))</f>
        <v/>
      </c>
      <c r="J318" s="8" t="str">
        <f>IF($A318="","",IF(ISNUMBER(SEARCH("Ya,",INDEX(FORM!$H:$H,ROW()))),"YA",IF(ISNUMBER(SEARCH("Cukup,",INDEX(FORM!$H:$H,ROW()))),"CUKUP",IF(ISNUMBER(SEARCH("Kurang,",INDEX(FORM!$H:$H,ROW()))),"KURANG",""))))</f>
        <v/>
      </c>
      <c r="K318" s="8" t="str">
        <f>IF($A318="","",UPPER(TRIM(INDEX(FORM!$J:$J,ROW()))))</f>
        <v/>
      </c>
      <c r="L318" s="8" t="str">
        <f>IF($A318="","",IF(ISNUMBER(SEARCH("Aktivitas Harian",INDEX(FORM!$K:$K,ROW()))),1,0))</f>
        <v/>
      </c>
      <c r="M318" s="8" t="str">
        <f>IF($A318="","",IF(ISNUMBER(SEARCH("Aktivitas Mingguan",INDEX(FORM!$K:$K,ROW()))),1,0))</f>
        <v/>
      </c>
      <c r="N318" s="8" t="str">
        <f>IF($A318="","",IF(ISNUMBER(SEARCH("Aktivitas Bulanan",INDEX(FORM!$K:$K,ROW()))),1,0))</f>
        <v/>
      </c>
      <c r="O318" s="8" t="str">
        <f>IF($A318="","",IF(ISNUMBER(SEARCH("Overview Cabang",INDEX(FORM!$K:$K,ROW()))),1,0))</f>
        <v/>
      </c>
      <c r="P318" s="8" t="str">
        <f>IF($A318="","",IFERROR(VLOOKUP(I318,DATA!$AH$9:$AI$13,2,0),""))</f>
        <v/>
      </c>
      <c r="Q318" s="8" t="str">
        <f>IF($A318="","",IFERROR(VLOOKUP(J318,DATA!$AH$9:$AI$13,2,0),""))</f>
        <v/>
      </c>
      <c r="R318" s="8" t="str">
        <f>IF($A318="","",IFERROR(VLOOKUP(K318,DATA!$AH$9:$AI$13,2,0),""))</f>
        <v/>
      </c>
      <c r="S318" s="42" t="str">
        <f t="shared" si="88"/>
        <v/>
      </c>
      <c r="T318" s="8" t="str">
        <f>IF($A318="","",IF(COUNTIF($D$2:D318,D318)=1,1,0))</f>
        <v/>
      </c>
      <c r="U318" s="8" t="str">
        <f>IF($A318="","",IF(F318="-","Cabang tdk ada",IF(IFERROR(VLOOKUP(G318,#REF!,1,0),"")="","",IF(INDEX(DATA!$AH$2:$AH$5,MATCH(G318,DATA!$AI$2:$AI$5,0))&lt;&gt;F318,"Wilayah beda","OK"))))</f>
        <v/>
      </c>
      <c r="V318" s="8" t="str">
        <f>IF($A318="","",TRIM(INDEX(FORM!$I:$I,ROW())&amp;""))</f>
        <v/>
      </c>
      <c r="W318" s="8" t="str">
        <f>IF($A318="","",TRIM(INDEX(FORM!$L:$L,ROW())&amp;""))</f>
        <v/>
      </c>
      <c r="X318" s="8" t="str">
        <f>IF($A318="","",TRIM(INDEX(FORM!$M:$M,ROW())&amp;""))</f>
        <v/>
      </c>
      <c r="Y318" s="8" t="str">
        <f>IF($A318="","",IFERROR(MATCH(F318,DATA!$AH$2:$AH$5,0),9)*10000+A318)</f>
        <v/>
      </c>
      <c r="Z318" s="8" t="str">
        <f t="shared" si="89"/>
        <v/>
      </c>
      <c r="AA318" s="8" t="str">
        <f t="shared" si="90"/>
        <v/>
      </c>
      <c r="AB318" s="8" t="str">
        <f t="shared" si="91"/>
        <v/>
      </c>
      <c r="AC318" s="8"/>
      <c r="AD318" s="8"/>
      <c r="AE318" s="8"/>
      <c r="AK318" s="5" t="str">
        <f t="shared" si="92"/>
        <v/>
      </c>
      <c r="AL318" s="5" t="str">
        <f t="shared" si="93"/>
        <v/>
      </c>
      <c r="AM318" s="5" t="str">
        <f t="shared" si="94"/>
        <v/>
      </c>
      <c r="AN318" s="5" t="str">
        <f t="shared" si="95"/>
        <v/>
      </c>
      <c r="AO318" s="5" t="str">
        <f t="shared" si="96"/>
        <v/>
      </c>
      <c r="AP318" s="5" t="str">
        <f t="shared" si="97"/>
        <v/>
      </c>
      <c r="AQ318" s="5" t="str">
        <f t="shared" si="98"/>
        <v/>
      </c>
      <c r="AR318" s="5" t="str">
        <f t="shared" si="99"/>
        <v/>
      </c>
      <c r="AS318" s="5" t="str">
        <f t="shared" si="100"/>
        <v/>
      </c>
      <c r="AT318" s="5" t="str">
        <f t="shared" si="101"/>
        <v/>
      </c>
      <c r="AU318" s="5" t="str">
        <f t="shared" si="102"/>
        <v/>
      </c>
      <c r="AV318" s="5" t="str">
        <f t="shared" si="103"/>
        <v/>
      </c>
      <c r="AW318" s="5" t="str">
        <f t="shared" si="104"/>
        <v/>
      </c>
      <c r="AX318" s="5" t="str">
        <f t="shared" si="105"/>
        <v/>
      </c>
      <c r="AY318" s="5" t="str">
        <f t="shared" si="106"/>
        <v/>
      </c>
      <c r="AZ318" s="5" t="str">
        <f t="shared" si="107"/>
        <v/>
      </c>
      <c r="BA318" s="5" t="str">
        <f t="shared" si="108"/>
        <v/>
      </c>
      <c r="BB318" s="5" t="str">
        <f t="shared" si="109"/>
        <v/>
      </c>
    </row>
    <row r="319" spans="1:54" s="5" customFormat="1" hidden="1">
      <c r="A319" s="8" t="str">
        <f>IF(INDEX(FORM!$A:$A,ROW())="","",ROW()-1)</f>
        <v/>
      </c>
      <c r="B319" s="41" t="str">
        <f>IF($A319="","",INDEX(FORM!$A:$A,ROW()))</f>
        <v/>
      </c>
      <c r="C319" s="8" t="str">
        <f>IF($A319="","",TRIM(INDEX(FORM!$B:$B,ROW())))</f>
        <v/>
      </c>
      <c r="D319" s="8" t="str">
        <f>IF($A319="","",TRIM(INDEX(FORM!$C:$C,ROW())&amp;""))</f>
        <v/>
      </c>
      <c r="E319" s="8" t="str">
        <f>IF($A319="","",UPPER(TRIM(INDEX(FORM!$D:$D,ROW()))))</f>
        <v/>
      </c>
      <c r="F319" s="8" t="str">
        <f>IF($A319="","",IFERROR(INDEX(PROGRES!$A$2:$A$92,MATCH(E319,PROGRES!$B$2:$B$92,0)),"-"))</f>
        <v/>
      </c>
      <c r="G319" s="8" t="str">
        <f>IF($A319="","",UPPER(TRIM(INDEX(FORM!$F:$F,ROW()))))</f>
        <v/>
      </c>
      <c r="H319" s="8" t="str">
        <f>IF($A319="","",UPPER(TRIM(INDEX(FORM!$E:$E,ROW()))))</f>
        <v/>
      </c>
      <c r="I319" s="8" t="str">
        <f>IF($A319="","",UPPER(TRIM(INDEX(FORM!$G:$G,ROW()))))</f>
        <v/>
      </c>
      <c r="J319" s="8" t="str">
        <f>IF($A319="","",IF(ISNUMBER(SEARCH("Ya,",INDEX(FORM!$H:$H,ROW()))),"YA",IF(ISNUMBER(SEARCH("Cukup,",INDEX(FORM!$H:$H,ROW()))),"CUKUP",IF(ISNUMBER(SEARCH("Kurang,",INDEX(FORM!$H:$H,ROW()))),"KURANG",""))))</f>
        <v/>
      </c>
      <c r="K319" s="8" t="str">
        <f>IF($A319="","",UPPER(TRIM(INDEX(FORM!$J:$J,ROW()))))</f>
        <v/>
      </c>
      <c r="L319" s="8" t="str">
        <f>IF($A319="","",IF(ISNUMBER(SEARCH("Aktivitas Harian",INDEX(FORM!$K:$K,ROW()))),1,0))</f>
        <v/>
      </c>
      <c r="M319" s="8" t="str">
        <f>IF($A319="","",IF(ISNUMBER(SEARCH("Aktivitas Mingguan",INDEX(FORM!$K:$K,ROW()))),1,0))</f>
        <v/>
      </c>
      <c r="N319" s="8" t="str">
        <f>IF($A319="","",IF(ISNUMBER(SEARCH("Aktivitas Bulanan",INDEX(FORM!$K:$K,ROW()))),1,0))</f>
        <v/>
      </c>
      <c r="O319" s="8" t="str">
        <f>IF($A319="","",IF(ISNUMBER(SEARCH("Overview Cabang",INDEX(FORM!$K:$K,ROW()))),1,0))</f>
        <v/>
      </c>
      <c r="P319" s="8" t="str">
        <f>IF($A319="","",IFERROR(VLOOKUP(I319,DATA!$AH$9:$AI$13,2,0),""))</f>
        <v/>
      </c>
      <c r="Q319" s="8" t="str">
        <f>IF($A319="","",IFERROR(VLOOKUP(J319,DATA!$AH$9:$AI$13,2,0),""))</f>
        <v/>
      </c>
      <c r="R319" s="8" t="str">
        <f>IF($A319="","",IFERROR(VLOOKUP(K319,DATA!$AH$9:$AI$13,2,0),""))</f>
        <v/>
      </c>
      <c r="S319" s="42" t="str">
        <f t="shared" si="88"/>
        <v/>
      </c>
      <c r="T319" s="8" t="str">
        <f>IF($A319="","",IF(COUNTIF($D$2:D319,D319)=1,1,0))</f>
        <v/>
      </c>
      <c r="U319" s="8" t="str">
        <f>IF($A319="","",IF(F319="-","Cabang tdk ada",IF(IFERROR(VLOOKUP(G319,#REF!,1,0),"")="","",IF(INDEX(DATA!$AH$2:$AH$5,MATCH(G319,DATA!$AI$2:$AI$5,0))&lt;&gt;F319,"Wilayah beda","OK"))))</f>
        <v/>
      </c>
      <c r="V319" s="8" t="str">
        <f>IF($A319="","",TRIM(INDEX(FORM!$I:$I,ROW())&amp;""))</f>
        <v/>
      </c>
      <c r="W319" s="8" t="str">
        <f>IF($A319="","",TRIM(INDEX(FORM!$L:$L,ROW())&amp;""))</f>
        <v/>
      </c>
      <c r="X319" s="8" t="str">
        <f>IF($A319="","",TRIM(INDEX(FORM!$M:$M,ROW())&amp;""))</f>
        <v/>
      </c>
      <c r="Y319" s="8" t="str">
        <f>IF($A319="","",IFERROR(MATCH(F319,DATA!$AH$2:$AH$5,0),9)*10000+A319)</f>
        <v/>
      </c>
      <c r="Z319" s="8" t="str">
        <f t="shared" si="89"/>
        <v/>
      </c>
      <c r="AA319" s="8" t="str">
        <f t="shared" si="90"/>
        <v/>
      </c>
      <c r="AB319" s="8" t="str">
        <f t="shared" si="91"/>
        <v/>
      </c>
      <c r="AC319" s="8"/>
      <c r="AD319" s="8"/>
      <c r="AE319" s="8"/>
      <c r="AK319" s="5" t="str">
        <f t="shared" si="92"/>
        <v/>
      </c>
      <c r="AL319" s="5" t="str">
        <f t="shared" si="93"/>
        <v/>
      </c>
      <c r="AM319" s="5" t="str">
        <f t="shared" si="94"/>
        <v/>
      </c>
      <c r="AN319" s="5" t="str">
        <f t="shared" si="95"/>
        <v/>
      </c>
      <c r="AO319" s="5" t="str">
        <f t="shared" si="96"/>
        <v/>
      </c>
      <c r="AP319" s="5" t="str">
        <f t="shared" si="97"/>
        <v/>
      </c>
      <c r="AQ319" s="5" t="str">
        <f t="shared" si="98"/>
        <v/>
      </c>
      <c r="AR319" s="5" t="str">
        <f t="shared" si="99"/>
        <v/>
      </c>
      <c r="AS319" s="5" t="str">
        <f t="shared" si="100"/>
        <v/>
      </c>
      <c r="AT319" s="5" t="str">
        <f t="shared" si="101"/>
        <v/>
      </c>
      <c r="AU319" s="5" t="str">
        <f t="shared" si="102"/>
        <v/>
      </c>
      <c r="AV319" s="5" t="str">
        <f t="shared" si="103"/>
        <v/>
      </c>
      <c r="AW319" s="5" t="str">
        <f t="shared" si="104"/>
        <v/>
      </c>
      <c r="AX319" s="5" t="str">
        <f t="shared" si="105"/>
        <v/>
      </c>
      <c r="AY319" s="5" t="str">
        <f t="shared" si="106"/>
        <v/>
      </c>
      <c r="AZ319" s="5" t="str">
        <f t="shared" si="107"/>
        <v/>
      </c>
      <c r="BA319" s="5" t="str">
        <f t="shared" si="108"/>
        <v/>
      </c>
      <c r="BB319" s="5" t="str">
        <f t="shared" si="109"/>
        <v/>
      </c>
    </row>
    <row r="320" spans="1:54" s="5" customFormat="1" hidden="1">
      <c r="A320" s="8" t="str">
        <f>IF(INDEX(FORM!$A:$A,ROW())="","",ROW()-1)</f>
        <v/>
      </c>
      <c r="B320" s="41" t="str">
        <f>IF($A320="","",INDEX(FORM!$A:$A,ROW()))</f>
        <v/>
      </c>
      <c r="C320" s="8" t="str">
        <f>IF($A320="","",TRIM(INDEX(FORM!$B:$B,ROW())))</f>
        <v/>
      </c>
      <c r="D320" s="8" t="str">
        <f>IF($A320="","",TRIM(INDEX(FORM!$C:$C,ROW())&amp;""))</f>
        <v/>
      </c>
      <c r="E320" s="8" t="str">
        <f>IF($A320="","",UPPER(TRIM(INDEX(FORM!$D:$D,ROW()))))</f>
        <v/>
      </c>
      <c r="F320" s="8" t="str">
        <f>IF($A320="","",IFERROR(INDEX(PROGRES!$A$2:$A$92,MATCH(E320,PROGRES!$B$2:$B$92,0)),"-"))</f>
        <v/>
      </c>
      <c r="G320" s="8" t="str">
        <f>IF($A320="","",UPPER(TRIM(INDEX(FORM!$F:$F,ROW()))))</f>
        <v/>
      </c>
      <c r="H320" s="8" t="str">
        <f>IF($A320="","",UPPER(TRIM(INDEX(FORM!$E:$E,ROW()))))</f>
        <v/>
      </c>
      <c r="I320" s="8" t="str">
        <f>IF($A320="","",UPPER(TRIM(INDEX(FORM!$G:$G,ROW()))))</f>
        <v/>
      </c>
      <c r="J320" s="8" t="str">
        <f>IF($A320="","",IF(ISNUMBER(SEARCH("Ya,",INDEX(FORM!$H:$H,ROW()))),"YA",IF(ISNUMBER(SEARCH("Cukup,",INDEX(FORM!$H:$H,ROW()))),"CUKUP",IF(ISNUMBER(SEARCH("Kurang,",INDEX(FORM!$H:$H,ROW()))),"KURANG",""))))</f>
        <v/>
      </c>
      <c r="K320" s="8" t="str">
        <f>IF($A320="","",UPPER(TRIM(INDEX(FORM!$J:$J,ROW()))))</f>
        <v/>
      </c>
      <c r="L320" s="8" t="str">
        <f>IF($A320="","",IF(ISNUMBER(SEARCH("Aktivitas Harian",INDEX(FORM!$K:$K,ROW()))),1,0))</f>
        <v/>
      </c>
      <c r="M320" s="8" t="str">
        <f>IF($A320="","",IF(ISNUMBER(SEARCH("Aktivitas Mingguan",INDEX(FORM!$K:$K,ROW()))),1,0))</f>
        <v/>
      </c>
      <c r="N320" s="8" t="str">
        <f>IF($A320="","",IF(ISNUMBER(SEARCH("Aktivitas Bulanan",INDEX(FORM!$K:$K,ROW()))),1,0))</f>
        <v/>
      </c>
      <c r="O320" s="8" t="str">
        <f>IF($A320="","",IF(ISNUMBER(SEARCH("Overview Cabang",INDEX(FORM!$K:$K,ROW()))),1,0))</f>
        <v/>
      </c>
      <c r="P320" s="8" t="str">
        <f>IF($A320="","",IFERROR(VLOOKUP(I320,DATA!$AH$9:$AI$13,2,0),""))</f>
        <v/>
      </c>
      <c r="Q320" s="8" t="str">
        <f>IF($A320="","",IFERROR(VLOOKUP(J320,DATA!$AH$9:$AI$13,2,0),""))</f>
        <v/>
      </c>
      <c r="R320" s="8" t="str">
        <f>IF($A320="","",IFERROR(VLOOKUP(K320,DATA!$AH$9:$AI$13,2,0),""))</f>
        <v/>
      </c>
      <c r="S320" s="42" t="str">
        <f t="shared" si="88"/>
        <v/>
      </c>
      <c r="T320" s="8" t="str">
        <f>IF($A320="","",IF(COUNTIF($D$2:D320,D320)=1,1,0))</f>
        <v/>
      </c>
      <c r="U320" s="8" t="str">
        <f>IF($A320="","",IF(F320="-","Cabang tdk ada",IF(IFERROR(VLOOKUP(G320,#REF!,1,0),"")="","",IF(INDEX(DATA!$AH$2:$AH$5,MATCH(G320,DATA!$AI$2:$AI$5,0))&lt;&gt;F320,"Wilayah beda","OK"))))</f>
        <v/>
      </c>
      <c r="V320" s="8" t="str">
        <f>IF($A320="","",TRIM(INDEX(FORM!$I:$I,ROW())&amp;""))</f>
        <v/>
      </c>
      <c r="W320" s="8" t="str">
        <f>IF($A320="","",TRIM(INDEX(FORM!$L:$L,ROW())&amp;""))</f>
        <v/>
      </c>
      <c r="X320" s="8" t="str">
        <f>IF($A320="","",TRIM(INDEX(FORM!$M:$M,ROW())&amp;""))</f>
        <v/>
      </c>
      <c r="Y320" s="8" t="str">
        <f>IF($A320="","",IFERROR(MATCH(F320,DATA!$AH$2:$AH$5,0),9)*10000+A320)</f>
        <v/>
      </c>
      <c r="Z320" s="8" t="str">
        <f t="shared" si="89"/>
        <v/>
      </c>
      <c r="AA320" s="8" t="str">
        <f t="shared" si="90"/>
        <v/>
      </c>
      <c r="AB320" s="8" t="str">
        <f t="shared" si="91"/>
        <v/>
      </c>
      <c r="AC320" s="8"/>
      <c r="AD320" s="8"/>
      <c r="AE320" s="8"/>
      <c r="AK320" s="5" t="str">
        <f t="shared" si="92"/>
        <v/>
      </c>
      <c r="AL320" s="5" t="str">
        <f t="shared" si="93"/>
        <v/>
      </c>
      <c r="AM320" s="5" t="str">
        <f t="shared" si="94"/>
        <v/>
      </c>
      <c r="AN320" s="5" t="str">
        <f t="shared" si="95"/>
        <v/>
      </c>
      <c r="AO320" s="5" t="str">
        <f t="shared" si="96"/>
        <v/>
      </c>
      <c r="AP320" s="5" t="str">
        <f t="shared" si="97"/>
        <v/>
      </c>
      <c r="AQ320" s="5" t="str">
        <f t="shared" si="98"/>
        <v/>
      </c>
      <c r="AR320" s="5" t="str">
        <f t="shared" si="99"/>
        <v/>
      </c>
      <c r="AS320" s="5" t="str">
        <f t="shared" si="100"/>
        <v/>
      </c>
      <c r="AT320" s="5" t="str">
        <f t="shared" si="101"/>
        <v/>
      </c>
      <c r="AU320" s="5" t="str">
        <f t="shared" si="102"/>
        <v/>
      </c>
      <c r="AV320" s="5" t="str">
        <f t="shared" si="103"/>
        <v/>
      </c>
      <c r="AW320" s="5" t="str">
        <f t="shared" si="104"/>
        <v/>
      </c>
      <c r="AX320" s="5" t="str">
        <f t="shared" si="105"/>
        <v/>
      </c>
      <c r="AY320" s="5" t="str">
        <f t="shared" si="106"/>
        <v/>
      </c>
      <c r="AZ320" s="5" t="str">
        <f t="shared" si="107"/>
        <v/>
      </c>
      <c r="BA320" s="5" t="str">
        <f t="shared" si="108"/>
        <v/>
      </c>
      <c r="BB320" s="5" t="str">
        <f t="shared" si="109"/>
        <v/>
      </c>
    </row>
    <row r="321" spans="1:54" s="5" customFormat="1" hidden="1">
      <c r="A321" s="8" t="str">
        <f>IF(INDEX(FORM!$A:$A,ROW())="","",ROW()-1)</f>
        <v/>
      </c>
      <c r="B321" s="41" t="str">
        <f>IF($A321="","",INDEX(FORM!$A:$A,ROW()))</f>
        <v/>
      </c>
      <c r="C321" s="8" t="str">
        <f>IF($A321="","",TRIM(INDEX(FORM!$B:$B,ROW())))</f>
        <v/>
      </c>
      <c r="D321" s="8" t="str">
        <f>IF($A321="","",TRIM(INDEX(FORM!$C:$C,ROW())&amp;""))</f>
        <v/>
      </c>
      <c r="E321" s="8" t="str">
        <f>IF($A321="","",UPPER(TRIM(INDEX(FORM!$D:$D,ROW()))))</f>
        <v/>
      </c>
      <c r="F321" s="8" t="str">
        <f>IF($A321="","",IFERROR(INDEX(PROGRES!$A$2:$A$92,MATCH(E321,PROGRES!$B$2:$B$92,0)),"-"))</f>
        <v/>
      </c>
      <c r="G321" s="8" t="str">
        <f>IF($A321="","",UPPER(TRIM(INDEX(FORM!$F:$F,ROW()))))</f>
        <v/>
      </c>
      <c r="H321" s="8" t="str">
        <f>IF($A321="","",UPPER(TRIM(INDEX(FORM!$E:$E,ROW()))))</f>
        <v/>
      </c>
      <c r="I321" s="8" t="str">
        <f>IF($A321="","",UPPER(TRIM(INDEX(FORM!$G:$G,ROW()))))</f>
        <v/>
      </c>
      <c r="J321" s="8" t="str">
        <f>IF($A321="","",IF(ISNUMBER(SEARCH("Ya,",INDEX(FORM!$H:$H,ROW()))),"YA",IF(ISNUMBER(SEARCH("Cukup,",INDEX(FORM!$H:$H,ROW()))),"CUKUP",IF(ISNUMBER(SEARCH("Kurang,",INDEX(FORM!$H:$H,ROW()))),"KURANG",""))))</f>
        <v/>
      </c>
      <c r="K321" s="8" t="str">
        <f>IF($A321="","",UPPER(TRIM(INDEX(FORM!$J:$J,ROW()))))</f>
        <v/>
      </c>
      <c r="L321" s="8" t="str">
        <f>IF($A321="","",IF(ISNUMBER(SEARCH("Aktivitas Harian",INDEX(FORM!$K:$K,ROW()))),1,0))</f>
        <v/>
      </c>
      <c r="M321" s="8" t="str">
        <f>IF($A321="","",IF(ISNUMBER(SEARCH("Aktivitas Mingguan",INDEX(FORM!$K:$K,ROW()))),1,0))</f>
        <v/>
      </c>
      <c r="N321" s="8" t="str">
        <f>IF($A321="","",IF(ISNUMBER(SEARCH("Aktivitas Bulanan",INDEX(FORM!$K:$K,ROW()))),1,0))</f>
        <v/>
      </c>
      <c r="O321" s="8" t="str">
        <f>IF($A321="","",IF(ISNUMBER(SEARCH("Overview Cabang",INDEX(FORM!$K:$K,ROW()))),1,0))</f>
        <v/>
      </c>
      <c r="P321" s="8" t="str">
        <f>IF($A321="","",IFERROR(VLOOKUP(I321,DATA!$AH$9:$AI$13,2,0),""))</f>
        <v/>
      </c>
      <c r="Q321" s="8" t="str">
        <f>IF($A321="","",IFERROR(VLOOKUP(J321,DATA!$AH$9:$AI$13,2,0),""))</f>
        <v/>
      </c>
      <c r="R321" s="8" t="str">
        <f>IF($A321="","",IFERROR(VLOOKUP(K321,DATA!$AH$9:$AI$13,2,0),""))</f>
        <v/>
      </c>
      <c r="S321" s="42" t="str">
        <f t="shared" si="88"/>
        <v/>
      </c>
      <c r="T321" s="8" t="str">
        <f>IF($A321="","",IF(COUNTIF($D$2:D321,D321)=1,1,0))</f>
        <v/>
      </c>
      <c r="U321" s="8" t="str">
        <f>IF($A321="","",IF(F321="-","Cabang tdk ada",IF(IFERROR(VLOOKUP(G321,#REF!,1,0),"")="","",IF(INDEX(DATA!$AH$2:$AH$5,MATCH(G321,DATA!$AI$2:$AI$5,0))&lt;&gt;F321,"Wilayah beda","OK"))))</f>
        <v/>
      </c>
      <c r="V321" s="8" t="str">
        <f>IF($A321="","",TRIM(INDEX(FORM!$I:$I,ROW())&amp;""))</f>
        <v/>
      </c>
      <c r="W321" s="8" t="str">
        <f>IF($A321="","",TRIM(INDEX(FORM!$L:$L,ROW())&amp;""))</f>
        <v/>
      </c>
      <c r="X321" s="8" t="str">
        <f>IF($A321="","",TRIM(INDEX(FORM!$M:$M,ROW())&amp;""))</f>
        <v/>
      </c>
      <c r="Y321" s="8" t="str">
        <f>IF($A321="","",IFERROR(MATCH(F321,DATA!$AH$2:$AH$5,0),9)*10000+A321)</f>
        <v/>
      </c>
      <c r="Z321" s="8" t="str">
        <f t="shared" si="89"/>
        <v/>
      </c>
      <c r="AA321" s="8" t="str">
        <f t="shared" si="90"/>
        <v/>
      </c>
      <c r="AB321" s="8" t="str">
        <f t="shared" si="91"/>
        <v/>
      </c>
      <c r="AC321" s="8"/>
      <c r="AD321" s="8"/>
      <c r="AE321" s="8"/>
      <c r="AK321" s="5" t="str">
        <f t="shared" si="92"/>
        <v/>
      </c>
      <c r="AL321" s="5" t="str">
        <f t="shared" si="93"/>
        <v/>
      </c>
      <c r="AM321" s="5" t="str">
        <f t="shared" si="94"/>
        <v/>
      </c>
      <c r="AN321" s="5" t="str">
        <f t="shared" si="95"/>
        <v/>
      </c>
      <c r="AO321" s="5" t="str">
        <f t="shared" si="96"/>
        <v/>
      </c>
      <c r="AP321" s="5" t="str">
        <f t="shared" si="97"/>
        <v/>
      </c>
      <c r="AQ321" s="5" t="str">
        <f t="shared" si="98"/>
        <v/>
      </c>
      <c r="AR321" s="5" t="str">
        <f t="shared" si="99"/>
        <v/>
      </c>
      <c r="AS321" s="5" t="str">
        <f t="shared" si="100"/>
        <v/>
      </c>
      <c r="AT321" s="5" t="str">
        <f t="shared" si="101"/>
        <v/>
      </c>
      <c r="AU321" s="5" t="str">
        <f t="shared" si="102"/>
        <v/>
      </c>
      <c r="AV321" s="5" t="str">
        <f t="shared" si="103"/>
        <v/>
      </c>
      <c r="AW321" s="5" t="str">
        <f t="shared" si="104"/>
        <v/>
      </c>
      <c r="AX321" s="5" t="str">
        <f t="shared" si="105"/>
        <v/>
      </c>
      <c r="AY321" s="5" t="str">
        <f t="shared" si="106"/>
        <v/>
      </c>
      <c r="AZ321" s="5" t="str">
        <f t="shared" si="107"/>
        <v/>
      </c>
      <c r="BA321" s="5" t="str">
        <f t="shared" si="108"/>
        <v/>
      </c>
      <c r="BB321" s="5" t="str">
        <f t="shared" si="109"/>
        <v/>
      </c>
    </row>
    <row r="322" spans="1:54" s="5" customFormat="1" hidden="1">
      <c r="A322" s="8" t="str">
        <f>IF(INDEX(FORM!$A:$A,ROW())="","",ROW()-1)</f>
        <v/>
      </c>
      <c r="B322" s="41" t="str">
        <f>IF($A322="","",INDEX(FORM!$A:$A,ROW()))</f>
        <v/>
      </c>
      <c r="C322" s="8" t="str">
        <f>IF($A322="","",TRIM(INDEX(FORM!$B:$B,ROW())))</f>
        <v/>
      </c>
      <c r="D322" s="8" t="str">
        <f>IF($A322="","",TRIM(INDEX(FORM!$C:$C,ROW())&amp;""))</f>
        <v/>
      </c>
      <c r="E322" s="8" t="str">
        <f>IF($A322="","",UPPER(TRIM(INDEX(FORM!$D:$D,ROW()))))</f>
        <v/>
      </c>
      <c r="F322" s="8" t="str">
        <f>IF($A322="","",IFERROR(INDEX(PROGRES!$A$2:$A$92,MATCH(E322,PROGRES!$B$2:$B$92,0)),"-"))</f>
        <v/>
      </c>
      <c r="G322" s="8" t="str">
        <f>IF($A322="","",UPPER(TRIM(INDEX(FORM!$F:$F,ROW()))))</f>
        <v/>
      </c>
      <c r="H322" s="8" t="str">
        <f>IF($A322="","",UPPER(TRIM(INDEX(FORM!$E:$E,ROW()))))</f>
        <v/>
      </c>
      <c r="I322" s="8" t="str">
        <f>IF($A322="","",UPPER(TRIM(INDEX(FORM!$G:$G,ROW()))))</f>
        <v/>
      </c>
      <c r="J322" s="8" t="str">
        <f>IF($A322="","",IF(ISNUMBER(SEARCH("Ya,",INDEX(FORM!$H:$H,ROW()))),"YA",IF(ISNUMBER(SEARCH("Cukup,",INDEX(FORM!$H:$H,ROW()))),"CUKUP",IF(ISNUMBER(SEARCH("Kurang,",INDEX(FORM!$H:$H,ROW()))),"KURANG",""))))</f>
        <v/>
      </c>
      <c r="K322" s="8" t="str">
        <f>IF($A322="","",UPPER(TRIM(INDEX(FORM!$J:$J,ROW()))))</f>
        <v/>
      </c>
      <c r="L322" s="8" t="str">
        <f>IF($A322="","",IF(ISNUMBER(SEARCH("Aktivitas Harian",INDEX(FORM!$K:$K,ROW()))),1,0))</f>
        <v/>
      </c>
      <c r="M322" s="8" t="str">
        <f>IF($A322="","",IF(ISNUMBER(SEARCH("Aktivitas Mingguan",INDEX(FORM!$K:$K,ROW()))),1,0))</f>
        <v/>
      </c>
      <c r="N322" s="8" t="str">
        <f>IF($A322="","",IF(ISNUMBER(SEARCH("Aktivitas Bulanan",INDEX(FORM!$K:$K,ROW()))),1,0))</f>
        <v/>
      </c>
      <c r="O322" s="8" t="str">
        <f>IF($A322="","",IF(ISNUMBER(SEARCH("Overview Cabang",INDEX(FORM!$K:$K,ROW()))),1,0))</f>
        <v/>
      </c>
      <c r="P322" s="8" t="str">
        <f>IF($A322="","",IFERROR(VLOOKUP(I322,DATA!$AH$9:$AI$13,2,0),""))</f>
        <v/>
      </c>
      <c r="Q322" s="8" t="str">
        <f>IF($A322="","",IFERROR(VLOOKUP(J322,DATA!$AH$9:$AI$13,2,0),""))</f>
        <v/>
      </c>
      <c r="R322" s="8" t="str">
        <f>IF($A322="","",IFERROR(VLOOKUP(K322,DATA!$AH$9:$AI$13,2,0),""))</f>
        <v/>
      </c>
      <c r="S322" s="42" t="str">
        <f t="shared" ref="S322:S385" si="110">IF($A322="","",IFERROR(AVERAGE(P322:R322),""))</f>
        <v/>
      </c>
      <c r="T322" s="8" t="str">
        <f>IF($A322="","",IF(COUNTIF($D$2:D322,D322)=1,1,0))</f>
        <v/>
      </c>
      <c r="U322" s="8" t="str">
        <f>IF($A322="","",IF(F322="-","Cabang tdk ada",IF(IFERROR(VLOOKUP(G322,#REF!,1,0),"")="","",IF(INDEX(DATA!$AH$2:$AH$5,MATCH(G322,DATA!$AI$2:$AI$5,0))&lt;&gt;F322,"Wilayah beda","OK"))))</f>
        <v/>
      </c>
      <c r="V322" s="8" t="str">
        <f>IF($A322="","",TRIM(INDEX(FORM!$I:$I,ROW())&amp;""))</f>
        <v/>
      </c>
      <c r="W322" s="8" t="str">
        <f>IF($A322="","",TRIM(INDEX(FORM!$L:$L,ROW())&amp;""))</f>
        <v/>
      </c>
      <c r="X322" s="8" t="str">
        <f>IF($A322="","",TRIM(INDEX(FORM!$M:$M,ROW())&amp;""))</f>
        <v/>
      </c>
      <c r="Y322" s="8" t="str">
        <f>IF($A322="","",IFERROR(MATCH(F322,DATA!$AH$2:$AH$5,0),9)*10000+A322)</f>
        <v/>
      </c>
      <c r="Z322" s="8" t="str">
        <f t="shared" ref="Z322:Z385" si="111">IF($A322="","",IF(LEN(SUBSTITUTE(SUBSTITUTE(SUBSTITUTE(V322,"-",""),".",""),"?",""))&lt;2,"Tidak ada masukan / sudah baik",IF(OR(ISNUMBER(SEARCH("memang harus",V322&amp;" "))),"Tidak ada masukan / sudah baik",IF(OR(ISNUMBER(SEARCH("lemot",V322&amp;" ")),ISNUMBER(SEARCH("loading",V322&amp;" ")),ISNUMBER(SEARCH("lambat",V322&amp;" ")),ISNUMBER(SEARCH("kecepatan",V322&amp;" ")),ISNUMBER(SEARCH("koneksi",V322&amp;" ")),ISNUMBER(SEARCH("eroro",V322&amp;" ")),ISNUMBER(SEARCH("error",V322&amp;" ")),ISNUMBER(SEARCH("ketutup",V322&amp;" "))),"Kecepatan &amp; Loading Website",IF(OR(ISNUMBER(SEARCH("kontak",V322&amp;" ")),ISNUMBER(SEARCH("pic",V322&amp;" ")),ISNUMBER(SEARCH("darurat",V322&amp;" "))),"Kontak &amp; Informasi PIC",IF(OR(ISNUMBER(SEARCH("sacs",V322&amp;" ")),ISNUMBER(SEARCH("aplikasi",V322&amp;" ")),ISNUMBER(SEARCH("kinerja",V322&amp;" ")),ISNUMBER(SEARCH("seluruh cabang",V322&amp;" "))),"Integrasi dengan SACS / Aplikasi",IF(OR(ISNUMBER(SEARCH("mobile",V322&amp;" ")),ISNUMBER(SEARCH("lebih responsif",V322&amp;" ")),ISNUMBER(SEARCH("scroll",V322&amp;" ")),ISNUMBER(SEARCH("melebar",V322&amp;" "))),"Tampilan di HP (Responsif)",IF(OR(ISNUMBER(SEARCH("simpel",V322&amp;" ")),ISNUMBER(SEARCH("simple",V322&amp;" ")),ISNUMBER(SEARCH("sederhana",V322&amp;" ")),ISNUMBER(SEARCH("ringkas",V322&amp;" ")),ISNUMBER(SEARCH("intinya",V322&amp;" ")),ISNUMBER(SEARCH("panjang lebar",V322&amp;" ")),ISNUMBER(SEARCH("mudah dipahami lagi",V322&amp;" ")),ISNUMBER(SEARCH("tata letak",V322&amp;" ")),ISNUMBER(SEARCH("harus mencari",V322&amp;" "))),"Penyederhanaan &amp; Ringkas Isi",IF(OR(ISNUMBER(SEARCH("menu ",V322&amp;" ")),ISNUMBER(SEARCH("tiap posisi",V322&amp;" ")),ISNUMBER(SEARCH("pilihan antara",V322&amp;" "))),"Menu per Jabatan / Navigasi",IF(OR(ISNUMBER(SEARCH("video",V322&amp;" ")),ISNUMBER(SEARCH("vidio",V322&amp;" ")),ISNUMBER(SEARCH("bagan",V322&amp;" ")),ISNUMBER(SEARCH("gambar",V322&amp;" ")),ISNUMBER(SEARCH("qna",V322&amp;" "))),"Tambah Video / Bagan",IF(OR(ISNUMBER(SEARCH("menarik",V322&amp;" ")),ISNUMBER(SEARCH("design",V322&amp;" ")),ISNUMBER(SEARCH("desain",V322&amp;" ")),ISNUMBER(SEARCH("font",V322&amp;" ")),ISNUMBER(SEARCH("warna",V322&amp;" ")),ISNUMBER(SEARCH("soft",V322&amp;" ")),ISNUMBER(SEARCH("kaku",V322&amp;" ")),ISNUMBER(SEARCH("elegan",V322&amp;" ")),ISNUMBER(SEARCH("grafis",V322&amp;" ")),ISNUMBER(SEARCH("visual",V322&amp;" ")),ISNUMBER(SEARCH("logo",V322&amp;" ")),ISNUMBER(SEARCH("jenuh",V322&amp;" ")),ISNUMBER(SEARCH("abu",V322&amp;" ")),ISNUMBER(SEARCH("tampilannya",V322&amp;" ")),ISNUMBER(SEARCH("tampilan dibuat",V322&amp;" ")),ISNUMBER(SEARCH("tamoilan",V322&amp;" ")),ISNUMBER(SEARCH("lebih user friendly",V322&amp;" "))),"Desain, Warna &amp; Font",IF(OR(ISNUMBER(SEARCH("perbanyak",V322&amp;" ")),ISNUMBER(SEARCH("jabarkan",V322&amp;" ")),ISNUMBER(SEARCH("jobdesk",V322&amp;" ")),ISNUMBER(SEARCH("pengajuan",V322&amp;" ")),ISNUMBER(SEARCH("informasi",V322&amp;" "))),"Penambahan Isi / Penjelasan",IF(OR(ISNUMBER(SEARCH("tingkat",V322&amp;" ")),ISNUMBER(SEARCH("kembang",V322&amp;" ")),ISNUMBER(SEARCH("lebih baik lagi",V322&amp;" ")),ISNUMBER(SEARCH("maksimal",V322&amp;" ")),ISNUMBER(SEARCH("penikatan",V322&amp;" "))),"Saran Umum Peningkatan",IF(OR(ISNUMBER(SEARCH("tidak",V322&amp;" ")),ISNUMBER(SEARCH("tdk",V322&amp;" ")),ISNUMBER(SEARCH("sudah",V322&amp;" ")),ISNUMBER(SEARCH("sdh",V322&amp;" ")),ISNUMBER(SEARCH("cukup",V322&amp;" ")),ISNUMBER(SEARCH("baik",V322&amp;" ")),ISNUMBER(SEARCH("bagus",V322&amp;" ")),ISNUMBER(SEARCH("ok",V322&amp;" ")),ISNUMBER(SEARCH("good",V322&amp;" ")),ISNUMBER(SEARCH("aman",V322&amp;" ")),ISNUMBER(SEARCH("lanjut",V322&amp;" ")),ISNUMBER(SEARCH("mantap",V322&amp;" ")),ISNUMBER(SEARCH("josjis",V322&amp;" ")),ISNUMBER(SEARCH("lumayan",V322&amp;" ")),ISNUMBER(SEARCH("mudah",V322&amp;" ")),ISNUMBER(SEARCH("belum",V322&amp;" ")),ISNUMBER(SEARCH("membantu",V322&amp;" ")),ISNUMBER(SEARCH("comment",V322&amp;" ")),ISNUMBER(SEARCH("lengkap",V322&amp;" ")),ISNUMBER(SEARCH("tercakup",V322&amp;" ")),ISNUMBER(SEARCH("mencakup",V322&amp;" ")),ISNUMBER(SEARCH("semua",V322&amp;" ")),ISNUMBER(SEARCH("penting",V322&amp;" ")),ISNUMBER(SEARCH("terangkum",V322&amp;" ")),ISNUMBER(SEARCH("pas",V322&amp;" ")),ISNUMBER(SEARCH("berjalan",V322&amp;" ")),ISNUMBER(SEARCH("sesuai",V322&amp;" "))),"Tidak ada masukan / sudah baik","Lainnya (perlu dibaca manual)"))))))))))))))</f>
        <v/>
      </c>
      <c r="AA322" s="8" t="str">
        <f t="shared" ref="AA322:AA385" si="112">IF($A322="","",IF(LEN(SUBSTITUTE(SUBSTITUTE(SUBSTITUTE(W322,"-",""),".",""),"?",""))&lt;2,"Tidak ada masukan / sudah baik",IF(OR(ISNUMBER(SEARCH("tampilan",W322&amp;" ")),ISNUMBER(SEARCH("lemot",W322&amp;" "))),"Bukan Terkait SOP (Tampilan / Akses)",IF(OR(ISNUMBER(SEARCH("sanksi",W322&amp;" ")),ISNUMBER(SEARCH("pelanggaran",W322&amp;" ")),ISNUMBER(SEARCH("larangan",W322&amp;" ")),ISNUMBER(SEARCH("rekening pribadi",W322&amp;" "))),"Sanksi &amp; Pelanggaran SOP",IF(OR(ISNUMBER(SEARCH("npl",W322&amp;" ")),ISNUMBER(SEARCH("piutang",W322&amp;" ")),ISNUMBER(SEARCH("rekon",W322&amp;" ")),ISNUMBER(SEARCH("overdue",W322&amp;" ")),ISNUMBER(SEARCH("restruk",W322&amp;" ")),ISNUMBER(SEARCH("tempo",W322&amp;" "))),"Piutang &amp; Pelanggan Bermasalah",IF(OR(ISNUMBER(SEARCH("kiriman",W322&amp;" ")),ISNUMBER(SEARCH("pengiriman",W322&amp;" ")),ISNUMBER(SEARCH("retur",W322&amp;" ")),ISNUMBER(SEARCH("barang",W322&amp;" "))),"Pengiriman, Retur &amp; Logistik",IF(OR(ISNUMBER(SEARCH("contact",W322&amp;" ")),ISNUMBER(SEARCH("kontak",W322&amp;" ")),ISNUMBER(SEARCH("pic",W322&amp;" ")),ISNUMBER(SEARCH("berwenang",W322&amp;" ")),ISNUMBER(SEARCH("follow up",W322&amp;" ")),ISNUMBER(SEARCH("eskalasi",W322&amp;" "))),"Kontak PIC &amp; Eskalasi",IF(OR(ISNUMBER(SEARCH("laporan evaluasi",W322&amp;" ")),ISNUMBER(SEARCH("aplikasi cp",W322&amp;" ")),ISNUMBER(SEARCH("flowchart",W322&amp;" ")),ISNUMBER(SEARCH("acuan",W322&amp;" ")),ISNUMBER(SEARCH("poa",W322&amp;" ")),ISNUMBER(SEARCH("aktifitas",W322&amp;" ")),ISNUMBER(SEARCH("aktivitas",W322&amp;" "))),"Panduan Laporan &amp; Alur Kerja",IF(OR(ISNUMBER(SEARCH("notifikasi",W322&amp;" ")),ISNUMBER(SEARCH("pembaruan",W322&amp;" ")),ISNUMBER(SEARCH("perubahan",W322&amp;" ")),ISNUMBER(SEARCH("update",W322&amp;" "))),"Pembaruan &amp; Notifikasi SOP",IF(OR(ISNUMBER(SEARCH("tidak",W322&amp;" ")),ISNUMBER(SEARCH("tdk",W322&amp;" ")),ISNUMBER(SEARCH("sudah",W322&amp;" ")),ISNUMBER(SEARCH("sdh",W322&amp;" ")),ISNUMBER(SEARCH("cukup",W322&amp;" ")),ISNUMBER(SEARCH("baik",W322&amp;" ")),ISNUMBER(SEARCH("bagus",W322&amp;" ")),ISNUMBER(SEARCH("ok",W322&amp;" ")),ISNUMBER(SEARCH("good",W322&amp;" ")),ISNUMBER(SEARCH("aman",W322&amp;" ")),ISNUMBER(SEARCH("lanjut",W322&amp;" ")),ISNUMBER(SEARCH("mantap",W322&amp;" ")),ISNUMBER(SEARCH("josjis",W322&amp;" ")),ISNUMBER(SEARCH("lumayan",W322&amp;" ")),ISNUMBER(SEARCH("mudah",W322&amp;" ")),ISNUMBER(SEARCH("belum",W322&amp;" ")),ISNUMBER(SEARCH("membantu",W322&amp;" ")),ISNUMBER(SEARCH("comment",W322&amp;" ")),ISNUMBER(SEARCH("lengkap",W322&amp;" ")),ISNUMBER(SEARCH("tercakup",W322&amp;" ")),ISNUMBER(SEARCH("mencakup",W322&amp;" ")),ISNUMBER(SEARCH("semua",W322&amp;" ")),ISNUMBER(SEARCH("penting",W322&amp;" ")),ISNUMBER(SEARCH("terangkum",W322&amp;" ")),ISNUMBER(SEARCH("pas",W322&amp;" ")),ISNUMBER(SEARCH("berjalan",W322&amp;" ")),ISNUMBER(SEARCH("sesuai",W322&amp;" "))),"Tidak ada masukan / sudah baik","Lainnya (perlu dibaca manual)"))))))))))</f>
        <v/>
      </c>
      <c r="AB322" s="8" t="str">
        <f t="shared" ref="AB322:AB385" si="113">IF($A322="","",IF(LEN(SUBSTITUTE(SUBSTITUTE(SUBSTITUTE(X322,"-",""),".",""),"?",""))&lt;2,"Tidak ada masukan / sudah baik",IF(OR(ISNUMBER(SEARCH("urgent",X322&amp;" "))),"Lainnya (perlu dibaca manual)",IF(OR(ISNUMBER(SEARCH("struktur organisasi",X322&amp;" ")),ISNUMBER(SEARCH("pic",X322&amp;" ")),ISNUMBER(SEARCH("cp",X322&amp;" ")),ISNUMBER(SEARCH("personil",X322&amp;" ")),ISNUMBER(SEARCH("sales",X322&amp;" ")),ISNUMBER(SEARCH("muka",X322&amp;" ")),ISNUMBER(SEARCH("eskalasi",X322&amp;" "))),"Struktur Organisasi, PIC &amp; Tim",IF(OR(ISNUMBER(SEARCH("lemot",X322&amp;" ")),ISNUMBER(SEARCH("lambat",X322&amp;" ")),ISNUMBER(SEARCH("memuat",X322&amp;" ")),ISNUMBER(SEARCH("koneksi",X322&amp;" "))),"Kecepatan Akses Website",IF(OR(ISNUMBER(SEARCH("sacs",X322&amp;" ")),ISNUMBER(SEARCH("aplikasi",X322&amp;" "))),"Integrasi ke SACS / Aplikasi Kerja",IF(OR(ISNUMBER(SEARCH("dashboard",X322&amp;" ")),ISNUMBER(SEARCH("kpi",X322&amp;" ")),ISNUMBER(SEARCH("database",X322&amp;" ")),ISNUMBER(SEARCH("kinerja",X322&amp;" ")),ISNUMBER(SEARCH("seluruh cabang",X322&amp;" "))),"Fitur Baru (Dashboard / KPI / Database)",IF(OR(ISNUMBER(SEARCH("video",X322&amp;" ")),ISNUMBER(SEARCH("gambar",X322&amp;" ")),ISNUMBER(SEARCH("jpg",X322&amp;" ")),ISNUMBER(SEARCH("flowchart",X322&amp;" ")),ISNUMBER(SEARCH("tutorial",X322&amp;" "))),"Tambah Video / Gambar / Flowchart",IF(OR(ISNUMBER(SEARCH("template",X322&amp;" ")),ISNUMBER(SEARCH("surat",X322&amp;" ")),ISNUMBER(SEARCH("korin",X322&amp;" ")),ISNUMBER(SEARCH("overdue",X322&amp;" ")),ISNUMBER(SEARCH("restruk",X322&amp;" ")),ISNUMBER(SEARCH("tempo",X322&amp;" ")),ISNUMBER(SEARCH("larangan",X322&amp;" ")),ISNUMBER(SEARCH("posisi lain",X322&amp;" ")),ISNUMBER(SEARCH("jobdesk",X322&amp;" ")),ISNUMBER(SEARCH("jobdisk",X322&amp;" ")),ISNUMBER(SEARCH("langkah",X322&amp;" ")),ISNUMBER(SEARCH("detail",X322&amp;" ")),ISNUMBER(SEARCH("panduan",X322&amp;" ")),ISNUMBER(SEARCH("lengkap lagi",X322&amp;" ")),ISNUMBER(SEARCH("tips",X322&amp;" "))),"Penambahan Materi &amp; Template",IF(OR(ISNUMBER(SEARCH("simpel",X322&amp;" ")),ISNUMBER(SEARCH("simple",X322&amp;" ")),ISNUMBER(SEARCH("ringkas",X322&amp;" ")),ISNUMBER(SEARCH("monoton",X322&amp;" ")),ISNUMBER(SEARCH("penataan",X322&amp;" "))),"Penyederhanaan Isi",IF(OR(ISNUMBER(SEARCH("menarik",X322&amp;" ")),ISNUMBER(SEARCH("design",X322&amp;" ")),ISNUMBER(SEARCH("desain",X322&amp;" ")),ISNUMBER(SEARCH("tampilan",X322&amp;" ")),ISNUMBER(SEARCH("kaku",X322&amp;" ")),ISNUMBER(SEARCH("user friendly",X322&amp;" "))),"Desain Tampilan",IF(OR(ISNUMBER(SEARCH("update",X322&amp;" ")),ISNUMBER(SEARCH("terbaru",X322&amp;" ")),ISNUMBER(SEARCH("terkini",X322&amp;" ")),ISNUMBER(SEARCH("uptodate",X322&amp;" "))),"Update Informasi Berkala",IF(OR(ISNUMBER(SEARCH("tingkat",X322&amp;" ")),ISNUMBER(SEARCH("kembang",X322&amp;" ")),ISNUMBER(SEARCH("inovasi",X322&amp;" ")),ISNUMBER(SEARCH("maintenance",X322&amp;" "))),"Saran Umum Peningkatan",IF(OR(ISNUMBER(SEARCH("tidak",X322&amp;" ")),ISNUMBER(SEARCH("tdk",X322&amp;" ")),ISNUMBER(SEARCH("sudah",X322&amp;" ")),ISNUMBER(SEARCH("sdh",X322&amp;" ")),ISNUMBER(SEARCH("cukup",X322&amp;" ")),ISNUMBER(SEARCH("baik",X322&amp;" ")),ISNUMBER(SEARCH("bagus",X322&amp;" ")),ISNUMBER(SEARCH("ok",X322&amp;" ")),ISNUMBER(SEARCH("good",X322&amp;" ")),ISNUMBER(SEARCH("aman",X322&amp;" ")),ISNUMBER(SEARCH("lanjut",X322&amp;" ")),ISNUMBER(SEARCH("mantap",X322&amp;" ")),ISNUMBER(SEARCH("josjis",X322&amp;" ")),ISNUMBER(SEARCH("lumayan",X322&amp;" ")),ISNUMBER(SEARCH("mudah",X322&amp;" ")),ISNUMBER(SEARCH("belum",X322&amp;" ")),ISNUMBER(SEARCH("membantu",X322&amp;" ")),ISNUMBER(SEARCH("comment",X322&amp;" ")),ISNUMBER(SEARCH("lengkap",X322&amp;" ")),ISNUMBER(SEARCH("tercakup",X322&amp;" ")),ISNUMBER(SEARCH("mencakup",X322&amp;" ")),ISNUMBER(SEARCH("semua",X322&amp;" ")),ISNUMBER(SEARCH("penting",X322&amp;" ")),ISNUMBER(SEARCH("terangkum",X322&amp;" ")),ISNUMBER(SEARCH("pas",X322&amp;" ")),ISNUMBER(SEARCH("berjalan",X322&amp;" ")),ISNUMBER(SEARCH("sesuai",X322&amp;" "))),"Tidak ada masukan / sudah baik","Lainnya (perlu dibaca manual)"))))))))))))))</f>
        <v/>
      </c>
      <c r="AC322" s="8"/>
      <c r="AD322" s="8"/>
      <c r="AE322" s="8"/>
      <c r="AK322" s="5" t="str">
        <f t="shared" ref="AK322:AK385" si="114">IF($A322="","",IF(OR($Z322="Kecepatan &amp; Loading Website",$AB322="Kecepatan Akses Website",AND($AA322="Bukan Terkait SOP (Tampilan / Akses)",OR(ISNUMBER(SEARCH("lemot",$W322)),ISNUMBER(SEARCH("loading",$W322)),ISNUMBER(SEARCH("lambat",$W322))))),1,0))</f>
        <v/>
      </c>
      <c r="AL322" s="5" t="str">
        <f t="shared" ref="AL322:AL385" si="115">IF($A322="","",IF(OR($Z322="Tampilan di HP (Responsif)"),1,0))</f>
        <v/>
      </c>
      <c r="AM322" s="5" t="str">
        <f t="shared" ref="AM322:AM385" si="116">IF($A322="","",IF(OR($Z322="Desain, Warna &amp; Font",$AB322="Desain Tampilan",AND($AA322="Bukan Terkait SOP (Tampilan / Akses)",NOT(OR(ISNUMBER(SEARCH("lemot",$W322)),ISNUMBER(SEARCH("loading",$W322)),ISNUMBER(SEARCH("lambat",$W322)))))),1,0))</f>
        <v/>
      </c>
      <c r="AN322" s="5" t="str">
        <f t="shared" ref="AN322:AN385" si="117">IF($A322="","",IF(OR($Z322="Menu per Jabatan / Navigasi"),1,0))</f>
        <v/>
      </c>
      <c r="AO322" s="5" t="str">
        <f t="shared" ref="AO322:AO385" si="118">IF($A322="","",IF(OR($Z322="Integrasi dengan SACS / Aplikasi",$AB322="Integrasi ke SACS / Aplikasi Kerja"),1,0))</f>
        <v/>
      </c>
      <c r="AP322" s="5" t="str">
        <f t="shared" ref="AP322:AP385" si="119">IF($A322="","",IF(OR($AB322="Fitur Baru (Dashboard / KPI / Database)"),1,0))</f>
        <v/>
      </c>
      <c r="AQ322" s="5" t="str">
        <f t="shared" ref="AQ322:AQ385" si="120">IF($A322="","",IF(OR($Z322="Penyederhanaan &amp; Ringkas Isi",$AB322="Penyederhanaan Isi"),1,0))</f>
        <v/>
      </c>
      <c r="AR322" s="5" t="str">
        <f t="shared" ref="AR322:AR385" si="121">IF($A322="","",IF(OR($Z322="Penambahan Isi / Penjelasan",$AB322="Penambahan Materi &amp; Template"),1,0))</f>
        <v/>
      </c>
      <c r="AS322" s="5" t="str">
        <f t="shared" ref="AS322:AS385" si="122">IF($A322="","",IF(OR($Z322="Tambah Video / Bagan",$AB322="Tambah Video / Gambar / Flowchart"),1,0))</f>
        <v/>
      </c>
      <c r="AT322" s="5" t="str">
        <f t="shared" ref="AT322:AT385" si="123">IF($A322="","",IF(OR($Z322="Kontak &amp; Informasi PIC",$AA322="Kontak PIC &amp; Eskalasi",$AB322="Struktur Organisasi, PIC &amp; Tim"),1,0))</f>
        <v/>
      </c>
      <c r="AU322" s="5" t="str">
        <f t="shared" ref="AU322:AU385" si="124">IF($A322="","",IF(OR($AA322="Pembaruan &amp; Notifikasi SOP",$AB322="Update Informasi Berkala"),1,0))</f>
        <v/>
      </c>
      <c r="AV322" s="5" t="str">
        <f t="shared" ref="AV322:AV385" si="125">IF($A322="","",IF(OR($AA322="Sanksi &amp; Pelanggaran SOP"),1,0))</f>
        <v/>
      </c>
      <c r="AW322" s="5" t="str">
        <f t="shared" ref="AW322:AW385" si="126">IF($A322="","",IF(OR($AA322="Piutang &amp; Pelanggan Bermasalah"),1,0))</f>
        <v/>
      </c>
      <c r="AX322" s="5" t="str">
        <f t="shared" ref="AX322:AX385" si="127">IF($A322="","",IF(OR($AA322="Pengiriman, Retur &amp; Logistik"),1,0))</f>
        <v/>
      </c>
      <c r="AY322" s="5" t="str">
        <f t="shared" ref="AY322:AY385" si="128">IF($A322="","",IF(OR($AA322="Panduan Laporan &amp; Alur Kerja"),1,0))</f>
        <v/>
      </c>
      <c r="AZ322" s="5" t="str">
        <f t="shared" ref="AZ322:AZ385" si="129">IF($A322="","",IF(OR($Z322="Saran Umum Peningkatan",$AB322="Saran Umum Peningkatan"),1,0))</f>
        <v/>
      </c>
      <c r="BA322" s="5" t="str">
        <f t="shared" ref="BA322:BA385" si="130">IF($A322="","",IF(OR($Z322="Lainnya (perlu dibaca manual)",$AA322="Lainnya (perlu dibaca manual)",$AB322="Lainnya (perlu dibaca manual)"),1,0))</f>
        <v/>
      </c>
      <c r="BB322" s="5" t="str">
        <f t="shared" ref="BB322:BB385" si="131">IF($A322="","",IF(AND($Z322="Tidak ada masukan / sudah baik",$AA322="Tidak ada masukan / sudah baik",$AB322="Tidak ada masukan / sudah baik"),0,1))</f>
        <v/>
      </c>
    </row>
    <row r="323" spans="1:54" s="5" customFormat="1" hidden="1">
      <c r="A323" s="8" t="str">
        <f>IF(INDEX(FORM!$A:$A,ROW())="","",ROW()-1)</f>
        <v/>
      </c>
      <c r="B323" s="41" t="str">
        <f>IF($A323="","",INDEX(FORM!$A:$A,ROW()))</f>
        <v/>
      </c>
      <c r="C323" s="8" t="str">
        <f>IF($A323="","",TRIM(INDEX(FORM!$B:$B,ROW())))</f>
        <v/>
      </c>
      <c r="D323" s="8" t="str">
        <f>IF($A323="","",TRIM(INDEX(FORM!$C:$C,ROW())&amp;""))</f>
        <v/>
      </c>
      <c r="E323" s="8" t="str">
        <f>IF($A323="","",UPPER(TRIM(INDEX(FORM!$D:$D,ROW()))))</f>
        <v/>
      </c>
      <c r="F323" s="8" t="str">
        <f>IF($A323="","",IFERROR(INDEX(PROGRES!$A$2:$A$92,MATCH(E323,PROGRES!$B$2:$B$92,0)),"-"))</f>
        <v/>
      </c>
      <c r="G323" s="8" t="str">
        <f>IF($A323="","",UPPER(TRIM(INDEX(FORM!$F:$F,ROW()))))</f>
        <v/>
      </c>
      <c r="H323" s="8" t="str">
        <f>IF($A323="","",UPPER(TRIM(INDEX(FORM!$E:$E,ROW()))))</f>
        <v/>
      </c>
      <c r="I323" s="8" t="str">
        <f>IF($A323="","",UPPER(TRIM(INDEX(FORM!$G:$G,ROW()))))</f>
        <v/>
      </c>
      <c r="J323" s="8" t="str">
        <f>IF($A323="","",IF(ISNUMBER(SEARCH("Ya,",INDEX(FORM!$H:$H,ROW()))),"YA",IF(ISNUMBER(SEARCH("Cukup,",INDEX(FORM!$H:$H,ROW()))),"CUKUP",IF(ISNUMBER(SEARCH("Kurang,",INDEX(FORM!$H:$H,ROW()))),"KURANG",""))))</f>
        <v/>
      </c>
      <c r="K323" s="8" t="str">
        <f>IF($A323="","",UPPER(TRIM(INDEX(FORM!$J:$J,ROW()))))</f>
        <v/>
      </c>
      <c r="L323" s="8" t="str">
        <f>IF($A323="","",IF(ISNUMBER(SEARCH("Aktivitas Harian",INDEX(FORM!$K:$K,ROW()))),1,0))</f>
        <v/>
      </c>
      <c r="M323" s="8" t="str">
        <f>IF($A323="","",IF(ISNUMBER(SEARCH("Aktivitas Mingguan",INDEX(FORM!$K:$K,ROW()))),1,0))</f>
        <v/>
      </c>
      <c r="N323" s="8" t="str">
        <f>IF($A323="","",IF(ISNUMBER(SEARCH("Aktivitas Bulanan",INDEX(FORM!$K:$K,ROW()))),1,0))</f>
        <v/>
      </c>
      <c r="O323" s="8" t="str">
        <f>IF($A323="","",IF(ISNUMBER(SEARCH("Overview Cabang",INDEX(FORM!$K:$K,ROW()))),1,0))</f>
        <v/>
      </c>
      <c r="P323" s="8" t="str">
        <f>IF($A323="","",IFERROR(VLOOKUP(I323,DATA!$AH$9:$AI$13,2,0),""))</f>
        <v/>
      </c>
      <c r="Q323" s="8" t="str">
        <f>IF($A323="","",IFERROR(VLOOKUP(J323,DATA!$AH$9:$AI$13,2,0),""))</f>
        <v/>
      </c>
      <c r="R323" s="8" t="str">
        <f>IF($A323="","",IFERROR(VLOOKUP(K323,DATA!$AH$9:$AI$13,2,0),""))</f>
        <v/>
      </c>
      <c r="S323" s="42" t="str">
        <f t="shared" si="110"/>
        <v/>
      </c>
      <c r="T323" s="8" t="str">
        <f>IF($A323="","",IF(COUNTIF($D$2:D323,D323)=1,1,0))</f>
        <v/>
      </c>
      <c r="U323" s="8" t="str">
        <f>IF($A323="","",IF(F323="-","Cabang tdk ada",IF(IFERROR(VLOOKUP(G323,#REF!,1,0),"")="","",IF(INDEX(DATA!$AH$2:$AH$5,MATCH(G323,DATA!$AI$2:$AI$5,0))&lt;&gt;F323,"Wilayah beda","OK"))))</f>
        <v/>
      </c>
      <c r="V323" s="8" t="str">
        <f>IF($A323="","",TRIM(INDEX(FORM!$I:$I,ROW())&amp;""))</f>
        <v/>
      </c>
      <c r="W323" s="8" t="str">
        <f>IF($A323="","",TRIM(INDEX(FORM!$L:$L,ROW())&amp;""))</f>
        <v/>
      </c>
      <c r="X323" s="8" t="str">
        <f>IF($A323="","",TRIM(INDEX(FORM!$M:$M,ROW())&amp;""))</f>
        <v/>
      </c>
      <c r="Y323" s="8" t="str">
        <f>IF($A323="","",IFERROR(MATCH(F323,DATA!$AH$2:$AH$5,0),9)*10000+A323)</f>
        <v/>
      </c>
      <c r="Z323" s="8" t="str">
        <f t="shared" si="111"/>
        <v/>
      </c>
      <c r="AA323" s="8" t="str">
        <f t="shared" si="112"/>
        <v/>
      </c>
      <c r="AB323" s="8" t="str">
        <f t="shared" si="113"/>
        <v/>
      </c>
      <c r="AC323" s="8"/>
      <c r="AD323" s="8"/>
      <c r="AE323" s="8"/>
      <c r="AK323" s="5" t="str">
        <f t="shared" si="114"/>
        <v/>
      </c>
      <c r="AL323" s="5" t="str">
        <f t="shared" si="115"/>
        <v/>
      </c>
      <c r="AM323" s="5" t="str">
        <f t="shared" si="116"/>
        <v/>
      </c>
      <c r="AN323" s="5" t="str">
        <f t="shared" si="117"/>
        <v/>
      </c>
      <c r="AO323" s="5" t="str">
        <f t="shared" si="118"/>
        <v/>
      </c>
      <c r="AP323" s="5" t="str">
        <f t="shared" si="119"/>
        <v/>
      </c>
      <c r="AQ323" s="5" t="str">
        <f t="shared" si="120"/>
        <v/>
      </c>
      <c r="AR323" s="5" t="str">
        <f t="shared" si="121"/>
        <v/>
      </c>
      <c r="AS323" s="5" t="str">
        <f t="shared" si="122"/>
        <v/>
      </c>
      <c r="AT323" s="5" t="str">
        <f t="shared" si="123"/>
        <v/>
      </c>
      <c r="AU323" s="5" t="str">
        <f t="shared" si="124"/>
        <v/>
      </c>
      <c r="AV323" s="5" t="str">
        <f t="shared" si="125"/>
        <v/>
      </c>
      <c r="AW323" s="5" t="str">
        <f t="shared" si="126"/>
        <v/>
      </c>
      <c r="AX323" s="5" t="str">
        <f t="shared" si="127"/>
        <v/>
      </c>
      <c r="AY323" s="5" t="str">
        <f t="shared" si="128"/>
        <v/>
      </c>
      <c r="AZ323" s="5" t="str">
        <f t="shared" si="129"/>
        <v/>
      </c>
      <c r="BA323" s="5" t="str">
        <f t="shared" si="130"/>
        <v/>
      </c>
      <c r="BB323" s="5" t="str">
        <f t="shared" si="131"/>
        <v/>
      </c>
    </row>
    <row r="324" spans="1:54" s="5" customFormat="1" hidden="1">
      <c r="A324" s="8" t="str">
        <f>IF(INDEX(FORM!$A:$A,ROW())="","",ROW()-1)</f>
        <v/>
      </c>
      <c r="B324" s="41" t="str">
        <f>IF($A324="","",INDEX(FORM!$A:$A,ROW()))</f>
        <v/>
      </c>
      <c r="C324" s="8" t="str">
        <f>IF($A324="","",TRIM(INDEX(FORM!$B:$B,ROW())))</f>
        <v/>
      </c>
      <c r="D324" s="8" t="str">
        <f>IF($A324="","",TRIM(INDEX(FORM!$C:$C,ROW())&amp;""))</f>
        <v/>
      </c>
      <c r="E324" s="8" t="str">
        <f>IF($A324="","",UPPER(TRIM(INDEX(FORM!$D:$D,ROW()))))</f>
        <v/>
      </c>
      <c r="F324" s="8" t="str">
        <f>IF($A324="","",IFERROR(INDEX(PROGRES!$A$2:$A$92,MATCH(E324,PROGRES!$B$2:$B$92,0)),"-"))</f>
        <v/>
      </c>
      <c r="G324" s="8" t="str">
        <f>IF($A324="","",UPPER(TRIM(INDEX(FORM!$F:$F,ROW()))))</f>
        <v/>
      </c>
      <c r="H324" s="8" t="str">
        <f>IF($A324="","",UPPER(TRIM(INDEX(FORM!$E:$E,ROW()))))</f>
        <v/>
      </c>
      <c r="I324" s="8" t="str">
        <f>IF($A324="","",UPPER(TRIM(INDEX(FORM!$G:$G,ROW()))))</f>
        <v/>
      </c>
      <c r="J324" s="8" t="str">
        <f>IF($A324="","",IF(ISNUMBER(SEARCH("Ya,",INDEX(FORM!$H:$H,ROW()))),"YA",IF(ISNUMBER(SEARCH("Cukup,",INDEX(FORM!$H:$H,ROW()))),"CUKUP",IF(ISNUMBER(SEARCH("Kurang,",INDEX(FORM!$H:$H,ROW()))),"KURANG",""))))</f>
        <v/>
      </c>
      <c r="K324" s="8" t="str">
        <f>IF($A324="","",UPPER(TRIM(INDEX(FORM!$J:$J,ROW()))))</f>
        <v/>
      </c>
      <c r="L324" s="8" t="str">
        <f>IF($A324="","",IF(ISNUMBER(SEARCH("Aktivitas Harian",INDEX(FORM!$K:$K,ROW()))),1,0))</f>
        <v/>
      </c>
      <c r="M324" s="8" t="str">
        <f>IF($A324="","",IF(ISNUMBER(SEARCH("Aktivitas Mingguan",INDEX(FORM!$K:$K,ROW()))),1,0))</f>
        <v/>
      </c>
      <c r="N324" s="8" t="str">
        <f>IF($A324="","",IF(ISNUMBER(SEARCH("Aktivitas Bulanan",INDEX(FORM!$K:$K,ROW()))),1,0))</f>
        <v/>
      </c>
      <c r="O324" s="8" t="str">
        <f>IF($A324="","",IF(ISNUMBER(SEARCH("Overview Cabang",INDEX(FORM!$K:$K,ROW()))),1,0))</f>
        <v/>
      </c>
      <c r="P324" s="8" t="str">
        <f>IF($A324="","",IFERROR(VLOOKUP(I324,DATA!$AH$9:$AI$13,2,0),""))</f>
        <v/>
      </c>
      <c r="Q324" s="8" t="str">
        <f>IF($A324="","",IFERROR(VLOOKUP(J324,DATA!$AH$9:$AI$13,2,0),""))</f>
        <v/>
      </c>
      <c r="R324" s="8" t="str">
        <f>IF($A324="","",IFERROR(VLOOKUP(K324,DATA!$AH$9:$AI$13,2,0),""))</f>
        <v/>
      </c>
      <c r="S324" s="42" t="str">
        <f t="shared" si="110"/>
        <v/>
      </c>
      <c r="T324" s="8" t="str">
        <f>IF($A324="","",IF(COUNTIF($D$2:D324,D324)=1,1,0))</f>
        <v/>
      </c>
      <c r="U324" s="8" t="str">
        <f>IF($A324="","",IF(F324="-","Cabang tdk ada",IF(IFERROR(VLOOKUP(G324,#REF!,1,0),"")="","",IF(INDEX(DATA!$AH$2:$AH$5,MATCH(G324,DATA!$AI$2:$AI$5,0))&lt;&gt;F324,"Wilayah beda","OK"))))</f>
        <v/>
      </c>
      <c r="V324" s="8" t="str">
        <f>IF($A324="","",TRIM(INDEX(FORM!$I:$I,ROW())&amp;""))</f>
        <v/>
      </c>
      <c r="W324" s="8" t="str">
        <f>IF($A324="","",TRIM(INDEX(FORM!$L:$L,ROW())&amp;""))</f>
        <v/>
      </c>
      <c r="X324" s="8" t="str">
        <f>IF($A324="","",TRIM(INDEX(FORM!$M:$M,ROW())&amp;""))</f>
        <v/>
      </c>
      <c r="Y324" s="8" t="str">
        <f>IF($A324="","",IFERROR(MATCH(F324,DATA!$AH$2:$AH$5,0),9)*10000+A324)</f>
        <v/>
      </c>
      <c r="Z324" s="8" t="str">
        <f t="shared" si="111"/>
        <v/>
      </c>
      <c r="AA324" s="8" t="str">
        <f t="shared" si="112"/>
        <v/>
      </c>
      <c r="AB324" s="8" t="str">
        <f t="shared" si="113"/>
        <v/>
      </c>
      <c r="AC324" s="8"/>
      <c r="AD324" s="8"/>
      <c r="AE324" s="8"/>
      <c r="AK324" s="5" t="str">
        <f t="shared" si="114"/>
        <v/>
      </c>
      <c r="AL324" s="5" t="str">
        <f t="shared" si="115"/>
        <v/>
      </c>
      <c r="AM324" s="5" t="str">
        <f t="shared" si="116"/>
        <v/>
      </c>
      <c r="AN324" s="5" t="str">
        <f t="shared" si="117"/>
        <v/>
      </c>
      <c r="AO324" s="5" t="str">
        <f t="shared" si="118"/>
        <v/>
      </c>
      <c r="AP324" s="5" t="str">
        <f t="shared" si="119"/>
        <v/>
      </c>
      <c r="AQ324" s="5" t="str">
        <f t="shared" si="120"/>
        <v/>
      </c>
      <c r="AR324" s="5" t="str">
        <f t="shared" si="121"/>
        <v/>
      </c>
      <c r="AS324" s="5" t="str">
        <f t="shared" si="122"/>
        <v/>
      </c>
      <c r="AT324" s="5" t="str">
        <f t="shared" si="123"/>
        <v/>
      </c>
      <c r="AU324" s="5" t="str">
        <f t="shared" si="124"/>
        <v/>
      </c>
      <c r="AV324" s="5" t="str">
        <f t="shared" si="125"/>
        <v/>
      </c>
      <c r="AW324" s="5" t="str">
        <f t="shared" si="126"/>
        <v/>
      </c>
      <c r="AX324" s="5" t="str">
        <f t="shared" si="127"/>
        <v/>
      </c>
      <c r="AY324" s="5" t="str">
        <f t="shared" si="128"/>
        <v/>
      </c>
      <c r="AZ324" s="5" t="str">
        <f t="shared" si="129"/>
        <v/>
      </c>
      <c r="BA324" s="5" t="str">
        <f t="shared" si="130"/>
        <v/>
      </c>
      <c r="BB324" s="5" t="str">
        <f t="shared" si="131"/>
        <v/>
      </c>
    </row>
    <row r="325" spans="1:54" s="5" customFormat="1" hidden="1">
      <c r="A325" s="8" t="str">
        <f>IF(INDEX(FORM!$A:$A,ROW())="","",ROW()-1)</f>
        <v/>
      </c>
      <c r="B325" s="41" t="str">
        <f>IF($A325="","",INDEX(FORM!$A:$A,ROW()))</f>
        <v/>
      </c>
      <c r="C325" s="8" t="str">
        <f>IF($A325="","",TRIM(INDEX(FORM!$B:$B,ROW())))</f>
        <v/>
      </c>
      <c r="D325" s="8" t="str">
        <f>IF($A325="","",TRIM(INDEX(FORM!$C:$C,ROW())&amp;""))</f>
        <v/>
      </c>
      <c r="E325" s="8" t="str">
        <f>IF($A325="","",UPPER(TRIM(INDEX(FORM!$D:$D,ROW()))))</f>
        <v/>
      </c>
      <c r="F325" s="8" t="str">
        <f>IF($A325="","",IFERROR(INDEX(PROGRES!$A$2:$A$92,MATCH(E325,PROGRES!$B$2:$B$92,0)),"-"))</f>
        <v/>
      </c>
      <c r="G325" s="8" t="str">
        <f>IF($A325="","",UPPER(TRIM(INDEX(FORM!$F:$F,ROW()))))</f>
        <v/>
      </c>
      <c r="H325" s="8" t="str">
        <f>IF($A325="","",UPPER(TRIM(INDEX(FORM!$E:$E,ROW()))))</f>
        <v/>
      </c>
      <c r="I325" s="8" t="str">
        <f>IF($A325="","",UPPER(TRIM(INDEX(FORM!$G:$G,ROW()))))</f>
        <v/>
      </c>
      <c r="J325" s="8" t="str">
        <f>IF($A325="","",IF(ISNUMBER(SEARCH("Ya,",INDEX(FORM!$H:$H,ROW()))),"YA",IF(ISNUMBER(SEARCH("Cukup,",INDEX(FORM!$H:$H,ROW()))),"CUKUP",IF(ISNUMBER(SEARCH("Kurang,",INDEX(FORM!$H:$H,ROW()))),"KURANG",""))))</f>
        <v/>
      </c>
      <c r="K325" s="8" t="str">
        <f>IF($A325="","",UPPER(TRIM(INDEX(FORM!$J:$J,ROW()))))</f>
        <v/>
      </c>
      <c r="L325" s="8" t="str">
        <f>IF($A325="","",IF(ISNUMBER(SEARCH("Aktivitas Harian",INDEX(FORM!$K:$K,ROW()))),1,0))</f>
        <v/>
      </c>
      <c r="M325" s="8" t="str">
        <f>IF($A325="","",IF(ISNUMBER(SEARCH("Aktivitas Mingguan",INDEX(FORM!$K:$K,ROW()))),1,0))</f>
        <v/>
      </c>
      <c r="N325" s="8" t="str">
        <f>IF($A325="","",IF(ISNUMBER(SEARCH("Aktivitas Bulanan",INDEX(FORM!$K:$K,ROW()))),1,0))</f>
        <v/>
      </c>
      <c r="O325" s="8" t="str">
        <f>IF($A325="","",IF(ISNUMBER(SEARCH("Overview Cabang",INDEX(FORM!$K:$K,ROW()))),1,0))</f>
        <v/>
      </c>
      <c r="P325" s="8" t="str">
        <f>IF($A325="","",IFERROR(VLOOKUP(I325,DATA!$AH$9:$AI$13,2,0),""))</f>
        <v/>
      </c>
      <c r="Q325" s="8" t="str">
        <f>IF($A325="","",IFERROR(VLOOKUP(J325,DATA!$AH$9:$AI$13,2,0),""))</f>
        <v/>
      </c>
      <c r="R325" s="8" t="str">
        <f>IF($A325="","",IFERROR(VLOOKUP(K325,DATA!$AH$9:$AI$13,2,0),""))</f>
        <v/>
      </c>
      <c r="S325" s="42" t="str">
        <f t="shared" si="110"/>
        <v/>
      </c>
      <c r="T325" s="8" t="str">
        <f>IF($A325="","",IF(COUNTIF($D$2:D325,D325)=1,1,0))</f>
        <v/>
      </c>
      <c r="U325" s="8" t="str">
        <f>IF($A325="","",IF(F325="-","Cabang tdk ada",IF(IFERROR(VLOOKUP(G325,#REF!,1,0),"")="","",IF(INDEX(DATA!$AH$2:$AH$5,MATCH(G325,DATA!$AI$2:$AI$5,0))&lt;&gt;F325,"Wilayah beda","OK"))))</f>
        <v/>
      </c>
      <c r="V325" s="8" t="str">
        <f>IF($A325="","",TRIM(INDEX(FORM!$I:$I,ROW())&amp;""))</f>
        <v/>
      </c>
      <c r="W325" s="8" t="str">
        <f>IF($A325="","",TRIM(INDEX(FORM!$L:$L,ROW())&amp;""))</f>
        <v/>
      </c>
      <c r="X325" s="8" t="str">
        <f>IF($A325="","",TRIM(INDEX(FORM!$M:$M,ROW())&amp;""))</f>
        <v/>
      </c>
      <c r="Y325" s="8" t="str">
        <f>IF($A325="","",IFERROR(MATCH(F325,DATA!$AH$2:$AH$5,0),9)*10000+A325)</f>
        <v/>
      </c>
      <c r="Z325" s="8" t="str">
        <f t="shared" si="111"/>
        <v/>
      </c>
      <c r="AA325" s="8" t="str">
        <f t="shared" si="112"/>
        <v/>
      </c>
      <c r="AB325" s="8" t="str">
        <f t="shared" si="113"/>
        <v/>
      </c>
      <c r="AC325" s="8"/>
      <c r="AD325" s="8"/>
      <c r="AE325" s="8"/>
      <c r="AK325" s="5" t="str">
        <f t="shared" si="114"/>
        <v/>
      </c>
      <c r="AL325" s="5" t="str">
        <f t="shared" si="115"/>
        <v/>
      </c>
      <c r="AM325" s="5" t="str">
        <f t="shared" si="116"/>
        <v/>
      </c>
      <c r="AN325" s="5" t="str">
        <f t="shared" si="117"/>
        <v/>
      </c>
      <c r="AO325" s="5" t="str">
        <f t="shared" si="118"/>
        <v/>
      </c>
      <c r="AP325" s="5" t="str">
        <f t="shared" si="119"/>
        <v/>
      </c>
      <c r="AQ325" s="5" t="str">
        <f t="shared" si="120"/>
        <v/>
      </c>
      <c r="AR325" s="5" t="str">
        <f t="shared" si="121"/>
        <v/>
      </c>
      <c r="AS325" s="5" t="str">
        <f t="shared" si="122"/>
        <v/>
      </c>
      <c r="AT325" s="5" t="str">
        <f t="shared" si="123"/>
        <v/>
      </c>
      <c r="AU325" s="5" t="str">
        <f t="shared" si="124"/>
        <v/>
      </c>
      <c r="AV325" s="5" t="str">
        <f t="shared" si="125"/>
        <v/>
      </c>
      <c r="AW325" s="5" t="str">
        <f t="shared" si="126"/>
        <v/>
      </c>
      <c r="AX325" s="5" t="str">
        <f t="shared" si="127"/>
        <v/>
      </c>
      <c r="AY325" s="5" t="str">
        <f t="shared" si="128"/>
        <v/>
      </c>
      <c r="AZ325" s="5" t="str">
        <f t="shared" si="129"/>
        <v/>
      </c>
      <c r="BA325" s="5" t="str">
        <f t="shared" si="130"/>
        <v/>
      </c>
      <c r="BB325" s="5" t="str">
        <f t="shared" si="131"/>
        <v/>
      </c>
    </row>
    <row r="326" spans="1:54" s="5" customFormat="1" hidden="1">
      <c r="A326" s="8" t="str">
        <f>IF(INDEX(FORM!$A:$A,ROW())="","",ROW()-1)</f>
        <v/>
      </c>
      <c r="B326" s="41" t="str">
        <f>IF($A326="","",INDEX(FORM!$A:$A,ROW()))</f>
        <v/>
      </c>
      <c r="C326" s="8" t="str">
        <f>IF($A326="","",TRIM(INDEX(FORM!$B:$B,ROW())))</f>
        <v/>
      </c>
      <c r="D326" s="8" t="str">
        <f>IF($A326="","",TRIM(INDEX(FORM!$C:$C,ROW())&amp;""))</f>
        <v/>
      </c>
      <c r="E326" s="8" t="str">
        <f>IF($A326="","",UPPER(TRIM(INDEX(FORM!$D:$D,ROW()))))</f>
        <v/>
      </c>
      <c r="F326" s="8" t="str">
        <f>IF($A326="","",IFERROR(INDEX(PROGRES!$A$2:$A$92,MATCH(E326,PROGRES!$B$2:$B$92,0)),"-"))</f>
        <v/>
      </c>
      <c r="G326" s="8" t="str">
        <f>IF($A326="","",UPPER(TRIM(INDEX(FORM!$F:$F,ROW()))))</f>
        <v/>
      </c>
      <c r="H326" s="8" t="str">
        <f>IF($A326="","",UPPER(TRIM(INDEX(FORM!$E:$E,ROW()))))</f>
        <v/>
      </c>
      <c r="I326" s="8" t="str">
        <f>IF($A326="","",UPPER(TRIM(INDEX(FORM!$G:$G,ROW()))))</f>
        <v/>
      </c>
      <c r="J326" s="8" t="str">
        <f>IF($A326="","",IF(ISNUMBER(SEARCH("Ya,",INDEX(FORM!$H:$H,ROW()))),"YA",IF(ISNUMBER(SEARCH("Cukup,",INDEX(FORM!$H:$H,ROW()))),"CUKUP",IF(ISNUMBER(SEARCH("Kurang,",INDEX(FORM!$H:$H,ROW()))),"KURANG",""))))</f>
        <v/>
      </c>
      <c r="K326" s="8" t="str">
        <f>IF($A326="","",UPPER(TRIM(INDEX(FORM!$J:$J,ROW()))))</f>
        <v/>
      </c>
      <c r="L326" s="8" t="str">
        <f>IF($A326="","",IF(ISNUMBER(SEARCH("Aktivitas Harian",INDEX(FORM!$K:$K,ROW()))),1,0))</f>
        <v/>
      </c>
      <c r="M326" s="8" t="str">
        <f>IF($A326="","",IF(ISNUMBER(SEARCH("Aktivitas Mingguan",INDEX(FORM!$K:$K,ROW()))),1,0))</f>
        <v/>
      </c>
      <c r="N326" s="8" t="str">
        <f>IF($A326="","",IF(ISNUMBER(SEARCH("Aktivitas Bulanan",INDEX(FORM!$K:$K,ROW()))),1,0))</f>
        <v/>
      </c>
      <c r="O326" s="8" t="str">
        <f>IF($A326="","",IF(ISNUMBER(SEARCH("Overview Cabang",INDEX(FORM!$K:$K,ROW()))),1,0))</f>
        <v/>
      </c>
      <c r="P326" s="8" t="str">
        <f>IF($A326="","",IFERROR(VLOOKUP(I326,DATA!$AH$9:$AI$13,2,0),""))</f>
        <v/>
      </c>
      <c r="Q326" s="8" t="str">
        <f>IF($A326="","",IFERROR(VLOOKUP(J326,DATA!$AH$9:$AI$13,2,0),""))</f>
        <v/>
      </c>
      <c r="R326" s="8" t="str">
        <f>IF($A326="","",IFERROR(VLOOKUP(K326,DATA!$AH$9:$AI$13,2,0),""))</f>
        <v/>
      </c>
      <c r="S326" s="42" t="str">
        <f t="shared" si="110"/>
        <v/>
      </c>
      <c r="T326" s="8" t="str">
        <f>IF($A326="","",IF(COUNTIF($D$2:D326,D326)=1,1,0))</f>
        <v/>
      </c>
      <c r="U326" s="8" t="str">
        <f>IF($A326="","",IF(F326="-","Cabang tdk ada",IF(IFERROR(VLOOKUP(G326,#REF!,1,0),"")="","",IF(INDEX(DATA!$AH$2:$AH$5,MATCH(G326,DATA!$AI$2:$AI$5,0))&lt;&gt;F326,"Wilayah beda","OK"))))</f>
        <v/>
      </c>
      <c r="V326" s="8" t="str">
        <f>IF($A326="","",TRIM(INDEX(FORM!$I:$I,ROW())&amp;""))</f>
        <v/>
      </c>
      <c r="W326" s="8" t="str">
        <f>IF($A326="","",TRIM(INDEX(FORM!$L:$L,ROW())&amp;""))</f>
        <v/>
      </c>
      <c r="X326" s="8" t="str">
        <f>IF($A326="","",TRIM(INDEX(FORM!$M:$M,ROW())&amp;""))</f>
        <v/>
      </c>
      <c r="Y326" s="8" t="str">
        <f>IF($A326="","",IFERROR(MATCH(F326,DATA!$AH$2:$AH$5,0),9)*10000+A326)</f>
        <v/>
      </c>
      <c r="Z326" s="8" t="str">
        <f t="shared" si="111"/>
        <v/>
      </c>
      <c r="AA326" s="8" t="str">
        <f t="shared" si="112"/>
        <v/>
      </c>
      <c r="AB326" s="8" t="str">
        <f t="shared" si="113"/>
        <v/>
      </c>
      <c r="AC326" s="8"/>
      <c r="AD326" s="8"/>
      <c r="AE326" s="8"/>
      <c r="AK326" s="5" t="str">
        <f t="shared" si="114"/>
        <v/>
      </c>
      <c r="AL326" s="5" t="str">
        <f t="shared" si="115"/>
        <v/>
      </c>
      <c r="AM326" s="5" t="str">
        <f t="shared" si="116"/>
        <v/>
      </c>
      <c r="AN326" s="5" t="str">
        <f t="shared" si="117"/>
        <v/>
      </c>
      <c r="AO326" s="5" t="str">
        <f t="shared" si="118"/>
        <v/>
      </c>
      <c r="AP326" s="5" t="str">
        <f t="shared" si="119"/>
        <v/>
      </c>
      <c r="AQ326" s="5" t="str">
        <f t="shared" si="120"/>
        <v/>
      </c>
      <c r="AR326" s="5" t="str">
        <f t="shared" si="121"/>
        <v/>
      </c>
      <c r="AS326" s="5" t="str">
        <f t="shared" si="122"/>
        <v/>
      </c>
      <c r="AT326" s="5" t="str">
        <f t="shared" si="123"/>
        <v/>
      </c>
      <c r="AU326" s="5" t="str">
        <f t="shared" si="124"/>
        <v/>
      </c>
      <c r="AV326" s="5" t="str">
        <f t="shared" si="125"/>
        <v/>
      </c>
      <c r="AW326" s="5" t="str">
        <f t="shared" si="126"/>
        <v/>
      </c>
      <c r="AX326" s="5" t="str">
        <f t="shared" si="127"/>
        <v/>
      </c>
      <c r="AY326" s="5" t="str">
        <f t="shared" si="128"/>
        <v/>
      </c>
      <c r="AZ326" s="5" t="str">
        <f t="shared" si="129"/>
        <v/>
      </c>
      <c r="BA326" s="5" t="str">
        <f t="shared" si="130"/>
        <v/>
      </c>
      <c r="BB326" s="5" t="str">
        <f t="shared" si="131"/>
        <v/>
      </c>
    </row>
    <row r="327" spans="1:54" s="5" customFormat="1" hidden="1">
      <c r="A327" s="8" t="str">
        <f>IF(INDEX(FORM!$A:$A,ROW())="","",ROW()-1)</f>
        <v/>
      </c>
      <c r="B327" s="41" t="str">
        <f>IF($A327="","",INDEX(FORM!$A:$A,ROW()))</f>
        <v/>
      </c>
      <c r="C327" s="8" t="str">
        <f>IF($A327="","",TRIM(INDEX(FORM!$B:$B,ROW())))</f>
        <v/>
      </c>
      <c r="D327" s="8" t="str">
        <f>IF($A327="","",TRIM(INDEX(FORM!$C:$C,ROW())&amp;""))</f>
        <v/>
      </c>
      <c r="E327" s="8" t="str">
        <f>IF($A327="","",UPPER(TRIM(INDEX(FORM!$D:$D,ROW()))))</f>
        <v/>
      </c>
      <c r="F327" s="8" t="str">
        <f>IF($A327="","",IFERROR(INDEX(PROGRES!$A$2:$A$92,MATCH(E327,PROGRES!$B$2:$B$92,0)),"-"))</f>
        <v/>
      </c>
      <c r="G327" s="8" t="str">
        <f>IF($A327="","",UPPER(TRIM(INDEX(FORM!$F:$F,ROW()))))</f>
        <v/>
      </c>
      <c r="H327" s="8" t="str">
        <f>IF($A327="","",UPPER(TRIM(INDEX(FORM!$E:$E,ROW()))))</f>
        <v/>
      </c>
      <c r="I327" s="8" t="str">
        <f>IF($A327="","",UPPER(TRIM(INDEX(FORM!$G:$G,ROW()))))</f>
        <v/>
      </c>
      <c r="J327" s="8" t="str">
        <f>IF($A327="","",IF(ISNUMBER(SEARCH("Ya,",INDEX(FORM!$H:$H,ROW()))),"YA",IF(ISNUMBER(SEARCH("Cukup,",INDEX(FORM!$H:$H,ROW()))),"CUKUP",IF(ISNUMBER(SEARCH("Kurang,",INDEX(FORM!$H:$H,ROW()))),"KURANG",""))))</f>
        <v/>
      </c>
      <c r="K327" s="8" t="str">
        <f>IF($A327="","",UPPER(TRIM(INDEX(FORM!$J:$J,ROW()))))</f>
        <v/>
      </c>
      <c r="L327" s="8" t="str">
        <f>IF($A327="","",IF(ISNUMBER(SEARCH("Aktivitas Harian",INDEX(FORM!$K:$K,ROW()))),1,0))</f>
        <v/>
      </c>
      <c r="M327" s="8" t="str">
        <f>IF($A327="","",IF(ISNUMBER(SEARCH("Aktivitas Mingguan",INDEX(FORM!$K:$K,ROW()))),1,0))</f>
        <v/>
      </c>
      <c r="N327" s="8" t="str">
        <f>IF($A327="","",IF(ISNUMBER(SEARCH("Aktivitas Bulanan",INDEX(FORM!$K:$K,ROW()))),1,0))</f>
        <v/>
      </c>
      <c r="O327" s="8" t="str">
        <f>IF($A327="","",IF(ISNUMBER(SEARCH("Overview Cabang",INDEX(FORM!$K:$K,ROW()))),1,0))</f>
        <v/>
      </c>
      <c r="P327" s="8" t="str">
        <f>IF($A327="","",IFERROR(VLOOKUP(I327,DATA!$AH$9:$AI$13,2,0),""))</f>
        <v/>
      </c>
      <c r="Q327" s="8" t="str">
        <f>IF($A327="","",IFERROR(VLOOKUP(J327,DATA!$AH$9:$AI$13,2,0),""))</f>
        <v/>
      </c>
      <c r="R327" s="8" t="str">
        <f>IF($A327="","",IFERROR(VLOOKUP(K327,DATA!$AH$9:$AI$13,2,0),""))</f>
        <v/>
      </c>
      <c r="S327" s="42" t="str">
        <f t="shared" si="110"/>
        <v/>
      </c>
      <c r="T327" s="8" t="str">
        <f>IF($A327="","",IF(COUNTIF($D$2:D327,D327)=1,1,0))</f>
        <v/>
      </c>
      <c r="U327" s="8" t="str">
        <f>IF($A327="","",IF(F327="-","Cabang tdk ada",IF(IFERROR(VLOOKUP(G327,#REF!,1,0),"")="","",IF(INDEX(DATA!$AH$2:$AH$5,MATCH(G327,DATA!$AI$2:$AI$5,0))&lt;&gt;F327,"Wilayah beda","OK"))))</f>
        <v/>
      </c>
      <c r="V327" s="8" t="str">
        <f>IF($A327="","",TRIM(INDEX(FORM!$I:$I,ROW())&amp;""))</f>
        <v/>
      </c>
      <c r="W327" s="8" t="str">
        <f>IF($A327="","",TRIM(INDEX(FORM!$L:$L,ROW())&amp;""))</f>
        <v/>
      </c>
      <c r="X327" s="8" t="str">
        <f>IF($A327="","",TRIM(INDEX(FORM!$M:$M,ROW())&amp;""))</f>
        <v/>
      </c>
      <c r="Y327" s="8" t="str">
        <f>IF($A327="","",IFERROR(MATCH(F327,DATA!$AH$2:$AH$5,0),9)*10000+A327)</f>
        <v/>
      </c>
      <c r="Z327" s="8" t="str">
        <f t="shared" si="111"/>
        <v/>
      </c>
      <c r="AA327" s="8" t="str">
        <f t="shared" si="112"/>
        <v/>
      </c>
      <c r="AB327" s="8" t="str">
        <f t="shared" si="113"/>
        <v/>
      </c>
      <c r="AC327" s="8"/>
      <c r="AD327" s="8"/>
      <c r="AE327" s="8"/>
      <c r="AK327" s="5" t="str">
        <f t="shared" si="114"/>
        <v/>
      </c>
      <c r="AL327" s="5" t="str">
        <f t="shared" si="115"/>
        <v/>
      </c>
      <c r="AM327" s="5" t="str">
        <f t="shared" si="116"/>
        <v/>
      </c>
      <c r="AN327" s="5" t="str">
        <f t="shared" si="117"/>
        <v/>
      </c>
      <c r="AO327" s="5" t="str">
        <f t="shared" si="118"/>
        <v/>
      </c>
      <c r="AP327" s="5" t="str">
        <f t="shared" si="119"/>
        <v/>
      </c>
      <c r="AQ327" s="5" t="str">
        <f t="shared" si="120"/>
        <v/>
      </c>
      <c r="AR327" s="5" t="str">
        <f t="shared" si="121"/>
        <v/>
      </c>
      <c r="AS327" s="5" t="str">
        <f t="shared" si="122"/>
        <v/>
      </c>
      <c r="AT327" s="5" t="str">
        <f t="shared" si="123"/>
        <v/>
      </c>
      <c r="AU327" s="5" t="str">
        <f t="shared" si="124"/>
        <v/>
      </c>
      <c r="AV327" s="5" t="str">
        <f t="shared" si="125"/>
        <v/>
      </c>
      <c r="AW327" s="5" t="str">
        <f t="shared" si="126"/>
        <v/>
      </c>
      <c r="AX327" s="5" t="str">
        <f t="shared" si="127"/>
        <v/>
      </c>
      <c r="AY327" s="5" t="str">
        <f t="shared" si="128"/>
        <v/>
      </c>
      <c r="AZ327" s="5" t="str">
        <f t="shared" si="129"/>
        <v/>
      </c>
      <c r="BA327" s="5" t="str">
        <f t="shared" si="130"/>
        <v/>
      </c>
      <c r="BB327" s="5" t="str">
        <f t="shared" si="131"/>
        <v/>
      </c>
    </row>
    <row r="328" spans="1:54" s="5" customFormat="1" hidden="1">
      <c r="A328" s="8" t="str">
        <f>IF(INDEX(FORM!$A:$A,ROW())="","",ROW()-1)</f>
        <v/>
      </c>
      <c r="B328" s="41" t="str">
        <f>IF($A328="","",INDEX(FORM!$A:$A,ROW()))</f>
        <v/>
      </c>
      <c r="C328" s="8" t="str">
        <f>IF($A328="","",TRIM(INDEX(FORM!$B:$B,ROW())))</f>
        <v/>
      </c>
      <c r="D328" s="8" t="str">
        <f>IF($A328="","",TRIM(INDEX(FORM!$C:$C,ROW())&amp;""))</f>
        <v/>
      </c>
      <c r="E328" s="8" t="str">
        <f>IF($A328="","",UPPER(TRIM(INDEX(FORM!$D:$D,ROW()))))</f>
        <v/>
      </c>
      <c r="F328" s="8" t="str">
        <f>IF($A328="","",IFERROR(INDEX(PROGRES!$A$2:$A$92,MATCH(E328,PROGRES!$B$2:$B$92,0)),"-"))</f>
        <v/>
      </c>
      <c r="G328" s="8" t="str">
        <f>IF($A328="","",UPPER(TRIM(INDEX(FORM!$F:$F,ROW()))))</f>
        <v/>
      </c>
      <c r="H328" s="8" t="str">
        <f>IF($A328="","",UPPER(TRIM(INDEX(FORM!$E:$E,ROW()))))</f>
        <v/>
      </c>
      <c r="I328" s="8" t="str">
        <f>IF($A328="","",UPPER(TRIM(INDEX(FORM!$G:$G,ROW()))))</f>
        <v/>
      </c>
      <c r="J328" s="8" t="str">
        <f>IF($A328="","",IF(ISNUMBER(SEARCH("Ya,",INDEX(FORM!$H:$H,ROW()))),"YA",IF(ISNUMBER(SEARCH("Cukup,",INDEX(FORM!$H:$H,ROW()))),"CUKUP",IF(ISNUMBER(SEARCH("Kurang,",INDEX(FORM!$H:$H,ROW()))),"KURANG",""))))</f>
        <v/>
      </c>
      <c r="K328" s="8" t="str">
        <f>IF($A328="","",UPPER(TRIM(INDEX(FORM!$J:$J,ROW()))))</f>
        <v/>
      </c>
      <c r="L328" s="8" t="str">
        <f>IF($A328="","",IF(ISNUMBER(SEARCH("Aktivitas Harian",INDEX(FORM!$K:$K,ROW()))),1,0))</f>
        <v/>
      </c>
      <c r="M328" s="8" t="str">
        <f>IF($A328="","",IF(ISNUMBER(SEARCH("Aktivitas Mingguan",INDEX(FORM!$K:$K,ROW()))),1,0))</f>
        <v/>
      </c>
      <c r="N328" s="8" t="str">
        <f>IF($A328="","",IF(ISNUMBER(SEARCH("Aktivitas Bulanan",INDEX(FORM!$K:$K,ROW()))),1,0))</f>
        <v/>
      </c>
      <c r="O328" s="8" t="str">
        <f>IF($A328="","",IF(ISNUMBER(SEARCH("Overview Cabang",INDEX(FORM!$K:$K,ROW()))),1,0))</f>
        <v/>
      </c>
      <c r="P328" s="8" t="str">
        <f>IF($A328="","",IFERROR(VLOOKUP(I328,DATA!$AH$9:$AI$13,2,0),""))</f>
        <v/>
      </c>
      <c r="Q328" s="8" t="str">
        <f>IF($A328="","",IFERROR(VLOOKUP(J328,DATA!$AH$9:$AI$13,2,0),""))</f>
        <v/>
      </c>
      <c r="R328" s="8" t="str">
        <f>IF($A328="","",IFERROR(VLOOKUP(K328,DATA!$AH$9:$AI$13,2,0),""))</f>
        <v/>
      </c>
      <c r="S328" s="42" t="str">
        <f t="shared" si="110"/>
        <v/>
      </c>
      <c r="T328" s="8" t="str">
        <f>IF($A328="","",IF(COUNTIF($D$2:D328,D328)=1,1,0))</f>
        <v/>
      </c>
      <c r="U328" s="8" t="str">
        <f>IF($A328="","",IF(F328="-","Cabang tdk ada",IF(IFERROR(VLOOKUP(G328,#REF!,1,0),"")="","",IF(INDEX(DATA!$AH$2:$AH$5,MATCH(G328,DATA!$AI$2:$AI$5,0))&lt;&gt;F328,"Wilayah beda","OK"))))</f>
        <v/>
      </c>
      <c r="V328" s="8" t="str">
        <f>IF($A328="","",TRIM(INDEX(FORM!$I:$I,ROW())&amp;""))</f>
        <v/>
      </c>
      <c r="W328" s="8" t="str">
        <f>IF($A328="","",TRIM(INDEX(FORM!$L:$L,ROW())&amp;""))</f>
        <v/>
      </c>
      <c r="X328" s="8" t="str">
        <f>IF($A328="","",TRIM(INDEX(FORM!$M:$M,ROW())&amp;""))</f>
        <v/>
      </c>
      <c r="Y328" s="8" t="str">
        <f>IF($A328="","",IFERROR(MATCH(F328,DATA!$AH$2:$AH$5,0),9)*10000+A328)</f>
        <v/>
      </c>
      <c r="Z328" s="8" t="str">
        <f t="shared" si="111"/>
        <v/>
      </c>
      <c r="AA328" s="8" t="str">
        <f t="shared" si="112"/>
        <v/>
      </c>
      <c r="AB328" s="8" t="str">
        <f t="shared" si="113"/>
        <v/>
      </c>
      <c r="AC328" s="8"/>
      <c r="AD328" s="8"/>
      <c r="AE328" s="8"/>
      <c r="AK328" s="5" t="str">
        <f t="shared" si="114"/>
        <v/>
      </c>
      <c r="AL328" s="5" t="str">
        <f t="shared" si="115"/>
        <v/>
      </c>
      <c r="AM328" s="5" t="str">
        <f t="shared" si="116"/>
        <v/>
      </c>
      <c r="AN328" s="5" t="str">
        <f t="shared" si="117"/>
        <v/>
      </c>
      <c r="AO328" s="5" t="str">
        <f t="shared" si="118"/>
        <v/>
      </c>
      <c r="AP328" s="5" t="str">
        <f t="shared" si="119"/>
        <v/>
      </c>
      <c r="AQ328" s="5" t="str">
        <f t="shared" si="120"/>
        <v/>
      </c>
      <c r="AR328" s="5" t="str">
        <f t="shared" si="121"/>
        <v/>
      </c>
      <c r="AS328" s="5" t="str">
        <f t="shared" si="122"/>
        <v/>
      </c>
      <c r="AT328" s="5" t="str">
        <f t="shared" si="123"/>
        <v/>
      </c>
      <c r="AU328" s="5" t="str">
        <f t="shared" si="124"/>
        <v/>
      </c>
      <c r="AV328" s="5" t="str">
        <f t="shared" si="125"/>
        <v/>
      </c>
      <c r="AW328" s="5" t="str">
        <f t="shared" si="126"/>
        <v/>
      </c>
      <c r="AX328" s="5" t="str">
        <f t="shared" si="127"/>
        <v/>
      </c>
      <c r="AY328" s="5" t="str">
        <f t="shared" si="128"/>
        <v/>
      </c>
      <c r="AZ328" s="5" t="str">
        <f t="shared" si="129"/>
        <v/>
      </c>
      <c r="BA328" s="5" t="str">
        <f t="shared" si="130"/>
        <v/>
      </c>
      <c r="BB328" s="5" t="str">
        <f t="shared" si="131"/>
        <v/>
      </c>
    </row>
    <row r="329" spans="1:54" s="5" customFormat="1" hidden="1">
      <c r="A329" s="8" t="str">
        <f>IF(INDEX(FORM!$A:$A,ROW())="","",ROW()-1)</f>
        <v/>
      </c>
      <c r="B329" s="41" t="str">
        <f>IF($A329="","",INDEX(FORM!$A:$A,ROW()))</f>
        <v/>
      </c>
      <c r="C329" s="8" t="str">
        <f>IF($A329="","",TRIM(INDEX(FORM!$B:$B,ROW())))</f>
        <v/>
      </c>
      <c r="D329" s="8" t="str">
        <f>IF($A329="","",TRIM(INDEX(FORM!$C:$C,ROW())&amp;""))</f>
        <v/>
      </c>
      <c r="E329" s="8" t="str">
        <f>IF($A329="","",UPPER(TRIM(INDEX(FORM!$D:$D,ROW()))))</f>
        <v/>
      </c>
      <c r="F329" s="8" t="str">
        <f>IF($A329="","",IFERROR(INDEX(PROGRES!$A$2:$A$92,MATCH(E329,PROGRES!$B$2:$B$92,0)),"-"))</f>
        <v/>
      </c>
      <c r="G329" s="8" t="str">
        <f>IF($A329="","",UPPER(TRIM(INDEX(FORM!$F:$F,ROW()))))</f>
        <v/>
      </c>
      <c r="H329" s="8" t="str">
        <f>IF($A329="","",UPPER(TRIM(INDEX(FORM!$E:$E,ROW()))))</f>
        <v/>
      </c>
      <c r="I329" s="8" t="str">
        <f>IF($A329="","",UPPER(TRIM(INDEX(FORM!$G:$G,ROW()))))</f>
        <v/>
      </c>
      <c r="J329" s="8" t="str">
        <f>IF($A329="","",IF(ISNUMBER(SEARCH("Ya,",INDEX(FORM!$H:$H,ROW()))),"YA",IF(ISNUMBER(SEARCH("Cukup,",INDEX(FORM!$H:$H,ROW()))),"CUKUP",IF(ISNUMBER(SEARCH("Kurang,",INDEX(FORM!$H:$H,ROW()))),"KURANG",""))))</f>
        <v/>
      </c>
      <c r="K329" s="8" t="str">
        <f>IF($A329="","",UPPER(TRIM(INDEX(FORM!$J:$J,ROW()))))</f>
        <v/>
      </c>
      <c r="L329" s="8" t="str">
        <f>IF($A329="","",IF(ISNUMBER(SEARCH("Aktivitas Harian",INDEX(FORM!$K:$K,ROW()))),1,0))</f>
        <v/>
      </c>
      <c r="M329" s="8" t="str">
        <f>IF($A329="","",IF(ISNUMBER(SEARCH("Aktivitas Mingguan",INDEX(FORM!$K:$K,ROW()))),1,0))</f>
        <v/>
      </c>
      <c r="N329" s="8" t="str">
        <f>IF($A329="","",IF(ISNUMBER(SEARCH("Aktivitas Bulanan",INDEX(FORM!$K:$K,ROW()))),1,0))</f>
        <v/>
      </c>
      <c r="O329" s="8" t="str">
        <f>IF($A329="","",IF(ISNUMBER(SEARCH("Overview Cabang",INDEX(FORM!$K:$K,ROW()))),1,0))</f>
        <v/>
      </c>
      <c r="P329" s="8" t="str">
        <f>IF($A329="","",IFERROR(VLOOKUP(I329,DATA!$AH$9:$AI$13,2,0),""))</f>
        <v/>
      </c>
      <c r="Q329" s="8" t="str">
        <f>IF($A329="","",IFERROR(VLOOKUP(J329,DATA!$AH$9:$AI$13,2,0),""))</f>
        <v/>
      </c>
      <c r="R329" s="8" t="str">
        <f>IF($A329="","",IFERROR(VLOOKUP(K329,DATA!$AH$9:$AI$13,2,0),""))</f>
        <v/>
      </c>
      <c r="S329" s="42" t="str">
        <f t="shared" si="110"/>
        <v/>
      </c>
      <c r="T329" s="8" t="str">
        <f>IF($A329="","",IF(COUNTIF($D$2:D329,D329)=1,1,0))</f>
        <v/>
      </c>
      <c r="U329" s="8" t="str">
        <f>IF($A329="","",IF(F329="-","Cabang tdk ada",IF(IFERROR(VLOOKUP(G329,#REF!,1,0),"")="","",IF(INDEX(DATA!$AH$2:$AH$5,MATCH(G329,DATA!$AI$2:$AI$5,0))&lt;&gt;F329,"Wilayah beda","OK"))))</f>
        <v/>
      </c>
      <c r="V329" s="8" t="str">
        <f>IF($A329="","",TRIM(INDEX(FORM!$I:$I,ROW())&amp;""))</f>
        <v/>
      </c>
      <c r="W329" s="8" t="str">
        <f>IF($A329="","",TRIM(INDEX(FORM!$L:$L,ROW())&amp;""))</f>
        <v/>
      </c>
      <c r="X329" s="8" t="str">
        <f>IF($A329="","",TRIM(INDEX(FORM!$M:$M,ROW())&amp;""))</f>
        <v/>
      </c>
      <c r="Y329" s="8" t="str">
        <f>IF($A329="","",IFERROR(MATCH(F329,DATA!$AH$2:$AH$5,0),9)*10000+A329)</f>
        <v/>
      </c>
      <c r="Z329" s="8" t="str">
        <f t="shared" si="111"/>
        <v/>
      </c>
      <c r="AA329" s="8" t="str">
        <f t="shared" si="112"/>
        <v/>
      </c>
      <c r="AB329" s="8" t="str">
        <f t="shared" si="113"/>
        <v/>
      </c>
      <c r="AC329" s="8"/>
      <c r="AD329" s="8"/>
      <c r="AE329" s="8"/>
      <c r="AK329" s="5" t="str">
        <f t="shared" si="114"/>
        <v/>
      </c>
      <c r="AL329" s="5" t="str">
        <f t="shared" si="115"/>
        <v/>
      </c>
      <c r="AM329" s="5" t="str">
        <f t="shared" si="116"/>
        <v/>
      </c>
      <c r="AN329" s="5" t="str">
        <f t="shared" si="117"/>
        <v/>
      </c>
      <c r="AO329" s="5" t="str">
        <f t="shared" si="118"/>
        <v/>
      </c>
      <c r="AP329" s="5" t="str">
        <f t="shared" si="119"/>
        <v/>
      </c>
      <c r="AQ329" s="5" t="str">
        <f t="shared" si="120"/>
        <v/>
      </c>
      <c r="AR329" s="5" t="str">
        <f t="shared" si="121"/>
        <v/>
      </c>
      <c r="AS329" s="5" t="str">
        <f t="shared" si="122"/>
        <v/>
      </c>
      <c r="AT329" s="5" t="str">
        <f t="shared" si="123"/>
        <v/>
      </c>
      <c r="AU329" s="5" t="str">
        <f t="shared" si="124"/>
        <v/>
      </c>
      <c r="AV329" s="5" t="str">
        <f t="shared" si="125"/>
        <v/>
      </c>
      <c r="AW329" s="5" t="str">
        <f t="shared" si="126"/>
        <v/>
      </c>
      <c r="AX329" s="5" t="str">
        <f t="shared" si="127"/>
        <v/>
      </c>
      <c r="AY329" s="5" t="str">
        <f t="shared" si="128"/>
        <v/>
      </c>
      <c r="AZ329" s="5" t="str">
        <f t="shared" si="129"/>
        <v/>
      </c>
      <c r="BA329" s="5" t="str">
        <f t="shared" si="130"/>
        <v/>
      </c>
      <c r="BB329" s="5" t="str">
        <f t="shared" si="131"/>
        <v/>
      </c>
    </row>
    <row r="330" spans="1:54" s="5" customFormat="1" hidden="1">
      <c r="A330" s="8" t="str">
        <f>IF(INDEX(FORM!$A:$A,ROW())="","",ROW()-1)</f>
        <v/>
      </c>
      <c r="B330" s="41" t="str">
        <f>IF($A330="","",INDEX(FORM!$A:$A,ROW()))</f>
        <v/>
      </c>
      <c r="C330" s="8" t="str">
        <f>IF($A330="","",TRIM(INDEX(FORM!$B:$B,ROW())))</f>
        <v/>
      </c>
      <c r="D330" s="8" t="str">
        <f>IF($A330="","",TRIM(INDEX(FORM!$C:$C,ROW())&amp;""))</f>
        <v/>
      </c>
      <c r="E330" s="8" t="str">
        <f>IF($A330="","",UPPER(TRIM(INDEX(FORM!$D:$D,ROW()))))</f>
        <v/>
      </c>
      <c r="F330" s="8" t="str">
        <f>IF($A330="","",IFERROR(INDEX(PROGRES!$A$2:$A$92,MATCH(E330,PROGRES!$B$2:$B$92,0)),"-"))</f>
        <v/>
      </c>
      <c r="G330" s="8" t="str">
        <f>IF($A330="","",UPPER(TRIM(INDEX(FORM!$F:$F,ROW()))))</f>
        <v/>
      </c>
      <c r="H330" s="8" t="str">
        <f>IF($A330="","",UPPER(TRIM(INDEX(FORM!$E:$E,ROW()))))</f>
        <v/>
      </c>
      <c r="I330" s="8" t="str">
        <f>IF($A330="","",UPPER(TRIM(INDEX(FORM!$G:$G,ROW()))))</f>
        <v/>
      </c>
      <c r="J330" s="8" t="str">
        <f>IF($A330="","",IF(ISNUMBER(SEARCH("Ya,",INDEX(FORM!$H:$H,ROW()))),"YA",IF(ISNUMBER(SEARCH("Cukup,",INDEX(FORM!$H:$H,ROW()))),"CUKUP",IF(ISNUMBER(SEARCH("Kurang,",INDEX(FORM!$H:$H,ROW()))),"KURANG",""))))</f>
        <v/>
      </c>
      <c r="K330" s="8" t="str">
        <f>IF($A330="","",UPPER(TRIM(INDEX(FORM!$J:$J,ROW()))))</f>
        <v/>
      </c>
      <c r="L330" s="8" t="str">
        <f>IF($A330="","",IF(ISNUMBER(SEARCH("Aktivitas Harian",INDEX(FORM!$K:$K,ROW()))),1,0))</f>
        <v/>
      </c>
      <c r="M330" s="8" t="str">
        <f>IF($A330="","",IF(ISNUMBER(SEARCH("Aktivitas Mingguan",INDEX(FORM!$K:$K,ROW()))),1,0))</f>
        <v/>
      </c>
      <c r="N330" s="8" t="str">
        <f>IF($A330="","",IF(ISNUMBER(SEARCH("Aktivitas Bulanan",INDEX(FORM!$K:$K,ROW()))),1,0))</f>
        <v/>
      </c>
      <c r="O330" s="8" t="str">
        <f>IF($A330="","",IF(ISNUMBER(SEARCH("Overview Cabang",INDEX(FORM!$K:$K,ROW()))),1,0))</f>
        <v/>
      </c>
      <c r="P330" s="8" t="str">
        <f>IF($A330="","",IFERROR(VLOOKUP(I330,DATA!$AH$9:$AI$13,2,0),""))</f>
        <v/>
      </c>
      <c r="Q330" s="8" t="str">
        <f>IF($A330="","",IFERROR(VLOOKUP(J330,DATA!$AH$9:$AI$13,2,0),""))</f>
        <v/>
      </c>
      <c r="R330" s="8" t="str">
        <f>IF($A330="","",IFERROR(VLOOKUP(K330,DATA!$AH$9:$AI$13,2,0),""))</f>
        <v/>
      </c>
      <c r="S330" s="42" t="str">
        <f t="shared" si="110"/>
        <v/>
      </c>
      <c r="T330" s="8" t="str">
        <f>IF($A330="","",IF(COUNTIF($D$2:D330,D330)=1,1,0))</f>
        <v/>
      </c>
      <c r="U330" s="8" t="str">
        <f>IF($A330="","",IF(F330="-","Cabang tdk ada",IF(IFERROR(VLOOKUP(G330,#REF!,1,0),"")="","",IF(INDEX(DATA!$AH$2:$AH$5,MATCH(G330,DATA!$AI$2:$AI$5,0))&lt;&gt;F330,"Wilayah beda","OK"))))</f>
        <v/>
      </c>
      <c r="V330" s="8" t="str">
        <f>IF($A330="","",TRIM(INDEX(FORM!$I:$I,ROW())&amp;""))</f>
        <v/>
      </c>
      <c r="W330" s="8" t="str">
        <f>IF($A330="","",TRIM(INDEX(FORM!$L:$L,ROW())&amp;""))</f>
        <v/>
      </c>
      <c r="X330" s="8" t="str">
        <f>IF($A330="","",TRIM(INDEX(FORM!$M:$M,ROW())&amp;""))</f>
        <v/>
      </c>
      <c r="Y330" s="8" t="str">
        <f>IF($A330="","",IFERROR(MATCH(F330,DATA!$AH$2:$AH$5,0),9)*10000+A330)</f>
        <v/>
      </c>
      <c r="Z330" s="8" t="str">
        <f t="shared" si="111"/>
        <v/>
      </c>
      <c r="AA330" s="8" t="str">
        <f t="shared" si="112"/>
        <v/>
      </c>
      <c r="AB330" s="8" t="str">
        <f t="shared" si="113"/>
        <v/>
      </c>
      <c r="AC330" s="8"/>
      <c r="AD330" s="8"/>
      <c r="AE330" s="8"/>
      <c r="AK330" s="5" t="str">
        <f t="shared" si="114"/>
        <v/>
      </c>
      <c r="AL330" s="5" t="str">
        <f t="shared" si="115"/>
        <v/>
      </c>
      <c r="AM330" s="5" t="str">
        <f t="shared" si="116"/>
        <v/>
      </c>
      <c r="AN330" s="5" t="str">
        <f t="shared" si="117"/>
        <v/>
      </c>
      <c r="AO330" s="5" t="str">
        <f t="shared" si="118"/>
        <v/>
      </c>
      <c r="AP330" s="5" t="str">
        <f t="shared" si="119"/>
        <v/>
      </c>
      <c r="AQ330" s="5" t="str">
        <f t="shared" si="120"/>
        <v/>
      </c>
      <c r="AR330" s="5" t="str">
        <f t="shared" si="121"/>
        <v/>
      </c>
      <c r="AS330" s="5" t="str">
        <f t="shared" si="122"/>
        <v/>
      </c>
      <c r="AT330" s="5" t="str">
        <f t="shared" si="123"/>
        <v/>
      </c>
      <c r="AU330" s="5" t="str">
        <f t="shared" si="124"/>
        <v/>
      </c>
      <c r="AV330" s="5" t="str">
        <f t="shared" si="125"/>
        <v/>
      </c>
      <c r="AW330" s="5" t="str">
        <f t="shared" si="126"/>
        <v/>
      </c>
      <c r="AX330" s="5" t="str">
        <f t="shared" si="127"/>
        <v/>
      </c>
      <c r="AY330" s="5" t="str">
        <f t="shared" si="128"/>
        <v/>
      </c>
      <c r="AZ330" s="5" t="str">
        <f t="shared" si="129"/>
        <v/>
      </c>
      <c r="BA330" s="5" t="str">
        <f t="shared" si="130"/>
        <v/>
      </c>
      <c r="BB330" s="5" t="str">
        <f t="shared" si="131"/>
        <v/>
      </c>
    </row>
    <row r="331" spans="1:54" s="5" customFormat="1" hidden="1">
      <c r="A331" s="8" t="str">
        <f>IF(INDEX(FORM!$A:$A,ROW())="","",ROW()-1)</f>
        <v/>
      </c>
      <c r="B331" s="41" t="str">
        <f>IF($A331="","",INDEX(FORM!$A:$A,ROW()))</f>
        <v/>
      </c>
      <c r="C331" s="8" t="str">
        <f>IF($A331="","",TRIM(INDEX(FORM!$B:$B,ROW())))</f>
        <v/>
      </c>
      <c r="D331" s="8" t="str">
        <f>IF($A331="","",TRIM(INDEX(FORM!$C:$C,ROW())&amp;""))</f>
        <v/>
      </c>
      <c r="E331" s="8" t="str">
        <f>IF($A331="","",UPPER(TRIM(INDEX(FORM!$D:$D,ROW()))))</f>
        <v/>
      </c>
      <c r="F331" s="8" t="str">
        <f>IF($A331="","",IFERROR(INDEX(PROGRES!$A$2:$A$92,MATCH(E331,PROGRES!$B$2:$B$92,0)),"-"))</f>
        <v/>
      </c>
      <c r="G331" s="8" t="str">
        <f>IF($A331="","",UPPER(TRIM(INDEX(FORM!$F:$F,ROW()))))</f>
        <v/>
      </c>
      <c r="H331" s="8" t="str">
        <f>IF($A331="","",UPPER(TRIM(INDEX(FORM!$E:$E,ROW()))))</f>
        <v/>
      </c>
      <c r="I331" s="8" t="str">
        <f>IF($A331="","",UPPER(TRIM(INDEX(FORM!$G:$G,ROW()))))</f>
        <v/>
      </c>
      <c r="J331" s="8" t="str">
        <f>IF($A331="","",IF(ISNUMBER(SEARCH("Ya,",INDEX(FORM!$H:$H,ROW()))),"YA",IF(ISNUMBER(SEARCH("Cukup,",INDEX(FORM!$H:$H,ROW()))),"CUKUP",IF(ISNUMBER(SEARCH("Kurang,",INDEX(FORM!$H:$H,ROW()))),"KURANG",""))))</f>
        <v/>
      </c>
      <c r="K331" s="8" t="str">
        <f>IF($A331="","",UPPER(TRIM(INDEX(FORM!$J:$J,ROW()))))</f>
        <v/>
      </c>
      <c r="L331" s="8" t="str">
        <f>IF($A331="","",IF(ISNUMBER(SEARCH("Aktivitas Harian",INDEX(FORM!$K:$K,ROW()))),1,0))</f>
        <v/>
      </c>
      <c r="M331" s="8" t="str">
        <f>IF($A331="","",IF(ISNUMBER(SEARCH("Aktivitas Mingguan",INDEX(FORM!$K:$K,ROW()))),1,0))</f>
        <v/>
      </c>
      <c r="N331" s="8" t="str">
        <f>IF($A331="","",IF(ISNUMBER(SEARCH("Aktivitas Bulanan",INDEX(FORM!$K:$K,ROW()))),1,0))</f>
        <v/>
      </c>
      <c r="O331" s="8" t="str">
        <f>IF($A331="","",IF(ISNUMBER(SEARCH("Overview Cabang",INDEX(FORM!$K:$K,ROW()))),1,0))</f>
        <v/>
      </c>
      <c r="P331" s="8" t="str">
        <f>IF($A331="","",IFERROR(VLOOKUP(I331,DATA!$AH$9:$AI$13,2,0),""))</f>
        <v/>
      </c>
      <c r="Q331" s="8" t="str">
        <f>IF($A331="","",IFERROR(VLOOKUP(J331,DATA!$AH$9:$AI$13,2,0),""))</f>
        <v/>
      </c>
      <c r="R331" s="8" t="str">
        <f>IF($A331="","",IFERROR(VLOOKUP(K331,DATA!$AH$9:$AI$13,2,0),""))</f>
        <v/>
      </c>
      <c r="S331" s="42" t="str">
        <f t="shared" si="110"/>
        <v/>
      </c>
      <c r="T331" s="8" t="str">
        <f>IF($A331="","",IF(COUNTIF($D$2:D331,D331)=1,1,0))</f>
        <v/>
      </c>
      <c r="U331" s="8" t="str">
        <f>IF($A331="","",IF(F331="-","Cabang tdk ada",IF(IFERROR(VLOOKUP(G331,#REF!,1,0),"")="","",IF(INDEX(DATA!$AH$2:$AH$5,MATCH(G331,DATA!$AI$2:$AI$5,0))&lt;&gt;F331,"Wilayah beda","OK"))))</f>
        <v/>
      </c>
      <c r="V331" s="8" t="str">
        <f>IF($A331="","",TRIM(INDEX(FORM!$I:$I,ROW())&amp;""))</f>
        <v/>
      </c>
      <c r="W331" s="8" t="str">
        <f>IF($A331="","",TRIM(INDEX(FORM!$L:$L,ROW())&amp;""))</f>
        <v/>
      </c>
      <c r="X331" s="8" t="str">
        <f>IF($A331="","",TRIM(INDEX(FORM!$M:$M,ROW())&amp;""))</f>
        <v/>
      </c>
      <c r="Y331" s="8" t="str">
        <f>IF($A331="","",IFERROR(MATCH(F331,DATA!$AH$2:$AH$5,0),9)*10000+A331)</f>
        <v/>
      </c>
      <c r="Z331" s="8" t="str">
        <f t="shared" si="111"/>
        <v/>
      </c>
      <c r="AA331" s="8" t="str">
        <f t="shared" si="112"/>
        <v/>
      </c>
      <c r="AB331" s="8" t="str">
        <f t="shared" si="113"/>
        <v/>
      </c>
      <c r="AC331" s="8"/>
      <c r="AD331" s="8"/>
      <c r="AE331" s="8"/>
      <c r="AK331" s="5" t="str">
        <f t="shared" si="114"/>
        <v/>
      </c>
      <c r="AL331" s="5" t="str">
        <f t="shared" si="115"/>
        <v/>
      </c>
      <c r="AM331" s="5" t="str">
        <f t="shared" si="116"/>
        <v/>
      </c>
      <c r="AN331" s="5" t="str">
        <f t="shared" si="117"/>
        <v/>
      </c>
      <c r="AO331" s="5" t="str">
        <f t="shared" si="118"/>
        <v/>
      </c>
      <c r="AP331" s="5" t="str">
        <f t="shared" si="119"/>
        <v/>
      </c>
      <c r="AQ331" s="5" t="str">
        <f t="shared" si="120"/>
        <v/>
      </c>
      <c r="AR331" s="5" t="str">
        <f t="shared" si="121"/>
        <v/>
      </c>
      <c r="AS331" s="5" t="str">
        <f t="shared" si="122"/>
        <v/>
      </c>
      <c r="AT331" s="5" t="str">
        <f t="shared" si="123"/>
        <v/>
      </c>
      <c r="AU331" s="5" t="str">
        <f t="shared" si="124"/>
        <v/>
      </c>
      <c r="AV331" s="5" t="str">
        <f t="shared" si="125"/>
        <v/>
      </c>
      <c r="AW331" s="5" t="str">
        <f t="shared" si="126"/>
        <v/>
      </c>
      <c r="AX331" s="5" t="str">
        <f t="shared" si="127"/>
        <v/>
      </c>
      <c r="AY331" s="5" t="str">
        <f t="shared" si="128"/>
        <v/>
      </c>
      <c r="AZ331" s="5" t="str">
        <f t="shared" si="129"/>
        <v/>
      </c>
      <c r="BA331" s="5" t="str">
        <f t="shared" si="130"/>
        <v/>
      </c>
      <c r="BB331" s="5" t="str">
        <f t="shared" si="131"/>
        <v/>
      </c>
    </row>
    <row r="332" spans="1:54" s="5" customFormat="1" hidden="1">
      <c r="A332" s="8" t="str">
        <f>IF(INDEX(FORM!$A:$A,ROW())="","",ROW()-1)</f>
        <v/>
      </c>
      <c r="B332" s="41" t="str">
        <f>IF($A332="","",INDEX(FORM!$A:$A,ROW()))</f>
        <v/>
      </c>
      <c r="C332" s="8" t="str">
        <f>IF($A332="","",TRIM(INDEX(FORM!$B:$B,ROW())))</f>
        <v/>
      </c>
      <c r="D332" s="8" t="str">
        <f>IF($A332="","",TRIM(INDEX(FORM!$C:$C,ROW())&amp;""))</f>
        <v/>
      </c>
      <c r="E332" s="8" t="str">
        <f>IF($A332="","",UPPER(TRIM(INDEX(FORM!$D:$D,ROW()))))</f>
        <v/>
      </c>
      <c r="F332" s="8" t="str">
        <f>IF($A332="","",IFERROR(INDEX(PROGRES!$A$2:$A$92,MATCH(E332,PROGRES!$B$2:$B$92,0)),"-"))</f>
        <v/>
      </c>
      <c r="G332" s="8" t="str">
        <f>IF($A332="","",UPPER(TRIM(INDEX(FORM!$F:$F,ROW()))))</f>
        <v/>
      </c>
      <c r="H332" s="8" t="str">
        <f>IF($A332="","",UPPER(TRIM(INDEX(FORM!$E:$E,ROW()))))</f>
        <v/>
      </c>
      <c r="I332" s="8" t="str">
        <f>IF($A332="","",UPPER(TRIM(INDEX(FORM!$G:$G,ROW()))))</f>
        <v/>
      </c>
      <c r="J332" s="8" t="str">
        <f>IF($A332="","",IF(ISNUMBER(SEARCH("Ya,",INDEX(FORM!$H:$H,ROW()))),"YA",IF(ISNUMBER(SEARCH("Cukup,",INDEX(FORM!$H:$H,ROW()))),"CUKUP",IF(ISNUMBER(SEARCH("Kurang,",INDEX(FORM!$H:$H,ROW()))),"KURANG",""))))</f>
        <v/>
      </c>
      <c r="K332" s="8" t="str">
        <f>IF($A332="","",UPPER(TRIM(INDEX(FORM!$J:$J,ROW()))))</f>
        <v/>
      </c>
      <c r="L332" s="8" t="str">
        <f>IF($A332="","",IF(ISNUMBER(SEARCH("Aktivitas Harian",INDEX(FORM!$K:$K,ROW()))),1,0))</f>
        <v/>
      </c>
      <c r="M332" s="8" t="str">
        <f>IF($A332="","",IF(ISNUMBER(SEARCH("Aktivitas Mingguan",INDEX(FORM!$K:$K,ROW()))),1,0))</f>
        <v/>
      </c>
      <c r="N332" s="8" t="str">
        <f>IF($A332="","",IF(ISNUMBER(SEARCH("Aktivitas Bulanan",INDEX(FORM!$K:$K,ROW()))),1,0))</f>
        <v/>
      </c>
      <c r="O332" s="8" t="str">
        <f>IF($A332="","",IF(ISNUMBER(SEARCH("Overview Cabang",INDEX(FORM!$K:$K,ROW()))),1,0))</f>
        <v/>
      </c>
      <c r="P332" s="8" t="str">
        <f>IF($A332="","",IFERROR(VLOOKUP(I332,DATA!$AH$9:$AI$13,2,0),""))</f>
        <v/>
      </c>
      <c r="Q332" s="8" t="str">
        <f>IF($A332="","",IFERROR(VLOOKUP(J332,DATA!$AH$9:$AI$13,2,0),""))</f>
        <v/>
      </c>
      <c r="R332" s="8" t="str">
        <f>IF($A332="","",IFERROR(VLOOKUP(K332,DATA!$AH$9:$AI$13,2,0),""))</f>
        <v/>
      </c>
      <c r="S332" s="42" t="str">
        <f t="shared" si="110"/>
        <v/>
      </c>
      <c r="T332" s="8" t="str">
        <f>IF($A332="","",IF(COUNTIF($D$2:D332,D332)=1,1,0))</f>
        <v/>
      </c>
      <c r="U332" s="8" t="str">
        <f>IF($A332="","",IF(F332="-","Cabang tdk ada",IF(IFERROR(VLOOKUP(G332,#REF!,1,0),"")="","",IF(INDEX(DATA!$AH$2:$AH$5,MATCH(G332,DATA!$AI$2:$AI$5,0))&lt;&gt;F332,"Wilayah beda","OK"))))</f>
        <v/>
      </c>
      <c r="V332" s="8" t="str">
        <f>IF($A332="","",TRIM(INDEX(FORM!$I:$I,ROW())&amp;""))</f>
        <v/>
      </c>
      <c r="W332" s="8" t="str">
        <f>IF($A332="","",TRIM(INDEX(FORM!$L:$L,ROW())&amp;""))</f>
        <v/>
      </c>
      <c r="X332" s="8" t="str">
        <f>IF($A332="","",TRIM(INDEX(FORM!$M:$M,ROW())&amp;""))</f>
        <v/>
      </c>
      <c r="Y332" s="8" t="str">
        <f>IF($A332="","",IFERROR(MATCH(F332,DATA!$AH$2:$AH$5,0),9)*10000+A332)</f>
        <v/>
      </c>
      <c r="Z332" s="8" t="str">
        <f t="shared" si="111"/>
        <v/>
      </c>
      <c r="AA332" s="8" t="str">
        <f t="shared" si="112"/>
        <v/>
      </c>
      <c r="AB332" s="8" t="str">
        <f t="shared" si="113"/>
        <v/>
      </c>
      <c r="AC332" s="8"/>
      <c r="AD332" s="8"/>
      <c r="AE332" s="8"/>
      <c r="AK332" s="5" t="str">
        <f t="shared" si="114"/>
        <v/>
      </c>
      <c r="AL332" s="5" t="str">
        <f t="shared" si="115"/>
        <v/>
      </c>
      <c r="AM332" s="5" t="str">
        <f t="shared" si="116"/>
        <v/>
      </c>
      <c r="AN332" s="5" t="str">
        <f t="shared" si="117"/>
        <v/>
      </c>
      <c r="AO332" s="5" t="str">
        <f t="shared" si="118"/>
        <v/>
      </c>
      <c r="AP332" s="5" t="str">
        <f t="shared" si="119"/>
        <v/>
      </c>
      <c r="AQ332" s="5" t="str">
        <f t="shared" si="120"/>
        <v/>
      </c>
      <c r="AR332" s="5" t="str">
        <f t="shared" si="121"/>
        <v/>
      </c>
      <c r="AS332" s="5" t="str">
        <f t="shared" si="122"/>
        <v/>
      </c>
      <c r="AT332" s="5" t="str">
        <f t="shared" si="123"/>
        <v/>
      </c>
      <c r="AU332" s="5" t="str">
        <f t="shared" si="124"/>
        <v/>
      </c>
      <c r="AV332" s="5" t="str">
        <f t="shared" si="125"/>
        <v/>
      </c>
      <c r="AW332" s="5" t="str">
        <f t="shared" si="126"/>
        <v/>
      </c>
      <c r="AX332" s="5" t="str">
        <f t="shared" si="127"/>
        <v/>
      </c>
      <c r="AY332" s="5" t="str">
        <f t="shared" si="128"/>
        <v/>
      </c>
      <c r="AZ332" s="5" t="str">
        <f t="shared" si="129"/>
        <v/>
      </c>
      <c r="BA332" s="5" t="str">
        <f t="shared" si="130"/>
        <v/>
      </c>
      <c r="BB332" s="5" t="str">
        <f t="shared" si="131"/>
        <v/>
      </c>
    </row>
    <row r="333" spans="1:54" s="5" customFormat="1" hidden="1">
      <c r="A333" s="8" t="str">
        <f>IF(INDEX(FORM!$A:$A,ROW())="","",ROW()-1)</f>
        <v/>
      </c>
      <c r="B333" s="41" t="str">
        <f>IF($A333="","",INDEX(FORM!$A:$A,ROW()))</f>
        <v/>
      </c>
      <c r="C333" s="8" t="str">
        <f>IF($A333="","",TRIM(INDEX(FORM!$B:$B,ROW())))</f>
        <v/>
      </c>
      <c r="D333" s="8" t="str">
        <f>IF($A333="","",TRIM(INDEX(FORM!$C:$C,ROW())&amp;""))</f>
        <v/>
      </c>
      <c r="E333" s="8" t="str">
        <f>IF($A333="","",UPPER(TRIM(INDEX(FORM!$D:$D,ROW()))))</f>
        <v/>
      </c>
      <c r="F333" s="8" t="str">
        <f>IF($A333="","",IFERROR(INDEX(PROGRES!$A$2:$A$92,MATCH(E333,PROGRES!$B$2:$B$92,0)),"-"))</f>
        <v/>
      </c>
      <c r="G333" s="8" t="str">
        <f>IF($A333="","",UPPER(TRIM(INDEX(FORM!$F:$F,ROW()))))</f>
        <v/>
      </c>
      <c r="H333" s="8" t="str">
        <f>IF($A333="","",UPPER(TRIM(INDEX(FORM!$E:$E,ROW()))))</f>
        <v/>
      </c>
      <c r="I333" s="8" t="str">
        <f>IF($A333="","",UPPER(TRIM(INDEX(FORM!$G:$G,ROW()))))</f>
        <v/>
      </c>
      <c r="J333" s="8" t="str">
        <f>IF($A333="","",IF(ISNUMBER(SEARCH("Ya,",INDEX(FORM!$H:$H,ROW()))),"YA",IF(ISNUMBER(SEARCH("Cukup,",INDEX(FORM!$H:$H,ROW()))),"CUKUP",IF(ISNUMBER(SEARCH("Kurang,",INDEX(FORM!$H:$H,ROW()))),"KURANG",""))))</f>
        <v/>
      </c>
      <c r="K333" s="8" t="str">
        <f>IF($A333="","",UPPER(TRIM(INDEX(FORM!$J:$J,ROW()))))</f>
        <v/>
      </c>
      <c r="L333" s="8" t="str">
        <f>IF($A333="","",IF(ISNUMBER(SEARCH("Aktivitas Harian",INDEX(FORM!$K:$K,ROW()))),1,0))</f>
        <v/>
      </c>
      <c r="M333" s="8" t="str">
        <f>IF($A333="","",IF(ISNUMBER(SEARCH("Aktivitas Mingguan",INDEX(FORM!$K:$K,ROW()))),1,0))</f>
        <v/>
      </c>
      <c r="N333" s="8" t="str">
        <f>IF($A333="","",IF(ISNUMBER(SEARCH("Aktivitas Bulanan",INDEX(FORM!$K:$K,ROW()))),1,0))</f>
        <v/>
      </c>
      <c r="O333" s="8" t="str">
        <f>IF($A333="","",IF(ISNUMBER(SEARCH("Overview Cabang",INDEX(FORM!$K:$K,ROW()))),1,0))</f>
        <v/>
      </c>
      <c r="P333" s="8" t="str">
        <f>IF($A333="","",IFERROR(VLOOKUP(I333,DATA!$AH$9:$AI$13,2,0),""))</f>
        <v/>
      </c>
      <c r="Q333" s="8" t="str">
        <f>IF($A333="","",IFERROR(VLOOKUP(J333,DATA!$AH$9:$AI$13,2,0),""))</f>
        <v/>
      </c>
      <c r="R333" s="8" t="str">
        <f>IF($A333="","",IFERROR(VLOOKUP(K333,DATA!$AH$9:$AI$13,2,0),""))</f>
        <v/>
      </c>
      <c r="S333" s="42" t="str">
        <f t="shared" si="110"/>
        <v/>
      </c>
      <c r="T333" s="8" t="str">
        <f>IF($A333="","",IF(COUNTIF($D$2:D333,D333)=1,1,0))</f>
        <v/>
      </c>
      <c r="U333" s="8" t="str">
        <f>IF($A333="","",IF(F333="-","Cabang tdk ada",IF(IFERROR(VLOOKUP(G333,#REF!,1,0),"")="","",IF(INDEX(DATA!$AH$2:$AH$5,MATCH(G333,DATA!$AI$2:$AI$5,0))&lt;&gt;F333,"Wilayah beda","OK"))))</f>
        <v/>
      </c>
      <c r="V333" s="8" t="str">
        <f>IF($A333="","",TRIM(INDEX(FORM!$I:$I,ROW())&amp;""))</f>
        <v/>
      </c>
      <c r="W333" s="8" t="str">
        <f>IF($A333="","",TRIM(INDEX(FORM!$L:$L,ROW())&amp;""))</f>
        <v/>
      </c>
      <c r="X333" s="8" t="str">
        <f>IF($A333="","",TRIM(INDEX(FORM!$M:$M,ROW())&amp;""))</f>
        <v/>
      </c>
      <c r="Y333" s="8" t="str">
        <f>IF($A333="","",IFERROR(MATCH(F333,DATA!$AH$2:$AH$5,0),9)*10000+A333)</f>
        <v/>
      </c>
      <c r="Z333" s="8" t="str">
        <f t="shared" si="111"/>
        <v/>
      </c>
      <c r="AA333" s="8" t="str">
        <f t="shared" si="112"/>
        <v/>
      </c>
      <c r="AB333" s="8" t="str">
        <f t="shared" si="113"/>
        <v/>
      </c>
      <c r="AC333" s="8"/>
      <c r="AD333" s="8"/>
      <c r="AE333" s="8"/>
      <c r="AK333" s="5" t="str">
        <f t="shared" si="114"/>
        <v/>
      </c>
      <c r="AL333" s="5" t="str">
        <f t="shared" si="115"/>
        <v/>
      </c>
      <c r="AM333" s="5" t="str">
        <f t="shared" si="116"/>
        <v/>
      </c>
      <c r="AN333" s="5" t="str">
        <f t="shared" si="117"/>
        <v/>
      </c>
      <c r="AO333" s="5" t="str">
        <f t="shared" si="118"/>
        <v/>
      </c>
      <c r="AP333" s="5" t="str">
        <f t="shared" si="119"/>
        <v/>
      </c>
      <c r="AQ333" s="5" t="str">
        <f t="shared" si="120"/>
        <v/>
      </c>
      <c r="AR333" s="5" t="str">
        <f t="shared" si="121"/>
        <v/>
      </c>
      <c r="AS333" s="5" t="str">
        <f t="shared" si="122"/>
        <v/>
      </c>
      <c r="AT333" s="5" t="str">
        <f t="shared" si="123"/>
        <v/>
      </c>
      <c r="AU333" s="5" t="str">
        <f t="shared" si="124"/>
        <v/>
      </c>
      <c r="AV333" s="5" t="str">
        <f t="shared" si="125"/>
        <v/>
      </c>
      <c r="AW333" s="5" t="str">
        <f t="shared" si="126"/>
        <v/>
      </c>
      <c r="AX333" s="5" t="str">
        <f t="shared" si="127"/>
        <v/>
      </c>
      <c r="AY333" s="5" t="str">
        <f t="shared" si="128"/>
        <v/>
      </c>
      <c r="AZ333" s="5" t="str">
        <f t="shared" si="129"/>
        <v/>
      </c>
      <c r="BA333" s="5" t="str">
        <f t="shared" si="130"/>
        <v/>
      </c>
      <c r="BB333" s="5" t="str">
        <f t="shared" si="131"/>
        <v/>
      </c>
    </row>
    <row r="334" spans="1:54" s="5" customFormat="1" hidden="1">
      <c r="A334" s="8" t="str">
        <f>IF(INDEX(FORM!$A:$A,ROW())="","",ROW()-1)</f>
        <v/>
      </c>
      <c r="B334" s="41" t="str">
        <f>IF($A334="","",INDEX(FORM!$A:$A,ROW()))</f>
        <v/>
      </c>
      <c r="C334" s="8" t="str">
        <f>IF($A334="","",TRIM(INDEX(FORM!$B:$B,ROW())))</f>
        <v/>
      </c>
      <c r="D334" s="8" t="str">
        <f>IF($A334="","",TRIM(INDEX(FORM!$C:$C,ROW())&amp;""))</f>
        <v/>
      </c>
      <c r="E334" s="8" t="str">
        <f>IF($A334="","",UPPER(TRIM(INDEX(FORM!$D:$D,ROW()))))</f>
        <v/>
      </c>
      <c r="F334" s="8" t="str">
        <f>IF($A334="","",IFERROR(INDEX(PROGRES!$A$2:$A$92,MATCH(E334,PROGRES!$B$2:$B$92,0)),"-"))</f>
        <v/>
      </c>
      <c r="G334" s="8" t="str">
        <f>IF($A334="","",UPPER(TRIM(INDEX(FORM!$F:$F,ROW()))))</f>
        <v/>
      </c>
      <c r="H334" s="8" t="str">
        <f>IF($A334="","",UPPER(TRIM(INDEX(FORM!$E:$E,ROW()))))</f>
        <v/>
      </c>
      <c r="I334" s="8" t="str">
        <f>IF($A334="","",UPPER(TRIM(INDEX(FORM!$G:$G,ROW()))))</f>
        <v/>
      </c>
      <c r="J334" s="8" t="str">
        <f>IF($A334="","",IF(ISNUMBER(SEARCH("Ya,",INDEX(FORM!$H:$H,ROW()))),"YA",IF(ISNUMBER(SEARCH("Cukup,",INDEX(FORM!$H:$H,ROW()))),"CUKUP",IF(ISNUMBER(SEARCH("Kurang,",INDEX(FORM!$H:$H,ROW()))),"KURANG",""))))</f>
        <v/>
      </c>
      <c r="K334" s="8" t="str">
        <f>IF($A334="","",UPPER(TRIM(INDEX(FORM!$J:$J,ROW()))))</f>
        <v/>
      </c>
      <c r="L334" s="8" t="str">
        <f>IF($A334="","",IF(ISNUMBER(SEARCH("Aktivitas Harian",INDEX(FORM!$K:$K,ROW()))),1,0))</f>
        <v/>
      </c>
      <c r="M334" s="8" t="str">
        <f>IF($A334="","",IF(ISNUMBER(SEARCH("Aktivitas Mingguan",INDEX(FORM!$K:$K,ROW()))),1,0))</f>
        <v/>
      </c>
      <c r="N334" s="8" t="str">
        <f>IF($A334="","",IF(ISNUMBER(SEARCH("Aktivitas Bulanan",INDEX(FORM!$K:$K,ROW()))),1,0))</f>
        <v/>
      </c>
      <c r="O334" s="8" t="str">
        <f>IF($A334="","",IF(ISNUMBER(SEARCH("Overview Cabang",INDEX(FORM!$K:$K,ROW()))),1,0))</f>
        <v/>
      </c>
      <c r="P334" s="8" t="str">
        <f>IF($A334="","",IFERROR(VLOOKUP(I334,DATA!$AH$9:$AI$13,2,0),""))</f>
        <v/>
      </c>
      <c r="Q334" s="8" t="str">
        <f>IF($A334="","",IFERROR(VLOOKUP(J334,DATA!$AH$9:$AI$13,2,0),""))</f>
        <v/>
      </c>
      <c r="R334" s="8" t="str">
        <f>IF($A334="","",IFERROR(VLOOKUP(K334,DATA!$AH$9:$AI$13,2,0),""))</f>
        <v/>
      </c>
      <c r="S334" s="42" t="str">
        <f t="shared" si="110"/>
        <v/>
      </c>
      <c r="T334" s="8" t="str">
        <f>IF($A334="","",IF(COUNTIF($D$2:D334,D334)=1,1,0))</f>
        <v/>
      </c>
      <c r="U334" s="8" t="str">
        <f>IF($A334="","",IF(F334="-","Cabang tdk ada",IF(IFERROR(VLOOKUP(G334,#REF!,1,0),"")="","",IF(INDEX(DATA!$AH$2:$AH$5,MATCH(G334,DATA!$AI$2:$AI$5,0))&lt;&gt;F334,"Wilayah beda","OK"))))</f>
        <v/>
      </c>
      <c r="V334" s="8" t="str">
        <f>IF($A334="","",TRIM(INDEX(FORM!$I:$I,ROW())&amp;""))</f>
        <v/>
      </c>
      <c r="W334" s="8" t="str">
        <f>IF($A334="","",TRIM(INDEX(FORM!$L:$L,ROW())&amp;""))</f>
        <v/>
      </c>
      <c r="X334" s="8" t="str">
        <f>IF($A334="","",TRIM(INDEX(FORM!$M:$M,ROW())&amp;""))</f>
        <v/>
      </c>
      <c r="Y334" s="8" t="str">
        <f>IF($A334="","",IFERROR(MATCH(F334,DATA!$AH$2:$AH$5,0),9)*10000+A334)</f>
        <v/>
      </c>
      <c r="Z334" s="8" t="str">
        <f t="shared" si="111"/>
        <v/>
      </c>
      <c r="AA334" s="8" t="str">
        <f t="shared" si="112"/>
        <v/>
      </c>
      <c r="AB334" s="8" t="str">
        <f t="shared" si="113"/>
        <v/>
      </c>
      <c r="AC334" s="8"/>
      <c r="AD334" s="8"/>
      <c r="AE334" s="8"/>
      <c r="AK334" s="5" t="str">
        <f t="shared" si="114"/>
        <v/>
      </c>
      <c r="AL334" s="5" t="str">
        <f t="shared" si="115"/>
        <v/>
      </c>
      <c r="AM334" s="5" t="str">
        <f t="shared" si="116"/>
        <v/>
      </c>
      <c r="AN334" s="5" t="str">
        <f t="shared" si="117"/>
        <v/>
      </c>
      <c r="AO334" s="5" t="str">
        <f t="shared" si="118"/>
        <v/>
      </c>
      <c r="AP334" s="5" t="str">
        <f t="shared" si="119"/>
        <v/>
      </c>
      <c r="AQ334" s="5" t="str">
        <f t="shared" si="120"/>
        <v/>
      </c>
      <c r="AR334" s="5" t="str">
        <f t="shared" si="121"/>
        <v/>
      </c>
      <c r="AS334" s="5" t="str">
        <f t="shared" si="122"/>
        <v/>
      </c>
      <c r="AT334" s="5" t="str">
        <f t="shared" si="123"/>
        <v/>
      </c>
      <c r="AU334" s="5" t="str">
        <f t="shared" si="124"/>
        <v/>
      </c>
      <c r="AV334" s="5" t="str">
        <f t="shared" si="125"/>
        <v/>
      </c>
      <c r="AW334" s="5" t="str">
        <f t="shared" si="126"/>
        <v/>
      </c>
      <c r="AX334" s="5" t="str">
        <f t="shared" si="127"/>
        <v/>
      </c>
      <c r="AY334" s="5" t="str">
        <f t="shared" si="128"/>
        <v/>
      </c>
      <c r="AZ334" s="5" t="str">
        <f t="shared" si="129"/>
        <v/>
      </c>
      <c r="BA334" s="5" t="str">
        <f t="shared" si="130"/>
        <v/>
      </c>
      <c r="BB334" s="5" t="str">
        <f t="shared" si="131"/>
        <v/>
      </c>
    </row>
    <row r="335" spans="1:54" s="5" customFormat="1" hidden="1">
      <c r="A335" s="8" t="str">
        <f>IF(INDEX(FORM!$A:$A,ROW())="","",ROW()-1)</f>
        <v/>
      </c>
      <c r="B335" s="41" t="str">
        <f>IF($A335="","",INDEX(FORM!$A:$A,ROW()))</f>
        <v/>
      </c>
      <c r="C335" s="8" t="str">
        <f>IF($A335="","",TRIM(INDEX(FORM!$B:$B,ROW())))</f>
        <v/>
      </c>
      <c r="D335" s="8" t="str">
        <f>IF($A335="","",TRIM(INDEX(FORM!$C:$C,ROW())&amp;""))</f>
        <v/>
      </c>
      <c r="E335" s="8" t="str">
        <f>IF($A335="","",UPPER(TRIM(INDEX(FORM!$D:$D,ROW()))))</f>
        <v/>
      </c>
      <c r="F335" s="8" t="str">
        <f>IF($A335="","",IFERROR(INDEX(PROGRES!$A$2:$A$92,MATCH(E335,PROGRES!$B$2:$B$92,0)),"-"))</f>
        <v/>
      </c>
      <c r="G335" s="8" t="str">
        <f>IF($A335="","",UPPER(TRIM(INDEX(FORM!$F:$F,ROW()))))</f>
        <v/>
      </c>
      <c r="H335" s="8" t="str">
        <f>IF($A335="","",UPPER(TRIM(INDEX(FORM!$E:$E,ROW()))))</f>
        <v/>
      </c>
      <c r="I335" s="8" t="str">
        <f>IF($A335="","",UPPER(TRIM(INDEX(FORM!$G:$G,ROW()))))</f>
        <v/>
      </c>
      <c r="J335" s="8" t="str">
        <f>IF($A335="","",IF(ISNUMBER(SEARCH("Ya,",INDEX(FORM!$H:$H,ROW()))),"YA",IF(ISNUMBER(SEARCH("Cukup,",INDEX(FORM!$H:$H,ROW()))),"CUKUP",IF(ISNUMBER(SEARCH("Kurang,",INDEX(FORM!$H:$H,ROW()))),"KURANG",""))))</f>
        <v/>
      </c>
      <c r="K335" s="8" t="str">
        <f>IF($A335="","",UPPER(TRIM(INDEX(FORM!$J:$J,ROW()))))</f>
        <v/>
      </c>
      <c r="L335" s="8" t="str">
        <f>IF($A335="","",IF(ISNUMBER(SEARCH("Aktivitas Harian",INDEX(FORM!$K:$K,ROW()))),1,0))</f>
        <v/>
      </c>
      <c r="M335" s="8" t="str">
        <f>IF($A335="","",IF(ISNUMBER(SEARCH("Aktivitas Mingguan",INDEX(FORM!$K:$K,ROW()))),1,0))</f>
        <v/>
      </c>
      <c r="N335" s="8" t="str">
        <f>IF($A335="","",IF(ISNUMBER(SEARCH("Aktivitas Bulanan",INDEX(FORM!$K:$K,ROW()))),1,0))</f>
        <v/>
      </c>
      <c r="O335" s="8" t="str">
        <f>IF($A335="","",IF(ISNUMBER(SEARCH("Overview Cabang",INDEX(FORM!$K:$K,ROW()))),1,0))</f>
        <v/>
      </c>
      <c r="P335" s="8" t="str">
        <f>IF($A335="","",IFERROR(VLOOKUP(I335,DATA!$AH$9:$AI$13,2,0),""))</f>
        <v/>
      </c>
      <c r="Q335" s="8" t="str">
        <f>IF($A335="","",IFERROR(VLOOKUP(J335,DATA!$AH$9:$AI$13,2,0),""))</f>
        <v/>
      </c>
      <c r="R335" s="8" t="str">
        <f>IF($A335="","",IFERROR(VLOOKUP(K335,DATA!$AH$9:$AI$13,2,0),""))</f>
        <v/>
      </c>
      <c r="S335" s="42" t="str">
        <f t="shared" si="110"/>
        <v/>
      </c>
      <c r="T335" s="8" t="str">
        <f>IF($A335="","",IF(COUNTIF($D$2:D335,D335)=1,1,0))</f>
        <v/>
      </c>
      <c r="U335" s="8" t="str">
        <f>IF($A335="","",IF(F335="-","Cabang tdk ada",IF(IFERROR(VLOOKUP(G335,#REF!,1,0),"")="","",IF(INDEX(DATA!$AH$2:$AH$5,MATCH(G335,DATA!$AI$2:$AI$5,0))&lt;&gt;F335,"Wilayah beda","OK"))))</f>
        <v/>
      </c>
      <c r="V335" s="8" t="str">
        <f>IF($A335="","",TRIM(INDEX(FORM!$I:$I,ROW())&amp;""))</f>
        <v/>
      </c>
      <c r="W335" s="8" t="str">
        <f>IF($A335="","",TRIM(INDEX(FORM!$L:$L,ROW())&amp;""))</f>
        <v/>
      </c>
      <c r="X335" s="8" t="str">
        <f>IF($A335="","",TRIM(INDEX(FORM!$M:$M,ROW())&amp;""))</f>
        <v/>
      </c>
      <c r="Y335" s="8" t="str">
        <f>IF($A335="","",IFERROR(MATCH(F335,DATA!$AH$2:$AH$5,0),9)*10000+A335)</f>
        <v/>
      </c>
      <c r="Z335" s="8" t="str">
        <f t="shared" si="111"/>
        <v/>
      </c>
      <c r="AA335" s="8" t="str">
        <f t="shared" si="112"/>
        <v/>
      </c>
      <c r="AB335" s="8" t="str">
        <f t="shared" si="113"/>
        <v/>
      </c>
      <c r="AC335" s="8"/>
      <c r="AD335" s="8"/>
      <c r="AE335" s="8"/>
      <c r="AK335" s="5" t="str">
        <f t="shared" si="114"/>
        <v/>
      </c>
      <c r="AL335" s="5" t="str">
        <f t="shared" si="115"/>
        <v/>
      </c>
      <c r="AM335" s="5" t="str">
        <f t="shared" si="116"/>
        <v/>
      </c>
      <c r="AN335" s="5" t="str">
        <f t="shared" si="117"/>
        <v/>
      </c>
      <c r="AO335" s="5" t="str">
        <f t="shared" si="118"/>
        <v/>
      </c>
      <c r="AP335" s="5" t="str">
        <f t="shared" si="119"/>
        <v/>
      </c>
      <c r="AQ335" s="5" t="str">
        <f t="shared" si="120"/>
        <v/>
      </c>
      <c r="AR335" s="5" t="str">
        <f t="shared" si="121"/>
        <v/>
      </c>
      <c r="AS335" s="5" t="str">
        <f t="shared" si="122"/>
        <v/>
      </c>
      <c r="AT335" s="5" t="str">
        <f t="shared" si="123"/>
        <v/>
      </c>
      <c r="AU335" s="5" t="str">
        <f t="shared" si="124"/>
        <v/>
      </c>
      <c r="AV335" s="5" t="str">
        <f t="shared" si="125"/>
        <v/>
      </c>
      <c r="AW335" s="5" t="str">
        <f t="shared" si="126"/>
        <v/>
      </c>
      <c r="AX335" s="5" t="str">
        <f t="shared" si="127"/>
        <v/>
      </c>
      <c r="AY335" s="5" t="str">
        <f t="shared" si="128"/>
        <v/>
      </c>
      <c r="AZ335" s="5" t="str">
        <f t="shared" si="129"/>
        <v/>
      </c>
      <c r="BA335" s="5" t="str">
        <f t="shared" si="130"/>
        <v/>
      </c>
      <c r="BB335" s="5" t="str">
        <f t="shared" si="131"/>
        <v/>
      </c>
    </row>
    <row r="336" spans="1:54" s="5" customFormat="1" hidden="1">
      <c r="A336" s="8" t="str">
        <f>IF(INDEX(FORM!$A:$A,ROW())="","",ROW()-1)</f>
        <v/>
      </c>
      <c r="B336" s="41" t="str">
        <f>IF($A336="","",INDEX(FORM!$A:$A,ROW()))</f>
        <v/>
      </c>
      <c r="C336" s="8" t="str">
        <f>IF($A336="","",TRIM(INDEX(FORM!$B:$B,ROW())))</f>
        <v/>
      </c>
      <c r="D336" s="8" t="str">
        <f>IF($A336="","",TRIM(INDEX(FORM!$C:$C,ROW())&amp;""))</f>
        <v/>
      </c>
      <c r="E336" s="8" t="str">
        <f>IF($A336="","",UPPER(TRIM(INDEX(FORM!$D:$D,ROW()))))</f>
        <v/>
      </c>
      <c r="F336" s="8" t="str">
        <f>IF($A336="","",IFERROR(INDEX(PROGRES!$A$2:$A$92,MATCH(E336,PROGRES!$B$2:$B$92,0)),"-"))</f>
        <v/>
      </c>
      <c r="G336" s="8" t="str">
        <f>IF($A336="","",UPPER(TRIM(INDEX(FORM!$F:$F,ROW()))))</f>
        <v/>
      </c>
      <c r="H336" s="8" t="str">
        <f>IF($A336="","",UPPER(TRIM(INDEX(FORM!$E:$E,ROW()))))</f>
        <v/>
      </c>
      <c r="I336" s="8" t="str">
        <f>IF($A336="","",UPPER(TRIM(INDEX(FORM!$G:$G,ROW()))))</f>
        <v/>
      </c>
      <c r="J336" s="8" t="str">
        <f>IF($A336="","",IF(ISNUMBER(SEARCH("Ya,",INDEX(FORM!$H:$H,ROW()))),"YA",IF(ISNUMBER(SEARCH("Cukup,",INDEX(FORM!$H:$H,ROW()))),"CUKUP",IF(ISNUMBER(SEARCH("Kurang,",INDEX(FORM!$H:$H,ROW()))),"KURANG",""))))</f>
        <v/>
      </c>
      <c r="K336" s="8" t="str">
        <f>IF($A336="","",UPPER(TRIM(INDEX(FORM!$J:$J,ROW()))))</f>
        <v/>
      </c>
      <c r="L336" s="8" t="str">
        <f>IF($A336="","",IF(ISNUMBER(SEARCH("Aktivitas Harian",INDEX(FORM!$K:$K,ROW()))),1,0))</f>
        <v/>
      </c>
      <c r="M336" s="8" t="str">
        <f>IF($A336="","",IF(ISNUMBER(SEARCH("Aktivitas Mingguan",INDEX(FORM!$K:$K,ROW()))),1,0))</f>
        <v/>
      </c>
      <c r="N336" s="8" t="str">
        <f>IF($A336="","",IF(ISNUMBER(SEARCH("Aktivitas Bulanan",INDEX(FORM!$K:$K,ROW()))),1,0))</f>
        <v/>
      </c>
      <c r="O336" s="8" t="str">
        <f>IF($A336="","",IF(ISNUMBER(SEARCH("Overview Cabang",INDEX(FORM!$K:$K,ROW()))),1,0))</f>
        <v/>
      </c>
      <c r="P336" s="8" t="str">
        <f>IF($A336="","",IFERROR(VLOOKUP(I336,DATA!$AH$9:$AI$13,2,0),""))</f>
        <v/>
      </c>
      <c r="Q336" s="8" t="str">
        <f>IF($A336="","",IFERROR(VLOOKUP(J336,DATA!$AH$9:$AI$13,2,0),""))</f>
        <v/>
      </c>
      <c r="R336" s="8" t="str">
        <f>IF($A336="","",IFERROR(VLOOKUP(K336,DATA!$AH$9:$AI$13,2,0),""))</f>
        <v/>
      </c>
      <c r="S336" s="42" t="str">
        <f t="shared" si="110"/>
        <v/>
      </c>
      <c r="T336" s="8" t="str">
        <f>IF($A336="","",IF(COUNTIF($D$2:D336,D336)=1,1,0))</f>
        <v/>
      </c>
      <c r="U336" s="8" t="str">
        <f>IF($A336="","",IF(F336="-","Cabang tdk ada",IF(IFERROR(VLOOKUP(G336,#REF!,1,0),"")="","",IF(INDEX(DATA!$AH$2:$AH$5,MATCH(G336,DATA!$AI$2:$AI$5,0))&lt;&gt;F336,"Wilayah beda","OK"))))</f>
        <v/>
      </c>
      <c r="V336" s="8" t="str">
        <f>IF($A336="","",TRIM(INDEX(FORM!$I:$I,ROW())&amp;""))</f>
        <v/>
      </c>
      <c r="W336" s="8" t="str">
        <f>IF($A336="","",TRIM(INDEX(FORM!$L:$L,ROW())&amp;""))</f>
        <v/>
      </c>
      <c r="X336" s="8" t="str">
        <f>IF($A336="","",TRIM(INDEX(FORM!$M:$M,ROW())&amp;""))</f>
        <v/>
      </c>
      <c r="Y336" s="8" t="str">
        <f>IF($A336="","",IFERROR(MATCH(F336,DATA!$AH$2:$AH$5,0),9)*10000+A336)</f>
        <v/>
      </c>
      <c r="Z336" s="8" t="str">
        <f t="shared" si="111"/>
        <v/>
      </c>
      <c r="AA336" s="8" t="str">
        <f t="shared" si="112"/>
        <v/>
      </c>
      <c r="AB336" s="8" t="str">
        <f t="shared" si="113"/>
        <v/>
      </c>
      <c r="AC336" s="8"/>
      <c r="AD336" s="8"/>
      <c r="AE336" s="8"/>
      <c r="AK336" s="5" t="str">
        <f t="shared" si="114"/>
        <v/>
      </c>
      <c r="AL336" s="5" t="str">
        <f t="shared" si="115"/>
        <v/>
      </c>
      <c r="AM336" s="5" t="str">
        <f t="shared" si="116"/>
        <v/>
      </c>
      <c r="AN336" s="5" t="str">
        <f t="shared" si="117"/>
        <v/>
      </c>
      <c r="AO336" s="5" t="str">
        <f t="shared" si="118"/>
        <v/>
      </c>
      <c r="AP336" s="5" t="str">
        <f t="shared" si="119"/>
        <v/>
      </c>
      <c r="AQ336" s="5" t="str">
        <f t="shared" si="120"/>
        <v/>
      </c>
      <c r="AR336" s="5" t="str">
        <f t="shared" si="121"/>
        <v/>
      </c>
      <c r="AS336" s="5" t="str">
        <f t="shared" si="122"/>
        <v/>
      </c>
      <c r="AT336" s="5" t="str">
        <f t="shared" si="123"/>
        <v/>
      </c>
      <c r="AU336" s="5" t="str">
        <f t="shared" si="124"/>
        <v/>
      </c>
      <c r="AV336" s="5" t="str">
        <f t="shared" si="125"/>
        <v/>
      </c>
      <c r="AW336" s="5" t="str">
        <f t="shared" si="126"/>
        <v/>
      </c>
      <c r="AX336" s="5" t="str">
        <f t="shared" si="127"/>
        <v/>
      </c>
      <c r="AY336" s="5" t="str">
        <f t="shared" si="128"/>
        <v/>
      </c>
      <c r="AZ336" s="5" t="str">
        <f t="shared" si="129"/>
        <v/>
      </c>
      <c r="BA336" s="5" t="str">
        <f t="shared" si="130"/>
        <v/>
      </c>
      <c r="BB336" s="5" t="str">
        <f t="shared" si="131"/>
        <v/>
      </c>
    </row>
    <row r="337" spans="1:54" s="5" customFormat="1" hidden="1">
      <c r="A337" s="8" t="str">
        <f>IF(INDEX(FORM!$A:$A,ROW())="","",ROW()-1)</f>
        <v/>
      </c>
      <c r="B337" s="41" t="str">
        <f>IF($A337="","",INDEX(FORM!$A:$A,ROW()))</f>
        <v/>
      </c>
      <c r="C337" s="8" t="str">
        <f>IF($A337="","",TRIM(INDEX(FORM!$B:$B,ROW())))</f>
        <v/>
      </c>
      <c r="D337" s="8" t="str">
        <f>IF($A337="","",TRIM(INDEX(FORM!$C:$C,ROW())&amp;""))</f>
        <v/>
      </c>
      <c r="E337" s="8" t="str">
        <f>IF($A337="","",UPPER(TRIM(INDEX(FORM!$D:$D,ROW()))))</f>
        <v/>
      </c>
      <c r="F337" s="8" t="str">
        <f>IF($A337="","",IFERROR(INDEX(PROGRES!$A$2:$A$92,MATCH(E337,PROGRES!$B$2:$B$92,0)),"-"))</f>
        <v/>
      </c>
      <c r="G337" s="8" t="str">
        <f>IF($A337="","",UPPER(TRIM(INDEX(FORM!$F:$F,ROW()))))</f>
        <v/>
      </c>
      <c r="H337" s="8" t="str">
        <f>IF($A337="","",UPPER(TRIM(INDEX(FORM!$E:$E,ROW()))))</f>
        <v/>
      </c>
      <c r="I337" s="8" t="str">
        <f>IF($A337="","",UPPER(TRIM(INDEX(FORM!$G:$G,ROW()))))</f>
        <v/>
      </c>
      <c r="J337" s="8" t="str">
        <f>IF($A337="","",IF(ISNUMBER(SEARCH("Ya,",INDEX(FORM!$H:$H,ROW()))),"YA",IF(ISNUMBER(SEARCH("Cukup,",INDEX(FORM!$H:$H,ROW()))),"CUKUP",IF(ISNUMBER(SEARCH("Kurang,",INDEX(FORM!$H:$H,ROW()))),"KURANG",""))))</f>
        <v/>
      </c>
      <c r="K337" s="8" t="str">
        <f>IF($A337="","",UPPER(TRIM(INDEX(FORM!$J:$J,ROW()))))</f>
        <v/>
      </c>
      <c r="L337" s="8" t="str">
        <f>IF($A337="","",IF(ISNUMBER(SEARCH("Aktivitas Harian",INDEX(FORM!$K:$K,ROW()))),1,0))</f>
        <v/>
      </c>
      <c r="M337" s="8" t="str">
        <f>IF($A337="","",IF(ISNUMBER(SEARCH("Aktivitas Mingguan",INDEX(FORM!$K:$K,ROW()))),1,0))</f>
        <v/>
      </c>
      <c r="N337" s="8" t="str">
        <f>IF($A337="","",IF(ISNUMBER(SEARCH("Aktivitas Bulanan",INDEX(FORM!$K:$K,ROW()))),1,0))</f>
        <v/>
      </c>
      <c r="O337" s="8" t="str">
        <f>IF($A337="","",IF(ISNUMBER(SEARCH("Overview Cabang",INDEX(FORM!$K:$K,ROW()))),1,0))</f>
        <v/>
      </c>
      <c r="P337" s="8" t="str">
        <f>IF($A337="","",IFERROR(VLOOKUP(I337,DATA!$AH$9:$AI$13,2,0),""))</f>
        <v/>
      </c>
      <c r="Q337" s="8" t="str">
        <f>IF($A337="","",IFERROR(VLOOKUP(J337,DATA!$AH$9:$AI$13,2,0),""))</f>
        <v/>
      </c>
      <c r="R337" s="8" t="str">
        <f>IF($A337="","",IFERROR(VLOOKUP(K337,DATA!$AH$9:$AI$13,2,0),""))</f>
        <v/>
      </c>
      <c r="S337" s="42" t="str">
        <f t="shared" si="110"/>
        <v/>
      </c>
      <c r="T337" s="8" t="str">
        <f>IF($A337="","",IF(COUNTIF($D$2:D337,D337)=1,1,0))</f>
        <v/>
      </c>
      <c r="U337" s="8" t="str">
        <f>IF($A337="","",IF(F337="-","Cabang tdk ada",IF(IFERROR(VLOOKUP(G337,#REF!,1,0),"")="","",IF(INDEX(DATA!$AH$2:$AH$5,MATCH(G337,DATA!$AI$2:$AI$5,0))&lt;&gt;F337,"Wilayah beda","OK"))))</f>
        <v/>
      </c>
      <c r="V337" s="8" t="str">
        <f>IF($A337="","",TRIM(INDEX(FORM!$I:$I,ROW())&amp;""))</f>
        <v/>
      </c>
      <c r="W337" s="8" t="str">
        <f>IF($A337="","",TRIM(INDEX(FORM!$L:$L,ROW())&amp;""))</f>
        <v/>
      </c>
      <c r="X337" s="8" t="str">
        <f>IF($A337="","",TRIM(INDEX(FORM!$M:$M,ROW())&amp;""))</f>
        <v/>
      </c>
      <c r="Y337" s="8" t="str">
        <f>IF($A337="","",IFERROR(MATCH(F337,DATA!$AH$2:$AH$5,0),9)*10000+A337)</f>
        <v/>
      </c>
      <c r="Z337" s="8" t="str">
        <f t="shared" si="111"/>
        <v/>
      </c>
      <c r="AA337" s="8" t="str">
        <f t="shared" si="112"/>
        <v/>
      </c>
      <c r="AB337" s="8" t="str">
        <f t="shared" si="113"/>
        <v/>
      </c>
      <c r="AC337" s="8"/>
      <c r="AD337" s="8"/>
      <c r="AE337" s="8"/>
      <c r="AK337" s="5" t="str">
        <f t="shared" si="114"/>
        <v/>
      </c>
      <c r="AL337" s="5" t="str">
        <f t="shared" si="115"/>
        <v/>
      </c>
      <c r="AM337" s="5" t="str">
        <f t="shared" si="116"/>
        <v/>
      </c>
      <c r="AN337" s="5" t="str">
        <f t="shared" si="117"/>
        <v/>
      </c>
      <c r="AO337" s="5" t="str">
        <f t="shared" si="118"/>
        <v/>
      </c>
      <c r="AP337" s="5" t="str">
        <f t="shared" si="119"/>
        <v/>
      </c>
      <c r="AQ337" s="5" t="str">
        <f t="shared" si="120"/>
        <v/>
      </c>
      <c r="AR337" s="5" t="str">
        <f t="shared" si="121"/>
        <v/>
      </c>
      <c r="AS337" s="5" t="str">
        <f t="shared" si="122"/>
        <v/>
      </c>
      <c r="AT337" s="5" t="str">
        <f t="shared" si="123"/>
        <v/>
      </c>
      <c r="AU337" s="5" t="str">
        <f t="shared" si="124"/>
        <v/>
      </c>
      <c r="AV337" s="5" t="str">
        <f t="shared" si="125"/>
        <v/>
      </c>
      <c r="AW337" s="5" t="str">
        <f t="shared" si="126"/>
        <v/>
      </c>
      <c r="AX337" s="5" t="str">
        <f t="shared" si="127"/>
        <v/>
      </c>
      <c r="AY337" s="5" t="str">
        <f t="shared" si="128"/>
        <v/>
      </c>
      <c r="AZ337" s="5" t="str">
        <f t="shared" si="129"/>
        <v/>
      </c>
      <c r="BA337" s="5" t="str">
        <f t="shared" si="130"/>
        <v/>
      </c>
      <c r="BB337" s="5" t="str">
        <f t="shared" si="131"/>
        <v/>
      </c>
    </row>
    <row r="338" spans="1:54" s="5" customFormat="1" hidden="1">
      <c r="A338" s="8" t="str">
        <f>IF(INDEX(FORM!$A:$A,ROW())="","",ROW()-1)</f>
        <v/>
      </c>
      <c r="B338" s="41" t="str">
        <f>IF($A338="","",INDEX(FORM!$A:$A,ROW()))</f>
        <v/>
      </c>
      <c r="C338" s="8" t="str">
        <f>IF($A338="","",TRIM(INDEX(FORM!$B:$B,ROW())))</f>
        <v/>
      </c>
      <c r="D338" s="8" t="str">
        <f>IF($A338="","",TRIM(INDEX(FORM!$C:$C,ROW())&amp;""))</f>
        <v/>
      </c>
      <c r="E338" s="8" t="str">
        <f>IF($A338="","",UPPER(TRIM(INDEX(FORM!$D:$D,ROW()))))</f>
        <v/>
      </c>
      <c r="F338" s="8" t="str">
        <f>IF($A338="","",IFERROR(INDEX(PROGRES!$A$2:$A$92,MATCH(E338,PROGRES!$B$2:$B$92,0)),"-"))</f>
        <v/>
      </c>
      <c r="G338" s="8" t="str">
        <f>IF($A338="","",UPPER(TRIM(INDEX(FORM!$F:$F,ROW()))))</f>
        <v/>
      </c>
      <c r="H338" s="8" t="str">
        <f>IF($A338="","",UPPER(TRIM(INDEX(FORM!$E:$E,ROW()))))</f>
        <v/>
      </c>
      <c r="I338" s="8" t="str">
        <f>IF($A338="","",UPPER(TRIM(INDEX(FORM!$G:$G,ROW()))))</f>
        <v/>
      </c>
      <c r="J338" s="8" t="str">
        <f>IF($A338="","",IF(ISNUMBER(SEARCH("Ya,",INDEX(FORM!$H:$H,ROW()))),"YA",IF(ISNUMBER(SEARCH("Cukup,",INDEX(FORM!$H:$H,ROW()))),"CUKUP",IF(ISNUMBER(SEARCH("Kurang,",INDEX(FORM!$H:$H,ROW()))),"KURANG",""))))</f>
        <v/>
      </c>
      <c r="K338" s="8" t="str">
        <f>IF($A338="","",UPPER(TRIM(INDEX(FORM!$J:$J,ROW()))))</f>
        <v/>
      </c>
      <c r="L338" s="8" t="str">
        <f>IF($A338="","",IF(ISNUMBER(SEARCH("Aktivitas Harian",INDEX(FORM!$K:$K,ROW()))),1,0))</f>
        <v/>
      </c>
      <c r="M338" s="8" t="str">
        <f>IF($A338="","",IF(ISNUMBER(SEARCH("Aktivitas Mingguan",INDEX(FORM!$K:$K,ROW()))),1,0))</f>
        <v/>
      </c>
      <c r="N338" s="8" t="str">
        <f>IF($A338="","",IF(ISNUMBER(SEARCH("Aktivitas Bulanan",INDEX(FORM!$K:$K,ROW()))),1,0))</f>
        <v/>
      </c>
      <c r="O338" s="8" t="str">
        <f>IF($A338="","",IF(ISNUMBER(SEARCH("Overview Cabang",INDEX(FORM!$K:$K,ROW()))),1,0))</f>
        <v/>
      </c>
      <c r="P338" s="8" t="str">
        <f>IF($A338="","",IFERROR(VLOOKUP(I338,DATA!$AH$9:$AI$13,2,0),""))</f>
        <v/>
      </c>
      <c r="Q338" s="8" t="str">
        <f>IF($A338="","",IFERROR(VLOOKUP(J338,DATA!$AH$9:$AI$13,2,0),""))</f>
        <v/>
      </c>
      <c r="R338" s="8" t="str">
        <f>IF($A338="","",IFERROR(VLOOKUP(K338,DATA!$AH$9:$AI$13,2,0),""))</f>
        <v/>
      </c>
      <c r="S338" s="42" t="str">
        <f t="shared" si="110"/>
        <v/>
      </c>
      <c r="T338" s="8" t="str">
        <f>IF($A338="","",IF(COUNTIF($D$2:D338,D338)=1,1,0))</f>
        <v/>
      </c>
      <c r="U338" s="8" t="str">
        <f>IF($A338="","",IF(F338="-","Cabang tdk ada",IF(IFERROR(VLOOKUP(G338,#REF!,1,0),"")="","",IF(INDEX(DATA!$AH$2:$AH$5,MATCH(G338,DATA!$AI$2:$AI$5,0))&lt;&gt;F338,"Wilayah beda","OK"))))</f>
        <v/>
      </c>
      <c r="V338" s="8" t="str">
        <f>IF($A338="","",TRIM(INDEX(FORM!$I:$I,ROW())&amp;""))</f>
        <v/>
      </c>
      <c r="W338" s="8" t="str">
        <f>IF($A338="","",TRIM(INDEX(FORM!$L:$L,ROW())&amp;""))</f>
        <v/>
      </c>
      <c r="X338" s="8" t="str">
        <f>IF($A338="","",TRIM(INDEX(FORM!$M:$M,ROW())&amp;""))</f>
        <v/>
      </c>
      <c r="Y338" s="8" t="str">
        <f>IF($A338="","",IFERROR(MATCH(F338,DATA!$AH$2:$AH$5,0),9)*10000+A338)</f>
        <v/>
      </c>
      <c r="Z338" s="8" t="str">
        <f t="shared" si="111"/>
        <v/>
      </c>
      <c r="AA338" s="8" t="str">
        <f t="shared" si="112"/>
        <v/>
      </c>
      <c r="AB338" s="8" t="str">
        <f t="shared" si="113"/>
        <v/>
      </c>
      <c r="AC338" s="8"/>
      <c r="AD338" s="8"/>
      <c r="AE338" s="8"/>
      <c r="AK338" s="5" t="str">
        <f t="shared" si="114"/>
        <v/>
      </c>
      <c r="AL338" s="5" t="str">
        <f t="shared" si="115"/>
        <v/>
      </c>
      <c r="AM338" s="5" t="str">
        <f t="shared" si="116"/>
        <v/>
      </c>
      <c r="AN338" s="5" t="str">
        <f t="shared" si="117"/>
        <v/>
      </c>
      <c r="AO338" s="5" t="str">
        <f t="shared" si="118"/>
        <v/>
      </c>
      <c r="AP338" s="5" t="str">
        <f t="shared" si="119"/>
        <v/>
      </c>
      <c r="AQ338" s="5" t="str">
        <f t="shared" si="120"/>
        <v/>
      </c>
      <c r="AR338" s="5" t="str">
        <f t="shared" si="121"/>
        <v/>
      </c>
      <c r="AS338" s="5" t="str">
        <f t="shared" si="122"/>
        <v/>
      </c>
      <c r="AT338" s="5" t="str">
        <f t="shared" si="123"/>
        <v/>
      </c>
      <c r="AU338" s="5" t="str">
        <f t="shared" si="124"/>
        <v/>
      </c>
      <c r="AV338" s="5" t="str">
        <f t="shared" si="125"/>
        <v/>
      </c>
      <c r="AW338" s="5" t="str">
        <f t="shared" si="126"/>
        <v/>
      </c>
      <c r="AX338" s="5" t="str">
        <f t="shared" si="127"/>
        <v/>
      </c>
      <c r="AY338" s="5" t="str">
        <f t="shared" si="128"/>
        <v/>
      </c>
      <c r="AZ338" s="5" t="str">
        <f t="shared" si="129"/>
        <v/>
      </c>
      <c r="BA338" s="5" t="str">
        <f t="shared" si="130"/>
        <v/>
      </c>
      <c r="BB338" s="5" t="str">
        <f t="shared" si="131"/>
        <v/>
      </c>
    </row>
    <row r="339" spans="1:54" s="5" customFormat="1" hidden="1">
      <c r="A339" s="8" t="str">
        <f>IF(INDEX(FORM!$A:$A,ROW())="","",ROW()-1)</f>
        <v/>
      </c>
      <c r="B339" s="41" t="str">
        <f>IF($A339="","",INDEX(FORM!$A:$A,ROW()))</f>
        <v/>
      </c>
      <c r="C339" s="8" t="str">
        <f>IF($A339="","",TRIM(INDEX(FORM!$B:$B,ROW())))</f>
        <v/>
      </c>
      <c r="D339" s="8" t="str">
        <f>IF($A339="","",TRIM(INDEX(FORM!$C:$C,ROW())&amp;""))</f>
        <v/>
      </c>
      <c r="E339" s="8" t="str">
        <f>IF($A339="","",UPPER(TRIM(INDEX(FORM!$D:$D,ROW()))))</f>
        <v/>
      </c>
      <c r="F339" s="8" t="str">
        <f>IF($A339="","",IFERROR(INDEX(PROGRES!$A$2:$A$92,MATCH(E339,PROGRES!$B$2:$B$92,0)),"-"))</f>
        <v/>
      </c>
      <c r="G339" s="8" t="str">
        <f>IF($A339="","",UPPER(TRIM(INDEX(FORM!$F:$F,ROW()))))</f>
        <v/>
      </c>
      <c r="H339" s="8" t="str">
        <f>IF($A339="","",UPPER(TRIM(INDEX(FORM!$E:$E,ROW()))))</f>
        <v/>
      </c>
      <c r="I339" s="8" t="str">
        <f>IF($A339="","",UPPER(TRIM(INDEX(FORM!$G:$G,ROW()))))</f>
        <v/>
      </c>
      <c r="J339" s="8" t="str">
        <f>IF($A339="","",IF(ISNUMBER(SEARCH("Ya,",INDEX(FORM!$H:$H,ROW()))),"YA",IF(ISNUMBER(SEARCH("Cukup,",INDEX(FORM!$H:$H,ROW()))),"CUKUP",IF(ISNUMBER(SEARCH("Kurang,",INDEX(FORM!$H:$H,ROW()))),"KURANG",""))))</f>
        <v/>
      </c>
      <c r="K339" s="8" t="str">
        <f>IF($A339="","",UPPER(TRIM(INDEX(FORM!$J:$J,ROW()))))</f>
        <v/>
      </c>
      <c r="L339" s="8" t="str">
        <f>IF($A339="","",IF(ISNUMBER(SEARCH("Aktivitas Harian",INDEX(FORM!$K:$K,ROW()))),1,0))</f>
        <v/>
      </c>
      <c r="M339" s="8" t="str">
        <f>IF($A339="","",IF(ISNUMBER(SEARCH("Aktivitas Mingguan",INDEX(FORM!$K:$K,ROW()))),1,0))</f>
        <v/>
      </c>
      <c r="N339" s="8" t="str">
        <f>IF($A339="","",IF(ISNUMBER(SEARCH("Aktivitas Bulanan",INDEX(FORM!$K:$K,ROW()))),1,0))</f>
        <v/>
      </c>
      <c r="O339" s="8" t="str">
        <f>IF($A339="","",IF(ISNUMBER(SEARCH("Overview Cabang",INDEX(FORM!$K:$K,ROW()))),1,0))</f>
        <v/>
      </c>
      <c r="P339" s="8" t="str">
        <f>IF($A339="","",IFERROR(VLOOKUP(I339,DATA!$AH$9:$AI$13,2,0),""))</f>
        <v/>
      </c>
      <c r="Q339" s="8" t="str">
        <f>IF($A339="","",IFERROR(VLOOKUP(J339,DATA!$AH$9:$AI$13,2,0),""))</f>
        <v/>
      </c>
      <c r="R339" s="8" t="str">
        <f>IF($A339="","",IFERROR(VLOOKUP(K339,DATA!$AH$9:$AI$13,2,0),""))</f>
        <v/>
      </c>
      <c r="S339" s="42" t="str">
        <f t="shared" si="110"/>
        <v/>
      </c>
      <c r="T339" s="8" t="str">
        <f>IF($A339="","",IF(COUNTIF($D$2:D339,D339)=1,1,0))</f>
        <v/>
      </c>
      <c r="U339" s="8" t="str">
        <f>IF($A339="","",IF(F339="-","Cabang tdk ada",IF(IFERROR(VLOOKUP(G339,#REF!,1,0),"")="","",IF(INDEX(DATA!$AH$2:$AH$5,MATCH(G339,DATA!$AI$2:$AI$5,0))&lt;&gt;F339,"Wilayah beda","OK"))))</f>
        <v/>
      </c>
      <c r="V339" s="8" t="str">
        <f>IF($A339="","",TRIM(INDEX(FORM!$I:$I,ROW())&amp;""))</f>
        <v/>
      </c>
      <c r="W339" s="8" t="str">
        <f>IF($A339="","",TRIM(INDEX(FORM!$L:$L,ROW())&amp;""))</f>
        <v/>
      </c>
      <c r="X339" s="8" t="str">
        <f>IF($A339="","",TRIM(INDEX(FORM!$M:$M,ROW())&amp;""))</f>
        <v/>
      </c>
      <c r="Y339" s="8" t="str">
        <f>IF($A339="","",IFERROR(MATCH(F339,DATA!$AH$2:$AH$5,0),9)*10000+A339)</f>
        <v/>
      </c>
      <c r="Z339" s="8" t="str">
        <f t="shared" si="111"/>
        <v/>
      </c>
      <c r="AA339" s="8" t="str">
        <f t="shared" si="112"/>
        <v/>
      </c>
      <c r="AB339" s="8" t="str">
        <f t="shared" si="113"/>
        <v/>
      </c>
      <c r="AC339" s="8"/>
      <c r="AD339" s="8"/>
      <c r="AE339" s="8"/>
      <c r="AK339" s="5" t="str">
        <f t="shared" si="114"/>
        <v/>
      </c>
      <c r="AL339" s="5" t="str">
        <f t="shared" si="115"/>
        <v/>
      </c>
      <c r="AM339" s="5" t="str">
        <f t="shared" si="116"/>
        <v/>
      </c>
      <c r="AN339" s="5" t="str">
        <f t="shared" si="117"/>
        <v/>
      </c>
      <c r="AO339" s="5" t="str">
        <f t="shared" si="118"/>
        <v/>
      </c>
      <c r="AP339" s="5" t="str">
        <f t="shared" si="119"/>
        <v/>
      </c>
      <c r="AQ339" s="5" t="str">
        <f t="shared" si="120"/>
        <v/>
      </c>
      <c r="AR339" s="5" t="str">
        <f t="shared" si="121"/>
        <v/>
      </c>
      <c r="AS339" s="5" t="str">
        <f t="shared" si="122"/>
        <v/>
      </c>
      <c r="AT339" s="5" t="str">
        <f t="shared" si="123"/>
        <v/>
      </c>
      <c r="AU339" s="5" t="str">
        <f t="shared" si="124"/>
        <v/>
      </c>
      <c r="AV339" s="5" t="str">
        <f t="shared" si="125"/>
        <v/>
      </c>
      <c r="AW339" s="5" t="str">
        <f t="shared" si="126"/>
        <v/>
      </c>
      <c r="AX339" s="5" t="str">
        <f t="shared" si="127"/>
        <v/>
      </c>
      <c r="AY339" s="5" t="str">
        <f t="shared" si="128"/>
        <v/>
      </c>
      <c r="AZ339" s="5" t="str">
        <f t="shared" si="129"/>
        <v/>
      </c>
      <c r="BA339" s="5" t="str">
        <f t="shared" si="130"/>
        <v/>
      </c>
      <c r="BB339" s="5" t="str">
        <f t="shared" si="131"/>
        <v/>
      </c>
    </row>
    <row r="340" spans="1:54" s="5" customFormat="1" hidden="1">
      <c r="A340" s="8" t="str">
        <f>IF(INDEX(FORM!$A:$A,ROW())="","",ROW()-1)</f>
        <v/>
      </c>
      <c r="B340" s="41" t="str">
        <f>IF($A340="","",INDEX(FORM!$A:$A,ROW()))</f>
        <v/>
      </c>
      <c r="C340" s="8" t="str">
        <f>IF($A340="","",TRIM(INDEX(FORM!$B:$B,ROW())))</f>
        <v/>
      </c>
      <c r="D340" s="8" t="str">
        <f>IF($A340="","",TRIM(INDEX(FORM!$C:$C,ROW())&amp;""))</f>
        <v/>
      </c>
      <c r="E340" s="8" t="str">
        <f>IF($A340="","",UPPER(TRIM(INDEX(FORM!$D:$D,ROW()))))</f>
        <v/>
      </c>
      <c r="F340" s="8" t="str">
        <f>IF($A340="","",IFERROR(INDEX(PROGRES!$A$2:$A$92,MATCH(E340,PROGRES!$B$2:$B$92,0)),"-"))</f>
        <v/>
      </c>
      <c r="G340" s="8" t="str">
        <f>IF($A340="","",UPPER(TRIM(INDEX(FORM!$F:$F,ROW()))))</f>
        <v/>
      </c>
      <c r="H340" s="8" t="str">
        <f>IF($A340="","",UPPER(TRIM(INDEX(FORM!$E:$E,ROW()))))</f>
        <v/>
      </c>
      <c r="I340" s="8" t="str">
        <f>IF($A340="","",UPPER(TRIM(INDEX(FORM!$G:$G,ROW()))))</f>
        <v/>
      </c>
      <c r="J340" s="8" t="str">
        <f>IF($A340="","",IF(ISNUMBER(SEARCH("Ya,",INDEX(FORM!$H:$H,ROW()))),"YA",IF(ISNUMBER(SEARCH("Cukup,",INDEX(FORM!$H:$H,ROW()))),"CUKUP",IF(ISNUMBER(SEARCH("Kurang,",INDEX(FORM!$H:$H,ROW()))),"KURANG",""))))</f>
        <v/>
      </c>
      <c r="K340" s="8" t="str">
        <f>IF($A340="","",UPPER(TRIM(INDEX(FORM!$J:$J,ROW()))))</f>
        <v/>
      </c>
      <c r="L340" s="8" t="str">
        <f>IF($A340="","",IF(ISNUMBER(SEARCH("Aktivitas Harian",INDEX(FORM!$K:$K,ROW()))),1,0))</f>
        <v/>
      </c>
      <c r="M340" s="8" t="str">
        <f>IF($A340="","",IF(ISNUMBER(SEARCH("Aktivitas Mingguan",INDEX(FORM!$K:$K,ROW()))),1,0))</f>
        <v/>
      </c>
      <c r="N340" s="8" t="str">
        <f>IF($A340="","",IF(ISNUMBER(SEARCH("Aktivitas Bulanan",INDEX(FORM!$K:$K,ROW()))),1,0))</f>
        <v/>
      </c>
      <c r="O340" s="8" t="str">
        <f>IF($A340="","",IF(ISNUMBER(SEARCH("Overview Cabang",INDEX(FORM!$K:$K,ROW()))),1,0))</f>
        <v/>
      </c>
      <c r="P340" s="8" t="str">
        <f>IF($A340="","",IFERROR(VLOOKUP(I340,DATA!$AH$9:$AI$13,2,0),""))</f>
        <v/>
      </c>
      <c r="Q340" s="8" t="str">
        <f>IF($A340="","",IFERROR(VLOOKUP(J340,DATA!$AH$9:$AI$13,2,0),""))</f>
        <v/>
      </c>
      <c r="R340" s="8" t="str">
        <f>IF($A340="","",IFERROR(VLOOKUP(K340,DATA!$AH$9:$AI$13,2,0),""))</f>
        <v/>
      </c>
      <c r="S340" s="42" t="str">
        <f t="shared" si="110"/>
        <v/>
      </c>
      <c r="T340" s="8" t="str">
        <f>IF($A340="","",IF(COUNTIF($D$2:D340,D340)=1,1,0))</f>
        <v/>
      </c>
      <c r="U340" s="8" t="str">
        <f>IF($A340="","",IF(F340="-","Cabang tdk ada",IF(IFERROR(VLOOKUP(G340,#REF!,1,0),"")="","",IF(INDEX(DATA!$AH$2:$AH$5,MATCH(G340,DATA!$AI$2:$AI$5,0))&lt;&gt;F340,"Wilayah beda","OK"))))</f>
        <v/>
      </c>
      <c r="V340" s="8" t="str">
        <f>IF($A340="","",TRIM(INDEX(FORM!$I:$I,ROW())&amp;""))</f>
        <v/>
      </c>
      <c r="W340" s="8" t="str">
        <f>IF($A340="","",TRIM(INDEX(FORM!$L:$L,ROW())&amp;""))</f>
        <v/>
      </c>
      <c r="X340" s="8" t="str">
        <f>IF($A340="","",TRIM(INDEX(FORM!$M:$M,ROW())&amp;""))</f>
        <v/>
      </c>
      <c r="Y340" s="8" t="str">
        <f>IF($A340="","",IFERROR(MATCH(F340,DATA!$AH$2:$AH$5,0),9)*10000+A340)</f>
        <v/>
      </c>
      <c r="Z340" s="8" t="str">
        <f t="shared" si="111"/>
        <v/>
      </c>
      <c r="AA340" s="8" t="str">
        <f t="shared" si="112"/>
        <v/>
      </c>
      <c r="AB340" s="8" t="str">
        <f t="shared" si="113"/>
        <v/>
      </c>
      <c r="AC340" s="8"/>
      <c r="AD340" s="8"/>
      <c r="AE340" s="8"/>
      <c r="AK340" s="5" t="str">
        <f t="shared" si="114"/>
        <v/>
      </c>
      <c r="AL340" s="5" t="str">
        <f t="shared" si="115"/>
        <v/>
      </c>
      <c r="AM340" s="5" t="str">
        <f t="shared" si="116"/>
        <v/>
      </c>
      <c r="AN340" s="5" t="str">
        <f t="shared" si="117"/>
        <v/>
      </c>
      <c r="AO340" s="5" t="str">
        <f t="shared" si="118"/>
        <v/>
      </c>
      <c r="AP340" s="5" t="str">
        <f t="shared" si="119"/>
        <v/>
      </c>
      <c r="AQ340" s="5" t="str">
        <f t="shared" si="120"/>
        <v/>
      </c>
      <c r="AR340" s="5" t="str">
        <f t="shared" si="121"/>
        <v/>
      </c>
      <c r="AS340" s="5" t="str">
        <f t="shared" si="122"/>
        <v/>
      </c>
      <c r="AT340" s="5" t="str">
        <f t="shared" si="123"/>
        <v/>
      </c>
      <c r="AU340" s="5" t="str">
        <f t="shared" si="124"/>
        <v/>
      </c>
      <c r="AV340" s="5" t="str">
        <f t="shared" si="125"/>
        <v/>
      </c>
      <c r="AW340" s="5" t="str">
        <f t="shared" si="126"/>
        <v/>
      </c>
      <c r="AX340" s="5" t="str">
        <f t="shared" si="127"/>
        <v/>
      </c>
      <c r="AY340" s="5" t="str">
        <f t="shared" si="128"/>
        <v/>
      </c>
      <c r="AZ340" s="5" t="str">
        <f t="shared" si="129"/>
        <v/>
      </c>
      <c r="BA340" s="5" t="str">
        <f t="shared" si="130"/>
        <v/>
      </c>
      <c r="BB340" s="5" t="str">
        <f t="shared" si="131"/>
        <v/>
      </c>
    </row>
    <row r="341" spans="1:54" s="5" customFormat="1" hidden="1">
      <c r="A341" s="8" t="str">
        <f>IF(INDEX(FORM!$A:$A,ROW())="","",ROW()-1)</f>
        <v/>
      </c>
      <c r="B341" s="41" t="str">
        <f>IF($A341="","",INDEX(FORM!$A:$A,ROW()))</f>
        <v/>
      </c>
      <c r="C341" s="8" t="str">
        <f>IF($A341="","",TRIM(INDEX(FORM!$B:$B,ROW())))</f>
        <v/>
      </c>
      <c r="D341" s="8" t="str">
        <f>IF($A341="","",TRIM(INDEX(FORM!$C:$C,ROW())&amp;""))</f>
        <v/>
      </c>
      <c r="E341" s="8" t="str">
        <f>IF($A341="","",UPPER(TRIM(INDEX(FORM!$D:$D,ROW()))))</f>
        <v/>
      </c>
      <c r="F341" s="8" t="str">
        <f>IF($A341="","",IFERROR(INDEX(PROGRES!$A$2:$A$92,MATCH(E341,PROGRES!$B$2:$B$92,0)),"-"))</f>
        <v/>
      </c>
      <c r="G341" s="8" t="str">
        <f>IF($A341="","",UPPER(TRIM(INDEX(FORM!$F:$F,ROW()))))</f>
        <v/>
      </c>
      <c r="H341" s="8" t="str">
        <f>IF($A341="","",UPPER(TRIM(INDEX(FORM!$E:$E,ROW()))))</f>
        <v/>
      </c>
      <c r="I341" s="8" t="str">
        <f>IF($A341="","",UPPER(TRIM(INDEX(FORM!$G:$G,ROW()))))</f>
        <v/>
      </c>
      <c r="J341" s="8" t="str">
        <f>IF($A341="","",IF(ISNUMBER(SEARCH("Ya,",INDEX(FORM!$H:$H,ROW()))),"YA",IF(ISNUMBER(SEARCH("Cukup,",INDEX(FORM!$H:$H,ROW()))),"CUKUP",IF(ISNUMBER(SEARCH("Kurang,",INDEX(FORM!$H:$H,ROW()))),"KURANG",""))))</f>
        <v/>
      </c>
      <c r="K341" s="8" t="str">
        <f>IF($A341="","",UPPER(TRIM(INDEX(FORM!$J:$J,ROW()))))</f>
        <v/>
      </c>
      <c r="L341" s="8" t="str">
        <f>IF($A341="","",IF(ISNUMBER(SEARCH("Aktivitas Harian",INDEX(FORM!$K:$K,ROW()))),1,0))</f>
        <v/>
      </c>
      <c r="M341" s="8" t="str">
        <f>IF($A341="","",IF(ISNUMBER(SEARCH("Aktivitas Mingguan",INDEX(FORM!$K:$K,ROW()))),1,0))</f>
        <v/>
      </c>
      <c r="N341" s="8" t="str">
        <f>IF($A341="","",IF(ISNUMBER(SEARCH("Aktivitas Bulanan",INDEX(FORM!$K:$K,ROW()))),1,0))</f>
        <v/>
      </c>
      <c r="O341" s="8" t="str">
        <f>IF($A341="","",IF(ISNUMBER(SEARCH("Overview Cabang",INDEX(FORM!$K:$K,ROW()))),1,0))</f>
        <v/>
      </c>
      <c r="P341" s="8" t="str">
        <f>IF($A341="","",IFERROR(VLOOKUP(I341,DATA!$AH$9:$AI$13,2,0),""))</f>
        <v/>
      </c>
      <c r="Q341" s="8" t="str">
        <f>IF($A341="","",IFERROR(VLOOKUP(J341,DATA!$AH$9:$AI$13,2,0),""))</f>
        <v/>
      </c>
      <c r="R341" s="8" t="str">
        <f>IF($A341="","",IFERROR(VLOOKUP(K341,DATA!$AH$9:$AI$13,2,0),""))</f>
        <v/>
      </c>
      <c r="S341" s="42" t="str">
        <f t="shared" si="110"/>
        <v/>
      </c>
      <c r="T341" s="8" t="str">
        <f>IF($A341="","",IF(COUNTIF($D$2:D341,D341)=1,1,0))</f>
        <v/>
      </c>
      <c r="U341" s="8" t="str">
        <f>IF($A341="","",IF(F341="-","Cabang tdk ada",IF(IFERROR(VLOOKUP(G341,#REF!,1,0),"")="","",IF(INDEX(DATA!$AH$2:$AH$5,MATCH(G341,DATA!$AI$2:$AI$5,0))&lt;&gt;F341,"Wilayah beda","OK"))))</f>
        <v/>
      </c>
      <c r="V341" s="8" t="str">
        <f>IF($A341="","",TRIM(INDEX(FORM!$I:$I,ROW())&amp;""))</f>
        <v/>
      </c>
      <c r="W341" s="8" t="str">
        <f>IF($A341="","",TRIM(INDEX(FORM!$L:$L,ROW())&amp;""))</f>
        <v/>
      </c>
      <c r="X341" s="8" t="str">
        <f>IF($A341="","",TRIM(INDEX(FORM!$M:$M,ROW())&amp;""))</f>
        <v/>
      </c>
      <c r="Y341" s="8" t="str">
        <f>IF($A341="","",IFERROR(MATCH(F341,DATA!$AH$2:$AH$5,0),9)*10000+A341)</f>
        <v/>
      </c>
      <c r="Z341" s="8" t="str">
        <f t="shared" si="111"/>
        <v/>
      </c>
      <c r="AA341" s="8" t="str">
        <f t="shared" si="112"/>
        <v/>
      </c>
      <c r="AB341" s="8" t="str">
        <f t="shared" si="113"/>
        <v/>
      </c>
      <c r="AC341" s="8"/>
      <c r="AD341" s="8"/>
      <c r="AE341" s="8"/>
      <c r="AK341" s="5" t="str">
        <f t="shared" si="114"/>
        <v/>
      </c>
      <c r="AL341" s="5" t="str">
        <f t="shared" si="115"/>
        <v/>
      </c>
      <c r="AM341" s="5" t="str">
        <f t="shared" si="116"/>
        <v/>
      </c>
      <c r="AN341" s="5" t="str">
        <f t="shared" si="117"/>
        <v/>
      </c>
      <c r="AO341" s="5" t="str">
        <f t="shared" si="118"/>
        <v/>
      </c>
      <c r="AP341" s="5" t="str">
        <f t="shared" si="119"/>
        <v/>
      </c>
      <c r="AQ341" s="5" t="str">
        <f t="shared" si="120"/>
        <v/>
      </c>
      <c r="AR341" s="5" t="str">
        <f t="shared" si="121"/>
        <v/>
      </c>
      <c r="AS341" s="5" t="str">
        <f t="shared" si="122"/>
        <v/>
      </c>
      <c r="AT341" s="5" t="str">
        <f t="shared" si="123"/>
        <v/>
      </c>
      <c r="AU341" s="5" t="str">
        <f t="shared" si="124"/>
        <v/>
      </c>
      <c r="AV341" s="5" t="str">
        <f t="shared" si="125"/>
        <v/>
      </c>
      <c r="AW341" s="5" t="str">
        <f t="shared" si="126"/>
        <v/>
      </c>
      <c r="AX341" s="5" t="str">
        <f t="shared" si="127"/>
        <v/>
      </c>
      <c r="AY341" s="5" t="str">
        <f t="shared" si="128"/>
        <v/>
      </c>
      <c r="AZ341" s="5" t="str">
        <f t="shared" si="129"/>
        <v/>
      </c>
      <c r="BA341" s="5" t="str">
        <f t="shared" si="130"/>
        <v/>
      </c>
      <c r="BB341" s="5" t="str">
        <f t="shared" si="131"/>
        <v/>
      </c>
    </row>
    <row r="342" spans="1:54" s="5" customFormat="1" hidden="1">
      <c r="A342" s="8" t="str">
        <f>IF(INDEX(FORM!$A:$A,ROW())="","",ROW()-1)</f>
        <v/>
      </c>
      <c r="B342" s="41" t="str">
        <f>IF($A342="","",INDEX(FORM!$A:$A,ROW()))</f>
        <v/>
      </c>
      <c r="C342" s="8" t="str">
        <f>IF($A342="","",TRIM(INDEX(FORM!$B:$B,ROW())))</f>
        <v/>
      </c>
      <c r="D342" s="8" t="str">
        <f>IF($A342="","",TRIM(INDEX(FORM!$C:$C,ROW())&amp;""))</f>
        <v/>
      </c>
      <c r="E342" s="8" t="str">
        <f>IF($A342="","",UPPER(TRIM(INDEX(FORM!$D:$D,ROW()))))</f>
        <v/>
      </c>
      <c r="F342" s="8" t="str">
        <f>IF($A342="","",IFERROR(INDEX(PROGRES!$A$2:$A$92,MATCH(E342,PROGRES!$B$2:$B$92,0)),"-"))</f>
        <v/>
      </c>
      <c r="G342" s="8" t="str">
        <f>IF($A342="","",UPPER(TRIM(INDEX(FORM!$F:$F,ROW()))))</f>
        <v/>
      </c>
      <c r="H342" s="8" t="str">
        <f>IF($A342="","",UPPER(TRIM(INDEX(FORM!$E:$E,ROW()))))</f>
        <v/>
      </c>
      <c r="I342" s="8" t="str">
        <f>IF($A342="","",UPPER(TRIM(INDEX(FORM!$G:$G,ROW()))))</f>
        <v/>
      </c>
      <c r="J342" s="8" t="str">
        <f>IF($A342="","",IF(ISNUMBER(SEARCH("Ya,",INDEX(FORM!$H:$H,ROW()))),"YA",IF(ISNUMBER(SEARCH("Cukup,",INDEX(FORM!$H:$H,ROW()))),"CUKUP",IF(ISNUMBER(SEARCH("Kurang,",INDEX(FORM!$H:$H,ROW()))),"KURANG",""))))</f>
        <v/>
      </c>
      <c r="K342" s="8" t="str">
        <f>IF($A342="","",UPPER(TRIM(INDEX(FORM!$J:$J,ROW()))))</f>
        <v/>
      </c>
      <c r="L342" s="8" t="str">
        <f>IF($A342="","",IF(ISNUMBER(SEARCH("Aktivitas Harian",INDEX(FORM!$K:$K,ROW()))),1,0))</f>
        <v/>
      </c>
      <c r="M342" s="8" t="str">
        <f>IF($A342="","",IF(ISNUMBER(SEARCH("Aktivitas Mingguan",INDEX(FORM!$K:$K,ROW()))),1,0))</f>
        <v/>
      </c>
      <c r="N342" s="8" t="str">
        <f>IF($A342="","",IF(ISNUMBER(SEARCH("Aktivitas Bulanan",INDEX(FORM!$K:$K,ROW()))),1,0))</f>
        <v/>
      </c>
      <c r="O342" s="8" t="str">
        <f>IF($A342="","",IF(ISNUMBER(SEARCH("Overview Cabang",INDEX(FORM!$K:$K,ROW()))),1,0))</f>
        <v/>
      </c>
      <c r="P342" s="8" t="str">
        <f>IF($A342="","",IFERROR(VLOOKUP(I342,DATA!$AH$9:$AI$13,2,0),""))</f>
        <v/>
      </c>
      <c r="Q342" s="8" t="str">
        <f>IF($A342="","",IFERROR(VLOOKUP(J342,DATA!$AH$9:$AI$13,2,0),""))</f>
        <v/>
      </c>
      <c r="R342" s="8" t="str">
        <f>IF($A342="","",IFERROR(VLOOKUP(K342,DATA!$AH$9:$AI$13,2,0),""))</f>
        <v/>
      </c>
      <c r="S342" s="42" t="str">
        <f t="shared" si="110"/>
        <v/>
      </c>
      <c r="T342" s="8" t="str">
        <f>IF($A342="","",IF(COUNTIF($D$2:D342,D342)=1,1,0))</f>
        <v/>
      </c>
      <c r="U342" s="8" t="str">
        <f>IF($A342="","",IF(F342="-","Cabang tdk ada",IF(IFERROR(VLOOKUP(G342,#REF!,1,0),"")="","",IF(INDEX(DATA!$AH$2:$AH$5,MATCH(G342,DATA!$AI$2:$AI$5,0))&lt;&gt;F342,"Wilayah beda","OK"))))</f>
        <v/>
      </c>
      <c r="V342" s="8" t="str">
        <f>IF($A342="","",TRIM(INDEX(FORM!$I:$I,ROW())&amp;""))</f>
        <v/>
      </c>
      <c r="W342" s="8" t="str">
        <f>IF($A342="","",TRIM(INDEX(FORM!$L:$L,ROW())&amp;""))</f>
        <v/>
      </c>
      <c r="X342" s="8" t="str">
        <f>IF($A342="","",TRIM(INDEX(FORM!$M:$M,ROW())&amp;""))</f>
        <v/>
      </c>
      <c r="Y342" s="8" t="str">
        <f>IF($A342="","",IFERROR(MATCH(F342,DATA!$AH$2:$AH$5,0),9)*10000+A342)</f>
        <v/>
      </c>
      <c r="Z342" s="8" t="str">
        <f t="shared" si="111"/>
        <v/>
      </c>
      <c r="AA342" s="8" t="str">
        <f t="shared" si="112"/>
        <v/>
      </c>
      <c r="AB342" s="8" t="str">
        <f t="shared" si="113"/>
        <v/>
      </c>
      <c r="AC342" s="8"/>
      <c r="AD342" s="8"/>
      <c r="AE342" s="8"/>
      <c r="AK342" s="5" t="str">
        <f t="shared" si="114"/>
        <v/>
      </c>
      <c r="AL342" s="5" t="str">
        <f t="shared" si="115"/>
        <v/>
      </c>
      <c r="AM342" s="5" t="str">
        <f t="shared" si="116"/>
        <v/>
      </c>
      <c r="AN342" s="5" t="str">
        <f t="shared" si="117"/>
        <v/>
      </c>
      <c r="AO342" s="5" t="str">
        <f t="shared" si="118"/>
        <v/>
      </c>
      <c r="AP342" s="5" t="str">
        <f t="shared" si="119"/>
        <v/>
      </c>
      <c r="AQ342" s="5" t="str">
        <f t="shared" si="120"/>
        <v/>
      </c>
      <c r="AR342" s="5" t="str">
        <f t="shared" si="121"/>
        <v/>
      </c>
      <c r="AS342" s="5" t="str">
        <f t="shared" si="122"/>
        <v/>
      </c>
      <c r="AT342" s="5" t="str">
        <f t="shared" si="123"/>
        <v/>
      </c>
      <c r="AU342" s="5" t="str">
        <f t="shared" si="124"/>
        <v/>
      </c>
      <c r="AV342" s="5" t="str">
        <f t="shared" si="125"/>
        <v/>
      </c>
      <c r="AW342" s="5" t="str">
        <f t="shared" si="126"/>
        <v/>
      </c>
      <c r="AX342" s="5" t="str">
        <f t="shared" si="127"/>
        <v/>
      </c>
      <c r="AY342" s="5" t="str">
        <f t="shared" si="128"/>
        <v/>
      </c>
      <c r="AZ342" s="5" t="str">
        <f t="shared" si="129"/>
        <v/>
      </c>
      <c r="BA342" s="5" t="str">
        <f t="shared" si="130"/>
        <v/>
      </c>
      <c r="BB342" s="5" t="str">
        <f t="shared" si="131"/>
        <v/>
      </c>
    </row>
    <row r="343" spans="1:54" s="5" customFormat="1" hidden="1">
      <c r="A343" s="8" t="str">
        <f>IF(INDEX(FORM!$A:$A,ROW())="","",ROW()-1)</f>
        <v/>
      </c>
      <c r="B343" s="41" t="str">
        <f>IF($A343="","",INDEX(FORM!$A:$A,ROW()))</f>
        <v/>
      </c>
      <c r="C343" s="8" t="str">
        <f>IF($A343="","",TRIM(INDEX(FORM!$B:$B,ROW())))</f>
        <v/>
      </c>
      <c r="D343" s="8" t="str">
        <f>IF($A343="","",TRIM(INDEX(FORM!$C:$C,ROW())&amp;""))</f>
        <v/>
      </c>
      <c r="E343" s="8" t="str">
        <f>IF($A343="","",UPPER(TRIM(INDEX(FORM!$D:$D,ROW()))))</f>
        <v/>
      </c>
      <c r="F343" s="8" t="str">
        <f>IF($A343="","",IFERROR(INDEX(PROGRES!$A$2:$A$92,MATCH(E343,PROGRES!$B$2:$B$92,0)),"-"))</f>
        <v/>
      </c>
      <c r="G343" s="8" t="str">
        <f>IF($A343="","",UPPER(TRIM(INDEX(FORM!$F:$F,ROW()))))</f>
        <v/>
      </c>
      <c r="H343" s="8" t="str">
        <f>IF($A343="","",UPPER(TRIM(INDEX(FORM!$E:$E,ROW()))))</f>
        <v/>
      </c>
      <c r="I343" s="8" t="str">
        <f>IF($A343="","",UPPER(TRIM(INDEX(FORM!$G:$G,ROW()))))</f>
        <v/>
      </c>
      <c r="J343" s="8" t="str">
        <f>IF($A343="","",IF(ISNUMBER(SEARCH("Ya,",INDEX(FORM!$H:$H,ROW()))),"YA",IF(ISNUMBER(SEARCH("Cukup,",INDEX(FORM!$H:$H,ROW()))),"CUKUP",IF(ISNUMBER(SEARCH("Kurang,",INDEX(FORM!$H:$H,ROW()))),"KURANG",""))))</f>
        <v/>
      </c>
      <c r="K343" s="8" t="str">
        <f>IF($A343="","",UPPER(TRIM(INDEX(FORM!$J:$J,ROW()))))</f>
        <v/>
      </c>
      <c r="L343" s="8" t="str">
        <f>IF($A343="","",IF(ISNUMBER(SEARCH("Aktivitas Harian",INDEX(FORM!$K:$K,ROW()))),1,0))</f>
        <v/>
      </c>
      <c r="M343" s="8" t="str">
        <f>IF($A343="","",IF(ISNUMBER(SEARCH("Aktivitas Mingguan",INDEX(FORM!$K:$K,ROW()))),1,0))</f>
        <v/>
      </c>
      <c r="N343" s="8" t="str">
        <f>IF($A343="","",IF(ISNUMBER(SEARCH("Aktivitas Bulanan",INDEX(FORM!$K:$K,ROW()))),1,0))</f>
        <v/>
      </c>
      <c r="O343" s="8" t="str">
        <f>IF($A343="","",IF(ISNUMBER(SEARCH("Overview Cabang",INDEX(FORM!$K:$K,ROW()))),1,0))</f>
        <v/>
      </c>
      <c r="P343" s="8" t="str">
        <f>IF($A343="","",IFERROR(VLOOKUP(I343,DATA!$AH$9:$AI$13,2,0),""))</f>
        <v/>
      </c>
      <c r="Q343" s="8" t="str">
        <f>IF($A343="","",IFERROR(VLOOKUP(J343,DATA!$AH$9:$AI$13,2,0),""))</f>
        <v/>
      </c>
      <c r="R343" s="8" t="str">
        <f>IF($A343="","",IFERROR(VLOOKUP(K343,DATA!$AH$9:$AI$13,2,0),""))</f>
        <v/>
      </c>
      <c r="S343" s="42" t="str">
        <f t="shared" si="110"/>
        <v/>
      </c>
      <c r="T343" s="8" t="str">
        <f>IF($A343="","",IF(COUNTIF($D$2:D343,D343)=1,1,0))</f>
        <v/>
      </c>
      <c r="U343" s="8" t="str">
        <f>IF($A343="","",IF(F343="-","Cabang tdk ada",IF(IFERROR(VLOOKUP(G343,#REF!,1,0),"")="","",IF(INDEX(DATA!$AH$2:$AH$5,MATCH(G343,DATA!$AI$2:$AI$5,0))&lt;&gt;F343,"Wilayah beda","OK"))))</f>
        <v/>
      </c>
      <c r="V343" s="8" t="str">
        <f>IF($A343="","",TRIM(INDEX(FORM!$I:$I,ROW())&amp;""))</f>
        <v/>
      </c>
      <c r="W343" s="8" t="str">
        <f>IF($A343="","",TRIM(INDEX(FORM!$L:$L,ROW())&amp;""))</f>
        <v/>
      </c>
      <c r="X343" s="8" t="str">
        <f>IF($A343="","",TRIM(INDEX(FORM!$M:$M,ROW())&amp;""))</f>
        <v/>
      </c>
      <c r="Y343" s="8" t="str">
        <f>IF($A343="","",IFERROR(MATCH(F343,DATA!$AH$2:$AH$5,0),9)*10000+A343)</f>
        <v/>
      </c>
      <c r="Z343" s="8" t="str">
        <f t="shared" si="111"/>
        <v/>
      </c>
      <c r="AA343" s="8" t="str">
        <f t="shared" si="112"/>
        <v/>
      </c>
      <c r="AB343" s="8" t="str">
        <f t="shared" si="113"/>
        <v/>
      </c>
      <c r="AC343" s="8"/>
      <c r="AD343" s="8"/>
      <c r="AE343" s="8"/>
      <c r="AK343" s="5" t="str">
        <f t="shared" si="114"/>
        <v/>
      </c>
      <c r="AL343" s="5" t="str">
        <f t="shared" si="115"/>
        <v/>
      </c>
      <c r="AM343" s="5" t="str">
        <f t="shared" si="116"/>
        <v/>
      </c>
      <c r="AN343" s="5" t="str">
        <f t="shared" si="117"/>
        <v/>
      </c>
      <c r="AO343" s="5" t="str">
        <f t="shared" si="118"/>
        <v/>
      </c>
      <c r="AP343" s="5" t="str">
        <f t="shared" si="119"/>
        <v/>
      </c>
      <c r="AQ343" s="5" t="str">
        <f t="shared" si="120"/>
        <v/>
      </c>
      <c r="AR343" s="5" t="str">
        <f t="shared" si="121"/>
        <v/>
      </c>
      <c r="AS343" s="5" t="str">
        <f t="shared" si="122"/>
        <v/>
      </c>
      <c r="AT343" s="5" t="str">
        <f t="shared" si="123"/>
        <v/>
      </c>
      <c r="AU343" s="5" t="str">
        <f t="shared" si="124"/>
        <v/>
      </c>
      <c r="AV343" s="5" t="str">
        <f t="shared" si="125"/>
        <v/>
      </c>
      <c r="AW343" s="5" t="str">
        <f t="shared" si="126"/>
        <v/>
      </c>
      <c r="AX343" s="5" t="str">
        <f t="shared" si="127"/>
        <v/>
      </c>
      <c r="AY343" s="5" t="str">
        <f t="shared" si="128"/>
        <v/>
      </c>
      <c r="AZ343" s="5" t="str">
        <f t="shared" si="129"/>
        <v/>
      </c>
      <c r="BA343" s="5" t="str">
        <f t="shared" si="130"/>
        <v/>
      </c>
      <c r="BB343" s="5" t="str">
        <f t="shared" si="131"/>
        <v/>
      </c>
    </row>
    <row r="344" spans="1:54" s="5" customFormat="1" hidden="1">
      <c r="A344" s="8" t="str">
        <f>IF(INDEX(FORM!$A:$A,ROW())="","",ROW()-1)</f>
        <v/>
      </c>
      <c r="B344" s="41" t="str">
        <f>IF($A344="","",INDEX(FORM!$A:$A,ROW()))</f>
        <v/>
      </c>
      <c r="C344" s="8" t="str">
        <f>IF($A344="","",TRIM(INDEX(FORM!$B:$B,ROW())))</f>
        <v/>
      </c>
      <c r="D344" s="8" t="str">
        <f>IF($A344="","",TRIM(INDEX(FORM!$C:$C,ROW())&amp;""))</f>
        <v/>
      </c>
      <c r="E344" s="8" t="str">
        <f>IF($A344="","",UPPER(TRIM(INDEX(FORM!$D:$D,ROW()))))</f>
        <v/>
      </c>
      <c r="F344" s="8" t="str">
        <f>IF($A344="","",IFERROR(INDEX(PROGRES!$A$2:$A$92,MATCH(E344,PROGRES!$B$2:$B$92,0)),"-"))</f>
        <v/>
      </c>
      <c r="G344" s="8" t="str">
        <f>IF($A344="","",UPPER(TRIM(INDEX(FORM!$F:$F,ROW()))))</f>
        <v/>
      </c>
      <c r="H344" s="8" t="str">
        <f>IF($A344="","",UPPER(TRIM(INDEX(FORM!$E:$E,ROW()))))</f>
        <v/>
      </c>
      <c r="I344" s="8" t="str">
        <f>IF($A344="","",UPPER(TRIM(INDEX(FORM!$G:$G,ROW()))))</f>
        <v/>
      </c>
      <c r="J344" s="8" t="str">
        <f>IF($A344="","",IF(ISNUMBER(SEARCH("Ya,",INDEX(FORM!$H:$H,ROW()))),"YA",IF(ISNUMBER(SEARCH("Cukup,",INDEX(FORM!$H:$H,ROW()))),"CUKUP",IF(ISNUMBER(SEARCH("Kurang,",INDEX(FORM!$H:$H,ROW()))),"KURANG",""))))</f>
        <v/>
      </c>
      <c r="K344" s="8" t="str">
        <f>IF($A344="","",UPPER(TRIM(INDEX(FORM!$J:$J,ROW()))))</f>
        <v/>
      </c>
      <c r="L344" s="8" t="str">
        <f>IF($A344="","",IF(ISNUMBER(SEARCH("Aktivitas Harian",INDEX(FORM!$K:$K,ROW()))),1,0))</f>
        <v/>
      </c>
      <c r="M344" s="8" t="str">
        <f>IF($A344="","",IF(ISNUMBER(SEARCH("Aktivitas Mingguan",INDEX(FORM!$K:$K,ROW()))),1,0))</f>
        <v/>
      </c>
      <c r="N344" s="8" t="str">
        <f>IF($A344="","",IF(ISNUMBER(SEARCH("Aktivitas Bulanan",INDEX(FORM!$K:$K,ROW()))),1,0))</f>
        <v/>
      </c>
      <c r="O344" s="8" t="str">
        <f>IF($A344="","",IF(ISNUMBER(SEARCH("Overview Cabang",INDEX(FORM!$K:$K,ROW()))),1,0))</f>
        <v/>
      </c>
      <c r="P344" s="8" t="str">
        <f>IF($A344="","",IFERROR(VLOOKUP(I344,DATA!$AH$9:$AI$13,2,0),""))</f>
        <v/>
      </c>
      <c r="Q344" s="8" t="str">
        <f>IF($A344="","",IFERROR(VLOOKUP(J344,DATA!$AH$9:$AI$13,2,0),""))</f>
        <v/>
      </c>
      <c r="R344" s="8" t="str">
        <f>IF($A344="","",IFERROR(VLOOKUP(K344,DATA!$AH$9:$AI$13,2,0),""))</f>
        <v/>
      </c>
      <c r="S344" s="42" t="str">
        <f t="shared" si="110"/>
        <v/>
      </c>
      <c r="T344" s="8" t="str">
        <f>IF($A344="","",IF(COUNTIF($D$2:D344,D344)=1,1,0))</f>
        <v/>
      </c>
      <c r="U344" s="8" t="str">
        <f>IF($A344="","",IF(F344="-","Cabang tdk ada",IF(IFERROR(VLOOKUP(G344,#REF!,1,0),"")="","",IF(INDEX(DATA!$AH$2:$AH$5,MATCH(G344,DATA!$AI$2:$AI$5,0))&lt;&gt;F344,"Wilayah beda","OK"))))</f>
        <v/>
      </c>
      <c r="V344" s="8" t="str">
        <f>IF($A344="","",TRIM(INDEX(FORM!$I:$I,ROW())&amp;""))</f>
        <v/>
      </c>
      <c r="W344" s="8" t="str">
        <f>IF($A344="","",TRIM(INDEX(FORM!$L:$L,ROW())&amp;""))</f>
        <v/>
      </c>
      <c r="X344" s="8" t="str">
        <f>IF($A344="","",TRIM(INDEX(FORM!$M:$M,ROW())&amp;""))</f>
        <v/>
      </c>
      <c r="Y344" s="8" t="str">
        <f>IF($A344="","",IFERROR(MATCH(F344,DATA!$AH$2:$AH$5,0),9)*10000+A344)</f>
        <v/>
      </c>
      <c r="Z344" s="8" t="str">
        <f t="shared" si="111"/>
        <v/>
      </c>
      <c r="AA344" s="8" t="str">
        <f t="shared" si="112"/>
        <v/>
      </c>
      <c r="AB344" s="8" t="str">
        <f t="shared" si="113"/>
        <v/>
      </c>
      <c r="AC344" s="8"/>
      <c r="AD344" s="8"/>
      <c r="AE344" s="8"/>
      <c r="AK344" s="5" t="str">
        <f t="shared" si="114"/>
        <v/>
      </c>
      <c r="AL344" s="5" t="str">
        <f t="shared" si="115"/>
        <v/>
      </c>
      <c r="AM344" s="5" t="str">
        <f t="shared" si="116"/>
        <v/>
      </c>
      <c r="AN344" s="5" t="str">
        <f t="shared" si="117"/>
        <v/>
      </c>
      <c r="AO344" s="5" t="str">
        <f t="shared" si="118"/>
        <v/>
      </c>
      <c r="AP344" s="5" t="str">
        <f t="shared" si="119"/>
        <v/>
      </c>
      <c r="AQ344" s="5" t="str">
        <f t="shared" si="120"/>
        <v/>
      </c>
      <c r="AR344" s="5" t="str">
        <f t="shared" si="121"/>
        <v/>
      </c>
      <c r="AS344" s="5" t="str">
        <f t="shared" si="122"/>
        <v/>
      </c>
      <c r="AT344" s="5" t="str">
        <f t="shared" si="123"/>
        <v/>
      </c>
      <c r="AU344" s="5" t="str">
        <f t="shared" si="124"/>
        <v/>
      </c>
      <c r="AV344" s="5" t="str">
        <f t="shared" si="125"/>
        <v/>
      </c>
      <c r="AW344" s="5" t="str">
        <f t="shared" si="126"/>
        <v/>
      </c>
      <c r="AX344" s="5" t="str">
        <f t="shared" si="127"/>
        <v/>
      </c>
      <c r="AY344" s="5" t="str">
        <f t="shared" si="128"/>
        <v/>
      </c>
      <c r="AZ344" s="5" t="str">
        <f t="shared" si="129"/>
        <v/>
      </c>
      <c r="BA344" s="5" t="str">
        <f t="shared" si="130"/>
        <v/>
      </c>
      <c r="BB344" s="5" t="str">
        <f t="shared" si="131"/>
        <v/>
      </c>
    </row>
    <row r="345" spans="1:54" s="5" customFormat="1" hidden="1">
      <c r="A345" s="8" t="str">
        <f>IF(INDEX(FORM!$A:$A,ROW())="","",ROW()-1)</f>
        <v/>
      </c>
      <c r="B345" s="41" t="str">
        <f>IF($A345="","",INDEX(FORM!$A:$A,ROW()))</f>
        <v/>
      </c>
      <c r="C345" s="8" t="str">
        <f>IF($A345="","",TRIM(INDEX(FORM!$B:$B,ROW())))</f>
        <v/>
      </c>
      <c r="D345" s="8" t="str">
        <f>IF($A345="","",TRIM(INDEX(FORM!$C:$C,ROW())&amp;""))</f>
        <v/>
      </c>
      <c r="E345" s="8" t="str">
        <f>IF($A345="","",UPPER(TRIM(INDEX(FORM!$D:$D,ROW()))))</f>
        <v/>
      </c>
      <c r="F345" s="8" t="str">
        <f>IF($A345="","",IFERROR(INDEX(PROGRES!$A$2:$A$92,MATCH(E345,PROGRES!$B$2:$B$92,0)),"-"))</f>
        <v/>
      </c>
      <c r="G345" s="8" t="str">
        <f>IF($A345="","",UPPER(TRIM(INDEX(FORM!$F:$F,ROW()))))</f>
        <v/>
      </c>
      <c r="H345" s="8" t="str">
        <f>IF($A345="","",UPPER(TRIM(INDEX(FORM!$E:$E,ROW()))))</f>
        <v/>
      </c>
      <c r="I345" s="8" t="str">
        <f>IF($A345="","",UPPER(TRIM(INDEX(FORM!$G:$G,ROW()))))</f>
        <v/>
      </c>
      <c r="J345" s="8" t="str">
        <f>IF($A345="","",IF(ISNUMBER(SEARCH("Ya,",INDEX(FORM!$H:$H,ROW()))),"YA",IF(ISNUMBER(SEARCH("Cukup,",INDEX(FORM!$H:$H,ROW()))),"CUKUP",IF(ISNUMBER(SEARCH("Kurang,",INDEX(FORM!$H:$H,ROW()))),"KURANG",""))))</f>
        <v/>
      </c>
      <c r="K345" s="8" t="str">
        <f>IF($A345="","",UPPER(TRIM(INDEX(FORM!$J:$J,ROW()))))</f>
        <v/>
      </c>
      <c r="L345" s="8" t="str">
        <f>IF($A345="","",IF(ISNUMBER(SEARCH("Aktivitas Harian",INDEX(FORM!$K:$K,ROW()))),1,0))</f>
        <v/>
      </c>
      <c r="M345" s="8" t="str">
        <f>IF($A345="","",IF(ISNUMBER(SEARCH("Aktivitas Mingguan",INDEX(FORM!$K:$K,ROW()))),1,0))</f>
        <v/>
      </c>
      <c r="N345" s="8" t="str">
        <f>IF($A345="","",IF(ISNUMBER(SEARCH("Aktivitas Bulanan",INDEX(FORM!$K:$K,ROW()))),1,0))</f>
        <v/>
      </c>
      <c r="O345" s="8" t="str">
        <f>IF($A345="","",IF(ISNUMBER(SEARCH("Overview Cabang",INDEX(FORM!$K:$K,ROW()))),1,0))</f>
        <v/>
      </c>
      <c r="P345" s="8" t="str">
        <f>IF($A345="","",IFERROR(VLOOKUP(I345,DATA!$AH$9:$AI$13,2,0),""))</f>
        <v/>
      </c>
      <c r="Q345" s="8" t="str">
        <f>IF($A345="","",IFERROR(VLOOKUP(J345,DATA!$AH$9:$AI$13,2,0),""))</f>
        <v/>
      </c>
      <c r="R345" s="8" t="str">
        <f>IF($A345="","",IFERROR(VLOOKUP(K345,DATA!$AH$9:$AI$13,2,0),""))</f>
        <v/>
      </c>
      <c r="S345" s="42" t="str">
        <f t="shared" si="110"/>
        <v/>
      </c>
      <c r="T345" s="8" t="str">
        <f>IF($A345="","",IF(COUNTIF($D$2:D345,D345)=1,1,0))</f>
        <v/>
      </c>
      <c r="U345" s="8" t="str">
        <f>IF($A345="","",IF(F345="-","Cabang tdk ada",IF(IFERROR(VLOOKUP(G345,#REF!,1,0),"")="","",IF(INDEX(DATA!$AH$2:$AH$5,MATCH(G345,DATA!$AI$2:$AI$5,0))&lt;&gt;F345,"Wilayah beda","OK"))))</f>
        <v/>
      </c>
      <c r="V345" s="8" t="str">
        <f>IF($A345="","",TRIM(INDEX(FORM!$I:$I,ROW())&amp;""))</f>
        <v/>
      </c>
      <c r="W345" s="8" t="str">
        <f>IF($A345="","",TRIM(INDEX(FORM!$L:$L,ROW())&amp;""))</f>
        <v/>
      </c>
      <c r="X345" s="8" t="str">
        <f>IF($A345="","",TRIM(INDEX(FORM!$M:$M,ROW())&amp;""))</f>
        <v/>
      </c>
      <c r="Y345" s="8" t="str">
        <f>IF($A345="","",IFERROR(MATCH(F345,DATA!$AH$2:$AH$5,0),9)*10000+A345)</f>
        <v/>
      </c>
      <c r="Z345" s="8" t="str">
        <f t="shared" si="111"/>
        <v/>
      </c>
      <c r="AA345" s="8" t="str">
        <f t="shared" si="112"/>
        <v/>
      </c>
      <c r="AB345" s="8" t="str">
        <f t="shared" si="113"/>
        <v/>
      </c>
      <c r="AC345" s="8"/>
      <c r="AD345" s="8"/>
      <c r="AE345" s="8"/>
      <c r="AK345" s="5" t="str">
        <f t="shared" si="114"/>
        <v/>
      </c>
      <c r="AL345" s="5" t="str">
        <f t="shared" si="115"/>
        <v/>
      </c>
      <c r="AM345" s="5" t="str">
        <f t="shared" si="116"/>
        <v/>
      </c>
      <c r="AN345" s="5" t="str">
        <f t="shared" si="117"/>
        <v/>
      </c>
      <c r="AO345" s="5" t="str">
        <f t="shared" si="118"/>
        <v/>
      </c>
      <c r="AP345" s="5" t="str">
        <f t="shared" si="119"/>
        <v/>
      </c>
      <c r="AQ345" s="5" t="str">
        <f t="shared" si="120"/>
        <v/>
      </c>
      <c r="AR345" s="5" t="str">
        <f t="shared" si="121"/>
        <v/>
      </c>
      <c r="AS345" s="5" t="str">
        <f t="shared" si="122"/>
        <v/>
      </c>
      <c r="AT345" s="5" t="str">
        <f t="shared" si="123"/>
        <v/>
      </c>
      <c r="AU345" s="5" t="str">
        <f t="shared" si="124"/>
        <v/>
      </c>
      <c r="AV345" s="5" t="str">
        <f t="shared" si="125"/>
        <v/>
      </c>
      <c r="AW345" s="5" t="str">
        <f t="shared" si="126"/>
        <v/>
      </c>
      <c r="AX345" s="5" t="str">
        <f t="shared" si="127"/>
        <v/>
      </c>
      <c r="AY345" s="5" t="str">
        <f t="shared" si="128"/>
        <v/>
      </c>
      <c r="AZ345" s="5" t="str">
        <f t="shared" si="129"/>
        <v/>
      </c>
      <c r="BA345" s="5" t="str">
        <f t="shared" si="130"/>
        <v/>
      </c>
      <c r="BB345" s="5" t="str">
        <f t="shared" si="131"/>
        <v/>
      </c>
    </row>
    <row r="346" spans="1:54" s="5" customFormat="1" hidden="1">
      <c r="A346" s="8" t="str">
        <f>IF(INDEX(FORM!$A:$A,ROW())="","",ROW()-1)</f>
        <v/>
      </c>
      <c r="B346" s="41" t="str">
        <f>IF($A346="","",INDEX(FORM!$A:$A,ROW()))</f>
        <v/>
      </c>
      <c r="C346" s="8" t="str">
        <f>IF($A346="","",TRIM(INDEX(FORM!$B:$B,ROW())))</f>
        <v/>
      </c>
      <c r="D346" s="8" t="str">
        <f>IF($A346="","",TRIM(INDEX(FORM!$C:$C,ROW())&amp;""))</f>
        <v/>
      </c>
      <c r="E346" s="8" t="str">
        <f>IF($A346="","",UPPER(TRIM(INDEX(FORM!$D:$D,ROW()))))</f>
        <v/>
      </c>
      <c r="F346" s="8" t="str">
        <f>IF($A346="","",IFERROR(INDEX(PROGRES!$A$2:$A$92,MATCH(E346,PROGRES!$B$2:$B$92,0)),"-"))</f>
        <v/>
      </c>
      <c r="G346" s="8" t="str">
        <f>IF($A346="","",UPPER(TRIM(INDEX(FORM!$F:$F,ROW()))))</f>
        <v/>
      </c>
      <c r="H346" s="8" t="str">
        <f>IF($A346="","",UPPER(TRIM(INDEX(FORM!$E:$E,ROW()))))</f>
        <v/>
      </c>
      <c r="I346" s="8" t="str">
        <f>IF($A346="","",UPPER(TRIM(INDEX(FORM!$G:$G,ROW()))))</f>
        <v/>
      </c>
      <c r="J346" s="8" t="str">
        <f>IF($A346="","",IF(ISNUMBER(SEARCH("Ya,",INDEX(FORM!$H:$H,ROW()))),"YA",IF(ISNUMBER(SEARCH("Cukup,",INDEX(FORM!$H:$H,ROW()))),"CUKUP",IF(ISNUMBER(SEARCH("Kurang,",INDEX(FORM!$H:$H,ROW()))),"KURANG",""))))</f>
        <v/>
      </c>
      <c r="K346" s="8" t="str">
        <f>IF($A346="","",UPPER(TRIM(INDEX(FORM!$J:$J,ROW()))))</f>
        <v/>
      </c>
      <c r="L346" s="8" t="str">
        <f>IF($A346="","",IF(ISNUMBER(SEARCH("Aktivitas Harian",INDEX(FORM!$K:$K,ROW()))),1,0))</f>
        <v/>
      </c>
      <c r="M346" s="8" t="str">
        <f>IF($A346="","",IF(ISNUMBER(SEARCH("Aktivitas Mingguan",INDEX(FORM!$K:$K,ROW()))),1,0))</f>
        <v/>
      </c>
      <c r="N346" s="8" t="str">
        <f>IF($A346="","",IF(ISNUMBER(SEARCH("Aktivitas Bulanan",INDEX(FORM!$K:$K,ROW()))),1,0))</f>
        <v/>
      </c>
      <c r="O346" s="8" t="str">
        <f>IF($A346="","",IF(ISNUMBER(SEARCH("Overview Cabang",INDEX(FORM!$K:$K,ROW()))),1,0))</f>
        <v/>
      </c>
      <c r="P346" s="8" t="str">
        <f>IF($A346="","",IFERROR(VLOOKUP(I346,DATA!$AH$9:$AI$13,2,0),""))</f>
        <v/>
      </c>
      <c r="Q346" s="8" t="str">
        <f>IF($A346="","",IFERROR(VLOOKUP(J346,DATA!$AH$9:$AI$13,2,0),""))</f>
        <v/>
      </c>
      <c r="R346" s="8" t="str">
        <f>IF($A346="","",IFERROR(VLOOKUP(K346,DATA!$AH$9:$AI$13,2,0),""))</f>
        <v/>
      </c>
      <c r="S346" s="42" t="str">
        <f t="shared" si="110"/>
        <v/>
      </c>
      <c r="T346" s="8" t="str">
        <f>IF($A346="","",IF(COUNTIF($D$2:D346,D346)=1,1,0))</f>
        <v/>
      </c>
      <c r="U346" s="8" t="str">
        <f>IF($A346="","",IF(F346="-","Cabang tdk ada",IF(IFERROR(VLOOKUP(G346,#REF!,1,0),"")="","",IF(INDEX(DATA!$AH$2:$AH$5,MATCH(G346,DATA!$AI$2:$AI$5,0))&lt;&gt;F346,"Wilayah beda","OK"))))</f>
        <v/>
      </c>
      <c r="V346" s="8" t="str">
        <f>IF($A346="","",TRIM(INDEX(FORM!$I:$I,ROW())&amp;""))</f>
        <v/>
      </c>
      <c r="W346" s="8" t="str">
        <f>IF($A346="","",TRIM(INDEX(FORM!$L:$L,ROW())&amp;""))</f>
        <v/>
      </c>
      <c r="X346" s="8" t="str">
        <f>IF($A346="","",TRIM(INDEX(FORM!$M:$M,ROW())&amp;""))</f>
        <v/>
      </c>
      <c r="Y346" s="8" t="str">
        <f>IF($A346="","",IFERROR(MATCH(F346,DATA!$AH$2:$AH$5,0),9)*10000+A346)</f>
        <v/>
      </c>
      <c r="Z346" s="8" t="str">
        <f t="shared" si="111"/>
        <v/>
      </c>
      <c r="AA346" s="8" t="str">
        <f t="shared" si="112"/>
        <v/>
      </c>
      <c r="AB346" s="8" t="str">
        <f t="shared" si="113"/>
        <v/>
      </c>
      <c r="AC346" s="8"/>
      <c r="AD346" s="8"/>
      <c r="AE346" s="8"/>
      <c r="AK346" s="5" t="str">
        <f t="shared" si="114"/>
        <v/>
      </c>
      <c r="AL346" s="5" t="str">
        <f t="shared" si="115"/>
        <v/>
      </c>
      <c r="AM346" s="5" t="str">
        <f t="shared" si="116"/>
        <v/>
      </c>
      <c r="AN346" s="5" t="str">
        <f t="shared" si="117"/>
        <v/>
      </c>
      <c r="AO346" s="5" t="str">
        <f t="shared" si="118"/>
        <v/>
      </c>
      <c r="AP346" s="5" t="str">
        <f t="shared" si="119"/>
        <v/>
      </c>
      <c r="AQ346" s="5" t="str">
        <f t="shared" si="120"/>
        <v/>
      </c>
      <c r="AR346" s="5" t="str">
        <f t="shared" si="121"/>
        <v/>
      </c>
      <c r="AS346" s="5" t="str">
        <f t="shared" si="122"/>
        <v/>
      </c>
      <c r="AT346" s="5" t="str">
        <f t="shared" si="123"/>
        <v/>
      </c>
      <c r="AU346" s="5" t="str">
        <f t="shared" si="124"/>
        <v/>
      </c>
      <c r="AV346" s="5" t="str">
        <f t="shared" si="125"/>
        <v/>
      </c>
      <c r="AW346" s="5" t="str">
        <f t="shared" si="126"/>
        <v/>
      </c>
      <c r="AX346" s="5" t="str">
        <f t="shared" si="127"/>
        <v/>
      </c>
      <c r="AY346" s="5" t="str">
        <f t="shared" si="128"/>
        <v/>
      </c>
      <c r="AZ346" s="5" t="str">
        <f t="shared" si="129"/>
        <v/>
      </c>
      <c r="BA346" s="5" t="str">
        <f t="shared" si="130"/>
        <v/>
      </c>
      <c r="BB346" s="5" t="str">
        <f t="shared" si="131"/>
        <v/>
      </c>
    </row>
    <row r="347" spans="1:54" s="5" customFormat="1" hidden="1">
      <c r="A347" s="8" t="str">
        <f>IF(INDEX(FORM!$A:$A,ROW())="","",ROW()-1)</f>
        <v/>
      </c>
      <c r="B347" s="41" t="str">
        <f>IF($A347="","",INDEX(FORM!$A:$A,ROW()))</f>
        <v/>
      </c>
      <c r="C347" s="8" t="str">
        <f>IF($A347="","",TRIM(INDEX(FORM!$B:$B,ROW())))</f>
        <v/>
      </c>
      <c r="D347" s="8" t="str">
        <f>IF($A347="","",TRIM(INDEX(FORM!$C:$C,ROW())&amp;""))</f>
        <v/>
      </c>
      <c r="E347" s="8" t="str">
        <f>IF($A347="","",UPPER(TRIM(INDEX(FORM!$D:$D,ROW()))))</f>
        <v/>
      </c>
      <c r="F347" s="8" t="str">
        <f>IF($A347="","",IFERROR(INDEX(PROGRES!$A$2:$A$92,MATCH(E347,PROGRES!$B$2:$B$92,0)),"-"))</f>
        <v/>
      </c>
      <c r="G347" s="8" t="str">
        <f>IF($A347="","",UPPER(TRIM(INDEX(FORM!$F:$F,ROW()))))</f>
        <v/>
      </c>
      <c r="H347" s="8" t="str">
        <f>IF($A347="","",UPPER(TRIM(INDEX(FORM!$E:$E,ROW()))))</f>
        <v/>
      </c>
      <c r="I347" s="8" t="str">
        <f>IF($A347="","",UPPER(TRIM(INDEX(FORM!$G:$G,ROW()))))</f>
        <v/>
      </c>
      <c r="J347" s="8" t="str">
        <f>IF($A347="","",IF(ISNUMBER(SEARCH("Ya,",INDEX(FORM!$H:$H,ROW()))),"YA",IF(ISNUMBER(SEARCH("Cukup,",INDEX(FORM!$H:$H,ROW()))),"CUKUP",IF(ISNUMBER(SEARCH("Kurang,",INDEX(FORM!$H:$H,ROW()))),"KURANG",""))))</f>
        <v/>
      </c>
      <c r="K347" s="8" t="str">
        <f>IF($A347="","",UPPER(TRIM(INDEX(FORM!$J:$J,ROW()))))</f>
        <v/>
      </c>
      <c r="L347" s="8" t="str">
        <f>IF($A347="","",IF(ISNUMBER(SEARCH("Aktivitas Harian",INDEX(FORM!$K:$K,ROW()))),1,0))</f>
        <v/>
      </c>
      <c r="M347" s="8" t="str">
        <f>IF($A347="","",IF(ISNUMBER(SEARCH("Aktivitas Mingguan",INDEX(FORM!$K:$K,ROW()))),1,0))</f>
        <v/>
      </c>
      <c r="N347" s="8" t="str">
        <f>IF($A347="","",IF(ISNUMBER(SEARCH("Aktivitas Bulanan",INDEX(FORM!$K:$K,ROW()))),1,0))</f>
        <v/>
      </c>
      <c r="O347" s="8" t="str">
        <f>IF($A347="","",IF(ISNUMBER(SEARCH("Overview Cabang",INDEX(FORM!$K:$K,ROW()))),1,0))</f>
        <v/>
      </c>
      <c r="P347" s="8" t="str">
        <f>IF($A347="","",IFERROR(VLOOKUP(I347,DATA!$AH$9:$AI$13,2,0),""))</f>
        <v/>
      </c>
      <c r="Q347" s="8" t="str">
        <f>IF($A347="","",IFERROR(VLOOKUP(J347,DATA!$AH$9:$AI$13,2,0),""))</f>
        <v/>
      </c>
      <c r="R347" s="8" t="str">
        <f>IF($A347="","",IFERROR(VLOOKUP(K347,DATA!$AH$9:$AI$13,2,0),""))</f>
        <v/>
      </c>
      <c r="S347" s="42" t="str">
        <f t="shared" si="110"/>
        <v/>
      </c>
      <c r="T347" s="8" t="str">
        <f>IF($A347="","",IF(COUNTIF($D$2:D347,D347)=1,1,0))</f>
        <v/>
      </c>
      <c r="U347" s="8" t="str">
        <f>IF($A347="","",IF(F347="-","Cabang tdk ada",IF(IFERROR(VLOOKUP(G347,#REF!,1,0),"")="","",IF(INDEX(DATA!$AH$2:$AH$5,MATCH(G347,DATA!$AI$2:$AI$5,0))&lt;&gt;F347,"Wilayah beda","OK"))))</f>
        <v/>
      </c>
      <c r="V347" s="8" t="str">
        <f>IF($A347="","",TRIM(INDEX(FORM!$I:$I,ROW())&amp;""))</f>
        <v/>
      </c>
      <c r="W347" s="8" t="str">
        <f>IF($A347="","",TRIM(INDEX(FORM!$L:$L,ROW())&amp;""))</f>
        <v/>
      </c>
      <c r="X347" s="8" t="str">
        <f>IF($A347="","",TRIM(INDEX(FORM!$M:$M,ROW())&amp;""))</f>
        <v/>
      </c>
      <c r="Y347" s="8" t="str">
        <f>IF($A347="","",IFERROR(MATCH(F347,DATA!$AH$2:$AH$5,0),9)*10000+A347)</f>
        <v/>
      </c>
      <c r="Z347" s="8" t="str">
        <f t="shared" si="111"/>
        <v/>
      </c>
      <c r="AA347" s="8" t="str">
        <f t="shared" si="112"/>
        <v/>
      </c>
      <c r="AB347" s="8" t="str">
        <f t="shared" si="113"/>
        <v/>
      </c>
      <c r="AC347" s="8"/>
      <c r="AD347" s="8"/>
      <c r="AE347" s="8"/>
      <c r="AK347" s="5" t="str">
        <f t="shared" si="114"/>
        <v/>
      </c>
      <c r="AL347" s="5" t="str">
        <f t="shared" si="115"/>
        <v/>
      </c>
      <c r="AM347" s="5" t="str">
        <f t="shared" si="116"/>
        <v/>
      </c>
      <c r="AN347" s="5" t="str">
        <f t="shared" si="117"/>
        <v/>
      </c>
      <c r="AO347" s="5" t="str">
        <f t="shared" si="118"/>
        <v/>
      </c>
      <c r="AP347" s="5" t="str">
        <f t="shared" si="119"/>
        <v/>
      </c>
      <c r="AQ347" s="5" t="str">
        <f t="shared" si="120"/>
        <v/>
      </c>
      <c r="AR347" s="5" t="str">
        <f t="shared" si="121"/>
        <v/>
      </c>
      <c r="AS347" s="5" t="str">
        <f t="shared" si="122"/>
        <v/>
      </c>
      <c r="AT347" s="5" t="str">
        <f t="shared" si="123"/>
        <v/>
      </c>
      <c r="AU347" s="5" t="str">
        <f t="shared" si="124"/>
        <v/>
      </c>
      <c r="AV347" s="5" t="str">
        <f t="shared" si="125"/>
        <v/>
      </c>
      <c r="AW347" s="5" t="str">
        <f t="shared" si="126"/>
        <v/>
      </c>
      <c r="AX347" s="5" t="str">
        <f t="shared" si="127"/>
        <v/>
      </c>
      <c r="AY347" s="5" t="str">
        <f t="shared" si="128"/>
        <v/>
      </c>
      <c r="AZ347" s="5" t="str">
        <f t="shared" si="129"/>
        <v/>
      </c>
      <c r="BA347" s="5" t="str">
        <f t="shared" si="130"/>
        <v/>
      </c>
      <c r="BB347" s="5" t="str">
        <f t="shared" si="131"/>
        <v/>
      </c>
    </row>
    <row r="348" spans="1:54" s="5" customFormat="1" hidden="1">
      <c r="A348" s="8" t="str">
        <f>IF(INDEX(FORM!$A:$A,ROW())="","",ROW()-1)</f>
        <v/>
      </c>
      <c r="B348" s="41" t="str">
        <f>IF($A348="","",INDEX(FORM!$A:$A,ROW()))</f>
        <v/>
      </c>
      <c r="C348" s="8" t="str">
        <f>IF($A348="","",TRIM(INDEX(FORM!$B:$B,ROW())))</f>
        <v/>
      </c>
      <c r="D348" s="8" t="str">
        <f>IF($A348="","",TRIM(INDEX(FORM!$C:$C,ROW())&amp;""))</f>
        <v/>
      </c>
      <c r="E348" s="8" t="str">
        <f>IF($A348="","",UPPER(TRIM(INDEX(FORM!$D:$D,ROW()))))</f>
        <v/>
      </c>
      <c r="F348" s="8" t="str">
        <f>IF($A348="","",IFERROR(INDEX(PROGRES!$A$2:$A$92,MATCH(E348,PROGRES!$B$2:$B$92,0)),"-"))</f>
        <v/>
      </c>
      <c r="G348" s="8" t="str">
        <f>IF($A348="","",UPPER(TRIM(INDEX(FORM!$F:$F,ROW()))))</f>
        <v/>
      </c>
      <c r="H348" s="8" t="str">
        <f>IF($A348="","",UPPER(TRIM(INDEX(FORM!$E:$E,ROW()))))</f>
        <v/>
      </c>
      <c r="I348" s="8" t="str">
        <f>IF($A348="","",UPPER(TRIM(INDEX(FORM!$G:$G,ROW()))))</f>
        <v/>
      </c>
      <c r="J348" s="8" t="str">
        <f>IF($A348="","",IF(ISNUMBER(SEARCH("Ya,",INDEX(FORM!$H:$H,ROW()))),"YA",IF(ISNUMBER(SEARCH("Cukup,",INDEX(FORM!$H:$H,ROW()))),"CUKUP",IF(ISNUMBER(SEARCH("Kurang,",INDEX(FORM!$H:$H,ROW()))),"KURANG",""))))</f>
        <v/>
      </c>
      <c r="K348" s="8" t="str">
        <f>IF($A348="","",UPPER(TRIM(INDEX(FORM!$J:$J,ROW()))))</f>
        <v/>
      </c>
      <c r="L348" s="8" t="str">
        <f>IF($A348="","",IF(ISNUMBER(SEARCH("Aktivitas Harian",INDEX(FORM!$K:$K,ROW()))),1,0))</f>
        <v/>
      </c>
      <c r="M348" s="8" t="str">
        <f>IF($A348="","",IF(ISNUMBER(SEARCH("Aktivitas Mingguan",INDEX(FORM!$K:$K,ROW()))),1,0))</f>
        <v/>
      </c>
      <c r="N348" s="8" t="str">
        <f>IF($A348="","",IF(ISNUMBER(SEARCH("Aktivitas Bulanan",INDEX(FORM!$K:$K,ROW()))),1,0))</f>
        <v/>
      </c>
      <c r="O348" s="8" t="str">
        <f>IF($A348="","",IF(ISNUMBER(SEARCH("Overview Cabang",INDEX(FORM!$K:$K,ROW()))),1,0))</f>
        <v/>
      </c>
      <c r="P348" s="8" t="str">
        <f>IF($A348="","",IFERROR(VLOOKUP(I348,DATA!$AH$9:$AI$13,2,0),""))</f>
        <v/>
      </c>
      <c r="Q348" s="8" t="str">
        <f>IF($A348="","",IFERROR(VLOOKUP(J348,DATA!$AH$9:$AI$13,2,0),""))</f>
        <v/>
      </c>
      <c r="R348" s="8" t="str">
        <f>IF($A348="","",IFERROR(VLOOKUP(K348,DATA!$AH$9:$AI$13,2,0),""))</f>
        <v/>
      </c>
      <c r="S348" s="42" t="str">
        <f t="shared" si="110"/>
        <v/>
      </c>
      <c r="T348" s="8" t="str">
        <f>IF($A348="","",IF(COUNTIF($D$2:D348,D348)=1,1,0))</f>
        <v/>
      </c>
      <c r="U348" s="8" t="str">
        <f>IF($A348="","",IF(F348="-","Cabang tdk ada",IF(IFERROR(VLOOKUP(G348,#REF!,1,0),"")="","",IF(INDEX(DATA!$AH$2:$AH$5,MATCH(G348,DATA!$AI$2:$AI$5,0))&lt;&gt;F348,"Wilayah beda","OK"))))</f>
        <v/>
      </c>
      <c r="V348" s="8" t="str">
        <f>IF($A348="","",TRIM(INDEX(FORM!$I:$I,ROW())&amp;""))</f>
        <v/>
      </c>
      <c r="W348" s="8" t="str">
        <f>IF($A348="","",TRIM(INDEX(FORM!$L:$L,ROW())&amp;""))</f>
        <v/>
      </c>
      <c r="X348" s="8" t="str">
        <f>IF($A348="","",TRIM(INDEX(FORM!$M:$M,ROW())&amp;""))</f>
        <v/>
      </c>
      <c r="Y348" s="8" t="str">
        <f>IF($A348="","",IFERROR(MATCH(F348,DATA!$AH$2:$AH$5,0),9)*10000+A348)</f>
        <v/>
      </c>
      <c r="Z348" s="8" t="str">
        <f t="shared" si="111"/>
        <v/>
      </c>
      <c r="AA348" s="8" t="str">
        <f t="shared" si="112"/>
        <v/>
      </c>
      <c r="AB348" s="8" t="str">
        <f t="shared" si="113"/>
        <v/>
      </c>
      <c r="AC348" s="8"/>
      <c r="AD348" s="8"/>
      <c r="AE348" s="8"/>
      <c r="AK348" s="5" t="str">
        <f t="shared" si="114"/>
        <v/>
      </c>
      <c r="AL348" s="5" t="str">
        <f t="shared" si="115"/>
        <v/>
      </c>
      <c r="AM348" s="5" t="str">
        <f t="shared" si="116"/>
        <v/>
      </c>
      <c r="AN348" s="5" t="str">
        <f t="shared" si="117"/>
        <v/>
      </c>
      <c r="AO348" s="5" t="str">
        <f t="shared" si="118"/>
        <v/>
      </c>
      <c r="AP348" s="5" t="str">
        <f t="shared" si="119"/>
        <v/>
      </c>
      <c r="AQ348" s="5" t="str">
        <f t="shared" si="120"/>
        <v/>
      </c>
      <c r="AR348" s="5" t="str">
        <f t="shared" si="121"/>
        <v/>
      </c>
      <c r="AS348" s="5" t="str">
        <f t="shared" si="122"/>
        <v/>
      </c>
      <c r="AT348" s="5" t="str">
        <f t="shared" si="123"/>
        <v/>
      </c>
      <c r="AU348" s="5" t="str">
        <f t="shared" si="124"/>
        <v/>
      </c>
      <c r="AV348" s="5" t="str">
        <f t="shared" si="125"/>
        <v/>
      </c>
      <c r="AW348" s="5" t="str">
        <f t="shared" si="126"/>
        <v/>
      </c>
      <c r="AX348" s="5" t="str">
        <f t="shared" si="127"/>
        <v/>
      </c>
      <c r="AY348" s="5" t="str">
        <f t="shared" si="128"/>
        <v/>
      </c>
      <c r="AZ348" s="5" t="str">
        <f t="shared" si="129"/>
        <v/>
      </c>
      <c r="BA348" s="5" t="str">
        <f t="shared" si="130"/>
        <v/>
      </c>
      <c r="BB348" s="5" t="str">
        <f t="shared" si="131"/>
        <v/>
      </c>
    </row>
    <row r="349" spans="1:54" s="5" customFormat="1" hidden="1">
      <c r="A349" s="8" t="str">
        <f>IF(INDEX(FORM!$A:$A,ROW())="","",ROW()-1)</f>
        <v/>
      </c>
      <c r="B349" s="41" t="str">
        <f>IF($A349="","",INDEX(FORM!$A:$A,ROW()))</f>
        <v/>
      </c>
      <c r="C349" s="8" t="str">
        <f>IF($A349="","",TRIM(INDEX(FORM!$B:$B,ROW())))</f>
        <v/>
      </c>
      <c r="D349" s="8" t="str">
        <f>IF($A349="","",TRIM(INDEX(FORM!$C:$C,ROW())&amp;""))</f>
        <v/>
      </c>
      <c r="E349" s="8" t="str">
        <f>IF($A349="","",UPPER(TRIM(INDEX(FORM!$D:$D,ROW()))))</f>
        <v/>
      </c>
      <c r="F349" s="8" t="str">
        <f>IF($A349="","",IFERROR(INDEX(PROGRES!$A$2:$A$92,MATCH(E349,PROGRES!$B$2:$B$92,0)),"-"))</f>
        <v/>
      </c>
      <c r="G349" s="8" t="str">
        <f>IF($A349="","",UPPER(TRIM(INDEX(FORM!$F:$F,ROW()))))</f>
        <v/>
      </c>
      <c r="H349" s="8" t="str">
        <f>IF($A349="","",UPPER(TRIM(INDEX(FORM!$E:$E,ROW()))))</f>
        <v/>
      </c>
      <c r="I349" s="8" t="str">
        <f>IF($A349="","",UPPER(TRIM(INDEX(FORM!$G:$G,ROW()))))</f>
        <v/>
      </c>
      <c r="J349" s="8" t="str">
        <f>IF($A349="","",IF(ISNUMBER(SEARCH("Ya,",INDEX(FORM!$H:$H,ROW()))),"YA",IF(ISNUMBER(SEARCH("Cukup,",INDEX(FORM!$H:$H,ROW()))),"CUKUP",IF(ISNUMBER(SEARCH("Kurang,",INDEX(FORM!$H:$H,ROW()))),"KURANG",""))))</f>
        <v/>
      </c>
      <c r="K349" s="8" t="str">
        <f>IF($A349="","",UPPER(TRIM(INDEX(FORM!$J:$J,ROW()))))</f>
        <v/>
      </c>
      <c r="L349" s="8" t="str">
        <f>IF($A349="","",IF(ISNUMBER(SEARCH("Aktivitas Harian",INDEX(FORM!$K:$K,ROW()))),1,0))</f>
        <v/>
      </c>
      <c r="M349" s="8" t="str">
        <f>IF($A349="","",IF(ISNUMBER(SEARCH("Aktivitas Mingguan",INDEX(FORM!$K:$K,ROW()))),1,0))</f>
        <v/>
      </c>
      <c r="N349" s="8" t="str">
        <f>IF($A349="","",IF(ISNUMBER(SEARCH("Aktivitas Bulanan",INDEX(FORM!$K:$K,ROW()))),1,0))</f>
        <v/>
      </c>
      <c r="O349" s="8" t="str">
        <f>IF($A349="","",IF(ISNUMBER(SEARCH("Overview Cabang",INDEX(FORM!$K:$K,ROW()))),1,0))</f>
        <v/>
      </c>
      <c r="P349" s="8" t="str">
        <f>IF($A349="","",IFERROR(VLOOKUP(I349,DATA!$AH$9:$AI$13,2,0),""))</f>
        <v/>
      </c>
      <c r="Q349" s="8" t="str">
        <f>IF($A349="","",IFERROR(VLOOKUP(J349,DATA!$AH$9:$AI$13,2,0),""))</f>
        <v/>
      </c>
      <c r="R349" s="8" t="str">
        <f>IF($A349="","",IFERROR(VLOOKUP(K349,DATA!$AH$9:$AI$13,2,0),""))</f>
        <v/>
      </c>
      <c r="S349" s="42" t="str">
        <f t="shared" si="110"/>
        <v/>
      </c>
      <c r="T349" s="8" t="str">
        <f>IF($A349="","",IF(COUNTIF($D$2:D349,D349)=1,1,0))</f>
        <v/>
      </c>
      <c r="U349" s="8" t="str">
        <f>IF($A349="","",IF(F349="-","Cabang tdk ada",IF(IFERROR(VLOOKUP(G349,#REF!,1,0),"")="","",IF(INDEX(DATA!$AH$2:$AH$5,MATCH(G349,DATA!$AI$2:$AI$5,0))&lt;&gt;F349,"Wilayah beda","OK"))))</f>
        <v/>
      </c>
      <c r="V349" s="8" t="str">
        <f>IF($A349="","",TRIM(INDEX(FORM!$I:$I,ROW())&amp;""))</f>
        <v/>
      </c>
      <c r="W349" s="8" t="str">
        <f>IF($A349="","",TRIM(INDEX(FORM!$L:$L,ROW())&amp;""))</f>
        <v/>
      </c>
      <c r="X349" s="8" t="str">
        <f>IF($A349="","",TRIM(INDEX(FORM!$M:$M,ROW())&amp;""))</f>
        <v/>
      </c>
      <c r="Y349" s="8" t="str">
        <f>IF($A349="","",IFERROR(MATCH(F349,DATA!$AH$2:$AH$5,0),9)*10000+A349)</f>
        <v/>
      </c>
      <c r="Z349" s="8" t="str">
        <f t="shared" si="111"/>
        <v/>
      </c>
      <c r="AA349" s="8" t="str">
        <f t="shared" si="112"/>
        <v/>
      </c>
      <c r="AB349" s="8" t="str">
        <f t="shared" si="113"/>
        <v/>
      </c>
      <c r="AC349" s="8"/>
      <c r="AD349" s="8"/>
      <c r="AE349" s="8"/>
      <c r="AK349" s="5" t="str">
        <f t="shared" si="114"/>
        <v/>
      </c>
      <c r="AL349" s="5" t="str">
        <f t="shared" si="115"/>
        <v/>
      </c>
      <c r="AM349" s="5" t="str">
        <f t="shared" si="116"/>
        <v/>
      </c>
      <c r="AN349" s="5" t="str">
        <f t="shared" si="117"/>
        <v/>
      </c>
      <c r="AO349" s="5" t="str">
        <f t="shared" si="118"/>
        <v/>
      </c>
      <c r="AP349" s="5" t="str">
        <f t="shared" si="119"/>
        <v/>
      </c>
      <c r="AQ349" s="5" t="str">
        <f t="shared" si="120"/>
        <v/>
      </c>
      <c r="AR349" s="5" t="str">
        <f t="shared" si="121"/>
        <v/>
      </c>
      <c r="AS349" s="5" t="str">
        <f t="shared" si="122"/>
        <v/>
      </c>
      <c r="AT349" s="5" t="str">
        <f t="shared" si="123"/>
        <v/>
      </c>
      <c r="AU349" s="5" t="str">
        <f t="shared" si="124"/>
        <v/>
      </c>
      <c r="AV349" s="5" t="str">
        <f t="shared" si="125"/>
        <v/>
      </c>
      <c r="AW349" s="5" t="str">
        <f t="shared" si="126"/>
        <v/>
      </c>
      <c r="AX349" s="5" t="str">
        <f t="shared" si="127"/>
        <v/>
      </c>
      <c r="AY349" s="5" t="str">
        <f t="shared" si="128"/>
        <v/>
      </c>
      <c r="AZ349" s="5" t="str">
        <f t="shared" si="129"/>
        <v/>
      </c>
      <c r="BA349" s="5" t="str">
        <f t="shared" si="130"/>
        <v/>
      </c>
      <c r="BB349" s="5" t="str">
        <f t="shared" si="131"/>
        <v/>
      </c>
    </row>
    <row r="350" spans="1:54" s="5" customFormat="1" hidden="1">
      <c r="A350" s="8" t="str">
        <f>IF(INDEX(FORM!$A:$A,ROW())="","",ROW()-1)</f>
        <v/>
      </c>
      <c r="B350" s="41" t="str">
        <f>IF($A350="","",INDEX(FORM!$A:$A,ROW()))</f>
        <v/>
      </c>
      <c r="C350" s="8" t="str">
        <f>IF($A350="","",TRIM(INDEX(FORM!$B:$B,ROW())))</f>
        <v/>
      </c>
      <c r="D350" s="8" t="str">
        <f>IF($A350="","",TRIM(INDEX(FORM!$C:$C,ROW())&amp;""))</f>
        <v/>
      </c>
      <c r="E350" s="8" t="str">
        <f>IF($A350="","",UPPER(TRIM(INDEX(FORM!$D:$D,ROW()))))</f>
        <v/>
      </c>
      <c r="F350" s="8" t="str">
        <f>IF($A350="","",IFERROR(INDEX(PROGRES!$A$2:$A$92,MATCH(E350,PROGRES!$B$2:$B$92,0)),"-"))</f>
        <v/>
      </c>
      <c r="G350" s="8" t="str">
        <f>IF($A350="","",UPPER(TRIM(INDEX(FORM!$F:$F,ROW()))))</f>
        <v/>
      </c>
      <c r="H350" s="8" t="str">
        <f>IF($A350="","",UPPER(TRIM(INDEX(FORM!$E:$E,ROW()))))</f>
        <v/>
      </c>
      <c r="I350" s="8" t="str">
        <f>IF($A350="","",UPPER(TRIM(INDEX(FORM!$G:$G,ROW()))))</f>
        <v/>
      </c>
      <c r="J350" s="8" t="str">
        <f>IF($A350="","",IF(ISNUMBER(SEARCH("Ya,",INDEX(FORM!$H:$H,ROW()))),"YA",IF(ISNUMBER(SEARCH("Cukup,",INDEX(FORM!$H:$H,ROW()))),"CUKUP",IF(ISNUMBER(SEARCH("Kurang,",INDEX(FORM!$H:$H,ROW()))),"KURANG",""))))</f>
        <v/>
      </c>
      <c r="K350" s="8" t="str">
        <f>IF($A350="","",UPPER(TRIM(INDEX(FORM!$J:$J,ROW()))))</f>
        <v/>
      </c>
      <c r="L350" s="8" t="str">
        <f>IF($A350="","",IF(ISNUMBER(SEARCH("Aktivitas Harian",INDEX(FORM!$K:$K,ROW()))),1,0))</f>
        <v/>
      </c>
      <c r="M350" s="8" t="str">
        <f>IF($A350="","",IF(ISNUMBER(SEARCH("Aktivitas Mingguan",INDEX(FORM!$K:$K,ROW()))),1,0))</f>
        <v/>
      </c>
      <c r="N350" s="8" t="str">
        <f>IF($A350="","",IF(ISNUMBER(SEARCH("Aktivitas Bulanan",INDEX(FORM!$K:$K,ROW()))),1,0))</f>
        <v/>
      </c>
      <c r="O350" s="8" t="str">
        <f>IF($A350="","",IF(ISNUMBER(SEARCH("Overview Cabang",INDEX(FORM!$K:$K,ROW()))),1,0))</f>
        <v/>
      </c>
      <c r="P350" s="8" t="str">
        <f>IF($A350="","",IFERROR(VLOOKUP(I350,DATA!$AH$9:$AI$13,2,0),""))</f>
        <v/>
      </c>
      <c r="Q350" s="8" t="str">
        <f>IF($A350="","",IFERROR(VLOOKUP(J350,DATA!$AH$9:$AI$13,2,0),""))</f>
        <v/>
      </c>
      <c r="R350" s="8" t="str">
        <f>IF($A350="","",IFERROR(VLOOKUP(K350,DATA!$AH$9:$AI$13,2,0),""))</f>
        <v/>
      </c>
      <c r="S350" s="42" t="str">
        <f t="shared" si="110"/>
        <v/>
      </c>
      <c r="T350" s="8" t="str">
        <f>IF($A350="","",IF(COUNTIF($D$2:D350,D350)=1,1,0))</f>
        <v/>
      </c>
      <c r="U350" s="8" t="str">
        <f>IF($A350="","",IF(F350="-","Cabang tdk ada",IF(IFERROR(VLOOKUP(G350,#REF!,1,0),"")="","",IF(INDEX(DATA!$AH$2:$AH$5,MATCH(G350,DATA!$AI$2:$AI$5,0))&lt;&gt;F350,"Wilayah beda","OK"))))</f>
        <v/>
      </c>
      <c r="V350" s="8" t="str">
        <f>IF($A350="","",TRIM(INDEX(FORM!$I:$I,ROW())&amp;""))</f>
        <v/>
      </c>
      <c r="W350" s="8" t="str">
        <f>IF($A350="","",TRIM(INDEX(FORM!$L:$L,ROW())&amp;""))</f>
        <v/>
      </c>
      <c r="X350" s="8" t="str">
        <f>IF($A350="","",TRIM(INDEX(FORM!$M:$M,ROW())&amp;""))</f>
        <v/>
      </c>
      <c r="Y350" s="8" t="str">
        <f>IF($A350="","",IFERROR(MATCH(F350,DATA!$AH$2:$AH$5,0),9)*10000+A350)</f>
        <v/>
      </c>
      <c r="Z350" s="8" t="str">
        <f t="shared" si="111"/>
        <v/>
      </c>
      <c r="AA350" s="8" t="str">
        <f t="shared" si="112"/>
        <v/>
      </c>
      <c r="AB350" s="8" t="str">
        <f t="shared" si="113"/>
        <v/>
      </c>
      <c r="AC350" s="8"/>
      <c r="AD350" s="8"/>
      <c r="AE350" s="8"/>
      <c r="AK350" s="5" t="str">
        <f t="shared" si="114"/>
        <v/>
      </c>
      <c r="AL350" s="5" t="str">
        <f t="shared" si="115"/>
        <v/>
      </c>
      <c r="AM350" s="5" t="str">
        <f t="shared" si="116"/>
        <v/>
      </c>
      <c r="AN350" s="5" t="str">
        <f t="shared" si="117"/>
        <v/>
      </c>
      <c r="AO350" s="5" t="str">
        <f t="shared" si="118"/>
        <v/>
      </c>
      <c r="AP350" s="5" t="str">
        <f t="shared" si="119"/>
        <v/>
      </c>
      <c r="AQ350" s="5" t="str">
        <f t="shared" si="120"/>
        <v/>
      </c>
      <c r="AR350" s="5" t="str">
        <f t="shared" si="121"/>
        <v/>
      </c>
      <c r="AS350" s="5" t="str">
        <f t="shared" si="122"/>
        <v/>
      </c>
      <c r="AT350" s="5" t="str">
        <f t="shared" si="123"/>
        <v/>
      </c>
      <c r="AU350" s="5" t="str">
        <f t="shared" si="124"/>
        <v/>
      </c>
      <c r="AV350" s="5" t="str">
        <f t="shared" si="125"/>
        <v/>
      </c>
      <c r="AW350" s="5" t="str">
        <f t="shared" si="126"/>
        <v/>
      </c>
      <c r="AX350" s="5" t="str">
        <f t="shared" si="127"/>
        <v/>
      </c>
      <c r="AY350" s="5" t="str">
        <f t="shared" si="128"/>
        <v/>
      </c>
      <c r="AZ350" s="5" t="str">
        <f t="shared" si="129"/>
        <v/>
      </c>
      <c r="BA350" s="5" t="str">
        <f t="shared" si="130"/>
        <v/>
      </c>
      <c r="BB350" s="5" t="str">
        <f t="shared" si="131"/>
        <v/>
      </c>
    </row>
    <row r="351" spans="1:54" s="5" customFormat="1" hidden="1">
      <c r="A351" s="8" t="str">
        <f>IF(INDEX(FORM!$A:$A,ROW())="","",ROW()-1)</f>
        <v/>
      </c>
      <c r="B351" s="41" t="str">
        <f>IF($A351="","",INDEX(FORM!$A:$A,ROW()))</f>
        <v/>
      </c>
      <c r="C351" s="8" t="str">
        <f>IF($A351="","",TRIM(INDEX(FORM!$B:$B,ROW())))</f>
        <v/>
      </c>
      <c r="D351" s="8" t="str">
        <f>IF($A351="","",TRIM(INDEX(FORM!$C:$C,ROW())&amp;""))</f>
        <v/>
      </c>
      <c r="E351" s="8" t="str">
        <f>IF($A351="","",UPPER(TRIM(INDEX(FORM!$D:$D,ROW()))))</f>
        <v/>
      </c>
      <c r="F351" s="8" t="str">
        <f>IF($A351="","",IFERROR(INDEX(PROGRES!$A$2:$A$92,MATCH(E351,PROGRES!$B$2:$B$92,0)),"-"))</f>
        <v/>
      </c>
      <c r="G351" s="8" t="str">
        <f>IF($A351="","",UPPER(TRIM(INDEX(FORM!$F:$F,ROW()))))</f>
        <v/>
      </c>
      <c r="H351" s="8" t="str">
        <f>IF($A351="","",UPPER(TRIM(INDEX(FORM!$E:$E,ROW()))))</f>
        <v/>
      </c>
      <c r="I351" s="8" t="str">
        <f>IF($A351="","",UPPER(TRIM(INDEX(FORM!$G:$G,ROW()))))</f>
        <v/>
      </c>
      <c r="J351" s="8" t="str">
        <f>IF($A351="","",IF(ISNUMBER(SEARCH("Ya,",INDEX(FORM!$H:$H,ROW()))),"YA",IF(ISNUMBER(SEARCH("Cukup,",INDEX(FORM!$H:$H,ROW()))),"CUKUP",IF(ISNUMBER(SEARCH("Kurang,",INDEX(FORM!$H:$H,ROW()))),"KURANG",""))))</f>
        <v/>
      </c>
      <c r="K351" s="8" t="str">
        <f>IF($A351="","",UPPER(TRIM(INDEX(FORM!$J:$J,ROW()))))</f>
        <v/>
      </c>
      <c r="L351" s="8" t="str">
        <f>IF($A351="","",IF(ISNUMBER(SEARCH("Aktivitas Harian",INDEX(FORM!$K:$K,ROW()))),1,0))</f>
        <v/>
      </c>
      <c r="M351" s="8" t="str">
        <f>IF($A351="","",IF(ISNUMBER(SEARCH("Aktivitas Mingguan",INDEX(FORM!$K:$K,ROW()))),1,0))</f>
        <v/>
      </c>
      <c r="N351" s="8" t="str">
        <f>IF($A351="","",IF(ISNUMBER(SEARCH("Aktivitas Bulanan",INDEX(FORM!$K:$K,ROW()))),1,0))</f>
        <v/>
      </c>
      <c r="O351" s="8" t="str">
        <f>IF($A351="","",IF(ISNUMBER(SEARCH("Overview Cabang",INDEX(FORM!$K:$K,ROW()))),1,0))</f>
        <v/>
      </c>
      <c r="P351" s="8" t="str">
        <f>IF($A351="","",IFERROR(VLOOKUP(I351,DATA!$AH$9:$AI$13,2,0),""))</f>
        <v/>
      </c>
      <c r="Q351" s="8" t="str">
        <f>IF($A351="","",IFERROR(VLOOKUP(J351,DATA!$AH$9:$AI$13,2,0),""))</f>
        <v/>
      </c>
      <c r="R351" s="8" t="str">
        <f>IF($A351="","",IFERROR(VLOOKUP(K351,DATA!$AH$9:$AI$13,2,0),""))</f>
        <v/>
      </c>
      <c r="S351" s="42" t="str">
        <f t="shared" si="110"/>
        <v/>
      </c>
      <c r="T351" s="8" t="str">
        <f>IF($A351="","",IF(COUNTIF($D$2:D351,D351)=1,1,0))</f>
        <v/>
      </c>
      <c r="U351" s="8" t="str">
        <f>IF($A351="","",IF(F351="-","Cabang tdk ada",IF(IFERROR(VLOOKUP(G351,#REF!,1,0),"")="","",IF(INDEX(DATA!$AH$2:$AH$5,MATCH(G351,DATA!$AI$2:$AI$5,0))&lt;&gt;F351,"Wilayah beda","OK"))))</f>
        <v/>
      </c>
      <c r="V351" s="8" t="str">
        <f>IF($A351="","",TRIM(INDEX(FORM!$I:$I,ROW())&amp;""))</f>
        <v/>
      </c>
      <c r="W351" s="8" t="str">
        <f>IF($A351="","",TRIM(INDEX(FORM!$L:$L,ROW())&amp;""))</f>
        <v/>
      </c>
      <c r="X351" s="8" t="str">
        <f>IF($A351="","",TRIM(INDEX(FORM!$M:$M,ROW())&amp;""))</f>
        <v/>
      </c>
      <c r="Y351" s="8" t="str">
        <f>IF($A351="","",IFERROR(MATCH(F351,DATA!$AH$2:$AH$5,0),9)*10000+A351)</f>
        <v/>
      </c>
      <c r="Z351" s="8" t="str">
        <f t="shared" si="111"/>
        <v/>
      </c>
      <c r="AA351" s="8" t="str">
        <f t="shared" si="112"/>
        <v/>
      </c>
      <c r="AB351" s="8" t="str">
        <f t="shared" si="113"/>
        <v/>
      </c>
      <c r="AC351" s="8"/>
      <c r="AD351" s="8"/>
      <c r="AE351" s="8"/>
      <c r="AK351" s="5" t="str">
        <f t="shared" si="114"/>
        <v/>
      </c>
      <c r="AL351" s="5" t="str">
        <f t="shared" si="115"/>
        <v/>
      </c>
      <c r="AM351" s="5" t="str">
        <f t="shared" si="116"/>
        <v/>
      </c>
      <c r="AN351" s="5" t="str">
        <f t="shared" si="117"/>
        <v/>
      </c>
      <c r="AO351" s="5" t="str">
        <f t="shared" si="118"/>
        <v/>
      </c>
      <c r="AP351" s="5" t="str">
        <f t="shared" si="119"/>
        <v/>
      </c>
      <c r="AQ351" s="5" t="str">
        <f t="shared" si="120"/>
        <v/>
      </c>
      <c r="AR351" s="5" t="str">
        <f t="shared" si="121"/>
        <v/>
      </c>
      <c r="AS351" s="5" t="str">
        <f t="shared" si="122"/>
        <v/>
      </c>
      <c r="AT351" s="5" t="str">
        <f t="shared" si="123"/>
        <v/>
      </c>
      <c r="AU351" s="5" t="str">
        <f t="shared" si="124"/>
        <v/>
      </c>
      <c r="AV351" s="5" t="str">
        <f t="shared" si="125"/>
        <v/>
      </c>
      <c r="AW351" s="5" t="str">
        <f t="shared" si="126"/>
        <v/>
      </c>
      <c r="AX351" s="5" t="str">
        <f t="shared" si="127"/>
        <v/>
      </c>
      <c r="AY351" s="5" t="str">
        <f t="shared" si="128"/>
        <v/>
      </c>
      <c r="AZ351" s="5" t="str">
        <f t="shared" si="129"/>
        <v/>
      </c>
      <c r="BA351" s="5" t="str">
        <f t="shared" si="130"/>
        <v/>
      </c>
      <c r="BB351" s="5" t="str">
        <f t="shared" si="131"/>
        <v/>
      </c>
    </row>
    <row r="352" spans="1:54" s="5" customFormat="1" hidden="1">
      <c r="A352" s="8" t="str">
        <f>IF(INDEX(FORM!$A:$A,ROW())="","",ROW()-1)</f>
        <v/>
      </c>
      <c r="B352" s="41" t="str">
        <f>IF($A352="","",INDEX(FORM!$A:$A,ROW()))</f>
        <v/>
      </c>
      <c r="C352" s="8" t="str">
        <f>IF($A352="","",TRIM(INDEX(FORM!$B:$B,ROW())))</f>
        <v/>
      </c>
      <c r="D352" s="8" t="str">
        <f>IF($A352="","",TRIM(INDEX(FORM!$C:$C,ROW())&amp;""))</f>
        <v/>
      </c>
      <c r="E352" s="8" t="str">
        <f>IF($A352="","",UPPER(TRIM(INDEX(FORM!$D:$D,ROW()))))</f>
        <v/>
      </c>
      <c r="F352" s="8" t="str">
        <f>IF($A352="","",IFERROR(INDEX(PROGRES!$A$2:$A$92,MATCH(E352,PROGRES!$B$2:$B$92,0)),"-"))</f>
        <v/>
      </c>
      <c r="G352" s="8" t="str">
        <f>IF($A352="","",UPPER(TRIM(INDEX(FORM!$F:$F,ROW()))))</f>
        <v/>
      </c>
      <c r="H352" s="8" t="str">
        <f>IF($A352="","",UPPER(TRIM(INDEX(FORM!$E:$E,ROW()))))</f>
        <v/>
      </c>
      <c r="I352" s="8" t="str">
        <f>IF($A352="","",UPPER(TRIM(INDEX(FORM!$G:$G,ROW()))))</f>
        <v/>
      </c>
      <c r="J352" s="8" t="str">
        <f>IF($A352="","",IF(ISNUMBER(SEARCH("Ya,",INDEX(FORM!$H:$H,ROW()))),"YA",IF(ISNUMBER(SEARCH("Cukup,",INDEX(FORM!$H:$H,ROW()))),"CUKUP",IF(ISNUMBER(SEARCH("Kurang,",INDEX(FORM!$H:$H,ROW()))),"KURANG",""))))</f>
        <v/>
      </c>
      <c r="K352" s="8" t="str">
        <f>IF($A352="","",UPPER(TRIM(INDEX(FORM!$J:$J,ROW()))))</f>
        <v/>
      </c>
      <c r="L352" s="8" t="str">
        <f>IF($A352="","",IF(ISNUMBER(SEARCH("Aktivitas Harian",INDEX(FORM!$K:$K,ROW()))),1,0))</f>
        <v/>
      </c>
      <c r="M352" s="8" t="str">
        <f>IF($A352="","",IF(ISNUMBER(SEARCH("Aktivitas Mingguan",INDEX(FORM!$K:$K,ROW()))),1,0))</f>
        <v/>
      </c>
      <c r="N352" s="8" t="str">
        <f>IF($A352="","",IF(ISNUMBER(SEARCH("Aktivitas Bulanan",INDEX(FORM!$K:$K,ROW()))),1,0))</f>
        <v/>
      </c>
      <c r="O352" s="8" t="str">
        <f>IF($A352="","",IF(ISNUMBER(SEARCH("Overview Cabang",INDEX(FORM!$K:$K,ROW()))),1,0))</f>
        <v/>
      </c>
      <c r="P352" s="8" t="str">
        <f>IF($A352="","",IFERROR(VLOOKUP(I352,DATA!$AH$9:$AI$13,2,0),""))</f>
        <v/>
      </c>
      <c r="Q352" s="8" t="str">
        <f>IF($A352="","",IFERROR(VLOOKUP(J352,DATA!$AH$9:$AI$13,2,0),""))</f>
        <v/>
      </c>
      <c r="R352" s="8" t="str">
        <f>IF($A352="","",IFERROR(VLOOKUP(K352,DATA!$AH$9:$AI$13,2,0),""))</f>
        <v/>
      </c>
      <c r="S352" s="42" t="str">
        <f t="shared" si="110"/>
        <v/>
      </c>
      <c r="T352" s="8" t="str">
        <f>IF($A352="","",IF(COUNTIF($D$2:D352,D352)=1,1,0))</f>
        <v/>
      </c>
      <c r="U352" s="8" t="str">
        <f>IF($A352="","",IF(F352="-","Cabang tdk ada",IF(IFERROR(VLOOKUP(G352,#REF!,1,0),"")="","",IF(INDEX(DATA!$AH$2:$AH$5,MATCH(G352,DATA!$AI$2:$AI$5,0))&lt;&gt;F352,"Wilayah beda","OK"))))</f>
        <v/>
      </c>
      <c r="V352" s="8" t="str">
        <f>IF($A352="","",TRIM(INDEX(FORM!$I:$I,ROW())&amp;""))</f>
        <v/>
      </c>
      <c r="W352" s="8" t="str">
        <f>IF($A352="","",TRIM(INDEX(FORM!$L:$L,ROW())&amp;""))</f>
        <v/>
      </c>
      <c r="X352" s="8" t="str">
        <f>IF($A352="","",TRIM(INDEX(FORM!$M:$M,ROW())&amp;""))</f>
        <v/>
      </c>
      <c r="Y352" s="8" t="str">
        <f>IF($A352="","",IFERROR(MATCH(F352,DATA!$AH$2:$AH$5,0),9)*10000+A352)</f>
        <v/>
      </c>
      <c r="Z352" s="8" t="str">
        <f t="shared" si="111"/>
        <v/>
      </c>
      <c r="AA352" s="8" t="str">
        <f t="shared" si="112"/>
        <v/>
      </c>
      <c r="AB352" s="8" t="str">
        <f t="shared" si="113"/>
        <v/>
      </c>
      <c r="AC352" s="8"/>
      <c r="AD352" s="8"/>
      <c r="AE352" s="8"/>
      <c r="AK352" s="5" t="str">
        <f t="shared" si="114"/>
        <v/>
      </c>
      <c r="AL352" s="5" t="str">
        <f t="shared" si="115"/>
        <v/>
      </c>
      <c r="AM352" s="5" t="str">
        <f t="shared" si="116"/>
        <v/>
      </c>
      <c r="AN352" s="5" t="str">
        <f t="shared" si="117"/>
        <v/>
      </c>
      <c r="AO352" s="5" t="str">
        <f t="shared" si="118"/>
        <v/>
      </c>
      <c r="AP352" s="5" t="str">
        <f t="shared" si="119"/>
        <v/>
      </c>
      <c r="AQ352" s="5" t="str">
        <f t="shared" si="120"/>
        <v/>
      </c>
      <c r="AR352" s="5" t="str">
        <f t="shared" si="121"/>
        <v/>
      </c>
      <c r="AS352" s="5" t="str">
        <f t="shared" si="122"/>
        <v/>
      </c>
      <c r="AT352" s="5" t="str">
        <f t="shared" si="123"/>
        <v/>
      </c>
      <c r="AU352" s="5" t="str">
        <f t="shared" si="124"/>
        <v/>
      </c>
      <c r="AV352" s="5" t="str">
        <f t="shared" si="125"/>
        <v/>
      </c>
      <c r="AW352" s="5" t="str">
        <f t="shared" si="126"/>
        <v/>
      </c>
      <c r="AX352" s="5" t="str">
        <f t="shared" si="127"/>
        <v/>
      </c>
      <c r="AY352" s="5" t="str">
        <f t="shared" si="128"/>
        <v/>
      </c>
      <c r="AZ352" s="5" t="str">
        <f t="shared" si="129"/>
        <v/>
      </c>
      <c r="BA352" s="5" t="str">
        <f t="shared" si="130"/>
        <v/>
      </c>
      <c r="BB352" s="5" t="str">
        <f t="shared" si="131"/>
        <v/>
      </c>
    </row>
    <row r="353" spans="1:54" s="5" customFormat="1" hidden="1">
      <c r="A353" s="8" t="str">
        <f>IF(INDEX(FORM!$A:$A,ROW())="","",ROW()-1)</f>
        <v/>
      </c>
      <c r="B353" s="41" t="str">
        <f>IF($A353="","",INDEX(FORM!$A:$A,ROW()))</f>
        <v/>
      </c>
      <c r="C353" s="8" t="str">
        <f>IF($A353="","",TRIM(INDEX(FORM!$B:$B,ROW())))</f>
        <v/>
      </c>
      <c r="D353" s="8" t="str">
        <f>IF($A353="","",TRIM(INDEX(FORM!$C:$C,ROW())&amp;""))</f>
        <v/>
      </c>
      <c r="E353" s="8" t="str">
        <f>IF($A353="","",UPPER(TRIM(INDEX(FORM!$D:$D,ROW()))))</f>
        <v/>
      </c>
      <c r="F353" s="8" t="str">
        <f>IF($A353="","",IFERROR(INDEX(PROGRES!$A$2:$A$92,MATCH(E353,PROGRES!$B$2:$B$92,0)),"-"))</f>
        <v/>
      </c>
      <c r="G353" s="8" t="str">
        <f>IF($A353="","",UPPER(TRIM(INDEX(FORM!$F:$F,ROW()))))</f>
        <v/>
      </c>
      <c r="H353" s="8" t="str">
        <f>IF($A353="","",UPPER(TRIM(INDEX(FORM!$E:$E,ROW()))))</f>
        <v/>
      </c>
      <c r="I353" s="8" t="str">
        <f>IF($A353="","",UPPER(TRIM(INDEX(FORM!$G:$G,ROW()))))</f>
        <v/>
      </c>
      <c r="J353" s="8" t="str">
        <f>IF($A353="","",IF(ISNUMBER(SEARCH("Ya,",INDEX(FORM!$H:$H,ROW()))),"YA",IF(ISNUMBER(SEARCH("Cukup,",INDEX(FORM!$H:$H,ROW()))),"CUKUP",IF(ISNUMBER(SEARCH("Kurang,",INDEX(FORM!$H:$H,ROW()))),"KURANG",""))))</f>
        <v/>
      </c>
      <c r="K353" s="8" t="str">
        <f>IF($A353="","",UPPER(TRIM(INDEX(FORM!$J:$J,ROW()))))</f>
        <v/>
      </c>
      <c r="L353" s="8" t="str">
        <f>IF($A353="","",IF(ISNUMBER(SEARCH("Aktivitas Harian",INDEX(FORM!$K:$K,ROW()))),1,0))</f>
        <v/>
      </c>
      <c r="M353" s="8" t="str">
        <f>IF($A353="","",IF(ISNUMBER(SEARCH("Aktivitas Mingguan",INDEX(FORM!$K:$K,ROW()))),1,0))</f>
        <v/>
      </c>
      <c r="N353" s="8" t="str">
        <f>IF($A353="","",IF(ISNUMBER(SEARCH("Aktivitas Bulanan",INDEX(FORM!$K:$K,ROW()))),1,0))</f>
        <v/>
      </c>
      <c r="O353" s="8" t="str">
        <f>IF($A353="","",IF(ISNUMBER(SEARCH("Overview Cabang",INDEX(FORM!$K:$K,ROW()))),1,0))</f>
        <v/>
      </c>
      <c r="P353" s="8" t="str">
        <f>IF($A353="","",IFERROR(VLOOKUP(I353,DATA!$AH$9:$AI$13,2,0),""))</f>
        <v/>
      </c>
      <c r="Q353" s="8" t="str">
        <f>IF($A353="","",IFERROR(VLOOKUP(J353,DATA!$AH$9:$AI$13,2,0),""))</f>
        <v/>
      </c>
      <c r="R353" s="8" t="str">
        <f>IF($A353="","",IFERROR(VLOOKUP(K353,DATA!$AH$9:$AI$13,2,0),""))</f>
        <v/>
      </c>
      <c r="S353" s="42" t="str">
        <f t="shared" si="110"/>
        <v/>
      </c>
      <c r="T353" s="8" t="str">
        <f>IF($A353="","",IF(COUNTIF($D$2:D353,D353)=1,1,0))</f>
        <v/>
      </c>
      <c r="U353" s="8" t="str">
        <f>IF($A353="","",IF(F353="-","Cabang tdk ada",IF(IFERROR(VLOOKUP(G353,#REF!,1,0),"")="","",IF(INDEX(DATA!$AH$2:$AH$5,MATCH(G353,DATA!$AI$2:$AI$5,0))&lt;&gt;F353,"Wilayah beda","OK"))))</f>
        <v/>
      </c>
      <c r="V353" s="8" t="str">
        <f>IF($A353="","",TRIM(INDEX(FORM!$I:$I,ROW())&amp;""))</f>
        <v/>
      </c>
      <c r="W353" s="8" t="str">
        <f>IF($A353="","",TRIM(INDEX(FORM!$L:$L,ROW())&amp;""))</f>
        <v/>
      </c>
      <c r="X353" s="8" t="str">
        <f>IF($A353="","",TRIM(INDEX(FORM!$M:$M,ROW())&amp;""))</f>
        <v/>
      </c>
      <c r="Y353" s="8" t="str">
        <f>IF($A353="","",IFERROR(MATCH(F353,DATA!$AH$2:$AH$5,0),9)*10000+A353)</f>
        <v/>
      </c>
      <c r="Z353" s="8" t="str">
        <f t="shared" si="111"/>
        <v/>
      </c>
      <c r="AA353" s="8" t="str">
        <f t="shared" si="112"/>
        <v/>
      </c>
      <c r="AB353" s="8" t="str">
        <f t="shared" si="113"/>
        <v/>
      </c>
      <c r="AC353" s="8"/>
      <c r="AD353" s="8"/>
      <c r="AE353" s="8"/>
      <c r="AK353" s="5" t="str">
        <f t="shared" si="114"/>
        <v/>
      </c>
      <c r="AL353" s="5" t="str">
        <f t="shared" si="115"/>
        <v/>
      </c>
      <c r="AM353" s="5" t="str">
        <f t="shared" si="116"/>
        <v/>
      </c>
      <c r="AN353" s="5" t="str">
        <f t="shared" si="117"/>
        <v/>
      </c>
      <c r="AO353" s="5" t="str">
        <f t="shared" si="118"/>
        <v/>
      </c>
      <c r="AP353" s="5" t="str">
        <f t="shared" si="119"/>
        <v/>
      </c>
      <c r="AQ353" s="5" t="str">
        <f t="shared" si="120"/>
        <v/>
      </c>
      <c r="AR353" s="5" t="str">
        <f t="shared" si="121"/>
        <v/>
      </c>
      <c r="AS353" s="5" t="str">
        <f t="shared" si="122"/>
        <v/>
      </c>
      <c r="AT353" s="5" t="str">
        <f t="shared" si="123"/>
        <v/>
      </c>
      <c r="AU353" s="5" t="str">
        <f t="shared" si="124"/>
        <v/>
      </c>
      <c r="AV353" s="5" t="str">
        <f t="shared" si="125"/>
        <v/>
      </c>
      <c r="AW353" s="5" t="str">
        <f t="shared" si="126"/>
        <v/>
      </c>
      <c r="AX353" s="5" t="str">
        <f t="shared" si="127"/>
        <v/>
      </c>
      <c r="AY353" s="5" t="str">
        <f t="shared" si="128"/>
        <v/>
      </c>
      <c r="AZ353" s="5" t="str">
        <f t="shared" si="129"/>
        <v/>
      </c>
      <c r="BA353" s="5" t="str">
        <f t="shared" si="130"/>
        <v/>
      </c>
      <c r="BB353" s="5" t="str">
        <f t="shared" si="131"/>
        <v/>
      </c>
    </row>
    <row r="354" spans="1:54" s="5" customFormat="1" hidden="1">
      <c r="A354" s="8" t="str">
        <f>IF(INDEX(FORM!$A:$A,ROW())="","",ROW()-1)</f>
        <v/>
      </c>
      <c r="B354" s="41" t="str">
        <f>IF($A354="","",INDEX(FORM!$A:$A,ROW()))</f>
        <v/>
      </c>
      <c r="C354" s="8" t="str">
        <f>IF($A354="","",TRIM(INDEX(FORM!$B:$B,ROW())))</f>
        <v/>
      </c>
      <c r="D354" s="8" t="str">
        <f>IF($A354="","",TRIM(INDEX(FORM!$C:$C,ROW())&amp;""))</f>
        <v/>
      </c>
      <c r="E354" s="8" t="str">
        <f>IF($A354="","",UPPER(TRIM(INDEX(FORM!$D:$D,ROW()))))</f>
        <v/>
      </c>
      <c r="F354" s="8" t="str">
        <f>IF($A354="","",IFERROR(INDEX(PROGRES!$A$2:$A$92,MATCH(E354,PROGRES!$B$2:$B$92,0)),"-"))</f>
        <v/>
      </c>
      <c r="G354" s="8" t="str">
        <f>IF($A354="","",UPPER(TRIM(INDEX(FORM!$F:$F,ROW()))))</f>
        <v/>
      </c>
      <c r="H354" s="8" t="str">
        <f>IF($A354="","",UPPER(TRIM(INDEX(FORM!$E:$E,ROW()))))</f>
        <v/>
      </c>
      <c r="I354" s="8" t="str">
        <f>IF($A354="","",UPPER(TRIM(INDEX(FORM!$G:$G,ROW()))))</f>
        <v/>
      </c>
      <c r="J354" s="8" t="str">
        <f>IF($A354="","",IF(ISNUMBER(SEARCH("Ya,",INDEX(FORM!$H:$H,ROW()))),"YA",IF(ISNUMBER(SEARCH("Cukup,",INDEX(FORM!$H:$H,ROW()))),"CUKUP",IF(ISNUMBER(SEARCH("Kurang,",INDEX(FORM!$H:$H,ROW()))),"KURANG",""))))</f>
        <v/>
      </c>
      <c r="K354" s="8" t="str">
        <f>IF($A354="","",UPPER(TRIM(INDEX(FORM!$J:$J,ROW()))))</f>
        <v/>
      </c>
      <c r="L354" s="8" t="str">
        <f>IF($A354="","",IF(ISNUMBER(SEARCH("Aktivitas Harian",INDEX(FORM!$K:$K,ROW()))),1,0))</f>
        <v/>
      </c>
      <c r="M354" s="8" t="str">
        <f>IF($A354="","",IF(ISNUMBER(SEARCH("Aktivitas Mingguan",INDEX(FORM!$K:$K,ROW()))),1,0))</f>
        <v/>
      </c>
      <c r="N354" s="8" t="str">
        <f>IF($A354="","",IF(ISNUMBER(SEARCH("Aktivitas Bulanan",INDEX(FORM!$K:$K,ROW()))),1,0))</f>
        <v/>
      </c>
      <c r="O354" s="8" t="str">
        <f>IF($A354="","",IF(ISNUMBER(SEARCH("Overview Cabang",INDEX(FORM!$K:$K,ROW()))),1,0))</f>
        <v/>
      </c>
      <c r="P354" s="8" t="str">
        <f>IF($A354="","",IFERROR(VLOOKUP(I354,DATA!$AH$9:$AI$13,2,0),""))</f>
        <v/>
      </c>
      <c r="Q354" s="8" t="str">
        <f>IF($A354="","",IFERROR(VLOOKUP(J354,DATA!$AH$9:$AI$13,2,0),""))</f>
        <v/>
      </c>
      <c r="R354" s="8" t="str">
        <f>IF($A354="","",IFERROR(VLOOKUP(K354,DATA!$AH$9:$AI$13,2,0),""))</f>
        <v/>
      </c>
      <c r="S354" s="42" t="str">
        <f t="shared" si="110"/>
        <v/>
      </c>
      <c r="T354" s="8" t="str">
        <f>IF($A354="","",IF(COUNTIF($D$2:D354,D354)=1,1,0))</f>
        <v/>
      </c>
      <c r="U354" s="8" t="str">
        <f>IF($A354="","",IF(F354="-","Cabang tdk ada",IF(IFERROR(VLOOKUP(G354,#REF!,1,0),"")="","",IF(INDEX(DATA!$AH$2:$AH$5,MATCH(G354,DATA!$AI$2:$AI$5,0))&lt;&gt;F354,"Wilayah beda","OK"))))</f>
        <v/>
      </c>
      <c r="V354" s="8" t="str">
        <f>IF($A354="","",TRIM(INDEX(FORM!$I:$I,ROW())&amp;""))</f>
        <v/>
      </c>
      <c r="W354" s="8" t="str">
        <f>IF($A354="","",TRIM(INDEX(FORM!$L:$L,ROW())&amp;""))</f>
        <v/>
      </c>
      <c r="X354" s="8" t="str">
        <f>IF($A354="","",TRIM(INDEX(FORM!$M:$M,ROW())&amp;""))</f>
        <v/>
      </c>
      <c r="Y354" s="8" t="str">
        <f>IF($A354="","",IFERROR(MATCH(F354,DATA!$AH$2:$AH$5,0),9)*10000+A354)</f>
        <v/>
      </c>
      <c r="Z354" s="8" t="str">
        <f t="shared" si="111"/>
        <v/>
      </c>
      <c r="AA354" s="8" t="str">
        <f t="shared" si="112"/>
        <v/>
      </c>
      <c r="AB354" s="8" t="str">
        <f t="shared" si="113"/>
        <v/>
      </c>
      <c r="AC354" s="8"/>
      <c r="AD354" s="8"/>
      <c r="AE354" s="8"/>
      <c r="AK354" s="5" t="str">
        <f t="shared" si="114"/>
        <v/>
      </c>
      <c r="AL354" s="5" t="str">
        <f t="shared" si="115"/>
        <v/>
      </c>
      <c r="AM354" s="5" t="str">
        <f t="shared" si="116"/>
        <v/>
      </c>
      <c r="AN354" s="5" t="str">
        <f t="shared" si="117"/>
        <v/>
      </c>
      <c r="AO354" s="5" t="str">
        <f t="shared" si="118"/>
        <v/>
      </c>
      <c r="AP354" s="5" t="str">
        <f t="shared" si="119"/>
        <v/>
      </c>
      <c r="AQ354" s="5" t="str">
        <f t="shared" si="120"/>
        <v/>
      </c>
      <c r="AR354" s="5" t="str">
        <f t="shared" si="121"/>
        <v/>
      </c>
      <c r="AS354" s="5" t="str">
        <f t="shared" si="122"/>
        <v/>
      </c>
      <c r="AT354" s="5" t="str">
        <f t="shared" si="123"/>
        <v/>
      </c>
      <c r="AU354" s="5" t="str">
        <f t="shared" si="124"/>
        <v/>
      </c>
      <c r="AV354" s="5" t="str">
        <f t="shared" si="125"/>
        <v/>
      </c>
      <c r="AW354" s="5" t="str">
        <f t="shared" si="126"/>
        <v/>
      </c>
      <c r="AX354" s="5" t="str">
        <f t="shared" si="127"/>
        <v/>
      </c>
      <c r="AY354" s="5" t="str">
        <f t="shared" si="128"/>
        <v/>
      </c>
      <c r="AZ354" s="5" t="str">
        <f t="shared" si="129"/>
        <v/>
      </c>
      <c r="BA354" s="5" t="str">
        <f t="shared" si="130"/>
        <v/>
      </c>
      <c r="BB354" s="5" t="str">
        <f t="shared" si="131"/>
        <v/>
      </c>
    </row>
    <row r="355" spans="1:54" s="5" customFormat="1" hidden="1">
      <c r="A355" s="8" t="str">
        <f>IF(INDEX(FORM!$A:$A,ROW())="","",ROW()-1)</f>
        <v/>
      </c>
      <c r="B355" s="41" t="str">
        <f>IF($A355="","",INDEX(FORM!$A:$A,ROW()))</f>
        <v/>
      </c>
      <c r="C355" s="8" t="str">
        <f>IF($A355="","",TRIM(INDEX(FORM!$B:$B,ROW())))</f>
        <v/>
      </c>
      <c r="D355" s="8" t="str">
        <f>IF($A355="","",TRIM(INDEX(FORM!$C:$C,ROW())&amp;""))</f>
        <v/>
      </c>
      <c r="E355" s="8" t="str">
        <f>IF($A355="","",UPPER(TRIM(INDEX(FORM!$D:$D,ROW()))))</f>
        <v/>
      </c>
      <c r="F355" s="8" t="str">
        <f>IF($A355="","",IFERROR(INDEX(PROGRES!$A$2:$A$92,MATCH(E355,PROGRES!$B$2:$B$92,0)),"-"))</f>
        <v/>
      </c>
      <c r="G355" s="8" t="str">
        <f>IF($A355="","",UPPER(TRIM(INDEX(FORM!$F:$F,ROW()))))</f>
        <v/>
      </c>
      <c r="H355" s="8" t="str">
        <f>IF($A355="","",UPPER(TRIM(INDEX(FORM!$E:$E,ROW()))))</f>
        <v/>
      </c>
      <c r="I355" s="8" t="str">
        <f>IF($A355="","",UPPER(TRIM(INDEX(FORM!$G:$G,ROW()))))</f>
        <v/>
      </c>
      <c r="J355" s="8" t="str">
        <f>IF($A355="","",IF(ISNUMBER(SEARCH("Ya,",INDEX(FORM!$H:$H,ROW()))),"YA",IF(ISNUMBER(SEARCH("Cukup,",INDEX(FORM!$H:$H,ROW()))),"CUKUP",IF(ISNUMBER(SEARCH("Kurang,",INDEX(FORM!$H:$H,ROW()))),"KURANG",""))))</f>
        <v/>
      </c>
      <c r="K355" s="8" t="str">
        <f>IF($A355="","",UPPER(TRIM(INDEX(FORM!$J:$J,ROW()))))</f>
        <v/>
      </c>
      <c r="L355" s="8" t="str">
        <f>IF($A355="","",IF(ISNUMBER(SEARCH("Aktivitas Harian",INDEX(FORM!$K:$K,ROW()))),1,0))</f>
        <v/>
      </c>
      <c r="M355" s="8" t="str">
        <f>IF($A355="","",IF(ISNUMBER(SEARCH("Aktivitas Mingguan",INDEX(FORM!$K:$K,ROW()))),1,0))</f>
        <v/>
      </c>
      <c r="N355" s="8" t="str">
        <f>IF($A355="","",IF(ISNUMBER(SEARCH("Aktivitas Bulanan",INDEX(FORM!$K:$K,ROW()))),1,0))</f>
        <v/>
      </c>
      <c r="O355" s="8" t="str">
        <f>IF($A355="","",IF(ISNUMBER(SEARCH("Overview Cabang",INDEX(FORM!$K:$K,ROW()))),1,0))</f>
        <v/>
      </c>
      <c r="P355" s="8" t="str">
        <f>IF($A355="","",IFERROR(VLOOKUP(I355,DATA!$AH$9:$AI$13,2,0),""))</f>
        <v/>
      </c>
      <c r="Q355" s="8" t="str">
        <f>IF($A355="","",IFERROR(VLOOKUP(J355,DATA!$AH$9:$AI$13,2,0),""))</f>
        <v/>
      </c>
      <c r="R355" s="8" t="str">
        <f>IF($A355="","",IFERROR(VLOOKUP(K355,DATA!$AH$9:$AI$13,2,0),""))</f>
        <v/>
      </c>
      <c r="S355" s="42" t="str">
        <f t="shared" si="110"/>
        <v/>
      </c>
      <c r="T355" s="8" t="str">
        <f>IF($A355="","",IF(COUNTIF($D$2:D355,D355)=1,1,0))</f>
        <v/>
      </c>
      <c r="U355" s="8" t="str">
        <f>IF($A355="","",IF(F355="-","Cabang tdk ada",IF(IFERROR(VLOOKUP(G355,#REF!,1,0),"")="","",IF(INDEX(DATA!$AH$2:$AH$5,MATCH(G355,DATA!$AI$2:$AI$5,0))&lt;&gt;F355,"Wilayah beda","OK"))))</f>
        <v/>
      </c>
      <c r="V355" s="8" t="str">
        <f>IF($A355="","",TRIM(INDEX(FORM!$I:$I,ROW())&amp;""))</f>
        <v/>
      </c>
      <c r="W355" s="8" t="str">
        <f>IF($A355="","",TRIM(INDEX(FORM!$L:$L,ROW())&amp;""))</f>
        <v/>
      </c>
      <c r="X355" s="8" t="str">
        <f>IF($A355="","",TRIM(INDEX(FORM!$M:$M,ROW())&amp;""))</f>
        <v/>
      </c>
      <c r="Y355" s="8" t="str">
        <f>IF($A355="","",IFERROR(MATCH(F355,DATA!$AH$2:$AH$5,0),9)*10000+A355)</f>
        <v/>
      </c>
      <c r="Z355" s="8" t="str">
        <f t="shared" si="111"/>
        <v/>
      </c>
      <c r="AA355" s="8" t="str">
        <f t="shared" si="112"/>
        <v/>
      </c>
      <c r="AB355" s="8" t="str">
        <f t="shared" si="113"/>
        <v/>
      </c>
      <c r="AC355" s="8"/>
      <c r="AD355" s="8"/>
      <c r="AE355" s="8"/>
      <c r="AK355" s="5" t="str">
        <f t="shared" si="114"/>
        <v/>
      </c>
      <c r="AL355" s="5" t="str">
        <f t="shared" si="115"/>
        <v/>
      </c>
      <c r="AM355" s="5" t="str">
        <f t="shared" si="116"/>
        <v/>
      </c>
      <c r="AN355" s="5" t="str">
        <f t="shared" si="117"/>
        <v/>
      </c>
      <c r="AO355" s="5" t="str">
        <f t="shared" si="118"/>
        <v/>
      </c>
      <c r="AP355" s="5" t="str">
        <f t="shared" si="119"/>
        <v/>
      </c>
      <c r="AQ355" s="5" t="str">
        <f t="shared" si="120"/>
        <v/>
      </c>
      <c r="AR355" s="5" t="str">
        <f t="shared" si="121"/>
        <v/>
      </c>
      <c r="AS355" s="5" t="str">
        <f t="shared" si="122"/>
        <v/>
      </c>
      <c r="AT355" s="5" t="str">
        <f t="shared" si="123"/>
        <v/>
      </c>
      <c r="AU355" s="5" t="str">
        <f t="shared" si="124"/>
        <v/>
      </c>
      <c r="AV355" s="5" t="str">
        <f t="shared" si="125"/>
        <v/>
      </c>
      <c r="AW355" s="5" t="str">
        <f t="shared" si="126"/>
        <v/>
      </c>
      <c r="AX355" s="5" t="str">
        <f t="shared" si="127"/>
        <v/>
      </c>
      <c r="AY355" s="5" t="str">
        <f t="shared" si="128"/>
        <v/>
      </c>
      <c r="AZ355" s="5" t="str">
        <f t="shared" si="129"/>
        <v/>
      </c>
      <c r="BA355" s="5" t="str">
        <f t="shared" si="130"/>
        <v/>
      </c>
      <c r="BB355" s="5" t="str">
        <f t="shared" si="131"/>
        <v/>
      </c>
    </row>
    <row r="356" spans="1:54" s="5" customFormat="1" hidden="1">
      <c r="A356" s="8" t="str">
        <f>IF(INDEX(FORM!$A:$A,ROW())="","",ROW()-1)</f>
        <v/>
      </c>
      <c r="B356" s="41" t="str">
        <f>IF($A356="","",INDEX(FORM!$A:$A,ROW()))</f>
        <v/>
      </c>
      <c r="C356" s="8" t="str">
        <f>IF($A356="","",TRIM(INDEX(FORM!$B:$B,ROW())))</f>
        <v/>
      </c>
      <c r="D356" s="8" t="str">
        <f>IF($A356="","",TRIM(INDEX(FORM!$C:$C,ROW())&amp;""))</f>
        <v/>
      </c>
      <c r="E356" s="8" t="str">
        <f>IF($A356="","",UPPER(TRIM(INDEX(FORM!$D:$D,ROW()))))</f>
        <v/>
      </c>
      <c r="F356" s="8" t="str">
        <f>IF($A356="","",IFERROR(INDEX(PROGRES!$A$2:$A$92,MATCH(E356,PROGRES!$B$2:$B$92,0)),"-"))</f>
        <v/>
      </c>
      <c r="G356" s="8" t="str">
        <f>IF($A356="","",UPPER(TRIM(INDEX(FORM!$F:$F,ROW()))))</f>
        <v/>
      </c>
      <c r="H356" s="8" t="str">
        <f>IF($A356="","",UPPER(TRIM(INDEX(FORM!$E:$E,ROW()))))</f>
        <v/>
      </c>
      <c r="I356" s="8" t="str">
        <f>IF($A356="","",UPPER(TRIM(INDEX(FORM!$G:$G,ROW()))))</f>
        <v/>
      </c>
      <c r="J356" s="8" t="str">
        <f>IF($A356="","",IF(ISNUMBER(SEARCH("Ya,",INDEX(FORM!$H:$H,ROW()))),"YA",IF(ISNUMBER(SEARCH("Cukup,",INDEX(FORM!$H:$H,ROW()))),"CUKUP",IF(ISNUMBER(SEARCH("Kurang,",INDEX(FORM!$H:$H,ROW()))),"KURANG",""))))</f>
        <v/>
      </c>
      <c r="K356" s="8" t="str">
        <f>IF($A356="","",UPPER(TRIM(INDEX(FORM!$J:$J,ROW()))))</f>
        <v/>
      </c>
      <c r="L356" s="8" t="str">
        <f>IF($A356="","",IF(ISNUMBER(SEARCH("Aktivitas Harian",INDEX(FORM!$K:$K,ROW()))),1,0))</f>
        <v/>
      </c>
      <c r="M356" s="8" t="str">
        <f>IF($A356="","",IF(ISNUMBER(SEARCH("Aktivitas Mingguan",INDEX(FORM!$K:$K,ROW()))),1,0))</f>
        <v/>
      </c>
      <c r="N356" s="8" t="str">
        <f>IF($A356="","",IF(ISNUMBER(SEARCH("Aktivitas Bulanan",INDEX(FORM!$K:$K,ROW()))),1,0))</f>
        <v/>
      </c>
      <c r="O356" s="8" t="str">
        <f>IF($A356="","",IF(ISNUMBER(SEARCH("Overview Cabang",INDEX(FORM!$K:$K,ROW()))),1,0))</f>
        <v/>
      </c>
      <c r="P356" s="8" t="str">
        <f>IF($A356="","",IFERROR(VLOOKUP(I356,DATA!$AH$9:$AI$13,2,0),""))</f>
        <v/>
      </c>
      <c r="Q356" s="8" t="str">
        <f>IF($A356="","",IFERROR(VLOOKUP(J356,DATA!$AH$9:$AI$13,2,0),""))</f>
        <v/>
      </c>
      <c r="R356" s="8" t="str">
        <f>IF($A356="","",IFERROR(VLOOKUP(K356,DATA!$AH$9:$AI$13,2,0),""))</f>
        <v/>
      </c>
      <c r="S356" s="42" t="str">
        <f t="shared" si="110"/>
        <v/>
      </c>
      <c r="T356" s="8" t="str">
        <f>IF($A356="","",IF(COUNTIF($D$2:D356,D356)=1,1,0))</f>
        <v/>
      </c>
      <c r="U356" s="8" t="str">
        <f>IF($A356="","",IF(F356="-","Cabang tdk ada",IF(IFERROR(VLOOKUP(G356,#REF!,1,0),"")="","",IF(INDEX(DATA!$AH$2:$AH$5,MATCH(G356,DATA!$AI$2:$AI$5,0))&lt;&gt;F356,"Wilayah beda","OK"))))</f>
        <v/>
      </c>
      <c r="V356" s="8" t="str">
        <f>IF($A356="","",TRIM(INDEX(FORM!$I:$I,ROW())&amp;""))</f>
        <v/>
      </c>
      <c r="W356" s="8" t="str">
        <f>IF($A356="","",TRIM(INDEX(FORM!$L:$L,ROW())&amp;""))</f>
        <v/>
      </c>
      <c r="X356" s="8" t="str">
        <f>IF($A356="","",TRIM(INDEX(FORM!$M:$M,ROW())&amp;""))</f>
        <v/>
      </c>
      <c r="Y356" s="8" t="str">
        <f>IF($A356="","",IFERROR(MATCH(F356,DATA!$AH$2:$AH$5,0),9)*10000+A356)</f>
        <v/>
      </c>
      <c r="Z356" s="8" t="str">
        <f t="shared" si="111"/>
        <v/>
      </c>
      <c r="AA356" s="8" t="str">
        <f t="shared" si="112"/>
        <v/>
      </c>
      <c r="AB356" s="8" t="str">
        <f t="shared" si="113"/>
        <v/>
      </c>
      <c r="AC356" s="8"/>
      <c r="AD356" s="8"/>
      <c r="AE356" s="8"/>
      <c r="AK356" s="5" t="str">
        <f t="shared" si="114"/>
        <v/>
      </c>
      <c r="AL356" s="5" t="str">
        <f t="shared" si="115"/>
        <v/>
      </c>
      <c r="AM356" s="5" t="str">
        <f t="shared" si="116"/>
        <v/>
      </c>
      <c r="AN356" s="5" t="str">
        <f t="shared" si="117"/>
        <v/>
      </c>
      <c r="AO356" s="5" t="str">
        <f t="shared" si="118"/>
        <v/>
      </c>
      <c r="AP356" s="5" t="str">
        <f t="shared" si="119"/>
        <v/>
      </c>
      <c r="AQ356" s="5" t="str">
        <f t="shared" si="120"/>
        <v/>
      </c>
      <c r="AR356" s="5" t="str">
        <f t="shared" si="121"/>
        <v/>
      </c>
      <c r="AS356" s="5" t="str">
        <f t="shared" si="122"/>
        <v/>
      </c>
      <c r="AT356" s="5" t="str">
        <f t="shared" si="123"/>
        <v/>
      </c>
      <c r="AU356" s="5" t="str">
        <f t="shared" si="124"/>
        <v/>
      </c>
      <c r="AV356" s="5" t="str">
        <f t="shared" si="125"/>
        <v/>
      </c>
      <c r="AW356" s="5" t="str">
        <f t="shared" si="126"/>
        <v/>
      </c>
      <c r="AX356" s="5" t="str">
        <f t="shared" si="127"/>
        <v/>
      </c>
      <c r="AY356" s="5" t="str">
        <f t="shared" si="128"/>
        <v/>
      </c>
      <c r="AZ356" s="5" t="str">
        <f t="shared" si="129"/>
        <v/>
      </c>
      <c r="BA356" s="5" t="str">
        <f t="shared" si="130"/>
        <v/>
      </c>
      <c r="BB356" s="5" t="str">
        <f t="shared" si="131"/>
        <v/>
      </c>
    </row>
    <row r="357" spans="1:54" s="5" customFormat="1" hidden="1">
      <c r="A357" s="8" t="str">
        <f>IF(INDEX(FORM!$A:$A,ROW())="","",ROW()-1)</f>
        <v/>
      </c>
      <c r="B357" s="41" t="str">
        <f>IF($A357="","",INDEX(FORM!$A:$A,ROW()))</f>
        <v/>
      </c>
      <c r="C357" s="8" t="str">
        <f>IF($A357="","",TRIM(INDEX(FORM!$B:$B,ROW())))</f>
        <v/>
      </c>
      <c r="D357" s="8" t="str">
        <f>IF($A357="","",TRIM(INDEX(FORM!$C:$C,ROW())&amp;""))</f>
        <v/>
      </c>
      <c r="E357" s="8" t="str">
        <f>IF($A357="","",UPPER(TRIM(INDEX(FORM!$D:$D,ROW()))))</f>
        <v/>
      </c>
      <c r="F357" s="8" t="str">
        <f>IF($A357="","",IFERROR(INDEX(PROGRES!$A$2:$A$92,MATCH(E357,PROGRES!$B$2:$B$92,0)),"-"))</f>
        <v/>
      </c>
      <c r="G357" s="8" t="str">
        <f>IF($A357="","",UPPER(TRIM(INDEX(FORM!$F:$F,ROW()))))</f>
        <v/>
      </c>
      <c r="H357" s="8" t="str">
        <f>IF($A357="","",UPPER(TRIM(INDEX(FORM!$E:$E,ROW()))))</f>
        <v/>
      </c>
      <c r="I357" s="8" t="str">
        <f>IF($A357="","",UPPER(TRIM(INDEX(FORM!$G:$G,ROW()))))</f>
        <v/>
      </c>
      <c r="J357" s="8" t="str">
        <f>IF($A357="","",IF(ISNUMBER(SEARCH("Ya,",INDEX(FORM!$H:$H,ROW()))),"YA",IF(ISNUMBER(SEARCH("Cukup,",INDEX(FORM!$H:$H,ROW()))),"CUKUP",IF(ISNUMBER(SEARCH("Kurang,",INDEX(FORM!$H:$H,ROW()))),"KURANG",""))))</f>
        <v/>
      </c>
      <c r="K357" s="8" t="str">
        <f>IF($A357="","",UPPER(TRIM(INDEX(FORM!$J:$J,ROW()))))</f>
        <v/>
      </c>
      <c r="L357" s="8" t="str">
        <f>IF($A357="","",IF(ISNUMBER(SEARCH("Aktivitas Harian",INDEX(FORM!$K:$K,ROW()))),1,0))</f>
        <v/>
      </c>
      <c r="M357" s="8" t="str">
        <f>IF($A357="","",IF(ISNUMBER(SEARCH("Aktivitas Mingguan",INDEX(FORM!$K:$K,ROW()))),1,0))</f>
        <v/>
      </c>
      <c r="N357" s="8" t="str">
        <f>IF($A357="","",IF(ISNUMBER(SEARCH("Aktivitas Bulanan",INDEX(FORM!$K:$K,ROW()))),1,0))</f>
        <v/>
      </c>
      <c r="O357" s="8" t="str">
        <f>IF($A357="","",IF(ISNUMBER(SEARCH("Overview Cabang",INDEX(FORM!$K:$K,ROW()))),1,0))</f>
        <v/>
      </c>
      <c r="P357" s="8" t="str">
        <f>IF($A357="","",IFERROR(VLOOKUP(I357,DATA!$AH$9:$AI$13,2,0),""))</f>
        <v/>
      </c>
      <c r="Q357" s="8" t="str">
        <f>IF($A357="","",IFERROR(VLOOKUP(J357,DATA!$AH$9:$AI$13,2,0),""))</f>
        <v/>
      </c>
      <c r="R357" s="8" t="str">
        <f>IF($A357="","",IFERROR(VLOOKUP(K357,DATA!$AH$9:$AI$13,2,0),""))</f>
        <v/>
      </c>
      <c r="S357" s="42" t="str">
        <f t="shared" si="110"/>
        <v/>
      </c>
      <c r="T357" s="8" t="str">
        <f>IF($A357="","",IF(COUNTIF($D$2:D357,D357)=1,1,0))</f>
        <v/>
      </c>
      <c r="U357" s="8" t="str">
        <f>IF($A357="","",IF(F357="-","Cabang tdk ada",IF(IFERROR(VLOOKUP(G357,#REF!,1,0),"")="","",IF(INDEX(DATA!$AH$2:$AH$5,MATCH(G357,DATA!$AI$2:$AI$5,0))&lt;&gt;F357,"Wilayah beda","OK"))))</f>
        <v/>
      </c>
      <c r="V357" s="8" t="str">
        <f>IF($A357="","",TRIM(INDEX(FORM!$I:$I,ROW())&amp;""))</f>
        <v/>
      </c>
      <c r="W357" s="8" t="str">
        <f>IF($A357="","",TRIM(INDEX(FORM!$L:$L,ROW())&amp;""))</f>
        <v/>
      </c>
      <c r="X357" s="8" t="str">
        <f>IF($A357="","",TRIM(INDEX(FORM!$M:$M,ROW())&amp;""))</f>
        <v/>
      </c>
      <c r="Y357" s="8" t="str">
        <f>IF($A357="","",IFERROR(MATCH(F357,DATA!$AH$2:$AH$5,0),9)*10000+A357)</f>
        <v/>
      </c>
      <c r="Z357" s="8" t="str">
        <f t="shared" si="111"/>
        <v/>
      </c>
      <c r="AA357" s="8" t="str">
        <f t="shared" si="112"/>
        <v/>
      </c>
      <c r="AB357" s="8" t="str">
        <f t="shared" si="113"/>
        <v/>
      </c>
      <c r="AC357" s="8"/>
      <c r="AD357" s="8"/>
      <c r="AE357" s="8"/>
      <c r="AK357" s="5" t="str">
        <f t="shared" si="114"/>
        <v/>
      </c>
      <c r="AL357" s="5" t="str">
        <f t="shared" si="115"/>
        <v/>
      </c>
      <c r="AM357" s="5" t="str">
        <f t="shared" si="116"/>
        <v/>
      </c>
      <c r="AN357" s="5" t="str">
        <f t="shared" si="117"/>
        <v/>
      </c>
      <c r="AO357" s="5" t="str">
        <f t="shared" si="118"/>
        <v/>
      </c>
      <c r="AP357" s="5" t="str">
        <f t="shared" si="119"/>
        <v/>
      </c>
      <c r="AQ357" s="5" t="str">
        <f t="shared" si="120"/>
        <v/>
      </c>
      <c r="AR357" s="5" t="str">
        <f t="shared" si="121"/>
        <v/>
      </c>
      <c r="AS357" s="5" t="str">
        <f t="shared" si="122"/>
        <v/>
      </c>
      <c r="AT357" s="5" t="str">
        <f t="shared" si="123"/>
        <v/>
      </c>
      <c r="AU357" s="5" t="str">
        <f t="shared" si="124"/>
        <v/>
      </c>
      <c r="AV357" s="5" t="str">
        <f t="shared" si="125"/>
        <v/>
      </c>
      <c r="AW357" s="5" t="str">
        <f t="shared" si="126"/>
        <v/>
      </c>
      <c r="AX357" s="5" t="str">
        <f t="shared" si="127"/>
        <v/>
      </c>
      <c r="AY357" s="5" t="str">
        <f t="shared" si="128"/>
        <v/>
      </c>
      <c r="AZ357" s="5" t="str">
        <f t="shared" si="129"/>
        <v/>
      </c>
      <c r="BA357" s="5" t="str">
        <f t="shared" si="130"/>
        <v/>
      </c>
      <c r="BB357" s="5" t="str">
        <f t="shared" si="131"/>
        <v/>
      </c>
    </row>
    <row r="358" spans="1:54" s="5" customFormat="1" hidden="1">
      <c r="A358" s="8" t="str">
        <f>IF(INDEX(FORM!$A:$A,ROW())="","",ROW()-1)</f>
        <v/>
      </c>
      <c r="B358" s="41" t="str">
        <f>IF($A358="","",INDEX(FORM!$A:$A,ROW()))</f>
        <v/>
      </c>
      <c r="C358" s="8" t="str">
        <f>IF($A358="","",TRIM(INDEX(FORM!$B:$B,ROW())))</f>
        <v/>
      </c>
      <c r="D358" s="8" t="str">
        <f>IF($A358="","",TRIM(INDEX(FORM!$C:$C,ROW())&amp;""))</f>
        <v/>
      </c>
      <c r="E358" s="8" t="str">
        <f>IF($A358="","",UPPER(TRIM(INDEX(FORM!$D:$D,ROW()))))</f>
        <v/>
      </c>
      <c r="F358" s="8" t="str">
        <f>IF($A358="","",IFERROR(INDEX(PROGRES!$A$2:$A$92,MATCH(E358,PROGRES!$B$2:$B$92,0)),"-"))</f>
        <v/>
      </c>
      <c r="G358" s="8" t="str">
        <f>IF($A358="","",UPPER(TRIM(INDEX(FORM!$F:$F,ROW()))))</f>
        <v/>
      </c>
      <c r="H358" s="8" t="str">
        <f>IF($A358="","",UPPER(TRIM(INDEX(FORM!$E:$E,ROW()))))</f>
        <v/>
      </c>
      <c r="I358" s="8" t="str">
        <f>IF($A358="","",UPPER(TRIM(INDEX(FORM!$G:$G,ROW()))))</f>
        <v/>
      </c>
      <c r="J358" s="8" t="str">
        <f>IF($A358="","",IF(ISNUMBER(SEARCH("Ya,",INDEX(FORM!$H:$H,ROW()))),"YA",IF(ISNUMBER(SEARCH("Cukup,",INDEX(FORM!$H:$H,ROW()))),"CUKUP",IF(ISNUMBER(SEARCH("Kurang,",INDEX(FORM!$H:$H,ROW()))),"KURANG",""))))</f>
        <v/>
      </c>
      <c r="K358" s="8" t="str">
        <f>IF($A358="","",UPPER(TRIM(INDEX(FORM!$J:$J,ROW()))))</f>
        <v/>
      </c>
      <c r="L358" s="8" t="str">
        <f>IF($A358="","",IF(ISNUMBER(SEARCH("Aktivitas Harian",INDEX(FORM!$K:$K,ROW()))),1,0))</f>
        <v/>
      </c>
      <c r="M358" s="8" t="str">
        <f>IF($A358="","",IF(ISNUMBER(SEARCH("Aktivitas Mingguan",INDEX(FORM!$K:$K,ROW()))),1,0))</f>
        <v/>
      </c>
      <c r="N358" s="8" t="str">
        <f>IF($A358="","",IF(ISNUMBER(SEARCH("Aktivitas Bulanan",INDEX(FORM!$K:$K,ROW()))),1,0))</f>
        <v/>
      </c>
      <c r="O358" s="8" t="str">
        <f>IF($A358="","",IF(ISNUMBER(SEARCH("Overview Cabang",INDEX(FORM!$K:$K,ROW()))),1,0))</f>
        <v/>
      </c>
      <c r="P358" s="8" t="str">
        <f>IF($A358="","",IFERROR(VLOOKUP(I358,DATA!$AH$9:$AI$13,2,0),""))</f>
        <v/>
      </c>
      <c r="Q358" s="8" t="str">
        <f>IF($A358="","",IFERROR(VLOOKUP(J358,DATA!$AH$9:$AI$13,2,0),""))</f>
        <v/>
      </c>
      <c r="R358" s="8" t="str">
        <f>IF($A358="","",IFERROR(VLOOKUP(K358,DATA!$AH$9:$AI$13,2,0),""))</f>
        <v/>
      </c>
      <c r="S358" s="42" t="str">
        <f t="shared" si="110"/>
        <v/>
      </c>
      <c r="T358" s="8" t="str">
        <f>IF($A358="","",IF(COUNTIF($D$2:D358,D358)=1,1,0))</f>
        <v/>
      </c>
      <c r="U358" s="8" t="str">
        <f>IF($A358="","",IF(F358="-","Cabang tdk ada",IF(IFERROR(VLOOKUP(G358,#REF!,1,0),"")="","",IF(INDEX(DATA!$AH$2:$AH$5,MATCH(G358,DATA!$AI$2:$AI$5,0))&lt;&gt;F358,"Wilayah beda","OK"))))</f>
        <v/>
      </c>
      <c r="V358" s="8" t="str">
        <f>IF($A358="","",TRIM(INDEX(FORM!$I:$I,ROW())&amp;""))</f>
        <v/>
      </c>
      <c r="W358" s="8" t="str">
        <f>IF($A358="","",TRIM(INDEX(FORM!$L:$L,ROW())&amp;""))</f>
        <v/>
      </c>
      <c r="X358" s="8" t="str">
        <f>IF($A358="","",TRIM(INDEX(FORM!$M:$M,ROW())&amp;""))</f>
        <v/>
      </c>
      <c r="Y358" s="8" t="str">
        <f>IF($A358="","",IFERROR(MATCH(F358,DATA!$AH$2:$AH$5,0),9)*10000+A358)</f>
        <v/>
      </c>
      <c r="Z358" s="8" t="str">
        <f t="shared" si="111"/>
        <v/>
      </c>
      <c r="AA358" s="8" t="str">
        <f t="shared" si="112"/>
        <v/>
      </c>
      <c r="AB358" s="8" t="str">
        <f t="shared" si="113"/>
        <v/>
      </c>
      <c r="AC358" s="8"/>
      <c r="AD358" s="8"/>
      <c r="AE358" s="8"/>
      <c r="AK358" s="5" t="str">
        <f t="shared" si="114"/>
        <v/>
      </c>
      <c r="AL358" s="5" t="str">
        <f t="shared" si="115"/>
        <v/>
      </c>
      <c r="AM358" s="5" t="str">
        <f t="shared" si="116"/>
        <v/>
      </c>
      <c r="AN358" s="5" t="str">
        <f t="shared" si="117"/>
        <v/>
      </c>
      <c r="AO358" s="5" t="str">
        <f t="shared" si="118"/>
        <v/>
      </c>
      <c r="AP358" s="5" t="str">
        <f t="shared" si="119"/>
        <v/>
      </c>
      <c r="AQ358" s="5" t="str">
        <f t="shared" si="120"/>
        <v/>
      </c>
      <c r="AR358" s="5" t="str">
        <f t="shared" si="121"/>
        <v/>
      </c>
      <c r="AS358" s="5" t="str">
        <f t="shared" si="122"/>
        <v/>
      </c>
      <c r="AT358" s="5" t="str">
        <f t="shared" si="123"/>
        <v/>
      </c>
      <c r="AU358" s="5" t="str">
        <f t="shared" si="124"/>
        <v/>
      </c>
      <c r="AV358" s="5" t="str">
        <f t="shared" si="125"/>
        <v/>
      </c>
      <c r="AW358" s="5" t="str">
        <f t="shared" si="126"/>
        <v/>
      </c>
      <c r="AX358" s="5" t="str">
        <f t="shared" si="127"/>
        <v/>
      </c>
      <c r="AY358" s="5" t="str">
        <f t="shared" si="128"/>
        <v/>
      </c>
      <c r="AZ358" s="5" t="str">
        <f t="shared" si="129"/>
        <v/>
      </c>
      <c r="BA358" s="5" t="str">
        <f t="shared" si="130"/>
        <v/>
      </c>
      <c r="BB358" s="5" t="str">
        <f t="shared" si="131"/>
        <v/>
      </c>
    </row>
    <row r="359" spans="1:54" s="5" customFormat="1" hidden="1">
      <c r="A359" s="8" t="str">
        <f>IF(INDEX(FORM!$A:$A,ROW())="","",ROW()-1)</f>
        <v/>
      </c>
      <c r="B359" s="41" t="str">
        <f>IF($A359="","",INDEX(FORM!$A:$A,ROW()))</f>
        <v/>
      </c>
      <c r="C359" s="8" t="str">
        <f>IF($A359="","",TRIM(INDEX(FORM!$B:$B,ROW())))</f>
        <v/>
      </c>
      <c r="D359" s="8" t="str">
        <f>IF($A359="","",TRIM(INDEX(FORM!$C:$C,ROW())&amp;""))</f>
        <v/>
      </c>
      <c r="E359" s="8" t="str">
        <f>IF($A359="","",UPPER(TRIM(INDEX(FORM!$D:$D,ROW()))))</f>
        <v/>
      </c>
      <c r="F359" s="8" t="str">
        <f>IF($A359="","",IFERROR(INDEX(PROGRES!$A$2:$A$92,MATCH(E359,PROGRES!$B$2:$B$92,0)),"-"))</f>
        <v/>
      </c>
      <c r="G359" s="8" t="str">
        <f>IF($A359="","",UPPER(TRIM(INDEX(FORM!$F:$F,ROW()))))</f>
        <v/>
      </c>
      <c r="H359" s="8" t="str">
        <f>IF($A359="","",UPPER(TRIM(INDEX(FORM!$E:$E,ROW()))))</f>
        <v/>
      </c>
      <c r="I359" s="8" t="str">
        <f>IF($A359="","",UPPER(TRIM(INDEX(FORM!$G:$G,ROW()))))</f>
        <v/>
      </c>
      <c r="J359" s="8" t="str">
        <f>IF($A359="","",IF(ISNUMBER(SEARCH("Ya,",INDEX(FORM!$H:$H,ROW()))),"YA",IF(ISNUMBER(SEARCH("Cukup,",INDEX(FORM!$H:$H,ROW()))),"CUKUP",IF(ISNUMBER(SEARCH("Kurang,",INDEX(FORM!$H:$H,ROW()))),"KURANG",""))))</f>
        <v/>
      </c>
      <c r="K359" s="8" t="str">
        <f>IF($A359="","",UPPER(TRIM(INDEX(FORM!$J:$J,ROW()))))</f>
        <v/>
      </c>
      <c r="L359" s="8" t="str">
        <f>IF($A359="","",IF(ISNUMBER(SEARCH("Aktivitas Harian",INDEX(FORM!$K:$K,ROW()))),1,0))</f>
        <v/>
      </c>
      <c r="M359" s="8" t="str">
        <f>IF($A359="","",IF(ISNUMBER(SEARCH("Aktivitas Mingguan",INDEX(FORM!$K:$K,ROW()))),1,0))</f>
        <v/>
      </c>
      <c r="N359" s="8" t="str">
        <f>IF($A359="","",IF(ISNUMBER(SEARCH("Aktivitas Bulanan",INDEX(FORM!$K:$K,ROW()))),1,0))</f>
        <v/>
      </c>
      <c r="O359" s="8" t="str">
        <f>IF($A359="","",IF(ISNUMBER(SEARCH("Overview Cabang",INDEX(FORM!$K:$K,ROW()))),1,0))</f>
        <v/>
      </c>
      <c r="P359" s="8" t="str">
        <f>IF($A359="","",IFERROR(VLOOKUP(I359,DATA!$AH$9:$AI$13,2,0),""))</f>
        <v/>
      </c>
      <c r="Q359" s="8" t="str">
        <f>IF($A359="","",IFERROR(VLOOKUP(J359,DATA!$AH$9:$AI$13,2,0),""))</f>
        <v/>
      </c>
      <c r="R359" s="8" t="str">
        <f>IF($A359="","",IFERROR(VLOOKUP(K359,DATA!$AH$9:$AI$13,2,0),""))</f>
        <v/>
      </c>
      <c r="S359" s="42" t="str">
        <f t="shared" si="110"/>
        <v/>
      </c>
      <c r="T359" s="8" t="str">
        <f>IF($A359="","",IF(COUNTIF($D$2:D359,D359)=1,1,0))</f>
        <v/>
      </c>
      <c r="U359" s="8" t="str">
        <f>IF($A359="","",IF(F359="-","Cabang tdk ada",IF(IFERROR(VLOOKUP(G359,#REF!,1,0),"")="","",IF(INDEX(DATA!$AH$2:$AH$5,MATCH(G359,DATA!$AI$2:$AI$5,0))&lt;&gt;F359,"Wilayah beda","OK"))))</f>
        <v/>
      </c>
      <c r="V359" s="8" t="str">
        <f>IF($A359="","",TRIM(INDEX(FORM!$I:$I,ROW())&amp;""))</f>
        <v/>
      </c>
      <c r="W359" s="8" t="str">
        <f>IF($A359="","",TRIM(INDEX(FORM!$L:$L,ROW())&amp;""))</f>
        <v/>
      </c>
      <c r="X359" s="8" t="str">
        <f>IF($A359="","",TRIM(INDEX(FORM!$M:$M,ROW())&amp;""))</f>
        <v/>
      </c>
      <c r="Y359" s="8" t="str">
        <f>IF($A359="","",IFERROR(MATCH(F359,DATA!$AH$2:$AH$5,0),9)*10000+A359)</f>
        <v/>
      </c>
      <c r="Z359" s="8" t="str">
        <f t="shared" si="111"/>
        <v/>
      </c>
      <c r="AA359" s="8" t="str">
        <f t="shared" si="112"/>
        <v/>
      </c>
      <c r="AB359" s="8" t="str">
        <f t="shared" si="113"/>
        <v/>
      </c>
      <c r="AC359" s="8"/>
      <c r="AD359" s="8"/>
      <c r="AE359" s="8"/>
      <c r="AK359" s="5" t="str">
        <f t="shared" si="114"/>
        <v/>
      </c>
      <c r="AL359" s="5" t="str">
        <f t="shared" si="115"/>
        <v/>
      </c>
      <c r="AM359" s="5" t="str">
        <f t="shared" si="116"/>
        <v/>
      </c>
      <c r="AN359" s="5" t="str">
        <f t="shared" si="117"/>
        <v/>
      </c>
      <c r="AO359" s="5" t="str">
        <f t="shared" si="118"/>
        <v/>
      </c>
      <c r="AP359" s="5" t="str">
        <f t="shared" si="119"/>
        <v/>
      </c>
      <c r="AQ359" s="5" t="str">
        <f t="shared" si="120"/>
        <v/>
      </c>
      <c r="AR359" s="5" t="str">
        <f t="shared" si="121"/>
        <v/>
      </c>
      <c r="AS359" s="5" t="str">
        <f t="shared" si="122"/>
        <v/>
      </c>
      <c r="AT359" s="5" t="str">
        <f t="shared" si="123"/>
        <v/>
      </c>
      <c r="AU359" s="5" t="str">
        <f t="shared" si="124"/>
        <v/>
      </c>
      <c r="AV359" s="5" t="str">
        <f t="shared" si="125"/>
        <v/>
      </c>
      <c r="AW359" s="5" t="str">
        <f t="shared" si="126"/>
        <v/>
      </c>
      <c r="AX359" s="5" t="str">
        <f t="shared" si="127"/>
        <v/>
      </c>
      <c r="AY359" s="5" t="str">
        <f t="shared" si="128"/>
        <v/>
      </c>
      <c r="AZ359" s="5" t="str">
        <f t="shared" si="129"/>
        <v/>
      </c>
      <c r="BA359" s="5" t="str">
        <f t="shared" si="130"/>
        <v/>
      </c>
      <c r="BB359" s="5" t="str">
        <f t="shared" si="131"/>
        <v/>
      </c>
    </row>
    <row r="360" spans="1:54" s="5" customFormat="1" hidden="1">
      <c r="A360" s="8" t="str">
        <f>IF(INDEX(FORM!$A:$A,ROW())="","",ROW()-1)</f>
        <v/>
      </c>
      <c r="B360" s="41" t="str">
        <f>IF($A360="","",INDEX(FORM!$A:$A,ROW()))</f>
        <v/>
      </c>
      <c r="C360" s="8" t="str">
        <f>IF($A360="","",TRIM(INDEX(FORM!$B:$B,ROW())))</f>
        <v/>
      </c>
      <c r="D360" s="8" t="str">
        <f>IF($A360="","",TRIM(INDEX(FORM!$C:$C,ROW())&amp;""))</f>
        <v/>
      </c>
      <c r="E360" s="8" t="str">
        <f>IF($A360="","",UPPER(TRIM(INDEX(FORM!$D:$D,ROW()))))</f>
        <v/>
      </c>
      <c r="F360" s="8" t="str">
        <f>IF($A360="","",IFERROR(INDEX(PROGRES!$A$2:$A$92,MATCH(E360,PROGRES!$B$2:$B$92,0)),"-"))</f>
        <v/>
      </c>
      <c r="G360" s="8" t="str">
        <f>IF($A360="","",UPPER(TRIM(INDEX(FORM!$F:$F,ROW()))))</f>
        <v/>
      </c>
      <c r="H360" s="8" t="str">
        <f>IF($A360="","",UPPER(TRIM(INDEX(FORM!$E:$E,ROW()))))</f>
        <v/>
      </c>
      <c r="I360" s="8" t="str">
        <f>IF($A360="","",UPPER(TRIM(INDEX(FORM!$G:$G,ROW()))))</f>
        <v/>
      </c>
      <c r="J360" s="8" t="str">
        <f>IF($A360="","",IF(ISNUMBER(SEARCH("Ya,",INDEX(FORM!$H:$H,ROW()))),"YA",IF(ISNUMBER(SEARCH("Cukup,",INDEX(FORM!$H:$H,ROW()))),"CUKUP",IF(ISNUMBER(SEARCH("Kurang,",INDEX(FORM!$H:$H,ROW()))),"KURANG",""))))</f>
        <v/>
      </c>
      <c r="K360" s="8" t="str">
        <f>IF($A360="","",UPPER(TRIM(INDEX(FORM!$J:$J,ROW()))))</f>
        <v/>
      </c>
      <c r="L360" s="8" t="str">
        <f>IF($A360="","",IF(ISNUMBER(SEARCH("Aktivitas Harian",INDEX(FORM!$K:$K,ROW()))),1,0))</f>
        <v/>
      </c>
      <c r="M360" s="8" t="str">
        <f>IF($A360="","",IF(ISNUMBER(SEARCH("Aktivitas Mingguan",INDEX(FORM!$K:$K,ROW()))),1,0))</f>
        <v/>
      </c>
      <c r="N360" s="8" t="str">
        <f>IF($A360="","",IF(ISNUMBER(SEARCH("Aktivitas Bulanan",INDEX(FORM!$K:$K,ROW()))),1,0))</f>
        <v/>
      </c>
      <c r="O360" s="8" t="str">
        <f>IF($A360="","",IF(ISNUMBER(SEARCH("Overview Cabang",INDEX(FORM!$K:$K,ROW()))),1,0))</f>
        <v/>
      </c>
      <c r="P360" s="8" t="str">
        <f>IF($A360="","",IFERROR(VLOOKUP(I360,DATA!$AH$9:$AI$13,2,0),""))</f>
        <v/>
      </c>
      <c r="Q360" s="8" t="str">
        <f>IF($A360="","",IFERROR(VLOOKUP(J360,DATA!$AH$9:$AI$13,2,0),""))</f>
        <v/>
      </c>
      <c r="R360" s="8" t="str">
        <f>IF($A360="","",IFERROR(VLOOKUP(K360,DATA!$AH$9:$AI$13,2,0),""))</f>
        <v/>
      </c>
      <c r="S360" s="42" t="str">
        <f t="shared" si="110"/>
        <v/>
      </c>
      <c r="T360" s="8" t="str">
        <f>IF($A360="","",IF(COUNTIF($D$2:D360,D360)=1,1,0))</f>
        <v/>
      </c>
      <c r="U360" s="8" t="str">
        <f>IF($A360="","",IF(F360="-","Cabang tdk ada",IF(IFERROR(VLOOKUP(G360,#REF!,1,0),"")="","",IF(INDEX(DATA!$AH$2:$AH$5,MATCH(G360,DATA!$AI$2:$AI$5,0))&lt;&gt;F360,"Wilayah beda","OK"))))</f>
        <v/>
      </c>
      <c r="V360" s="8" t="str">
        <f>IF($A360="","",TRIM(INDEX(FORM!$I:$I,ROW())&amp;""))</f>
        <v/>
      </c>
      <c r="W360" s="8" t="str">
        <f>IF($A360="","",TRIM(INDEX(FORM!$L:$L,ROW())&amp;""))</f>
        <v/>
      </c>
      <c r="X360" s="8" t="str">
        <f>IF($A360="","",TRIM(INDEX(FORM!$M:$M,ROW())&amp;""))</f>
        <v/>
      </c>
      <c r="Y360" s="8" t="str">
        <f>IF($A360="","",IFERROR(MATCH(F360,DATA!$AH$2:$AH$5,0),9)*10000+A360)</f>
        <v/>
      </c>
      <c r="Z360" s="8" t="str">
        <f t="shared" si="111"/>
        <v/>
      </c>
      <c r="AA360" s="8" t="str">
        <f t="shared" si="112"/>
        <v/>
      </c>
      <c r="AB360" s="8" t="str">
        <f t="shared" si="113"/>
        <v/>
      </c>
      <c r="AC360" s="8"/>
      <c r="AD360" s="8"/>
      <c r="AE360" s="8"/>
      <c r="AK360" s="5" t="str">
        <f t="shared" si="114"/>
        <v/>
      </c>
      <c r="AL360" s="5" t="str">
        <f t="shared" si="115"/>
        <v/>
      </c>
      <c r="AM360" s="5" t="str">
        <f t="shared" si="116"/>
        <v/>
      </c>
      <c r="AN360" s="5" t="str">
        <f t="shared" si="117"/>
        <v/>
      </c>
      <c r="AO360" s="5" t="str">
        <f t="shared" si="118"/>
        <v/>
      </c>
      <c r="AP360" s="5" t="str">
        <f t="shared" si="119"/>
        <v/>
      </c>
      <c r="AQ360" s="5" t="str">
        <f t="shared" si="120"/>
        <v/>
      </c>
      <c r="AR360" s="5" t="str">
        <f t="shared" si="121"/>
        <v/>
      </c>
      <c r="AS360" s="5" t="str">
        <f t="shared" si="122"/>
        <v/>
      </c>
      <c r="AT360" s="5" t="str">
        <f t="shared" si="123"/>
        <v/>
      </c>
      <c r="AU360" s="5" t="str">
        <f t="shared" si="124"/>
        <v/>
      </c>
      <c r="AV360" s="5" t="str">
        <f t="shared" si="125"/>
        <v/>
      </c>
      <c r="AW360" s="5" t="str">
        <f t="shared" si="126"/>
        <v/>
      </c>
      <c r="AX360" s="5" t="str">
        <f t="shared" si="127"/>
        <v/>
      </c>
      <c r="AY360" s="5" t="str">
        <f t="shared" si="128"/>
        <v/>
      </c>
      <c r="AZ360" s="5" t="str">
        <f t="shared" si="129"/>
        <v/>
      </c>
      <c r="BA360" s="5" t="str">
        <f t="shared" si="130"/>
        <v/>
      </c>
      <c r="BB360" s="5" t="str">
        <f t="shared" si="131"/>
        <v/>
      </c>
    </row>
    <row r="361" spans="1:54" s="5" customFormat="1" hidden="1">
      <c r="A361" s="8" t="str">
        <f>IF(INDEX(FORM!$A:$A,ROW())="","",ROW()-1)</f>
        <v/>
      </c>
      <c r="B361" s="41" t="str">
        <f>IF($A361="","",INDEX(FORM!$A:$A,ROW()))</f>
        <v/>
      </c>
      <c r="C361" s="8" t="str">
        <f>IF($A361="","",TRIM(INDEX(FORM!$B:$B,ROW())))</f>
        <v/>
      </c>
      <c r="D361" s="8" t="str">
        <f>IF($A361="","",TRIM(INDEX(FORM!$C:$C,ROW())&amp;""))</f>
        <v/>
      </c>
      <c r="E361" s="8" t="str">
        <f>IF($A361="","",UPPER(TRIM(INDEX(FORM!$D:$D,ROW()))))</f>
        <v/>
      </c>
      <c r="F361" s="8" t="str">
        <f>IF($A361="","",IFERROR(INDEX(PROGRES!$A$2:$A$92,MATCH(E361,PROGRES!$B$2:$B$92,0)),"-"))</f>
        <v/>
      </c>
      <c r="G361" s="8" t="str">
        <f>IF($A361="","",UPPER(TRIM(INDEX(FORM!$F:$F,ROW()))))</f>
        <v/>
      </c>
      <c r="H361" s="8" t="str">
        <f>IF($A361="","",UPPER(TRIM(INDEX(FORM!$E:$E,ROW()))))</f>
        <v/>
      </c>
      <c r="I361" s="8" t="str">
        <f>IF($A361="","",UPPER(TRIM(INDEX(FORM!$G:$G,ROW()))))</f>
        <v/>
      </c>
      <c r="J361" s="8" t="str">
        <f>IF($A361="","",IF(ISNUMBER(SEARCH("Ya,",INDEX(FORM!$H:$H,ROW()))),"YA",IF(ISNUMBER(SEARCH("Cukup,",INDEX(FORM!$H:$H,ROW()))),"CUKUP",IF(ISNUMBER(SEARCH("Kurang,",INDEX(FORM!$H:$H,ROW()))),"KURANG",""))))</f>
        <v/>
      </c>
      <c r="K361" s="8" t="str">
        <f>IF($A361="","",UPPER(TRIM(INDEX(FORM!$J:$J,ROW()))))</f>
        <v/>
      </c>
      <c r="L361" s="8" t="str">
        <f>IF($A361="","",IF(ISNUMBER(SEARCH("Aktivitas Harian",INDEX(FORM!$K:$K,ROW()))),1,0))</f>
        <v/>
      </c>
      <c r="M361" s="8" t="str">
        <f>IF($A361="","",IF(ISNUMBER(SEARCH("Aktivitas Mingguan",INDEX(FORM!$K:$K,ROW()))),1,0))</f>
        <v/>
      </c>
      <c r="N361" s="8" t="str">
        <f>IF($A361="","",IF(ISNUMBER(SEARCH("Aktivitas Bulanan",INDEX(FORM!$K:$K,ROW()))),1,0))</f>
        <v/>
      </c>
      <c r="O361" s="8" t="str">
        <f>IF($A361="","",IF(ISNUMBER(SEARCH("Overview Cabang",INDEX(FORM!$K:$K,ROW()))),1,0))</f>
        <v/>
      </c>
      <c r="P361" s="8" t="str">
        <f>IF($A361="","",IFERROR(VLOOKUP(I361,DATA!$AH$9:$AI$13,2,0),""))</f>
        <v/>
      </c>
      <c r="Q361" s="8" t="str">
        <f>IF($A361="","",IFERROR(VLOOKUP(J361,DATA!$AH$9:$AI$13,2,0),""))</f>
        <v/>
      </c>
      <c r="R361" s="8" t="str">
        <f>IF($A361="","",IFERROR(VLOOKUP(K361,DATA!$AH$9:$AI$13,2,0),""))</f>
        <v/>
      </c>
      <c r="S361" s="42" t="str">
        <f t="shared" si="110"/>
        <v/>
      </c>
      <c r="T361" s="8" t="str">
        <f>IF($A361="","",IF(COUNTIF($D$2:D361,D361)=1,1,0))</f>
        <v/>
      </c>
      <c r="U361" s="8" t="str">
        <f>IF($A361="","",IF(F361="-","Cabang tdk ada",IF(IFERROR(VLOOKUP(G361,#REF!,1,0),"")="","",IF(INDEX(DATA!$AH$2:$AH$5,MATCH(G361,DATA!$AI$2:$AI$5,0))&lt;&gt;F361,"Wilayah beda","OK"))))</f>
        <v/>
      </c>
      <c r="V361" s="8" t="str">
        <f>IF($A361="","",TRIM(INDEX(FORM!$I:$I,ROW())&amp;""))</f>
        <v/>
      </c>
      <c r="W361" s="8" t="str">
        <f>IF($A361="","",TRIM(INDEX(FORM!$L:$L,ROW())&amp;""))</f>
        <v/>
      </c>
      <c r="X361" s="8" t="str">
        <f>IF($A361="","",TRIM(INDEX(FORM!$M:$M,ROW())&amp;""))</f>
        <v/>
      </c>
      <c r="Y361" s="8" t="str">
        <f>IF($A361="","",IFERROR(MATCH(F361,DATA!$AH$2:$AH$5,0),9)*10000+A361)</f>
        <v/>
      </c>
      <c r="Z361" s="8" t="str">
        <f t="shared" si="111"/>
        <v/>
      </c>
      <c r="AA361" s="8" t="str">
        <f t="shared" si="112"/>
        <v/>
      </c>
      <c r="AB361" s="8" t="str">
        <f t="shared" si="113"/>
        <v/>
      </c>
      <c r="AC361" s="8"/>
      <c r="AD361" s="8"/>
      <c r="AE361" s="8"/>
      <c r="AK361" s="5" t="str">
        <f t="shared" si="114"/>
        <v/>
      </c>
      <c r="AL361" s="5" t="str">
        <f t="shared" si="115"/>
        <v/>
      </c>
      <c r="AM361" s="5" t="str">
        <f t="shared" si="116"/>
        <v/>
      </c>
      <c r="AN361" s="5" t="str">
        <f t="shared" si="117"/>
        <v/>
      </c>
      <c r="AO361" s="5" t="str">
        <f t="shared" si="118"/>
        <v/>
      </c>
      <c r="AP361" s="5" t="str">
        <f t="shared" si="119"/>
        <v/>
      </c>
      <c r="AQ361" s="5" t="str">
        <f t="shared" si="120"/>
        <v/>
      </c>
      <c r="AR361" s="5" t="str">
        <f t="shared" si="121"/>
        <v/>
      </c>
      <c r="AS361" s="5" t="str">
        <f t="shared" si="122"/>
        <v/>
      </c>
      <c r="AT361" s="5" t="str">
        <f t="shared" si="123"/>
        <v/>
      </c>
      <c r="AU361" s="5" t="str">
        <f t="shared" si="124"/>
        <v/>
      </c>
      <c r="AV361" s="5" t="str">
        <f t="shared" si="125"/>
        <v/>
      </c>
      <c r="AW361" s="5" t="str">
        <f t="shared" si="126"/>
        <v/>
      </c>
      <c r="AX361" s="5" t="str">
        <f t="shared" si="127"/>
        <v/>
      </c>
      <c r="AY361" s="5" t="str">
        <f t="shared" si="128"/>
        <v/>
      </c>
      <c r="AZ361" s="5" t="str">
        <f t="shared" si="129"/>
        <v/>
      </c>
      <c r="BA361" s="5" t="str">
        <f t="shared" si="130"/>
        <v/>
      </c>
      <c r="BB361" s="5" t="str">
        <f t="shared" si="131"/>
        <v/>
      </c>
    </row>
    <row r="362" spans="1:54" s="5" customFormat="1" hidden="1">
      <c r="A362" s="8" t="str">
        <f>IF(INDEX(FORM!$A:$A,ROW())="","",ROW()-1)</f>
        <v/>
      </c>
      <c r="B362" s="41" t="str">
        <f>IF($A362="","",INDEX(FORM!$A:$A,ROW()))</f>
        <v/>
      </c>
      <c r="C362" s="8" t="str">
        <f>IF($A362="","",TRIM(INDEX(FORM!$B:$B,ROW())))</f>
        <v/>
      </c>
      <c r="D362" s="8" t="str">
        <f>IF($A362="","",TRIM(INDEX(FORM!$C:$C,ROW())&amp;""))</f>
        <v/>
      </c>
      <c r="E362" s="8" t="str">
        <f>IF($A362="","",UPPER(TRIM(INDEX(FORM!$D:$D,ROW()))))</f>
        <v/>
      </c>
      <c r="F362" s="8" t="str">
        <f>IF($A362="","",IFERROR(INDEX(PROGRES!$A$2:$A$92,MATCH(E362,PROGRES!$B$2:$B$92,0)),"-"))</f>
        <v/>
      </c>
      <c r="G362" s="8" t="str">
        <f>IF($A362="","",UPPER(TRIM(INDEX(FORM!$F:$F,ROW()))))</f>
        <v/>
      </c>
      <c r="H362" s="8" t="str">
        <f>IF($A362="","",UPPER(TRIM(INDEX(FORM!$E:$E,ROW()))))</f>
        <v/>
      </c>
      <c r="I362" s="8" t="str">
        <f>IF($A362="","",UPPER(TRIM(INDEX(FORM!$G:$G,ROW()))))</f>
        <v/>
      </c>
      <c r="J362" s="8" t="str">
        <f>IF($A362="","",IF(ISNUMBER(SEARCH("Ya,",INDEX(FORM!$H:$H,ROW()))),"YA",IF(ISNUMBER(SEARCH("Cukup,",INDEX(FORM!$H:$H,ROW()))),"CUKUP",IF(ISNUMBER(SEARCH("Kurang,",INDEX(FORM!$H:$H,ROW()))),"KURANG",""))))</f>
        <v/>
      </c>
      <c r="K362" s="8" t="str">
        <f>IF($A362="","",UPPER(TRIM(INDEX(FORM!$J:$J,ROW()))))</f>
        <v/>
      </c>
      <c r="L362" s="8" t="str">
        <f>IF($A362="","",IF(ISNUMBER(SEARCH("Aktivitas Harian",INDEX(FORM!$K:$K,ROW()))),1,0))</f>
        <v/>
      </c>
      <c r="M362" s="8" t="str">
        <f>IF($A362="","",IF(ISNUMBER(SEARCH("Aktivitas Mingguan",INDEX(FORM!$K:$K,ROW()))),1,0))</f>
        <v/>
      </c>
      <c r="N362" s="8" t="str">
        <f>IF($A362="","",IF(ISNUMBER(SEARCH("Aktivitas Bulanan",INDEX(FORM!$K:$K,ROW()))),1,0))</f>
        <v/>
      </c>
      <c r="O362" s="8" t="str">
        <f>IF($A362="","",IF(ISNUMBER(SEARCH("Overview Cabang",INDEX(FORM!$K:$K,ROW()))),1,0))</f>
        <v/>
      </c>
      <c r="P362" s="8" t="str">
        <f>IF($A362="","",IFERROR(VLOOKUP(I362,DATA!$AH$9:$AI$13,2,0),""))</f>
        <v/>
      </c>
      <c r="Q362" s="8" t="str">
        <f>IF($A362="","",IFERROR(VLOOKUP(J362,DATA!$AH$9:$AI$13,2,0),""))</f>
        <v/>
      </c>
      <c r="R362" s="8" t="str">
        <f>IF($A362="","",IFERROR(VLOOKUP(K362,DATA!$AH$9:$AI$13,2,0),""))</f>
        <v/>
      </c>
      <c r="S362" s="42" t="str">
        <f t="shared" si="110"/>
        <v/>
      </c>
      <c r="T362" s="8" t="str">
        <f>IF($A362="","",IF(COUNTIF($D$2:D362,D362)=1,1,0))</f>
        <v/>
      </c>
      <c r="U362" s="8" t="str">
        <f>IF($A362="","",IF(F362="-","Cabang tdk ada",IF(IFERROR(VLOOKUP(G362,#REF!,1,0),"")="","",IF(INDEX(DATA!$AH$2:$AH$5,MATCH(G362,DATA!$AI$2:$AI$5,0))&lt;&gt;F362,"Wilayah beda","OK"))))</f>
        <v/>
      </c>
      <c r="V362" s="8" t="str">
        <f>IF($A362="","",TRIM(INDEX(FORM!$I:$I,ROW())&amp;""))</f>
        <v/>
      </c>
      <c r="W362" s="8" t="str">
        <f>IF($A362="","",TRIM(INDEX(FORM!$L:$L,ROW())&amp;""))</f>
        <v/>
      </c>
      <c r="X362" s="8" t="str">
        <f>IF($A362="","",TRIM(INDEX(FORM!$M:$M,ROW())&amp;""))</f>
        <v/>
      </c>
      <c r="Y362" s="8" t="str">
        <f>IF($A362="","",IFERROR(MATCH(F362,DATA!$AH$2:$AH$5,0),9)*10000+A362)</f>
        <v/>
      </c>
      <c r="Z362" s="8" t="str">
        <f t="shared" si="111"/>
        <v/>
      </c>
      <c r="AA362" s="8" t="str">
        <f t="shared" si="112"/>
        <v/>
      </c>
      <c r="AB362" s="8" t="str">
        <f t="shared" si="113"/>
        <v/>
      </c>
      <c r="AC362" s="8"/>
      <c r="AD362" s="8"/>
      <c r="AE362" s="8"/>
      <c r="AK362" s="5" t="str">
        <f t="shared" si="114"/>
        <v/>
      </c>
      <c r="AL362" s="5" t="str">
        <f t="shared" si="115"/>
        <v/>
      </c>
      <c r="AM362" s="5" t="str">
        <f t="shared" si="116"/>
        <v/>
      </c>
      <c r="AN362" s="5" t="str">
        <f t="shared" si="117"/>
        <v/>
      </c>
      <c r="AO362" s="5" t="str">
        <f t="shared" si="118"/>
        <v/>
      </c>
      <c r="AP362" s="5" t="str">
        <f t="shared" si="119"/>
        <v/>
      </c>
      <c r="AQ362" s="5" t="str">
        <f t="shared" si="120"/>
        <v/>
      </c>
      <c r="AR362" s="5" t="str">
        <f t="shared" si="121"/>
        <v/>
      </c>
      <c r="AS362" s="5" t="str">
        <f t="shared" si="122"/>
        <v/>
      </c>
      <c r="AT362" s="5" t="str">
        <f t="shared" si="123"/>
        <v/>
      </c>
      <c r="AU362" s="5" t="str">
        <f t="shared" si="124"/>
        <v/>
      </c>
      <c r="AV362" s="5" t="str">
        <f t="shared" si="125"/>
        <v/>
      </c>
      <c r="AW362" s="5" t="str">
        <f t="shared" si="126"/>
        <v/>
      </c>
      <c r="AX362" s="5" t="str">
        <f t="shared" si="127"/>
        <v/>
      </c>
      <c r="AY362" s="5" t="str">
        <f t="shared" si="128"/>
        <v/>
      </c>
      <c r="AZ362" s="5" t="str">
        <f t="shared" si="129"/>
        <v/>
      </c>
      <c r="BA362" s="5" t="str">
        <f t="shared" si="130"/>
        <v/>
      </c>
      <c r="BB362" s="5" t="str">
        <f t="shared" si="131"/>
        <v/>
      </c>
    </row>
    <row r="363" spans="1:54" s="5" customFormat="1" hidden="1">
      <c r="A363" s="8" t="str">
        <f>IF(INDEX(FORM!$A:$A,ROW())="","",ROW()-1)</f>
        <v/>
      </c>
      <c r="B363" s="41" t="str">
        <f>IF($A363="","",INDEX(FORM!$A:$A,ROW()))</f>
        <v/>
      </c>
      <c r="C363" s="8" t="str">
        <f>IF($A363="","",TRIM(INDEX(FORM!$B:$B,ROW())))</f>
        <v/>
      </c>
      <c r="D363" s="8" t="str">
        <f>IF($A363="","",TRIM(INDEX(FORM!$C:$C,ROW())&amp;""))</f>
        <v/>
      </c>
      <c r="E363" s="8" t="str">
        <f>IF($A363="","",UPPER(TRIM(INDEX(FORM!$D:$D,ROW()))))</f>
        <v/>
      </c>
      <c r="F363" s="8" t="str">
        <f>IF($A363="","",IFERROR(INDEX(PROGRES!$A$2:$A$92,MATCH(E363,PROGRES!$B$2:$B$92,0)),"-"))</f>
        <v/>
      </c>
      <c r="G363" s="8" t="str">
        <f>IF($A363="","",UPPER(TRIM(INDEX(FORM!$F:$F,ROW()))))</f>
        <v/>
      </c>
      <c r="H363" s="8" t="str">
        <f>IF($A363="","",UPPER(TRIM(INDEX(FORM!$E:$E,ROW()))))</f>
        <v/>
      </c>
      <c r="I363" s="8" t="str">
        <f>IF($A363="","",UPPER(TRIM(INDEX(FORM!$G:$G,ROW()))))</f>
        <v/>
      </c>
      <c r="J363" s="8" t="str">
        <f>IF($A363="","",IF(ISNUMBER(SEARCH("Ya,",INDEX(FORM!$H:$H,ROW()))),"YA",IF(ISNUMBER(SEARCH("Cukup,",INDEX(FORM!$H:$H,ROW()))),"CUKUP",IF(ISNUMBER(SEARCH("Kurang,",INDEX(FORM!$H:$H,ROW()))),"KURANG",""))))</f>
        <v/>
      </c>
      <c r="K363" s="8" t="str">
        <f>IF($A363="","",UPPER(TRIM(INDEX(FORM!$J:$J,ROW()))))</f>
        <v/>
      </c>
      <c r="L363" s="8" t="str">
        <f>IF($A363="","",IF(ISNUMBER(SEARCH("Aktivitas Harian",INDEX(FORM!$K:$K,ROW()))),1,0))</f>
        <v/>
      </c>
      <c r="M363" s="8" t="str">
        <f>IF($A363="","",IF(ISNUMBER(SEARCH("Aktivitas Mingguan",INDEX(FORM!$K:$K,ROW()))),1,0))</f>
        <v/>
      </c>
      <c r="N363" s="8" t="str">
        <f>IF($A363="","",IF(ISNUMBER(SEARCH("Aktivitas Bulanan",INDEX(FORM!$K:$K,ROW()))),1,0))</f>
        <v/>
      </c>
      <c r="O363" s="8" t="str">
        <f>IF($A363="","",IF(ISNUMBER(SEARCH("Overview Cabang",INDEX(FORM!$K:$K,ROW()))),1,0))</f>
        <v/>
      </c>
      <c r="P363" s="8" t="str">
        <f>IF($A363="","",IFERROR(VLOOKUP(I363,DATA!$AH$9:$AI$13,2,0),""))</f>
        <v/>
      </c>
      <c r="Q363" s="8" t="str">
        <f>IF($A363="","",IFERROR(VLOOKUP(J363,DATA!$AH$9:$AI$13,2,0),""))</f>
        <v/>
      </c>
      <c r="R363" s="8" t="str">
        <f>IF($A363="","",IFERROR(VLOOKUP(K363,DATA!$AH$9:$AI$13,2,0),""))</f>
        <v/>
      </c>
      <c r="S363" s="42" t="str">
        <f t="shared" si="110"/>
        <v/>
      </c>
      <c r="T363" s="8" t="str">
        <f>IF($A363="","",IF(COUNTIF($D$2:D363,D363)=1,1,0))</f>
        <v/>
      </c>
      <c r="U363" s="8" t="str">
        <f>IF($A363="","",IF(F363="-","Cabang tdk ada",IF(IFERROR(VLOOKUP(G363,#REF!,1,0),"")="","",IF(INDEX(DATA!$AH$2:$AH$5,MATCH(G363,DATA!$AI$2:$AI$5,0))&lt;&gt;F363,"Wilayah beda","OK"))))</f>
        <v/>
      </c>
      <c r="V363" s="8" t="str">
        <f>IF($A363="","",TRIM(INDEX(FORM!$I:$I,ROW())&amp;""))</f>
        <v/>
      </c>
      <c r="W363" s="8" t="str">
        <f>IF($A363="","",TRIM(INDEX(FORM!$L:$L,ROW())&amp;""))</f>
        <v/>
      </c>
      <c r="X363" s="8" t="str">
        <f>IF($A363="","",TRIM(INDEX(FORM!$M:$M,ROW())&amp;""))</f>
        <v/>
      </c>
      <c r="Y363" s="8" t="str">
        <f>IF($A363="","",IFERROR(MATCH(F363,DATA!$AH$2:$AH$5,0),9)*10000+A363)</f>
        <v/>
      </c>
      <c r="Z363" s="8" t="str">
        <f t="shared" si="111"/>
        <v/>
      </c>
      <c r="AA363" s="8" t="str">
        <f t="shared" si="112"/>
        <v/>
      </c>
      <c r="AB363" s="8" t="str">
        <f t="shared" si="113"/>
        <v/>
      </c>
      <c r="AC363" s="8"/>
      <c r="AD363" s="8"/>
      <c r="AE363" s="8"/>
      <c r="AK363" s="5" t="str">
        <f t="shared" si="114"/>
        <v/>
      </c>
      <c r="AL363" s="5" t="str">
        <f t="shared" si="115"/>
        <v/>
      </c>
      <c r="AM363" s="5" t="str">
        <f t="shared" si="116"/>
        <v/>
      </c>
      <c r="AN363" s="5" t="str">
        <f t="shared" si="117"/>
        <v/>
      </c>
      <c r="AO363" s="5" t="str">
        <f t="shared" si="118"/>
        <v/>
      </c>
      <c r="AP363" s="5" t="str">
        <f t="shared" si="119"/>
        <v/>
      </c>
      <c r="AQ363" s="5" t="str">
        <f t="shared" si="120"/>
        <v/>
      </c>
      <c r="AR363" s="5" t="str">
        <f t="shared" si="121"/>
        <v/>
      </c>
      <c r="AS363" s="5" t="str">
        <f t="shared" si="122"/>
        <v/>
      </c>
      <c r="AT363" s="5" t="str">
        <f t="shared" si="123"/>
        <v/>
      </c>
      <c r="AU363" s="5" t="str">
        <f t="shared" si="124"/>
        <v/>
      </c>
      <c r="AV363" s="5" t="str">
        <f t="shared" si="125"/>
        <v/>
      </c>
      <c r="AW363" s="5" t="str">
        <f t="shared" si="126"/>
        <v/>
      </c>
      <c r="AX363" s="5" t="str">
        <f t="shared" si="127"/>
        <v/>
      </c>
      <c r="AY363" s="5" t="str">
        <f t="shared" si="128"/>
        <v/>
      </c>
      <c r="AZ363" s="5" t="str">
        <f t="shared" si="129"/>
        <v/>
      </c>
      <c r="BA363" s="5" t="str">
        <f t="shared" si="130"/>
        <v/>
      </c>
      <c r="BB363" s="5" t="str">
        <f t="shared" si="131"/>
        <v/>
      </c>
    </row>
    <row r="364" spans="1:54" s="5" customFormat="1" hidden="1">
      <c r="A364" s="8" t="str">
        <f>IF(INDEX(FORM!$A:$A,ROW())="","",ROW()-1)</f>
        <v/>
      </c>
      <c r="B364" s="41" t="str">
        <f>IF($A364="","",INDEX(FORM!$A:$A,ROW()))</f>
        <v/>
      </c>
      <c r="C364" s="8" t="str">
        <f>IF($A364="","",TRIM(INDEX(FORM!$B:$B,ROW())))</f>
        <v/>
      </c>
      <c r="D364" s="8" t="str">
        <f>IF($A364="","",TRIM(INDEX(FORM!$C:$C,ROW())&amp;""))</f>
        <v/>
      </c>
      <c r="E364" s="8" t="str">
        <f>IF($A364="","",UPPER(TRIM(INDEX(FORM!$D:$D,ROW()))))</f>
        <v/>
      </c>
      <c r="F364" s="8" t="str">
        <f>IF($A364="","",IFERROR(INDEX(PROGRES!$A$2:$A$92,MATCH(E364,PROGRES!$B$2:$B$92,0)),"-"))</f>
        <v/>
      </c>
      <c r="G364" s="8" t="str">
        <f>IF($A364="","",UPPER(TRIM(INDEX(FORM!$F:$F,ROW()))))</f>
        <v/>
      </c>
      <c r="H364" s="8" t="str">
        <f>IF($A364="","",UPPER(TRIM(INDEX(FORM!$E:$E,ROW()))))</f>
        <v/>
      </c>
      <c r="I364" s="8" t="str">
        <f>IF($A364="","",UPPER(TRIM(INDEX(FORM!$G:$G,ROW()))))</f>
        <v/>
      </c>
      <c r="J364" s="8" t="str">
        <f>IF($A364="","",IF(ISNUMBER(SEARCH("Ya,",INDEX(FORM!$H:$H,ROW()))),"YA",IF(ISNUMBER(SEARCH("Cukup,",INDEX(FORM!$H:$H,ROW()))),"CUKUP",IF(ISNUMBER(SEARCH("Kurang,",INDEX(FORM!$H:$H,ROW()))),"KURANG",""))))</f>
        <v/>
      </c>
      <c r="K364" s="8" t="str">
        <f>IF($A364="","",UPPER(TRIM(INDEX(FORM!$J:$J,ROW()))))</f>
        <v/>
      </c>
      <c r="L364" s="8" t="str">
        <f>IF($A364="","",IF(ISNUMBER(SEARCH("Aktivitas Harian",INDEX(FORM!$K:$K,ROW()))),1,0))</f>
        <v/>
      </c>
      <c r="M364" s="8" t="str">
        <f>IF($A364="","",IF(ISNUMBER(SEARCH("Aktivitas Mingguan",INDEX(FORM!$K:$K,ROW()))),1,0))</f>
        <v/>
      </c>
      <c r="N364" s="8" t="str">
        <f>IF($A364="","",IF(ISNUMBER(SEARCH("Aktivitas Bulanan",INDEX(FORM!$K:$K,ROW()))),1,0))</f>
        <v/>
      </c>
      <c r="O364" s="8" t="str">
        <f>IF($A364="","",IF(ISNUMBER(SEARCH("Overview Cabang",INDEX(FORM!$K:$K,ROW()))),1,0))</f>
        <v/>
      </c>
      <c r="P364" s="8" t="str">
        <f>IF($A364="","",IFERROR(VLOOKUP(I364,DATA!$AH$9:$AI$13,2,0),""))</f>
        <v/>
      </c>
      <c r="Q364" s="8" t="str">
        <f>IF($A364="","",IFERROR(VLOOKUP(J364,DATA!$AH$9:$AI$13,2,0),""))</f>
        <v/>
      </c>
      <c r="R364" s="8" t="str">
        <f>IF($A364="","",IFERROR(VLOOKUP(K364,DATA!$AH$9:$AI$13,2,0),""))</f>
        <v/>
      </c>
      <c r="S364" s="42" t="str">
        <f t="shared" si="110"/>
        <v/>
      </c>
      <c r="T364" s="8" t="str">
        <f>IF($A364="","",IF(COUNTIF($D$2:D364,D364)=1,1,0))</f>
        <v/>
      </c>
      <c r="U364" s="8" t="str">
        <f>IF($A364="","",IF(F364="-","Cabang tdk ada",IF(IFERROR(VLOOKUP(G364,#REF!,1,0),"")="","",IF(INDEX(DATA!$AH$2:$AH$5,MATCH(G364,DATA!$AI$2:$AI$5,0))&lt;&gt;F364,"Wilayah beda","OK"))))</f>
        <v/>
      </c>
      <c r="V364" s="8" t="str">
        <f>IF($A364="","",TRIM(INDEX(FORM!$I:$I,ROW())&amp;""))</f>
        <v/>
      </c>
      <c r="W364" s="8" t="str">
        <f>IF($A364="","",TRIM(INDEX(FORM!$L:$L,ROW())&amp;""))</f>
        <v/>
      </c>
      <c r="X364" s="8" t="str">
        <f>IF($A364="","",TRIM(INDEX(FORM!$M:$M,ROW())&amp;""))</f>
        <v/>
      </c>
      <c r="Y364" s="8" t="str">
        <f>IF($A364="","",IFERROR(MATCH(F364,DATA!$AH$2:$AH$5,0),9)*10000+A364)</f>
        <v/>
      </c>
      <c r="Z364" s="8" t="str">
        <f t="shared" si="111"/>
        <v/>
      </c>
      <c r="AA364" s="8" t="str">
        <f t="shared" si="112"/>
        <v/>
      </c>
      <c r="AB364" s="8" t="str">
        <f t="shared" si="113"/>
        <v/>
      </c>
      <c r="AC364" s="8"/>
      <c r="AD364" s="8"/>
      <c r="AE364" s="8"/>
      <c r="AK364" s="5" t="str">
        <f t="shared" si="114"/>
        <v/>
      </c>
      <c r="AL364" s="5" t="str">
        <f t="shared" si="115"/>
        <v/>
      </c>
      <c r="AM364" s="5" t="str">
        <f t="shared" si="116"/>
        <v/>
      </c>
      <c r="AN364" s="5" t="str">
        <f t="shared" si="117"/>
        <v/>
      </c>
      <c r="AO364" s="5" t="str">
        <f t="shared" si="118"/>
        <v/>
      </c>
      <c r="AP364" s="5" t="str">
        <f t="shared" si="119"/>
        <v/>
      </c>
      <c r="AQ364" s="5" t="str">
        <f t="shared" si="120"/>
        <v/>
      </c>
      <c r="AR364" s="5" t="str">
        <f t="shared" si="121"/>
        <v/>
      </c>
      <c r="AS364" s="5" t="str">
        <f t="shared" si="122"/>
        <v/>
      </c>
      <c r="AT364" s="5" t="str">
        <f t="shared" si="123"/>
        <v/>
      </c>
      <c r="AU364" s="5" t="str">
        <f t="shared" si="124"/>
        <v/>
      </c>
      <c r="AV364" s="5" t="str">
        <f t="shared" si="125"/>
        <v/>
      </c>
      <c r="AW364" s="5" t="str">
        <f t="shared" si="126"/>
        <v/>
      </c>
      <c r="AX364" s="5" t="str">
        <f t="shared" si="127"/>
        <v/>
      </c>
      <c r="AY364" s="5" t="str">
        <f t="shared" si="128"/>
        <v/>
      </c>
      <c r="AZ364" s="5" t="str">
        <f t="shared" si="129"/>
        <v/>
      </c>
      <c r="BA364" s="5" t="str">
        <f t="shared" si="130"/>
        <v/>
      </c>
      <c r="BB364" s="5" t="str">
        <f t="shared" si="131"/>
        <v/>
      </c>
    </row>
    <row r="365" spans="1:54" s="5" customFormat="1" hidden="1">
      <c r="A365" s="8" t="str">
        <f>IF(INDEX(FORM!$A:$A,ROW())="","",ROW()-1)</f>
        <v/>
      </c>
      <c r="B365" s="41" t="str">
        <f>IF($A365="","",INDEX(FORM!$A:$A,ROW()))</f>
        <v/>
      </c>
      <c r="C365" s="8" t="str">
        <f>IF($A365="","",TRIM(INDEX(FORM!$B:$B,ROW())))</f>
        <v/>
      </c>
      <c r="D365" s="8" t="str">
        <f>IF($A365="","",TRIM(INDEX(FORM!$C:$C,ROW())&amp;""))</f>
        <v/>
      </c>
      <c r="E365" s="8" t="str">
        <f>IF($A365="","",UPPER(TRIM(INDEX(FORM!$D:$D,ROW()))))</f>
        <v/>
      </c>
      <c r="F365" s="8" t="str">
        <f>IF($A365="","",IFERROR(INDEX(PROGRES!$A$2:$A$92,MATCH(E365,PROGRES!$B$2:$B$92,0)),"-"))</f>
        <v/>
      </c>
      <c r="G365" s="8" t="str">
        <f>IF($A365="","",UPPER(TRIM(INDEX(FORM!$F:$F,ROW()))))</f>
        <v/>
      </c>
      <c r="H365" s="8" t="str">
        <f>IF($A365="","",UPPER(TRIM(INDEX(FORM!$E:$E,ROW()))))</f>
        <v/>
      </c>
      <c r="I365" s="8" t="str">
        <f>IF($A365="","",UPPER(TRIM(INDEX(FORM!$G:$G,ROW()))))</f>
        <v/>
      </c>
      <c r="J365" s="8" t="str">
        <f>IF($A365="","",IF(ISNUMBER(SEARCH("Ya,",INDEX(FORM!$H:$H,ROW()))),"YA",IF(ISNUMBER(SEARCH("Cukup,",INDEX(FORM!$H:$H,ROW()))),"CUKUP",IF(ISNUMBER(SEARCH("Kurang,",INDEX(FORM!$H:$H,ROW()))),"KURANG",""))))</f>
        <v/>
      </c>
      <c r="K365" s="8" t="str">
        <f>IF($A365="","",UPPER(TRIM(INDEX(FORM!$J:$J,ROW()))))</f>
        <v/>
      </c>
      <c r="L365" s="8" t="str">
        <f>IF($A365="","",IF(ISNUMBER(SEARCH("Aktivitas Harian",INDEX(FORM!$K:$K,ROW()))),1,0))</f>
        <v/>
      </c>
      <c r="M365" s="8" t="str">
        <f>IF($A365="","",IF(ISNUMBER(SEARCH("Aktivitas Mingguan",INDEX(FORM!$K:$K,ROW()))),1,0))</f>
        <v/>
      </c>
      <c r="N365" s="8" t="str">
        <f>IF($A365="","",IF(ISNUMBER(SEARCH("Aktivitas Bulanan",INDEX(FORM!$K:$K,ROW()))),1,0))</f>
        <v/>
      </c>
      <c r="O365" s="8" t="str">
        <f>IF($A365="","",IF(ISNUMBER(SEARCH("Overview Cabang",INDEX(FORM!$K:$K,ROW()))),1,0))</f>
        <v/>
      </c>
      <c r="P365" s="8" t="str">
        <f>IF($A365="","",IFERROR(VLOOKUP(I365,DATA!$AH$9:$AI$13,2,0),""))</f>
        <v/>
      </c>
      <c r="Q365" s="8" t="str">
        <f>IF($A365="","",IFERROR(VLOOKUP(J365,DATA!$AH$9:$AI$13,2,0),""))</f>
        <v/>
      </c>
      <c r="R365" s="8" t="str">
        <f>IF($A365="","",IFERROR(VLOOKUP(K365,DATA!$AH$9:$AI$13,2,0),""))</f>
        <v/>
      </c>
      <c r="S365" s="42" t="str">
        <f t="shared" si="110"/>
        <v/>
      </c>
      <c r="T365" s="8" t="str">
        <f>IF($A365="","",IF(COUNTIF($D$2:D365,D365)=1,1,0))</f>
        <v/>
      </c>
      <c r="U365" s="8" t="str">
        <f>IF($A365="","",IF(F365="-","Cabang tdk ada",IF(IFERROR(VLOOKUP(G365,#REF!,1,0),"")="","",IF(INDEX(DATA!$AH$2:$AH$5,MATCH(G365,DATA!$AI$2:$AI$5,0))&lt;&gt;F365,"Wilayah beda","OK"))))</f>
        <v/>
      </c>
      <c r="V365" s="8" t="str">
        <f>IF($A365="","",TRIM(INDEX(FORM!$I:$I,ROW())&amp;""))</f>
        <v/>
      </c>
      <c r="W365" s="8" t="str">
        <f>IF($A365="","",TRIM(INDEX(FORM!$L:$L,ROW())&amp;""))</f>
        <v/>
      </c>
      <c r="X365" s="8" t="str">
        <f>IF($A365="","",TRIM(INDEX(FORM!$M:$M,ROW())&amp;""))</f>
        <v/>
      </c>
      <c r="Y365" s="8" t="str">
        <f>IF($A365="","",IFERROR(MATCH(F365,DATA!$AH$2:$AH$5,0),9)*10000+A365)</f>
        <v/>
      </c>
      <c r="Z365" s="8" t="str">
        <f t="shared" si="111"/>
        <v/>
      </c>
      <c r="AA365" s="8" t="str">
        <f t="shared" si="112"/>
        <v/>
      </c>
      <c r="AB365" s="8" t="str">
        <f t="shared" si="113"/>
        <v/>
      </c>
      <c r="AC365" s="8"/>
      <c r="AD365" s="8"/>
      <c r="AE365" s="8"/>
      <c r="AK365" s="5" t="str">
        <f t="shared" si="114"/>
        <v/>
      </c>
      <c r="AL365" s="5" t="str">
        <f t="shared" si="115"/>
        <v/>
      </c>
      <c r="AM365" s="5" t="str">
        <f t="shared" si="116"/>
        <v/>
      </c>
      <c r="AN365" s="5" t="str">
        <f t="shared" si="117"/>
        <v/>
      </c>
      <c r="AO365" s="5" t="str">
        <f t="shared" si="118"/>
        <v/>
      </c>
      <c r="AP365" s="5" t="str">
        <f t="shared" si="119"/>
        <v/>
      </c>
      <c r="AQ365" s="5" t="str">
        <f t="shared" si="120"/>
        <v/>
      </c>
      <c r="AR365" s="5" t="str">
        <f t="shared" si="121"/>
        <v/>
      </c>
      <c r="AS365" s="5" t="str">
        <f t="shared" si="122"/>
        <v/>
      </c>
      <c r="AT365" s="5" t="str">
        <f t="shared" si="123"/>
        <v/>
      </c>
      <c r="AU365" s="5" t="str">
        <f t="shared" si="124"/>
        <v/>
      </c>
      <c r="AV365" s="5" t="str">
        <f t="shared" si="125"/>
        <v/>
      </c>
      <c r="AW365" s="5" t="str">
        <f t="shared" si="126"/>
        <v/>
      </c>
      <c r="AX365" s="5" t="str">
        <f t="shared" si="127"/>
        <v/>
      </c>
      <c r="AY365" s="5" t="str">
        <f t="shared" si="128"/>
        <v/>
      </c>
      <c r="AZ365" s="5" t="str">
        <f t="shared" si="129"/>
        <v/>
      </c>
      <c r="BA365" s="5" t="str">
        <f t="shared" si="130"/>
        <v/>
      </c>
      <c r="BB365" s="5" t="str">
        <f t="shared" si="131"/>
        <v/>
      </c>
    </row>
    <row r="366" spans="1:54" s="5" customFormat="1" hidden="1">
      <c r="A366" s="8" t="str">
        <f>IF(INDEX(FORM!$A:$A,ROW())="","",ROW()-1)</f>
        <v/>
      </c>
      <c r="B366" s="41" t="str">
        <f>IF($A366="","",INDEX(FORM!$A:$A,ROW()))</f>
        <v/>
      </c>
      <c r="C366" s="8" t="str">
        <f>IF($A366="","",TRIM(INDEX(FORM!$B:$B,ROW())))</f>
        <v/>
      </c>
      <c r="D366" s="8" t="str">
        <f>IF($A366="","",TRIM(INDEX(FORM!$C:$C,ROW())&amp;""))</f>
        <v/>
      </c>
      <c r="E366" s="8" t="str">
        <f>IF($A366="","",UPPER(TRIM(INDEX(FORM!$D:$D,ROW()))))</f>
        <v/>
      </c>
      <c r="F366" s="8" t="str">
        <f>IF($A366="","",IFERROR(INDEX(PROGRES!$A$2:$A$92,MATCH(E366,PROGRES!$B$2:$B$92,0)),"-"))</f>
        <v/>
      </c>
      <c r="G366" s="8" t="str">
        <f>IF($A366="","",UPPER(TRIM(INDEX(FORM!$F:$F,ROW()))))</f>
        <v/>
      </c>
      <c r="H366" s="8" t="str">
        <f>IF($A366="","",UPPER(TRIM(INDEX(FORM!$E:$E,ROW()))))</f>
        <v/>
      </c>
      <c r="I366" s="8" t="str">
        <f>IF($A366="","",UPPER(TRIM(INDEX(FORM!$G:$G,ROW()))))</f>
        <v/>
      </c>
      <c r="J366" s="8" t="str">
        <f>IF($A366="","",IF(ISNUMBER(SEARCH("Ya,",INDEX(FORM!$H:$H,ROW()))),"YA",IF(ISNUMBER(SEARCH("Cukup,",INDEX(FORM!$H:$H,ROW()))),"CUKUP",IF(ISNUMBER(SEARCH("Kurang,",INDEX(FORM!$H:$H,ROW()))),"KURANG",""))))</f>
        <v/>
      </c>
      <c r="K366" s="8" t="str">
        <f>IF($A366="","",UPPER(TRIM(INDEX(FORM!$J:$J,ROW()))))</f>
        <v/>
      </c>
      <c r="L366" s="8" t="str">
        <f>IF($A366="","",IF(ISNUMBER(SEARCH("Aktivitas Harian",INDEX(FORM!$K:$K,ROW()))),1,0))</f>
        <v/>
      </c>
      <c r="M366" s="8" t="str">
        <f>IF($A366="","",IF(ISNUMBER(SEARCH("Aktivitas Mingguan",INDEX(FORM!$K:$K,ROW()))),1,0))</f>
        <v/>
      </c>
      <c r="N366" s="8" t="str">
        <f>IF($A366="","",IF(ISNUMBER(SEARCH("Aktivitas Bulanan",INDEX(FORM!$K:$K,ROW()))),1,0))</f>
        <v/>
      </c>
      <c r="O366" s="8" t="str">
        <f>IF($A366="","",IF(ISNUMBER(SEARCH("Overview Cabang",INDEX(FORM!$K:$K,ROW()))),1,0))</f>
        <v/>
      </c>
      <c r="P366" s="8" t="str">
        <f>IF($A366="","",IFERROR(VLOOKUP(I366,DATA!$AH$9:$AI$13,2,0),""))</f>
        <v/>
      </c>
      <c r="Q366" s="8" t="str">
        <f>IF($A366="","",IFERROR(VLOOKUP(J366,DATA!$AH$9:$AI$13,2,0),""))</f>
        <v/>
      </c>
      <c r="R366" s="8" t="str">
        <f>IF($A366="","",IFERROR(VLOOKUP(K366,DATA!$AH$9:$AI$13,2,0),""))</f>
        <v/>
      </c>
      <c r="S366" s="42" t="str">
        <f t="shared" si="110"/>
        <v/>
      </c>
      <c r="T366" s="8" t="str">
        <f>IF($A366="","",IF(COUNTIF($D$2:D366,D366)=1,1,0))</f>
        <v/>
      </c>
      <c r="U366" s="8" t="str">
        <f>IF($A366="","",IF(F366="-","Cabang tdk ada",IF(IFERROR(VLOOKUP(G366,#REF!,1,0),"")="","",IF(INDEX(DATA!$AH$2:$AH$5,MATCH(G366,DATA!$AI$2:$AI$5,0))&lt;&gt;F366,"Wilayah beda","OK"))))</f>
        <v/>
      </c>
      <c r="V366" s="8" t="str">
        <f>IF($A366="","",TRIM(INDEX(FORM!$I:$I,ROW())&amp;""))</f>
        <v/>
      </c>
      <c r="W366" s="8" t="str">
        <f>IF($A366="","",TRIM(INDEX(FORM!$L:$L,ROW())&amp;""))</f>
        <v/>
      </c>
      <c r="X366" s="8" t="str">
        <f>IF($A366="","",TRIM(INDEX(FORM!$M:$M,ROW())&amp;""))</f>
        <v/>
      </c>
      <c r="Y366" s="8" t="str">
        <f>IF($A366="","",IFERROR(MATCH(F366,DATA!$AH$2:$AH$5,0),9)*10000+A366)</f>
        <v/>
      </c>
      <c r="Z366" s="8" t="str">
        <f t="shared" si="111"/>
        <v/>
      </c>
      <c r="AA366" s="8" t="str">
        <f t="shared" si="112"/>
        <v/>
      </c>
      <c r="AB366" s="8" t="str">
        <f t="shared" si="113"/>
        <v/>
      </c>
      <c r="AC366" s="8"/>
      <c r="AD366" s="8"/>
      <c r="AE366" s="8"/>
      <c r="AK366" s="5" t="str">
        <f t="shared" si="114"/>
        <v/>
      </c>
      <c r="AL366" s="5" t="str">
        <f t="shared" si="115"/>
        <v/>
      </c>
      <c r="AM366" s="5" t="str">
        <f t="shared" si="116"/>
        <v/>
      </c>
      <c r="AN366" s="5" t="str">
        <f t="shared" si="117"/>
        <v/>
      </c>
      <c r="AO366" s="5" t="str">
        <f t="shared" si="118"/>
        <v/>
      </c>
      <c r="AP366" s="5" t="str">
        <f t="shared" si="119"/>
        <v/>
      </c>
      <c r="AQ366" s="5" t="str">
        <f t="shared" si="120"/>
        <v/>
      </c>
      <c r="AR366" s="5" t="str">
        <f t="shared" si="121"/>
        <v/>
      </c>
      <c r="AS366" s="5" t="str">
        <f t="shared" si="122"/>
        <v/>
      </c>
      <c r="AT366" s="5" t="str">
        <f t="shared" si="123"/>
        <v/>
      </c>
      <c r="AU366" s="5" t="str">
        <f t="shared" si="124"/>
        <v/>
      </c>
      <c r="AV366" s="5" t="str">
        <f t="shared" si="125"/>
        <v/>
      </c>
      <c r="AW366" s="5" t="str">
        <f t="shared" si="126"/>
        <v/>
      </c>
      <c r="AX366" s="5" t="str">
        <f t="shared" si="127"/>
        <v/>
      </c>
      <c r="AY366" s="5" t="str">
        <f t="shared" si="128"/>
        <v/>
      </c>
      <c r="AZ366" s="5" t="str">
        <f t="shared" si="129"/>
        <v/>
      </c>
      <c r="BA366" s="5" t="str">
        <f t="shared" si="130"/>
        <v/>
      </c>
      <c r="BB366" s="5" t="str">
        <f t="shared" si="131"/>
        <v/>
      </c>
    </row>
    <row r="367" spans="1:54" s="5" customFormat="1" hidden="1">
      <c r="A367" s="8" t="str">
        <f>IF(INDEX(FORM!$A:$A,ROW())="","",ROW()-1)</f>
        <v/>
      </c>
      <c r="B367" s="41" t="str">
        <f>IF($A367="","",INDEX(FORM!$A:$A,ROW()))</f>
        <v/>
      </c>
      <c r="C367" s="8" t="str">
        <f>IF($A367="","",TRIM(INDEX(FORM!$B:$B,ROW())))</f>
        <v/>
      </c>
      <c r="D367" s="8" t="str">
        <f>IF($A367="","",TRIM(INDEX(FORM!$C:$C,ROW())&amp;""))</f>
        <v/>
      </c>
      <c r="E367" s="8" t="str">
        <f>IF($A367="","",UPPER(TRIM(INDEX(FORM!$D:$D,ROW()))))</f>
        <v/>
      </c>
      <c r="F367" s="8" t="str">
        <f>IF($A367="","",IFERROR(INDEX(PROGRES!$A$2:$A$92,MATCH(E367,PROGRES!$B$2:$B$92,0)),"-"))</f>
        <v/>
      </c>
      <c r="G367" s="8" t="str">
        <f>IF($A367="","",UPPER(TRIM(INDEX(FORM!$F:$F,ROW()))))</f>
        <v/>
      </c>
      <c r="H367" s="8" t="str">
        <f>IF($A367="","",UPPER(TRIM(INDEX(FORM!$E:$E,ROW()))))</f>
        <v/>
      </c>
      <c r="I367" s="8" t="str">
        <f>IF($A367="","",UPPER(TRIM(INDEX(FORM!$G:$G,ROW()))))</f>
        <v/>
      </c>
      <c r="J367" s="8" t="str">
        <f>IF($A367="","",IF(ISNUMBER(SEARCH("Ya,",INDEX(FORM!$H:$H,ROW()))),"YA",IF(ISNUMBER(SEARCH("Cukup,",INDEX(FORM!$H:$H,ROW()))),"CUKUP",IF(ISNUMBER(SEARCH("Kurang,",INDEX(FORM!$H:$H,ROW()))),"KURANG",""))))</f>
        <v/>
      </c>
      <c r="K367" s="8" t="str">
        <f>IF($A367="","",UPPER(TRIM(INDEX(FORM!$J:$J,ROW()))))</f>
        <v/>
      </c>
      <c r="L367" s="8" t="str">
        <f>IF($A367="","",IF(ISNUMBER(SEARCH("Aktivitas Harian",INDEX(FORM!$K:$K,ROW()))),1,0))</f>
        <v/>
      </c>
      <c r="M367" s="8" t="str">
        <f>IF($A367="","",IF(ISNUMBER(SEARCH("Aktivitas Mingguan",INDEX(FORM!$K:$K,ROW()))),1,0))</f>
        <v/>
      </c>
      <c r="N367" s="8" t="str">
        <f>IF($A367="","",IF(ISNUMBER(SEARCH("Aktivitas Bulanan",INDEX(FORM!$K:$K,ROW()))),1,0))</f>
        <v/>
      </c>
      <c r="O367" s="8" t="str">
        <f>IF($A367="","",IF(ISNUMBER(SEARCH("Overview Cabang",INDEX(FORM!$K:$K,ROW()))),1,0))</f>
        <v/>
      </c>
      <c r="P367" s="8" t="str">
        <f>IF($A367="","",IFERROR(VLOOKUP(I367,DATA!$AH$9:$AI$13,2,0),""))</f>
        <v/>
      </c>
      <c r="Q367" s="8" t="str">
        <f>IF($A367="","",IFERROR(VLOOKUP(J367,DATA!$AH$9:$AI$13,2,0),""))</f>
        <v/>
      </c>
      <c r="R367" s="8" t="str">
        <f>IF($A367="","",IFERROR(VLOOKUP(K367,DATA!$AH$9:$AI$13,2,0),""))</f>
        <v/>
      </c>
      <c r="S367" s="42" t="str">
        <f t="shared" si="110"/>
        <v/>
      </c>
      <c r="T367" s="8" t="str">
        <f>IF($A367="","",IF(COUNTIF($D$2:D367,D367)=1,1,0))</f>
        <v/>
      </c>
      <c r="U367" s="8" t="str">
        <f>IF($A367="","",IF(F367="-","Cabang tdk ada",IF(IFERROR(VLOOKUP(G367,#REF!,1,0),"")="","",IF(INDEX(DATA!$AH$2:$AH$5,MATCH(G367,DATA!$AI$2:$AI$5,0))&lt;&gt;F367,"Wilayah beda","OK"))))</f>
        <v/>
      </c>
      <c r="V367" s="8" t="str">
        <f>IF($A367="","",TRIM(INDEX(FORM!$I:$I,ROW())&amp;""))</f>
        <v/>
      </c>
      <c r="W367" s="8" t="str">
        <f>IF($A367="","",TRIM(INDEX(FORM!$L:$L,ROW())&amp;""))</f>
        <v/>
      </c>
      <c r="X367" s="8" t="str">
        <f>IF($A367="","",TRIM(INDEX(FORM!$M:$M,ROW())&amp;""))</f>
        <v/>
      </c>
      <c r="Y367" s="8" t="str">
        <f>IF($A367="","",IFERROR(MATCH(F367,DATA!$AH$2:$AH$5,0),9)*10000+A367)</f>
        <v/>
      </c>
      <c r="Z367" s="8" t="str">
        <f t="shared" si="111"/>
        <v/>
      </c>
      <c r="AA367" s="8" t="str">
        <f t="shared" si="112"/>
        <v/>
      </c>
      <c r="AB367" s="8" t="str">
        <f t="shared" si="113"/>
        <v/>
      </c>
      <c r="AC367" s="8"/>
      <c r="AD367" s="8"/>
      <c r="AE367" s="8"/>
      <c r="AK367" s="5" t="str">
        <f t="shared" si="114"/>
        <v/>
      </c>
      <c r="AL367" s="5" t="str">
        <f t="shared" si="115"/>
        <v/>
      </c>
      <c r="AM367" s="5" t="str">
        <f t="shared" si="116"/>
        <v/>
      </c>
      <c r="AN367" s="5" t="str">
        <f t="shared" si="117"/>
        <v/>
      </c>
      <c r="AO367" s="5" t="str">
        <f t="shared" si="118"/>
        <v/>
      </c>
      <c r="AP367" s="5" t="str">
        <f t="shared" si="119"/>
        <v/>
      </c>
      <c r="AQ367" s="5" t="str">
        <f t="shared" si="120"/>
        <v/>
      </c>
      <c r="AR367" s="5" t="str">
        <f t="shared" si="121"/>
        <v/>
      </c>
      <c r="AS367" s="5" t="str">
        <f t="shared" si="122"/>
        <v/>
      </c>
      <c r="AT367" s="5" t="str">
        <f t="shared" si="123"/>
        <v/>
      </c>
      <c r="AU367" s="5" t="str">
        <f t="shared" si="124"/>
        <v/>
      </c>
      <c r="AV367" s="5" t="str">
        <f t="shared" si="125"/>
        <v/>
      </c>
      <c r="AW367" s="5" t="str">
        <f t="shared" si="126"/>
        <v/>
      </c>
      <c r="AX367" s="5" t="str">
        <f t="shared" si="127"/>
        <v/>
      </c>
      <c r="AY367" s="5" t="str">
        <f t="shared" si="128"/>
        <v/>
      </c>
      <c r="AZ367" s="5" t="str">
        <f t="shared" si="129"/>
        <v/>
      </c>
      <c r="BA367" s="5" t="str">
        <f t="shared" si="130"/>
        <v/>
      </c>
      <c r="BB367" s="5" t="str">
        <f t="shared" si="131"/>
        <v/>
      </c>
    </row>
    <row r="368" spans="1:54" s="5" customFormat="1" hidden="1">
      <c r="A368" s="8" t="str">
        <f>IF(INDEX(FORM!$A:$A,ROW())="","",ROW()-1)</f>
        <v/>
      </c>
      <c r="B368" s="41" t="str">
        <f>IF($A368="","",INDEX(FORM!$A:$A,ROW()))</f>
        <v/>
      </c>
      <c r="C368" s="8" t="str">
        <f>IF($A368="","",TRIM(INDEX(FORM!$B:$B,ROW())))</f>
        <v/>
      </c>
      <c r="D368" s="8" t="str">
        <f>IF($A368="","",TRIM(INDEX(FORM!$C:$C,ROW())&amp;""))</f>
        <v/>
      </c>
      <c r="E368" s="8" t="str">
        <f>IF($A368="","",UPPER(TRIM(INDEX(FORM!$D:$D,ROW()))))</f>
        <v/>
      </c>
      <c r="F368" s="8" t="str">
        <f>IF($A368="","",IFERROR(INDEX(PROGRES!$A$2:$A$92,MATCH(E368,PROGRES!$B$2:$B$92,0)),"-"))</f>
        <v/>
      </c>
      <c r="G368" s="8" t="str">
        <f>IF($A368="","",UPPER(TRIM(INDEX(FORM!$F:$F,ROW()))))</f>
        <v/>
      </c>
      <c r="H368" s="8" t="str">
        <f>IF($A368="","",UPPER(TRIM(INDEX(FORM!$E:$E,ROW()))))</f>
        <v/>
      </c>
      <c r="I368" s="8" t="str">
        <f>IF($A368="","",UPPER(TRIM(INDEX(FORM!$G:$G,ROW()))))</f>
        <v/>
      </c>
      <c r="J368" s="8" t="str">
        <f>IF($A368="","",IF(ISNUMBER(SEARCH("Ya,",INDEX(FORM!$H:$H,ROW()))),"YA",IF(ISNUMBER(SEARCH("Cukup,",INDEX(FORM!$H:$H,ROW()))),"CUKUP",IF(ISNUMBER(SEARCH("Kurang,",INDEX(FORM!$H:$H,ROW()))),"KURANG",""))))</f>
        <v/>
      </c>
      <c r="K368" s="8" t="str">
        <f>IF($A368="","",UPPER(TRIM(INDEX(FORM!$J:$J,ROW()))))</f>
        <v/>
      </c>
      <c r="L368" s="8" t="str">
        <f>IF($A368="","",IF(ISNUMBER(SEARCH("Aktivitas Harian",INDEX(FORM!$K:$K,ROW()))),1,0))</f>
        <v/>
      </c>
      <c r="M368" s="8" t="str">
        <f>IF($A368="","",IF(ISNUMBER(SEARCH("Aktivitas Mingguan",INDEX(FORM!$K:$K,ROW()))),1,0))</f>
        <v/>
      </c>
      <c r="N368" s="8" t="str">
        <f>IF($A368="","",IF(ISNUMBER(SEARCH("Aktivitas Bulanan",INDEX(FORM!$K:$K,ROW()))),1,0))</f>
        <v/>
      </c>
      <c r="O368" s="8" t="str">
        <f>IF($A368="","",IF(ISNUMBER(SEARCH("Overview Cabang",INDEX(FORM!$K:$K,ROW()))),1,0))</f>
        <v/>
      </c>
      <c r="P368" s="8" t="str">
        <f>IF($A368="","",IFERROR(VLOOKUP(I368,DATA!$AH$9:$AI$13,2,0),""))</f>
        <v/>
      </c>
      <c r="Q368" s="8" t="str">
        <f>IF($A368="","",IFERROR(VLOOKUP(J368,DATA!$AH$9:$AI$13,2,0),""))</f>
        <v/>
      </c>
      <c r="R368" s="8" t="str">
        <f>IF($A368="","",IFERROR(VLOOKUP(K368,DATA!$AH$9:$AI$13,2,0),""))</f>
        <v/>
      </c>
      <c r="S368" s="42" t="str">
        <f t="shared" si="110"/>
        <v/>
      </c>
      <c r="T368" s="8" t="str">
        <f>IF($A368="","",IF(COUNTIF($D$2:D368,D368)=1,1,0))</f>
        <v/>
      </c>
      <c r="U368" s="8" t="str">
        <f>IF($A368="","",IF(F368="-","Cabang tdk ada",IF(IFERROR(VLOOKUP(G368,#REF!,1,0),"")="","",IF(INDEX(DATA!$AH$2:$AH$5,MATCH(G368,DATA!$AI$2:$AI$5,0))&lt;&gt;F368,"Wilayah beda","OK"))))</f>
        <v/>
      </c>
      <c r="V368" s="8" t="str">
        <f>IF($A368="","",TRIM(INDEX(FORM!$I:$I,ROW())&amp;""))</f>
        <v/>
      </c>
      <c r="W368" s="8" t="str">
        <f>IF($A368="","",TRIM(INDEX(FORM!$L:$L,ROW())&amp;""))</f>
        <v/>
      </c>
      <c r="X368" s="8" t="str">
        <f>IF($A368="","",TRIM(INDEX(FORM!$M:$M,ROW())&amp;""))</f>
        <v/>
      </c>
      <c r="Y368" s="8" t="str">
        <f>IF($A368="","",IFERROR(MATCH(F368,DATA!$AH$2:$AH$5,0),9)*10000+A368)</f>
        <v/>
      </c>
      <c r="Z368" s="8" t="str">
        <f t="shared" si="111"/>
        <v/>
      </c>
      <c r="AA368" s="8" t="str">
        <f t="shared" si="112"/>
        <v/>
      </c>
      <c r="AB368" s="8" t="str">
        <f t="shared" si="113"/>
        <v/>
      </c>
      <c r="AC368" s="8"/>
      <c r="AD368" s="8"/>
      <c r="AE368" s="8"/>
      <c r="AK368" s="5" t="str">
        <f t="shared" si="114"/>
        <v/>
      </c>
      <c r="AL368" s="5" t="str">
        <f t="shared" si="115"/>
        <v/>
      </c>
      <c r="AM368" s="5" t="str">
        <f t="shared" si="116"/>
        <v/>
      </c>
      <c r="AN368" s="5" t="str">
        <f t="shared" si="117"/>
        <v/>
      </c>
      <c r="AO368" s="5" t="str">
        <f t="shared" si="118"/>
        <v/>
      </c>
      <c r="AP368" s="5" t="str">
        <f t="shared" si="119"/>
        <v/>
      </c>
      <c r="AQ368" s="5" t="str">
        <f t="shared" si="120"/>
        <v/>
      </c>
      <c r="AR368" s="5" t="str">
        <f t="shared" si="121"/>
        <v/>
      </c>
      <c r="AS368" s="5" t="str">
        <f t="shared" si="122"/>
        <v/>
      </c>
      <c r="AT368" s="5" t="str">
        <f t="shared" si="123"/>
        <v/>
      </c>
      <c r="AU368" s="5" t="str">
        <f t="shared" si="124"/>
        <v/>
      </c>
      <c r="AV368" s="5" t="str">
        <f t="shared" si="125"/>
        <v/>
      </c>
      <c r="AW368" s="5" t="str">
        <f t="shared" si="126"/>
        <v/>
      </c>
      <c r="AX368" s="5" t="str">
        <f t="shared" si="127"/>
        <v/>
      </c>
      <c r="AY368" s="5" t="str">
        <f t="shared" si="128"/>
        <v/>
      </c>
      <c r="AZ368" s="5" t="str">
        <f t="shared" si="129"/>
        <v/>
      </c>
      <c r="BA368" s="5" t="str">
        <f t="shared" si="130"/>
        <v/>
      </c>
      <c r="BB368" s="5" t="str">
        <f t="shared" si="131"/>
        <v/>
      </c>
    </row>
    <row r="369" spans="1:54" s="5" customFormat="1" hidden="1">
      <c r="A369" s="8" t="str">
        <f>IF(INDEX(FORM!$A:$A,ROW())="","",ROW()-1)</f>
        <v/>
      </c>
      <c r="B369" s="41" t="str">
        <f>IF($A369="","",INDEX(FORM!$A:$A,ROW()))</f>
        <v/>
      </c>
      <c r="C369" s="8" t="str">
        <f>IF($A369="","",TRIM(INDEX(FORM!$B:$B,ROW())))</f>
        <v/>
      </c>
      <c r="D369" s="8" t="str">
        <f>IF($A369="","",TRIM(INDEX(FORM!$C:$C,ROW())&amp;""))</f>
        <v/>
      </c>
      <c r="E369" s="8" t="str">
        <f>IF($A369="","",UPPER(TRIM(INDEX(FORM!$D:$D,ROW()))))</f>
        <v/>
      </c>
      <c r="F369" s="8" t="str">
        <f>IF($A369="","",IFERROR(INDEX(PROGRES!$A$2:$A$92,MATCH(E369,PROGRES!$B$2:$B$92,0)),"-"))</f>
        <v/>
      </c>
      <c r="G369" s="8" t="str">
        <f>IF($A369="","",UPPER(TRIM(INDEX(FORM!$F:$F,ROW()))))</f>
        <v/>
      </c>
      <c r="H369" s="8" t="str">
        <f>IF($A369="","",UPPER(TRIM(INDEX(FORM!$E:$E,ROW()))))</f>
        <v/>
      </c>
      <c r="I369" s="8" t="str">
        <f>IF($A369="","",UPPER(TRIM(INDEX(FORM!$G:$G,ROW()))))</f>
        <v/>
      </c>
      <c r="J369" s="8" t="str">
        <f>IF($A369="","",IF(ISNUMBER(SEARCH("Ya,",INDEX(FORM!$H:$H,ROW()))),"YA",IF(ISNUMBER(SEARCH("Cukup,",INDEX(FORM!$H:$H,ROW()))),"CUKUP",IF(ISNUMBER(SEARCH("Kurang,",INDEX(FORM!$H:$H,ROW()))),"KURANG",""))))</f>
        <v/>
      </c>
      <c r="K369" s="8" t="str">
        <f>IF($A369="","",UPPER(TRIM(INDEX(FORM!$J:$J,ROW()))))</f>
        <v/>
      </c>
      <c r="L369" s="8" t="str">
        <f>IF($A369="","",IF(ISNUMBER(SEARCH("Aktivitas Harian",INDEX(FORM!$K:$K,ROW()))),1,0))</f>
        <v/>
      </c>
      <c r="M369" s="8" t="str">
        <f>IF($A369="","",IF(ISNUMBER(SEARCH("Aktivitas Mingguan",INDEX(FORM!$K:$K,ROW()))),1,0))</f>
        <v/>
      </c>
      <c r="N369" s="8" t="str">
        <f>IF($A369="","",IF(ISNUMBER(SEARCH("Aktivitas Bulanan",INDEX(FORM!$K:$K,ROW()))),1,0))</f>
        <v/>
      </c>
      <c r="O369" s="8" t="str">
        <f>IF($A369="","",IF(ISNUMBER(SEARCH("Overview Cabang",INDEX(FORM!$K:$K,ROW()))),1,0))</f>
        <v/>
      </c>
      <c r="P369" s="8" t="str">
        <f>IF($A369="","",IFERROR(VLOOKUP(I369,DATA!$AH$9:$AI$13,2,0),""))</f>
        <v/>
      </c>
      <c r="Q369" s="8" t="str">
        <f>IF($A369="","",IFERROR(VLOOKUP(J369,DATA!$AH$9:$AI$13,2,0),""))</f>
        <v/>
      </c>
      <c r="R369" s="8" t="str">
        <f>IF($A369="","",IFERROR(VLOOKUP(K369,DATA!$AH$9:$AI$13,2,0),""))</f>
        <v/>
      </c>
      <c r="S369" s="42" t="str">
        <f t="shared" si="110"/>
        <v/>
      </c>
      <c r="T369" s="8" t="str">
        <f>IF($A369="","",IF(COUNTIF($D$2:D369,D369)=1,1,0))</f>
        <v/>
      </c>
      <c r="U369" s="8" t="str">
        <f>IF($A369="","",IF(F369="-","Cabang tdk ada",IF(IFERROR(VLOOKUP(G369,#REF!,1,0),"")="","",IF(INDEX(DATA!$AH$2:$AH$5,MATCH(G369,DATA!$AI$2:$AI$5,0))&lt;&gt;F369,"Wilayah beda","OK"))))</f>
        <v/>
      </c>
      <c r="V369" s="8" t="str">
        <f>IF($A369="","",TRIM(INDEX(FORM!$I:$I,ROW())&amp;""))</f>
        <v/>
      </c>
      <c r="W369" s="8" t="str">
        <f>IF($A369="","",TRIM(INDEX(FORM!$L:$L,ROW())&amp;""))</f>
        <v/>
      </c>
      <c r="X369" s="8" t="str">
        <f>IF($A369="","",TRIM(INDEX(FORM!$M:$M,ROW())&amp;""))</f>
        <v/>
      </c>
      <c r="Y369" s="8" t="str">
        <f>IF($A369="","",IFERROR(MATCH(F369,DATA!$AH$2:$AH$5,0),9)*10000+A369)</f>
        <v/>
      </c>
      <c r="Z369" s="8" t="str">
        <f t="shared" si="111"/>
        <v/>
      </c>
      <c r="AA369" s="8" t="str">
        <f t="shared" si="112"/>
        <v/>
      </c>
      <c r="AB369" s="8" t="str">
        <f t="shared" si="113"/>
        <v/>
      </c>
      <c r="AC369" s="8"/>
      <c r="AD369" s="8"/>
      <c r="AE369" s="8"/>
      <c r="AK369" s="5" t="str">
        <f t="shared" si="114"/>
        <v/>
      </c>
      <c r="AL369" s="5" t="str">
        <f t="shared" si="115"/>
        <v/>
      </c>
      <c r="AM369" s="5" t="str">
        <f t="shared" si="116"/>
        <v/>
      </c>
      <c r="AN369" s="5" t="str">
        <f t="shared" si="117"/>
        <v/>
      </c>
      <c r="AO369" s="5" t="str">
        <f t="shared" si="118"/>
        <v/>
      </c>
      <c r="AP369" s="5" t="str">
        <f t="shared" si="119"/>
        <v/>
      </c>
      <c r="AQ369" s="5" t="str">
        <f t="shared" si="120"/>
        <v/>
      </c>
      <c r="AR369" s="5" t="str">
        <f t="shared" si="121"/>
        <v/>
      </c>
      <c r="AS369" s="5" t="str">
        <f t="shared" si="122"/>
        <v/>
      </c>
      <c r="AT369" s="5" t="str">
        <f t="shared" si="123"/>
        <v/>
      </c>
      <c r="AU369" s="5" t="str">
        <f t="shared" si="124"/>
        <v/>
      </c>
      <c r="AV369" s="5" t="str">
        <f t="shared" si="125"/>
        <v/>
      </c>
      <c r="AW369" s="5" t="str">
        <f t="shared" si="126"/>
        <v/>
      </c>
      <c r="AX369" s="5" t="str">
        <f t="shared" si="127"/>
        <v/>
      </c>
      <c r="AY369" s="5" t="str">
        <f t="shared" si="128"/>
        <v/>
      </c>
      <c r="AZ369" s="5" t="str">
        <f t="shared" si="129"/>
        <v/>
      </c>
      <c r="BA369" s="5" t="str">
        <f t="shared" si="130"/>
        <v/>
      </c>
      <c r="BB369" s="5" t="str">
        <f t="shared" si="131"/>
        <v/>
      </c>
    </row>
    <row r="370" spans="1:54" s="5" customFormat="1" hidden="1">
      <c r="A370" s="8" t="str">
        <f>IF(INDEX(FORM!$A:$A,ROW())="","",ROW()-1)</f>
        <v/>
      </c>
      <c r="B370" s="41" t="str">
        <f>IF($A370="","",INDEX(FORM!$A:$A,ROW()))</f>
        <v/>
      </c>
      <c r="C370" s="8" t="str">
        <f>IF($A370="","",TRIM(INDEX(FORM!$B:$B,ROW())))</f>
        <v/>
      </c>
      <c r="D370" s="8" t="str">
        <f>IF($A370="","",TRIM(INDEX(FORM!$C:$C,ROW())&amp;""))</f>
        <v/>
      </c>
      <c r="E370" s="8" t="str">
        <f>IF($A370="","",UPPER(TRIM(INDEX(FORM!$D:$D,ROW()))))</f>
        <v/>
      </c>
      <c r="F370" s="8" t="str">
        <f>IF($A370="","",IFERROR(INDEX(PROGRES!$A$2:$A$92,MATCH(E370,PROGRES!$B$2:$B$92,0)),"-"))</f>
        <v/>
      </c>
      <c r="G370" s="8" t="str">
        <f>IF($A370="","",UPPER(TRIM(INDEX(FORM!$F:$F,ROW()))))</f>
        <v/>
      </c>
      <c r="H370" s="8" t="str">
        <f>IF($A370="","",UPPER(TRIM(INDEX(FORM!$E:$E,ROW()))))</f>
        <v/>
      </c>
      <c r="I370" s="8" t="str">
        <f>IF($A370="","",UPPER(TRIM(INDEX(FORM!$G:$G,ROW()))))</f>
        <v/>
      </c>
      <c r="J370" s="8" t="str">
        <f>IF($A370="","",IF(ISNUMBER(SEARCH("Ya,",INDEX(FORM!$H:$H,ROW()))),"YA",IF(ISNUMBER(SEARCH("Cukup,",INDEX(FORM!$H:$H,ROW()))),"CUKUP",IF(ISNUMBER(SEARCH("Kurang,",INDEX(FORM!$H:$H,ROW()))),"KURANG",""))))</f>
        <v/>
      </c>
      <c r="K370" s="8" t="str">
        <f>IF($A370="","",UPPER(TRIM(INDEX(FORM!$J:$J,ROW()))))</f>
        <v/>
      </c>
      <c r="L370" s="8" t="str">
        <f>IF($A370="","",IF(ISNUMBER(SEARCH("Aktivitas Harian",INDEX(FORM!$K:$K,ROW()))),1,0))</f>
        <v/>
      </c>
      <c r="M370" s="8" t="str">
        <f>IF($A370="","",IF(ISNUMBER(SEARCH("Aktivitas Mingguan",INDEX(FORM!$K:$K,ROW()))),1,0))</f>
        <v/>
      </c>
      <c r="N370" s="8" t="str">
        <f>IF($A370="","",IF(ISNUMBER(SEARCH("Aktivitas Bulanan",INDEX(FORM!$K:$K,ROW()))),1,0))</f>
        <v/>
      </c>
      <c r="O370" s="8" t="str">
        <f>IF($A370="","",IF(ISNUMBER(SEARCH("Overview Cabang",INDEX(FORM!$K:$K,ROW()))),1,0))</f>
        <v/>
      </c>
      <c r="P370" s="8" t="str">
        <f>IF($A370="","",IFERROR(VLOOKUP(I370,DATA!$AH$9:$AI$13,2,0),""))</f>
        <v/>
      </c>
      <c r="Q370" s="8" t="str">
        <f>IF($A370="","",IFERROR(VLOOKUP(J370,DATA!$AH$9:$AI$13,2,0),""))</f>
        <v/>
      </c>
      <c r="R370" s="8" t="str">
        <f>IF($A370="","",IFERROR(VLOOKUP(K370,DATA!$AH$9:$AI$13,2,0),""))</f>
        <v/>
      </c>
      <c r="S370" s="42" t="str">
        <f t="shared" si="110"/>
        <v/>
      </c>
      <c r="T370" s="8" t="str">
        <f>IF($A370="","",IF(COUNTIF($D$2:D370,D370)=1,1,0))</f>
        <v/>
      </c>
      <c r="U370" s="8" t="str">
        <f>IF($A370="","",IF(F370="-","Cabang tdk ada",IF(IFERROR(VLOOKUP(G370,#REF!,1,0),"")="","",IF(INDEX(DATA!$AH$2:$AH$5,MATCH(G370,DATA!$AI$2:$AI$5,0))&lt;&gt;F370,"Wilayah beda","OK"))))</f>
        <v/>
      </c>
      <c r="V370" s="8" t="str">
        <f>IF($A370="","",TRIM(INDEX(FORM!$I:$I,ROW())&amp;""))</f>
        <v/>
      </c>
      <c r="W370" s="8" t="str">
        <f>IF($A370="","",TRIM(INDEX(FORM!$L:$L,ROW())&amp;""))</f>
        <v/>
      </c>
      <c r="X370" s="8" t="str">
        <f>IF($A370="","",TRIM(INDEX(FORM!$M:$M,ROW())&amp;""))</f>
        <v/>
      </c>
      <c r="Y370" s="8" t="str">
        <f>IF($A370="","",IFERROR(MATCH(F370,DATA!$AH$2:$AH$5,0),9)*10000+A370)</f>
        <v/>
      </c>
      <c r="Z370" s="8" t="str">
        <f t="shared" si="111"/>
        <v/>
      </c>
      <c r="AA370" s="8" t="str">
        <f t="shared" si="112"/>
        <v/>
      </c>
      <c r="AB370" s="8" t="str">
        <f t="shared" si="113"/>
        <v/>
      </c>
      <c r="AC370" s="8"/>
      <c r="AD370" s="8"/>
      <c r="AE370" s="8"/>
      <c r="AK370" s="5" t="str">
        <f t="shared" si="114"/>
        <v/>
      </c>
      <c r="AL370" s="5" t="str">
        <f t="shared" si="115"/>
        <v/>
      </c>
      <c r="AM370" s="5" t="str">
        <f t="shared" si="116"/>
        <v/>
      </c>
      <c r="AN370" s="5" t="str">
        <f t="shared" si="117"/>
        <v/>
      </c>
      <c r="AO370" s="5" t="str">
        <f t="shared" si="118"/>
        <v/>
      </c>
      <c r="AP370" s="5" t="str">
        <f t="shared" si="119"/>
        <v/>
      </c>
      <c r="AQ370" s="5" t="str">
        <f t="shared" si="120"/>
        <v/>
      </c>
      <c r="AR370" s="5" t="str">
        <f t="shared" si="121"/>
        <v/>
      </c>
      <c r="AS370" s="5" t="str">
        <f t="shared" si="122"/>
        <v/>
      </c>
      <c r="AT370" s="5" t="str">
        <f t="shared" si="123"/>
        <v/>
      </c>
      <c r="AU370" s="5" t="str">
        <f t="shared" si="124"/>
        <v/>
      </c>
      <c r="AV370" s="5" t="str">
        <f t="shared" si="125"/>
        <v/>
      </c>
      <c r="AW370" s="5" t="str">
        <f t="shared" si="126"/>
        <v/>
      </c>
      <c r="AX370" s="5" t="str">
        <f t="shared" si="127"/>
        <v/>
      </c>
      <c r="AY370" s="5" t="str">
        <f t="shared" si="128"/>
        <v/>
      </c>
      <c r="AZ370" s="5" t="str">
        <f t="shared" si="129"/>
        <v/>
      </c>
      <c r="BA370" s="5" t="str">
        <f t="shared" si="130"/>
        <v/>
      </c>
      <c r="BB370" s="5" t="str">
        <f t="shared" si="131"/>
        <v/>
      </c>
    </row>
    <row r="371" spans="1:54" s="5" customFormat="1" hidden="1">
      <c r="A371" s="8" t="str">
        <f>IF(INDEX(FORM!$A:$A,ROW())="","",ROW()-1)</f>
        <v/>
      </c>
      <c r="B371" s="41" t="str">
        <f>IF($A371="","",INDEX(FORM!$A:$A,ROW()))</f>
        <v/>
      </c>
      <c r="C371" s="8" t="str">
        <f>IF($A371="","",TRIM(INDEX(FORM!$B:$B,ROW())))</f>
        <v/>
      </c>
      <c r="D371" s="8" t="str">
        <f>IF($A371="","",TRIM(INDEX(FORM!$C:$C,ROW())&amp;""))</f>
        <v/>
      </c>
      <c r="E371" s="8" t="str">
        <f>IF($A371="","",UPPER(TRIM(INDEX(FORM!$D:$D,ROW()))))</f>
        <v/>
      </c>
      <c r="F371" s="8" t="str">
        <f>IF($A371="","",IFERROR(INDEX(PROGRES!$A$2:$A$92,MATCH(E371,PROGRES!$B$2:$B$92,0)),"-"))</f>
        <v/>
      </c>
      <c r="G371" s="8" t="str">
        <f>IF($A371="","",UPPER(TRIM(INDEX(FORM!$F:$F,ROW()))))</f>
        <v/>
      </c>
      <c r="H371" s="8" t="str">
        <f>IF($A371="","",UPPER(TRIM(INDEX(FORM!$E:$E,ROW()))))</f>
        <v/>
      </c>
      <c r="I371" s="8" t="str">
        <f>IF($A371="","",UPPER(TRIM(INDEX(FORM!$G:$G,ROW()))))</f>
        <v/>
      </c>
      <c r="J371" s="8" t="str">
        <f>IF($A371="","",IF(ISNUMBER(SEARCH("Ya,",INDEX(FORM!$H:$H,ROW()))),"YA",IF(ISNUMBER(SEARCH("Cukup,",INDEX(FORM!$H:$H,ROW()))),"CUKUP",IF(ISNUMBER(SEARCH("Kurang,",INDEX(FORM!$H:$H,ROW()))),"KURANG",""))))</f>
        <v/>
      </c>
      <c r="K371" s="8" t="str">
        <f>IF($A371="","",UPPER(TRIM(INDEX(FORM!$J:$J,ROW()))))</f>
        <v/>
      </c>
      <c r="L371" s="8" t="str">
        <f>IF($A371="","",IF(ISNUMBER(SEARCH("Aktivitas Harian",INDEX(FORM!$K:$K,ROW()))),1,0))</f>
        <v/>
      </c>
      <c r="M371" s="8" t="str">
        <f>IF($A371="","",IF(ISNUMBER(SEARCH("Aktivitas Mingguan",INDEX(FORM!$K:$K,ROW()))),1,0))</f>
        <v/>
      </c>
      <c r="N371" s="8" t="str">
        <f>IF($A371="","",IF(ISNUMBER(SEARCH("Aktivitas Bulanan",INDEX(FORM!$K:$K,ROW()))),1,0))</f>
        <v/>
      </c>
      <c r="O371" s="8" t="str">
        <f>IF($A371="","",IF(ISNUMBER(SEARCH("Overview Cabang",INDEX(FORM!$K:$K,ROW()))),1,0))</f>
        <v/>
      </c>
      <c r="P371" s="8" t="str">
        <f>IF($A371="","",IFERROR(VLOOKUP(I371,DATA!$AH$9:$AI$13,2,0),""))</f>
        <v/>
      </c>
      <c r="Q371" s="8" t="str">
        <f>IF($A371="","",IFERROR(VLOOKUP(J371,DATA!$AH$9:$AI$13,2,0),""))</f>
        <v/>
      </c>
      <c r="R371" s="8" t="str">
        <f>IF($A371="","",IFERROR(VLOOKUP(K371,DATA!$AH$9:$AI$13,2,0),""))</f>
        <v/>
      </c>
      <c r="S371" s="42" t="str">
        <f t="shared" si="110"/>
        <v/>
      </c>
      <c r="T371" s="8" t="str">
        <f>IF($A371="","",IF(COUNTIF($D$2:D371,D371)=1,1,0))</f>
        <v/>
      </c>
      <c r="U371" s="8" t="str">
        <f>IF($A371="","",IF(F371="-","Cabang tdk ada",IF(IFERROR(VLOOKUP(G371,#REF!,1,0),"")="","",IF(INDEX(DATA!$AH$2:$AH$5,MATCH(G371,DATA!$AI$2:$AI$5,0))&lt;&gt;F371,"Wilayah beda","OK"))))</f>
        <v/>
      </c>
      <c r="V371" s="8" t="str">
        <f>IF($A371="","",TRIM(INDEX(FORM!$I:$I,ROW())&amp;""))</f>
        <v/>
      </c>
      <c r="W371" s="8" t="str">
        <f>IF($A371="","",TRIM(INDEX(FORM!$L:$L,ROW())&amp;""))</f>
        <v/>
      </c>
      <c r="X371" s="8" t="str">
        <f>IF($A371="","",TRIM(INDEX(FORM!$M:$M,ROW())&amp;""))</f>
        <v/>
      </c>
      <c r="Y371" s="8" t="str">
        <f>IF($A371="","",IFERROR(MATCH(F371,DATA!$AH$2:$AH$5,0),9)*10000+A371)</f>
        <v/>
      </c>
      <c r="Z371" s="8" t="str">
        <f t="shared" si="111"/>
        <v/>
      </c>
      <c r="AA371" s="8" t="str">
        <f t="shared" si="112"/>
        <v/>
      </c>
      <c r="AB371" s="8" t="str">
        <f t="shared" si="113"/>
        <v/>
      </c>
      <c r="AC371" s="8"/>
      <c r="AD371" s="8"/>
      <c r="AE371" s="8"/>
      <c r="AK371" s="5" t="str">
        <f t="shared" si="114"/>
        <v/>
      </c>
      <c r="AL371" s="5" t="str">
        <f t="shared" si="115"/>
        <v/>
      </c>
      <c r="AM371" s="5" t="str">
        <f t="shared" si="116"/>
        <v/>
      </c>
      <c r="AN371" s="5" t="str">
        <f t="shared" si="117"/>
        <v/>
      </c>
      <c r="AO371" s="5" t="str">
        <f t="shared" si="118"/>
        <v/>
      </c>
      <c r="AP371" s="5" t="str">
        <f t="shared" si="119"/>
        <v/>
      </c>
      <c r="AQ371" s="5" t="str">
        <f t="shared" si="120"/>
        <v/>
      </c>
      <c r="AR371" s="5" t="str">
        <f t="shared" si="121"/>
        <v/>
      </c>
      <c r="AS371" s="5" t="str">
        <f t="shared" si="122"/>
        <v/>
      </c>
      <c r="AT371" s="5" t="str">
        <f t="shared" si="123"/>
        <v/>
      </c>
      <c r="AU371" s="5" t="str">
        <f t="shared" si="124"/>
        <v/>
      </c>
      <c r="AV371" s="5" t="str">
        <f t="shared" si="125"/>
        <v/>
      </c>
      <c r="AW371" s="5" t="str">
        <f t="shared" si="126"/>
        <v/>
      </c>
      <c r="AX371" s="5" t="str">
        <f t="shared" si="127"/>
        <v/>
      </c>
      <c r="AY371" s="5" t="str">
        <f t="shared" si="128"/>
        <v/>
      </c>
      <c r="AZ371" s="5" t="str">
        <f t="shared" si="129"/>
        <v/>
      </c>
      <c r="BA371" s="5" t="str">
        <f t="shared" si="130"/>
        <v/>
      </c>
      <c r="BB371" s="5" t="str">
        <f t="shared" si="131"/>
        <v/>
      </c>
    </row>
    <row r="372" spans="1:54" s="5" customFormat="1" hidden="1">
      <c r="A372" s="8" t="str">
        <f>IF(INDEX(FORM!$A:$A,ROW())="","",ROW()-1)</f>
        <v/>
      </c>
      <c r="B372" s="41" t="str">
        <f>IF($A372="","",INDEX(FORM!$A:$A,ROW()))</f>
        <v/>
      </c>
      <c r="C372" s="8" t="str">
        <f>IF($A372="","",TRIM(INDEX(FORM!$B:$B,ROW())))</f>
        <v/>
      </c>
      <c r="D372" s="8" t="str">
        <f>IF($A372="","",TRIM(INDEX(FORM!$C:$C,ROW())&amp;""))</f>
        <v/>
      </c>
      <c r="E372" s="8" t="str">
        <f>IF($A372="","",UPPER(TRIM(INDEX(FORM!$D:$D,ROW()))))</f>
        <v/>
      </c>
      <c r="F372" s="8" t="str">
        <f>IF($A372="","",IFERROR(INDEX(PROGRES!$A$2:$A$92,MATCH(E372,PROGRES!$B$2:$B$92,0)),"-"))</f>
        <v/>
      </c>
      <c r="G372" s="8" t="str">
        <f>IF($A372="","",UPPER(TRIM(INDEX(FORM!$F:$F,ROW()))))</f>
        <v/>
      </c>
      <c r="H372" s="8" t="str">
        <f>IF($A372="","",UPPER(TRIM(INDEX(FORM!$E:$E,ROW()))))</f>
        <v/>
      </c>
      <c r="I372" s="8" t="str">
        <f>IF($A372="","",UPPER(TRIM(INDEX(FORM!$G:$G,ROW()))))</f>
        <v/>
      </c>
      <c r="J372" s="8" t="str">
        <f>IF($A372="","",IF(ISNUMBER(SEARCH("Ya,",INDEX(FORM!$H:$H,ROW()))),"YA",IF(ISNUMBER(SEARCH("Cukup,",INDEX(FORM!$H:$H,ROW()))),"CUKUP",IF(ISNUMBER(SEARCH("Kurang,",INDEX(FORM!$H:$H,ROW()))),"KURANG",""))))</f>
        <v/>
      </c>
      <c r="K372" s="8" t="str">
        <f>IF($A372="","",UPPER(TRIM(INDEX(FORM!$J:$J,ROW()))))</f>
        <v/>
      </c>
      <c r="L372" s="8" t="str">
        <f>IF($A372="","",IF(ISNUMBER(SEARCH("Aktivitas Harian",INDEX(FORM!$K:$K,ROW()))),1,0))</f>
        <v/>
      </c>
      <c r="M372" s="8" t="str">
        <f>IF($A372="","",IF(ISNUMBER(SEARCH("Aktivitas Mingguan",INDEX(FORM!$K:$K,ROW()))),1,0))</f>
        <v/>
      </c>
      <c r="N372" s="8" t="str">
        <f>IF($A372="","",IF(ISNUMBER(SEARCH("Aktivitas Bulanan",INDEX(FORM!$K:$K,ROW()))),1,0))</f>
        <v/>
      </c>
      <c r="O372" s="8" t="str">
        <f>IF($A372="","",IF(ISNUMBER(SEARCH("Overview Cabang",INDEX(FORM!$K:$K,ROW()))),1,0))</f>
        <v/>
      </c>
      <c r="P372" s="8" t="str">
        <f>IF($A372="","",IFERROR(VLOOKUP(I372,DATA!$AH$9:$AI$13,2,0),""))</f>
        <v/>
      </c>
      <c r="Q372" s="8" t="str">
        <f>IF($A372="","",IFERROR(VLOOKUP(J372,DATA!$AH$9:$AI$13,2,0),""))</f>
        <v/>
      </c>
      <c r="R372" s="8" t="str">
        <f>IF($A372="","",IFERROR(VLOOKUP(K372,DATA!$AH$9:$AI$13,2,0),""))</f>
        <v/>
      </c>
      <c r="S372" s="42" t="str">
        <f t="shared" si="110"/>
        <v/>
      </c>
      <c r="T372" s="8" t="str">
        <f>IF($A372="","",IF(COUNTIF($D$2:D372,D372)=1,1,0))</f>
        <v/>
      </c>
      <c r="U372" s="8" t="str">
        <f>IF($A372="","",IF(F372="-","Cabang tdk ada",IF(IFERROR(VLOOKUP(G372,#REF!,1,0),"")="","",IF(INDEX(DATA!$AH$2:$AH$5,MATCH(G372,DATA!$AI$2:$AI$5,0))&lt;&gt;F372,"Wilayah beda","OK"))))</f>
        <v/>
      </c>
      <c r="V372" s="8" t="str">
        <f>IF($A372="","",TRIM(INDEX(FORM!$I:$I,ROW())&amp;""))</f>
        <v/>
      </c>
      <c r="W372" s="8" t="str">
        <f>IF($A372="","",TRIM(INDEX(FORM!$L:$L,ROW())&amp;""))</f>
        <v/>
      </c>
      <c r="X372" s="8" t="str">
        <f>IF($A372="","",TRIM(INDEX(FORM!$M:$M,ROW())&amp;""))</f>
        <v/>
      </c>
      <c r="Y372" s="8" t="str">
        <f>IF($A372="","",IFERROR(MATCH(F372,DATA!$AH$2:$AH$5,0),9)*10000+A372)</f>
        <v/>
      </c>
      <c r="Z372" s="8" t="str">
        <f t="shared" si="111"/>
        <v/>
      </c>
      <c r="AA372" s="8" t="str">
        <f t="shared" si="112"/>
        <v/>
      </c>
      <c r="AB372" s="8" t="str">
        <f t="shared" si="113"/>
        <v/>
      </c>
      <c r="AC372" s="8"/>
      <c r="AD372" s="8"/>
      <c r="AE372" s="8"/>
      <c r="AK372" s="5" t="str">
        <f t="shared" si="114"/>
        <v/>
      </c>
      <c r="AL372" s="5" t="str">
        <f t="shared" si="115"/>
        <v/>
      </c>
      <c r="AM372" s="5" t="str">
        <f t="shared" si="116"/>
        <v/>
      </c>
      <c r="AN372" s="5" t="str">
        <f t="shared" si="117"/>
        <v/>
      </c>
      <c r="AO372" s="5" t="str">
        <f t="shared" si="118"/>
        <v/>
      </c>
      <c r="AP372" s="5" t="str">
        <f t="shared" si="119"/>
        <v/>
      </c>
      <c r="AQ372" s="5" t="str">
        <f t="shared" si="120"/>
        <v/>
      </c>
      <c r="AR372" s="5" t="str">
        <f t="shared" si="121"/>
        <v/>
      </c>
      <c r="AS372" s="5" t="str">
        <f t="shared" si="122"/>
        <v/>
      </c>
      <c r="AT372" s="5" t="str">
        <f t="shared" si="123"/>
        <v/>
      </c>
      <c r="AU372" s="5" t="str">
        <f t="shared" si="124"/>
        <v/>
      </c>
      <c r="AV372" s="5" t="str">
        <f t="shared" si="125"/>
        <v/>
      </c>
      <c r="AW372" s="5" t="str">
        <f t="shared" si="126"/>
        <v/>
      </c>
      <c r="AX372" s="5" t="str">
        <f t="shared" si="127"/>
        <v/>
      </c>
      <c r="AY372" s="5" t="str">
        <f t="shared" si="128"/>
        <v/>
      </c>
      <c r="AZ372" s="5" t="str">
        <f t="shared" si="129"/>
        <v/>
      </c>
      <c r="BA372" s="5" t="str">
        <f t="shared" si="130"/>
        <v/>
      </c>
      <c r="BB372" s="5" t="str">
        <f t="shared" si="131"/>
        <v/>
      </c>
    </row>
    <row r="373" spans="1:54" s="5" customFormat="1" hidden="1">
      <c r="A373" s="8" t="str">
        <f>IF(INDEX(FORM!$A:$A,ROW())="","",ROW()-1)</f>
        <v/>
      </c>
      <c r="B373" s="41" t="str">
        <f>IF($A373="","",INDEX(FORM!$A:$A,ROW()))</f>
        <v/>
      </c>
      <c r="C373" s="8" t="str">
        <f>IF($A373="","",TRIM(INDEX(FORM!$B:$B,ROW())))</f>
        <v/>
      </c>
      <c r="D373" s="8" t="str">
        <f>IF($A373="","",TRIM(INDEX(FORM!$C:$C,ROW())&amp;""))</f>
        <v/>
      </c>
      <c r="E373" s="8" t="str">
        <f>IF($A373="","",UPPER(TRIM(INDEX(FORM!$D:$D,ROW()))))</f>
        <v/>
      </c>
      <c r="F373" s="8" t="str">
        <f>IF($A373="","",IFERROR(INDEX(PROGRES!$A$2:$A$92,MATCH(E373,PROGRES!$B$2:$B$92,0)),"-"))</f>
        <v/>
      </c>
      <c r="G373" s="8" t="str">
        <f>IF($A373="","",UPPER(TRIM(INDEX(FORM!$F:$F,ROW()))))</f>
        <v/>
      </c>
      <c r="H373" s="8" t="str">
        <f>IF($A373="","",UPPER(TRIM(INDEX(FORM!$E:$E,ROW()))))</f>
        <v/>
      </c>
      <c r="I373" s="8" t="str">
        <f>IF($A373="","",UPPER(TRIM(INDEX(FORM!$G:$G,ROW()))))</f>
        <v/>
      </c>
      <c r="J373" s="8" t="str">
        <f>IF($A373="","",IF(ISNUMBER(SEARCH("Ya,",INDEX(FORM!$H:$H,ROW()))),"YA",IF(ISNUMBER(SEARCH("Cukup,",INDEX(FORM!$H:$H,ROW()))),"CUKUP",IF(ISNUMBER(SEARCH("Kurang,",INDEX(FORM!$H:$H,ROW()))),"KURANG",""))))</f>
        <v/>
      </c>
      <c r="K373" s="8" t="str">
        <f>IF($A373="","",UPPER(TRIM(INDEX(FORM!$J:$J,ROW()))))</f>
        <v/>
      </c>
      <c r="L373" s="8" t="str">
        <f>IF($A373="","",IF(ISNUMBER(SEARCH("Aktivitas Harian",INDEX(FORM!$K:$K,ROW()))),1,0))</f>
        <v/>
      </c>
      <c r="M373" s="8" t="str">
        <f>IF($A373="","",IF(ISNUMBER(SEARCH("Aktivitas Mingguan",INDEX(FORM!$K:$K,ROW()))),1,0))</f>
        <v/>
      </c>
      <c r="N373" s="8" t="str">
        <f>IF($A373="","",IF(ISNUMBER(SEARCH("Aktivitas Bulanan",INDEX(FORM!$K:$K,ROW()))),1,0))</f>
        <v/>
      </c>
      <c r="O373" s="8" t="str">
        <f>IF($A373="","",IF(ISNUMBER(SEARCH("Overview Cabang",INDEX(FORM!$K:$K,ROW()))),1,0))</f>
        <v/>
      </c>
      <c r="P373" s="8" t="str">
        <f>IF($A373="","",IFERROR(VLOOKUP(I373,DATA!$AH$9:$AI$13,2,0),""))</f>
        <v/>
      </c>
      <c r="Q373" s="8" t="str">
        <f>IF($A373="","",IFERROR(VLOOKUP(J373,DATA!$AH$9:$AI$13,2,0),""))</f>
        <v/>
      </c>
      <c r="R373" s="8" t="str">
        <f>IF($A373="","",IFERROR(VLOOKUP(K373,DATA!$AH$9:$AI$13,2,0),""))</f>
        <v/>
      </c>
      <c r="S373" s="42" t="str">
        <f t="shared" si="110"/>
        <v/>
      </c>
      <c r="T373" s="8" t="str">
        <f>IF($A373="","",IF(COUNTIF($D$2:D373,D373)=1,1,0))</f>
        <v/>
      </c>
      <c r="U373" s="8" t="str">
        <f>IF($A373="","",IF(F373="-","Cabang tdk ada",IF(IFERROR(VLOOKUP(G373,#REF!,1,0),"")="","",IF(INDEX(DATA!$AH$2:$AH$5,MATCH(G373,DATA!$AI$2:$AI$5,0))&lt;&gt;F373,"Wilayah beda","OK"))))</f>
        <v/>
      </c>
      <c r="V373" s="8" t="str">
        <f>IF($A373="","",TRIM(INDEX(FORM!$I:$I,ROW())&amp;""))</f>
        <v/>
      </c>
      <c r="W373" s="8" t="str">
        <f>IF($A373="","",TRIM(INDEX(FORM!$L:$L,ROW())&amp;""))</f>
        <v/>
      </c>
      <c r="X373" s="8" t="str">
        <f>IF($A373="","",TRIM(INDEX(FORM!$M:$M,ROW())&amp;""))</f>
        <v/>
      </c>
      <c r="Y373" s="8" t="str">
        <f>IF($A373="","",IFERROR(MATCH(F373,DATA!$AH$2:$AH$5,0),9)*10000+A373)</f>
        <v/>
      </c>
      <c r="Z373" s="8" t="str">
        <f t="shared" si="111"/>
        <v/>
      </c>
      <c r="AA373" s="8" t="str">
        <f t="shared" si="112"/>
        <v/>
      </c>
      <c r="AB373" s="8" t="str">
        <f t="shared" si="113"/>
        <v/>
      </c>
      <c r="AC373" s="8"/>
      <c r="AD373" s="8"/>
      <c r="AE373" s="8"/>
      <c r="AK373" s="5" t="str">
        <f t="shared" si="114"/>
        <v/>
      </c>
      <c r="AL373" s="5" t="str">
        <f t="shared" si="115"/>
        <v/>
      </c>
      <c r="AM373" s="5" t="str">
        <f t="shared" si="116"/>
        <v/>
      </c>
      <c r="AN373" s="5" t="str">
        <f t="shared" si="117"/>
        <v/>
      </c>
      <c r="AO373" s="5" t="str">
        <f t="shared" si="118"/>
        <v/>
      </c>
      <c r="AP373" s="5" t="str">
        <f t="shared" si="119"/>
        <v/>
      </c>
      <c r="AQ373" s="5" t="str">
        <f t="shared" si="120"/>
        <v/>
      </c>
      <c r="AR373" s="5" t="str">
        <f t="shared" si="121"/>
        <v/>
      </c>
      <c r="AS373" s="5" t="str">
        <f t="shared" si="122"/>
        <v/>
      </c>
      <c r="AT373" s="5" t="str">
        <f t="shared" si="123"/>
        <v/>
      </c>
      <c r="AU373" s="5" t="str">
        <f t="shared" si="124"/>
        <v/>
      </c>
      <c r="AV373" s="5" t="str">
        <f t="shared" si="125"/>
        <v/>
      </c>
      <c r="AW373" s="5" t="str">
        <f t="shared" si="126"/>
        <v/>
      </c>
      <c r="AX373" s="5" t="str">
        <f t="shared" si="127"/>
        <v/>
      </c>
      <c r="AY373" s="5" t="str">
        <f t="shared" si="128"/>
        <v/>
      </c>
      <c r="AZ373" s="5" t="str">
        <f t="shared" si="129"/>
        <v/>
      </c>
      <c r="BA373" s="5" t="str">
        <f t="shared" si="130"/>
        <v/>
      </c>
      <c r="BB373" s="5" t="str">
        <f t="shared" si="131"/>
        <v/>
      </c>
    </row>
    <row r="374" spans="1:54" s="5" customFormat="1" hidden="1">
      <c r="A374" s="8" t="str">
        <f>IF(INDEX(FORM!$A:$A,ROW())="","",ROW()-1)</f>
        <v/>
      </c>
      <c r="B374" s="41" t="str">
        <f>IF($A374="","",INDEX(FORM!$A:$A,ROW()))</f>
        <v/>
      </c>
      <c r="C374" s="8" t="str">
        <f>IF($A374="","",TRIM(INDEX(FORM!$B:$B,ROW())))</f>
        <v/>
      </c>
      <c r="D374" s="8" t="str">
        <f>IF($A374="","",TRIM(INDEX(FORM!$C:$C,ROW())&amp;""))</f>
        <v/>
      </c>
      <c r="E374" s="8" t="str">
        <f>IF($A374="","",UPPER(TRIM(INDEX(FORM!$D:$D,ROW()))))</f>
        <v/>
      </c>
      <c r="F374" s="8" t="str">
        <f>IF($A374="","",IFERROR(INDEX(PROGRES!$A$2:$A$92,MATCH(E374,PROGRES!$B$2:$B$92,0)),"-"))</f>
        <v/>
      </c>
      <c r="G374" s="8" t="str">
        <f>IF($A374="","",UPPER(TRIM(INDEX(FORM!$F:$F,ROW()))))</f>
        <v/>
      </c>
      <c r="H374" s="8" t="str">
        <f>IF($A374="","",UPPER(TRIM(INDEX(FORM!$E:$E,ROW()))))</f>
        <v/>
      </c>
      <c r="I374" s="8" t="str">
        <f>IF($A374="","",UPPER(TRIM(INDEX(FORM!$G:$G,ROW()))))</f>
        <v/>
      </c>
      <c r="J374" s="8" t="str">
        <f>IF($A374="","",IF(ISNUMBER(SEARCH("Ya,",INDEX(FORM!$H:$H,ROW()))),"YA",IF(ISNUMBER(SEARCH("Cukup,",INDEX(FORM!$H:$H,ROW()))),"CUKUP",IF(ISNUMBER(SEARCH("Kurang,",INDEX(FORM!$H:$H,ROW()))),"KURANG",""))))</f>
        <v/>
      </c>
      <c r="K374" s="8" t="str">
        <f>IF($A374="","",UPPER(TRIM(INDEX(FORM!$J:$J,ROW()))))</f>
        <v/>
      </c>
      <c r="L374" s="8" t="str">
        <f>IF($A374="","",IF(ISNUMBER(SEARCH("Aktivitas Harian",INDEX(FORM!$K:$K,ROW()))),1,0))</f>
        <v/>
      </c>
      <c r="M374" s="8" t="str">
        <f>IF($A374="","",IF(ISNUMBER(SEARCH("Aktivitas Mingguan",INDEX(FORM!$K:$K,ROW()))),1,0))</f>
        <v/>
      </c>
      <c r="N374" s="8" t="str">
        <f>IF($A374="","",IF(ISNUMBER(SEARCH("Aktivitas Bulanan",INDEX(FORM!$K:$K,ROW()))),1,0))</f>
        <v/>
      </c>
      <c r="O374" s="8" t="str">
        <f>IF($A374="","",IF(ISNUMBER(SEARCH("Overview Cabang",INDEX(FORM!$K:$K,ROW()))),1,0))</f>
        <v/>
      </c>
      <c r="P374" s="8" t="str">
        <f>IF($A374="","",IFERROR(VLOOKUP(I374,DATA!$AH$9:$AI$13,2,0),""))</f>
        <v/>
      </c>
      <c r="Q374" s="8" t="str">
        <f>IF($A374="","",IFERROR(VLOOKUP(J374,DATA!$AH$9:$AI$13,2,0),""))</f>
        <v/>
      </c>
      <c r="R374" s="8" t="str">
        <f>IF($A374="","",IFERROR(VLOOKUP(K374,DATA!$AH$9:$AI$13,2,0),""))</f>
        <v/>
      </c>
      <c r="S374" s="42" t="str">
        <f t="shared" si="110"/>
        <v/>
      </c>
      <c r="T374" s="8" t="str">
        <f>IF($A374="","",IF(COUNTIF($D$2:D374,D374)=1,1,0))</f>
        <v/>
      </c>
      <c r="U374" s="8" t="str">
        <f>IF($A374="","",IF(F374="-","Cabang tdk ada",IF(IFERROR(VLOOKUP(G374,#REF!,1,0),"")="","",IF(INDEX(DATA!$AH$2:$AH$5,MATCH(G374,DATA!$AI$2:$AI$5,0))&lt;&gt;F374,"Wilayah beda","OK"))))</f>
        <v/>
      </c>
      <c r="V374" s="8" t="str">
        <f>IF($A374="","",TRIM(INDEX(FORM!$I:$I,ROW())&amp;""))</f>
        <v/>
      </c>
      <c r="W374" s="8" t="str">
        <f>IF($A374="","",TRIM(INDEX(FORM!$L:$L,ROW())&amp;""))</f>
        <v/>
      </c>
      <c r="X374" s="8" t="str">
        <f>IF($A374="","",TRIM(INDEX(FORM!$M:$M,ROW())&amp;""))</f>
        <v/>
      </c>
      <c r="Y374" s="8" t="str">
        <f>IF($A374="","",IFERROR(MATCH(F374,DATA!$AH$2:$AH$5,0),9)*10000+A374)</f>
        <v/>
      </c>
      <c r="Z374" s="8" t="str">
        <f t="shared" si="111"/>
        <v/>
      </c>
      <c r="AA374" s="8" t="str">
        <f t="shared" si="112"/>
        <v/>
      </c>
      <c r="AB374" s="8" t="str">
        <f t="shared" si="113"/>
        <v/>
      </c>
      <c r="AC374" s="8"/>
      <c r="AD374" s="8"/>
      <c r="AE374" s="8"/>
      <c r="AK374" s="5" t="str">
        <f t="shared" si="114"/>
        <v/>
      </c>
      <c r="AL374" s="5" t="str">
        <f t="shared" si="115"/>
        <v/>
      </c>
      <c r="AM374" s="5" t="str">
        <f t="shared" si="116"/>
        <v/>
      </c>
      <c r="AN374" s="5" t="str">
        <f t="shared" si="117"/>
        <v/>
      </c>
      <c r="AO374" s="5" t="str">
        <f t="shared" si="118"/>
        <v/>
      </c>
      <c r="AP374" s="5" t="str">
        <f t="shared" si="119"/>
        <v/>
      </c>
      <c r="AQ374" s="5" t="str">
        <f t="shared" si="120"/>
        <v/>
      </c>
      <c r="AR374" s="5" t="str">
        <f t="shared" si="121"/>
        <v/>
      </c>
      <c r="AS374" s="5" t="str">
        <f t="shared" si="122"/>
        <v/>
      </c>
      <c r="AT374" s="5" t="str">
        <f t="shared" si="123"/>
        <v/>
      </c>
      <c r="AU374" s="5" t="str">
        <f t="shared" si="124"/>
        <v/>
      </c>
      <c r="AV374" s="5" t="str">
        <f t="shared" si="125"/>
        <v/>
      </c>
      <c r="AW374" s="5" t="str">
        <f t="shared" si="126"/>
        <v/>
      </c>
      <c r="AX374" s="5" t="str">
        <f t="shared" si="127"/>
        <v/>
      </c>
      <c r="AY374" s="5" t="str">
        <f t="shared" si="128"/>
        <v/>
      </c>
      <c r="AZ374" s="5" t="str">
        <f t="shared" si="129"/>
        <v/>
      </c>
      <c r="BA374" s="5" t="str">
        <f t="shared" si="130"/>
        <v/>
      </c>
      <c r="BB374" s="5" t="str">
        <f t="shared" si="131"/>
        <v/>
      </c>
    </row>
    <row r="375" spans="1:54" s="5" customFormat="1" hidden="1">
      <c r="A375" s="8" t="str">
        <f>IF(INDEX(FORM!$A:$A,ROW())="","",ROW()-1)</f>
        <v/>
      </c>
      <c r="B375" s="41" t="str">
        <f>IF($A375="","",INDEX(FORM!$A:$A,ROW()))</f>
        <v/>
      </c>
      <c r="C375" s="8" t="str">
        <f>IF($A375="","",TRIM(INDEX(FORM!$B:$B,ROW())))</f>
        <v/>
      </c>
      <c r="D375" s="8" t="str">
        <f>IF($A375="","",TRIM(INDEX(FORM!$C:$C,ROW())&amp;""))</f>
        <v/>
      </c>
      <c r="E375" s="8" t="str">
        <f>IF($A375="","",UPPER(TRIM(INDEX(FORM!$D:$D,ROW()))))</f>
        <v/>
      </c>
      <c r="F375" s="8" t="str">
        <f>IF($A375="","",IFERROR(INDEX(PROGRES!$A$2:$A$92,MATCH(E375,PROGRES!$B$2:$B$92,0)),"-"))</f>
        <v/>
      </c>
      <c r="G375" s="8" t="str">
        <f>IF($A375="","",UPPER(TRIM(INDEX(FORM!$F:$F,ROW()))))</f>
        <v/>
      </c>
      <c r="H375" s="8" t="str">
        <f>IF($A375="","",UPPER(TRIM(INDEX(FORM!$E:$E,ROW()))))</f>
        <v/>
      </c>
      <c r="I375" s="8" t="str">
        <f>IF($A375="","",UPPER(TRIM(INDEX(FORM!$G:$G,ROW()))))</f>
        <v/>
      </c>
      <c r="J375" s="8" t="str">
        <f>IF($A375="","",IF(ISNUMBER(SEARCH("Ya,",INDEX(FORM!$H:$H,ROW()))),"YA",IF(ISNUMBER(SEARCH("Cukup,",INDEX(FORM!$H:$H,ROW()))),"CUKUP",IF(ISNUMBER(SEARCH("Kurang,",INDEX(FORM!$H:$H,ROW()))),"KURANG",""))))</f>
        <v/>
      </c>
      <c r="K375" s="8" t="str">
        <f>IF($A375="","",UPPER(TRIM(INDEX(FORM!$J:$J,ROW()))))</f>
        <v/>
      </c>
      <c r="L375" s="8" t="str">
        <f>IF($A375="","",IF(ISNUMBER(SEARCH("Aktivitas Harian",INDEX(FORM!$K:$K,ROW()))),1,0))</f>
        <v/>
      </c>
      <c r="M375" s="8" t="str">
        <f>IF($A375="","",IF(ISNUMBER(SEARCH("Aktivitas Mingguan",INDEX(FORM!$K:$K,ROW()))),1,0))</f>
        <v/>
      </c>
      <c r="N375" s="8" t="str">
        <f>IF($A375="","",IF(ISNUMBER(SEARCH("Aktivitas Bulanan",INDEX(FORM!$K:$K,ROW()))),1,0))</f>
        <v/>
      </c>
      <c r="O375" s="8" t="str">
        <f>IF($A375="","",IF(ISNUMBER(SEARCH("Overview Cabang",INDEX(FORM!$K:$K,ROW()))),1,0))</f>
        <v/>
      </c>
      <c r="P375" s="8" t="str">
        <f>IF($A375="","",IFERROR(VLOOKUP(I375,DATA!$AH$9:$AI$13,2,0),""))</f>
        <v/>
      </c>
      <c r="Q375" s="8" t="str">
        <f>IF($A375="","",IFERROR(VLOOKUP(J375,DATA!$AH$9:$AI$13,2,0),""))</f>
        <v/>
      </c>
      <c r="R375" s="8" t="str">
        <f>IF($A375="","",IFERROR(VLOOKUP(K375,DATA!$AH$9:$AI$13,2,0),""))</f>
        <v/>
      </c>
      <c r="S375" s="42" t="str">
        <f t="shared" si="110"/>
        <v/>
      </c>
      <c r="T375" s="8" t="str">
        <f>IF($A375="","",IF(COUNTIF($D$2:D375,D375)=1,1,0))</f>
        <v/>
      </c>
      <c r="U375" s="8" t="str">
        <f>IF($A375="","",IF(F375="-","Cabang tdk ada",IF(IFERROR(VLOOKUP(G375,#REF!,1,0),"")="","",IF(INDEX(DATA!$AH$2:$AH$5,MATCH(G375,DATA!$AI$2:$AI$5,0))&lt;&gt;F375,"Wilayah beda","OK"))))</f>
        <v/>
      </c>
      <c r="V375" s="8" t="str">
        <f>IF($A375="","",TRIM(INDEX(FORM!$I:$I,ROW())&amp;""))</f>
        <v/>
      </c>
      <c r="W375" s="8" t="str">
        <f>IF($A375="","",TRIM(INDEX(FORM!$L:$L,ROW())&amp;""))</f>
        <v/>
      </c>
      <c r="X375" s="8" t="str">
        <f>IF($A375="","",TRIM(INDEX(FORM!$M:$M,ROW())&amp;""))</f>
        <v/>
      </c>
      <c r="Y375" s="8" t="str">
        <f>IF($A375="","",IFERROR(MATCH(F375,DATA!$AH$2:$AH$5,0),9)*10000+A375)</f>
        <v/>
      </c>
      <c r="Z375" s="8" t="str">
        <f t="shared" si="111"/>
        <v/>
      </c>
      <c r="AA375" s="8" t="str">
        <f t="shared" si="112"/>
        <v/>
      </c>
      <c r="AB375" s="8" t="str">
        <f t="shared" si="113"/>
        <v/>
      </c>
      <c r="AC375" s="8"/>
      <c r="AD375" s="8"/>
      <c r="AE375" s="8"/>
      <c r="AK375" s="5" t="str">
        <f t="shared" si="114"/>
        <v/>
      </c>
      <c r="AL375" s="5" t="str">
        <f t="shared" si="115"/>
        <v/>
      </c>
      <c r="AM375" s="5" t="str">
        <f t="shared" si="116"/>
        <v/>
      </c>
      <c r="AN375" s="5" t="str">
        <f t="shared" si="117"/>
        <v/>
      </c>
      <c r="AO375" s="5" t="str">
        <f t="shared" si="118"/>
        <v/>
      </c>
      <c r="AP375" s="5" t="str">
        <f t="shared" si="119"/>
        <v/>
      </c>
      <c r="AQ375" s="5" t="str">
        <f t="shared" si="120"/>
        <v/>
      </c>
      <c r="AR375" s="5" t="str">
        <f t="shared" si="121"/>
        <v/>
      </c>
      <c r="AS375" s="5" t="str">
        <f t="shared" si="122"/>
        <v/>
      </c>
      <c r="AT375" s="5" t="str">
        <f t="shared" si="123"/>
        <v/>
      </c>
      <c r="AU375" s="5" t="str">
        <f t="shared" si="124"/>
        <v/>
      </c>
      <c r="AV375" s="5" t="str">
        <f t="shared" si="125"/>
        <v/>
      </c>
      <c r="AW375" s="5" t="str">
        <f t="shared" si="126"/>
        <v/>
      </c>
      <c r="AX375" s="5" t="str">
        <f t="shared" si="127"/>
        <v/>
      </c>
      <c r="AY375" s="5" t="str">
        <f t="shared" si="128"/>
        <v/>
      </c>
      <c r="AZ375" s="5" t="str">
        <f t="shared" si="129"/>
        <v/>
      </c>
      <c r="BA375" s="5" t="str">
        <f t="shared" si="130"/>
        <v/>
      </c>
      <c r="BB375" s="5" t="str">
        <f t="shared" si="131"/>
        <v/>
      </c>
    </row>
    <row r="376" spans="1:54" s="5" customFormat="1" hidden="1">
      <c r="A376" s="8" t="str">
        <f>IF(INDEX(FORM!$A:$A,ROW())="","",ROW()-1)</f>
        <v/>
      </c>
      <c r="B376" s="41" t="str">
        <f>IF($A376="","",INDEX(FORM!$A:$A,ROW()))</f>
        <v/>
      </c>
      <c r="C376" s="8" t="str">
        <f>IF($A376="","",TRIM(INDEX(FORM!$B:$B,ROW())))</f>
        <v/>
      </c>
      <c r="D376" s="8" t="str">
        <f>IF($A376="","",TRIM(INDEX(FORM!$C:$C,ROW())&amp;""))</f>
        <v/>
      </c>
      <c r="E376" s="8" t="str">
        <f>IF($A376="","",UPPER(TRIM(INDEX(FORM!$D:$D,ROW()))))</f>
        <v/>
      </c>
      <c r="F376" s="8" t="str">
        <f>IF($A376="","",IFERROR(INDEX(PROGRES!$A$2:$A$92,MATCH(E376,PROGRES!$B$2:$B$92,0)),"-"))</f>
        <v/>
      </c>
      <c r="G376" s="8" t="str">
        <f>IF($A376="","",UPPER(TRIM(INDEX(FORM!$F:$F,ROW()))))</f>
        <v/>
      </c>
      <c r="H376" s="8" t="str">
        <f>IF($A376="","",UPPER(TRIM(INDEX(FORM!$E:$E,ROW()))))</f>
        <v/>
      </c>
      <c r="I376" s="8" t="str">
        <f>IF($A376="","",UPPER(TRIM(INDEX(FORM!$G:$G,ROW()))))</f>
        <v/>
      </c>
      <c r="J376" s="8" t="str">
        <f>IF($A376="","",IF(ISNUMBER(SEARCH("Ya,",INDEX(FORM!$H:$H,ROW()))),"YA",IF(ISNUMBER(SEARCH("Cukup,",INDEX(FORM!$H:$H,ROW()))),"CUKUP",IF(ISNUMBER(SEARCH("Kurang,",INDEX(FORM!$H:$H,ROW()))),"KURANG",""))))</f>
        <v/>
      </c>
      <c r="K376" s="8" t="str">
        <f>IF($A376="","",UPPER(TRIM(INDEX(FORM!$J:$J,ROW()))))</f>
        <v/>
      </c>
      <c r="L376" s="8" t="str">
        <f>IF($A376="","",IF(ISNUMBER(SEARCH("Aktivitas Harian",INDEX(FORM!$K:$K,ROW()))),1,0))</f>
        <v/>
      </c>
      <c r="M376" s="8" t="str">
        <f>IF($A376="","",IF(ISNUMBER(SEARCH("Aktivitas Mingguan",INDEX(FORM!$K:$K,ROW()))),1,0))</f>
        <v/>
      </c>
      <c r="N376" s="8" t="str">
        <f>IF($A376="","",IF(ISNUMBER(SEARCH("Aktivitas Bulanan",INDEX(FORM!$K:$K,ROW()))),1,0))</f>
        <v/>
      </c>
      <c r="O376" s="8" t="str">
        <f>IF($A376="","",IF(ISNUMBER(SEARCH("Overview Cabang",INDEX(FORM!$K:$K,ROW()))),1,0))</f>
        <v/>
      </c>
      <c r="P376" s="8" t="str">
        <f>IF($A376="","",IFERROR(VLOOKUP(I376,DATA!$AH$9:$AI$13,2,0),""))</f>
        <v/>
      </c>
      <c r="Q376" s="8" t="str">
        <f>IF($A376="","",IFERROR(VLOOKUP(J376,DATA!$AH$9:$AI$13,2,0),""))</f>
        <v/>
      </c>
      <c r="R376" s="8" t="str">
        <f>IF($A376="","",IFERROR(VLOOKUP(K376,DATA!$AH$9:$AI$13,2,0),""))</f>
        <v/>
      </c>
      <c r="S376" s="42" t="str">
        <f t="shared" si="110"/>
        <v/>
      </c>
      <c r="T376" s="8" t="str">
        <f>IF($A376="","",IF(COUNTIF($D$2:D376,D376)=1,1,0))</f>
        <v/>
      </c>
      <c r="U376" s="8" t="str">
        <f>IF($A376="","",IF(F376="-","Cabang tdk ada",IF(IFERROR(VLOOKUP(G376,#REF!,1,0),"")="","",IF(INDEX(DATA!$AH$2:$AH$5,MATCH(G376,DATA!$AI$2:$AI$5,0))&lt;&gt;F376,"Wilayah beda","OK"))))</f>
        <v/>
      </c>
      <c r="V376" s="8" t="str">
        <f>IF($A376="","",TRIM(INDEX(FORM!$I:$I,ROW())&amp;""))</f>
        <v/>
      </c>
      <c r="W376" s="8" t="str">
        <f>IF($A376="","",TRIM(INDEX(FORM!$L:$L,ROW())&amp;""))</f>
        <v/>
      </c>
      <c r="X376" s="8" t="str">
        <f>IF($A376="","",TRIM(INDEX(FORM!$M:$M,ROW())&amp;""))</f>
        <v/>
      </c>
      <c r="Y376" s="8" t="str">
        <f>IF($A376="","",IFERROR(MATCH(F376,DATA!$AH$2:$AH$5,0),9)*10000+A376)</f>
        <v/>
      </c>
      <c r="Z376" s="8" t="str">
        <f t="shared" si="111"/>
        <v/>
      </c>
      <c r="AA376" s="8" t="str">
        <f t="shared" si="112"/>
        <v/>
      </c>
      <c r="AB376" s="8" t="str">
        <f t="shared" si="113"/>
        <v/>
      </c>
      <c r="AC376" s="8"/>
      <c r="AD376" s="8"/>
      <c r="AE376" s="8"/>
      <c r="AK376" s="5" t="str">
        <f t="shared" si="114"/>
        <v/>
      </c>
      <c r="AL376" s="5" t="str">
        <f t="shared" si="115"/>
        <v/>
      </c>
      <c r="AM376" s="5" t="str">
        <f t="shared" si="116"/>
        <v/>
      </c>
      <c r="AN376" s="5" t="str">
        <f t="shared" si="117"/>
        <v/>
      </c>
      <c r="AO376" s="5" t="str">
        <f t="shared" si="118"/>
        <v/>
      </c>
      <c r="AP376" s="5" t="str">
        <f t="shared" si="119"/>
        <v/>
      </c>
      <c r="AQ376" s="5" t="str">
        <f t="shared" si="120"/>
        <v/>
      </c>
      <c r="AR376" s="5" t="str">
        <f t="shared" si="121"/>
        <v/>
      </c>
      <c r="AS376" s="5" t="str">
        <f t="shared" si="122"/>
        <v/>
      </c>
      <c r="AT376" s="5" t="str">
        <f t="shared" si="123"/>
        <v/>
      </c>
      <c r="AU376" s="5" t="str">
        <f t="shared" si="124"/>
        <v/>
      </c>
      <c r="AV376" s="5" t="str">
        <f t="shared" si="125"/>
        <v/>
      </c>
      <c r="AW376" s="5" t="str">
        <f t="shared" si="126"/>
        <v/>
      </c>
      <c r="AX376" s="5" t="str">
        <f t="shared" si="127"/>
        <v/>
      </c>
      <c r="AY376" s="5" t="str">
        <f t="shared" si="128"/>
        <v/>
      </c>
      <c r="AZ376" s="5" t="str">
        <f t="shared" si="129"/>
        <v/>
      </c>
      <c r="BA376" s="5" t="str">
        <f t="shared" si="130"/>
        <v/>
      </c>
      <c r="BB376" s="5" t="str">
        <f t="shared" si="131"/>
        <v/>
      </c>
    </row>
    <row r="377" spans="1:54" s="5" customFormat="1" hidden="1">
      <c r="A377" s="8" t="str">
        <f>IF(INDEX(FORM!$A:$A,ROW())="","",ROW()-1)</f>
        <v/>
      </c>
      <c r="B377" s="41" t="str">
        <f>IF($A377="","",INDEX(FORM!$A:$A,ROW()))</f>
        <v/>
      </c>
      <c r="C377" s="8" t="str">
        <f>IF($A377="","",TRIM(INDEX(FORM!$B:$B,ROW())))</f>
        <v/>
      </c>
      <c r="D377" s="8" t="str">
        <f>IF($A377="","",TRIM(INDEX(FORM!$C:$C,ROW())&amp;""))</f>
        <v/>
      </c>
      <c r="E377" s="8" t="str">
        <f>IF($A377="","",UPPER(TRIM(INDEX(FORM!$D:$D,ROW()))))</f>
        <v/>
      </c>
      <c r="F377" s="8" t="str">
        <f>IF($A377="","",IFERROR(INDEX(PROGRES!$A$2:$A$92,MATCH(E377,PROGRES!$B$2:$B$92,0)),"-"))</f>
        <v/>
      </c>
      <c r="G377" s="8" t="str">
        <f>IF($A377="","",UPPER(TRIM(INDEX(FORM!$F:$F,ROW()))))</f>
        <v/>
      </c>
      <c r="H377" s="8" t="str">
        <f>IF($A377="","",UPPER(TRIM(INDEX(FORM!$E:$E,ROW()))))</f>
        <v/>
      </c>
      <c r="I377" s="8" t="str">
        <f>IF($A377="","",UPPER(TRIM(INDEX(FORM!$G:$G,ROW()))))</f>
        <v/>
      </c>
      <c r="J377" s="8" t="str">
        <f>IF($A377="","",IF(ISNUMBER(SEARCH("Ya,",INDEX(FORM!$H:$H,ROW()))),"YA",IF(ISNUMBER(SEARCH("Cukup,",INDEX(FORM!$H:$H,ROW()))),"CUKUP",IF(ISNUMBER(SEARCH("Kurang,",INDEX(FORM!$H:$H,ROW()))),"KURANG",""))))</f>
        <v/>
      </c>
      <c r="K377" s="8" t="str">
        <f>IF($A377="","",UPPER(TRIM(INDEX(FORM!$J:$J,ROW()))))</f>
        <v/>
      </c>
      <c r="L377" s="8" t="str">
        <f>IF($A377="","",IF(ISNUMBER(SEARCH("Aktivitas Harian",INDEX(FORM!$K:$K,ROW()))),1,0))</f>
        <v/>
      </c>
      <c r="M377" s="8" t="str">
        <f>IF($A377="","",IF(ISNUMBER(SEARCH("Aktivitas Mingguan",INDEX(FORM!$K:$K,ROW()))),1,0))</f>
        <v/>
      </c>
      <c r="N377" s="8" t="str">
        <f>IF($A377="","",IF(ISNUMBER(SEARCH("Aktivitas Bulanan",INDEX(FORM!$K:$K,ROW()))),1,0))</f>
        <v/>
      </c>
      <c r="O377" s="8" t="str">
        <f>IF($A377="","",IF(ISNUMBER(SEARCH("Overview Cabang",INDEX(FORM!$K:$K,ROW()))),1,0))</f>
        <v/>
      </c>
      <c r="P377" s="8" t="str">
        <f>IF($A377="","",IFERROR(VLOOKUP(I377,DATA!$AH$9:$AI$13,2,0),""))</f>
        <v/>
      </c>
      <c r="Q377" s="8" t="str">
        <f>IF($A377="","",IFERROR(VLOOKUP(J377,DATA!$AH$9:$AI$13,2,0),""))</f>
        <v/>
      </c>
      <c r="R377" s="8" t="str">
        <f>IF($A377="","",IFERROR(VLOOKUP(K377,DATA!$AH$9:$AI$13,2,0),""))</f>
        <v/>
      </c>
      <c r="S377" s="42" t="str">
        <f t="shared" si="110"/>
        <v/>
      </c>
      <c r="T377" s="8" t="str">
        <f>IF($A377="","",IF(COUNTIF($D$2:D377,D377)=1,1,0))</f>
        <v/>
      </c>
      <c r="U377" s="8" t="str">
        <f>IF($A377="","",IF(F377="-","Cabang tdk ada",IF(IFERROR(VLOOKUP(G377,#REF!,1,0),"")="","",IF(INDEX(DATA!$AH$2:$AH$5,MATCH(G377,DATA!$AI$2:$AI$5,0))&lt;&gt;F377,"Wilayah beda","OK"))))</f>
        <v/>
      </c>
      <c r="V377" s="8" t="str">
        <f>IF($A377="","",TRIM(INDEX(FORM!$I:$I,ROW())&amp;""))</f>
        <v/>
      </c>
      <c r="W377" s="8" t="str">
        <f>IF($A377="","",TRIM(INDEX(FORM!$L:$L,ROW())&amp;""))</f>
        <v/>
      </c>
      <c r="X377" s="8" t="str">
        <f>IF($A377="","",TRIM(INDEX(FORM!$M:$M,ROW())&amp;""))</f>
        <v/>
      </c>
      <c r="Y377" s="8" t="str">
        <f>IF($A377="","",IFERROR(MATCH(F377,DATA!$AH$2:$AH$5,0),9)*10000+A377)</f>
        <v/>
      </c>
      <c r="Z377" s="8" t="str">
        <f t="shared" si="111"/>
        <v/>
      </c>
      <c r="AA377" s="8" t="str">
        <f t="shared" si="112"/>
        <v/>
      </c>
      <c r="AB377" s="8" t="str">
        <f t="shared" si="113"/>
        <v/>
      </c>
      <c r="AC377" s="8"/>
      <c r="AD377" s="8"/>
      <c r="AE377" s="8"/>
      <c r="AK377" s="5" t="str">
        <f t="shared" si="114"/>
        <v/>
      </c>
      <c r="AL377" s="5" t="str">
        <f t="shared" si="115"/>
        <v/>
      </c>
      <c r="AM377" s="5" t="str">
        <f t="shared" si="116"/>
        <v/>
      </c>
      <c r="AN377" s="5" t="str">
        <f t="shared" si="117"/>
        <v/>
      </c>
      <c r="AO377" s="5" t="str">
        <f t="shared" si="118"/>
        <v/>
      </c>
      <c r="AP377" s="5" t="str">
        <f t="shared" si="119"/>
        <v/>
      </c>
      <c r="AQ377" s="5" t="str">
        <f t="shared" si="120"/>
        <v/>
      </c>
      <c r="AR377" s="5" t="str">
        <f t="shared" si="121"/>
        <v/>
      </c>
      <c r="AS377" s="5" t="str">
        <f t="shared" si="122"/>
        <v/>
      </c>
      <c r="AT377" s="5" t="str">
        <f t="shared" si="123"/>
        <v/>
      </c>
      <c r="AU377" s="5" t="str">
        <f t="shared" si="124"/>
        <v/>
      </c>
      <c r="AV377" s="5" t="str">
        <f t="shared" si="125"/>
        <v/>
      </c>
      <c r="AW377" s="5" t="str">
        <f t="shared" si="126"/>
        <v/>
      </c>
      <c r="AX377" s="5" t="str">
        <f t="shared" si="127"/>
        <v/>
      </c>
      <c r="AY377" s="5" t="str">
        <f t="shared" si="128"/>
        <v/>
      </c>
      <c r="AZ377" s="5" t="str">
        <f t="shared" si="129"/>
        <v/>
      </c>
      <c r="BA377" s="5" t="str">
        <f t="shared" si="130"/>
        <v/>
      </c>
      <c r="BB377" s="5" t="str">
        <f t="shared" si="131"/>
        <v/>
      </c>
    </row>
    <row r="378" spans="1:54" s="5" customFormat="1" hidden="1">
      <c r="A378" s="8" t="str">
        <f>IF(INDEX(FORM!$A:$A,ROW())="","",ROW()-1)</f>
        <v/>
      </c>
      <c r="B378" s="41" t="str">
        <f>IF($A378="","",INDEX(FORM!$A:$A,ROW()))</f>
        <v/>
      </c>
      <c r="C378" s="8" t="str">
        <f>IF($A378="","",TRIM(INDEX(FORM!$B:$B,ROW())))</f>
        <v/>
      </c>
      <c r="D378" s="8" t="str">
        <f>IF($A378="","",TRIM(INDEX(FORM!$C:$C,ROW())&amp;""))</f>
        <v/>
      </c>
      <c r="E378" s="8" t="str">
        <f>IF($A378="","",UPPER(TRIM(INDEX(FORM!$D:$D,ROW()))))</f>
        <v/>
      </c>
      <c r="F378" s="8" t="str">
        <f>IF($A378="","",IFERROR(INDEX(PROGRES!$A$2:$A$92,MATCH(E378,PROGRES!$B$2:$B$92,0)),"-"))</f>
        <v/>
      </c>
      <c r="G378" s="8" t="str">
        <f>IF($A378="","",UPPER(TRIM(INDEX(FORM!$F:$F,ROW()))))</f>
        <v/>
      </c>
      <c r="H378" s="8" t="str">
        <f>IF($A378="","",UPPER(TRIM(INDEX(FORM!$E:$E,ROW()))))</f>
        <v/>
      </c>
      <c r="I378" s="8" t="str">
        <f>IF($A378="","",UPPER(TRIM(INDEX(FORM!$G:$G,ROW()))))</f>
        <v/>
      </c>
      <c r="J378" s="8" t="str">
        <f>IF($A378="","",IF(ISNUMBER(SEARCH("Ya,",INDEX(FORM!$H:$H,ROW()))),"YA",IF(ISNUMBER(SEARCH("Cukup,",INDEX(FORM!$H:$H,ROW()))),"CUKUP",IF(ISNUMBER(SEARCH("Kurang,",INDEX(FORM!$H:$H,ROW()))),"KURANG",""))))</f>
        <v/>
      </c>
      <c r="K378" s="8" t="str">
        <f>IF($A378="","",UPPER(TRIM(INDEX(FORM!$J:$J,ROW()))))</f>
        <v/>
      </c>
      <c r="L378" s="8" t="str">
        <f>IF($A378="","",IF(ISNUMBER(SEARCH("Aktivitas Harian",INDEX(FORM!$K:$K,ROW()))),1,0))</f>
        <v/>
      </c>
      <c r="M378" s="8" t="str">
        <f>IF($A378="","",IF(ISNUMBER(SEARCH("Aktivitas Mingguan",INDEX(FORM!$K:$K,ROW()))),1,0))</f>
        <v/>
      </c>
      <c r="N378" s="8" t="str">
        <f>IF($A378="","",IF(ISNUMBER(SEARCH("Aktivitas Bulanan",INDEX(FORM!$K:$K,ROW()))),1,0))</f>
        <v/>
      </c>
      <c r="O378" s="8" t="str">
        <f>IF($A378="","",IF(ISNUMBER(SEARCH("Overview Cabang",INDEX(FORM!$K:$K,ROW()))),1,0))</f>
        <v/>
      </c>
      <c r="P378" s="8" t="str">
        <f>IF($A378="","",IFERROR(VLOOKUP(I378,DATA!$AH$9:$AI$13,2,0),""))</f>
        <v/>
      </c>
      <c r="Q378" s="8" t="str">
        <f>IF($A378="","",IFERROR(VLOOKUP(J378,DATA!$AH$9:$AI$13,2,0),""))</f>
        <v/>
      </c>
      <c r="R378" s="8" t="str">
        <f>IF($A378="","",IFERROR(VLOOKUP(K378,DATA!$AH$9:$AI$13,2,0),""))</f>
        <v/>
      </c>
      <c r="S378" s="42" t="str">
        <f t="shared" si="110"/>
        <v/>
      </c>
      <c r="T378" s="8" t="str">
        <f>IF($A378="","",IF(COUNTIF($D$2:D378,D378)=1,1,0))</f>
        <v/>
      </c>
      <c r="U378" s="8" t="str">
        <f>IF($A378="","",IF(F378="-","Cabang tdk ada",IF(IFERROR(VLOOKUP(G378,#REF!,1,0),"")="","",IF(INDEX(DATA!$AH$2:$AH$5,MATCH(G378,DATA!$AI$2:$AI$5,0))&lt;&gt;F378,"Wilayah beda","OK"))))</f>
        <v/>
      </c>
      <c r="V378" s="8" t="str">
        <f>IF($A378="","",TRIM(INDEX(FORM!$I:$I,ROW())&amp;""))</f>
        <v/>
      </c>
      <c r="W378" s="8" t="str">
        <f>IF($A378="","",TRIM(INDEX(FORM!$L:$L,ROW())&amp;""))</f>
        <v/>
      </c>
      <c r="X378" s="8" t="str">
        <f>IF($A378="","",TRIM(INDEX(FORM!$M:$M,ROW())&amp;""))</f>
        <v/>
      </c>
      <c r="Y378" s="8" t="str">
        <f>IF($A378="","",IFERROR(MATCH(F378,DATA!$AH$2:$AH$5,0),9)*10000+A378)</f>
        <v/>
      </c>
      <c r="Z378" s="8" t="str">
        <f t="shared" si="111"/>
        <v/>
      </c>
      <c r="AA378" s="8" t="str">
        <f t="shared" si="112"/>
        <v/>
      </c>
      <c r="AB378" s="8" t="str">
        <f t="shared" si="113"/>
        <v/>
      </c>
      <c r="AC378" s="8"/>
      <c r="AD378" s="8"/>
      <c r="AE378" s="8"/>
      <c r="AK378" s="5" t="str">
        <f t="shared" si="114"/>
        <v/>
      </c>
      <c r="AL378" s="5" t="str">
        <f t="shared" si="115"/>
        <v/>
      </c>
      <c r="AM378" s="5" t="str">
        <f t="shared" si="116"/>
        <v/>
      </c>
      <c r="AN378" s="5" t="str">
        <f t="shared" si="117"/>
        <v/>
      </c>
      <c r="AO378" s="5" t="str">
        <f t="shared" si="118"/>
        <v/>
      </c>
      <c r="AP378" s="5" t="str">
        <f t="shared" si="119"/>
        <v/>
      </c>
      <c r="AQ378" s="5" t="str">
        <f t="shared" si="120"/>
        <v/>
      </c>
      <c r="AR378" s="5" t="str">
        <f t="shared" si="121"/>
        <v/>
      </c>
      <c r="AS378" s="5" t="str">
        <f t="shared" si="122"/>
        <v/>
      </c>
      <c r="AT378" s="5" t="str">
        <f t="shared" si="123"/>
        <v/>
      </c>
      <c r="AU378" s="5" t="str">
        <f t="shared" si="124"/>
        <v/>
      </c>
      <c r="AV378" s="5" t="str">
        <f t="shared" si="125"/>
        <v/>
      </c>
      <c r="AW378" s="5" t="str">
        <f t="shared" si="126"/>
        <v/>
      </c>
      <c r="AX378" s="5" t="str">
        <f t="shared" si="127"/>
        <v/>
      </c>
      <c r="AY378" s="5" t="str">
        <f t="shared" si="128"/>
        <v/>
      </c>
      <c r="AZ378" s="5" t="str">
        <f t="shared" si="129"/>
        <v/>
      </c>
      <c r="BA378" s="5" t="str">
        <f t="shared" si="130"/>
        <v/>
      </c>
      <c r="BB378" s="5" t="str">
        <f t="shared" si="131"/>
        <v/>
      </c>
    </row>
    <row r="379" spans="1:54" s="5" customFormat="1" hidden="1">
      <c r="A379" s="8" t="str">
        <f>IF(INDEX(FORM!$A:$A,ROW())="","",ROW()-1)</f>
        <v/>
      </c>
      <c r="B379" s="41" t="str">
        <f>IF($A379="","",INDEX(FORM!$A:$A,ROW()))</f>
        <v/>
      </c>
      <c r="C379" s="8" t="str">
        <f>IF($A379="","",TRIM(INDEX(FORM!$B:$B,ROW())))</f>
        <v/>
      </c>
      <c r="D379" s="8" t="str">
        <f>IF($A379="","",TRIM(INDEX(FORM!$C:$C,ROW())&amp;""))</f>
        <v/>
      </c>
      <c r="E379" s="8" t="str">
        <f>IF($A379="","",UPPER(TRIM(INDEX(FORM!$D:$D,ROW()))))</f>
        <v/>
      </c>
      <c r="F379" s="8" t="str">
        <f>IF($A379="","",IFERROR(INDEX(PROGRES!$A$2:$A$92,MATCH(E379,PROGRES!$B$2:$B$92,0)),"-"))</f>
        <v/>
      </c>
      <c r="G379" s="8" t="str">
        <f>IF($A379="","",UPPER(TRIM(INDEX(FORM!$F:$F,ROW()))))</f>
        <v/>
      </c>
      <c r="H379" s="8" t="str">
        <f>IF($A379="","",UPPER(TRIM(INDEX(FORM!$E:$E,ROW()))))</f>
        <v/>
      </c>
      <c r="I379" s="8" t="str">
        <f>IF($A379="","",UPPER(TRIM(INDEX(FORM!$G:$G,ROW()))))</f>
        <v/>
      </c>
      <c r="J379" s="8" t="str">
        <f>IF($A379="","",IF(ISNUMBER(SEARCH("Ya,",INDEX(FORM!$H:$H,ROW()))),"YA",IF(ISNUMBER(SEARCH("Cukup,",INDEX(FORM!$H:$H,ROW()))),"CUKUP",IF(ISNUMBER(SEARCH("Kurang,",INDEX(FORM!$H:$H,ROW()))),"KURANG",""))))</f>
        <v/>
      </c>
      <c r="K379" s="8" t="str">
        <f>IF($A379="","",UPPER(TRIM(INDEX(FORM!$J:$J,ROW()))))</f>
        <v/>
      </c>
      <c r="L379" s="8" t="str">
        <f>IF($A379="","",IF(ISNUMBER(SEARCH("Aktivitas Harian",INDEX(FORM!$K:$K,ROW()))),1,0))</f>
        <v/>
      </c>
      <c r="M379" s="8" t="str">
        <f>IF($A379="","",IF(ISNUMBER(SEARCH("Aktivitas Mingguan",INDEX(FORM!$K:$K,ROW()))),1,0))</f>
        <v/>
      </c>
      <c r="N379" s="8" t="str">
        <f>IF($A379="","",IF(ISNUMBER(SEARCH("Aktivitas Bulanan",INDEX(FORM!$K:$K,ROW()))),1,0))</f>
        <v/>
      </c>
      <c r="O379" s="8" t="str">
        <f>IF($A379="","",IF(ISNUMBER(SEARCH("Overview Cabang",INDEX(FORM!$K:$K,ROW()))),1,0))</f>
        <v/>
      </c>
      <c r="P379" s="8" t="str">
        <f>IF($A379="","",IFERROR(VLOOKUP(I379,DATA!$AH$9:$AI$13,2,0),""))</f>
        <v/>
      </c>
      <c r="Q379" s="8" t="str">
        <f>IF($A379="","",IFERROR(VLOOKUP(J379,DATA!$AH$9:$AI$13,2,0),""))</f>
        <v/>
      </c>
      <c r="R379" s="8" t="str">
        <f>IF($A379="","",IFERROR(VLOOKUP(K379,DATA!$AH$9:$AI$13,2,0),""))</f>
        <v/>
      </c>
      <c r="S379" s="42" t="str">
        <f t="shared" si="110"/>
        <v/>
      </c>
      <c r="T379" s="8" t="str">
        <f>IF($A379="","",IF(COUNTIF($D$2:D379,D379)=1,1,0))</f>
        <v/>
      </c>
      <c r="U379" s="8" t="str">
        <f>IF($A379="","",IF(F379="-","Cabang tdk ada",IF(IFERROR(VLOOKUP(G379,#REF!,1,0),"")="","",IF(INDEX(DATA!$AH$2:$AH$5,MATCH(G379,DATA!$AI$2:$AI$5,0))&lt;&gt;F379,"Wilayah beda","OK"))))</f>
        <v/>
      </c>
      <c r="V379" s="8" t="str">
        <f>IF($A379="","",TRIM(INDEX(FORM!$I:$I,ROW())&amp;""))</f>
        <v/>
      </c>
      <c r="W379" s="8" t="str">
        <f>IF($A379="","",TRIM(INDEX(FORM!$L:$L,ROW())&amp;""))</f>
        <v/>
      </c>
      <c r="X379" s="8" t="str">
        <f>IF($A379="","",TRIM(INDEX(FORM!$M:$M,ROW())&amp;""))</f>
        <v/>
      </c>
      <c r="Y379" s="8" t="str">
        <f>IF($A379="","",IFERROR(MATCH(F379,DATA!$AH$2:$AH$5,0),9)*10000+A379)</f>
        <v/>
      </c>
      <c r="Z379" s="8" t="str">
        <f t="shared" si="111"/>
        <v/>
      </c>
      <c r="AA379" s="8" t="str">
        <f t="shared" si="112"/>
        <v/>
      </c>
      <c r="AB379" s="8" t="str">
        <f t="shared" si="113"/>
        <v/>
      </c>
      <c r="AC379" s="8"/>
      <c r="AD379" s="8"/>
      <c r="AE379" s="8"/>
      <c r="AK379" s="5" t="str">
        <f t="shared" si="114"/>
        <v/>
      </c>
      <c r="AL379" s="5" t="str">
        <f t="shared" si="115"/>
        <v/>
      </c>
      <c r="AM379" s="5" t="str">
        <f t="shared" si="116"/>
        <v/>
      </c>
      <c r="AN379" s="5" t="str">
        <f t="shared" si="117"/>
        <v/>
      </c>
      <c r="AO379" s="5" t="str">
        <f t="shared" si="118"/>
        <v/>
      </c>
      <c r="AP379" s="5" t="str">
        <f t="shared" si="119"/>
        <v/>
      </c>
      <c r="AQ379" s="5" t="str">
        <f t="shared" si="120"/>
        <v/>
      </c>
      <c r="AR379" s="5" t="str">
        <f t="shared" si="121"/>
        <v/>
      </c>
      <c r="AS379" s="5" t="str">
        <f t="shared" si="122"/>
        <v/>
      </c>
      <c r="AT379" s="5" t="str">
        <f t="shared" si="123"/>
        <v/>
      </c>
      <c r="AU379" s="5" t="str">
        <f t="shared" si="124"/>
        <v/>
      </c>
      <c r="AV379" s="5" t="str">
        <f t="shared" si="125"/>
        <v/>
      </c>
      <c r="AW379" s="5" t="str">
        <f t="shared" si="126"/>
        <v/>
      </c>
      <c r="AX379" s="5" t="str">
        <f t="shared" si="127"/>
        <v/>
      </c>
      <c r="AY379" s="5" t="str">
        <f t="shared" si="128"/>
        <v/>
      </c>
      <c r="AZ379" s="5" t="str">
        <f t="shared" si="129"/>
        <v/>
      </c>
      <c r="BA379" s="5" t="str">
        <f t="shared" si="130"/>
        <v/>
      </c>
      <c r="BB379" s="5" t="str">
        <f t="shared" si="131"/>
        <v/>
      </c>
    </row>
    <row r="380" spans="1:54" s="5" customFormat="1" hidden="1">
      <c r="A380" s="8" t="str">
        <f>IF(INDEX(FORM!$A:$A,ROW())="","",ROW()-1)</f>
        <v/>
      </c>
      <c r="B380" s="41" t="str">
        <f>IF($A380="","",INDEX(FORM!$A:$A,ROW()))</f>
        <v/>
      </c>
      <c r="C380" s="8" t="str">
        <f>IF($A380="","",TRIM(INDEX(FORM!$B:$B,ROW())))</f>
        <v/>
      </c>
      <c r="D380" s="8" t="str">
        <f>IF($A380="","",TRIM(INDEX(FORM!$C:$C,ROW())&amp;""))</f>
        <v/>
      </c>
      <c r="E380" s="8" t="str">
        <f>IF($A380="","",UPPER(TRIM(INDEX(FORM!$D:$D,ROW()))))</f>
        <v/>
      </c>
      <c r="F380" s="8" t="str">
        <f>IF($A380="","",IFERROR(INDEX(PROGRES!$A$2:$A$92,MATCH(E380,PROGRES!$B$2:$B$92,0)),"-"))</f>
        <v/>
      </c>
      <c r="G380" s="8" t="str">
        <f>IF($A380="","",UPPER(TRIM(INDEX(FORM!$F:$F,ROW()))))</f>
        <v/>
      </c>
      <c r="H380" s="8" t="str">
        <f>IF($A380="","",UPPER(TRIM(INDEX(FORM!$E:$E,ROW()))))</f>
        <v/>
      </c>
      <c r="I380" s="8" t="str">
        <f>IF($A380="","",UPPER(TRIM(INDEX(FORM!$G:$G,ROW()))))</f>
        <v/>
      </c>
      <c r="J380" s="8" t="str">
        <f>IF($A380="","",IF(ISNUMBER(SEARCH("Ya,",INDEX(FORM!$H:$H,ROW()))),"YA",IF(ISNUMBER(SEARCH("Cukup,",INDEX(FORM!$H:$H,ROW()))),"CUKUP",IF(ISNUMBER(SEARCH("Kurang,",INDEX(FORM!$H:$H,ROW()))),"KURANG",""))))</f>
        <v/>
      </c>
      <c r="K380" s="8" t="str">
        <f>IF($A380="","",UPPER(TRIM(INDEX(FORM!$J:$J,ROW()))))</f>
        <v/>
      </c>
      <c r="L380" s="8" t="str">
        <f>IF($A380="","",IF(ISNUMBER(SEARCH("Aktivitas Harian",INDEX(FORM!$K:$K,ROW()))),1,0))</f>
        <v/>
      </c>
      <c r="M380" s="8" t="str">
        <f>IF($A380="","",IF(ISNUMBER(SEARCH("Aktivitas Mingguan",INDEX(FORM!$K:$K,ROW()))),1,0))</f>
        <v/>
      </c>
      <c r="N380" s="8" t="str">
        <f>IF($A380="","",IF(ISNUMBER(SEARCH("Aktivitas Bulanan",INDEX(FORM!$K:$K,ROW()))),1,0))</f>
        <v/>
      </c>
      <c r="O380" s="8" t="str">
        <f>IF($A380="","",IF(ISNUMBER(SEARCH("Overview Cabang",INDEX(FORM!$K:$K,ROW()))),1,0))</f>
        <v/>
      </c>
      <c r="P380" s="8" t="str">
        <f>IF($A380="","",IFERROR(VLOOKUP(I380,DATA!$AH$9:$AI$13,2,0),""))</f>
        <v/>
      </c>
      <c r="Q380" s="8" t="str">
        <f>IF($A380="","",IFERROR(VLOOKUP(J380,DATA!$AH$9:$AI$13,2,0),""))</f>
        <v/>
      </c>
      <c r="R380" s="8" t="str">
        <f>IF($A380="","",IFERROR(VLOOKUP(K380,DATA!$AH$9:$AI$13,2,0),""))</f>
        <v/>
      </c>
      <c r="S380" s="42" t="str">
        <f t="shared" si="110"/>
        <v/>
      </c>
      <c r="T380" s="8" t="str">
        <f>IF($A380="","",IF(COUNTIF($D$2:D380,D380)=1,1,0))</f>
        <v/>
      </c>
      <c r="U380" s="8" t="str">
        <f>IF($A380="","",IF(F380="-","Cabang tdk ada",IF(IFERROR(VLOOKUP(G380,#REF!,1,0),"")="","",IF(INDEX(DATA!$AH$2:$AH$5,MATCH(G380,DATA!$AI$2:$AI$5,0))&lt;&gt;F380,"Wilayah beda","OK"))))</f>
        <v/>
      </c>
      <c r="V380" s="8" t="str">
        <f>IF($A380="","",TRIM(INDEX(FORM!$I:$I,ROW())&amp;""))</f>
        <v/>
      </c>
      <c r="W380" s="8" t="str">
        <f>IF($A380="","",TRIM(INDEX(FORM!$L:$L,ROW())&amp;""))</f>
        <v/>
      </c>
      <c r="X380" s="8" t="str">
        <f>IF($A380="","",TRIM(INDEX(FORM!$M:$M,ROW())&amp;""))</f>
        <v/>
      </c>
      <c r="Y380" s="8" t="str">
        <f>IF($A380="","",IFERROR(MATCH(F380,DATA!$AH$2:$AH$5,0),9)*10000+A380)</f>
        <v/>
      </c>
      <c r="Z380" s="8" t="str">
        <f t="shared" si="111"/>
        <v/>
      </c>
      <c r="AA380" s="8" t="str">
        <f t="shared" si="112"/>
        <v/>
      </c>
      <c r="AB380" s="8" t="str">
        <f t="shared" si="113"/>
        <v/>
      </c>
      <c r="AC380" s="8"/>
      <c r="AD380" s="8"/>
      <c r="AE380" s="8"/>
      <c r="AK380" s="5" t="str">
        <f t="shared" si="114"/>
        <v/>
      </c>
      <c r="AL380" s="5" t="str">
        <f t="shared" si="115"/>
        <v/>
      </c>
      <c r="AM380" s="5" t="str">
        <f t="shared" si="116"/>
        <v/>
      </c>
      <c r="AN380" s="5" t="str">
        <f t="shared" si="117"/>
        <v/>
      </c>
      <c r="AO380" s="5" t="str">
        <f t="shared" si="118"/>
        <v/>
      </c>
      <c r="AP380" s="5" t="str">
        <f t="shared" si="119"/>
        <v/>
      </c>
      <c r="AQ380" s="5" t="str">
        <f t="shared" si="120"/>
        <v/>
      </c>
      <c r="AR380" s="5" t="str">
        <f t="shared" si="121"/>
        <v/>
      </c>
      <c r="AS380" s="5" t="str">
        <f t="shared" si="122"/>
        <v/>
      </c>
      <c r="AT380" s="5" t="str">
        <f t="shared" si="123"/>
        <v/>
      </c>
      <c r="AU380" s="5" t="str">
        <f t="shared" si="124"/>
        <v/>
      </c>
      <c r="AV380" s="5" t="str">
        <f t="shared" si="125"/>
        <v/>
      </c>
      <c r="AW380" s="5" t="str">
        <f t="shared" si="126"/>
        <v/>
      </c>
      <c r="AX380" s="5" t="str">
        <f t="shared" si="127"/>
        <v/>
      </c>
      <c r="AY380" s="5" t="str">
        <f t="shared" si="128"/>
        <v/>
      </c>
      <c r="AZ380" s="5" t="str">
        <f t="shared" si="129"/>
        <v/>
      </c>
      <c r="BA380" s="5" t="str">
        <f t="shared" si="130"/>
        <v/>
      </c>
      <c r="BB380" s="5" t="str">
        <f t="shared" si="131"/>
        <v/>
      </c>
    </row>
    <row r="381" spans="1:54" s="5" customFormat="1" hidden="1">
      <c r="A381" s="8" t="str">
        <f>IF(INDEX(FORM!$A:$A,ROW())="","",ROW()-1)</f>
        <v/>
      </c>
      <c r="B381" s="41" t="str">
        <f>IF($A381="","",INDEX(FORM!$A:$A,ROW()))</f>
        <v/>
      </c>
      <c r="C381" s="8" t="str">
        <f>IF($A381="","",TRIM(INDEX(FORM!$B:$B,ROW())))</f>
        <v/>
      </c>
      <c r="D381" s="8" t="str">
        <f>IF($A381="","",TRIM(INDEX(FORM!$C:$C,ROW())&amp;""))</f>
        <v/>
      </c>
      <c r="E381" s="8" t="str">
        <f>IF($A381="","",UPPER(TRIM(INDEX(FORM!$D:$D,ROW()))))</f>
        <v/>
      </c>
      <c r="F381" s="8" t="str">
        <f>IF($A381="","",IFERROR(INDEX(PROGRES!$A$2:$A$92,MATCH(E381,PROGRES!$B$2:$B$92,0)),"-"))</f>
        <v/>
      </c>
      <c r="G381" s="8" t="str">
        <f>IF($A381="","",UPPER(TRIM(INDEX(FORM!$F:$F,ROW()))))</f>
        <v/>
      </c>
      <c r="H381" s="8" t="str">
        <f>IF($A381="","",UPPER(TRIM(INDEX(FORM!$E:$E,ROW()))))</f>
        <v/>
      </c>
      <c r="I381" s="8" t="str">
        <f>IF($A381="","",UPPER(TRIM(INDEX(FORM!$G:$G,ROW()))))</f>
        <v/>
      </c>
      <c r="J381" s="8" t="str">
        <f>IF($A381="","",IF(ISNUMBER(SEARCH("Ya,",INDEX(FORM!$H:$H,ROW()))),"YA",IF(ISNUMBER(SEARCH("Cukup,",INDEX(FORM!$H:$H,ROW()))),"CUKUP",IF(ISNUMBER(SEARCH("Kurang,",INDEX(FORM!$H:$H,ROW()))),"KURANG",""))))</f>
        <v/>
      </c>
      <c r="K381" s="8" t="str">
        <f>IF($A381="","",UPPER(TRIM(INDEX(FORM!$J:$J,ROW()))))</f>
        <v/>
      </c>
      <c r="L381" s="8" t="str">
        <f>IF($A381="","",IF(ISNUMBER(SEARCH("Aktivitas Harian",INDEX(FORM!$K:$K,ROW()))),1,0))</f>
        <v/>
      </c>
      <c r="M381" s="8" t="str">
        <f>IF($A381="","",IF(ISNUMBER(SEARCH("Aktivitas Mingguan",INDEX(FORM!$K:$K,ROW()))),1,0))</f>
        <v/>
      </c>
      <c r="N381" s="8" t="str">
        <f>IF($A381="","",IF(ISNUMBER(SEARCH("Aktivitas Bulanan",INDEX(FORM!$K:$K,ROW()))),1,0))</f>
        <v/>
      </c>
      <c r="O381" s="8" t="str">
        <f>IF($A381="","",IF(ISNUMBER(SEARCH("Overview Cabang",INDEX(FORM!$K:$K,ROW()))),1,0))</f>
        <v/>
      </c>
      <c r="P381" s="8" t="str">
        <f>IF($A381="","",IFERROR(VLOOKUP(I381,DATA!$AH$9:$AI$13,2,0),""))</f>
        <v/>
      </c>
      <c r="Q381" s="8" t="str">
        <f>IF($A381="","",IFERROR(VLOOKUP(J381,DATA!$AH$9:$AI$13,2,0),""))</f>
        <v/>
      </c>
      <c r="R381" s="8" t="str">
        <f>IF($A381="","",IFERROR(VLOOKUP(K381,DATA!$AH$9:$AI$13,2,0),""))</f>
        <v/>
      </c>
      <c r="S381" s="42" t="str">
        <f t="shared" si="110"/>
        <v/>
      </c>
      <c r="T381" s="8" t="str">
        <f>IF($A381="","",IF(COUNTIF($D$2:D381,D381)=1,1,0))</f>
        <v/>
      </c>
      <c r="U381" s="8" t="str">
        <f>IF($A381="","",IF(F381="-","Cabang tdk ada",IF(IFERROR(VLOOKUP(G381,#REF!,1,0),"")="","",IF(INDEX(DATA!$AH$2:$AH$5,MATCH(G381,DATA!$AI$2:$AI$5,0))&lt;&gt;F381,"Wilayah beda","OK"))))</f>
        <v/>
      </c>
      <c r="V381" s="8" t="str">
        <f>IF($A381="","",TRIM(INDEX(FORM!$I:$I,ROW())&amp;""))</f>
        <v/>
      </c>
      <c r="W381" s="8" t="str">
        <f>IF($A381="","",TRIM(INDEX(FORM!$L:$L,ROW())&amp;""))</f>
        <v/>
      </c>
      <c r="X381" s="8" t="str">
        <f>IF($A381="","",TRIM(INDEX(FORM!$M:$M,ROW())&amp;""))</f>
        <v/>
      </c>
      <c r="Y381" s="8" t="str">
        <f>IF($A381="","",IFERROR(MATCH(F381,DATA!$AH$2:$AH$5,0),9)*10000+A381)</f>
        <v/>
      </c>
      <c r="Z381" s="8" t="str">
        <f t="shared" si="111"/>
        <v/>
      </c>
      <c r="AA381" s="8" t="str">
        <f t="shared" si="112"/>
        <v/>
      </c>
      <c r="AB381" s="8" t="str">
        <f t="shared" si="113"/>
        <v/>
      </c>
      <c r="AC381" s="8"/>
      <c r="AD381" s="8"/>
      <c r="AE381" s="8"/>
      <c r="AK381" s="5" t="str">
        <f t="shared" si="114"/>
        <v/>
      </c>
      <c r="AL381" s="5" t="str">
        <f t="shared" si="115"/>
        <v/>
      </c>
      <c r="AM381" s="5" t="str">
        <f t="shared" si="116"/>
        <v/>
      </c>
      <c r="AN381" s="5" t="str">
        <f t="shared" si="117"/>
        <v/>
      </c>
      <c r="AO381" s="5" t="str">
        <f t="shared" si="118"/>
        <v/>
      </c>
      <c r="AP381" s="5" t="str">
        <f t="shared" si="119"/>
        <v/>
      </c>
      <c r="AQ381" s="5" t="str">
        <f t="shared" si="120"/>
        <v/>
      </c>
      <c r="AR381" s="5" t="str">
        <f t="shared" si="121"/>
        <v/>
      </c>
      <c r="AS381" s="5" t="str">
        <f t="shared" si="122"/>
        <v/>
      </c>
      <c r="AT381" s="5" t="str">
        <f t="shared" si="123"/>
        <v/>
      </c>
      <c r="AU381" s="5" t="str">
        <f t="shared" si="124"/>
        <v/>
      </c>
      <c r="AV381" s="5" t="str">
        <f t="shared" si="125"/>
        <v/>
      </c>
      <c r="AW381" s="5" t="str">
        <f t="shared" si="126"/>
        <v/>
      </c>
      <c r="AX381" s="5" t="str">
        <f t="shared" si="127"/>
        <v/>
      </c>
      <c r="AY381" s="5" t="str">
        <f t="shared" si="128"/>
        <v/>
      </c>
      <c r="AZ381" s="5" t="str">
        <f t="shared" si="129"/>
        <v/>
      </c>
      <c r="BA381" s="5" t="str">
        <f t="shared" si="130"/>
        <v/>
      </c>
      <c r="BB381" s="5" t="str">
        <f t="shared" si="131"/>
        <v/>
      </c>
    </row>
    <row r="382" spans="1:54" s="5" customFormat="1" hidden="1">
      <c r="A382" s="8" t="str">
        <f>IF(INDEX(FORM!$A:$A,ROW())="","",ROW()-1)</f>
        <v/>
      </c>
      <c r="B382" s="41" t="str">
        <f>IF($A382="","",INDEX(FORM!$A:$A,ROW()))</f>
        <v/>
      </c>
      <c r="C382" s="8" t="str">
        <f>IF($A382="","",TRIM(INDEX(FORM!$B:$B,ROW())))</f>
        <v/>
      </c>
      <c r="D382" s="8" t="str">
        <f>IF($A382="","",TRIM(INDEX(FORM!$C:$C,ROW())&amp;""))</f>
        <v/>
      </c>
      <c r="E382" s="8" t="str">
        <f>IF($A382="","",UPPER(TRIM(INDEX(FORM!$D:$D,ROW()))))</f>
        <v/>
      </c>
      <c r="F382" s="8" t="str">
        <f>IF($A382="","",IFERROR(INDEX(PROGRES!$A$2:$A$92,MATCH(E382,PROGRES!$B$2:$B$92,0)),"-"))</f>
        <v/>
      </c>
      <c r="G382" s="8" t="str">
        <f>IF($A382="","",UPPER(TRIM(INDEX(FORM!$F:$F,ROW()))))</f>
        <v/>
      </c>
      <c r="H382" s="8" t="str">
        <f>IF($A382="","",UPPER(TRIM(INDEX(FORM!$E:$E,ROW()))))</f>
        <v/>
      </c>
      <c r="I382" s="8" t="str">
        <f>IF($A382="","",UPPER(TRIM(INDEX(FORM!$G:$G,ROW()))))</f>
        <v/>
      </c>
      <c r="J382" s="8" t="str">
        <f>IF($A382="","",IF(ISNUMBER(SEARCH("Ya,",INDEX(FORM!$H:$H,ROW()))),"YA",IF(ISNUMBER(SEARCH("Cukup,",INDEX(FORM!$H:$H,ROW()))),"CUKUP",IF(ISNUMBER(SEARCH("Kurang,",INDEX(FORM!$H:$H,ROW()))),"KURANG",""))))</f>
        <v/>
      </c>
      <c r="K382" s="8" t="str">
        <f>IF($A382="","",UPPER(TRIM(INDEX(FORM!$J:$J,ROW()))))</f>
        <v/>
      </c>
      <c r="L382" s="8" t="str">
        <f>IF($A382="","",IF(ISNUMBER(SEARCH("Aktivitas Harian",INDEX(FORM!$K:$K,ROW()))),1,0))</f>
        <v/>
      </c>
      <c r="M382" s="8" t="str">
        <f>IF($A382="","",IF(ISNUMBER(SEARCH("Aktivitas Mingguan",INDEX(FORM!$K:$K,ROW()))),1,0))</f>
        <v/>
      </c>
      <c r="N382" s="8" t="str">
        <f>IF($A382="","",IF(ISNUMBER(SEARCH("Aktivitas Bulanan",INDEX(FORM!$K:$K,ROW()))),1,0))</f>
        <v/>
      </c>
      <c r="O382" s="8" t="str">
        <f>IF($A382="","",IF(ISNUMBER(SEARCH("Overview Cabang",INDEX(FORM!$K:$K,ROW()))),1,0))</f>
        <v/>
      </c>
      <c r="P382" s="8" t="str">
        <f>IF($A382="","",IFERROR(VLOOKUP(I382,DATA!$AH$9:$AI$13,2,0),""))</f>
        <v/>
      </c>
      <c r="Q382" s="8" t="str">
        <f>IF($A382="","",IFERROR(VLOOKUP(J382,DATA!$AH$9:$AI$13,2,0),""))</f>
        <v/>
      </c>
      <c r="R382" s="8" t="str">
        <f>IF($A382="","",IFERROR(VLOOKUP(K382,DATA!$AH$9:$AI$13,2,0),""))</f>
        <v/>
      </c>
      <c r="S382" s="42" t="str">
        <f t="shared" si="110"/>
        <v/>
      </c>
      <c r="T382" s="8" t="str">
        <f>IF($A382="","",IF(COUNTIF($D$2:D382,D382)=1,1,0))</f>
        <v/>
      </c>
      <c r="U382" s="8" t="str">
        <f>IF($A382="","",IF(F382="-","Cabang tdk ada",IF(IFERROR(VLOOKUP(G382,#REF!,1,0),"")="","",IF(INDEX(DATA!$AH$2:$AH$5,MATCH(G382,DATA!$AI$2:$AI$5,0))&lt;&gt;F382,"Wilayah beda","OK"))))</f>
        <v/>
      </c>
      <c r="V382" s="8" t="str">
        <f>IF($A382="","",TRIM(INDEX(FORM!$I:$I,ROW())&amp;""))</f>
        <v/>
      </c>
      <c r="W382" s="8" t="str">
        <f>IF($A382="","",TRIM(INDEX(FORM!$L:$L,ROW())&amp;""))</f>
        <v/>
      </c>
      <c r="X382" s="8" t="str">
        <f>IF($A382="","",TRIM(INDEX(FORM!$M:$M,ROW())&amp;""))</f>
        <v/>
      </c>
      <c r="Y382" s="8" t="str">
        <f>IF($A382="","",IFERROR(MATCH(F382,DATA!$AH$2:$AH$5,0),9)*10000+A382)</f>
        <v/>
      </c>
      <c r="Z382" s="8" t="str">
        <f t="shared" si="111"/>
        <v/>
      </c>
      <c r="AA382" s="8" t="str">
        <f t="shared" si="112"/>
        <v/>
      </c>
      <c r="AB382" s="8" t="str">
        <f t="shared" si="113"/>
        <v/>
      </c>
      <c r="AC382" s="8"/>
      <c r="AD382" s="8"/>
      <c r="AE382" s="8"/>
      <c r="AK382" s="5" t="str">
        <f t="shared" si="114"/>
        <v/>
      </c>
      <c r="AL382" s="5" t="str">
        <f t="shared" si="115"/>
        <v/>
      </c>
      <c r="AM382" s="5" t="str">
        <f t="shared" si="116"/>
        <v/>
      </c>
      <c r="AN382" s="5" t="str">
        <f t="shared" si="117"/>
        <v/>
      </c>
      <c r="AO382" s="5" t="str">
        <f t="shared" si="118"/>
        <v/>
      </c>
      <c r="AP382" s="5" t="str">
        <f t="shared" si="119"/>
        <v/>
      </c>
      <c r="AQ382" s="5" t="str">
        <f t="shared" si="120"/>
        <v/>
      </c>
      <c r="AR382" s="5" t="str">
        <f t="shared" si="121"/>
        <v/>
      </c>
      <c r="AS382" s="5" t="str">
        <f t="shared" si="122"/>
        <v/>
      </c>
      <c r="AT382" s="5" t="str">
        <f t="shared" si="123"/>
        <v/>
      </c>
      <c r="AU382" s="5" t="str">
        <f t="shared" si="124"/>
        <v/>
      </c>
      <c r="AV382" s="5" t="str">
        <f t="shared" si="125"/>
        <v/>
      </c>
      <c r="AW382" s="5" t="str">
        <f t="shared" si="126"/>
        <v/>
      </c>
      <c r="AX382" s="5" t="str">
        <f t="shared" si="127"/>
        <v/>
      </c>
      <c r="AY382" s="5" t="str">
        <f t="shared" si="128"/>
        <v/>
      </c>
      <c r="AZ382" s="5" t="str">
        <f t="shared" si="129"/>
        <v/>
      </c>
      <c r="BA382" s="5" t="str">
        <f t="shared" si="130"/>
        <v/>
      </c>
      <c r="BB382" s="5" t="str">
        <f t="shared" si="131"/>
        <v/>
      </c>
    </row>
    <row r="383" spans="1:54" s="5" customFormat="1" hidden="1">
      <c r="A383" s="8" t="str">
        <f>IF(INDEX(FORM!$A:$A,ROW())="","",ROW()-1)</f>
        <v/>
      </c>
      <c r="B383" s="41" t="str">
        <f>IF($A383="","",INDEX(FORM!$A:$A,ROW()))</f>
        <v/>
      </c>
      <c r="C383" s="8" t="str">
        <f>IF($A383="","",TRIM(INDEX(FORM!$B:$B,ROW())))</f>
        <v/>
      </c>
      <c r="D383" s="8" t="str">
        <f>IF($A383="","",TRIM(INDEX(FORM!$C:$C,ROW())&amp;""))</f>
        <v/>
      </c>
      <c r="E383" s="8" t="str">
        <f>IF($A383="","",UPPER(TRIM(INDEX(FORM!$D:$D,ROW()))))</f>
        <v/>
      </c>
      <c r="F383" s="8" t="str">
        <f>IF($A383="","",IFERROR(INDEX(PROGRES!$A$2:$A$92,MATCH(E383,PROGRES!$B$2:$B$92,0)),"-"))</f>
        <v/>
      </c>
      <c r="G383" s="8" t="str">
        <f>IF($A383="","",UPPER(TRIM(INDEX(FORM!$F:$F,ROW()))))</f>
        <v/>
      </c>
      <c r="H383" s="8" t="str">
        <f>IF($A383="","",UPPER(TRIM(INDEX(FORM!$E:$E,ROW()))))</f>
        <v/>
      </c>
      <c r="I383" s="8" t="str">
        <f>IF($A383="","",UPPER(TRIM(INDEX(FORM!$G:$G,ROW()))))</f>
        <v/>
      </c>
      <c r="J383" s="8" t="str">
        <f>IF($A383="","",IF(ISNUMBER(SEARCH("Ya,",INDEX(FORM!$H:$H,ROW()))),"YA",IF(ISNUMBER(SEARCH("Cukup,",INDEX(FORM!$H:$H,ROW()))),"CUKUP",IF(ISNUMBER(SEARCH("Kurang,",INDEX(FORM!$H:$H,ROW()))),"KURANG",""))))</f>
        <v/>
      </c>
      <c r="K383" s="8" t="str">
        <f>IF($A383="","",UPPER(TRIM(INDEX(FORM!$J:$J,ROW()))))</f>
        <v/>
      </c>
      <c r="L383" s="8" t="str">
        <f>IF($A383="","",IF(ISNUMBER(SEARCH("Aktivitas Harian",INDEX(FORM!$K:$K,ROW()))),1,0))</f>
        <v/>
      </c>
      <c r="M383" s="8" t="str">
        <f>IF($A383="","",IF(ISNUMBER(SEARCH("Aktivitas Mingguan",INDEX(FORM!$K:$K,ROW()))),1,0))</f>
        <v/>
      </c>
      <c r="N383" s="8" t="str">
        <f>IF($A383="","",IF(ISNUMBER(SEARCH("Aktivitas Bulanan",INDEX(FORM!$K:$K,ROW()))),1,0))</f>
        <v/>
      </c>
      <c r="O383" s="8" t="str">
        <f>IF($A383="","",IF(ISNUMBER(SEARCH("Overview Cabang",INDEX(FORM!$K:$K,ROW()))),1,0))</f>
        <v/>
      </c>
      <c r="P383" s="8" t="str">
        <f>IF($A383="","",IFERROR(VLOOKUP(I383,DATA!$AH$9:$AI$13,2,0),""))</f>
        <v/>
      </c>
      <c r="Q383" s="8" t="str">
        <f>IF($A383="","",IFERROR(VLOOKUP(J383,DATA!$AH$9:$AI$13,2,0),""))</f>
        <v/>
      </c>
      <c r="R383" s="8" t="str">
        <f>IF($A383="","",IFERROR(VLOOKUP(K383,DATA!$AH$9:$AI$13,2,0),""))</f>
        <v/>
      </c>
      <c r="S383" s="42" t="str">
        <f t="shared" si="110"/>
        <v/>
      </c>
      <c r="T383" s="8" t="str">
        <f>IF($A383="","",IF(COUNTIF($D$2:D383,D383)=1,1,0))</f>
        <v/>
      </c>
      <c r="U383" s="8" t="str">
        <f>IF($A383="","",IF(F383="-","Cabang tdk ada",IF(IFERROR(VLOOKUP(G383,#REF!,1,0),"")="","",IF(INDEX(DATA!$AH$2:$AH$5,MATCH(G383,DATA!$AI$2:$AI$5,0))&lt;&gt;F383,"Wilayah beda","OK"))))</f>
        <v/>
      </c>
      <c r="V383" s="8" t="str">
        <f>IF($A383="","",TRIM(INDEX(FORM!$I:$I,ROW())&amp;""))</f>
        <v/>
      </c>
      <c r="W383" s="8" t="str">
        <f>IF($A383="","",TRIM(INDEX(FORM!$L:$L,ROW())&amp;""))</f>
        <v/>
      </c>
      <c r="X383" s="8" t="str">
        <f>IF($A383="","",TRIM(INDEX(FORM!$M:$M,ROW())&amp;""))</f>
        <v/>
      </c>
      <c r="Y383" s="8" t="str">
        <f>IF($A383="","",IFERROR(MATCH(F383,DATA!$AH$2:$AH$5,0),9)*10000+A383)</f>
        <v/>
      </c>
      <c r="Z383" s="8" t="str">
        <f t="shared" si="111"/>
        <v/>
      </c>
      <c r="AA383" s="8" t="str">
        <f t="shared" si="112"/>
        <v/>
      </c>
      <c r="AB383" s="8" t="str">
        <f t="shared" si="113"/>
        <v/>
      </c>
      <c r="AC383" s="8"/>
      <c r="AD383" s="8"/>
      <c r="AE383" s="8"/>
      <c r="AK383" s="5" t="str">
        <f t="shared" si="114"/>
        <v/>
      </c>
      <c r="AL383" s="5" t="str">
        <f t="shared" si="115"/>
        <v/>
      </c>
      <c r="AM383" s="5" t="str">
        <f t="shared" si="116"/>
        <v/>
      </c>
      <c r="AN383" s="5" t="str">
        <f t="shared" si="117"/>
        <v/>
      </c>
      <c r="AO383" s="5" t="str">
        <f t="shared" si="118"/>
        <v/>
      </c>
      <c r="AP383" s="5" t="str">
        <f t="shared" si="119"/>
        <v/>
      </c>
      <c r="AQ383" s="5" t="str">
        <f t="shared" si="120"/>
        <v/>
      </c>
      <c r="AR383" s="5" t="str">
        <f t="shared" si="121"/>
        <v/>
      </c>
      <c r="AS383" s="5" t="str">
        <f t="shared" si="122"/>
        <v/>
      </c>
      <c r="AT383" s="5" t="str">
        <f t="shared" si="123"/>
        <v/>
      </c>
      <c r="AU383" s="5" t="str">
        <f t="shared" si="124"/>
        <v/>
      </c>
      <c r="AV383" s="5" t="str">
        <f t="shared" si="125"/>
        <v/>
      </c>
      <c r="AW383" s="5" t="str">
        <f t="shared" si="126"/>
        <v/>
      </c>
      <c r="AX383" s="5" t="str">
        <f t="shared" si="127"/>
        <v/>
      </c>
      <c r="AY383" s="5" t="str">
        <f t="shared" si="128"/>
        <v/>
      </c>
      <c r="AZ383" s="5" t="str">
        <f t="shared" si="129"/>
        <v/>
      </c>
      <c r="BA383" s="5" t="str">
        <f t="shared" si="130"/>
        <v/>
      </c>
      <c r="BB383" s="5" t="str">
        <f t="shared" si="131"/>
        <v/>
      </c>
    </row>
    <row r="384" spans="1:54" s="5" customFormat="1" hidden="1">
      <c r="A384" s="8" t="str">
        <f>IF(INDEX(FORM!$A:$A,ROW())="","",ROW()-1)</f>
        <v/>
      </c>
      <c r="B384" s="41" t="str">
        <f>IF($A384="","",INDEX(FORM!$A:$A,ROW()))</f>
        <v/>
      </c>
      <c r="C384" s="8" t="str">
        <f>IF($A384="","",TRIM(INDEX(FORM!$B:$B,ROW())))</f>
        <v/>
      </c>
      <c r="D384" s="8" t="str">
        <f>IF($A384="","",TRIM(INDEX(FORM!$C:$C,ROW())&amp;""))</f>
        <v/>
      </c>
      <c r="E384" s="8" t="str">
        <f>IF($A384="","",UPPER(TRIM(INDEX(FORM!$D:$D,ROW()))))</f>
        <v/>
      </c>
      <c r="F384" s="8" t="str">
        <f>IF($A384="","",IFERROR(INDEX(PROGRES!$A$2:$A$92,MATCH(E384,PROGRES!$B$2:$B$92,0)),"-"))</f>
        <v/>
      </c>
      <c r="G384" s="8" t="str">
        <f>IF($A384="","",UPPER(TRIM(INDEX(FORM!$F:$F,ROW()))))</f>
        <v/>
      </c>
      <c r="H384" s="8" t="str">
        <f>IF($A384="","",UPPER(TRIM(INDEX(FORM!$E:$E,ROW()))))</f>
        <v/>
      </c>
      <c r="I384" s="8" t="str">
        <f>IF($A384="","",UPPER(TRIM(INDEX(FORM!$G:$G,ROW()))))</f>
        <v/>
      </c>
      <c r="J384" s="8" t="str">
        <f>IF($A384="","",IF(ISNUMBER(SEARCH("Ya,",INDEX(FORM!$H:$H,ROW()))),"YA",IF(ISNUMBER(SEARCH("Cukup,",INDEX(FORM!$H:$H,ROW()))),"CUKUP",IF(ISNUMBER(SEARCH("Kurang,",INDEX(FORM!$H:$H,ROW()))),"KURANG",""))))</f>
        <v/>
      </c>
      <c r="K384" s="8" t="str">
        <f>IF($A384="","",UPPER(TRIM(INDEX(FORM!$J:$J,ROW()))))</f>
        <v/>
      </c>
      <c r="L384" s="8" t="str">
        <f>IF($A384="","",IF(ISNUMBER(SEARCH("Aktivitas Harian",INDEX(FORM!$K:$K,ROW()))),1,0))</f>
        <v/>
      </c>
      <c r="M384" s="8" t="str">
        <f>IF($A384="","",IF(ISNUMBER(SEARCH("Aktivitas Mingguan",INDEX(FORM!$K:$K,ROW()))),1,0))</f>
        <v/>
      </c>
      <c r="N384" s="8" t="str">
        <f>IF($A384="","",IF(ISNUMBER(SEARCH("Aktivitas Bulanan",INDEX(FORM!$K:$K,ROW()))),1,0))</f>
        <v/>
      </c>
      <c r="O384" s="8" t="str">
        <f>IF($A384="","",IF(ISNUMBER(SEARCH("Overview Cabang",INDEX(FORM!$K:$K,ROW()))),1,0))</f>
        <v/>
      </c>
      <c r="P384" s="8" t="str">
        <f>IF($A384="","",IFERROR(VLOOKUP(I384,DATA!$AH$9:$AI$13,2,0),""))</f>
        <v/>
      </c>
      <c r="Q384" s="8" t="str">
        <f>IF($A384="","",IFERROR(VLOOKUP(J384,DATA!$AH$9:$AI$13,2,0),""))</f>
        <v/>
      </c>
      <c r="R384" s="8" t="str">
        <f>IF($A384="","",IFERROR(VLOOKUP(K384,DATA!$AH$9:$AI$13,2,0),""))</f>
        <v/>
      </c>
      <c r="S384" s="42" t="str">
        <f t="shared" si="110"/>
        <v/>
      </c>
      <c r="T384" s="8" t="str">
        <f>IF($A384="","",IF(COUNTIF($D$2:D384,D384)=1,1,0))</f>
        <v/>
      </c>
      <c r="U384" s="8" t="str">
        <f>IF($A384="","",IF(F384="-","Cabang tdk ada",IF(IFERROR(VLOOKUP(G384,#REF!,1,0),"")="","",IF(INDEX(DATA!$AH$2:$AH$5,MATCH(G384,DATA!$AI$2:$AI$5,0))&lt;&gt;F384,"Wilayah beda","OK"))))</f>
        <v/>
      </c>
      <c r="V384" s="8" t="str">
        <f>IF($A384="","",TRIM(INDEX(FORM!$I:$I,ROW())&amp;""))</f>
        <v/>
      </c>
      <c r="W384" s="8" t="str">
        <f>IF($A384="","",TRIM(INDEX(FORM!$L:$L,ROW())&amp;""))</f>
        <v/>
      </c>
      <c r="X384" s="8" t="str">
        <f>IF($A384="","",TRIM(INDEX(FORM!$M:$M,ROW())&amp;""))</f>
        <v/>
      </c>
      <c r="Y384" s="8" t="str">
        <f>IF($A384="","",IFERROR(MATCH(F384,DATA!$AH$2:$AH$5,0),9)*10000+A384)</f>
        <v/>
      </c>
      <c r="Z384" s="8" t="str">
        <f t="shared" si="111"/>
        <v/>
      </c>
      <c r="AA384" s="8" t="str">
        <f t="shared" si="112"/>
        <v/>
      </c>
      <c r="AB384" s="8" t="str">
        <f t="shared" si="113"/>
        <v/>
      </c>
      <c r="AC384" s="8"/>
      <c r="AD384" s="8"/>
      <c r="AE384" s="8"/>
      <c r="AK384" s="5" t="str">
        <f t="shared" si="114"/>
        <v/>
      </c>
      <c r="AL384" s="5" t="str">
        <f t="shared" si="115"/>
        <v/>
      </c>
      <c r="AM384" s="5" t="str">
        <f t="shared" si="116"/>
        <v/>
      </c>
      <c r="AN384" s="5" t="str">
        <f t="shared" si="117"/>
        <v/>
      </c>
      <c r="AO384" s="5" t="str">
        <f t="shared" si="118"/>
        <v/>
      </c>
      <c r="AP384" s="5" t="str">
        <f t="shared" si="119"/>
        <v/>
      </c>
      <c r="AQ384" s="5" t="str">
        <f t="shared" si="120"/>
        <v/>
      </c>
      <c r="AR384" s="5" t="str">
        <f t="shared" si="121"/>
        <v/>
      </c>
      <c r="AS384" s="5" t="str">
        <f t="shared" si="122"/>
        <v/>
      </c>
      <c r="AT384" s="5" t="str">
        <f t="shared" si="123"/>
        <v/>
      </c>
      <c r="AU384" s="5" t="str">
        <f t="shared" si="124"/>
        <v/>
      </c>
      <c r="AV384" s="5" t="str">
        <f t="shared" si="125"/>
        <v/>
      </c>
      <c r="AW384" s="5" t="str">
        <f t="shared" si="126"/>
        <v/>
      </c>
      <c r="AX384" s="5" t="str">
        <f t="shared" si="127"/>
        <v/>
      </c>
      <c r="AY384" s="5" t="str">
        <f t="shared" si="128"/>
        <v/>
      </c>
      <c r="AZ384" s="5" t="str">
        <f t="shared" si="129"/>
        <v/>
      </c>
      <c r="BA384" s="5" t="str">
        <f t="shared" si="130"/>
        <v/>
      </c>
      <c r="BB384" s="5" t="str">
        <f t="shared" si="131"/>
        <v/>
      </c>
    </row>
    <row r="385" spans="1:54" s="5" customFormat="1" hidden="1">
      <c r="A385" s="8" t="str">
        <f>IF(INDEX(FORM!$A:$A,ROW())="","",ROW()-1)</f>
        <v/>
      </c>
      <c r="B385" s="41" t="str">
        <f>IF($A385="","",INDEX(FORM!$A:$A,ROW()))</f>
        <v/>
      </c>
      <c r="C385" s="8" t="str">
        <f>IF($A385="","",TRIM(INDEX(FORM!$B:$B,ROW())))</f>
        <v/>
      </c>
      <c r="D385" s="8" t="str">
        <f>IF($A385="","",TRIM(INDEX(FORM!$C:$C,ROW())&amp;""))</f>
        <v/>
      </c>
      <c r="E385" s="8" t="str">
        <f>IF($A385="","",UPPER(TRIM(INDEX(FORM!$D:$D,ROW()))))</f>
        <v/>
      </c>
      <c r="F385" s="8" t="str">
        <f>IF($A385="","",IFERROR(INDEX(PROGRES!$A$2:$A$92,MATCH(E385,PROGRES!$B$2:$B$92,0)),"-"))</f>
        <v/>
      </c>
      <c r="G385" s="8" t="str">
        <f>IF($A385="","",UPPER(TRIM(INDEX(FORM!$F:$F,ROW()))))</f>
        <v/>
      </c>
      <c r="H385" s="8" t="str">
        <f>IF($A385="","",UPPER(TRIM(INDEX(FORM!$E:$E,ROW()))))</f>
        <v/>
      </c>
      <c r="I385" s="8" t="str">
        <f>IF($A385="","",UPPER(TRIM(INDEX(FORM!$G:$G,ROW()))))</f>
        <v/>
      </c>
      <c r="J385" s="8" t="str">
        <f>IF($A385="","",IF(ISNUMBER(SEARCH("Ya,",INDEX(FORM!$H:$H,ROW()))),"YA",IF(ISNUMBER(SEARCH("Cukup,",INDEX(FORM!$H:$H,ROW()))),"CUKUP",IF(ISNUMBER(SEARCH("Kurang,",INDEX(FORM!$H:$H,ROW()))),"KURANG",""))))</f>
        <v/>
      </c>
      <c r="K385" s="8" t="str">
        <f>IF($A385="","",UPPER(TRIM(INDEX(FORM!$J:$J,ROW()))))</f>
        <v/>
      </c>
      <c r="L385" s="8" t="str">
        <f>IF($A385="","",IF(ISNUMBER(SEARCH("Aktivitas Harian",INDEX(FORM!$K:$K,ROW()))),1,0))</f>
        <v/>
      </c>
      <c r="M385" s="8" t="str">
        <f>IF($A385="","",IF(ISNUMBER(SEARCH("Aktivitas Mingguan",INDEX(FORM!$K:$K,ROW()))),1,0))</f>
        <v/>
      </c>
      <c r="N385" s="8" t="str">
        <f>IF($A385="","",IF(ISNUMBER(SEARCH("Aktivitas Bulanan",INDEX(FORM!$K:$K,ROW()))),1,0))</f>
        <v/>
      </c>
      <c r="O385" s="8" t="str">
        <f>IF($A385="","",IF(ISNUMBER(SEARCH("Overview Cabang",INDEX(FORM!$K:$K,ROW()))),1,0))</f>
        <v/>
      </c>
      <c r="P385" s="8" t="str">
        <f>IF($A385="","",IFERROR(VLOOKUP(I385,DATA!$AH$9:$AI$13,2,0),""))</f>
        <v/>
      </c>
      <c r="Q385" s="8" t="str">
        <f>IF($A385="","",IFERROR(VLOOKUP(J385,DATA!$AH$9:$AI$13,2,0),""))</f>
        <v/>
      </c>
      <c r="R385" s="8" t="str">
        <f>IF($A385="","",IFERROR(VLOOKUP(K385,DATA!$AH$9:$AI$13,2,0),""))</f>
        <v/>
      </c>
      <c r="S385" s="42" t="str">
        <f t="shared" si="110"/>
        <v/>
      </c>
      <c r="T385" s="8" t="str">
        <f>IF($A385="","",IF(COUNTIF($D$2:D385,D385)=1,1,0))</f>
        <v/>
      </c>
      <c r="U385" s="8" t="str">
        <f>IF($A385="","",IF(F385="-","Cabang tdk ada",IF(IFERROR(VLOOKUP(G385,#REF!,1,0),"")="","",IF(INDEX(DATA!$AH$2:$AH$5,MATCH(G385,DATA!$AI$2:$AI$5,0))&lt;&gt;F385,"Wilayah beda","OK"))))</f>
        <v/>
      </c>
      <c r="V385" s="8" t="str">
        <f>IF($A385="","",TRIM(INDEX(FORM!$I:$I,ROW())&amp;""))</f>
        <v/>
      </c>
      <c r="W385" s="8" t="str">
        <f>IF($A385="","",TRIM(INDEX(FORM!$L:$L,ROW())&amp;""))</f>
        <v/>
      </c>
      <c r="X385" s="8" t="str">
        <f>IF($A385="","",TRIM(INDEX(FORM!$M:$M,ROW())&amp;""))</f>
        <v/>
      </c>
      <c r="Y385" s="8" t="str">
        <f>IF($A385="","",IFERROR(MATCH(F385,DATA!$AH$2:$AH$5,0),9)*10000+A385)</f>
        <v/>
      </c>
      <c r="Z385" s="8" t="str">
        <f t="shared" si="111"/>
        <v/>
      </c>
      <c r="AA385" s="8" t="str">
        <f t="shared" si="112"/>
        <v/>
      </c>
      <c r="AB385" s="8" t="str">
        <f t="shared" si="113"/>
        <v/>
      </c>
      <c r="AC385" s="8"/>
      <c r="AD385" s="8"/>
      <c r="AE385" s="8"/>
      <c r="AK385" s="5" t="str">
        <f t="shared" si="114"/>
        <v/>
      </c>
      <c r="AL385" s="5" t="str">
        <f t="shared" si="115"/>
        <v/>
      </c>
      <c r="AM385" s="5" t="str">
        <f t="shared" si="116"/>
        <v/>
      </c>
      <c r="AN385" s="5" t="str">
        <f t="shared" si="117"/>
        <v/>
      </c>
      <c r="AO385" s="5" t="str">
        <f t="shared" si="118"/>
        <v/>
      </c>
      <c r="AP385" s="5" t="str">
        <f t="shared" si="119"/>
        <v/>
      </c>
      <c r="AQ385" s="5" t="str">
        <f t="shared" si="120"/>
        <v/>
      </c>
      <c r="AR385" s="5" t="str">
        <f t="shared" si="121"/>
        <v/>
      </c>
      <c r="AS385" s="5" t="str">
        <f t="shared" si="122"/>
        <v/>
      </c>
      <c r="AT385" s="5" t="str">
        <f t="shared" si="123"/>
        <v/>
      </c>
      <c r="AU385" s="5" t="str">
        <f t="shared" si="124"/>
        <v/>
      </c>
      <c r="AV385" s="5" t="str">
        <f t="shared" si="125"/>
        <v/>
      </c>
      <c r="AW385" s="5" t="str">
        <f t="shared" si="126"/>
        <v/>
      </c>
      <c r="AX385" s="5" t="str">
        <f t="shared" si="127"/>
        <v/>
      </c>
      <c r="AY385" s="5" t="str">
        <f t="shared" si="128"/>
        <v/>
      </c>
      <c r="AZ385" s="5" t="str">
        <f t="shared" si="129"/>
        <v/>
      </c>
      <c r="BA385" s="5" t="str">
        <f t="shared" si="130"/>
        <v/>
      </c>
      <c r="BB385" s="5" t="str">
        <f t="shared" si="131"/>
        <v/>
      </c>
    </row>
    <row r="386" spans="1:54" s="5" customFormat="1" hidden="1">
      <c r="A386" s="8" t="str">
        <f>IF(INDEX(FORM!$A:$A,ROW())="","",ROW()-1)</f>
        <v/>
      </c>
      <c r="B386" s="41" t="str">
        <f>IF($A386="","",INDEX(FORM!$A:$A,ROW()))</f>
        <v/>
      </c>
      <c r="C386" s="8" t="str">
        <f>IF($A386="","",TRIM(INDEX(FORM!$B:$B,ROW())))</f>
        <v/>
      </c>
      <c r="D386" s="8" t="str">
        <f>IF($A386="","",TRIM(INDEX(FORM!$C:$C,ROW())&amp;""))</f>
        <v/>
      </c>
      <c r="E386" s="8" t="str">
        <f>IF($A386="","",UPPER(TRIM(INDEX(FORM!$D:$D,ROW()))))</f>
        <v/>
      </c>
      <c r="F386" s="8" t="str">
        <f>IF($A386="","",IFERROR(INDEX(PROGRES!$A$2:$A$92,MATCH(E386,PROGRES!$B$2:$B$92,0)),"-"))</f>
        <v/>
      </c>
      <c r="G386" s="8" t="str">
        <f>IF($A386="","",UPPER(TRIM(INDEX(FORM!$F:$F,ROW()))))</f>
        <v/>
      </c>
      <c r="H386" s="8" t="str">
        <f>IF($A386="","",UPPER(TRIM(INDEX(FORM!$E:$E,ROW()))))</f>
        <v/>
      </c>
      <c r="I386" s="8" t="str">
        <f>IF($A386="","",UPPER(TRIM(INDEX(FORM!$G:$G,ROW()))))</f>
        <v/>
      </c>
      <c r="J386" s="8" t="str">
        <f>IF($A386="","",IF(ISNUMBER(SEARCH("Ya,",INDEX(FORM!$H:$H,ROW()))),"YA",IF(ISNUMBER(SEARCH("Cukup,",INDEX(FORM!$H:$H,ROW()))),"CUKUP",IF(ISNUMBER(SEARCH("Kurang,",INDEX(FORM!$H:$H,ROW()))),"KURANG",""))))</f>
        <v/>
      </c>
      <c r="K386" s="8" t="str">
        <f>IF($A386="","",UPPER(TRIM(INDEX(FORM!$J:$J,ROW()))))</f>
        <v/>
      </c>
      <c r="L386" s="8" t="str">
        <f>IF($A386="","",IF(ISNUMBER(SEARCH("Aktivitas Harian",INDEX(FORM!$K:$K,ROW()))),1,0))</f>
        <v/>
      </c>
      <c r="M386" s="8" t="str">
        <f>IF($A386="","",IF(ISNUMBER(SEARCH("Aktivitas Mingguan",INDEX(FORM!$K:$K,ROW()))),1,0))</f>
        <v/>
      </c>
      <c r="N386" s="8" t="str">
        <f>IF($A386="","",IF(ISNUMBER(SEARCH("Aktivitas Bulanan",INDEX(FORM!$K:$K,ROW()))),1,0))</f>
        <v/>
      </c>
      <c r="O386" s="8" t="str">
        <f>IF($A386="","",IF(ISNUMBER(SEARCH("Overview Cabang",INDEX(FORM!$K:$K,ROW()))),1,0))</f>
        <v/>
      </c>
      <c r="P386" s="8" t="str">
        <f>IF($A386="","",IFERROR(VLOOKUP(I386,DATA!$AH$9:$AI$13,2,0),""))</f>
        <v/>
      </c>
      <c r="Q386" s="8" t="str">
        <f>IF($A386="","",IFERROR(VLOOKUP(J386,DATA!$AH$9:$AI$13,2,0),""))</f>
        <v/>
      </c>
      <c r="R386" s="8" t="str">
        <f>IF($A386="","",IFERROR(VLOOKUP(K386,DATA!$AH$9:$AI$13,2,0),""))</f>
        <v/>
      </c>
      <c r="S386" s="42" t="str">
        <f t="shared" ref="S386:S449" si="132">IF($A386="","",IFERROR(AVERAGE(P386:R386),""))</f>
        <v/>
      </c>
      <c r="T386" s="8" t="str">
        <f>IF($A386="","",IF(COUNTIF($D$2:D386,D386)=1,1,0))</f>
        <v/>
      </c>
      <c r="U386" s="8" t="str">
        <f>IF($A386="","",IF(F386="-","Cabang tdk ada",IF(IFERROR(VLOOKUP(G386,#REF!,1,0),"")="","",IF(INDEX(DATA!$AH$2:$AH$5,MATCH(G386,DATA!$AI$2:$AI$5,0))&lt;&gt;F386,"Wilayah beda","OK"))))</f>
        <v/>
      </c>
      <c r="V386" s="8" t="str">
        <f>IF($A386="","",TRIM(INDEX(FORM!$I:$I,ROW())&amp;""))</f>
        <v/>
      </c>
      <c r="W386" s="8" t="str">
        <f>IF($A386="","",TRIM(INDEX(FORM!$L:$L,ROW())&amp;""))</f>
        <v/>
      </c>
      <c r="X386" s="8" t="str">
        <f>IF($A386="","",TRIM(INDEX(FORM!$M:$M,ROW())&amp;""))</f>
        <v/>
      </c>
      <c r="Y386" s="8" t="str">
        <f>IF($A386="","",IFERROR(MATCH(F386,DATA!$AH$2:$AH$5,0),9)*10000+A386)</f>
        <v/>
      </c>
      <c r="Z386" s="8" t="str">
        <f t="shared" ref="Z386:Z449" si="133">IF($A386="","",IF(LEN(SUBSTITUTE(SUBSTITUTE(SUBSTITUTE(V386,"-",""),".",""),"?",""))&lt;2,"Tidak ada masukan / sudah baik",IF(OR(ISNUMBER(SEARCH("memang harus",V386&amp;" "))),"Tidak ada masukan / sudah baik",IF(OR(ISNUMBER(SEARCH("lemot",V386&amp;" ")),ISNUMBER(SEARCH("loading",V386&amp;" ")),ISNUMBER(SEARCH("lambat",V386&amp;" ")),ISNUMBER(SEARCH("kecepatan",V386&amp;" ")),ISNUMBER(SEARCH("koneksi",V386&amp;" ")),ISNUMBER(SEARCH("eroro",V386&amp;" ")),ISNUMBER(SEARCH("error",V386&amp;" ")),ISNUMBER(SEARCH("ketutup",V386&amp;" "))),"Kecepatan &amp; Loading Website",IF(OR(ISNUMBER(SEARCH("kontak",V386&amp;" ")),ISNUMBER(SEARCH("pic",V386&amp;" ")),ISNUMBER(SEARCH("darurat",V386&amp;" "))),"Kontak &amp; Informasi PIC",IF(OR(ISNUMBER(SEARCH("sacs",V386&amp;" ")),ISNUMBER(SEARCH("aplikasi",V386&amp;" ")),ISNUMBER(SEARCH("kinerja",V386&amp;" ")),ISNUMBER(SEARCH("seluruh cabang",V386&amp;" "))),"Integrasi dengan SACS / Aplikasi",IF(OR(ISNUMBER(SEARCH("mobile",V386&amp;" ")),ISNUMBER(SEARCH("lebih responsif",V386&amp;" ")),ISNUMBER(SEARCH("scroll",V386&amp;" ")),ISNUMBER(SEARCH("melebar",V386&amp;" "))),"Tampilan di HP (Responsif)",IF(OR(ISNUMBER(SEARCH("simpel",V386&amp;" ")),ISNUMBER(SEARCH("simple",V386&amp;" ")),ISNUMBER(SEARCH("sederhana",V386&amp;" ")),ISNUMBER(SEARCH("ringkas",V386&amp;" ")),ISNUMBER(SEARCH("intinya",V386&amp;" ")),ISNUMBER(SEARCH("panjang lebar",V386&amp;" ")),ISNUMBER(SEARCH("mudah dipahami lagi",V386&amp;" ")),ISNUMBER(SEARCH("tata letak",V386&amp;" ")),ISNUMBER(SEARCH("harus mencari",V386&amp;" "))),"Penyederhanaan &amp; Ringkas Isi",IF(OR(ISNUMBER(SEARCH("menu ",V386&amp;" ")),ISNUMBER(SEARCH("tiap posisi",V386&amp;" ")),ISNUMBER(SEARCH("pilihan antara",V386&amp;" "))),"Menu per Jabatan / Navigasi",IF(OR(ISNUMBER(SEARCH("video",V386&amp;" ")),ISNUMBER(SEARCH("vidio",V386&amp;" ")),ISNUMBER(SEARCH("bagan",V386&amp;" ")),ISNUMBER(SEARCH("gambar",V386&amp;" ")),ISNUMBER(SEARCH("qna",V386&amp;" "))),"Tambah Video / Bagan",IF(OR(ISNUMBER(SEARCH("menarik",V386&amp;" ")),ISNUMBER(SEARCH("design",V386&amp;" ")),ISNUMBER(SEARCH("desain",V386&amp;" ")),ISNUMBER(SEARCH("font",V386&amp;" ")),ISNUMBER(SEARCH("warna",V386&amp;" ")),ISNUMBER(SEARCH("soft",V386&amp;" ")),ISNUMBER(SEARCH("kaku",V386&amp;" ")),ISNUMBER(SEARCH("elegan",V386&amp;" ")),ISNUMBER(SEARCH("grafis",V386&amp;" ")),ISNUMBER(SEARCH("visual",V386&amp;" ")),ISNUMBER(SEARCH("logo",V386&amp;" ")),ISNUMBER(SEARCH("jenuh",V386&amp;" ")),ISNUMBER(SEARCH("abu",V386&amp;" ")),ISNUMBER(SEARCH("tampilannya",V386&amp;" ")),ISNUMBER(SEARCH("tampilan dibuat",V386&amp;" ")),ISNUMBER(SEARCH("tamoilan",V386&amp;" ")),ISNUMBER(SEARCH("lebih user friendly",V386&amp;" "))),"Desain, Warna &amp; Font",IF(OR(ISNUMBER(SEARCH("perbanyak",V386&amp;" ")),ISNUMBER(SEARCH("jabarkan",V386&amp;" ")),ISNUMBER(SEARCH("jobdesk",V386&amp;" ")),ISNUMBER(SEARCH("pengajuan",V386&amp;" ")),ISNUMBER(SEARCH("informasi",V386&amp;" "))),"Penambahan Isi / Penjelasan",IF(OR(ISNUMBER(SEARCH("tingkat",V386&amp;" ")),ISNUMBER(SEARCH("kembang",V386&amp;" ")),ISNUMBER(SEARCH("lebih baik lagi",V386&amp;" ")),ISNUMBER(SEARCH("maksimal",V386&amp;" ")),ISNUMBER(SEARCH("penikatan",V386&amp;" "))),"Saran Umum Peningkatan",IF(OR(ISNUMBER(SEARCH("tidak",V386&amp;" ")),ISNUMBER(SEARCH("tdk",V386&amp;" ")),ISNUMBER(SEARCH("sudah",V386&amp;" ")),ISNUMBER(SEARCH("sdh",V386&amp;" ")),ISNUMBER(SEARCH("cukup",V386&amp;" ")),ISNUMBER(SEARCH("baik",V386&amp;" ")),ISNUMBER(SEARCH("bagus",V386&amp;" ")),ISNUMBER(SEARCH("ok",V386&amp;" ")),ISNUMBER(SEARCH("good",V386&amp;" ")),ISNUMBER(SEARCH("aman",V386&amp;" ")),ISNUMBER(SEARCH("lanjut",V386&amp;" ")),ISNUMBER(SEARCH("mantap",V386&amp;" ")),ISNUMBER(SEARCH("josjis",V386&amp;" ")),ISNUMBER(SEARCH("lumayan",V386&amp;" ")),ISNUMBER(SEARCH("mudah",V386&amp;" ")),ISNUMBER(SEARCH("belum",V386&amp;" ")),ISNUMBER(SEARCH("membantu",V386&amp;" ")),ISNUMBER(SEARCH("comment",V386&amp;" ")),ISNUMBER(SEARCH("lengkap",V386&amp;" ")),ISNUMBER(SEARCH("tercakup",V386&amp;" ")),ISNUMBER(SEARCH("mencakup",V386&amp;" ")),ISNUMBER(SEARCH("semua",V386&amp;" ")),ISNUMBER(SEARCH("penting",V386&amp;" ")),ISNUMBER(SEARCH("terangkum",V386&amp;" ")),ISNUMBER(SEARCH("pas",V386&amp;" ")),ISNUMBER(SEARCH("berjalan",V386&amp;" ")),ISNUMBER(SEARCH("sesuai",V386&amp;" "))),"Tidak ada masukan / sudah baik","Lainnya (perlu dibaca manual)"))))))))))))))</f>
        <v/>
      </c>
      <c r="AA386" s="8" t="str">
        <f t="shared" ref="AA386:AA449" si="134">IF($A386="","",IF(LEN(SUBSTITUTE(SUBSTITUTE(SUBSTITUTE(W386,"-",""),".",""),"?",""))&lt;2,"Tidak ada masukan / sudah baik",IF(OR(ISNUMBER(SEARCH("tampilan",W386&amp;" ")),ISNUMBER(SEARCH("lemot",W386&amp;" "))),"Bukan Terkait SOP (Tampilan / Akses)",IF(OR(ISNUMBER(SEARCH("sanksi",W386&amp;" ")),ISNUMBER(SEARCH("pelanggaran",W386&amp;" ")),ISNUMBER(SEARCH("larangan",W386&amp;" ")),ISNUMBER(SEARCH("rekening pribadi",W386&amp;" "))),"Sanksi &amp; Pelanggaran SOP",IF(OR(ISNUMBER(SEARCH("npl",W386&amp;" ")),ISNUMBER(SEARCH("piutang",W386&amp;" ")),ISNUMBER(SEARCH("rekon",W386&amp;" ")),ISNUMBER(SEARCH("overdue",W386&amp;" ")),ISNUMBER(SEARCH("restruk",W386&amp;" ")),ISNUMBER(SEARCH("tempo",W386&amp;" "))),"Piutang &amp; Pelanggan Bermasalah",IF(OR(ISNUMBER(SEARCH("kiriman",W386&amp;" ")),ISNUMBER(SEARCH("pengiriman",W386&amp;" ")),ISNUMBER(SEARCH("retur",W386&amp;" ")),ISNUMBER(SEARCH("barang",W386&amp;" "))),"Pengiriman, Retur &amp; Logistik",IF(OR(ISNUMBER(SEARCH("contact",W386&amp;" ")),ISNUMBER(SEARCH("kontak",W386&amp;" ")),ISNUMBER(SEARCH("pic",W386&amp;" ")),ISNUMBER(SEARCH("berwenang",W386&amp;" ")),ISNUMBER(SEARCH("follow up",W386&amp;" ")),ISNUMBER(SEARCH("eskalasi",W386&amp;" "))),"Kontak PIC &amp; Eskalasi",IF(OR(ISNUMBER(SEARCH("laporan evaluasi",W386&amp;" ")),ISNUMBER(SEARCH("aplikasi cp",W386&amp;" ")),ISNUMBER(SEARCH("flowchart",W386&amp;" ")),ISNUMBER(SEARCH("acuan",W386&amp;" ")),ISNUMBER(SEARCH("poa",W386&amp;" ")),ISNUMBER(SEARCH("aktifitas",W386&amp;" ")),ISNUMBER(SEARCH("aktivitas",W386&amp;" "))),"Panduan Laporan &amp; Alur Kerja",IF(OR(ISNUMBER(SEARCH("notifikasi",W386&amp;" ")),ISNUMBER(SEARCH("pembaruan",W386&amp;" ")),ISNUMBER(SEARCH("perubahan",W386&amp;" ")),ISNUMBER(SEARCH("update",W386&amp;" "))),"Pembaruan &amp; Notifikasi SOP",IF(OR(ISNUMBER(SEARCH("tidak",W386&amp;" ")),ISNUMBER(SEARCH("tdk",W386&amp;" ")),ISNUMBER(SEARCH("sudah",W386&amp;" ")),ISNUMBER(SEARCH("sdh",W386&amp;" ")),ISNUMBER(SEARCH("cukup",W386&amp;" ")),ISNUMBER(SEARCH("baik",W386&amp;" ")),ISNUMBER(SEARCH("bagus",W386&amp;" ")),ISNUMBER(SEARCH("ok",W386&amp;" ")),ISNUMBER(SEARCH("good",W386&amp;" ")),ISNUMBER(SEARCH("aman",W386&amp;" ")),ISNUMBER(SEARCH("lanjut",W386&amp;" ")),ISNUMBER(SEARCH("mantap",W386&amp;" ")),ISNUMBER(SEARCH("josjis",W386&amp;" ")),ISNUMBER(SEARCH("lumayan",W386&amp;" ")),ISNUMBER(SEARCH("mudah",W386&amp;" ")),ISNUMBER(SEARCH("belum",W386&amp;" ")),ISNUMBER(SEARCH("membantu",W386&amp;" ")),ISNUMBER(SEARCH("comment",W386&amp;" ")),ISNUMBER(SEARCH("lengkap",W386&amp;" ")),ISNUMBER(SEARCH("tercakup",W386&amp;" ")),ISNUMBER(SEARCH("mencakup",W386&amp;" ")),ISNUMBER(SEARCH("semua",W386&amp;" ")),ISNUMBER(SEARCH("penting",W386&amp;" ")),ISNUMBER(SEARCH("terangkum",W386&amp;" ")),ISNUMBER(SEARCH("pas",W386&amp;" ")),ISNUMBER(SEARCH("berjalan",W386&amp;" ")),ISNUMBER(SEARCH("sesuai",W386&amp;" "))),"Tidak ada masukan / sudah baik","Lainnya (perlu dibaca manual)"))))))))))</f>
        <v/>
      </c>
      <c r="AB386" s="8" t="str">
        <f t="shared" ref="AB386:AB449" si="135">IF($A386="","",IF(LEN(SUBSTITUTE(SUBSTITUTE(SUBSTITUTE(X386,"-",""),".",""),"?",""))&lt;2,"Tidak ada masukan / sudah baik",IF(OR(ISNUMBER(SEARCH("urgent",X386&amp;" "))),"Lainnya (perlu dibaca manual)",IF(OR(ISNUMBER(SEARCH("struktur organisasi",X386&amp;" ")),ISNUMBER(SEARCH("pic",X386&amp;" ")),ISNUMBER(SEARCH("cp",X386&amp;" ")),ISNUMBER(SEARCH("personil",X386&amp;" ")),ISNUMBER(SEARCH("sales",X386&amp;" ")),ISNUMBER(SEARCH("muka",X386&amp;" ")),ISNUMBER(SEARCH("eskalasi",X386&amp;" "))),"Struktur Organisasi, PIC &amp; Tim",IF(OR(ISNUMBER(SEARCH("lemot",X386&amp;" ")),ISNUMBER(SEARCH("lambat",X386&amp;" ")),ISNUMBER(SEARCH("memuat",X386&amp;" ")),ISNUMBER(SEARCH("koneksi",X386&amp;" "))),"Kecepatan Akses Website",IF(OR(ISNUMBER(SEARCH("sacs",X386&amp;" ")),ISNUMBER(SEARCH("aplikasi",X386&amp;" "))),"Integrasi ke SACS / Aplikasi Kerja",IF(OR(ISNUMBER(SEARCH("dashboard",X386&amp;" ")),ISNUMBER(SEARCH("kpi",X386&amp;" ")),ISNUMBER(SEARCH("database",X386&amp;" ")),ISNUMBER(SEARCH("kinerja",X386&amp;" ")),ISNUMBER(SEARCH("seluruh cabang",X386&amp;" "))),"Fitur Baru (Dashboard / KPI / Database)",IF(OR(ISNUMBER(SEARCH("video",X386&amp;" ")),ISNUMBER(SEARCH("gambar",X386&amp;" ")),ISNUMBER(SEARCH("jpg",X386&amp;" ")),ISNUMBER(SEARCH("flowchart",X386&amp;" ")),ISNUMBER(SEARCH("tutorial",X386&amp;" "))),"Tambah Video / Gambar / Flowchart",IF(OR(ISNUMBER(SEARCH("template",X386&amp;" ")),ISNUMBER(SEARCH("surat",X386&amp;" ")),ISNUMBER(SEARCH("korin",X386&amp;" ")),ISNUMBER(SEARCH("overdue",X386&amp;" ")),ISNUMBER(SEARCH("restruk",X386&amp;" ")),ISNUMBER(SEARCH("tempo",X386&amp;" ")),ISNUMBER(SEARCH("larangan",X386&amp;" ")),ISNUMBER(SEARCH("posisi lain",X386&amp;" ")),ISNUMBER(SEARCH("jobdesk",X386&amp;" ")),ISNUMBER(SEARCH("jobdisk",X386&amp;" ")),ISNUMBER(SEARCH("langkah",X386&amp;" ")),ISNUMBER(SEARCH("detail",X386&amp;" ")),ISNUMBER(SEARCH("panduan",X386&amp;" ")),ISNUMBER(SEARCH("lengkap lagi",X386&amp;" ")),ISNUMBER(SEARCH("tips",X386&amp;" "))),"Penambahan Materi &amp; Template",IF(OR(ISNUMBER(SEARCH("simpel",X386&amp;" ")),ISNUMBER(SEARCH("simple",X386&amp;" ")),ISNUMBER(SEARCH("ringkas",X386&amp;" ")),ISNUMBER(SEARCH("monoton",X386&amp;" ")),ISNUMBER(SEARCH("penataan",X386&amp;" "))),"Penyederhanaan Isi",IF(OR(ISNUMBER(SEARCH("menarik",X386&amp;" ")),ISNUMBER(SEARCH("design",X386&amp;" ")),ISNUMBER(SEARCH("desain",X386&amp;" ")),ISNUMBER(SEARCH("tampilan",X386&amp;" ")),ISNUMBER(SEARCH("kaku",X386&amp;" ")),ISNUMBER(SEARCH("user friendly",X386&amp;" "))),"Desain Tampilan",IF(OR(ISNUMBER(SEARCH("update",X386&amp;" ")),ISNUMBER(SEARCH("terbaru",X386&amp;" ")),ISNUMBER(SEARCH("terkini",X386&amp;" ")),ISNUMBER(SEARCH("uptodate",X386&amp;" "))),"Update Informasi Berkala",IF(OR(ISNUMBER(SEARCH("tingkat",X386&amp;" ")),ISNUMBER(SEARCH("kembang",X386&amp;" ")),ISNUMBER(SEARCH("inovasi",X386&amp;" ")),ISNUMBER(SEARCH("maintenance",X386&amp;" "))),"Saran Umum Peningkatan",IF(OR(ISNUMBER(SEARCH("tidak",X386&amp;" ")),ISNUMBER(SEARCH("tdk",X386&amp;" ")),ISNUMBER(SEARCH("sudah",X386&amp;" ")),ISNUMBER(SEARCH("sdh",X386&amp;" ")),ISNUMBER(SEARCH("cukup",X386&amp;" ")),ISNUMBER(SEARCH("baik",X386&amp;" ")),ISNUMBER(SEARCH("bagus",X386&amp;" ")),ISNUMBER(SEARCH("ok",X386&amp;" ")),ISNUMBER(SEARCH("good",X386&amp;" ")),ISNUMBER(SEARCH("aman",X386&amp;" ")),ISNUMBER(SEARCH("lanjut",X386&amp;" ")),ISNUMBER(SEARCH("mantap",X386&amp;" ")),ISNUMBER(SEARCH("josjis",X386&amp;" ")),ISNUMBER(SEARCH("lumayan",X386&amp;" ")),ISNUMBER(SEARCH("mudah",X386&amp;" ")),ISNUMBER(SEARCH("belum",X386&amp;" ")),ISNUMBER(SEARCH("membantu",X386&amp;" ")),ISNUMBER(SEARCH("comment",X386&amp;" ")),ISNUMBER(SEARCH("lengkap",X386&amp;" ")),ISNUMBER(SEARCH("tercakup",X386&amp;" ")),ISNUMBER(SEARCH("mencakup",X386&amp;" ")),ISNUMBER(SEARCH("semua",X386&amp;" ")),ISNUMBER(SEARCH("penting",X386&amp;" ")),ISNUMBER(SEARCH("terangkum",X386&amp;" ")),ISNUMBER(SEARCH("pas",X386&amp;" ")),ISNUMBER(SEARCH("berjalan",X386&amp;" ")),ISNUMBER(SEARCH("sesuai",X386&amp;" "))),"Tidak ada masukan / sudah baik","Lainnya (perlu dibaca manual)"))))))))))))))</f>
        <v/>
      </c>
      <c r="AC386" s="8"/>
      <c r="AD386" s="8"/>
      <c r="AE386" s="8"/>
      <c r="AK386" s="5" t="str">
        <f t="shared" ref="AK386:AK449" si="136">IF($A386="","",IF(OR($Z386="Kecepatan &amp; Loading Website",$AB386="Kecepatan Akses Website",AND($AA386="Bukan Terkait SOP (Tampilan / Akses)",OR(ISNUMBER(SEARCH("lemot",$W386)),ISNUMBER(SEARCH("loading",$W386)),ISNUMBER(SEARCH("lambat",$W386))))),1,0))</f>
        <v/>
      </c>
      <c r="AL386" s="5" t="str">
        <f t="shared" ref="AL386:AL449" si="137">IF($A386="","",IF(OR($Z386="Tampilan di HP (Responsif)"),1,0))</f>
        <v/>
      </c>
      <c r="AM386" s="5" t="str">
        <f t="shared" ref="AM386:AM449" si="138">IF($A386="","",IF(OR($Z386="Desain, Warna &amp; Font",$AB386="Desain Tampilan",AND($AA386="Bukan Terkait SOP (Tampilan / Akses)",NOT(OR(ISNUMBER(SEARCH("lemot",$W386)),ISNUMBER(SEARCH("loading",$W386)),ISNUMBER(SEARCH("lambat",$W386)))))),1,0))</f>
        <v/>
      </c>
      <c r="AN386" s="5" t="str">
        <f t="shared" ref="AN386:AN449" si="139">IF($A386="","",IF(OR($Z386="Menu per Jabatan / Navigasi"),1,0))</f>
        <v/>
      </c>
      <c r="AO386" s="5" t="str">
        <f t="shared" ref="AO386:AO449" si="140">IF($A386="","",IF(OR($Z386="Integrasi dengan SACS / Aplikasi",$AB386="Integrasi ke SACS / Aplikasi Kerja"),1,0))</f>
        <v/>
      </c>
      <c r="AP386" s="5" t="str">
        <f t="shared" ref="AP386:AP449" si="141">IF($A386="","",IF(OR($AB386="Fitur Baru (Dashboard / KPI / Database)"),1,0))</f>
        <v/>
      </c>
      <c r="AQ386" s="5" t="str">
        <f t="shared" ref="AQ386:AQ449" si="142">IF($A386="","",IF(OR($Z386="Penyederhanaan &amp; Ringkas Isi",$AB386="Penyederhanaan Isi"),1,0))</f>
        <v/>
      </c>
      <c r="AR386" s="5" t="str">
        <f t="shared" ref="AR386:AR449" si="143">IF($A386="","",IF(OR($Z386="Penambahan Isi / Penjelasan",$AB386="Penambahan Materi &amp; Template"),1,0))</f>
        <v/>
      </c>
      <c r="AS386" s="5" t="str">
        <f t="shared" ref="AS386:AS449" si="144">IF($A386="","",IF(OR($Z386="Tambah Video / Bagan",$AB386="Tambah Video / Gambar / Flowchart"),1,0))</f>
        <v/>
      </c>
      <c r="AT386" s="5" t="str">
        <f t="shared" ref="AT386:AT449" si="145">IF($A386="","",IF(OR($Z386="Kontak &amp; Informasi PIC",$AA386="Kontak PIC &amp; Eskalasi",$AB386="Struktur Organisasi, PIC &amp; Tim"),1,0))</f>
        <v/>
      </c>
      <c r="AU386" s="5" t="str">
        <f t="shared" ref="AU386:AU449" si="146">IF($A386="","",IF(OR($AA386="Pembaruan &amp; Notifikasi SOP",$AB386="Update Informasi Berkala"),1,0))</f>
        <v/>
      </c>
      <c r="AV386" s="5" t="str">
        <f t="shared" ref="AV386:AV449" si="147">IF($A386="","",IF(OR($AA386="Sanksi &amp; Pelanggaran SOP"),1,0))</f>
        <v/>
      </c>
      <c r="AW386" s="5" t="str">
        <f t="shared" ref="AW386:AW449" si="148">IF($A386="","",IF(OR($AA386="Piutang &amp; Pelanggan Bermasalah"),1,0))</f>
        <v/>
      </c>
      <c r="AX386" s="5" t="str">
        <f t="shared" ref="AX386:AX449" si="149">IF($A386="","",IF(OR($AA386="Pengiriman, Retur &amp; Logistik"),1,0))</f>
        <v/>
      </c>
      <c r="AY386" s="5" t="str">
        <f t="shared" ref="AY386:AY449" si="150">IF($A386="","",IF(OR($AA386="Panduan Laporan &amp; Alur Kerja"),1,0))</f>
        <v/>
      </c>
      <c r="AZ386" s="5" t="str">
        <f t="shared" ref="AZ386:AZ449" si="151">IF($A386="","",IF(OR($Z386="Saran Umum Peningkatan",$AB386="Saran Umum Peningkatan"),1,0))</f>
        <v/>
      </c>
      <c r="BA386" s="5" t="str">
        <f t="shared" ref="BA386:BA449" si="152">IF($A386="","",IF(OR($Z386="Lainnya (perlu dibaca manual)",$AA386="Lainnya (perlu dibaca manual)",$AB386="Lainnya (perlu dibaca manual)"),1,0))</f>
        <v/>
      </c>
      <c r="BB386" s="5" t="str">
        <f t="shared" ref="BB386:BB449" si="153">IF($A386="","",IF(AND($Z386="Tidak ada masukan / sudah baik",$AA386="Tidak ada masukan / sudah baik",$AB386="Tidak ada masukan / sudah baik"),0,1))</f>
        <v/>
      </c>
    </row>
    <row r="387" spans="1:54" s="5" customFormat="1" hidden="1">
      <c r="A387" s="8" t="str">
        <f>IF(INDEX(FORM!$A:$A,ROW())="","",ROW()-1)</f>
        <v/>
      </c>
      <c r="B387" s="41" t="str">
        <f>IF($A387="","",INDEX(FORM!$A:$A,ROW()))</f>
        <v/>
      </c>
      <c r="C387" s="8" t="str">
        <f>IF($A387="","",TRIM(INDEX(FORM!$B:$B,ROW())))</f>
        <v/>
      </c>
      <c r="D387" s="8" t="str">
        <f>IF($A387="","",TRIM(INDEX(FORM!$C:$C,ROW())&amp;""))</f>
        <v/>
      </c>
      <c r="E387" s="8" t="str">
        <f>IF($A387="","",UPPER(TRIM(INDEX(FORM!$D:$D,ROW()))))</f>
        <v/>
      </c>
      <c r="F387" s="8" t="str">
        <f>IF($A387="","",IFERROR(INDEX(PROGRES!$A$2:$A$92,MATCH(E387,PROGRES!$B$2:$B$92,0)),"-"))</f>
        <v/>
      </c>
      <c r="G387" s="8" t="str">
        <f>IF($A387="","",UPPER(TRIM(INDEX(FORM!$F:$F,ROW()))))</f>
        <v/>
      </c>
      <c r="H387" s="8" t="str">
        <f>IF($A387="","",UPPER(TRIM(INDEX(FORM!$E:$E,ROW()))))</f>
        <v/>
      </c>
      <c r="I387" s="8" t="str">
        <f>IF($A387="","",UPPER(TRIM(INDEX(FORM!$G:$G,ROW()))))</f>
        <v/>
      </c>
      <c r="J387" s="8" t="str">
        <f>IF($A387="","",IF(ISNUMBER(SEARCH("Ya,",INDEX(FORM!$H:$H,ROW()))),"YA",IF(ISNUMBER(SEARCH("Cukup,",INDEX(FORM!$H:$H,ROW()))),"CUKUP",IF(ISNUMBER(SEARCH("Kurang,",INDEX(FORM!$H:$H,ROW()))),"KURANG",""))))</f>
        <v/>
      </c>
      <c r="K387" s="8" t="str">
        <f>IF($A387="","",UPPER(TRIM(INDEX(FORM!$J:$J,ROW()))))</f>
        <v/>
      </c>
      <c r="L387" s="8" t="str">
        <f>IF($A387="","",IF(ISNUMBER(SEARCH("Aktivitas Harian",INDEX(FORM!$K:$K,ROW()))),1,0))</f>
        <v/>
      </c>
      <c r="M387" s="8" t="str">
        <f>IF($A387="","",IF(ISNUMBER(SEARCH("Aktivitas Mingguan",INDEX(FORM!$K:$K,ROW()))),1,0))</f>
        <v/>
      </c>
      <c r="N387" s="8" t="str">
        <f>IF($A387="","",IF(ISNUMBER(SEARCH("Aktivitas Bulanan",INDEX(FORM!$K:$K,ROW()))),1,0))</f>
        <v/>
      </c>
      <c r="O387" s="8" t="str">
        <f>IF($A387="","",IF(ISNUMBER(SEARCH("Overview Cabang",INDEX(FORM!$K:$K,ROW()))),1,0))</f>
        <v/>
      </c>
      <c r="P387" s="8" t="str">
        <f>IF($A387="","",IFERROR(VLOOKUP(I387,DATA!$AH$9:$AI$13,2,0),""))</f>
        <v/>
      </c>
      <c r="Q387" s="8" t="str">
        <f>IF($A387="","",IFERROR(VLOOKUP(J387,DATA!$AH$9:$AI$13,2,0),""))</f>
        <v/>
      </c>
      <c r="R387" s="8" t="str">
        <f>IF($A387="","",IFERROR(VLOOKUP(K387,DATA!$AH$9:$AI$13,2,0),""))</f>
        <v/>
      </c>
      <c r="S387" s="42" t="str">
        <f t="shared" si="132"/>
        <v/>
      </c>
      <c r="T387" s="8" t="str">
        <f>IF($A387="","",IF(COUNTIF($D$2:D387,D387)=1,1,0))</f>
        <v/>
      </c>
      <c r="U387" s="8" t="str">
        <f>IF($A387="","",IF(F387="-","Cabang tdk ada",IF(IFERROR(VLOOKUP(G387,#REF!,1,0),"")="","",IF(INDEX(DATA!$AH$2:$AH$5,MATCH(G387,DATA!$AI$2:$AI$5,0))&lt;&gt;F387,"Wilayah beda","OK"))))</f>
        <v/>
      </c>
      <c r="V387" s="8" t="str">
        <f>IF($A387="","",TRIM(INDEX(FORM!$I:$I,ROW())&amp;""))</f>
        <v/>
      </c>
      <c r="W387" s="8" t="str">
        <f>IF($A387="","",TRIM(INDEX(FORM!$L:$L,ROW())&amp;""))</f>
        <v/>
      </c>
      <c r="X387" s="8" t="str">
        <f>IF($A387="","",TRIM(INDEX(FORM!$M:$M,ROW())&amp;""))</f>
        <v/>
      </c>
      <c r="Y387" s="8" t="str">
        <f>IF($A387="","",IFERROR(MATCH(F387,DATA!$AH$2:$AH$5,0),9)*10000+A387)</f>
        <v/>
      </c>
      <c r="Z387" s="8" t="str">
        <f t="shared" si="133"/>
        <v/>
      </c>
      <c r="AA387" s="8" t="str">
        <f t="shared" si="134"/>
        <v/>
      </c>
      <c r="AB387" s="8" t="str">
        <f t="shared" si="135"/>
        <v/>
      </c>
      <c r="AC387" s="8"/>
      <c r="AD387" s="8"/>
      <c r="AE387" s="8"/>
      <c r="AK387" s="5" t="str">
        <f t="shared" si="136"/>
        <v/>
      </c>
      <c r="AL387" s="5" t="str">
        <f t="shared" si="137"/>
        <v/>
      </c>
      <c r="AM387" s="5" t="str">
        <f t="shared" si="138"/>
        <v/>
      </c>
      <c r="AN387" s="5" t="str">
        <f t="shared" si="139"/>
        <v/>
      </c>
      <c r="AO387" s="5" t="str">
        <f t="shared" si="140"/>
        <v/>
      </c>
      <c r="AP387" s="5" t="str">
        <f t="shared" si="141"/>
        <v/>
      </c>
      <c r="AQ387" s="5" t="str">
        <f t="shared" si="142"/>
        <v/>
      </c>
      <c r="AR387" s="5" t="str">
        <f t="shared" si="143"/>
        <v/>
      </c>
      <c r="AS387" s="5" t="str">
        <f t="shared" si="144"/>
        <v/>
      </c>
      <c r="AT387" s="5" t="str">
        <f t="shared" si="145"/>
        <v/>
      </c>
      <c r="AU387" s="5" t="str">
        <f t="shared" si="146"/>
        <v/>
      </c>
      <c r="AV387" s="5" t="str">
        <f t="shared" si="147"/>
        <v/>
      </c>
      <c r="AW387" s="5" t="str">
        <f t="shared" si="148"/>
        <v/>
      </c>
      <c r="AX387" s="5" t="str">
        <f t="shared" si="149"/>
        <v/>
      </c>
      <c r="AY387" s="5" t="str">
        <f t="shared" si="150"/>
        <v/>
      </c>
      <c r="AZ387" s="5" t="str">
        <f t="shared" si="151"/>
        <v/>
      </c>
      <c r="BA387" s="5" t="str">
        <f t="shared" si="152"/>
        <v/>
      </c>
      <c r="BB387" s="5" t="str">
        <f t="shared" si="153"/>
        <v/>
      </c>
    </row>
    <row r="388" spans="1:54" s="5" customFormat="1" hidden="1">
      <c r="A388" s="8" t="str">
        <f>IF(INDEX(FORM!$A:$A,ROW())="","",ROW()-1)</f>
        <v/>
      </c>
      <c r="B388" s="41" t="str">
        <f>IF($A388="","",INDEX(FORM!$A:$A,ROW()))</f>
        <v/>
      </c>
      <c r="C388" s="8" t="str">
        <f>IF($A388="","",TRIM(INDEX(FORM!$B:$B,ROW())))</f>
        <v/>
      </c>
      <c r="D388" s="8" t="str">
        <f>IF($A388="","",TRIM(INDEX(FORM!$C:$C,ROW())&amp;""))</f>
        <v/>
      </c>
      <c r="E388" s="8" t="str">
        <f>IF($A388="","",UPPER(TRIM(INDEX(FORM!$D:$D,ROW()))))</f>
        <v/>
      </c>
      <c r="F388" s="8" t="str">
        <f>IF($A388="","",IFERROR(INDEX(PROGRES!$A$2:$A$92,MATCH(E388,PROGRES!$B$2:$B$92,0)),"-"))</f>
        <v/>
      </c>
      <c r="G388" s="8" t="str">
        <f>IF($A388="","",UPPER(TRIM(INDEX(FORM!$F:$F,ROW()))))</f>
        <v/>
      </c>
      <c r="H388" s="8" t="str">
        <f>IF($A388="","",UPPER(TRIM(INDEX(FORM!$E:$E,ROW()))))</f>
        <v/>
      </c>
      <c r="I388" s="8" t="str">
        <f>IF($A388="","",UPPER(TRIM(INDEX(FORM!$G:$G,ROW()))))</f>
        <v/>
      </c>
      <c r="J388" s="8" t="str">
        <f>IF($A388="","",IF(ISNUMBER(SEARCH("Ya,",INDEX(FORM!$H:$H,ROW()))),"YA",IF(ISNUMBER(SEARCH("Cukup,",INDEX(FORM!$H:$H,ROW()))),"CUKUP",IF(ISNUMBER(SEARCH("Kurang,",INDEX(FORM!$H:$H,ROW()))),"KURANG",""))))</f>
        <v/>
      </c>
      <c r="K388" s="8" t="str">
        <f>IF($A388="","",UPPER(TRIM(INDEX(FORM!$J:$J,ROW()))))</f>
        <v/>
      </c>
      <c r="L388" s="8" t="str">
        <f>IF($A388="","",IF(ISNUMBER(SEARCH("Aktivitas Harian",INDEX(FORM!$K:$K,ROW()))),1,0))</f>
        <v/>
      </c>
      <c r="M388" s="8" t="str">
        <f>IF($A388="","",IF(ISNUMBER(SEARCH("Aktivitas Mingguan",INDEX(FORM!$K:$K,ROW()))),1,0))</f>
        <v/>
      </c>
      <c r="N388" s="8" t="str">
        <f>IF($A388="","",IF(ISNUMBER(SEARCH("Aktivitas Bulanan",INDEX(FORM!$K:$K,ROW()))),1,0))</f>
        <v/>
      </c>
      <c r="O388" s="8" t="str">
        <f>IF($A388="","",IF(ISNUMBER(SEARCH("Overview Cabang",INDEX(FORM!$K:$K,ROW()))),1,0))</f>
        <v/>
      </c>
      <c r="P388" s="8" t="str">
        <f>IF($A388="","",IFERROR(VLOOKUP(I388,DATA!$AH$9:$AI$13,2,0),""))</f>
        <v/>
      </c>
      <c r="Q388" s="8" t="str">
        <f>IF($A388="","",IFERROR(VLOOKUP(J388,DATA!$AH$9:$AI$13,2,0),""))</f>
        <v/>
      </c>
      <c r="R388" s="8" t="str">
        <f>IF($A388="","",IFERROR(VLOOKUP(K388,DATA!$AH$9:$AI$13,2,0),""))</f>
        <v/>
      </c>
      <c r="S388" s="42" t="str">
        <f t="shared" si="132"/>
        <v/>
      </c>
      <c r="T388" s="8" t="str">
        <f>IF($A388="","",IF(COUNTIF($D$2:D388,D388)=1,1,0))</f>
        <v/>
      </c>
      <c r="U388" s="8" t="str">
        <f>IF($A388="","",IF(F388="-","Cabang tdk ada",IF(IFERROR(VLOOKUP(G388,#REF!,1,0),"")="","",IF(INDEX(DATA!$AH$2:$AH$5,MATCH(G388,DATA!$AI$2:$AI$5,0))&lt;&gt;F388,"Wilayah beda","OK"))))</f>
        <v/>
      </c>
      <c r="V388" s="8" t="str">
        <f>IF($A388="","",TRIM(INDEX(FORM!$I:$I,ROW())&amp;""))</f>
        <v/>
      </c>
      <c r="W388" s="8" t="str">
        <f>IF($A388="","",TRIM(INDEX(FORM!$L:$L,ROW())&amp;""))</f>
        <v/>
      </c>
      <c r="X388" s="8" t="str">
        <f>IF($A388="","",TRIM(INDEX(FORM!$M:$M,ROW())&amp;""))</f>
        <v/>
      </c>
      <c r="Y388" s="8" t="str">
        <f>IF($A388="","",IFERROR(MATCH(F388,DATA!$AH$2:$AH$5,0),9)*10000+A388)</f>
        <v/>
      </c>
      <c r="Z388" s="8" t="str">
        <f t="shared" si="133"/>
        <v/>
      </c>
      <c r="AA388" s="8" t="str">
        <f t="shared" si="134"/>
        <v/>
      </c>
      <c r="AB388" s="8" t="str">
        <f t="shared" si="135"/>
        <v/>
      </c>
      <c r="AC388" s="8"/>
      <c r="AD388" s="8"/>
      <c r="AE388" s="8"/>
      <c r="AK388" s="5" t="str">
        <f t="shared" si="136"/>
        <v/>
      </c>
      <c r="AL388" s="5" t="str">
        <f t="shared" si="137"/>
        <v/>
      </c>
      <c r="AM388" s="5" t="str">
        <f t="shared" si="138"/>
        <v/>
      </c>
      <c r="AN388" s="5" t="str">
        <f t="shared" si="139"/>
        <v/>
      </c>
      <c r="AO388" s="5" t="str">
        <f t="shared" si="140"/>
        <v/>
      </c>
      <c r="AP388" s="5" t="str">
        <f t="shared" si="141"/>
        <v/>
      </c>
      <c r="AQ388" s="5" t="str">
        <f t="shared" si="142"/>
        <v/>
      </c>
      <c r="AR388" s="5" t="str">
        <f t="shared" si="143"/>
        <v/>
      </c>
      <c r="AS388" s="5" t="str">
        <f t="shared" si="144"/>
        <v/>
      </c>
      <c r="AT388" s="5" t="str">
        <f t="shared" si="145"/>
        <v/>
      </c>
      <c r="AU388" s="5" t="str">
        <f t="shared" si="146"/>
        <v/>
      </c>
      <c r="AV388" s="5" t="str">
        <f t="shared" si="147"/>
        <v/>
      </c>
      <c r="AW388" s="5" t="str">
        <f t="shared" si="148"/>
        <v/>
      </c>
      <c r="AX388" s="5" t="str">
        <f t="shared" si="149"/>
        <v/>
      </c>
      <c r="AY388" s="5" t="str">
        <f t="shared" si="150"/>
        <v/>
      </c>
      <c r="AZ388" s="5" t="str">
        <f t="shared" si="151"/>
        <v/>
      </c>
      <c r="BA388" s="5" t="str">
        <f t="shared" si="152"/>
        <v/>
      </c>
      <c r="BB388" s="5" t="str">
        <f t="shared" si="153"/>
        <v/>
      </c>
    </row>
    <row r="389" spans="1:54" s="5" customFormat="1" hidden="1">
      <c r="A389" s="8" t="str">
        <f>IF(INDEX(FORM!$A:$A,ROW())="","",ROW()-1)</f>
        <v/>
      </c>
      <c r="B389" s="41" t="str">
        <f>IF($A389="","",INDEX(FORM!$A:$A,ROW()))</f>
        <v/>
      </c>
      <c r="C389" s="8" t="str">
        <f>IF($A389="","",TRIM(INDEX(FORM!$B:$B,ROW())))</f>
        <v/>
      </c>
      <c r="D389" s="8" t="str">
        <f>IF($A389="","",TRIM(INDEX(FORM!$C:$C,ROW())&amp;""))</f>
        <v/>
      </c>
      <c r="E389" s="8" t="str">
        <f>IF($A389="","",UPPER(TRIM(INDEX(FORM!$D:$D,ROW()))))</f>
        <v/>
      </c>
      <c r="F389" s="8" t="str">
        <f>IF($A389="","",IFERROR(INDEX(PROGRES!$A$2:$A$92,MATCH(E389,PROGRES!$B$2:$B$92,0)),"-"))</f>
        <v/>
      </c>
      <c r="G389" s="8" t="str">
        <f>IF($A389="","",UPPER(TRIM(INDEX(FORM!$F:$F,ROW()))))</f>
        <v/>
      </c>
      <c r="H389" s="8" t="str">
        <f>IF($A389="","",UPPER(TRIM(INDEX(FORM!$E:$E,ROW()))))</f>
        <v/>
      </c>
      <c r="I389" s="8" t="str">
        <f>IF($A389="","",UPPER(TRIM(INDEX(FORM!$G:$G,ROW()))))</f>
        <v/>
      </c>
      <c r="J389" s="8" t="str">
        <f>IF($A389="","",IF(ISNUMBER(SEARCH("Ya,",INDEX(FORM!$H:$H,ROW()))),"YA",IF(ISNUMBER(SEARCH("Cukup,",INDEX(FORM!$H:$H,ROW()))),"CUKUP",IF(ISNUMBER(SEARCH("Kurang,",INDEX(FORM!$H:$H,ROW()))),"KURANG",""))))</f>
        <v/>
      </c>
      <c r="K389" s="8" t="str">
        <f>IF($A389="","",UPPER(TRIM(INDEX(FORM!$J:$J,ROW()))))</f>
        <v/>
      </c>
      <c r="L389" s="8" t="str">
        <f>IF($A389="","",IF(ISNUMBER(SEARCH("Aktivitas Harian",INDEX(FORM!$K:$K,ROW()))),1,0))</f>
        <v/>
      </c>
      <c r="M389" s="8" t="str">
        <f>IF($A389="","",IF(ISNUMBER(SEARCH("Aktivitas Mingguan",INDEX(FORM!$K:$K,ROW()))),1,0))</f>
        <v/>
      </c>
      <c r="N389" s="8" t="str">
        <f>IF($A389="","",IF(ISNUMBER(SEARCH("Aktivitas Bulanan",INDEX(FORM!$K:$K,ROW()))),1,0))</f>
        <v/>
      </c>
      <c r="O389" s="8" t="str">
        <f>IF($A389="","",IF(ISNUMBER(SEARCH("Overview Cabang",INDEX(FORM!$K:$K,ROW()))),1,0))</f>
        <v/>
      </c>
      <c r="P389" s="8" t="str">
        <f>IF($A389="","",IFERROR(VLOOKUP(I389,DATA!$AH$9:$AI$13,2,0),""))</f>
        <v/>
      </c>
      <c r="Q389" s="8" t="str">
        <f>IF($A389="","",IFERROR(VLOOKUP(J389,DATA!$AH$9:$AI$13,2,0),""))</f>
        <v/>
      </c>
      <c r="R389" s="8" t="str">
        <f>IF($A389="","",IFERROR(VLOOKUP(K389,DATA!$AH$9:$AI$13,2,0),""))</f>
        <v/>
      </c>
      <c r="S389" s="42" t="str">
        <f t="shared" si="132"/>
        <v/>
      </c>
      <c r="T389" s="8" t="str">
        <f>IF($A389="","",IF(COUNTIF($D$2:D389,D389)=1,1,0))</f>
        <v/>
      </c>
      <c r="U389" s="8" t="str">
        <f>IF($A389="","",IF(F389="-","Cabang tdk ada",IF(IFERROR(VLOOKUP(G389,#REF!,1,0),"")="","",IF(INDEX(DATA!$AH$2:$AH$5,MATCH(G389,DATA!$AI$2:$AI$5,0))&lt;&gt;F389,"Wilayah beda","OK"))))</f>
        <v/>
      </c>
      <c r="V389" s="8" t="str">
        <f>IF($A389="","",TRIM(INDEX(FORM!$I:$I,ROW())&amp;""))</f>
        <v/>
      </c>
      <c r="W389" s="8" t="str">
        <f>IF($A389="","",TRIM(INDEX(FORM!$L:$L,ROW())&amp;""))</f>
        <v/>
      </c>
      <c r="X389" s="8" t="str">
        <f>IF($A389="","",TRIM(INDEX(FORM!$M:$M,ROW())&amp;""))</f>
        <v/>
      </c>
      <c r="Y389" s="8" t="str">
        <f>IF($A389="","",IFERROR(MATCH(F389,DATA!$AH$2:$AH$5,0),9)*10000+A389)</f>
        <v/>
      </c>
      <c r="Z389" s="8" t="str">
        <f t="shared" si="133"/>
        <v/>
      </c>
      <c r="AA389" s="8" t="str">
        <f t="shared" si="134"/>
        <v/>
      </c>
      <c r="AB389" s="8" t="str">
        <f t="shared" si="135"/>
        <v/>
      </c>
      <c r="AC389" s="8"/>
      <c r="AD389" s="8"/>
      <c r="AE389" s="8"/>
      <c r="AK389" s="5" t="str">
        <f t="shared" si="136"/>
        <v/>
      </c>
      <c r="AL389" s="5" t="str">
        <f t="shared" si="137"/>
        <v/>
      </c>
      <c r="AM389" s="5" t="str">
        <f t="shared" si="138"/>
        <v/>
      </c>
      <c r="AN389" s="5" t="str">
        <f t="shared" si="139"/>
        <v/>
      </c>
      <c r="AO389" s="5" t="str">
        <f t="shared" si="140"/>
        <v/>
      </c>
      <c r="AP389" s="5" t="str">
        <f t="shared" si="141"/>
        <v/>
      </c>
      <c r="AQ389" s="5" t="str">
        <f t="shared" si="142"/>
        <v/>
      </c>
      <c r="AR389" s="5" t="str">
        <f t="shared" si="143"/>
        <v/>
      </c>
      <c r="AS389" s="5" t="str">
        <f t="shared" si="144"/>
        <v/>
      </c>
      <c r="AT389" s="5" t="str">
        <f t="shared" si="145"/>
        <v/>
      </c>
      <c r="AU389" s="5" t="str">
        <f t="shared" si="146"/>
        <v/>
      </c>
      <c r="AV389" s="5" t="str">
        <f t="shared" si="147"/>
        <v/>
      </c>
      <c r="AW389" s="5" t="str">
        <f t="shared" si="148"/>
        <v/>
      </c>
      <c r="AX389" s="5" t="str">
        <f t="shared" si="149"/>
        <v/>
      </c>
      <c r="AY389" s="5" t="str">
        <f t="shared" si="150"/>
        <v/>
      </c>
      <c r="AZ389" s="5" t="str">
        <f t="shared" si="151"/>
        <v/>
      </c>
      <c r="BA389" s="5" t="str">
        <f t="shared" si="152"/>
        <v/>
      </c>
      <c r="BB389" s="5" t="str">
        <f t="shared" si="153"/>
        <v/>
      </c>
    </row>
    <row r="390" spans="1:54" s="5" customFormat="1" hidden="1">
      <c r="A390" s="8" t="str">
        <f>IF(INDEX(FORM!$A:$A,ROW())="","",ROW()-1)</f>
        <v/>
      </c>
      <c r="B390" s="41" t="str">
        <f>IF($A390="","",INDEX(FORM!$A:$A,ROW()))</f>
        <v/>
      </c>
      <c r="C390" s="8" t="str">
        <f>IF($A390="","",TRIM(INDEX(FORM!$B:$B,ROW())))</f>
        <v/>
      </c>
      <c r="D390" s="8" t="str">
        <f>IF($A390="","",TRIM(INDEX(FORM!$C:$C,ROW())&amp;""))</f>
        <v/>
      </c>
      <c r="E390" s="8" t="str">
        <f>IF($A390="","",UPPER(TRIM(INDEX(FORM!$D:$D,ROW()))))</f>
        <v/>
      </c>
      <c r="F390" s="8" t="str">
        <f>IF($A390="","",IFERROR(INDEX(PROGRES!$A$2:$A$92,MATCH(E390,PROGRES!$B$2:$B$92,0)),"-"))</f>
        <v/>
      </c>
      <c r="G390" s="8" t="str">
        <f>IF($A390="","",UPPER(TRIM(INDEX(FORM!$F:$F,ROW()))))</f>
        <v/>
      </c>
      <c r="H390" s="8" t="str">
        <f>IF($A390="","",UPPER(TRIM(INDEX(FORM!$E:$E,ROW()))))</f>
        <v/>
      </c>
      <c r="I390" s="8" t="str">
        <f>IF($A390="","",UPPER(TRIM(INDEX(FORM!$G:$G,ROW()))))</f>
        <v/>
      </c>
      <c r="J390" s="8" t="str">
        <f>IF($A390="","",IF(ISNUMBER(SEARCH("Ya,",INDEX(FORM!$H:$H,ROW()))),"YA",IF(ISNUMBER(SEARCH("Cukup,",INDEX(FORM!$H:$H,ROW()))),"CUKUP",IF(ISNUMBER(SEARCH("Kurang,",INDEX(FORM!$H:$H,ROW()))),"KURANG",""))))</f>
        <v/>
      </c>
      <c r="K390" s="8" t="str">
        <f>IF($A390="","",UPPER(TRIM(INDEX(FORM!$J:$J,ROW()))))</f>
        <v/>
      </c>
      <c r="L390" s="8" t="str">
        <f>IF($A390="","",IF(ISNUMBER(SEARCH("Aktivitas Harian",INDEX(FORM!$K:$K,ROW()))),1,0))</f>
        <v/>
      </c>
      <c r="M390" s="8" t="str">
        <f>IF($A390="","",IF(ISNUMBER(SEARCH("Aktivitas Mingguan",INDEX(FORM!$K:$K,ROW()))),1,0))</f>
        <v/>
      </c>
      <c r="N390" s="8" t="str">
        <f>IF($A390="","",IF(ISNUMBER(SEARCH("Aktivitas Bulanan",INDEX(FORM!$K:$K,ROW()))),1,0))</f>
        <v/>
      </c>
      <c r="O390" s="8" t="str">
        <f>IF($A390="","",IF(ISNUMBER(SEARCH("Overview Cabang",INDEX(FORM!$K:$K,ROW()))),1,0))</f>
        <v/>
      </c>
      <c r="P390" s="8" t="str">
        <f>IF($A390="","",IFERROR(VLOOKUP(I390,DATA!$AH$9:$AI$13,2,0),""))</f>
        <v/>
      </c>
      <c r="Q390" s="8" t="str">
        <f>IF($A390="","",IFERROR(VLOOKUP(J390,DATA!$AH$9:$AI$13,2,0),""))</f>
        <v/>
      </c>
      <c r="R390" s="8" t="str">
        <f>IF($A390="","",IFERROR(VLOOKUP(K390,DATA!$AH$9:$AI$13,2,0),""))</f>
        <v/>
      </c>
      <c r="S390" s="42" t="str">
        <f t="shared" si="132"/>
        <v/>
      </c>
      <c r="T390" s="8" t="str">
        <f>IF($A390="","",IF(COUNTIF($D$2:D390,D390)=1,1,0))</f>
        <v/>
      </c>
      <c r="U390" s="8" t="str">
        <f>IF($A390="","",IF(F390="-","Cabang tdk ada",IF(IFERROR(VLOOKUP(G390,#REF!,1,0),"")="","",IF(INDEX(DATA!$AH$2:$AH$5,MATCH(G390,DATA!$AI$2:$AI$5,0))&lt;&gt;F390,"Wilayah beda","OK"))))</f>
        <v/>
      </c>
      <c r="V390" s="8" t="str">
        <f>IF($A390="","",TRIM(INDEX(FORM!$I:$I,ROW())&amp;""))</f>
        <v/>
      </c>
      <c r="W390" s="8" t="str">
        <f>IF($A390="","",TRIM(INDEX(FORM!$L:$L,ROW())&amp;""))</f>
        <v/>
      </c>
      <c r="X390" s="8" t="str">
        <f>IF($A390="","",TRIM(INDEX(FORM!$M:$M,ROW())&amp;""))</f>
        <v/>
      </c>
      <c r="Y390" s="8" t="str">
        <f>IF($A390="","",IFERROR(MATCH(F390,DATA!$AH$2:$AH$5,0),9)*10000+A390)</f>
        <v/>
      </c>
      <c r="Z390" s="8" t="str">
        <f t="shared" si="133"/>
        <v/>
      </c>
      <c r="AA390" s="8" t="str">
        <f t="shared" si="134"/>
        <v/>
      </c>
      <c r="AB390" s="8" t="str">
        <f t="shared" si="135"/>
        <v/>
      </c>
      <c r="AC390" s="8"/>
      <c r="AD390" s="8"/>
      <c r="AE390" s="8"/>
      <c r="AK390" s="5" t="str">
        <f t="shared" si="136"/>
        <v/>
      </c>
      <c r="AL390" s="5" t="str">
        <f t="shared" si="137"/>
        <v/>
      </c>
      <c r="AM390" s="5" t="str">
        <f t="shared" si="138"/>
        <v/>
      </c>
      <c r="AN390" s="5" t="str">
        <f t="shared" si="139"/>
        <v/>
      </c>
      <c r="AO390" s="5" t="str">
        <f t="shared" si="140"/>
        <v/>
      </c>
      <c r="AP390" s="5" t="str">
        <f t="shared" si="141"/>
        <v/>
      </c>
      <c r="AQ390" s="5" t="str">
        <f t="shared" si="142"/>
        <v/>
      </c>
      <c r="AR390" s="5" t="str">
        <f t="shared" si="143"/>
        <v/>
      </c>
      <c r="AS390" s="5" t="str">
        <f t="shared" si="144"/>
        <v/>
      </c>
      <c r="AT390" s="5" t="str">
        <f t="shared" si="145"/>
        <v/>
      </c>
      <c r="AU390" s="5" t="str">
        <f t="shared" si="146"/>
        <v/>
      </c>
      <c r="AV390" s="5" t="str">
        <f t="shared" si="147"/>
        <v/>
      </c>
      <c r="AW390" s="5" t="str">
        <f t="shared" si="148"/>
        <v/>
      </c>
      <c r="AX390" s="5" t="str">
        <f t="shared" si="149"/>
        <v/>
      </c>
      <c r="AY390" s="5" t="str">
        <f t="shared" si="150"/>
        <v/>
      </c>
      <c r="AZ390" s="5" t="str">
        <f t="shared" si="151"/>
        <v/>
      </c>
      <c r="BA390" s="5" t="str">
        <f t="shared" si="152"/>
        <v/>
      </c>
      <c r="BB390" s="5" t="str">
        <f t="shared" si="153"/>
        <v/>
      </c>
    </row>
    <row r="391" spans="1:54" s="5" customFormat="1" hidden="1">
      <c r="A391" s="8" t="str">
        <f>IF(INDEX(FORM!$A:$A,ROW())="","",ROW()-1)</f>
        <v/>
      </c>
      <c r="B391" s="41" t="str">
        <f>IF($A391="","",INDEX(FORM!$A:$A,ROW()))</f>
        <v/>
      </c>
      <c r="C391" s="8" t="str">
        <f>IF($A391="","",TRIM(INDEX(FORM!$B:$B,ROW())))</f>
        <v/>
      </c>
      <c r="D391" s="8" t="str">
        <f>IF($A391="","",TRIM(INDEX(FORM!$C:$C,ROW())&amp;""))</f>
        <v/>
      </c>
      <c r="E391" s="8" t="str">
        <f>IF($A391="","",UPPER(TRIM(INDEX(FORM!$D:$D,ROW()))))</f>
        <v/>
      </c>
      <c r="F391" s="8" t="str">
        <f>IF($A391="","",IFERROR(INDEX(PROGRES!$A$2:$A$92,MATCH(E391,PROGRES!$B$2:$B$92,0)),"-"))</f>
        <v/>
      </c>
      <c r="G391" s="8" t="str">
        <f>IF($A391="","",UPPER(TRIM(INDEX(FORM!$F:$F,ROW()))))</f>
        <v/>
      </c>
      <c r="H391" s="8" t="str">
        <f>IF($A391="","",UPPER(TRIM(INDEX(FORM!$E:$E,ROW()))))</f>
        <v/>
      </c>
      <c r="I391" s="8" t="str">
        <f>IF($A391="","",UPPER(TRIM(INDEX(FORM!$G:$G,ROW()))))</f>
        <v/>
      </c>
      <c r="J391" s="8" t="str">
        <f>IF($A391="","",IF(ISNUMBER(SEARCH("Ya,",INDEX(FORM!$H:$H,ROW()))),"YA",IF(ISNUMBER(SEARCH("Cukup,",INDEX(FORM!$H:$H,ROW()))),"CUKUP",IF(ISNUMBER(SEARCH("Kurang,",INDEX(FORM!$H:$H,ROW()))),"KURANG",""))))</f>
        <v/>
      </c>
      <c r="K391" s="8" t="str">
        <f>IF($A391="","",UPPER(TRIM(INDEX(FORM!$J:$J,ROW()))))</f>
        <v/>
      </c>
      <c r="L391" s="8" t="str">
        <f>IF($A391="","",IF(ISNUMBER(SEARCH("Aktivitas Harian",INDEX(FORM!$K:$K,ROW()))),1,0))</f>
        <v/>
      </c>
      <c r="M391" s="8" t="str">
        <f>IF($A391="","",IF(ISNUMBER(SEARCH("Aktivitas Mingguan",INDEX(FORM!$K:$K,ROW()))),1,0))</f>
        <v/>
      </c>
      <c r="N391" s="8" t="str">
        <f>IF($A391="","",IF(ISNUMBER(SEARCH("Aktivitas Bulanan",INDEX(FORM!$K:$K,ROW()))),1,0))</f>
        <v/>
      </c>
      <c r="O391" s="8" t="str">
        <f>IF($A391="","",IF(ISNUMBER(SEARCH("Overview Cabang",INDEX(FORM!$K:$K,ROW()))),1,0))</f>
        <v/>
      </c>
      <c r="P391" s="8" t="str">
        <f>IF($A391="","",IFERROR(VLOOKUP(I391,DATA!$AH$9:$AI$13,2,0),""))</f>
        <v/>
      </c>
      <c r="Q391" s="8" t="str">
        <f>IF($A391="","",IFERROR(VLOOKUP(J391,DATA!$AH$9:$AI$13,2,0),""))</f>
        <v/>
      </c>
      <c r="R391" s="8" t="str">
        <f>IF($A391="","",IFERROR(VLOOKUP(K391,DATA!$AH$9:$AI$13,2,0),""))</f>
        <v/>
      </c>
      <c r="S391" s="42" t="str">
        <f t="shared" si="132"/>
        <v/>
      </c>
      <c r="T391" s="8" t="str">
        <f>IF($A391="","",IF(COUNTIF($D$2:D391,D391)=1,1,0))</f>
        <v/>
      </c>
      <c r="U391" s="8" t="str">
        <f>IF($A391="","",IF(F391="-","Cabang tdk ada",IF(IFERROR(VLOOKUP(G391,#REF!,1,0),"")="","",IF(INDEX(DATA!$AH$2:$AH$5,MATCH(G391,DATA!$AI$2:$AI$5,0))&lt;&gt;F391,"Wilayah beda","OK"))))</f>
        <v/>
      </c>
      <c r="V391" s="8" t="str">
        <f>IF($A391="","",TRIM(INDEX(FORM!$I:$I,ROW())&amp;""))</f>
        <v/>
      </c>
      <c r="W391" s="8" t="str">
        <f>IF($A391="","",TRIM(INDEX(FORM!$L:$L,ROW())&amp;""))</f>
        <v/>
      </c>
      <c r="X391" s="8" t="str">
        <f>IF($A391="","",TRIM(INDEX(FORM!$M:$M,ROW())&amp;""))</f>
        <v/>
      </c>
      <c r="Y391" s="8" t="str">
        <f>IF($A391="","",IFERROR(MATCH(F391,DATA!$AH$2:$AH$5,0),9)*10000+A391)</f>
        <v/>
      </c>
      <c r="Z391" s="8" t="str">
        <f t="shared" si="133"/>
        <v/>
      </c>
      <c r="AA391" s="8" t="str">
        <f t="shared" si="134"/>
        <v/>
      </c>
      <c r="AB391" s="8" t="str">
        <f t="shared" si="135"/>
        <v/>
      </c>
      <c r="AC391" s="8"/>
      <c r="AD391" s="8"/>
      <c r="AE391" s="8"/>
      <c r="AK391" s="5" t="str">
        <f t="shared" si="136"/>
        <v/>
      </c>
      <c r="AL391" s="5" t="str">
        <f t="shared" si="137"/>
        <v/>
      </c>
      <c r="AM391" s="5" t="str">
        <f t="shared" si="138"/>
        <v/>
      </c>
      <c r="AN391" s="5" t="str">
        <f t="shared" si="139"/>
        <v/>
      </c>
      <c r="AO391" s="5" t="str">
        <f t="shared" si="140"/>
        <v/>
      </c>
      <c r="AP391" s="5" t="str">
        <f t="shared" si="141"/>
        <v/>
      </c>
      <c r="AQ391" s="5" t="str">
        <f t="shared" si="142"/>
        <v/>
      </c>
      <c r="AR391" s="5" t="str">
        <f t="shared" si="143"/>
        <v/>
      </c>
      <c r="AS391" s="5" t="str">
        <f t="shared" si="144"/>
        <v/>
      </c>
      <c r="AT391" s="5" t="str">
        <f t="shared" si="145"/>
        <v/>
      </c>
      <c r="AU391" s="5" t="str">
        <f t="shared" si="146"/>
        <v/>
      </c>
      <c r="AV391" s="5" t="str">
        <f t="shared" si="147"/>
        <v/>
      </c>
      <c r="AW391" s="5" t="str">
        <f t="shared" si="148"/>
        <v/>
      </c>
      <c r="AX391" s="5" t="str">
        <f t="shared" si="149"/>
        <v/>
      </c>
      <c r="AY391" s="5" t="str">
        <f t="shared" si="150"/>
        <v/>
      </c>
      <c r="AZ391" s="5" t="str">
        <f t="shared" si="151"/>
        <v/>
      </c>
      <c r="BA391" s="5" t="str">
        <f t="shared" si="152"/>
        <v/>
      </c>
      <c r="BB391" s="5" t="str">
        <f t="shared" si="153"/>
        <v/>
      </c>
    </row>
    <row r="392" spans="1:54" s="5" customFormat="1" hidden="1">
      <c r="A392" s="8" t="str">
        <f>IF(INDEX(FORM!$A:$A,ROW())="","",ROW()-1)</f>
        <v/>
      </c>
      <c r="B392" s="41" t="str">
        <f>IF($A392="","",INDEX(FORM!$A:$A,ROW()))</f>
        <v/>
      </c>
      <c r="C392" s="8" t="str">
        <f>IF($A392="","",TRIM(INDEX(FORM!$B:$B,ROW())))</f>
        <v/>
      </c>
      <c r="D392" s="8" t="str">
        <f>IF($A392="","",TRIM(INDEX(FORM!$C:$C,ROW())&amp;""))</f>
        <v/>
      </c>
      <c r="E392" s="8" t="str">
        <f>IF($A392="","",UPPER(TRIM(INDEX(FORM!$D:$D,ROW()))))</f>
        <v/>
      </c>
      <c r="F392" s="8" t="str">
        <f>IF($A392="","",IFERROR(INDEX(PROGRES!$A$2:$A$92,MATCH(E392,PROGRES!$B$2:$B$92,0)),"-"))</f>
        <v/>
      </c>
      <c r="G392" s="8" t="str">
        <f>IF($A392="","",UPPER(TRIM(INDEX(FORM!$F:$F,ROW()))))</f>
        <v/>
      </c>
      <c r="H392" s="8" t="str">
        <f>IF($A392="","",UPPER(TRIM(INDEX(FORM!$E:$E,ROW()))))</f>
        <v/>
      </c>
      <c r="I392" s="8" t="str">
        <f>IF($A392="","",UPPER(TRIM(INDEX(FORM!$G:$G,ROW()))))</f>
        <v/>
      </c>
      <c r="J392" s="8" t="str">
        <f>IF($A392="","",IF(ISNUMBER(SEARCH("Ya,",INDEX(FORM!$H:$H,ROW()))),"YA",IF(ISNUMBER(SEARCH("Cukup,",INDEX(FORM!$H:$H,ROW()))),"CUKUP",IF(ISNUMBER(SEARCH("Kurang,",INDEX(FORM!$H:$H,ROW()))),"KURANG",""))))</f>
        <v/>
      </c>
      <c r="K392" s="8" t="str">
        <f>IF($A392="","",UPPER(TRIM(INDEX(FORM!$J:$J,ROW()))))</f>
        <v/>
      </c>
      <c r="L392" s="8" t="str">
        <f>IF($A392="","",IF(ISNUMBER(SEARCH("Aktivitas Harian",INDEX(FORM!$K:$K,ROW()))),1,0))</f>
        <v/>
      </c>
      <c r="M392" s="8" t="str">
        <f>IF($A392="","",IF(ISNUMBER(SEARCH("Aktivitas Mingguan",INDEX(FORM!$K:$K,ROW()))),1,0))</f>
        <v/>
      </c>
      <c r="N392" s="8" t="str">
        <f>IF($A392="","",IF(ISNUMBER(SEARCH("Aktivitas Bulanan",INDEX(FORM!$K:$K,ROW()))),1,0))</f>
        <v/>
      </c>
      <c r="O392" s="8" t="str">
        <f>IF($A392="","",IF(ISNUMBER(SEARCH("Overview Cabang",INDEX(FORM!$K:$K,ROW()))),1,0))</f>
        <v/>
      </c>
      <c r="P392" s="8" t="str">
        <f>IF($A392="","",IFERROR(VLOOKUP(I392,DATA!$AH$9:$AI$13,2,0),""))</f>
        <v/>
      </c>
      <c r="Q392" s="8" t="str">
        <f>IF($A392="","",IFERROR(VLOOKUP(J392,DATA!$AH$9:$AI$13,2,0),""))</f>
        <v/>
      </c>
      <c r="R392" s="8" t="str">
        <f>IF($A392="","",IFERROR(VLOOKUP(K392,DATA!$AH$9:$AI$13,2,0),""))</f>
        <v/>
      </c>
      <c r="S392" s="42" t="str">
        <f t="shared" si="132"/>
        <v/>
      </c>
      <c r="T392" s="8" t="str">
        <f>IF($A392="","",IF(COUNTIF($D$2:D392,D392)=1,1,0))</f>
        <v/>
      </c>
      <c r="U392" s="8" t="str">
        <f>IF($A392="","",IF(F392="-","Cabang tdk ada",IF(IFERROR(VLOOKUP(G392,#REF!,1,0),"")="","",IF(INDEX(DATA!$AH$2:$AH$5,MATCH(G392,DATA!$AI$2:$AI$5,0))&lt;&gt;F392,"Wilayah beda","OK"))))</f>
        <v/>
      </c>
      <c r="V392" s="8" t="str">
        <f>IF($A392="","",TRIM(INDEX(FORM!$I:$I,ROW())&amp;""))</f>
        <v/>
      </c>
      <c r="W392" s="8" t="str">
        <f>IF($A392="","",TRIM(INDEX(FORM!$L:$L,ROW())&amp;""))</f>
        <v/>
      </c>
      <c r="X392" s="8" t="str">
        <f>IF($A392="","",TRIM(INDEX(FORM!$M:$M,ROW())&amp;""))</f>
        <v/>
      </c>
      <c r="Y392" s="8" t="str">
        <f>IF($A392="","",IFERROR(MATCH(F392,DATA!$AH$2:$AH$5,0),9)*10000+A392)</f>
        <v/>
      </c>
      <c r="Z392" s="8" t="str">
        <f t="shared" si="133"/>
        <v/>
      </c>
      <c r="AA392" s="8" t="str">
        <f t="shared" si="134"/>
        <v/>
      </c>
      <c r="AB392" s="8" t="str">
        <f t="shared" si="135"/>
        <v/>
      </c>
      <c r="AC392" s="8"/>
      <c r="AD392" s="8"/>
      <c r="AE392" s="8"/>
      <c r="AK392" s="5" t="str">
        <f t="shared" si="136"/>
        <v/>
      </c>
      <c r="AL392" s="5" t="str">
        <f t="shared" si="137"/>
        <v/>
      </c>
      <c r="AM392" s="5" t="str">
        <f t="shared" si="138"/>
        <v/>
      </c>
      <c r="AN392" s="5" t="str">
        <f t="shared" si="139"/>
        <v/>
      </c>
      <c r="AO392" s="5" t="str">
        <f t="shared" si="140"/>
        <v/>
      </c>
      <c r="AP392" s="5" t="str">
        <f t="shared" si="141"/>
        <v/>
      </c>
      <c r="AQ392" s="5" t="str">
        <f t="shared" si="142"/>
        <v/>
      </c>
      <c r="AR392" s="5" t="str">
        <f t="shared" si="143"/>
        <v/>
      </c>
      <c r="AS392" s="5" t="str">
        <f t="shared" si="144"/>
        <v/>
      </c>
      <c r="AT392" s="5" t="str">
        <f t="shared" si="145"/>
        <v/>
      </c>
      <c r="AU392" s="5" t="str">
        <f t="shared" si="146"/>
        <v/>
      </c>
      <c r="AV392" s="5" t="str">
        <f t="shared" si="147"/>
        <v/>
      </c>
      <c r="AW392" s="5" t="str">
        <f t="shared" si="148"/>
        <v/>
      </c>
      <c r="AX392" s="5" t="str">
        <f t="shared" si="149"/>
        <v/>
      </c>
      <c r="AY392" s="5" t="str">
        <f t="shared" si="150"/>
        <v/>
      </c>
      <c r="AZ392" s="5" t="str">
        <f t="shared" si="151"/>
        <v/>
      </c>
      <c r="BA392" s="5" t="str">
        <f t="shared" si="152"/>
        <v/>
      </c>
      <c r="BB392" s="5" t="str">
        <f t="shared" si="153"/>
        <v/>
      </c>
    </row>
    <row r="393" spans="1:54" s="5" customFormat="1" hidden="1">
      <c r="A393" s="8" t="str">
        <f>IF(INDEX(FORM!$A:$A,ROW())="","",ROW()-1)</f>
        <v/>
      </c>
      <c r="B393" s="41" t="str">
        <f>IF($A393="","",INDEX(FORM!$A:$A,ROW()))</f>
        <v/>
      </c>
      <c r="C393" s="8" t="str">
        <f>IF($A393="","",TRIM(INDEX(FORM!$B:$B,ROW())))</f>
        <v/>
      </c>
      <c r="D393" s="8" t="str">
        <f>IF($A393="","",TRIM(INDEX(FORM!$C:$C,ROW())&amp;""))</f>
        <v/>
      </c>
      <c r="E393" s="8" t="str">
        <f>IF($A393="","",UPPER(TRIM(INDEX(FORM!$D:$D,ROW()))))</f>
        <v/>
      </c>
      <c r="F393" s="8" t="str">
        <f>IF($A393="","",IFERROR(INDEX(PROGRES!$A$2:$A$92,MATCH(E393,PROGRES!$B$2:$B$92,0)),"-"))</f>
        <v/>
      </c>
      <c r="G393" s="8" t="str">
        <f>IF($A393="","",UPPER(TRIM(INDEX(FORM!$F:$F,ROW()))))</f>
        <v/>
      </c>
      <c r="H393" s="8" t="str">
        <f>IF($A393="","",UPPER(TRIM(INDEX(FORM!$E:$E,ROW()))))</f>
        <v/>
      </c>
      <c r="I393" s="8" t="str">
        <f>IF($A393="","",UPPER(TRIM(INDEX(FORM!$G:$G,ROW()))))</f>
        <v/>
      </c>
      <c r="J393" s="8" t="str">
        <f>IF($A393="","",IF(ISNUMBER(SEARCH("Ya,",INDEX(FORM!$H:$H,ROW()))),"YA",IF(ISNUMBER(SEARCH("Cukup,",INDEX(FORM!$H:$H,ROW()))),"CUKUP",IF(ISNUMBER(SEARCH("Kurang,",INDEX(FORM!$H:$H,ROW()))),"KURANG",""))))</f>
        <v/>
      </c>
      <c r="K393" s="8" t="str">
        <f>IF($A393="","",UPPER(TRIM(INDEX(FORM!$J:$J,ROW()))))</f>
        <v/>
      </c>
      <c r="L393" s="8" t="str">
        <f>IF($A393="","",IF(ISNUMBER(SEARCH("Aktivitas Harian",INDEX(FORM!$K:$K,ROW()))),1,0))</f>
        <v/>
      </c>
      <c r="M393" s="8" t="str">
        <f>IF($A393="","",IF(ISNUMBER(SEARCH("Aktivitas Mingguan",INDEX(FORM!$K:$K,ROW()))),1,0))</f>
        <v/>
      </c>
      <c r="N393" s="8" t="str">
        <f>IF($A393="","",IF(ISNUMBER(SEARCH("Aktivitas Bulanan",INDEX(FORM!$K:$K,ROW()))),1,0))</f>
        <v/>
      </c>
      <c r="O393" s="8" t="str">
        <f>IF($A393="","",IF(ISNUMBER(SEARCH("Overview Cabang",INDEX(FORM!$K:$K,ROW()))),1,0))</f>
        <v/>
      </c>
      <c r="P393" s="8" t="str">
        <f>IF($A393="","",IFERROR(VLOOKUP(I393,DATA!$AH$9:$AI$13,2,0),""))</f>
        <v/>
      </c>
      <c r="Q393" s="8" t="str">
        <f>IF($A393="","",IFERROR(VLOOKUP(J393,DATA!$AH$9:$AI$13,2,0),""))</f>
        <v/>
      </c>
      <c r="R393" s="8" t="str">
        <f>IF($A393="","",IFERROR(VLOOKUP(K393,DATA!$AH$9:$AI$13,2,0),""))</f>
        <v/>
      </c>
      <c r="S393" s="42" t="str">
        <f t="shared" si="132"/>
        <v/>
      </c>
      <c r="T393" s="8" t="str">
        <f>IF($A393="","",IF(COUNTIF($D$2:D393,D393)=1,1,0))</f>
        <v/>
      </c>
      <c r="U393" s="8" t="str">
        <f>IF($A393="","",IF(F393="-","Cabang tdk ada",IF(IFERROR(VLOOKUP(G393,#REF!,1,0),"")="","",IF(INDEX(DATA!$AH$2:$AH$5,MATCH(G393,DATA!$AI$2:$AI$5,0))&lt;&gt;F393,"Wilayah beda","OK"))))</f>
        <v/>
      </c>
      <c r="V393" s="8" t="str">
        <f>IF($A393="","",TRIM(INDEX(FORM!$I:$I,ROW())&amp;""))</f>
        <v/>
      </c>
      <c r="W393" s="8" t="str">
        <f>IF($A393="","",TRIM(INDEX(FORM!$L:$L,ROW())&amp;""))</f>
        <v/>
      </c>
      <c r="X393" s="8" t="str">
        <f>IF($A393="","",TRIM(INDEX(FORM!$M:$M,ROW())&amp;""))</f>
        <v/>
      </c>
      <c r="Y393" s="8" t="str">
        <f>IF($A393="","",IFERROR(MATCH(F393,DATA!$AH$2:$AH$5,0),9)*10000+A393)</f>
        <v/>
      </c>
      <c r="Z393" s="8" t="str">
        <f t="shared" si="133"/>
        <v/>
      </c>
      <c r="AA393" s="8" t="str">
        <f t="shared" si="134"/>
        <v/>
      </c>
      <c r="AB393" s="8" t="str">
        <f t="shared" si="135"/>
        <v/>
      </c>
      <c r="AC393" s="8"/>
      <c r="AD393" s="8"/>
      <c r="AE393" s="8"/>
      <c r="AK393" s="5" t="str">
        <f t="shared" si="136"/>
        <v/>
      </c>
      <c r="AL393" s="5" t="str">
        <f t="shared" si="137"/>
        <v/>
      </c>
      <c r="AM393" s="5" t="str">
        <f t="shared" si="138"/>
        <v/>
      </c>
      <c r="AN393" s="5" t="str">
        <f t="shared" si="139"/>
        <v/>
      </c>
      <c r="AO393" s="5" t="str">
        <f t="shared" si="140"/>
        <v/>
      </c>
      <c r="AP393" s="5" t="str">
        <f t="shared" si="141"/>
        <v/>
      </c>
      <c r="AQ393" s="5" t="str">
        <f t="shared" si="142"/>
        <v/>
      </c>
      <c r="AR393" s="5" t="str">
        <f t="shared" si="143"/>
        <v/>
      </c>
      <c r="AS393" s="5" t="str">
        <f t="shared" si="144"/>
        <v/>
      </c>
      <c r="AT393" s="5" t="str">
        <f t="shared" si="145"/>
        <v/>
      </c>
      <c r="AU393" s="5" t="str">
        <f t="shared" si="146"/>
        <v/>
      </c>
      <c r="AV393" s="5" t="str">
        <f t="shared" si="147"/>
        <v/>
      </c>
      <c r="AW393" s="5" t="str">
        <f t="shared" si="148"/>
        <v/>
      </c>
      <c r="AX393" s="5" t="str">
        <f t="shared" si="149"/>
        <v/>
      </c>
      <c r="AY393" s="5" t="str">
        <f t="shared" si="150"/>
        <v/>
      </c>
      <c r="AZ393" s="5" t="str">
        <f t="shared" si="151"/>
        <v/>
      </c>
      <c r="BA393" s="5" t="str">
        <f t="shared" si="152"/>
        <v/>
      </c>
      <c r="BB393" s="5" t="str">
        <f t="shared" si="153"/>
        <v/>
      </c>
    </row>
    <row r="394" spans="1:54" s="5" customFormat="1" hidden="1">
      <c r="A394" s="8" t="str">
        <f>IF(INDEX(FORM!$A:$A,ROW())="","",ROW()-1)</f>
        <v/>
      </c>
      <c r="B394" s="41" t="str">
        <f>IF($A394="","",INDEX(FORM!$A:$A,ROW()))</f>
        <v/>
      </c>
      <c r="C394" s="8" t="str">
        <f>IF($A394="","",TRIM(INDEX(FORM!$B:$B,ROW())))</f>
        <v/>
      </c>
      <c r="D394" s="8" t="str">
        <f>IF($A394="","",TRIM(INDEX(FORM!$C:$C,ROW())&amp;""))</f>
        <v/>
      </c>
      <c r="E394" s="8" t="str">
        <f>IF($A394="","",UPPER(TRIM(INDEX(FORM!$D:$D,ROW()))))</f>
        <v/>
      </c>
      <c r="F394" s="8" t="str">
        <f>IF($A394="","",IFERROR(INDEX(PROGRES!$A$2:$A$92,MATCH(E394,PROGRES!$B$2:$B$92,0)),"-"))</f>
        <v/>
      </c>
      <c r="G394" s="8" t="str">
        <f>IF($A394="","",UPPER(TRIM(INDEX(FORM!$F:$F,ROW()))))</f>
        <v/>
      </c>
      <c r="H394" s="8" t="str">
        <f>IF($A394="","",UPPER(TRIM(INDEX(FORM!$E:$E,ROW()))))</f>
        <v/>
      </c>
      <c r="I394" s="8" t="str">
        <f>IF($A394="","",UPPER(TRIM(INDEX(FORM!$G:$G,ROW()))))</f>
        <v/>
      </c>
      <c r="J394" s="8" t="str">
        <f>IF($A394="","",IF(ISNUMBER(SEARCH("Ya,",INDEX(FORM!$H:$H,ROW()))),"YA",IF(ISNUMBER(SEARCH("Cukup,",INDEX(FORM!$H:$H,ROW()))),"CUKUP",IF(ISNUMBER(SEARCH("Kurang,",INDEX(FORM!$H:$H,ROW()))),"KURANG",""))))</f>
        <v/>
      </c>
      <c r="K394" s="8" t="str">
        <f>IF($A394="","",UPPER(TRIM(INDEX(FORM!$J:$J,ROW()))))</f>
        <v/>
      </c>
      <c r="L394" s="8" t="str">
        <f>IF($A394="","",IF(ISNUMBER(SEARCH("Aktivitas Harian",INDEX(FORM!$K:$K,ROW()))),1,0))</f>
        <v/>
      </c>
      <c r="M394" s="8" t="str">
        <f>IF($A394="","",IF(ISNUMBER(SEARCH("Aktivitas Mingguan",INDEX(FORM!$K:$K,ROW()))),1,0))</f>
        <v/>
      </c>
      <c r="N394" s="8" t="str">
        <f>IF($A394="","",IF(ISNUMBER(SEARCH("Aktivitas Bulanan",INDEX(FORM!$K:$K,ROW()))),1,0))</f>
        <v/>
      </c>
      <c r="O394" s="8" t="str">
        <f>IF($A394="","",IF(ISNUMBER(SEARCH("Overview Cabang",INDEX(FORM!$K:$K,ROW()))),1,0))</f>
        <v/>
      </c>
      <c r="P394" s="8" t="str">
        <f>IF($A394="","",IFERROR(VLOOKUP(I394,DATA!$AH$9:$AI$13,2,0),""))</f>
        <v/>
      </c>
      <c r="Q394" s="8" t="str">
        <f>IF($A394="","",IFERROR(VLOOKUP(J394,DATA!$AH$9:$AI$13,2,0),""))</f>
        <v/>
      </c>
      <c r="R394" s="8" t="str">
        <f>IF($A394="","",IFERROR(VLOOKUP(K394,DATA!$AH$9:$AI$13,2,0),""))</f>
        <v/>
      </c>
      <c r="S394" s="42" t="str">
        <f t="shared" si="132"/>
        <v/>
      </c>
      <c r="T394" s="8" t="str">
        <f>IF($A394="","",IF(COUNTIF($D$2:D394,D394)=1,1,0))</f>
        <v/>
      </c>
      <c r="U394" s="8" t="str">
        <f>IF($A394="","",IF(F394="-","Cabang tdk ada",IF(IFERROR(VLOOKUP(G394,#REF!,1,0),"")="","",IF(INDEX(DATA!$AH$2:$AH$5,MATCH(G394,DATA!$AI$2:$AI$5,0))&lt;&gt;F394,"Wilayah beda","OK"))))</f>
        <v/>
      </c>
      <c r="V394" s="8" t="str">
        <f>IF($A394="","",TRIM(INDEX(FORM!$I:$I,ROW())&amp;""))</f>
        <v/>
      </c>
      <c r="W394" s="8" t="str">
        <f>IF($A394="","",TRIM(INDEX(FORM!$L:$L,ROW())&amp;""))</f>
        <v/>
      </c>
      <c r="X394" s="8" t="str">
        <f>IF($A394="","",TRIM(INDEX(FORM!$M:$M,ROW())&amp;""))</f>
        <v/>
      </c>
      <c r="Y394" s="8" t="str">
        <f>IF($A394="","",IFERROR(MATCH(F394,DATA!$AH$2:$AH$5,0),9)*10000+A394)</f>
        <v/>
      </c>
      <c r="Z394" s="8" t="str">
        <f t="shared" si="133"/>
        <v/>
      </c>
      <c r="AA394" s="8" t="str">
        <f t="shared" si="134"/>
        <v/>
      </c>
      <c r="AB394" s="8" t="str">
        <f t="shared" si="135"/>
        <v/>
      </c>
      <c r="AC394" s="8"/>
      <c r="AD394" s="8"/>
      <c r="AE394" s="8"/>
      <c r="AK394" s="5" t="str">
        <f t="shared" si="136"/>
        <v/>
      </c>
      <c r="AL394" s="5" t="str">
        <f t="shared" si="137"/>
        <v/>
      </c>
      <c r="AM394" s="5" t="str">
        <f t="shared" si="138"/>
        <v/>
      </c>
      <c r="AN394" s="5" t="str">
        <f t="shared" si="139"/>
        <v/>
      </c>
      <c r="AO394" s="5" t="str">
        <f t="shared" si="140"/>
        <v/>
      </c>
      <c r="AP394" s="5" t="str">
        <f t="shared" si="141"/>
        <v/>
      </c>
      <c r="AQ394" s="5" t="str">
        <f t="shared" si="142"/>
        <v/>
      </c>
      <c r="AR394" s="5" t="str">
        <f t="shared" si="143"/>
        <v/>
      </c>
      <c r="AS394" s="5" t="str">
        <f t="shared" si="144"/>
        <v/>
      </c>
      <c r="AT394" s="5" t="str">
        <f t="shared" si="145"/>
        <v/>
      </c>
      <c r="AU394" s="5" t="str">
        <f t="shared" si="146"/>
        <v/>
      </c>
      <c r="AV394" s="5" t="str">
        <f t="shared" si="147"/>
        <v/>
      </c>
      <c r="AW394" s="5" t="str">
        <f t="shared" si="148"/>
        <v/>
      </c>
      <c r="AX394" s="5" t="str">
        <f t="shared" si="149"/>
        <v/>
      </c>
      <c r="AY394" s="5" t="str">
        <f t="shared" si="150"/>
        <v/>
      </c>
      <c r="AZ394" s="5" t="str">
        <f t="shared" si="151"/>
        <v/>
      </c>
      <c r="BA394" s="5" t="str">
        <f t="shared" si="152"/>
        <v/>
      </c>
      <c r="BB394" s="5" t="str">
        <f t="shared" si="153"/>
        <v/>
      </c>
    </row>
    <row r="395" spans="1:54" s="5" customFormat="1" hidden="1">
      <c r="A395" s="8" t="str">
        <f>IF(INDEX(FORM!$A:$A,ROW())="","",ROW()-1)</f>
        <v/>
      </c>
      <c r="B395" s="41" t="str">
        <f>IF($A395="","",INDEX(FORM!$A:$A,ROW()))</f>
        <v/>
      </c>
      <c r="C395" s="8" t="str">
        <f>IF($A395="","",TRIM(INDEX(FORM!$B:$B,ROW())))</f>
        <v/>
      </c>
      <c r="D395" s="8" t="str">
        <f>IF($A395="","",TRIM(INDEX(FORM!$C:$C,ROW())&amp;""))</f>
        <v/>
      </c>
      <c r="E395" s="8" t="str">
        <f>IF($A395="","",UPPER(TRIM(INDEX(FORM!$D:$D,ROW()))))</f>
        <v/>
      </c>
      <c r="F395" s="8" t="str">
        <f>IF($A395="","",IFERROR(INDEX(PROGRES!$A$2:$A$92,MATCH(E395,PROGRES!$B$2:$B$92,0)),"-"))</f>
        <v/>
      </c>
      <c r="G395" s="8" t="str">
        <f>IF($A395="","",UPPER(TRIM(INDEX(FORM!$F:$F,ROW()))))</f>
        <v/>
      </c>
      <c r="H395" s="8" t="str">
        <f>IF($A395="","",UPPER(TRIM(INDEX(FORM!$E:$E,ROW()))))</f>
        <v/>
      </c>
      <c r="I395" s="8" t="str">
        <f>IF($A395="","",UPPER(TRIM(INDEX(FORM!$G:$G,ROW()))))</f>
        <v/>
      </c>
      <c r="J395" s="8" t="str">
        <f>IF($A395="","",IF(ISNUMBER(SEARCH("Ya,",INDEX(FORM!$H:$H,ROW()))),"YA",IF(ISNUMBER(SEARCH("Cukup,",INDEX(FORM!$H:$H,ROW()))),"CUKUP",IF(ISNUMBER(SEARCH("Kurang,",INDEX(FORM!$H:$H,ROW()))),"KURANG",""))))</f>
        <v/>
      </c>
      <c r="K395" s="8" t="str">
        <f>IF($A395="","",UPPER(TRIM(INDEX(FORM!$J:$J,ROW()))))</f>
        <v/>
      </c>
      <c r="L395" s="8" t="str">
        <f>IF($A395="","",IF(ISNUMBER(SEARCH("Aktivitas Harian",INDEX(FORM!$K:$K,ROW()))),1,0))</f>
        <v/>
      </c>
      <c r="M395" s="8" t="str">
        <f>IF($A395="","",IF(ISNUMBER(SEARCH("Aktivitas Mingguan",INDEX(FORM!$K:$K,ROW()))),1,0))</f>
        <v/>
      </c>
      <c r="N395" s="8" t="str">
        <f>IF($A395="","",IF(ISNUMBER(SEARCH("Aktivitas Bulanan",INDEX(FORM!$K:$K,ROW()))),1,0))</f>
        <v/>
      </c>
      <c r="O395" s="8" t="str">
        <f>IF($A395="","",IF(ISNUMBER(SEARCH("Overview Cabang",INDEX(FORM!$K:$K,ROW()))),1,0))</f>
        <v/>
      </c>
      <c r="P395" s="8" t="str">
        <f>IF($A395="","",IFERROR(VLOOKUP(I395,DATA!$AH$9:$AI$13,2,0),""))</f>
        <v/>
      </c>
      <c r="Q395" s="8" t="str">
        <f>IF($A395="","",IFERROR(VLOOKUP(J395,DATA!$AH$9:$AI$13,2,0),""))</f>
        <v/>
      </c>
      <c r="R395" s="8" t="str">
        <f>IF($A395="","",IFERROR(VLOOKUP(K395,DATA!$AH$9:$AI$13,2,0),""))</f>
        <v/>
      </c>
      <c r="S395" s="42" t="str">
        <f t="shared" si="132"/>
        <v/>
      </c>
      <c r="T395" s="8" t="str">
        <f>IF($A395="","",IF(COUNTIF($D$2:D395,D395)=1,1,0))</f>
        <v/>
      </c>
      <c r="U395" s="8" t="str">
        <f>IF($A395="","",IF(F395="-","Cabang tdk ada",IF(IFERROR(VLOOKUP(G395,#REF!,1,0),"")="","",IF(INDEX(DATA!$AH$2:$AH$5,MATCH(G395,DATA!$AI$2:$AI$5,0))&lt;&gt;F395,"Wilayah beda","OK"))))</f>
        <v/>
      </c>
      <c r="V395" s="8" t="str">
        <f>IF($A395="","",TRIM(INDEX(FORM!$I:$I,ROW())&amp;""))</f>
        <v/>
      </c>
      <c r="W395" s="8" t="str">
        <f>IF($A395="","",TRIM(INDEX(FORM!$L:$L,ROW())&amp;""))</f>
        <v/>
      </c>
      <c r="X395" s="8" t="str">
        <f>IF($A395="","",TRIM(INDEX(FORM!$M:$M,ROW())&amp;""))</f>
        <v/>
      </c>
      <c r="Y395" s="8" t="str">
        <f>IF($A395="","",IFERROR(MATCH(F395,DATA!$AH$2:$AH$5,0),9)*10000+A395)</f>
        <v/>
      </c>
      <c r="Z395" s="8" t="str">
        <f t="shared" si="133"/>
        <v/>
      </c>
      <c r="AA395" s="8" t="str">
        <f t="shared" si="134"/>
        <v/>
      </c>
      <c r="AB395" s="8" t="str">
        <f t="shared" si="135"/>
        <v/>
      </c>
      <c r="AC395" s="8"/>
      <c r="AD395" s="8"/>
      <c r="AE395" s="8"/>
      <c r="AK395" s="5" t="str">
        <f t="shared" si="136"/>
        <v/>
      </c>
      <c r="AL395" s="5" t="str">
        <f t="shared" si="137"/>
        <v/>
      </c>
      <c r="AM395" s="5" t="str">
        <f t="shared" si="138"/>
        <v/>
      </c>
      <c r="AN395" s="5" t="str">
        <f t="shared" si="139"/>
        <v/>
      </c>
      <c r="AO395" s="5" t="str">
        <f t="shared" si="140"/>
        <v/>
      </c>
      <c r="AP395" s="5" t="str">
        <f t="shared" si="141"/>
        <v/>
      </c>
      <c r="AQ395" s="5" t="str">
        <f t="shared" si="142"/>
        <v/>
      </c>
      <c r="AR395" s="5" t="str">
        <f t="shared" si="143"/>
        <v/>
      </c>
      <c r="AS395" s="5" t="str">
        <f t="shared" si="144"/>
        <v/>
      </c>
      <c r="AT395" s="5" t="str">
        <f t="shared" si="145"/>
        <v/>
      </c>
      <c r="AU395" s="5" t="str">
        <f t="shared" si="146"/>
        <v/>
      </c>
      <c r="AV395" s="5" t="str">
        <f t="shared" si="147"/>
        <v/>
      </c>
      <c r="AW395" s="5" t="str">
        <f t="shared" si="148"/>
        <v/>
      </c>
      <c r="AX395" s="5" t="str">
        <f t="shared" si="149"/>
        <v/>
      </c>
      <c r="AY395" s="5" t="str">
        <f t="shared" si="150"/>
        <v/>
      </c>
      <c r="AZ395" s="5" t="str">
        <f t="shared" si="151"/>
        <v/>
      </c>
      <c r="BA395" s="5" t="str">
        <f t="shared" si="152"/>
        <v/>
      </c>
      <c r="BB395" s="5" t="str">
        <f t="shared" si="153"/>
        <v/>
      </c>
    </row>
    <row r="396" spans="1:54" s="5" customFormat="1" hidden="1">
      <c r="A396" s="8" t="str">
        <f>IF(INDEX(FORM!$A:$A,ROW())="","",ROW()-1)</f>
        <v/>
      </c>
      <c r="B396" s="41" t="str">
        <f>IF($A396="","",INDEX(FORM!$A:$A,ROW()))</f>
        <v/>
      </c>
      <c r="C396" s="8" t="str">
        <f>IF($A396="","",TRIM(INDEX(FORM!$B:$B,ROW())))</f>
        <v/>
      </c>
      <c r="D396" s="8" t="str">
        <f>IF($A396="","",TRIM(INDEX(FORM!$C:$C,ROW())&amp;""))</f>
        <v/>
      </c>
      <c r="E396" s="8" t="str">
        <f>IF($A396="","",UPPER(TRIM(INDEX(FORM!$D:$D,ROW()))))</f>
        <v/>
      </c>
      <c r="F396" s="8" t="str">
        <f>IF($A396="","",IFERROR(INDEX(PROGRES!$A$2:$A$92,MATCH(E396,PROGRES!$B$2:$B$92,0)),"-"))</f>
        <v/>
      </c>
      <c r="G396" s="8" t="str">
        <f>IF($A396="","",UPPER(TRIM(INDEX(FORM!$F:$F,ROW()))))</f>
        <v/>
      </c>
      <c r="H396" s="8" t="str">
        <f>IF($A396="","",UPPER(TRIM(INDEX(FORM!$E:$E,ROW()))))</f>
        <v/>
      </c>
      <c r="I396" s="8" t="str">
        <f>IF($A396="","",UPPER(TRIM(INDEX(FORM!$G:$G,ROW()))))</f>
        <v/>
      </c>
      <c r="J396" s="8" t="str">
        <f>IF($A396="","",IF(ISNUMBER(SEARCH("Ya,",INDEX(FORM!$H:$H,ROW()))),"YA",IF(ISNUMBER(SEARCH("Cukup,",INDEX(FORM!$H:$H,ROW()))),"CUKUP",IF(ISNUMBER(SEARCH("Kurang,",INDEX(FORM!$H:$H,ROW()))),"KURANG",""))))</f>
        <v/>
      </c>
      <c r="K396" s="8" t="str">
        <f>IF($A396="","",UPPER(TRIM(INDEX(FORM!$J:$J,ROW()))))</f>
        <v/>
      </c>
      <c r="L396" s="8" t="str">
        <f>IF($A396="","",IF(ISNUMBER(SEARCH("Aktivitas Harian",INDEX(FORM!$K:$K,ROW()))),1,0))</f>
        <v/>
      </c>
      <c r="M396" s="8" t="str">
        <f>IF($A396="","",IF(ISNUMBER(SEARCH("Aktivitas Mingguan",INDEX(FORM!$K:$K,ROW()))),1,0))</f>
        <v/>
      </c>
      <c r="N396" s="8" t="str">
        <f>IF($A396="","",IF(ISNUMBER(SEARCH("Aktivitas Bulanan",INDEX(FORM!$K:$K,ROW()))),1,0))</f>
        <v/>
      </c>
      <c r="O396" s="8" t="str">
        <f>IF($A396="","",IF(ISNUMBER(SEARCH("Overview Cabang",INDEX(FORM!$K:$K,ROW()))),1,0))</f>
        <v/>
      </c>
      <c r="P396" s="8" t="str">
        <f>IF($A396="","",IFERROR(VLOOKUP(I396,DATA!$AH$9:$AI$13,2,0),""))</f>
        <v/>
      </c>
      <c r="Q396" s="8" t="str">
        <f>IF($A396="","",IFERROR(VLOOKUP(J396,DATA!$AH$9:$AI$13,2,0),""))</f>
        <v/>
      </c>
      <c r="R396" s="8" t="str">
        <f>IF($A396="","",IFERROR(VLOOKUP(K396,DATA!$AH$9:$AI$13,2,0),""))</f>
        <v/>
      </c>
      <c r="S396" s="42" t="str">
        <f t="shared" si="132"/>
        <v/>
      </c>
      <c r="T396" s="8" t="str">
        <f>IF($A396="","",IF(COUNTIF($D$2:D396,D396)=1,1,0))</f>
        <v/>
      </c>
      <c r="U396" s="8" t="str">
        <f>IF($A396="","",IF(F396="-","Cabang tdk ada",IF(IFERROR(VLOOKUP(G396,#REF!,1,0),"")="","",IF(INDEX(DATA!$AH$2:$AH$5,MATCH(G396,DATA!$AI$2:$AI$5,0))&lt;&gt;F396,"Wilayah beda","OK"))))</f>
        <v/>
      </c>
      <c r="V396" s="8" t="str">
        <f>IF($A396="","",TRIM(INDEX(FORM!$I:$I,ROW())&amp;""))</f>
        <v/>
      </c>
      <c r="W396" s="8" t="str">
        <f>IF($A396="","",TRIM(INDEX(FORM!$L:$L,ROW())&amp;""))</f>
        <v/>
      </c>
      <c r="X396" s="8" t="str">
        <f>IF($A396="","",TRIM(INDEX(FORM!$M:$M,ROW())&amp;""))</f>
        <v/>
      </c>
      <c r="Y396" s="8" t="str">
        <f>IF($A396="","",IFERROR(MATCH(F396,DATA!$AH$2:$AH$5,0),9)*10000+A396)</f>
        <v/>
      </c>
      <c r="Z396" s="8" t="str">
        <f t="shared" si="133"/>
        <v/>
      </c>
      <c r="AA396" s="8" t="str">
        <f t="shared" si="134"/>
        <v/>
      </c>
      <c r="AB396" s="8" t="str">
        <f t="shared" si="135"/>
        <v/>
      </c>
      <c r="AC396" s="8"/>
      <c r="AD396" s="8"/>
      <c r="AE396" s="8"/>
      <c r="AK396" s="5" t="str">
        <f t="shared" si="136"/>
        <v/>
      </c>
      <c r="AL396" s="5" t="str">
        <f t="shared" si="137"/>
        <v/>
      </c>
      <c r="AM396" s="5" t="str">
        <f t="shared" si="138"/>
        <v/>
      </c>
      <c r="AN396" s="5" t="str">
        <f t="shared" si="139"/>
        <v/>
      </c>
      <c r="AO396" s="5" t="str">
        <f t="shared" si="140"/>
        <v/>
      </c>
      <c r="AP396" s="5" t="str">
        <f t="shared" si="141"/>
        <v/>
      </c>
      <c r="AQ396" s="5" t="str">
        <f t="shared" si="142"/>
        <v/>
      </c>
      <c r="AR396" s="5" t="str">
        <f t="shared" si="143"/>
        <v/>
      </c>
      <c r="AS396" s="5" t="str">
        <f t="shared" si="144"/>
        <v/>
      </c>
      <c r="AT396" s="5" t="str">
        <f t="shared" si="145"/>
        <v/>
      </c>
      <c r="AU396" s="5" t="str">
        <f t="shared" si="146"/>
        <v/>
      </c>
      <c r="AV396" s="5" t="str">
        <f t="shared" si="147"/>
        <v/>
      </c>
      <c r="AW396" s="5" t="str">
        <f t="shared" si="148"/>
        <v/>
      </c>
      <c r="AX396" s="5" t="str">
        <f t="shared" si="149"/>
        <v/>
      </c>
      <c r="AY396" s="5" t="str">
        <f t="shared" si="150"/>
        <v/>
      </c>
      <c r="AZ396" s="5" t="str">
        <f t="shared" si="151"/>
        <v/>
      </c>
      <c r="BA396" s="5" t="str">
        <f t="shared" si="152"/>
        <v/>
      </c>
      <c r="BB396" s="5" t="str">
        <f t="shared" si="153"/>
        <v/>
      </c>
    </row>
    <row r="397" spans="1:54" s="5" customFormat="1" hidden="1">
      <c r="A397" s="8" t="str">
        <f>IF(INDEX(FORM!$A:$A,ROW())="","",ROW()-1)</f>
        <v/>
      </c>
      <c r="B397" s="41" t="str">
        <f>IF($A397="","",INDEX(FORM!$A:$A,ROW()))</f>
        <v/>
      </c>
      <c r="C397" s="8" t="str">
        <f>IF($A397="","",TRIM(INDEX(FORM!$B:$B,ROW())))</f>
        <v/>
      </c>
      <c r="D397" s="8" t="str">
        <f>IF($A397="","",TRIM(INDEX(FORM!$C:$C,ROW())&amp;""))</f>
        <v/>
      </c>
      <c r="E397" s="8" t="str">
        <f>IF($A397="","",UPPER(TRIM(INDEX(FORM!$D:$D,ROW()))))</f>
        <v/>
      </c>
      <c r="F397" s="8" t="str">
        <f>IF($A397="","",IFERROR(INDEX(PROGRES!$A$2:$A$92,MATCH(E397,PROGRES!$B$2:$B$92,0)),"-"))</f>
        <v/>
      </c>
      <c r="G397" s="8" t="str">
        <f>IF($A397="","",UPPER(TRIM(INDEX(FORM!$F:$F,ROW()))))</f>
        <v/>
      </c>
      <c r="H397" s="8" t="str">
        <f>IF($A397="","",UPPER(TRIM(INDEX(FORM!$E:$E,ROW()))))</f>
        <v/>
      </c>
      <c r="I397" s="8" t="str">
        <f>IF($A397="","",UPPER(TRIM(INDEX(FORM!$G:$G,ROW()))))</f>
        <v/>
      </c>
      <c r="J397" s="8" t="str">
        <f>IF($A397="","",IF(ISNUMBER(SEARCH("Ya,",INDEX(FORM!$H:$H,ROW()))),"YA",IF(ISNUMBER(SEARCH("Cukup,",INDEX(FORM!$H:$H,ROW()))),"CUKUP",IF(ISNUMBER(SEARCH("Kurang,",INDEX(FORM!$H:$H,ROW()))),"KURANG",""))))</f>
        <v/>
      </c>
      <c r="K397" s="8" t="str">
        <f>IF($A397="","",UPPER(TRIM(INDEX(FORM!$J:$J,ROW()))))</f>
        <v/>
      </c>
      <c r="L397" s="8" t="str">
        <f>IF($A397="","",IF(ISNUMBER(SEARCH("Aktivitas Harian",INDEX(FORM!$K:$K,ROW()))),1,0))</f>
        <v/>
      </c>
      <c r="M397" s="8" t="str">
        <f>IF($A397="","",IF(ISNUMBER(SEARCH("Aktivitas Mingguan",INDEX(FORM!$K:$K,ROW()))),1,0))</f>
        <v/>
      </c>
      <c r="N397" s="8" t="str">
        <f>IF($A397="","",IF(ISNUMBER(SEARCH("Aktivitas Bulanan",INDEX(FORM!$K:$K,ROW()))),1,0))</f>
        <v/>
      </c>
      <c r="O397" s="8" t="str">
        <f>IF($A397="","",IF(ISNUMBER(SEARCH("Overview Cabang",INDEX(FORM!$K:$K,ROW()))),1,0))</f>
        <v/>
      </c>
      <c r="P397" s="8" t="str">
        <f>IF($A397="","",IFERROR(VLOOKUP(I397,DATA!$AH$9:$AI$13,2,0),""))</f>
        <v/>
      </c>
      <c r="Q397" s="8" t="str">
        <f>IF($A397="","",IFERROR(VLOOKUP(J397,DATA!$AH$9:$AI$13,2,0),""))</f>
        <v/>
      </c>
      <c r="R397" s="8" t="str">
        <f>IF($A397="","",IFERROR(VLOOKUP(K397,DATA!$AH$9:$AI$13,2,0),""))</f>
        <v/>
      </c>
      <c r="S397" s="42" t="str">
        <f t="shared" si="132"/>
        <v/>
      </c>
      <c r="T397" s="8" t="str">
        <f>IF($A397="","",IF(COUNTIF($D$2:D397,D397)=1,1,0))</f>
        <v/>
      </c>
      <c r="U397" s="8" t="str">
        <f>IF($A397="","",IF(F397="-","Cabang tdk ada",IF(IFERROR(VLOOKUP(G397,#REF!,1,0),"")="","",IF(INDEX(DATA!$AH$2:$AH$5,MATCH(G397,DATA!$AI$2:$AI$5,0))&lt;&gt;F397,"Wilayah beda","OK"))))</f>
        <v/>
      </c>
      <c r="V397" s="8" t="str">
        <f>IF($A397="","",TRIM(INDEX(FORM!$I:$I,ROW())&amp;""))</f>
        <v/>
      </c>
      <c r="W397" s="8" t="str">
        <f>IF($A397="","",TRIM(INDEX(FORM!$L:$L,ROW())&amp;""))</f>
        <v/>
      </c>
      <c r="X397" s="8" t="str">
        <f>IF($A397="","",TRIM(INDEX(FORM!$M:$M,ROW())&amp;""))</f>
        <v/>
      </c>
      <c r="Y397" s="8" t="str">
        <f>IF($A397="","",IFERROR(MATCH(F397,DATA!$AH$2:$AH$5,0),9)*10000+A397)</f>
        <v/>
      </c>
      <c r="Z397" s="8" t="str">
        <f t="shared" si="133"/>
        <v/>
      </c>
      <c r="AA397" s="8" t="str">
        <f t="shared" si="134"/>
        <v/>
      </c>
      <c r="AB397" s="8" t="str">
        <f t="shared" si="135"/>
        <v/>
      </c>
      <c r="AC397" s="8"/>
      <c r="AD397" s="8"/>
      <c r="AE397" s="8"/>
      <c r="AK397" s="5" t="str">
        <f t="shared" si="136"/>
        <v/>
      </c>
      <c r="AL397" s="5" t="str">
        <f t="shared" si="137"/>
        <v/>
      </c>
      <c r="AM397" s="5" t="str">
        <f t="shared" si="138"/>
        <v/>
      </c>
      <c r="AN397" s="5" t="str">
        <f t="shared" si="139"/>
        <v/>
      </c>
      <c r="AO397" s="5" t="str">
        <f t="shared" si="140"/>
        <v/>
      </c>
      <c r="AP397" s="5" t="str">
        <f t="shared" si="141"/>
        <v/>
      </c>
      <c r="AQ397" s="5" t="str">
        <f t="shared" si="142"/>
        <v/>
      </c>
      <c r="AR397" s="5" t="str">
        <f t="shared" si="143"/>
        <v/>
      </c>
      <c r="AS397" s="5" t="str">
        <f t="shared" si="144"/>
        <v/>
      </c>
      <c r="AT397" s="5" t="str">
        <f t="shared" si="145"/>
        <v/>
      </c>
      <c r="AU397" s="5" t="str">
        <f t="shared" si="146"/>
        <v/>
      </c>
      <c r="AV397" s="5" t="str">
        <f t="shared" si="147"/>
        <v/>
      </c>
      <c r="AW397" s="5" t="str">
        <f t="shared" si="148"/>
        <v/>
      </c>
      <c r="AX397" s="5" t="str">
        <f t="shared" si="149"/>
        <v/>
      </c>
      <c r="AY397" s="5" t="str">
        <f t="shared" si="150"/>
        <v/>
      </c>
      <c r="AZ397" s="5" t="str">
        <f t="shared" si="151"/>
        <v/>
      </c>
      <c r="BA397" s="5" t="str">
        <f t="shared" si="152"/>
        <v/>
      </c>
      <c r="BB397" s="5" t="str">
        <f t="shared" si="153"/>
        <v/>
      </c>
    </row>
    <row r="398" spans="1:54" s="5" customFormat="1" hidden="1">
      <c r="A398" s="8" t="str">
        <f>IF(INDEX(FORM!$A:$A,ROW())="","",ROW()-1)</f>
        <v/>
      </c>
      <c r="B398" s="41" t="str">
        <f>IF($A398="","",INDEX(FORM!$A:$A,ROW()))</f>
        <v/>
      </c>
      <c r="C398" s="8" t="str">
        <f>IF($A398="","",TRIM(INDEX(FORM!$B:$B,ROW())))</f>
        <v/>
      </c>
      <c r="D398" s="8" t="str">
        <f>IF($A398="","",TRIM(INDEX(FORM!$C:$C,ROW())&amp;""))</f>
        <v/>
      </c>
      <c r="E398" s="8" t="str">
        <f>IF($A398="","",UPPER(TRIM(INDEX(FORM!$D:$D,ROW()))))</f>
        <v/>
      </c>
      <c r="F398" s="8" t="str">
        <f>IF($A398="","",IFERROR(INDEX(PROGRES!$A$2:$A$92,MATCH(E398,PROGRES!$B$2:$B$92,0)),"-"))</f>
        <v/>
      </c>
      <c r="G398" s="8" t="str">
        <f>IF($A398="","",UPPER(TRIM(INDEX(FORM!$F:$F,ROW()))))</f>
        <v/>
      </c>
      <c r="H398" s="8" t="str">
        <f>IF($A398="","",UPPER(TRIM(INDEX(FORM!$E:$E,ROW()))))</f>
        <v/>
      </c>
      <c r="I398" s="8" t="str">
        <f>IF($A398="","",UPPER(TRIM(INDEX(FORM!$G:$G,ROW()))))</f>
        <v/>
      </c>
      <c r="J398" s="8" t="str">
        <f>IF($A398="","",IF(ISNUMBER(SEARCH("Ya,",INDEX(FORM!$H:$H,ROW()))),"YA",IF(ISNUMBER(SEARCH("Cukup,",INDEX(FORM!$H:$H,ROW()))),"CUKUP",IF(ISNUMBER(SEARCH("Kurang,",INDEX(FORM!$H:$H,ROW()))),"KURANG",""))))</f>
        <v/>
      </c>
      <c r="K398" s="8" t="str">
        <f>IF($A398="","",UPPER(TRIM(INDEX(FORM!$J:$J,ROW()))))</f>
        <v/>
      </c>
      <c r="L398" s="8" t="str">
        <f>IF($A398="","",IF(ISNUMBER(SEARCH("Aktivitas Harian",INDEX(FORM!$K:$K,ROW()))),1,0))</f>
        <v/>
      </c>
      <c r="M398" s="8" t="str">
        <f>IF($A398="","",IF(ISNUMBER(SEARCH("Aktivitas Mingguan",INDEX(FORM!$K:$K,ROW()))),1,0))</f>
        <v/>
      </c>
      <c r="N398" s="8" t="str">
        <f>IF($A398="","",IF(ISNUMBER(SEARCH("Aktivitas Bulanan",INDEX(FORM!$K:$K,ROW()))),1,0))</f>
        <v/>
      </c>
      <c r="O398" s="8" t="str">
        <f>IF($A398="","",IF(ISNUMBER(SEARCH("Overview Cabang",INDEX(FORM!$K:$K,ROW()))),1,0))</f>
        <v/>
      </c>
      <c r="P398" s="8" t="str">
        <f>IF($A398="","",IFERROR(VLOOKUP(I398,DATA!$AH$9:$AI$13,2,0),""))</f>
        <v/>
      </c>
      <c r="Q398" s="8" t="str">
        <f>IF($A398="","",IFERROR(VLOOKUP(J398,DATA!$AH$9:$AI$13,2,0),""))</f>
        <v/>
      </c>
      <c r="R398" s="8" t="str">
        <f>IF($A398="","",IFERROR(VLOOKUP(K398,DATA!$AH$9:$AI$13,2,0),""))</f>
        <v/>
      </c>
      <c r="S398" s="42" t="str">
        <f t="shared" si="132"/>
        <v/>
      </c>
      <c r="T398" s="8" t="str">
        <f>IF($A398="","",IF(COUNTIF($D$2:D398,D398)=1,1,0))</f>
        <v/>
      </c>
      <c r="U398" s="8" t="str">
        <f>IF($A398="","",IF(F398="-","Cabang tdk ada",IF(IFERROR(VLOOKUP(G398,#REF!,1,0),"")="","",IF(INDEX(DATA!$AH$2:$AH$5,MATCH(G398,DATA!$AI$2:$AI$5,0))&lt;&gt;F398,"Wilayah beda","OK"))))</f>
        <v/>
      </c>
      <c r="V398" s="8" t="str">
        <f>IF($A398="","",TRIM(INDEX(FORM!$I:$I,ROW())&amp;""))</f>
        <v/>
      </c>
      <c r="W398" s="8" t="str">
        <f>IF($A398="","",TRIM(INDEX(FORM!$L:$L,ROW())&amp;""))</f>
        <v/>
      </c>
      <c r="X398" s="8" t="str">
        <f>IF($A398="","",TRIM(INDEX(FORM!$M:$M,ROW())&amp;""))</f>
        <v/>
      </c>
      <c r="Y398" s="8" t="str">
        <f>IF($A398="","",IFERROR(MATCH(F398,DATA!$AH$2:$AH$5,0),9)*10000+A398)</f>
        <v/>
      </c>
      <c r="Z398" s="8" t="str">
        <f t="shared" si="133"/>
        <v/>
      </c>
      <c r="AA398" s="8" t="str">
        <f t="shared" si="134"/>
        <v/>
      </c>
      <c r="AB398" s="8" t="str">
        <f t="shared" si="135"/>
        <v/>
      </c>
      <c r="AC398" s="8"/>
      <c r="AD398" s="8"/>
      <c r="AE398" s="8"/>
      <c r="AK398" s="5" t="str">
        <f t="shared" si="136"/>
        <v/>
      </c>
      <c r="AL398" s="5" t="str">
        <f t="shared" si="137"/>
        <v/>
      </c>
      <c r="AM398" s="5" t="str">
        <f t="shared" si="138"/>
        <v/>
      </c>
      <c r="AN398" s="5" t="str">
        <f t="shared" si="139"/>
        <v/>
      </c>
      <c r="AO398" s="5" t="str">
        <f t="shared" si="140"/>
        <v/>
      </c>
      <c r="AP398" s="5" t="str">
        <f t="shared" si="141"/>
        <v/>
      </c>
      <c r="AQ398" s="5" t="str">
        <f t="shared" si="142"/>
        <v/>
      </c>
      <c r="AR398" s="5" t="str">
        <f t="shared" si="143"/>
        <v/>
      </c>
      <c r="AS398" s="5" t="str">
        <f t="shared" si="144"/>
        <v/>
      </c>
      <c r="AT398" s="5" t="str">
        <f t="shared" si="145"/>
        <v/>
      </c>
      <c r="AU398" s="5" t="str">
        <f t="shared" si="146"/>
        <v/>
      </c>
      <c r="AV398" s="5" t="str">
        <f t="shared" si="147"/>
        <v/>
      </c>
      <c r="AW398" s="5" t="str">
        <f t="shared" si="148"/>
        <v/>
      </c>
      <c r="AX398" s="5" t="str">
        <f t="shared" si="149"/>
        <v/>
      </c>
      <c r="AY398" s="5" t="str">
        <f t="shared" si="150"/>
        <v/>
      </c>
      <c r="AZ398" s="5" t="str">
        <f t="shared" si="151"/>
        <v/>
      </c>
      <c r="BA398" s="5" t="str">
        <f t="shared" si="152"/>
        <v/>
      </c>
      <c r="BB398" s="5" t="str">
        <f t="shared" si="153"/>
        <v/>
      </c>
    </row>
    <row r="399" spans="1:54" s="5" customFormat="1" hidden="1">
      <c r="A399" s="8" t="str">
        <f>IF(INDEX(FORM!$A:$A,ROW())="","",ROW()-1)</f>
        <v/>
      </c>
      <c r="B399" s="41" t="str">
        <f>IF($A399="","",INDEX(FORM!$A:$A,ROW()))</f>
        <v/>
      </c>
      <c r="C399" s="8" t="str">
        <f>IF($A399="","",TRIM(INDEX(FORM!$B:$B,ROW())))</f>
        <v/>
      </c>
      <c r="D399" s="8" t="str">
        <f>IF($A399="","",TRIM(INDEX(FORM!$C:$C,ROW())&amp;""))</f>
        <v/>
      </c>
      <c r="E399" s="8" t="str">
        <f>IF($A399="","",UPPER(TRIM(INDEX(FORM!$D:$D,ROW()))))</f>
        <v/>
      </c>
      <c r="F399" s="8" t="str">
        <f>IF($A399="","",IFERROR(INDEX(PROGRES!$A$2:$A$92,MATCH(E399,PROGRES!$B$2:$B$92,0)),"-"))</f>
        <v/>
      </c>
      <c r="G399" s="8" t="str">
        <f>IF($A399="","",UPPER(TRIM(INDEX(FORM!$F:$F,ROW()))))</f>
        <v/>
      </c>
      <c r="H399" s="8" t="str">
        <f>IF($A399="","",UPPER(TRIM(INDEX(FORM!$E:$E,ROW()))))</f>
        <v/>
      </c>
      <c r="I399" s="8" t="str">
        <f>IF($A399="","",UPPER(TRIM(INDEX(FORM!$G:$G,ROW()))))</f>
        <v/>
      </c>
      <c r="J399" s="8" t="str">
        <f>IF($A399="","",IF(ISNUMBER(SEARCH("Ya,",INDEX(FORM!$H:$H,ROW()))),"YA",IF(ISNUMBER(SEARCH("Cukup,",INDEX(FORM!$H:$H,ROW()))),"CUKUP",IF(ISNUMBER(SEARCH("Kurang,",INDEX(FORM!$H:$H,ROW()))),"KURANG",""))))</f>
        <v/>
      </c>
      <c r="K399" s="8" t="str">
        <f>IF($A399="","",UPPER(TRIM(INDEX(FORM!$J:$J,ROW()))))</f>
        <v/>
      </c>
      <c r="L399" s="8" t="str">
        <f>IF($A399="","",IF(ISNUMBER(SEARCH("Aktivitas Harian",INDEX(FORM!$K:$K,ROW()))),1,0))</f>
        <v/>
      </c>
      <c r="M399" s="8" t="str">
        <f>IF($A399="","",IF(ISNUMBER(SEARCH("Aktivitas Mingguan",INDEX(FORM!$K:$K,ROW()))),1,0))</f>
        <v/>
      </c>
      <c r="N399" s="8" t="str">
        <f>IF($A399="","",IF(ISNUMBER(SEARCH("Aktivitas Bulanan",INDEX(FORM!$K:$K,ROW()))),1,0))</f>
        <v/>
      </c>
      <c r="O399" s="8" t="str">
        <f>IF($A399="","",IF(ISNUMBER(SEARCH("Overview Cabang",INDEX(FORM!$K:$K,ROW()))),1,0))</f>
        <v/>
      </c>
      <c r="P399" s="8" t="str">
        <f>IF($A399="","",IFERROR(VLOOKUP(I399,DATA!$AH$9:$AI$13,2,0),""))</f>
        <v/>
      </c>
      <c r="Q399" s="8" t="str">
        <f>IF($A399="","",IFERROR(VLOOKUP(J399,DATA!$AH$9:$AI$13,2,0),""))</f>
        <v/>
      </c>
      <c r="R399" s="8" t="str">
        <f>IF($A399="","",IFERROR(VLOOKUP(K399,DATA!$AH$9:$AI$13,2,0),""))</f>
        <v/>
      </c>
      <c r="S399" s="42" t="str">
        <f t="shared" si="132"/>
        <v/>
      </c>
      <c r="T399" s="8" t="str">
        <f>IF($A399="","",IF(COUNTIF($D$2:D399,D399)=1,1,0))</f>
        <v/>
      </c>
      <c r="U399" s="8" t="str">
        <f>IF($A399="","",IF(F399="-","Cabang tdk ada",IF(IFERROR(VLOOKUP(G399,#REF!,1,0),"")="","",IF(INDEX(DATA!$AH$2:$AH$5,MATCH(G399,DATA!$AI$2:$AI$5,0))&lt;&gt;F399,"Wilayah beda","OK"))))</f>
        <v/>
      </c>
      <c r="V399" s="8" t="str">
        <f>IF($A399="","",TRIM(INDEX(FORM!$I:$I,ROW())&amp;""))</f>
        <v/>
      </c>
      <c r="W399" s="8" t="str">
        <f>IF($A399="","",TRIM(INDEX(FORM!$L:$L,ROW())&amp;""))</f>
        <v/>
      </c>
      <c r="X399" s="8" t="str">
        <f>IF($A399="","",TRIM(INDEX(FORM!$M:$M,ROW())&amp;""))</f>
        <v/>
      </c>
      <c r="Y399" s="8" t="str">
        <f>IF($A399="","",IFERROR(MATCH(F399,DATA!$AH$2:$AH$5,0),9)*10000+A399)</f>
        <v/>
      </c>
      <c r="Z399" s="8" t="str">
        <f t="shared" si="133"/>
        <v/>
      </c>
      <c r="AA399" s="8" t="str">
        <f t="shared" si="134"/>
        <v/>
      </c>
      <c r="AB399" s="8" t="str">
        <f t="shared" si="135"/>
        <v/>
      </c>
      <c r="AC399" s="8"/>
      <c r="AD399" s="8"/>
      <c r="AE399" s="8"/>
      <c r="AK399" s="5" t="str">
        <f t="shared" si="136"/>
        <v/>
      </c>
      <c r="AL399" s="5" t="str">
        <f t="shared" si="137"/>
        <v/>
      </c>
      <c r="AM399" s="5" t="str">
        <f t="shared" si="138"/>
        <v/>
      </c>
      <c r="AN399" s="5" t="str">
        <f t="shared" si="139"/>
        <v/>
      </c>
      <c r="AO399" s="5" t="str">
        <f t="shared" si="140"/>
        <v/>
      </c>
      <c r="AP399" s="5" t="str">
        <f t="shared" si="141"/>
        <v/>
      </c>
      <c r="AQ399" s="5" t="str">
        <f t="shared" si="142"/>
        <v/>
      </c>
      <c r="AR399" s="5" t="str">
        <f t="shared" si="143"/>
        <v/>
      </c>
      <c r="AS399" s="5" t="str">
        <f t="shared" si="144"/>
        <v/>
      </c>
      <c r="AT399" s="5" t="str">
        <f t="shared" si="145"/>
        <v/>
      </c>
      <c r="AU399" s="5" t="str">
        <f t="shared" si="146"/>
        <v/>
      </c>
      <c r="AV399" s="5" t="str">
        <f t="shared" si="147"/>
        <v/>
      </c>
      <c r="AW399" s="5" t="str">
        <f t="shared" si="148"/>
        <v/>
      </c>
      <c r="AX399" s="5" t="str">
        <f t="shared" si="149"/>
        <v/>
      </c>
      <c r="AY399" s="5" t="str">
        <f t="shared" si="150"/>
        <v/>
      </c>
      <c r="AZ399" s="5" t="str">
        <f t="shared" si="151"/>
        <v/>
      </c>
      <c r="BA399" s="5" t="str">
        <f t="shared" si="152"/>
        <v/>
      </c>
      <c r="BB399" s="5" t="str">
        <f t="shared" si="153"/>
        <v/>
      </c>
    </row>
    <row r="400" spans="1:54" s="5" customFormat="1" hidden="1">
      <c r="A400" s="8" t="str">
        <f>IF(INDEX(FORM!$A:$A,ROW())="","",ROW()-1)</f>
        <v/>
      </c>
      <c r="B400" s="41" t="str">
        <f>IF($A400="","",INDEX(FORM!$A:$A,ROW()))</f>
        <v/>
      </c>
      <c r="C400" s="8" t="str">
        <f>IF($A400="","",TRIM(INDEX(FORM!$B:$B,ROW())))</f>
        <v/>
      </c>
      <c r="D400" s="8" t="str">
        <f>IF($A400="","",TRIM(INDEX(FORM!$C:$C,ROW())&amp;""))</f>
        <v/>
      </c>
      <c r="E400" s="8" t="str">
        <f>IF($A400="","",UPPER(TRIM(INDEX(FORM!$D:$D,ROW()))))</f>
        <v/>
      </c>
      <c r="F400" s="8" t="str">
        <f>IF($A400="","",IFERROR(INDEX(PROGRES!$A$2:$A$92,MATCH(E400,PROGRES!$B$2:$B$92,0)),"-"))</f>
        <v/>
      </c>
      <c r="G400" s="8" t="str">
        <f>IF($A400="","",UPPER(TRIM(INDEX(FORM!$F:$F,ROW()))))</f>
        <v/>
      </c>
      <c r="H400" s="8" t="str">
        <f>IF($A400="","",UPPER(TRIM(INDEX(FORM!$E:$E,ROW()))))</f>
        <v/>
      </c>
      <c r="I400" s="8" t="str">
        <f>IF($A400="","",UPPER(TRIM(INDEX(FORM!$G:$G,ROW()))))</f>
        <v/>
      </c>
      <c r="J400" s="8" t="str">
        <f>IF($A400="","",IF(ISNUMBER(SEARCH("Ya,",INDEX(FORM!$H:$H,ROW()))),"YA",IF(ISNUMBER(SEARCH("Cukup,",INDEX(FORM!$H:$H,ROW()))),"CUKUP",IF(ISNUMBER(SEARCH("Kurang,",INDEX(FORM!$H:$H,ROW()))),"KURANG",""))))</f>
        <v/>
      </c>
      <c r="K400" s="8" t="str">
        <f>IF($A400="","",UPPER(TRIM(INDEX(FORM!$J:$J,ROW()))))</f>
        <v/>
      </c>
      <c r="L400" s="8" t="str">
        <f>IF($A400="","",IF(ISNUMBER(SEARCH("Aktivitas Harian",INDEX(FORM!$K:$K,ROW()))),1,0))</f>
        <v/>
      </c>
      <c r="M400" s="8" t="str">
        <f>IF($A400="","",IF(ISNUMBER(SEARCH("Aktivitas Mingguan",INDEX(FORM!$K:$K,ROW()))),1,0))</f>
        <v/>
      </c>
      <c r="N400" s="8" t="str">
        <f>IF($A400="","",IF(ISNUMBER(SEARCH("Aktivitas Bulanan",INDEX(FORM!$K:$K,ROW()))),1,0))</f>
        <v/>
      </c>
      <c r="O400" s="8" t="str">
        <f>IF($A400="","",IF(ISNUMBER(SEARCH("Overview Cabang",INDEX(FORM!$K:$K,ROW()))),1,0))</f>
        <v/>
      </c>
      <c r="P400" s="8" t="str">
        <f>IF($A400="","",IFERROR(VLOOKUP(I400,DATA!$AH$9:$AI$13,2,0),""))</f>
        <v/>
      </c>
      <c r="Q400" s="8" t="str">
        <f>IF($A400="","",IFERROR(VLOOKUP(J400,DATA!$AH$9:$AI$13,2,0),""))</f>
        <v/>
      </c>
      <c r="R400" s="8" t="str">
        <f>IF($A400="","",IFERROR(VLOOKUP(K400,DATA!$AH$9:$AI$13,2,0),""))</f>
        <v/>
      </c>
      <c r="S400" s="42" t="str">
        <f t="shared" si="132"/>
        <v/>
      </c>
      <c r="T400" s="8" t="str">
        <f>IF($A400="","",IF(COUNTIF($D$2:D400,D400)=1,1,0))</f>
        <v/>
      </c>
      <c r="U400" s="8" t="str">
        <f>IF($A400="","",IF(F400="-","Cabang tdk ada",IF(IFERROR(VLOOKUP(G400,#REF!,1,0),"")="","",IF(INDEX(DATA!$AH$2:$AH$5,MATCH(G400,DATA!$AI$2:$AI$5,0))&lt;&gt;F400,"Wilayah beda","OK"))))</f>
        <v/>
      </c>
      <c r="V400" s="8" t="str">
        <f>IF($A400="","",TRIM(INDEX(FORM!$I:$I,ROW())&amp;""))</f>
        <v/>
      </c>
      <c r="W400" s="8" t="str">
        <f>IF($A400="","",TRIM(INDEX(FORM!$L:$L,ROW())&amp;""))</f>
        <v/>
      </c>
      <c r="X400" s="8" t="str">
        <f>IF($A400="","",TRIM(INDEX(FORM!$M:$M,ROW())&amp;""))</f>
        <v/>
      </c>
      <c r="Y400" s="8" t="str">
        <f>IF($A400="","",IFERROR(MATCH(F400,DATA!$AH$2:$AH$5,0),9)*10000+A400)</f>
        <v/>
      </c>
      <c r="Z400" s="8" t="str">
        <f t="shared" si="133"/>
        <v/>
      </c>
      <c r="AA400" s="8" t="str">
        <f t="shared" si="134"/>
        <v/>
      </c>
      <c r="AB400" s="8" t="str">
        <f t="shared" si="135"/>
        <v/>
      </c>
      <c r="AC400" s="8"/>
      <c r="AD400" s="8"/>
      <c r="AE400" s="8"/>
      <c r="AK400" s="5" t="str">
        <f t="shared" si="136"/>
        <v/>
      </c>
      <c r="AL400" s="5" t="str">
        <f t="shared" si="137"/>
        <v/>
      </c>
      <c r="AM400" s="5" t="str">
        <f t="shared" si="138"/>
        <v/>
      </c>
      <c r="AN400" s="5" t="str">
        <f t="shared" si="139"/>
        <v/>
      </c>
      <c r="AO400" s="5" t="str">
        <f t="shared" si="140"/>
        <v/>
      </c>
      <c r="AP400" s="5" t="str">
        <f t="shared" si="141"/>
        <v/>
      </c>
      <c r="AQ400" s="5" t="str">
        <f t="shared" si="142"/>
        <v/>
      </c>
      <c r="AR400" s="5" t="str">
        <f t="shared" si="143"/>
        <v/>
      </c>
      <c r="AS400" s="5" t="str">
        <f t="shared" si="144"/>
        <v/>
      </c>
      <c r="AT400" s="5" t="str">
        <f t="shared" si="145"/>
        <v/>
      </c>
      <c r="AU400" s="5" t="str">
        <f t="shared" si="146"/>
        <v/>
      </c>
      <c r="AV400" s="5" t="str">
        <f t="shared" si="147"/>
        <v/>
      </c>
      <c r="AW400" s="5" t="str">
        <f t="shared" si="148"/>
        <v/>
      </c>
      <c r="AX400" s="5" t="str">
        <f t="shared" si="149"/>
        <v/>
      </c>
      <c r="AY400" s="5" t="str">
        <f t="shared" si="150"/>
        <v/>
      </c>
      <c r="AZ400" s="5" t="str">
        <f t="shared" si="151"/>
        <v/>
      </c>
      <c r="BA400" s="5" t="str">
        <f t="shared" si="152"/>
        <v/>
      </c>
      <c r="BB400" s="5" t="str">
        <f t="shared" si="153"/>
        <v/>
      </c>
    </row>
    <row r="401" spans="1:54" s="5" customFormat="1" hidden="1">
      <c r="A401" s="8" t="str">
        <f>IF(INDEX(FORM!$A:$A,ROW())="","",ROW()-1)</f>
        <v/>
      </c>
      <c r="B401" s="41" t="str">
        <f>IF($A401="","",INDEX(FORM!$A:$A,ROW()))</f>
        <v/>
      </c>
      <c r="C401" s="8" t="str">
        <f>IF($A401="","",TRIM(INDEX(FORM!$B:$B,ROW())))</f>
        <v/>
      </c>
      <c r="D401" s="8" t="str">
        <f>IF($A401="","",TRIM(INDEX(FORM!$C:$C,ROW())&amp;""))</f>
        <v/>
      </c>
      <c r="E401" s="8" t="str">
        <f>IF($A401="","",UPPER(TRIM(INDEX(FORM!$D:$D,ROW()))))</f>
        <v/>
      </c>
      <c r="F401" s="8" t="str">
        <f>IF($A401="","",IFERROR(INDEX(PROGRES!$A$2:$A$92,MATCH(E401,PROGRES!$B$2:$B$92,0)),"-"))</f>
        <v/>
      </c>
      <c r="G401" s="8" t="str">
        <f>IF($A401="","",UPPER(TRIM(INDEX(FORM!$F:$F,ROW()))))</f>
        <v/>
      </c>
      <c r="H401" s="8" t="str">
        <f>IF($A401="","",UPPER(TRIM(INDEX(FORM!$E:$E,ROW()))))</f>
        <v/>
      </c>
      <c r="I401" s="8" t="str">
        <f>IF($A401="","",UPPER(TRIM(INDEX(FORM!$G:$G,ROW()))))</f>
        <v/>
      </c>
      <c r="J401" s="8" t="str">
        <f>IF($A401="","",IF(ISNUMBER(SEARCH("Ya,",INDEX(FORM!$H:$H,ROW()))),"YA",IF(ISNUMBER(SEARCH("Cukup,",INDEX(FORM!$H:$H,ROW()))),"CUKUP",IF(ISNUMBER(SEARCH("Kurang,",INDEX(FORM!$H:$H,ROW()))),"KURANG",""))))</f>
        <v/>
      </c>
      <c r="K401" s="8" t="str">
        <f>IF($A401="","",UPPER(TRIM(INDEX(FORM!$J:$J,ROW()))))</f>
        <v/>
      </c>
      <c r="L401" s="8" t="str">
        <f>IF($A401="","",IF(ISNUMBER(SEARCH("Aktivitas Harian",INDEX(FORM!$K:$K,ROW()))),1,0))</f>
        <v/>
      </c>
      <c r="M401" s="8" t="str">
        <f>IF($A401="","",IF(ISNUMBER(SEARCH("Aktivitas Mingguan",INDEX(FORM!$K:$K,ROW()))),1,0))</f>
        <v/>
      </c>
      <c r="N401" s="8" t="str">
        <f>IF($A401="","",IF(ISNUMBER(SEARCH("Aktivitas Bulanan",INDEX(FORM!$K:$K,ROW()))),1,0))</f>
        <v/>
      </c>
      <c r="O401" s="8" t="str">
        <f>IF($A401="","",IF(ISNUMBER(SEARCH("Overview Cabang",INDEX(FORM!$K:$K,ROW()))),1,0))</f>
        <v/>
      </c>
      <c r="P401" s="8" t="str">
        <f>IF($A401="","",IFERROR(VLOOKUP(I401,DATA!$AH$9:$AI$13,2,0),""))</f>
        <v/>
      </c>
      <c r="Q401" s="8" t="str">
        <f>IF($A401="","",IFERROR(VLOOKUP(J401,DATA!$AH$9:$AI$13,2,0),""))</f>
        <v/>
      </c>
      <c r="R401" s="8" t="str">
        <f>IF($A401="","",IFERROR(VLOOKUP(K401,DATA!$AH$9:$AI$13,2,0),""))</f>
        <v/>
      </c>
      <c r="S401" s="42" t="str">
        <f t="shared" si="132"/>
        <v/>
      </c>
      <c r="T401" s="8" t="str">
        <f>IF($A401="","",IF(COUNTIF($D$2:D401,D401)=1,1,0))</f>
        <v/>
      </c>
      <c r="U401" s="8" t="str">
        <f>IF($A401="","",IF(F401="-","Cabang tdk ada",IF(IFERROR(VLOOKUP(G401,#REF!,1,0),"")="","",IF(INDEX(DATA!$AH$2:$AH$5,MATCH(G401,DATA!$AI$2:$AI$5,0))&lt;&gt;F401,"Wilayah beda","OK"))))</f>
        <v/>
      </c>
      <c r="V401" s="8" t="str">
        <f>IF($A401="","",TRIM(INDEX(FORM!$I:$I,ROW())&amp;""))</f>
        <v/>
      </c>
      <c r="W401" s="8" t="str">
        <f>IF($A401="","",TRIM(INDEX(FORM!$L:$L,ROW())&amp;""))</f>
        <v/>
      </c>
      <c r="X401" s="8" t="str">
        <f>IF($A401="","",TRIM(INDEX(FORM!$M:$M,ROW())&amp;""))</f>
        <v/>
      </c>
      <c r="Y401" s="8" t="str">
        <f>IF($A401="","",IFERROR(MATCH(F401,DATA!$AH$2:$AH$5,0),9)*10000+A401)</f>
        <v/>
      </c>
      <c r="Z401" s="8" t="str">
        <f t="shared" si="133"/>
        <v/>
      </c>
      <c r="AA401" s="8" t="str">
        <f t="shared" si="134"/>
        <v/>
      </c>
      <c r="AB401" s="8" t="str">
        <f t="shared" si="135"/>
        <v/>
      </c>
      <c r="AC401" s="8"/>
      <c r="AD401" s="8"/>
      <c r="AE401" s="8"/>
      <c r="AK401" s="5" t="str">
        <f t="shared" si="136"/>
        <v/>
      </c>
      <c r="AL401" s="5" t="str">
        <f t="shared" si="137"/>
        <v/>
      </c>
      <c r="AM401" s="5" t="str">
        <f t="shared" si="138"/>
        <v/>
      </c>
      <c r="AN401" s="5" t="str">
        <f t="shared" si="139"/>
        <v/>
      </c>
      <c r="AO401" s="5" t="str">
        <f t="shared" si="140"/>
        <v/>
      </c>
      <c r="AP401" s="5" t="str">
        <f t="shared" si="141"/>
        <v/>
      </c>
      <c r="AQ401" s="5" t="str">
        <f t="shared" si="142"/>
        <v/>
      </c>
      <c r="AR401" s="5" t="str">
        <f t="shared" si="143"/>
        <v/>
      </c>
      <c r="AS401" s="5" t="str">
        <f t="shared" si="144"/>
        <v/>
      </c>
      <c r="AT401" s="5" t="str">
        <f t="shared" si="145"/>
        <v/>
      </c>
      <c r="AU401" s="5" t="str">
        <f t="shared" si="146"/>
        <v/>
      </c>
      <c r="AV401" s="5" t="str">
        <f t="shared" si="147"/>
        <v/>
      </c>
      <c r="AW401" s="5" t="str">
        <f t="shared" si="148"/>
        <v/>
      </c>
      <c r="AX401" s="5" t="str">
        <f t="shared" si="149"/>
        <v/>
      </c>
      <c r="AY401" s="5" t="str">
        <f t="shared" si="150"/>
        <v/>
      </c>
      <c r="AZ401" s="5" t="str">
        <f t="shared" si="151"/>
        <v/>
      </c>
      <c r="BA401" s="5" t="str">
        <f t="shared" si="152"/>
        <v/>
      </c>
      <c r="BB401" s="5" t="str">
        <f t="shared" si="153"/>
        <v/>
      </c>
    </row>
    <row r="402" spans="1:54" s="5" customFormat="1" hidden="1">
      <c r="A402" s="8" t="str">
        <f>IF(INDEX(FORM!$A:$A,ROW())="","",ROW()-1)</f>
        <v/>
      </c>
      <c r="B402" s="41" t="str">
        <f>IF($A402="","",INDEX(FORM!$A:$A,ROW()))</f>
        <v/>
      </c>
      <c r="C402" s="8" t="str">
        <f>IF($A402="","",TRIM(INDEX(FORM!$B:$B,ROW())))</f>
        <v/>
      </c>
      <c r="D402" s="8" t="str">
        <f>IF($A402="","",TRIM(INDEX(FORM!$C:$C,ROW())&amp;""))</f>
        <v/>
      </c>
      <c r="E402" s="8" t="str">
        <f>IF($A402="","",UPPER(TRIM(INDEX(FORM!$D:$D,ROW()))))</f>
        <v/>
      </c>
      <c r="F402" s="8" t="str">
        <f>IF($A402="","",IFERROR(INDEX(PROGRES!$A$2:$A$92,MATCH(E402,PROGRES!$B$2:$B$92,0)),"-"))</f>
        <v/>
      </c>
      <c r="G402" s="8" t="str">
        <f>IF($A402="","",UPPER(TRIM(INDEX(FORM!$F:$F,ROW()))))</f>
        <v/>
      </c>
      <c r="H402" s="8" t="str">
        <f>IF($A402="","",UPPER(TRIM(INDEX(FORM!$E:$E,ROW()))))</f>
        <v/>
      </c>
      <c r="I402" s="8" t="str">
        <f>IF($A402="","",UPPER(TRIM(INDEX(FORM!$G:$G,ROW()))))</f>
        <v/>
      </c>
      <c r="J402" s="8" t="str">
        <f>IF($A402="","",IF(ISNUMBER(SEARCH("Ya,",INDEX(FORM!$H:$H,ROW()))),"YA",IF(ISNUMBER(SEARCH("Cukup,",INDEX(FORM!$H:$H,ROW()))),"CUKUP",IF(ISNUMBER(SEARCH("Kurang,",INDEX(FORM!$H:$H,ROW()))),"KURANG",""))))</f>
        <v/>
      </c>
      <c r="K402" s="8" t="str">
        <f>IF($A402="","",UPPER(TRIM(INDEX(FORM!$J:$J,ROW()))))</f>
        <v/>
      </c>
      <c r="L402" s="8" t="str">
        <f>IF($A402="","",IF(ISNUMBER(SEARCH("Aktivitas Harian",INDEX(FORM!$K:$K,ROW()))),1,0))</f>
        <v/>
      </c>
      <c r="M402" s="8" t="str">
        <f>IF($A402="","",IF(ISNUMBER(SEARCH("Aktivitas Mingguan",INDEX(FORM!$K:$K,ROW()))),1,0))</f>
        <v/>
      </c>
      <c r="N402" s="8" t="str">
        <f>IF($A402="","",IF(ISNUMBER(SEARCH("Aktivitas Bulanan",INDEX(FORM!$K:$K,ROW()))),1,0))</f>
        <v/>
      </c>
      <c r="O402" s="8" t="str">
        <f>IF($A402="","",IF(ISNUMBER(SEARCH("Overview Cabang",INDEX(FORM!$K:$K,ROW()))),1,0))</f>
        <v/>
      </c>
      <c r="P402" s="8" t="str">
        <f>IF($A402="","",IFERROR(VLOOKUP(I402,DATA!$AH$9:$AI$13,2,0),""))</f>
        <v/>
      </c>
      <c r="Q402" s="8" t="str">
        <f>IF($A402="","",IFERROR(VLOOKUP(J402,DATA!$AH$9:$AI$13,2,0),""))</f>
        <v/>
      </c>
      <c r="R402" s="8" t="str">
        <f>IF($A402="","",IFERROR(VLOOKUP(K402,DATA!$AH$9:$AI$13,2,0),""))</f>
        <v/>
      </c>
      <c r="S402" s="42" t="str">
        <f t="shared" si="132"/>
        <v/>
      </c>
      <c r="T402" s="8" t="str">
        <f>IF($A402="","",IF(COUNTIF($D$2:D402,D402)=1,1,0))</f>
        <v/>
      </c>
      <c r="U402" s="8" t="str">
        <f>IF($A402="","",IF(F402="-","Cabang tdk ada",IF(IFERROR(VLOOKUP(G402,#REF!,1,0),"")="","",IF(INDEX(DATA!$AH$2:$AH$5,MATCH(G402,DATA!$AI$2:$AI$5,0))&lt;&gt;F402,"Wilayah beda","OK"))))</f>
        <v/>
      </c>
      <c r="V402" s="8" t="str">
        <f>IF($A402="","",TRIM(INDEX(FORM!$I:$I,ROW())&amp;""))</f>
        <v/>
      </c>
      <c r="W402" s="8" t="str">
        <f>IF($A402="","",TRIM(INDEX(FORM!$L:$L,ROW())&amp;""))</f>
        <v/>
      </c>
      <c r="X402" s="8" t="str">
        <f>IF($A402="","",TRIM(INDEX(FORM!$M:$M,ROW())&amp;""))</f>
        <v/>
      </c>
      <c r="Y402" s="8" t="str">
        <f>IF($A402="","",IFERROR(MATCH(F402,DATA!$AH$2:$AH$5,0),9)*10000+A402)</f>
        <v/>
      </c>
      <c r="Z402" s="8" t="str">
        <f t="shared" si="133"/>
        <v/>
      </c>
      <c r="AA402" s="8" t="str">
        <f t="shared" si="134"/>
        <v/>
      </c>
      <c r="AB402" s="8" t="str">
        <f t="shared" si="135"/>
        <v/>
      </c>
      <c r="AC402" s="8"/>
      <c r="AD402" s="8"/>
      <c r="AE402" s="8"/>
      <c r="AK402" s="5" t="str">
        <f t="shared" si="136"/>
        <v/>
      </c>
      <c r="AL402" s="5" t="str">
        <f t="shared" si="137"/>
        <v/>
      </c>
      <c r="AM402" s="5" t="str">
        <f t="shared" si="138"/>
        <v/>
      </c>
      <c r="AN402" s="5" t="str">
        <f t="shared" si="139"/>
        <v/>
      </c>
      <c r="AO402" s="5" t="str">
        <f t="shared" si="140"/>
        <v/>
      </c>
      <c r="AP402" s="5" t="str">
        <f t="shared" si="141"/>
        <v/>
      </c>
      <c r="AQ402" s="5" t="str">
        <f t="shared" si="142"/>
        <v/>
      </c>
      <c r="AR402" s="5" t="str">
        <f t="shared" si="143"/>
        <v/>
      </c>
      <c r="AS402" s="5" t="str">
        <f t="shared" si="144"/>
        <v/>
      </c>
      <c r="AT402" s="5" t="str">
        <f t="shared" si="145"/>
        <v/>
      </c>
      <c r="AU402" s="5" t="str">
        <f t="shared" si="146"/>
        <v/>
      </c>
      <c r="AV402" s="5" t="str">
        <f t="shared" si="147"/>
        <v/>
      </c>
      <c r="AW402" s="5" t="str">
        <f t="shared" si="148"/>
        <v/>
      </c>
      <c r="AX402" s="5" t="str">
        <f t="shared" si="149"/>
        <v/>
      </c>
      <c r="AY402" s="5" t="str">
        <f t="shared" si="150"/>
        <v/>
      </c>
      <c r="AZ402" s="5" t="str">
        <f t="shared" si="151"/>
        <v/>
      </c>
      <c r="BA402" s="5" t="str">
        <f t="shared" si="152"/>
        <v/>
      </c>
      <c r="BB402" s="5" t="str">
        <f t="shared" si="153"/>
        <v/>
      </c>
    </row>
    <row r="403" spans="1:54" s="5" customFormat="1" hidden="1">
      <c r="A403" s="8" t="str">
        <f>IF(INDEX(FORM!$A:$A,ROW())="","",ROW()-1)</f>
        <v/>
      </c>
      <c r="B403" s="41" t="str">
        <f>IF($A403="","",INDEX(FORM!$A:$A,ROW()))</f>
        <v/>
      </c>
      <c r="C403" s="8" t="str">
        <f>IF($A403="","",TRIM(INDEX(FORM!$B:$B,ROW())))</f>
        <v/>
      </c>
      <c r="D403" s="8" t="str">
        <f>IF($A403="","",TRIM(INDEX(FORM!$C:$C,ROW())&amp;""))</f>
        <v/>
      </c>
      <c r="E403" s="8" t="str">
        <f>IF($A403="","",UPPER(TRIM(INDEX(FORM!$D:$D,ROW()))))</f>
        <v/>
      </c>
      <c r="F403" s="8" t="str">
        <f>IF($A403="","",IFERROR(INDEX(PROGRES!$A$2:$A$92,MATCH(E403,PROGRES!$B$2:$B$92,0)),"-"))</f>
        <v/>
      </c>
      <c r="G403" s="8" t="str">
        <f>IF($A403="","",UPPER(TRIM(INDEX(FORM!$F:$F,ROW()))))</f>
        <v/>
      </c>
      <c r="H403" s="8" t="str">
        <f>IF($A403="","",UPPER(TRIM(INDEX(FORM!$E:$E,ROW()))))</f>
        <v/>
      </c>
      <c r="I403" s="8" t="str">
        <f>IF($A403="","",UPPER(TRIM(INDEX(FORM!$G:$G,ROW()))))</f>
        <v/>
      </c>
      <c r="J403" s="8" t="str">
        <f>IF($A403="","",IF(ISNUMBER(SEARCH("Ya,",INDEX(FORM!$H:$H,ROW()))),"YA",IF(ISNUMBER(SEARCH("Cukup,",INDEX(FORM!$H:$H,ROW()))),"CUKUP",IF(ISNUMBER(SEARCH("Kurang,",INDEX(FORM!$H:$H,ROW()))),"KURANG",""))))</f>
        <v/>
      </c>
      <c r="K403" s="8" t="str">
        <f>IF($A403="","",UPPER(TRIM(INDEX(FORM!$J:$J,ROW()))))</f>
        <v/>
      </c>
      <c r="L403" s="8" t="str">
        <f>IF($A403="","",IF(ISNUMBER(SEARCH("Aktivitas Harian",INDEX(FORM!$K:$K,ROW()))),1,0))</f>
        <v/>
      </c>
      <c r="M403" s="8" t="str">
        <f>IF($A403="","",IF(ISNUMBER(SEARCH("Aktivitas Mingguan",INDEX(FORM!$K:$K,ROW()))),1,0))</f>
        <v/>
      </c>
      <c r="N403" s="8" t="str">
        <f>IF($A403="","",IF(ISNUMBER(SEARCH("Aktivitas Bulanan",INDEX(FORM!$K:$K,ROW()))),1,0))</f>
        <v/>
      </c>
      <c r="O403" s="8" t="str">
        <f>IF($A403="","",IF(ISNUMBER(SEARCH("Overview Cabang",INDEX(FORM!$K:$K,ROW()))),1,0))</f>
        <v/>
      </c>
      <c r="P403" s="8" t="str">
        <f>IF($A403="","",IFERROR(VLOOKUP(I403,DATA!$AH$9:$AI$13,2,0),""))</f>
        <v/>
      </c>
      <c r="Q403" s="8" t="str">
        <f>IF($A403="","",IFERROR(VLOOKUP(J403,DATA!$AH$9:$AI$13,2,0),""))</f>
        <v/>
      </c>
      <c r="R403" s="8" t="str">
        <f>IF($A403="","",IFERROR(VLOOKUP(K403,DATA!$AH$9:$AI$13,2,0),""))</f>
        <v/>
      </c>
      <c r="S403" s="42" t="str">
        <f t="shared" si="132"/>
        <v/>
      </c>
      <c r="T403" s="8" t="str">
        <f>IF($A403="","",IF(COUNTIF($D$2:D403,D403)=1,1,0))</f>
        <v/>
      </c>
      <c r="U403" s="8" t="str">
        <f>IF($A403="","",IF(F403="-","Cabang tdk ada",IF(IFERROR(VLOOKUP(G403,#REF!,1,0),"")="","",IF(INDEX(DATA!$AH$2:$AH$5,MATCH(G403,DATA!$AI$2:$AI$5,0))&lt;&gt;F403,"Wilayah beda","OK"))))</f>
        <v/>
      </c>
      <c r="V403" s="8" t="str">
        <f>IF($A403="","",TRIM(INDEX(FORM!$I:$I,ROW())&amp;""))</f>
        <v/>
      </c>
      <c r="W403" s="8" t="str">
        <f>IF($A403="","",TRIM(INDEX(FORM!$L:$L,ROW())&amp;""))</f>
        <v/>
      </c>
      <c r="X403" s="8" t="str">
        <f>IF($A403="","",TRIM(INDEX(FORM!$M:$M,ROW())&amp;""))</f>
        <v/>
      </c>
      <c r="Y403" s="8" t="str">
        <f>IF($A403="","",IFERROR(MATCH(F403,DATA!$AH$2:$AH$5,0),9)*10000+A403)</f>
        <v/>
      </c>
      <c r="Z403" s="8" t="str">
        <f t="shared" si="133"/>
        <v/>
      </c>
      <c r="AA403" s="8" t="str">
        <f t="shared" si="134"/>
        <v/>
      </c>
      <c r="AB403" s="8" t="str">
        <f t="shared" si="135"/>
        <v/>
      </c>
      <c r="AC403" s="8"/>
      <c r="AD403" s="8"/>
      <c r="AE403" s="8"/>
      <c r="AK403" s="5" t="str">
        <f t="shared" si="136"/>
        <v/>
      </c>
      <c r="AL403" s="5" t="str">
        <f t="shared" si="137"/>
        <v/>
      </c>
      <c r="AM403" s="5" t="str">
        <f t="shared" si="138"/>
        <v/>
      </c>
      <c r="AN403" s="5" t="str">
        <f t="shared" si="139"/>
        <v/>
      </c>
      <c r="AO403" s="5" t="str">
        <f t="shared" si="140"/>
        <v/>
      </c>
      <c r="AP403" s="5" t="str">
        <f t="shared" si="141"/>
        <v/>
      </c>
      <c r="AQ403" s="5" t="str">
        <f t="shared" si="142"/>
        <v/>
      </c>
      <c r="AR403" s="5" t="str">
        <f t="shared" si="143"/>
        <v/>
      </c>
      <c r="AS403" s="5" t="str">
        <f t="shared" si="144"/>
        <v/>
      </c>
      <c r="AT403" s="5" t="str">
        <f t="shared" si="145"/>
        <v/>
      </c>
      <c r="AU403" s="5" t="str">
        <f t="shared" si="146"/>
        <v/>
      </c>
      <c r="AV403" s="5" t="str">
        <f t="shared" si="147"/>
        <v/>
      </c>
      <c r="AW403" s="5" t="str">
        <f t="shared" si="148"/>
        <v/>
      </c>
      <c r="AX403" s="5" t="str">
        <f t="shared" si="149"/>
        <v/>
      </c>
      <c r="AY403" s="5" t="str">
        <f t="shared" si="150"/>
        <v/>
      </c>
      <c r="AZ403" s="5" t="str">
        <f t="shared" si="151"/>
        <v/>
      </c>
      <c r="BA403" s="5" t="str">
        <f t="shared" si="152"/>
        <v/>
      </c>
      <c r="BB403" s="5" t="str">
        <f t="shared" si="153"/>
        <v/>
      </c>
    </row>
    <row r="404" spans="1:54" s="5" customFormat="1" hidden="1">
      <c r="A404" s="8" t="str">
        <f>IF(INDEX(FORM!$A:$A,ROW())="","",ROW()-1)</f>
        <v/>
      </c>
      <c r="B404" s="41" t="str">
        <f>IF($A404="","",INDEX(FORM!$A:$A,ROW()))</f>
        <v/>
      </c>
      <c r="C404" s="8" t="str">
        <f>IF($A404="","",TRIM(INDEX(FORM!$B:$B,ROW())))</f>
        <v/>
      </c>
      <c r="D404" s="8" t="str">
        <f>IF($A404="","",TRIM(INDEX(FORM!$C:$C,ROW())&amp;""))</f>
        <v/>
      </c>
      <c r="E404" s="8" t="str">
        <f>IF($A404="","",UPPER(TRIM(INDEX(FORM!$D:$D,ROW()))))</f>
        <v/>
      </c>
      <c r="F404" s="8" t="str">
        <f>IF($A404="","",IFERROR(INDEX(PROGRES!$A$2:$A$92,MATCH(E404,PROGRES!$B$2:$B$92,0)),"-"))</f>
        <v/>
      </c>
      <c r="G404" s="8" t="str">
        <f>IF($A404="","",UPPER(TRIM(INDEX(FORM!$F:$F,ROW()))))</f>
        <v/>
      </c>
      <c r="H404" s="8" t="str">
        <f>IF($A404="","",UPPER(TRIM(INDEX(FORM!$E:$E,ROW()))))</f>
        <v/>
      </c>
      <c r="I404" s="8" t="str">
        <f>IF($A404="","",UPPER(TRIM(INDEX(FORM!$G:$G,ROW()))))</f>
        <v/>
      </c>
      <c r="J404" s="8" t="str">
        <f>IF($A404="","",IF(ISNUMBER(SEARCH("Ya,",INDEX(FORM!$H:$H,ROW()))),"YA",IF(ISNUMBER(SEARCH("Cukup,",INDEX(FORM!$H:$H,ROW()))),"CUKUP",IF(ISNUMBER(SEARCH("Kurang,",INDEX(FORM!$H:$H,ROW()))),"KURANG",""))))</f>
        <v/>
      </c>
      <c r="K404" s="8" t="str">
        <f>IF($A404="","",UPPER(TRIM(INDEX(FORM!$J:$J,ROW()))))</f>
        <v/>
      </c>
      <c r="L404" s="8" t="str">
        <f>IF($A404="","",IF(ISNUMBER(SEARCH("Aktivitas Harian",INDEX(FORM!$K:$K,ROW()))),1,0))</f>
        <v/>
      </c>
      <c r="M404" s="8" t="str">
        <f>IF($A404="","",IF(ISNUMBER(SEARCH("Aktivitas Mingguan",INDEX(FORM!$K:$K,ROW()))),1,0))</f>
        <v/>
      </c>
      <c r="N404" s="8" t="str">
        <f>IF($A404="","",IF(ISNUMBER(SEARCH("Aktivitas Bulanan",INDEX(FORM!$K:$K,ROW()))),1,0))</f>
        <v/>
      </c>
      <c r="O404" s="8" t="str">
        <f>IF($A404="","",IF(ISNUMBER(SEARCH("Overview Cabang",INDEX(FORM!$K:$K,ROW()))),1,0))</f>
        <v/>
      </c>
      <c r="P404" s="8" t="str">
        <f>IF($A404="","",IFERROR(VLOOKUP(I404,DATA!$AH$9:$AI$13,2,0),""))</f>
        <v/>
      </c>
      <c r="Q404" s="8" t="str">
        <f>IF($A404="","",IFERROR(VLOOKUP(J404,DATA!$AH$9:$AI$13,2,0),""))</f>
        <v/>
      </c>
      <c r="R404" s="8" t="str">
        <f>IF($A404="","",IFERROR(VLOOKUP(K404,DATA!$AH$9:$AI$13,2,0),""))</f>
        <v/>
      </c>
      <c r="S404" s="42" t="str">
        <f t="shared" si="132"/>
        <v/>
      </c>
      <c r="T404" s="8" t="str">
        <f>IF($A404="","",IF(COUNTIF($D$2:D404,D404)=1,1,0))</f>
        <v/>
      </c>
      <c r="U404" s="8" t="str">
        <f>IF($A404="","",IF(F404="-","Cabang tdk ada",IF(IFERROR(VLOOKUP(G404,#REF!,1,0),"")="","",IF(INDEX(DATA!$AH$2:$AH$5,MATCH(G404,DATA!$AI$2:$AI$5,0))&lt;&gt;F404,"Wilayah beda","OK"))))</f>
        <v/>
      </c>
      <c r="V404" s="8" t="str">
        <f>IF($A404="","",TRIM(INDEX(FORM!$I:$I,ROW())&amp;""))</f>
        <v/>
      </c>
      <c r="W404" s="8" t="str">
        <f>IF($A404="","",TRIM(INDEX(FORM!$L:$L,ROW())&amp;""))</f>
        <v/>
      </c>
      <c r="X404" s="8" t="str">
        <f>IF($A404="","",TRIM(INDEX(FORM!$M:$M,ROW())&amp;""))</f>
        <v/>
      </c>
      <c r="Y404" s="8" t="str">
        <f>IF($A404="","",IFERROR(MATCH(F404,DATA!$AH$2:$AH$5,0),9)*10000+A404)</f>
        <v/>
      </c>
      <c r="Z404" s="8" t="str">
        <f t="shared" si="133"/>
        <v/>
      </c>
      <c r="AA404" s="8" t="str">
        <f t="shared" si="134"/>
        <v/>
      </c>
      <c r="AB404" s="8" t="str">
        <f t="shared" si="135"/>
        <v/>
      </c>
      <c r="AC404" s="8"/>
      <c r="AD404" s="8"/>
      <c r="AE404" s="8"/>
      <c r="AK404" s="5" t="str">
        <f t="shared" si="136"/>
        <v/>
      </c>
      <c r="AL404" s="5" t="str">
        <f t="shared" si="137"/>
        <v/>
      </c>
      <c r="AM404" s="5" t="str">
        <f t="shared" si="138"/>
        <v/>
      </c>
      <c r="AN404" s="5" t="str">
        <f t="shared" si="139"/>
        <v/>
      </c>
      <c r="AO404" s="5" t="str">
        <f t="shared" si="140"/>
        <v/>
      </c>
      <c r="AP404" s="5" t="str">
        <f t="shared" si="141"/>
        <v/>
      </c>
      <c r="AQ404" s="5" t="str">
        <f t="shared" si="142"/>
        <v/>
      </c>
      <c r="AR404" s="5" t="str">
        <f t="shared" si="143"/>
        <v/>
      </c>
      <c r="AS404" s="5" t="str">
        <f t="shared" si="144"/>
        <v/>
      </c>
      <c r="AT404" s="5" t="str">
        <f t="shared" si="145"/>
        <v/>
      </c>
      <c r="AU404" s="5" t="str">
        <f t="shared" si="146"/>
        <v/>
      </c>
      <c r="AV404" s="5" t="str">
        <f t="shared" si="147"/>
        <v/>
      </c>
      <c r="AW404" s="5" t="str">
        <f t="shared" si="148"/>
        <v/>
      </c>
      <c r="AX404" s="5" t="str">
        <f t="shared" si="149"/>
        <v/>
      </c>
      <c r="AY404" s="5" t="str">
        <f t="shared" si="150"/>
        <v/>
      </c>
      <c r="AZ404" s="5" t="str">
        <f t="shared" si="151"/>
        <v/>
      </c>
      <c r="BA404" s="5" t="str">
        <f t="shared" si="152"/>
        <v/>
      </c>
      <c r="BB404" s="5" t="str">
        <f t="shared" si="153"/>
        <v/>
      </c>
    </row>
    <row r="405" spans="1:54" s="5" customFormat="1" hidden="1">
      <c r="A405" s="8" t="str">
        <f>IF(INDEX(FORM!$A:$A,ROW())="","",ROW()-1)</f>
        <v/>
      </c>
      <c r="B405" s="41" t="str">
        <f>IF($A405="","",INDEX(FORM!$A:$A,ROW()))</f>
        <v/>
      </c>
      <c r="C405" s="8" t="str">
        <f>IF($A405="","",TRIM(INDEX(FORM!$B:$B,ROW())))</f>
        <v/>
      </c>
      <c r="D405" s="8" t="str">
        <f>IF($A405="","",TRIM(INDEX(FORM!$C:$C,ROW())&amp;""))</f>
        <v/>
      </c>
      <c r="E405" s="8" t="str">
        <f>IF($A405="","",UPPER(TRIM(INDEX(FORM!$D:$D,ROW()))))</f>
        <v/>
      </c>
      <c r="F405" s="8" t="str">
        <f>IF($A405="","",IFERROR(INDEX(PROGRES!$A$2:$A$92,MATCH(E405,PROGRES!$B$2:$B$92,0)),"-"))</f>
        <v/>
      </c>
      <c r="G405" s="8" t="str">
        <f>IF($A405="","",UPPER(TRIM(INDEX(FORM!$F:$F,ROW()))))</f>
        <v/>
      </c>
      <c r="H405" s="8" t="str">
        <f>IF($A405="","",UPPER(TRIM(INDEX(FORM!$E:$E,ROW()))))</f>
        <v/>
      </c>
      <c r="I405" s="8" t="str">
        <f>IF($A405="","",UPPER(TRIM(INDEX(FORM!$G:$G,ROW()))))</f>
        <v/>
      </c>
      <c r="J405" s="8" t="str">
        <f>IF($A405="","",IF(ISNUMBER(SEARCH("Ya,",INDEX(FORM!$H:$H,ROW()))),"YA",IF(ISNUMBER(SEARCH("Cukup,",INDEX(FORM!$H:$H,ROW()))),"CUKUP",IF(ISNUMBER(SEARCH("Kurang,",INDEX(FORM!$H:$H,ROW()))),"KURANG",""))))</f>
        <v/>
      </c>
      <c r="K405" s="8" t="str">
        <f>IF($A405="","",UPPER(TRIM(INDEX(FORM!$J:$J,ROW()))))</f>
        <v/>
      </c>
      <c r="L405" s="8" t="str">
        <f>IF($A405="","",IF(ISNUMBER(SEARCH("Aktivitas Harian",INDEX(FORM!$K:$K,ROW()))),1,0))</f>
        <v/>
      </c>
      <c r="M405" s="8" t="str">
        <f>IF($A405="","",IF(ISNUMBER(SEARCH("Aktivitas Mingguan",INDEX(FORM!$K:$K,ROW()))),1,0))</f>
        <v/>
      </c>
      <c r="N405" s="8" t="str">
        <f>IF($A405="","",IF(ISNUMBER(SEARCH("Aktivitas Bulanan",INDEX(FORM!$K:$K,ROW()))),1,0))</f>
        <v/>
      </c>
      <c r="O405" s="8" t="str">
        <f>IF($A405="","",IF(ISNUMBER(SEARCH("Overview Cabang",INDEX(FORM!$K:$K,ROW()))),1,0))</f>
        <v/>
      </c>
      <c r="P405" s="8" t="str">
        <f>IF($A405="","",IFERROR(VLOOKUP(I405,DATA!$AH$9:$AI$13,2,0),""))</f>
        <v/>
      </c>
      <c r="Q405" s="8" t="str">
        <f>IF($A405="","",IFERROR(VLOOKUP(J405,DATA!$AH$9:$AI$13,2,0),""))</f>
        <v/>
      </c>
      <c r="R405" s="8" t="str">
        <f>IF($A405="","",IFERROR(VLOOKUP(K405,DATA!$AH$9:$AI$13,2,0),""))</f>
        <v/>
      </c>
      <c r="S405" s="42" t="str">
        <f t="shared" si="132"/>
        <v/>
      </c>
      <c r="T405" s="8" t="str">
        <f>IF($A405="","",IF(COUNTIF($D$2:D405,D405)=1,1,0))</f>
        <v/>
      </c>
      <c r="U405" s="8" t="str">
        <f>IF($A405="","",IF(F405="-","Cabang tdk ada",IF(IFERROR(VLOOKUP(G405,#REF!,1,0),"")="","",IF(INDEX(DATA!$AH$2:$AH$5,MATCH(G405,DATA!$AI$2:$AI$5,0))&lt;&gt;F405,"Wilayah beda","OK"))))</f>
        <v/>
      </c>
      <c r="V405" s="8" t="str">
        <f>IF($A405="","",TRIM(INDEX(FORM!$I:$I,ROW())&amp;""))</f>
        <v/>
      </c>
      <c r="W405" s="8" t="str">
        <f>IF($A405="","",TRIM(INDEX(FORM!$L:$L,ROW())&amp;""))</f>
        <v/>
      </c>
      <c r="X405" s="8" t="str">
        <f>IF($A405="","",TRIM(INDEX(FORM!$M:$M,ROW())&amp;""))</f>
        <v/>
      </c>
      <c r="Y405" s="8" t="str">
        <f>IF($A405="","",IFERROR(MATCH(F405,DATA!$AH$2:$AH$5,0),9)*10000+A405)</f>
        <v/>
      </c>
      <c r="Z405" s="8" t="str">
        <f t="shared" si="133"/>
        <v/>
      </c>
      <c r="AA405" s="8" t="str">
        <f t="shared" si="134"/>
        <v/>
      </c>
      <c r="AB405" s="8" t="str">
        <f t="shared" si="135"/>
        <v/>
      </c>
      <c r="AC405" s="8"/>
      <c r="AD405" s="8"/>
      <c r="AE405" s="8"/>
      <c r="AK405" s="5" t="str">
        <f t="shared" si="136"/>
        <v/>
      </c>
      <c r="AL405" s="5" t="str">
        <f t="shared" si="137"/>
        <v/>
      </c>
      <c r="AM405" s="5" t="str">
        <f t="shared" si="138"/>
        <v/>
      </c>
      <c r="AN405" s="5" t="str">
        <f t="shared" si="139"/>
        <v/>
      </c>
      <c r="AO405" s="5" t="str">
        <f t="shared" si="140"/>
        <v/>
      </c>
      <c r="AP405" s="5" t="str">
        <f t="shared" si="141"/>
        <v/>
      </c>
      <c r="AQ405" s="5" t="str">
        <f t="shared" si="142"/>
        <v/>
      </c>
      <c r="AR405" s="5" t="str">
        <f t="shared" si="143"/>
        <v/>
      </c>
      <c r="AS405" s="5" t="str">
        <f t="shared" si="144"/>
        <v/>
      </c>
      <c r="AT405" s="5" t="str">
        <f t="shared" si="145"/>
        <v/>
      </c>
      <c r="AU405" s="5" t="str">
        <f t="shared" si="146"/>
        <v/>
      </c>
      <c r="AV405" s="5" t="str">
        <f t="shared" si="147"/>
        <v/>
      </c>
      <c r="AW405" s="5" t="str">
        <f t="shared" si="148"/>
        <v/>
      </c>
      <c r="AX405" s="5" t="str">
        <f t="shared" si="149"/>
        <v/>
      </c>
      <c r="AY405" s="5" t="str">
        <f t="shared" si="150"/>
        <v/>
      </c>
      <c r="AZ405" s="5" t="str">
        <f t="shared" si="151"/>
        <v/>
      </c>
      <c r="BA405" s="5" t="str">
        <f t="shared" si="152"/>
        <v/>
      </c>
      <c r="BB405" s="5" t="str">
        <f t="shared" si="153"/>
        <v/>
      </c>
    </row>
    <row r="406" spans="1:54" s="5" customFormat="1" hidden="1">
      <c r="A406" s="8" t="str">
        <f>IF(INDEX(FORM!$A:$A,ROW())="","",ROW()-1)</f>
        <v/>
      </c>
      <c r="B406" s="41" t="str">
        <f>IF($A406="","",INDEX(FORM!$A:$A,ROW()))</f>
        <v/>
      </c>
      <c r="C406" s="8" t="str">
        <f>IF($A406="","",TRIM(INDEX(FORM!$B:$B,ROW())))</f>
        <v/>
      </c>
      <c r="D406" s="8" t="str">
        <f>IF($A406="","",TRIM(INDEX(FORM!$C:$C,ROW())&amp;""))</f>
        <v/>
      </c>
      <c r="E406" s="8" t="str">
        <f>IF($A406="","",UPPER(TRIM(INDEX(FORM!$D:$D,ROW()))))</f>
        <v/>
      </c>
      <c r="F406" s="8" t="str">
        <f>IF($A406="","",IFERROR(INDEX(PROGRES!$A$2:$A$92,MATCH(E406,PROGRES!$B$2:$B$92,0)),"-"))</f>
        <v/>
      </c>
      <c r="G406" s="8" t="str">
        <f>IF($A406="","",UPPER(TRIM(INDEX(FORM!$F:$F,ROW()))))</f>
        <v/>
      </c>
      <c r="H406" s="8" t="str">
        <f>IF($A406="","",UPPER(TRIM(INDEX(FORM!$E:$E,ROW()))))</f>
        <v/>
      </c>
      <c r="I406" s="8" t="str">
        <f>IF($A406="","",UPPER(TRIM(INDEX(FORM!$G:$G,ROW()))))</f>
        <v/>
      </c>
      <c r="J406" s="8" t="str">
        <f>IF($A406="","",IF(ISNUMBER(SEARCH("Ya,",INDEX(FORM!$H:$H,ROW()))),"YA",IF(ISNUMBER(SEARCH("Cukup,",INDEX(FORM!$H:$H,ROW()))),"CUKUP",IF(ISNUMBER(SEARCH("Kurang,",INDEX(FORM!$H:$H,ROW()))),"KURANG",""))))</f>
        <v/>
      </c>
      <c r="K406" s="8" t="str">
        <f>IF($A406="","",UPPER(TRIM(INDEX(FORM!$J:$J,ROW()))))</f>
        <v/>
      </c>
      <c r="L406" s="8" t="str">
        <f>IF($A406="","",IF(ISNUMBER(SEARCH("Aktivitas Harian",INDEX(FORM!$K:$K,ROW()))),1,0))</f>
        <v/>
      </c>
      <c r="M406" s="8" t="str">
        <f>IF($A406="","",IF(ISNUMBER(SEARCH("Aktivitas Mingguan",INDEX(FORM!$K:$K,ROW()))),1,0))</f>
        <v/>
      </c>
      <c r="N406" s="8" t="str">
        <f>IF($A406="","",IF(ISNUMBER(SEARCH("Aktivitas Bulanan",INDEX(FORM!$K:$K,ROW()))),1,0))</f>
        <v/>
      </c>
      <c r="O406" s="8" t="str">
        <f>IF($A406="","",IF(ISNUMBER(SEARCH("Overview Cabang",INDEX(FORM!$K:$K,ROW()))),1,0))</f>
        <v/>
      </c>
      <c r="P406" s="8" t="str">
        <f>IF($A406="","",IFERROR(VLOOKUP(I406,DATA!$AH$9:$AI$13,2,0),""))</f>
        <v/>
      </c>
      <c r="Q406" s="8" t="str">
        <f>IF($A406="","",IFERROR(VLOOKUP(J406,DATA!$AH$9:$AI$13,2,0),""))</f>
        <v/>
      </c>
      <c r="R406" s="8" t="str">
        <f>IF($A406="","",IFERROR(VLOOKUP(K406,DATA!$AH$9:$AI$13,2,0),""))</f>
        <v/>
      </c>
      <c r="S406" s="42" t="str">
        <f t="shared" si="132"/>
        <v/>
      </c>
      <c r="T406" s="8" t="str">
        <f>IF($A406="","",IF(COUNTIF($D$2:D406,D406)=1,1,0))</f>
        <v/>
      </c>
      <c r="U406" s="8" t="str">
        <f>IF($A406="","",IF(F406="-","Cabang tdk ada",IF(IFERROR(VLOOKUP(G406,#REF!,1,0),"")="","",IF(INDEX(DATA!$AH$2:$AH$5,MATCH(G406,DATA!$AI$2:$AI$5,0))&lt;&gt;F406,"Wilayah beda","OK"))))</f>
        <v/>
      </c>
      <c r="V406" s="8" t="str">
        <f>IF($A406="","",TRIM(INDEX(FORM!$I:$I,ROW())&amp;""))</f>
        <v/>
      </c>
      <c r="W406" s="8" t="str">
        <f>IF($A406="","",TRIM(INDEX(FORM!$L:$L,ROW())&amp;""))</f>
        <v/>
      </c>
      <c r="X406" s="8" t="str">
        <f>IF($A406="","",TRIM(INDEX(FORM!$M:$M,ROW())&amp;""))</f>
        <v/>
      </c>
      <c r="Y406" s="8" t="str">
        <f>IF($A406="","",IFERROR(MATCH(F406,DATA!$AH$2:$AH$5,0),9)*10000+A406)</f>
        <v/>
      </c>
      <c r="Z406" s="8" t="str">
        <f t="shared" si="133"/>
        <v/>
      </c>
      <c r="AA406" s="8" t="str">
        <f t="shared" si="134"/>
        <v/>
      </c>
      <c r="AB406" s="8" t="str">
        <f t="shared" si="135"/>
        <v/>
      </c>
      <c r="AC406" s="8"/>
      <c r="AD406" s="8"/>
      <c r="AE406" s="8"/>
      <c r="AK406" s="5" t="str">
        <f t="shared" si="136"/>
        <v/>
      </c>
      <c r="AL406" s="5" t="str">
        <f t="shared" si="137"/>
        <v/>
      </c>
      <c r="AM406" s="5" t="str">
        <f t="shared" si="138"/>
        <v/>
      </c>
      <c r="AN406" s="5" t="str">
        <f t="shared" si="139"/>
        <v/>
      </c>
      <c r="AO406" s="5" t="str">
        <f t="shared" si="140"/>
        <v/>
      </c>
      <c r="AP406" s="5" t="str">
        <f t="shared" si="141"/>
        <v/>
      </c>
      <c r="AQ406" s="5" t="str">
        <f t="shared" si="142"/>
        <v/>
      </c>
      <c r="AR406" s="5" t="str">
        <f t="shared" si="143"/>
        <v/>
      </c>
      <c r="AS406" s="5" t="str">
        <f t="shared" si="144"/>
        <v/>
      </c>
      <c r="AT406" s="5" t="str">
        <f t="shared" si="145"/>
        <v/>
      </c>
      <c r="AU406" s="5" t="str">
        <f t="shared" si="146"/>
        <v/>
      </c>
      <c r="AV406" s="5" t="str">
        <f t="shared" si="147"/>
        <v/>
      </c>
      <c r="AW406" s="5" t="str">
        <f t="shared" si="148"/>
        <v/>
      </c>
      <c r="AX406" s="5" t="str">
        <f t="shared" si="149"/>
        <v/>
      </c>
      <c r="AY406" s="5" t="str">
        <f t="shared" si="150"/>
        <v/>
      </c>
      <c r="AZ406" s="5" t="str">
        <f t="shared" si="151"/>
        <v/>
      </c>
      <c r="BA406" s="5" t="str">
        <f t="shared" si="152"/>
        <v/>
      </c>
      <c r="BB406" s="5" t="str">
        <f t="shared" si="153"/>
        <v/>
      </c>
    </row>
    <row r="407" spans="1:54" s="5" customFormat="1" hidden="1">
      <c r="A407" s="8" t="str">
        <f>IF(INDEX(FORM!$A:$A,ROW())="","",ROW()-1)</f>
        <v/>
      </c>
      <c r="B407" s="41" t="str">
        <f>IF($A407="","",INDEX(FORM!$A:$A,ROW()))</f>
        <v/>
      </c>
      <c r="C407" s="8" t="str">
        <f>IF($A407="","",TRIM(INDEX(FORM!$B:$B,ROW())))</f>
        <v/>
      </c>
      <c r="D407" s="8" t="str">
        <f>IF($A407="","",TRIM(INDEX(FORM!$C:$C,ROW())&amp;""))</f>
        <v/>
      </c>
      <c r="E407" s="8" t="str">
        <f>IF($A407="","",UPPER(TRIM(INDEX(FORM!$D:$D,ROW()))))</f>
        <v/>
      </c>
      <c r="F407" s="8" t="str">
        <f>IF($A407="","",IFERROR(INDEX(PROGRES!$A$2:$A$92,MATCH(E407,PROGRES!$B$2:$B$92,0)),"-"))</f>
        <v/>
      </c>
      <c r="G407" s="8" t="str">
        <f>IF($A407="","",UPPER(TRIM(INDEX(FORM!$F:$F,ROW()))))</f>
        <v/>
      </c>
      <c r="H407" s="8" t="str">
        <f>IF($A407="","",UPPER(TRIM(INDEX(FORM!$E:$E,ROW()))))</f>
        <v/>
      </c>
      <c r="I407" s="8" t="str">
        <f>IF($A407="","",UPPER(TRIM(INDEX(FORM!$G:$G,ROW()))))</f>
        <v/>
      </c>
      <c r="J407" s="8" t="str">
        <f>IF($A407="","",IF(ISNUMBER(SEARCH("Ya,",INDEX(FORM!$H:$H,ROW()))),"YA",IF(ISNUMBER(SEARCH("Cukup,",INDEX(FORM!$H:$H,ROW()))),"CUKUP",IF(ISNUMBER(SEARCH("Kurang,",INDEX(FORM!$H:$H,ROW()))),"KURANG",""))))</f>
        <v/>
      </c>
      <c r="K407" s="8" t="str">
        <f>IF($A407="","",UPPER(TRIM(INDEX(FORM!$J:$J,ROW()))))</f>
        <v/>
      </c>
      <c r="L407" s="8" t="str">
        <f>IF($A407="","",IF(ISNUMBER(SEARCH("Aktivitas Harian",INDEX(FORM!$K:$K,ROW()))),1,0))</f>
        <v/>
      </c>
      <c r="M407" s="8" t="str">
        <f>IF($A407="","",IF(ISNUMBER(SEARCH("Aktivitas Mingguan",INDEX(FORM!$K:$K,ROW()))),1,0))</f>
        <v/>
      </c>
      <c r="N407" s="8" t="str">
        <f>IF($A407="","",IF(ISNUMBER(SEARCH("Aktivitas Bulanan",INDEX(FORM!$K:$K,ROW()))),1,0))</f>
        <v/>
      </c>
      <c r="O407" s="8" t="str">
        <f>IF($A407="","",IF(ISNUMBER(SEARCH("Overview Cabang",INDEX(FORM!$K:$K,ROW()))),1,0))</f>
        <v/>
      </c>
      <c r="P407" s="8" t="str">
        <f>IF($A407="","",IFERROR(VLOOKUP(I407,DATA!$AH$9:$AI$13,2,0),""))</f>
        <v/>
      </c>
      <c r="Q407" s="8" t="str">
        <f>IF($A407="","",IFERROR(VLOOKUP(J407,DATA!$AH$9:$AI$13,2,0),""))</f>
        <v/>
      </c>
      <c r="R407" s="8" t="str">
        <f>IF($A407="","",IFERROR(VLOOKUP(K407,DATA!$AH$9:$AI$13,2,0),""))</f>
        <v/>
      </c>
      <c r="S407" s="42" t="str">
        <f t="shared" si="132"/>
        <v/>
      </c>
      <c r="T407" s="8" t="str">
        <f>IF($A407="","",IF(COUNTIF($D$2:D407,D407)=1,1,0))</f>
        <v/>
      </c>
      <c r="U407" s="8" t="str">
        <f>IF($A407="","",IF(F407="-","Cabang tdk ada",IF(IFERROR(VLOOKUP(G407,#REF!,1,0),"")="","",IF(INDEX(DATA!$AH$2:$AH$5,MATCH(G407,DATA!$AI$2:$AI$5,0))&lt;&gt;F407,"Wilayah beda","OK"))))</f>
        <v/>
      </c>
      <c r="V407" s="8" t="str">
        <f>IF($A407="","",TRIM(INDEX(FORM!$I:$I,ROW())&amp;""))</f>
        <v/>
      </c>
      <c r="W407" s="8" t="str">
        <f>IF($A407="","",TRIM(INDEX(FORM!$L:$L,ROW())&amp;""))</f>
        <v/>
      </c>
      <c r="X407" s="8" t="str">
        <f>IF($A407="","",TRIM(INDEX(FORM!$M:$M,ROW())&amp;""))</f>
        <v/>
      </c>
      <c r="Y407" s="8" t="str">
        <f>IF($A407="","",IFERROR(MATCH(F407,DATA!$AH$2:$AH$5,0),9)*10000+A407)</f>
        <v/>
      </c>
      <c r="Z407" s="8" t="str">
        <f t="shared" si="133"/>
        <v/>
      </c>
      <c r="AA407" s="8" t="str">
        <f t="shared" si="134"/>
        <v/>
      </c>
      <c r="AB407" s="8" t="str">
        <f t="shared" si="135"/>
        <v/>
      </c>
      <c r="AC407" s="8"/>
      <c r="AD407" s="8"/>
      <c r="AE407" s="8"/>
      <c r="AK407" s="5" t="str">
        <f t="shared" si="136"/>
        <v/>
      </c>
      <c r="AL407" s="5" t="str">
        <f t="shared" si="137"/>
        <v/>
      </c>
      <c r="AM407" s="5" t="str">
        <f t="shared" si="138"/>
        <v/>
      </c>
      <c r="AN407" s="5" t="str">
        <f t="shared" si="139"/>
        <v/>
      </c>
      <c r="AO407" s="5" t="str">
        <f t="shared" si="140"/>
        <v/>
      </c>
      <c r="AP407" s="5" t="str">
        <f t="shared" si="141"/>
        <v/>
      </c>
      <c r="AQ407" s="5" t="str">
        <f t="shared" si="142"/>
        <v/>
      </c>
      <c r="AR407" s="5" t="str">
        <f t="shared" si="143"/>
        <v/>
      </c>
      <c r="AS407" s="5" t="str">
        <f t="shared" si="144"/>
        <v/>
      </c>
      <c r="AT407" s="5" t="str">
        <f t="shared" si="145"/>
        <v/>
      </c>
      <c r="AU407" s="5" t="str">
        <f t="shared" si="146"/>
        <v/>
      </c>
      <c r="AV407" s="5" t="str">
        <f t="shared" si="147"/>
        <v/>
      </c>
      <c r="AW407" s="5" t="str">
        <f t="shared" si="148"/>
        <v/>
      </c>
      <c r="AX407" s="5" t="str">
        <f t="shared" si="149"/>
        <v/>
      </c>
      <c r="AY407" s="5" t="str">
        <f t="shared" si="150"/>
        <v/>
      </c>
      <c r="AZ407" s="5" t="str">
        <f t="shared" si="151"/>
        <v/>
      </c>
      <c r="BA407" s="5" t="str">
        <f t="shared" si="152"/>
        <v/>
      </c>
      <c r="BB407" s="5" t="str">
        <f t="shared" si="153"/>
        <v/>
      </c>
    </row>
    <row r="408" spans="1:54" s="5" customFormat="1" hidden="1">
      <c r="A408" s="8" t="str">
        <f>IF(INDEX(FORM!$A:$A,ROW())="","",ROW()-1)</f>
        <v/>
      </c>
      <c r="B408" s="41" t="str">
        <f>IF($A408="","",INDEX(FORM!$A:$A,ROW()))</f>
        <v/>
      </c>
      <c r="C408" s="8" t="str">
        <f>IF($A408="","",TRIM(INDEX(FORM!$B:$B,ROW())))</f>
        <v/>
      </c>
      <c r="D408" s="8" t="str">
        <f>IF($A408="","",TRIM(INDEX(FORM!$C:$C,ROW())&amp;""))</f>
        <v/>
      </c>
      <c r="E408" s="8" t="str">
        <f>IF($A408="","",UPPER(TRIM(INDEX(FORM!$D:$D,ROW()))))</f>
        <v/>
      </c>
      <c r="F408" s="8" t="str">
        <f>IF($A408="","",IFERROR(INDEX(PROGRES!$A$2:$A$92,MATCH(E408,PROGRES!$B$2:$B$92,0)),"-"))</f>
        <v/>
      </c>
      <c r="G408" s="8" t="str">
        <f>IF($A408="","",UPPER(TRIM(INDEX(FORM!$F:$F,ROW()))))</f>
        <v/>
      </c>
      <c r="H408" s="8" t="str">
        <f>IF($A408="","",UPPER(TRIM(INDEX(FORM!$E:$E,ROW()))))</f>
        <v/>
      </c>
      <c r="I408" s="8" t="str">
        <f>IF($A408="","",UPPER(TRIM(INDEX(FORM!$G:$G,ROW()))))</f>
        <v/>
      </c>
      <c r="J408" s="8" t="str">
        <f>IF($A408="","",IF(ISNUMBER(SEARCH("Ya,",INDEX(FORM!$H:$H,ROW()))),"YA",IF(ISNUMBER(SEARCH("Cukup,",INDEX(FORM!$H:$H,ROW()))),"CUKUP",IF(ISNUMBER(SEARCH("Kurang,",INDEX(FORM!$H:$H,ROW()))),"KURANG",""))))</f>
        <v/>
      </c>
      <c r="K408" s="8" t="str">
        <f>IF($A408="","",UPPER(TRIM(INDEX(FORM!$J:$J,ROW()))))</f>
        <v/>
      </c>
      <c r="L408" s="8" t="str">
        <f>IF($A408="","",IF(ISNUMBER(SEARCH("Aktivitas Harian",INDEX(FORM!$K:$K,ROW()))),1,0))</f>
        <v/>
      </c>
      <c r="M408" s="8" t="str">
        <f>IF($A408="","",IF(ISNUMBER(SEARCH("Aktivitas Mingguan",INDEX(FORM!$K:$K,ROW()))),1,0))</f>
        <v/>
      </c>
      <c r="N408" s="8" t="str">
        <f>IF($A408="","",IF(ISNUMBER(SEARCH("Aktivitas Bulanan",INDEX(FORM!$K:$K,ROW()))),1,0))</f>
        <v/>
      </c>
      <c r="O408" s="8" t="str">
        <f>IF($A408="","",IF(ISNUMBER(SEARCH("Overview Cabang",INDEX(FORM!$K:$K,ROW()))),1,0))</f>
        <v/>
      </c>
      <c r="P408" s="8" t="str">
        <f>IF($A408="","",IFERROR(VLOOKUP(I408,DATA!$AH$9:$AI$13,2,0),""))</f>
        <v/>
      </c>
      <c r="Q408" s="8" t="str">
        <f>IF($A408="","",IFERROR(VLOOKUP(J408,DATA!$AH$9:$AI$13,2,0),""))</f>
        <v/>
      </c>
      <c r="R408" s="8" t="str">
        <f>IF($A408="","",IFERROR(VLOOKUP(K408,DATA!$AH$9:$AI$13,2,0),""))</f>
        <v/>
      </c>
      <c r="S408" s="42" t="str">
        <f t="shared" si="132"/>
        <v/>
      </c>
      <c r="T408" s="8" t="str">
        <f>IF($A408="","",IF(COUNTIF($D$2:D408,D408)=1,1,0))</f>
        <v/>
      </c>
      <c r="U408" s="8" t="str">
        <f>IF($A408="","",IF(F408="-","Cabang tdk ada",IF(IFERROR(VLOOKUP(G408,#REF!,1,0),"")="","",IF(INDEX(DATA!$AH$2:$AH$5,MATCH(G408,DATA!$AI$2:$AI$5,0))&lt;&gt;F408,"Wilayah beda","OK"))))</f>
        <v/>
      </c>
      <c r="V408" s="8" t="str">
        <f>IF($A408="","",TRIM(INDEX(FORM!$I:$I,ROW())&amp;""))</f>
        <v/>
      </c>
      <c r="W408" s="8" t="str">
        <f>IF($A408="","",TRIM(INDEX(FORM!$L:$L,ROW())&amp;""))</f>
        <v/>
      </c>
      <c r="X408" s="8" t="str">
        <f>IF($A408="","",TRIM(INDEX(FORM!$M:$M,ROW())&amp;""))</f>
        <v/>
      </c>
      <c r="Y408" s="8" t="str">
        <f>IF($A408="","",IFERROR(MATCH(F408,DATA!$AH$2:$AH$5,0),9)*10000+A408)</f>
        <v/>
      </c>
      <c r="Z408" s="8" t="str">
        <f t="shared" si="133"/>
        <v/>
      </c>
      <c r="AA408" s="8" t="str">
        <f t="shared" si="134"/>
        <v/>
      </c>
      <c r="AB408" s="8" t="str">
        <f t="shared" si="135"/>
        <v/>
      </c>
      <c r="AC408" s="8"/>
      <c r="AD408" s="8"/>
      <c r="AE408" s="8"/>
      <c r="AK408" s="5" t="str">
        <f t="shared" si="136"/>
        <v/>
      </c>
      <c r="AL408" s="5" t="str">
        <f t="shared" si="137"/>
        <v/>
      </c>
      <c r="AM408" s="5" t="str">
        <f t="shared" si="138"/>
        <v/>
      </c>
      <c r="AN408" s="5" t="str">
        <f t="shared" si="139"/>
        <v/>
      </c>
      <c r="AO408" s="5" t="str">
        <f t="shared" si="140"/>
        <v/>
      </c>
      <c r="AP408" s="5" t="str">
        <f t="shared" si="141"/>
        <v/>
      </c>
      <c r="AQ408" s="5" t="str">
        <f t="shared" si="142"/>
        <v/>
      </c>
      <c r="AR408" s="5" t="str">
        <f t="shared" si="143"/>
        <v/>
      </c>
      <c r="AS408" s="5" t="str">
        <f t="shared" si="144"/>
        <v/>
      </c>
      <c r="AT408" s="5" t="str">
        <f t="shared" si="145"/>
        <v/>
      </c>
      <c r="AU408" s="5" t="str">
        <f t="shared" si="146"/>
        <v/>
      </c>
      <c r="AV408" s="5" t="str">
        <f t="shared" si="147"/>
        <v/>
      </c>
      <c r="AW408" s="5" t="str">
        <f t="shared" si="148"/>
        <v/>
      </c>
      <c r="AX408" s="5" t="str">
        <f t="shared" si="149"/>
        <v/>
      </c>
      <c r="AY408" s="5" t="str">
        <f t="shared" si="150"/>
        <v/>
      </c>
      <c r="AZ408" s="5" t="str">
        <f t="shared" si="151"/>
        <v/>
      </c>
      <c r="BA408" s="5" t="str">
        <f t="shared" si="152"/>
        <v/>
      </c>
      <c r="BB408" s="5" t="str">
        <f t="shared" si="153"/>
        <v/>
      </c>
    </row>
    <row r="409" spans="1:54" s="5" customFormat="1" hidden="1">
      <c r="A409" s="8" t="str">
        <f>IF(INDEX(FORM!$A:$A,ROW())="","",ROW()-1)</f>
        <v/>
      </c>
      <c r="B409" s="41" t="str">
        <f>IF($A409="","",INDEX(FORM!$A:$A,ROW()))</f>
        <v/>
      </c>
      <c r="C409" s="8" t="str">
        <f>IF($A409="","",TRIM(INDEX(FORM!$B:$B,ROW())))</f>
        <v/>
      </c>
      <c r="D409" s="8" t="str">
        <f>IF($A409="","",TRIM(INDEX(FORM!$C:$C,ROW())&amp;""))</f>
        <v/>
      </c>
      <c r="E409" s="8" t="str">
        <f>IF($A409="","",UPPER(TRIM(INDEX(FORM!$D:$D,ROW()))))</f>
        <v/>
      </c>
      <c r="F409" s="8" t="str">
        <f>IF($A409="","",IFERROR(INDEX(PROGRES!$A$2:$A$92,MATCH(E409,PROGRES!$B$2:$B$92,0)),"-"))</f>
        <v/>
      </c>
      <c r="G409" s="8" t="str">
        <f>IF($A409="","",UPPER(TRIM(INDEX(FORM!$F:$F,ROW()))))</f>
        <v/>
      </c>
      <c r="H409" s="8" t="str">
        <f>IF($A409="","",UPPER(TRIM(INDEX(FORM!$E:$E,ROW()))))</f>
        <v/>
      </c>
      <c r="I409" s="8" t="str">
        <f>IF($A409="","",UPPER(TRIM(INDEX(FORM!$G:$G,ROW()))))</f>
        <v/>
      </c>
      <c r="J409" s="8" t="str">
        <f>IF($A409="","",IF(ISNUMBER(SEARCH("Ya,",INDEX(FORM!$H:$H,ROW()))),"YA",IF(ISNUMBER(SEARCH("Cukup,",INDEX(FORM!$H:$H,ROW()))),"CUKUP",IF(ISNUMBER(SEARCH("Kurang,",INDEX(FORM!$H:$H,ROW()))),"KURANG",""))))</f>
        <v/>
      </c>
      <c r="K409" s="8" t="str">
        <f>IF($A409="","",UPPER(TRIM(INDEX(FORM!$J:$J,ROW()))))</f>
        <v/>
      </c>
      <c r="L409" s="8" t="str">
        <f>IF($A409="","",IF(ISNUMBER(SEARCH("Aktivitas Harian",INDEX(FORM!$K:$K,ROW()))),1,0))</f>
        <v/>
      </c>
      <c r="M409" s="8" t="str">
        <f>IF($A409="","",IF(ISNUMBER(SEARCH("Aktivitas Mingguan",INDEX(FORM!$K:$K,ROW()))),1,0))</f>
        <v/>
      </c>
      <c r="N409" s="8" t="str">
        <f>IF($A409="","",IF(ISNUMBER(SEARCH("Aktivitas Bulanan",INDEX(FORM!$K:$K,ROW()))),1,0))</f>
        <v/>
      </c>
      <c r="O409" s="8" t="str">
        <f>IF($A409="","",IF(ISNUMBER(SEARCH("Overview Cabang",INDEX(FORM!$K:$K,ROW()))),1,0))</f>
        <v/>
      </c>
      <c r="P409" s="8" t="str">
        <f>IF($A409="","",IFERROR(VLOOKUP(I409,DATA!$AH$9:$AI$13,2,0),""))</f>
        <v/>
      </c>
      <c r="Q409" s="8" t="str">
        <f>IF($A409="","",IFERROR(VLOOKUP(J409,DATA!$AH$9:$AI$13,2,0),""))</f>
        <v/>
      </c>
      <c r="R409" s="8" t="str">
        <f>IF($A409="","",IFERROR(VLOOKUP(K409,DATA!$AH$9:$AI$13,2,0),""))</f>
        <v/>
      </c>
      <c r="S409" s="42" t="str">
        <f t="shared" si="132"/>
        <v/>
      </c>
      <c r="T409" s="8" t="str">
        <f>IF($A409="","",IF(COUNTIF($D$2:D409,D409)=1,1,0))</f>
        <v/>
      </c>
      <c r="U409" s="8" t="str">
        <f>IF($A409="","",IF(F409="-","Cabang tdk ada",IF(IFERROR(VLOOKUP(G409,#REF!,1,0),"")="","",IF(INDEX(DATA!$AH$2:$AH$5,MATCH(G409,DATA!$AI$2:$AI$5,0))&lt;&gt;F409,"Wilayah beda","OK"))))</f>
        <v/>
      </c>
      <c r="V409" s="8" t="str">
        <f>IF($A409="","",TRIM(INDEX(FORM!$I:$I,ROW())&amp;""))</f>
        <v/>
      </c>
      <c r="W409" s="8" t="str">
        <f>IF($A409="","",TRIM(INDEX(FORM!$L:$L,ROW())&amp;""))</f>
        <v/>
      </c>
      <c r="X409" s="8" t="str">
        <f>IF($A409="","",TRIM(INDEX(FORM!$M:$M,ROW())&amp;""))</f>
        <v/>
      </c>
      <c r="Y409" s="8" t="str">
        <f>IF($A409="","",IFERROR(MATCH(F409,DATA!$AH$2:$AH$5,0),9)*10000+A409)</f>
        <v/>
      </c>
      <c r="Z409" s="8" t="str">
        <f t="shared" si="133"/>
        <v/>
      </c>
      <c r="AA409" s="8" t="str">
        <f t="shared" si="134"/>
        <v/>
      </c>
      <c r="AB409" s="8" t="str">
        <f t="shared" si="135"/>
        <v/>
      </c>
      <c r="AC409" s="8"/>
      <c r="AD409" s="8"/>
      <c r="AE409" s="8"/>
      <c r="AK409" s="5" t="str">
        <f t="shared" si="136"/>
        <v/>
      </c>
      <c r="AL409" s="5" t="str">
        <f t="shared" si="137"/>
        <v/>
      </c>
      <c r="AM409" s="5" t="str">
        <f t="shared" si="138"/>
        <v/>
      </c>
      <c r="AN409" s="5" t="str">
        <f t="shared" si="139"/>
        <v/>
      </c>
      <c r="AO409" s="5" t="str">
        <f t="shared" si="140"/>
        <v/>
      </c>
      <c r="AP409" s="5" t="str">
        <f t="shared" si="141"/>
        <v/>
      </c>
      <c r="AQ409" s="5" t="str">
        <f t="shared" si="142"/>
        <v/>
      </c>
      <c r="AR409" s="5" t="str">
        <f t="shared" si="143"/>
        <v/>
      </c>
      <c r="AS409" s="5" t="str">
        <f t="shared" si="144"/>
        <v/>
      </c>
      <c r="AT409" s="5" t="str">
        <f t="shared" si="145"/>
        <v/>
      </c>
      <c r="AU409" s="5" t="str">
        <f t="shared" si="146"/>
        <v/>
      </c>
      <c r="AV409" s="5" t="str">
        <f t="shared" si="147"/>
        <v/>
      </c>
      <c r="AW409" s="5" t="str">
        <f t="shared" si="148"/>
        <v/>
      </c>
      <c r="AX409" s="5" t="str">
        <f t="shared" si="149"/>
        <v/>
      </c>
      <c r="AY409" s="5" t="str">
        <f t="shared" si="150"/>
        <v/>
      </c>
      <c r="AZ409" s="5" t="str">
        <f t="shared" si="151"/>
        <v/>
      </c>
      <c r="BA409" s="5" t="str">
        <f t="shared" si="152"/>
        <v/>
      </c>
      <c r="BB409" s="5" t="str">
        <f t="shared" si="153"/>
        <v/>
      </c>
    </row>
    <row r="410" spans="1:54" s="5" customFormat="1" hidden="1">
      <c r="A410" s="8" t="str">
        <f>IF(INDEX(FORM!$A:$A,ROW())="","",ROW()-1)</f>
        <v/>
      </c>
      <c r="B410" s="41" t="str">
        <f>IF($A410="","",INDEX(FORM!$A:$A,ROW()))</f>
        <v/>
      </c>
      <c r="C410" s="8" t="str">
        <f>IF($A410="","",TRIM(INDEX(FORM!$B:$B,ROW())))</f>
        <v/>
      </c>
      <c r="D410" s="8" t="str">
        <f>IF($A410="","",TRIM(INDEX(FORM!$C:$C,ROW())&amp;""))</f>
        <v/>
      </c>
      <c r="E410" s="8" t="str">
        <f>IF($A410="","",UPPER(TRIM(INDEX(FORM!$D:$D,ROW()))))</f>
        <v/>
      </c>
      <c r="F410" s="8" t="str">
        <f>IF($A410="","",IFERROR(INDEX(PROGRES!$A$2:$A$92,MATCH(E410,PROGRES!$B$2:$B$92,0)),"-"))</f>
        <v/>
      </c>
      <c r="G410" s="8" t="str">
        <f>IF($A410="","",UPPER(TRIM(INDEX(FORM!$F:$F,ROW()))))</f>
        <v/>
      </c>
      <c r="H410" s="8" t="str">
        <f>IF($A410="","",UPPER(TRIM(INDEX(FORM!$E:$E,ROW()))))</f>
        <v/>
      </c>
      <c r="I410" s="8" t="str">
        <f>IF($A410="","",UPPER(TRIM(INDEX(FORM!$G:$G,ROW()))))</f>
        <v/>
      </c>
      <c r="J410" s="8" t="str">
        <f>IF($A410="","",IF(ISNUMBER(SEARCH("Ya,",INDEX(FORM!$H:$H,ROW()))),"YA",IF(ISNUMBER(SEARCH("Cukup,",INDEX(FORM!$H:$H,ROW()))),"CUKUP",IF(ISNUMBER(SEARCH("Kurang,",INDEX(FORM!$H:$H,ROW()))),"KURANG",""))))</f>
        <v/>
      </c>
      <c r="K410" s="8" t="str">
        <f>IF($A410="","",UPPER(TRIM(INDEX(FORM!$J:$J,ROW()))))</f>
        <v/>
      </c>
      <c r="L410" s="8" t="str">
        <f>IF($A410="","",IF(ISNUMBER(SEARCH("Aktivitas Harian",INDEX(FORM!$K:$K,ROW()))),1,0))</f>
        <v/>
      </c>
      <c r="M410" s="8" t="str">
        <f>IF($A410="","",IF(ISNUMBER(SEARCH("Aktivitas Mingguan",INDEX(FORM!$K:$K,ROW()))),1,0))</f>
        <v/>
      </c>
      <c r="N410" s="8" t="str">
        <f>IF($A410="","",IF(ISNUMBER(SEARCH("Aktivitas Bulanan",INDEX(FORM!$K:$K,ROW()))),1,0))</f>
        <v/>
      </c>
      <c r="O410" s="8" t="str">
        <f>IF($A410="","",IF(ISNUMBER(SEARCH("Overview Cabang",INDEX(FORM!$K:$K,ROW()))),1,0))</f>
        <v/>
      </c>
      <c r="P410" s="8" t="str">
        <f>IF($A410="","",IFERROR(VLOOKUP(I410,DATA!$AH$9:$AI$13,2,0),""))</f>
        <v/>
      </c>
      <c r="Q410" s="8" t="str">
        <f>IF($A410="","",IFERROR(VLOOKUP(J410,DATA!$AH$9:$AI$13,2,0),""))</f>
        <v/>
      </c>
      <c r="R410" s="8" t="str">
        <f>IF($A410="","",IFERROR(VLOOKUP(K410,DATA!$AH$9:$AI$13,2,0),""))</f>
        <v/>
      </c>
      <c r="S410" s="42" t="str">
        <f t="shared" si="132"/>
        <v/>
      </c>
      <c r="T410" s="8" t="str">
        <f>IF($A410="","",IF(COUNTIF($D$2:D410,D410)=1,1,0))</f>
        <v/>
      </c>
      <c r="U410" s="8" t="str">
        <f>IF($A410="","",IF(F410="-","Cabang tdk ada",IF(IFERROR(VLOOKUP(G410,#REF!,1,0),"")="","",IF(INDEX(DATA!$AH$2:$AH$5,MATCH(G410,DATA!$AI$2:$AI$5,0))&lt;&gt;F410,"Wilayah beda","OK"))))</f>
        <v/>
      </c>
      <c r="V410" s="8" t="str">
        <f>IF($A410="","",TRIM(INDEX(FORM!$I:$I,ROW())&amp;""))</f>
        <v/>
      </c>
      <c r="W410" s="8" t="str">
        <f>IF($A410="","",TRIM(INDEX(FORM!$L:$L,ROW())&amp;""))</f>
        <v/>
      </c>
      <c r="X410" s="8" t="str">
        <f>IF($A410="","",TRIM(INDEX(FORM!$M:$M,ROW())&amp;""))</f>
        <v/>
      </c>
      <c r="Y410" s="8" t="str">
        <f>IF($A410="","",IFERROR(MATCH(F410,DATA!$AH$2:$AH$5,0),9)*10000+A410)</f>
        <v/>
      </c>
      <c r="Z410" s="8" t="str">
        <f t="shared" si="133"/>
        <v/>
      </c>
      <c r="AA410" s="8" t="str">
        <f t="shared" si="134"/>
        <v/>
      </c>
      <c r="AB410" s="8" t="str">
        <f t="shared" si="135"/>
        <v/>
      </c>
      <c r="AC410" s="8"/>
      <c r="AD410" s="8"/>
      <c r="AE410" s="8"/>
      <c r="AK410" s="5" t="str">
        <f t="shared" si="136"/>
        <v/>
      </c>
      <c r="AL410" s="5" t="str">
        <f t="shared" si="137"/>
        <v/>
      </c>
      <c r="AM410" s="5" t="str">
        <f t="shared" si="138"/>
        <v/>
      </c>
      <c r="AN410" s="5" t="str">
        <f t="shared" si="139"/>
        <v/>
      </c>
      <c r="AO410" s="5" t="str">
        <f t="shared" si="140"/>
        <v/>
      </c>
      <c r="AP410" s="5" t="str">
        <f t="shared" si="141"/>
        <v/>
      </c>
      <c r="AQ410" s="5" t="str">
        <f t="shared" si="142"/>
        <v/>
      </c>
      <c r="AR410" s="5" t="str">
        <f t="shared" si="143"/>
        <v/>
      </c>
      <c r="AS410" s="5" t="str">
        <f t="shared" si="144"/>
        <v/>
      </c>
      <c r="AT410" s="5" t="str">
        <f t="shared" si="145"/>
        <v/>
      </c>
      <c r="AU410" s="5" t="str">
        <f t="shared" si="146"/>
        <v/>
      </c>
      <c r="AV410" s="5" t="str">
        <f t="shared" si="147"/>
        <v/>
      </c>
      <c r="AW410" s="5" t="str">
        <f t="shared" si="148"/>
        <v/>
      </c>
      <c r="AX410" s="5" t="str">
        <f t="shared" si="149"/>
        <v/>
      </c>
      <c r="AY410" s="5" t="str">
        <f t="shared" si="150"/>
        <v/>
      </c>
      <c r="AZ410" s="5" t="str">
        <f t="shared" si="151"/>
        <v/>
      </c>
      <c r="BA410" s="5" t="str">
        <f t="shared" si="152"/>
        <v/>
      </c>
      <c r="BB410" s="5" t="str">
        <f t="shared" si="153"/>
        <v/>
      </c>
    </row>
    <row r="411" spans="1:54" s="5" customFormat="1" hidden="1">
      <c r="A411" s="8" t="str">
        <f>IF(INDEX(FORM!$A:$A,ROW())="","",ROW()-1)</f>
        <v/>
      </c>
      <c r="B411" s="41" t="str">
        <f>IF($A411="","",INDEX(FORM!$A:$A,ROW()))</f>
        <v/>
      </c>
      <c r="C411" s="8" t="str">
        <f>IF($A411="","",TRIM(INDEX(FORM!$B:$B,ROW())))</f>
        <v/>
      </c>
      <c r="D411" s="8" t="str">
        <f>IF($A411="","",TRIM(INDEX(FORM!$C:$C,ROW())&amp;""))</f>
        <v/>
      </c>
      <c r="E411" s="8" t="str">
        <f>IF($A411="","",UPPER(TRIM(INDEX(FORM!$D:$D,ROW()))))</f>
        <v/>
      </c>
      <c r="F411" s="8" t="str">
        <f>IF($A411="","",IFERROR(INDEX(PROGRES!$A$2:$A$92,MATCH(E411,PROGRES!$B$2:$B$92,0)),"-"))</f>
        <v/>
      </c>
      <c r="G411" s="8" t="str">
        <f>IF($A411="","",UPPER(TRIM(INDEX(FORM!$F:$F,ROW()))))</f>
        <v/>
      </c>
      <c r="H411" s="8" t="str">
        <f>IF($A411="","",UPPER(TRIM(INDEX(FORM!$E:$E,ROW()))))</f>
        <v/>
      </c>
      <c r="I411" s="8" t="str">
        <f>IF($A411="","",UPPER(TRIM(INDEX(FORM!$G:$G,ROW()))))</f>
        <v/>
      </c>
      <c r="J411" s="8" t="str">
        <f>IF($A411="","",IF(ISNUMBER(SEARCH("Ya,",INDEX(FORM!$H:$H,ROW()))),"YA",IF(ISNUMBER(SEARCH("Cukup,",INDEX(FORM!$H:$H,ROW()))),"CUKUP",IF(ISNUMBER(SEARCH("Kurang,",INDEX(FORM!$H:$H,ROW()))),"KURANG",""))))</f>
        <v/>
      </c>
      <c r="K411" s="8" t="str">
        <f>IF($A411="","",UPPER(TRIM(INDEX(FORM!$J:$J,ROW()))))</f>
        <v/>
      </c>
      <c r="L411" s="8" t="str">
        <f>IF($A411="","",IF(ISNUMBER(SEARCH("Aktivitas Harian",INDEX(FORM!$K:$K,ROW()))),1,0))</f>
        <v/>
      </c>
      <c r="M411" s="8" t="str">
        <f>IF($A411="","",IF(ISNUMBER(SEARCH("Aktivitas Mingguan",INDEX(FORM!$K:$K,ROW()))),1,0))</f>
        <v/>
      </c>
      <c r="N411" s="8" t="str">
        <f>IF($A411="","",IF(ISNUMBER(SEARCH("Aktivitas Bulanan",INDEX(FORM!$K:$K,ROW()))),1,0))</f>
        <v/>
      </c>
      <c r="O411" s="8" t="str">
        <f>IF($A411="","",IF(ISNUMBER(SEARCH("Overview Cabang",INDEX(FORM!$K:$K,ROW()))),1,0))</f>
        <v/>
      </c>
      <c r="P411" s="8" t="str">
        <f>IF($A411="","",IFERROR(VLOOKUP(I411,DATA!$AH$9:$AI$13,2,0),""))</f>
        <v/>
      </c>
      <c r="Q411" s="8" t="str">
        <f>IF($A411="","",IFERROR(VLOOKUP(J411,DATA!$AH$9:$AI$13,2,0),""))</f>
        <v/>
      </c>
      <c r="R411" s="8" t="str">
        <f>IF($A411="","",IFERROR(VLOOKUP(K411,DATA!$AH$9:$AI$13,2,0),""))</f>
        <v/>
      </c>
      <c r="S411" s="42" t="str">
        <f t="shared" si="132"/>
        <v/>
      </c>
      <c r="T411" s="8" t="str">
        <f>IF($A411="","",IF(COUNTIF($D$2:D411,D411)=1,1,0))</f>
        <v/>
      </c>
      <c r="U411" s="8" t="str">
        <f>IF($A411="","",IF(F411="-","Cabang tdk ada",IF(IFERROR(VLOOKUP(G411,#REF!,1,0),"")="","",IF(INDEX(DATA!$AH$2:$AH$5,MATCH(G411,DATA!$AI$2:$AI$5,0))&lt;&gt;F411,"Wilayah beda","OK"))))</f>
        <v/>
      </c>
      <c r="V411" s="8" t="str">
        <f>IF($A411="","",TRIM(INDEX(FORM!$I:$I,ROW())&amp;""))</f>
        <v/>
      </c>
      <c r="W411" s="8" t="str">
        <f>IF($A411="","",TRIM(INDEX(FORM!$L:$L,ROW())&amp;""))</f>
        <v/>
      </c>
      <c r="X411" s="8" t="str">
        <f>IF($A411="","",TRIM(INDEX(FORM!$M:$M,ROW())&amp;""))</f>
        <v/>
      </c>
      <c r="Y411" s="8" t="str">
        <f>IF($A411="","",IFERROR(MATCH(F411,DATA!$AH$2:$AH$5,0),9)*10000+A411)</f>
        <v/>
      </c>
      <c r="Z411" s="8" t="str">
        <f t="shared" si="133"/>
        <v/>
      </c>
      <c r="AA411" s="8" t="str">
        <f t="shared" si="134"/>
        <v/>
      </c>
      <c r="AB411" s="8" t="str">
        <f t="shared" si="135"/>
        <v/>
      </c>
      <c r="AC411" s="8"/>
      <c r="AD411" s="8"/>
      <c r="AE411" s="8"/>
      <c r="AK411" s="5" t="str">
        <f t="shared" si="136"/>
        <v/>
      </c>
      <c r="AL411" s="5" t="str">
        <f t="shared" si="137"/>
        <v/>
      </c>
      <c r="AM411" s="5" t="str">
        <f t="shared" si="138"/>
        <v/>
      </c>
      <c r="AN411" s="5" t="str">
        <f t="shared" si="139"/>
        <v/>
      </c>
      <c r="AO411" s="5" t="str">
        <f t="shared" si="140"/>
        <v/>
      </c>
      <c r="AP411" s="5" t="str">
        <f t="shared" si="141"/>
        <v/>
      </c>
      <c r="AQ411" s="5" t="str">
        <f t="shared" si="142"/>
        <v/>
      </c>
      <c r="AR411" s="5" t="str">
        <f t="shared" si="143"/>
        <v/>
      </c>
      <c r="AS411" s="5" t="str">
        <f t="shared" si="144"/>
        <v/>
      </c>
      <c r="AT411" s="5" t="str">
        <f t="shared" si="145"/>
        <v/>
      </c>
      <c r="AU411" s="5" t="str">
        <f t="shared" si="146"/>
        <v/>
      </c>
      <c r="AV411" s="5" t="str">
        <f t="shared" si="147"/>
        <v/>
      </c>
      <c r="AW411" s="5" t="str">
        <f t="shared" si="148"/>
        <v/>
      </c>
      <c r="AX411" s="5" t="str">
        <f t="shared" si="149"/>
        <v/>
      </c>
      <c r="AY411" s="5" t="str">
        <f t="shared" si="150"/>
        <v/>
      </c>
      <c r="AZ411" s="5" t="str">
        <f t="shared" si="151"/>
        <v/>
      </c>
      <c r="BA411" s="5" t="str">
        <f t="shared" si="152"/>
        <v/>
      </c>
      <c r="BB411" s="5" t="str">
        <f t="shared" si="153"/>
        <v/>
      </c>
    </row>
    <row r="412" spans="1:54" s="5" customFormat="1" hidden="1">
      <c r="A412" s="8" t="str">
        <f>IF(INDEX(FORM!$A:$A,ROW())="","",ROW()-1)</f>
        <v/>
      </c>
      <c r="B412" s="41" t="str">
        <f>IF($A412="","",INDEX(FORM!$A:$A,ROW()))</f>
        <v/>
      </c>
      <c r="C412" s="8" t="str">
        <f>IF($A412="","",TRIM(INDEX(FORM!$B:$B,ROW())))</f>
        <v/>
      </c>
      <c r="D412" s="8" t="str">
        <f>IF($A412="","",TRIM(INDEX(FORM!$C:$C,ROW())&amp;""))</f>
        <v/>
      </c>
      <c r="E412" s="8" t="str">
        <f>IF($A412="","",UPPER(TRIM(INDEX(FORM!$D:$D,ROW()))))</f>
        <v/>
      </c>
      <c r="F412" s="8" t="str">
        <f>IF($A412="","",IFERROR(INDEX(PROGRES!$A$2:$A$92,MATCH(E412,PROGRES!$B$2:$B$92,0)),"-"))</f>
        <v/>
      </c>
      <c r="G412" s="8" t="str">
        <f>IF($A412="","",UPPER(TRIM(INDEX(FORM!$F:$F,ROW()))))</f>
        <v/>
      </c>
      <c r="H412" s="8" t="str">
        <f>IF($A412="","",UPPER(TRIM(INDEX(FORM!$E:$E,ROW()))))</f>
        <v/>
      </c>
      <c r="I412" s="8" t="str">
        <f>IF($A412="","",UPPER(TRIM(INDEX(FORM!$G:$G,ROW()))))</f>
        <v/>
      </c>
      <c r="J412" s="8" t="str">
        <f>IF($A412="","",IF(ISNUMBER(SEARCH("Ya,",INDEX(FORM!$H:$H,ROW()))),"YA",IF(ISNUMBER(SEARCH("Cukup,",INDEX(FORM!$H:$H,ROW()))),"CUKUP",IF(ISNUMBER(SEARCH("Kurang,",INDEX(FORM!$H:$H,ROW()))),"KURANG",""))))</f>
        <v/>
      </c>
      <c r="K412" s="8" t="str">
        <f>IF($A412="","",UPPER(TRIM(INDEX(FORM!$J:$J,ROW()))))</f>
        <v/>
      </c>
      <c r="L412" s="8" t="str">
        <f>IF($A412="","",IF(ISNUMBER(SEARCH("Aktivitas Harian",INDEX(FORM!$K:$K,ROW()))),1,0))</f>
        <v/>
      </c>
      <c r="M412" s="8" t="str">
        <f>IF($A412="","",IF(ISNUMBER(SEARCH("Aktivitas Mingguan",INDEX(FORM!$K:$K,ROW()))),1,0))</f>
        <v/>
      </c>
      <c r="N412" s="8" t="str">
        <f>IF($A412="","",IF(ISNUMBER(SEARCH("Aktivitas Bulanan",INDEX(FORM!$K:$K,ROW()))),1,0))</f>
        <v/>
      </c>
      <c r="O412" s="8" t="str">
        <f>IF($A412="","",IF(ISNUMBER(SEARCH("Overview Cabang",INDEX(FORM!$K:$K,ROW()))),1,0))</f>
        <v/>
      </c>
      <c r="P412" s="8" t="str">
        <f>IF($A412="","",IFERROR(VLOOKUP(I412,DATA!$AH$9:$AI$13,2,0),""))</f>
        <v/>
      </c>
      <c r="Q412" s="8" t="str">
        <f>IF($A412="","",IFERROR(VLOOKUP(J412,DATA!$AH$9:$AI$13,2,0),""))</f>
        <v/>
      </c>
      <c r="R412" s="8" t="str">
        <f>IF($A412="","",IFERROR(VLOOKUP(K412,DATA!$AH$9:$AI$13,2,0),""))</f>
        <v/>
      </c>
      <c r="S412" s="42" t="str">
        <f t="shared" si="132"/>
        <v/>
      </c>
      <c r="T412" s="8" t="str">
        <f>IF($A412="","",IF(COUNTIF($D$2:D412,D412)=1,1,0))</f>
        <v/>
      </c>
      <c r="U412" s="8" t="str">
        <f>IF($A412="","",IF(F412="-","Cabang tdk ada",IF(IFERROR(VLOOKUP(G412,#REF!,1,0),"")="","",IF(INDEX(DATA!$AH$2:$AH$5,MATCH(G412,DATA!$AI$2:$AI$5,0))&lt;&gt;F412,"Wilayah beda","OK"))))</f>
        <v/>
      </c>
      <c r="V412" s="8" t="str">
        <f>IF($A412="","",TRIM(INDEX(FORM!$I:$I,ROW())&amp;""))</f>
        <v/>
      </c>
      <c r="W412" s="8" t="str">
        <f>IF($A412="","",TRIM(INDEX(FORM!$L:$L,ROW())&amp;""))</f>
        <v/>
      </c>
      <c r="X412" s="8" t="str">
        <f>IF($A412="","",TRIM(INDEX(FORM!$M:$M,ROW())&amp;""))</f>
        <v/>
      </c>
      <c r="Y412" s="8" t="str">
        <f>IF($A412="","",IFERROR(MATCH(F412,DATA!$AH$2:$AH$5,0),9)*10000+A412)</f>
        <v/>
      </c>
      <c r="Z412" s="8" t="str">
        <f t="shared" si="133"/>
        <v/>
      </c>
      <c r="AA412" s="8" t="str">
        <f t="shared" si="134"/>
        <v/>
      </c>
      <c r="AB412" s="8" t="str">
        <f t="shared" si="135"/>
        <v/>
      </c>
      <c r="AC412" s="8"/>
      <c r="AD412" s="8"/>
      <c r="AE412" s="8"/>
      <c r="AK412" s="5" t="str">
        <f t="shared" si="136"/>
        <v/>
      </c>
      <c r="AL412" s="5" t="str">
        <f t="shared" si="137"/>
        <v/>
      </c>
      <c r="AM412" s="5" t="str">
        <f t="shared" si="138"/>
        <v/>
      </c>
      <c r="AN412" s="5" t="str">
        <f t="shared" si="139"/>
        <v/>
      </c>
      <c r="AO412" s="5" t="str">
        <f t="shared" si="140"/>
        <v/>
      </c>
      <c r="AP412" s="5" t="str">
        <f t="shared" si="141"/>
        <v/>
      </c>
      <c r="AQ412" s="5" t="str">
        <f t="shared" si="142"/>
        <v/>
      </c>
      <c r="AR412" s="5" t="str">
        <f t="shared" si="143"/>
        <v/>
      </c>
      <c r="AS412" s="5" t="str">
        <f t="shared" si="144"/>
        <v/>
      </c>
      <c r="AT412" s="5" t="str">
        <f t="shared" si="145"/>
        <v/>
      </c>
      <c r="AU412" s="5" t="str">
        <f t="shared" si="146"/>
        <v/>
      </c>
      <c r="AV412" s="5" t="str">
        <f t="shared" si="147"/>
        <v/>
      </c>
      <c r="AW412" s="5" t="str">
        <f t="shared" si="148"/>
        <v/>
      </c>
      <c r="AX412" s="5" t="str">
        <f t="shared" si="149"/>
        <v/>
      </c>
      <c r="AY412" s="5" t="str">
        <f t="shared" si="150"/>
        <v/>
      </c>
      <c r="AZ412" s="5" t="str">
        <f t="shared" si="151"/>
        <v/>
      </c>
      <c r="BA412" s="5" t="str">
        <f t="shared" si="152"/>
        <v/>
      </c>
      <c r="BB412" s="5" t="str">
        <f t="shared" si="153"/>
        <v/>
      </c>
    </row>
    <row r="413" spans="1:54" s="5" customFormat="1" hidden="1">
      <c r="A413" s="8" t="str">
        <f>IF(INDEX(FORM!$A:$A,ROW())="","",ROW()-1)</f>
        <v/>
      </c>
      <c r="B413" s="41" t="str">
        <f>IF($A413="","",INDEX(FORM!$A:$A,ROW()))</f>
        <v/>
      </c>
      <c r="C413" s="8" t="str">
        <f>IF($A413="","",TRIM(INDEX(FORM!$B:$B,ROW())))</f>
        <v/>
      </c>
      <c r="D413" s="8" t="str">
        <f>IF($A413="","",TRIM(INDEX(FORM!$C:$C,ROW())&amp;""))</f>
        <v/>
      </c>
      <c r="E413" s="8" t="str">
        <f>IF($A413="","",UPPER(TRIM(INDEX(FORM!$D:$D,ROW()))))</f>
        <v/>
      </c>
      <c r="F413" s="8" t="str">
        <f>IF($A413="","",IFERROR(INDEX(PROGRES!$A$2:$A$92,MATCH(E413,PROGRES!$B$2:$B$92,0)),"-"))</f>
        <v/>
      </c>
      <c r="G413" s="8" t="str">
        <f>IF($A413="","",UPPER(TRIM(INDEX(FORM!$F:$F,ROW()))))</f>
        <v/>
      </c>
      <c r="H413" s="8" t="str">
        <f>IF($A413="","",UPPER(TRIM(INDEX(FORM!$E:$E,ROW()))))</f>
        <v/>
      </c>
      <c r="I413" s="8" t="str">
        <f>IF($A413="","",UPPER(TRIM(INDEX(FORM!$G:$G,ROW()))))</f>
        <v/>
      </c>
      <c r="J413" s="8" t="str">
        <f>IF($A413="","",IF(ISNUMBER(SEARCH("Ya,",INDEX(FORM!$H:$H,ROW()))),"YA",IF(ISNUMBER(SEARCH("Cukup,",INDEX(FORM!$H:$H,ROW()))),"CUKUP",IF(ISNUMBER(SEARCH("Kurang,",INDEX(FORM!$H:$H,ROW()))),"KURANG",""))))</f>
        <v/>
      </c>
      <c r="K413" s="8" t="str">
        <f>IF($A413="","",UPPER(TRIM(INDEX(FORM!$J:$J,ROW()))))</f>
        <v/>
      </c>
      <c r="L413" s="8" t="str">
        <f>IF($A413="","",IF(ISNUMBER(SEARCH("Aktivitas Harian",INDEX(FORM!$K:$K,ROW()))),1,0))</f>
        <v/>
      </c>
      <c r="M413" s="8" t="str">
        <f>IF($A413="","",IF(ISNUMBER(SEARCH("Aktivitas Mingguan",INDEX(FORM!$K:$K,ROW()))),1,0))</f>
        <v/>
      </c>
      <c r="N413" s="8" t="str">
        <f>IF($A413="","",IF(ISNUMBER(SEARCH("Aktivitas Bulanan",INDEX(FORM!$K:$K,ROW()))),1,0))</f>
        <v/>
      </c>
      <c r="O413" s="8" t="str">
        <f>IF($A413="","",IF(ISNUMBER(SEARCH("Overview Cabang",INDEX(FORM!$K:$K,ROW()))),1,0))</f>
        <v/>
      </c>
      <c r="P413" s="8" t="str">
        <f>IF($A413="","",IFERROR(VLOOKUP(I413,DATA!$AH$9:$AI$13,2,0),""))</f>
        <v/>
      </c>
      <c r="Q413" s="8" t="str">
        <f>IF($A413="","",IFERROR(VLOOKUP(J413,DATA!$AH$9:$AI$13,2,0),""))</f>
        <v/>
      </c>
      <c r="R413" s="8" t="str">
        <f>IF($A413="","",IFERROR(VLOOKUP(K413,DATA!$AH$9:$AI$13,2,0),""))</f>
        <v/>
      </c>
      <c r="S413" s="42" t="str">
        <f t="shared" si="132"/>
        <v/>
      </c>
      <c r="T413" s="8" t="str">
        <f>IF($A413="","",IF(COUNTIF($D$2:D413,D413)=1,1,0))</f>
        <v/>
      </c>
      <c r="U413" s="8" t="str">
        <f>IF($A413="","",IF(F413="-","Cabang tdk ada",IF(IFERROR(VLOOKUP(G413,#REF!,1,0),"")="","",IF(INDEX(DATA!$AH$2:$AH$5,MATCH(G413,DATA!$AI$2:$AI$5,0))&lt;&gt;F413,"Wilayah beda","OK"))))</f>
        <v/>
      </c>
      <c r="V413" s="8" t="str">
        <f>IF($A413="","",TRIM(INDEX(FORM!$I:$I,ROW())&amp;""))</f>
        <v/>
      </c>
      <c r="W413" s="8" t="str">
        <f>IF($A413="","",TRIM(INDEX(FORM!$L:$L,ROW())&amp;""))</f>
        <v/>
      </c>
      <c r="X413" s="8" t="str">
        <f>IF($A413="","",TRIM(INDEX(FORM!$M:$M,ROW())&amp;""))</f>
        <v/>
      </c>
      <c r="Y413" s="8" t="str">
        <f>IF($A413="","",IFERROR(MATCH(F413,DATA!$AH$2:$AH$5,0),9)*10000+A413)</f>
        <v/>
      </c>
      <c r="Z413" s="8" t="str">
        <f t="shared" si="133"/>
        <v/>
      </c>
      <c r="AA413" s="8" t="str">
        <f t="shared" si="134"/>
        <v/>
      </c>
      <c r="AB413" s="8" t="str">
        <f t="shared" si="135"/>
        <v/>
      </c>
      <c r="AC413" s="8"/>
      <c r="AD413" s="8"/>
      <c r="AE413" s="8"/>
      <c r="AK413" s="5" t="str">
        <f t="shared" si="136"/>
        <v/>
      </c>
      <c r="AL413" s="5" t="str">
        <f t="shared" si="137"/>
        <v/>
      </c>
      <c r="AM413" s="5" t="str">
        <f t="shared" si="138"/>
        <v/>
      </c>
      <c r="AN413" s="5" t="str">
        <f t="shared" si="139"/>
        <v/>
      </c>
      <c r="AO413" s="5" t="str">
        <f t="shared" si="140"/>
        <v/>
      </c>
      <c r="AP413" s="5" t="str">
        <f t="shared" si="141"/>
        <v/>
      </c>
      <c r="AQ413" s="5" t="str">
        <f t="shared" si="142"/>
        <v/>
      </c>
      <c r="AR413" s="5" t="str">
        <f t="shared" si="143"/>
        <v/>
      </c>
      <c r="AS413" s="5" t="str">
        <f t="shared" si="144"/>
        <v/>
      </c>
      <c r="AT413" s="5" t="str">
        <f t="shared" si="145"/>
        <v/>
      </c>
      <c r="AU413" s="5" t="str">
        <f t="shared" si="146"/>
        <v/>
      </c>
      <c r="AV413" s="5" t="str">
        <f t="shared" si="147"/>
        <v/>
      </c>
      <c r="AW413" s="5" t="str">
        <f t="shared" si="148"/>
        <v/>
      </c>
      <c r="AX413" s="5" t="str">
        <f t="shared" si="149"/>
        <v/>
      </c>
      <c r="AY413" s="5" t="str">
        <f t="shared" si="150"/>
        <v/>
      </c>
      <c r="AZ413" s="5" t="str">
        <f t="shared" si="151"/>
        <v/>
      </c>
      <c r="BA413" s="5" t="str">
        <f t="shared" si="152"/>
        <v/>
      </c>
      <c r="BB413" s="5" t="str">
        <f t="shared" si="153"/>
        <v/>
      </c>
    </row>
    <row r="414" spans="1:54" s="5" customFormat="1" hidden="1">
      <c r="A414" s="8" t="str">
        <f>IF(INDEX(FORM!$A:$A,ROW())="","",ROW()-1)</f>
        <v/>
      </c>
      <c r="B414" s="41" t="str">
        <f>IF($A414="","",INDEX(FORM!$A:$A,ROW()))</f>
        <v/>
      </c>
      <c r="C414" s="8" t="str">
        <f>IF($A414="","",TRIM(INDEX(FORM!$B:$B,ROW())))</f>
        <v/>
      </c>
      <c r="D414" s="8" t="str">
        <f>IF($A414="","",TRIM(INDEX(FORM!$C:$C,ROW())&amp;""))</f>
        <v/>
      </c>
      <c r="E414" s="8" t="str">
        <f>IF($A414="","",UPPER(TRIM(INDEX(FORM!$D:$D,ROW()))))</f>
        <v/>
      </c>
      <c r="F414" s="8" t="str">
        <f>IF($A414="","",IFERROR(INDEX(PROGRES!$A$2:$A$92,MATCH(E414,PROGRES!$B$2:$B$92,0)),"-"))</f>
        <v/>
      </c>
      <c r="G414" s="8" t="str">
        <f>IF($A414="","",UPPER(TRIM(INDEX(FORM!$F:$F,ROW()))))</f>
        <v/>
      </c>
      <c r="H414" s="8" t="str">
        <f>IF($A414="","",UPPER(TRIM(INDEX(FORM!$E:$E,ROW()))))</f>
        <v/>
      </c>
      <c r="I414" s="8" t="str">
        <f>IF($A414="","",UPPER(TRIM(INDEX(FORM!$G:$G,ROW()))))</f>
        <v/>
      </c>
      <c r="J414" s="8" t="str">
        <f>IF($A414="","",IF(ISNUMBER(SEARCH("Ya,",INDEX(FORM!$H:$H,ROW()))),"YA",IF(ISNUMBER(SEARCH("Cukup,",INDEX(FORM!$H:$H,ROW()))),"CUKUP",IF(ISNUMBER(SEARCH("Kurang,",INDEX(FORM!$H:$H,ROW()))),"KURANG",""))))</f>
        <v/>
      </c>
      <c r="K414" s="8" t="str">
        <f>IF($A414="","",UPPER(TRIM(INDEX(FORM!$J:$J,ROW()))))</f>
        <v/>
      </c>
      <c r="L414" s="8" t="str">
        <f>IF($A414="","",IF(ISNUMBER(SEARCH("Aktivitas Harian",INDEX(FORM!$K:$K,ROW()))),1,0))</f>
        <v/>
      </c>
      <c r="M414" s="8" t="str">
        <f>IF($A414="","",IF(ISNUMBER(SEARCH("Aktivitas Mingguan",INDEX(FORM!$K:$K,ROW()))),1,0))</f>
        <v/>
      </c>
      <c r="N414" s="8" t="str">
        <f>IF($A414="","",IF(ISNUMBER(SEARCH("Aktivitas Bulanan",INDEX(FORM!$K:$K,ROW()))),1,0))</f>
        <v/>
      </c>
      <c r="O414" s="8" t="str">
        <f>IF($A414="","",IF(ISNUMBER(SEARCH("Overview Cabang",INDEX(FORM!$K:$K,ROW()))),1,0))</f>
        <v/>
      </c>
      <c r="P414" s="8" t="str">
        <f>IF($A414="","",IFERROR(VLOOKUP(I414,DATA!$AH$9:$AI$13,2,0),""))</f>
        <v/>
      </c>
      <c r="Q414" s="8" t="str">
        <f>IF($A414="","",IFERROR(VLOOKUP(J414,DATA!$AH$9:$AI$13,2,0),""))</f>
        <v/>
      </c>
      <c r="R414" s="8" t="str">
        <f>IF($A414="","",IFERROR(VLOOKUP(K414,DATA!$AH$9:$AI$13,2,0),""))</f>
        <v/>
      </c>
      <c r="S414" s="42" t="str">
        <f t="shared" si="132"/>
        <v/>
      </c>
      <c r="T414" s="8" t="str">
        <f>IF($A414="","",IF(COUNTIF($D$2:D414,D414)=1,1,0))</f>
        <v/>
      </c>
      <c r="U414" s="8" t="str">
        <f>IF($A414="","",IF(F414="-","Cabang tdk ada",IF(IFERROR(VLOOKUP(G414,#REF!,1,0),"")="","",IF(INDEX(DATA!$AH$2:$AH$5,MATCH(G414,DATA!$AI$2:$AI$5,0))&lt;&gt;F414,"Wilayah beda","OK"))))</f>
        <v/>
      </c>
      <c r="V414" s="8" t="str">
        <f>IF($A414="","",TRIM(INDEX(FORM!$I:$I,ROW())&amp;""))</f>
        <v/>
      </c>
      <c r="W414" s="8" t="str">
        <f>IF($A414="","",TRIM(INDEX(FORM!$L:$L,ROW())&amp;""))</f>
        <v/>
      </c>
      <c r="X414" s="8" t="str">
        <f>IF($A414="","",TRIM(INDEX(FORM!$M:$M,ROW())&amp;""))</f>
        <v/>
      </c>
      <c r="Y414" s="8" t="str">
        <f>IF($A414="","",IFERROR(MATCH(F414,DATA!$AH$2:$AH$5,0),9)*10000+A414)</f>
        <v/>
      </c>
      <c r="Z414" s="8" t="str">
        <f t="shared" si="133"/>
        <v/>
      </c>
      <c r="AA414" s="8" t="str">
        <f t="shared" si="134"/>
        <v/>
      </c>
      <c r="AB414" s="8" t="str">
        <f t="shared" si="135"/>
        <v/>
      </c>
      <c r="AC414" s="8"/>
      <c r="AD414" s="8"/>
      <c r="AE414" s="8"/>
      <c r="AK414" s="5" t="str">
        <f t="shared" si="136"/>
        <v/>
      </c>
      <c r="AL414" s="5" t="str">
        <f t="shared" si="137"/>
        <v/>
      </c>
      <c r="AM414" s="5" t="str">
        <f t="shared" si="138"/>
        <v/>
      </c>
      <c r="AN414" s="5" t="str">
        <f t="shared" si="139"/>
        <v/>
      </c>
      <c r="AO414" s="5" t="str">
        <f t="shared" si="140"/>
        <v/>
      </c>
      <c r="AP414" s="5" t="str">
        <f t="shared" si="141"/>
        <v/>
      </c>
      <c r="AQ414" s="5" t="str">
        <f t="shared" si="142"/>
        <v/>
      </c>
      <c r="AR414" s="5" t="str">
        <f t="shared" si="143"/>
        <v/>
      </c>
      <c r="AS414" s="5" t="str">
        <f t="shared" si="144"/>
        <v/>
      </c>
      <c r="AT414" s="5" t="str">
        <f t="shared" si="145"/>
        <v/>
      </c>
      <c r="AU414" s="5" t="str">
        <f t="shared" si="146"/>
        <v/>
      </c>
      <c r="AV414" s="5" t="str">
        <f t="shared" si="147"/>
        <v/>
      </c>
      <c r="AW414" s="5" t="str">
        <f t="shared" si="148"/>
        <v/>
      </c>
      <c r="AX414" s="5" t="str">
        <f t="shared" si="149"/>
        <v/>
      </c>
      <c r="AY414" s="5" t="str">
        <f t="shared" si="150"/>
        <v/>
      </c>
      <c r="AZ414" s="5" t="str">
        <f t="shared" si="151"/>
        <v/>
      </c>
      <c r="BA414" s="5" t="str">
        <f t="shared" si="152"/>
        <v/>
      </c>
      <c r="BB414" s="5" t="str">
        <f t="shared" si="153"/>
        <v/>
      </c>
    </row>
    <row r="415" spans="1:54" s="5" customFormat="1" hidden="1">
      <c r="A415" s="8" t="str">
        <f>IF(INDEX(FORM!$A:$A,ROW())="","",ROW()-1)</f>
        <v/>
      </c>
      <c r="B415" s="41" t="str">
        <f>IF($A415="","",INDEX(FORM!$A:$A,ROW()))</f>
        <v/>
      </c>
      <c r="C415" s="8" t="str">
        <f>IF($A415="","",TRIM(INDEX(FORM!$B:$B,ROW())))</f>
        <v/>
      </c>
      <c r="D415" s="8" t="str">
        <f>IF($A415="","",TRIM(INDEX(FORM!$C:$C,ROW())&amp;""))</f>
        <v/>
      </c>
      <c r="E415" s="8" t="str">
        <f>IF($A415="","",UPPER(TRIM(INDEX(FORM!$D:$D,ROW()))))</f>
        <v/>
      </c>
      <c r="F415" s="8" t="str">
        <f>IF($A415="","",IFERROR(INDEX(PROGRES!$A$2:$A$92,MATCH(E415,PROGRES!$B$2:$B$92,0)),"-"))</f>
        <v/>
      </c>
      <c r="G415" s="8" t="str">
        <f>IF($A415="","",UPPER(TRIM(INDEX(FORM!$F:$F,ROW()))))</f>
        <v/>
      </c>
      <c r="H415" s="8" t="str">
        <f>IF($A415="","",UPPER(TRIM(INDEX(FORM!$E:$E,ROW()))))</f>
        <v/>
      </c>
      <c r="I415" s="8" t="str">
        <f>IF($A415="","",UPPER(TRIM(INDEX(FORM!$G:$G,ROW()))))</f>
        <v/>
      </c>
      <c r="J415" s="8" t="str">
        <f>IF($A415="","",IF(ISNUMBER(SEARCH("Ya,",INDEX(FORM!$H:$H,ROW()))),"YA",IF(ISNUMBER(SEARCH("Cukup,",INDEX(FORM!$H:$H,ROW()))),"CUKUP",IF(ISNUMBER(SEARCH("Kurang,",INDEX(FORM!$H:$H,ROW()))),"KURANG",""))))</f>
        <v/>
      </c>
      <c r="K415" s="8" t="str">
        <f>IF($A415="","",UPPER(TRIM(INDEX(FORM!$J:$J,ROW()))))</f>
        <v/>
      </c>
      <c r="L415" s="8" t="str">
        <f>IF($A415="","",IF(ISNUMBER(SEARCH("Aktivitas Harian",INDEX(FORM!$K:$K,ROW()))),1,0))</f>
        <v/>
      </c>
      <c r="M415" s="8" t="str">
        <f>IF($A415="","",IF(ISNUMBER(SEARCH("Aktivitas Mingguan",INDEX(FORM!$K:$K,ROW()))),1,0))</f>
        <v/>
      </c>
      <c r="N415" s="8" t="str">
        <f>IF($A415="","",IF(ISNUMBER(SEARCH("Aktivitas Bulanan",INDEX(FORM!$K:$K,ROW()))),1,0))</f>
        <v/>
      </c>
      <c r="O415" s="8" t="str">
        <f>IF($A415="","",IF(ISNUMBER(SEARCH("Overview Cabang",INDEX(FORM!$K:$K,ROW()))),1,0))</f>
        <v/>
      </c>
      <c r="P415" s="8" t="str">
        <f>IF($A415="","",IFERROR(VLOOKUP(I415,DATA!$AH$9:$AI$13,2,0),""))</f>
        <v/>
      </c>
      <c r="Q415" s="8" t="str">
        <f>IF($A415="","",IFERROR(VLOOKUP(J415,DATA!$AH$9:$AI$13,2,0),""))</f>
        <v/>
      </c>
      <c r="R415" s="8" t="str">
        <f>IF($A415="","",IFERROR(VLOOKUP(K415,DATA!$AH$9:$AI$13,2,0),""))</f>
        <v/>
      </c>
      <c r="S415" s="42" t="str">
        <f t="shared" si="132"/>
        <v/>
      </c>
      <c r="T415" s="8" t="str">
        <f>IF($A415="","",IF(COUNTIF($D$2:D415,D415)=1,1,0))</f>
        <v/>
      </c>
      <c r="U415" s="8" t="str">
        <f>IF($A415="","",IF(F415="-","Cabang tdk ada",IF(IFERROR(VLOOKUP(G415,#REF!,1,0),"")="","",IF(INDEX(DATA!$AH$2:$AH$5,MATCH(G415,DATA!$AI$2:$AI$5,0))&lt;&gt;F415,"Wilayah beda","OK"))))</f>
        <v/>
      </c>
      <c r="V415" s="8" t="str">
        <f>IF($A415="","",TRIM(INDEX(FORM!$I:$I,ROW())&amp;""))</f>
        <v/>
      </c>
      <c r="W415" s="8" t="str">
        <f>IF($A415="","",TRIM(INDEX(FORM!$L:$L,ROW())&amp;""))</f>
        <v/>
      </c>
      <c r="X415" s="8" t="str">
        <f>IF($A415="","",TRIM(INDEX(FORM!$M:$M,ROW())&amp;""))</f>
        <v/>
      </c>
      <c r="Y415" s="8" t="str">
        <f>IF($A415="","",IFERROR(MATCH(F415,DATA!$AH$2:$AH$5,0),9)*10000+A415)</f>
        <v/>
      </c>
      <c r="Z415" s="8" t="str">
        <f t="shared" si="133"/>
        <v/>
      </c>
      <c r="AA415" s="8" t="str">
        <f t="shared" si="134"/>
        <v/>
      </c>
      <c r="AB415" s="8" t="str">
        <f t="shared" si="135"/>
        <v/>
      </c>
      <c r="AC415" s="8"/>
      <c r="AD415" s="8"/>
      <c r="AE415" s="8"/>
      <c r="AK415" s="5" t="str">
        <f t="shared" si="136"/>
        <v/>
      </c>
      <c r="AL415" s="5" t="str">
        <f t="shared" si="137"/>
        <v/>
      </c>
      <c r="AM415" s="5" t="str">
        <f t="shared" si="138"/>
        <v/>
      </c>
      <c r="AN415" s="5" t="str">
        <f t="shared" si="139"/>
        <v/>
      </c>
      <c r="AO415" s="5" t="str">
        <f t="shared" si="140"/>
        <v/>
      </c>
      <c r="AP415" s="5" t="str">
        <f t="shared" si="141"/>
        <v/>
      </c>
      <c r="AQ415" s="5" t="str">
        <f t="shared" si="142"/>
        <v/>
      </c>
      <c r="AR415" s="5" t="str">
        <f t="shared" si="143"/>
        <v/>
      </c>
      <c r="AS415" s="5" t="str">
        <f t="shared" si="144"/>
        <v/>
      </c>
      <c r="AT415" s="5" t="str">
        <f t="shared" si="145"/>
        <v/>
      </c>
      <c r="AU415" s="5" t="str">
        <f t="shared" si="146"/>
        <v/>
      </c>
      <c r="AV415" s="5" t="str">
        <f t="shared" si="147"/>
        <v/>
      </c>
      <c r="AW415" s="5" t="str">
        <f t="shared" si="148"/>
        <v/>
      </c>
      <c r="AX415" s="5" t="str">
        <f t="shared" si="149"/>
        <v/>
      </c>
      <c r="AY415" s="5" t="str">
        <f t="shared" si="150"/>
        <v/>
      </c>
      <c r="AZ415" s="5" t="str">
        <f t="shared" si="151"/>
        <v/>
      </c>
      <c r="BA415" s="5" t="str">
        <f t="shared" si="152"/>
        <v/>
      </c>
      <c r="BB415" s="5" t="str">
        <f t="shared" si="153"/>
        <v/>
      </c>
    </row>
    <row r="416" spans="1:54" s="5" customFormat="1" hidden="1">
      <c r="A416" s="8" t="str">
        <f>IF(INDEX(FORM!$A:$A,ROW())="","",ROW()-1)</f>
        <v/>
      </c>
      <c r="B416" s="41" t="str">
        <f>IF($A416="","",INDEX(FORM!$A:$A,ROW()))</f>
        <v/>
      </c>
      <c r="C416" s="8" t="str">
        <f>IF($A416="","",TRIM(INDEX(FORM!$B:$B,ROW())))</f>
        <v/>
      </c>
      <c r="D416" s="8" t="str">
        <f>IF($A416="","",TRIM(INDEX(FORM!$C:$C,ROW())&amp;""))</f>
        <v/>
      </c>
      <c r="E416" s="8" t="str">
        <f>IF($A416="","",UPPER(TRIM(INDEX(FORM!$D:$D,ROW()))))</f>
        <v/>
      </c>
      <c r="F416" s="8" t="str">
        <f>IF($A416="","",IFERROR(INDEX(PROGRES!$A$2:$A$92,MATCH(E416,PROGRES!$B$2:$B$92,0)),"-"))</f>
        <v/>
      </c>
      <c r="G416" s="8" t="str">
        <f>IF($A416="","",UPPER(TRIM(INDEX(FORM!$F:$F,ROW()))))</f>
        <v/>
      </c>
      <c r="H416" s="8" t="str">
        <f>IF($A416="","",UPPER(TRIM(INDEX(FORM!$E:$E,ROW()))))</f>
        <v/>
      </c>
      <c r="I416" s="8" t="str">
        <f>IF($A416="","",UPPER(TRIM(INDEX(FORM!$G:$G,ROW()))))</f>
        <v/>
      </c>
      <c r="J416" s="8" t="str">
        <f>IF($A416="","",IF(ISNUMBER(SEARCH("Ya,",INDEX(FORM!$H:$H,ROW()))),"YA",IF(ISNUMBER(SEARCH("Cukup,",INDEX(FORM!$H:$H,ROW()))),"CUKUP",IF(ISNUMBER(SEARCH("Kurang,",INDEX(FORM!$H:$H,ROW()))),"KURANG",""))))</f>
        <v/>
      </c>
      <c r="K416" s="8" t="str">
        <f>IF($A416="","",UPPER(TRIM(INDEX(FORM!$J:$J,ROW()))))</f>
        <v/>
      </c>
      <c r="L416" s="8" t="str">
        <f>IF($A416="","",IF(ISNUMBER(SEARCH("Aktivitas Harian",INDEX(FORM!$K:$K,ROW()))),1,0))</f>
        <v/>
      </c>
      <c r="M416" s="8" t="str">
        <f>IF($A416="","",IF(ISNUMBER(SEARCH("Aktivitas Mingguan",INDEX(FORM!$K:$K,ROW()))),1,0))</f>
        <v/>
      </c>
      <c r="N416" s="8" t="str">
        <f>IF($A416="","",IF(ISNUMBER(SEARCH("Aktivitas Bulanan",INDEX(FORM!$K:$K,ROW()))),1,0))</f>
        <v/>
      </c>
      <c r="O416" s="8" t="str">
        <f>IF($A416="","",IF(ISNUMBER(SEARCH("Overview Cabang",INDEX(FORM!$K:$K,ROW()))),1,0))</f>
        <v/>
      </c>
      <c r="P416" s="8" t="str">
        <f>IF($A416="","",IFERROR(VLOOKUP(I416,DATA!$AH$9:$AI$13,2,0),""))</f>
        <v/>
      </c>
      <c r="Q416" s="8" t="str">
        <f>IF($A416="","",IFERROR(VLOOKUP(J416,DATA!$AH$9:$AI$13,2,0),""))</f>
        <v/>
      </c>
      <c r="R416" s="8" t="str">
        <f>IF($A416="","",IFERROR(VLOOKUP(K416,DATA!$AH$9:$AI$13,2,0),""))</f>
        <v/>
      </c>
      <c r="S416" s="42" t="str">
        <f t="shared" si="132"/>
        <v/>
      </c>
      <c r="T416" s="8" t="str">
        <f>IF($A416="","",IF(COUNTIF($D$2:D416,D416)=1,1,0))</f>
        <v/>
      </c>
      <c r="U416" s="8" t="str">
        <f>IF($A416="","",IF(F416="-","Cabang tdk ada",IF(IFERROR(VLOOKUP(G416,#REF!,1,0),"")="","",IF(INDEX(DATA!$AH$2:$AH$5,MATCH(G416,DATA!$AI$2:$AI$5,0))&lt;&gt;F416,"Wilayah beda","OK"))))</f>
        <v/>
      </c>
      <c r="V416" s="8" t="str">
        <f>IF($A416="","",TRIM(INDEX(FORM!$I:$I,ROW())&amp;""))</f>
        <v/>
      </c>
      <c r="W416" s="8" t="str">
        <f>IF($A416="","",TRIM(INDEX(FORM!$L:$L,ROW())&amp;""))</f>
        <v/>
      </c>
      <c r="X416" s="8" t="str">
        <f>IF($A416="","",TRIM(INDEX(FORM!$M:$M,ROW())&amp;""))</f>
        <v/>
      </c>
      <c r="Y416" s="8" t="str">
        <f>IF($A416="","",IFERROR(MATCH(F416,DATA!$AH$2:$AH$5,0),9)*10000+A416)</f>
        <v/>
      </c>
      <c r="Z416" s="8" t="str">
        <f t="shared" si="133"/>
        <v/>
      </c>
      <c r="AA416" s="8" t="str">
        <f t="shared" si="134"/>
        <v/>
      </c>
      <c r="AB416" s="8" t="str">
        <f t="shared" si="135"/>
        <v/>
      </c>
      <c r="AC416" s="8"/>
      <c r="AD416" s="8"/>
      <c r="AE416" s="8"/>
      <c r="AK416" s="5" t="str">
        <f t="shared" si="136"/>
        <v/>
      </c>
      <c r="AL416" s="5" t="str">
        <f t="shared" si="137"/>
        <v/>
      </c>
      <c r="AM416" s="5" t="str">
        <f t="shared" si="138"/>
        <v/>
      </c>
      <c r="AN416" s="5" t="str">
        <f t="shared" si="139"/>
        <v/>
      </c>
      <c r="AO416" s="5" t="str">
        <f t="shared" si="140"/>
        <v/>
      </c>
      <c r="AP416" s="5" t="str">
        <f t="shared" si="141"/>
        <v/>
      </c>
      <c r="AQ416" s="5" t="str">
        <f t="shared" si="142"/>
        <v/>
      </c>
      <c r="AR416" s="5" t="str">
        <f t="shared" si="143"/>
        <v/>
      </c>
      <c r="AS416" s="5" t="str">
        <f t="shared" si="144"/>
        <v/>
      </c>
      <c r="AT416" s="5" t="str">
        <f t="shared" si="145"/>
        <v/>
      </c>
      <c r="AU416" s="5" t="str">
        <f t="shared" si="146"/>
        <v/>
      </c>
      <c r="AV416" s="5" t="str">
        <f t="shared" si="147"/>
        <v/>
      </c>
      <c r="AW416" s="5" t="str">
        <f t="shared" si="148"/>
        <v/>
      </c>
      <c r="AX416" s="5" t="str">
        <f t="shared" si="149"/>
        <v/>
      </c>
      <c r="AY416" s="5" t="str">
        <f t="shared" si="150"/>
        <v/>
      </c>
      <c r="AZ416" s="5" t="str">
        <f t="shared" si="151"/>
        <v/>
      </c>
      <c r="BA416" s="5" t="str">
        <f t="shared" si="152"/>
        <v/>
      </c>
      <c r="BB416" s="5" t="str">
        <f t="shared" si="153"/>
        <v/>
      </c>
    </row>
    <row r="417" spans="1:54" s="5" customFormat="1" hidden="1">
      <c r="A417" s="8" t="str">
        <f>IF(INDEX(FORM!$A:$A,ROW())="","",ROW()-1)</f>
        <v/>
      </c>
      <c r="B417" s="41" t="str">
        <f>IF($A417="","",INDEX(FORM!$A:$A,ROW()))</f>
        <v/>
      </c>
      <c r="C417" s="8" t="str">
        <f>IF($A417="","",TRIM(INDEX(FORM!$B:$B,ROW())))</f>
        <v/>
      </c>
      <c r="D417" s="8" t="str">
        <f>IF($A417="","",TRIM(INDEX(FORM!$C:$C,ROW())&amp;""))</f>
        <v/>
      </c>
      <c r="E417" s="8" t="str">
        <f>IF($A417="","",UPPER(TRIM(INDEX(FORM!$D:$D,ROW()))))</f>
        <v/>
      </c>
      <c r="F417" s="8" t="str">
        <f>IF($A417="","",IFERROR(INDEX(PROGRES!$A$2:$A$92,MATCH(E417,PROGRES!$B$2:$B$92,0)),"-"))</f>
        <v/>
      </c>
      <c r="G417" s="8" t="str">
        <f>IF($A417="","",UPPER(TRIM(INDEX(FORM!$F:$F,ROW()))))</f>
        <v/>
      </c>
      <c r="H417" s="8" t="str">
        <f>IF($A417="","",UPPER(TRIM(INDEX(FORM!$E:$E,ROW()))))</f>
        <v/>
      </c>
      <c r="I417" s="8" t="str">
        <f>IF($A417="","",UPPER(TRIM(INDEX(FORM!$G:$G,ROW()))))</f>
        <v/>
      </c>
      <c r="J417" s="8" t="str">
        <f>IF($A417="","",IF(ISNUMBER(SEARCH("Ya,",INDEX(FORM!$H:$H,ROW()))),"YA",IF(ISNUMBER(SEARCH("Cukup,",INDEX(FORM!$H:$H,ROW()))),"CUKUP",IF(ISNUMBER(SEARCH("Kurang,",INDEX(FORM!$H:$H,ROW()))),"KURANG",""))))</f>
        <v/>
      </c>
      <c r="K417" s="8" t="str">
        <f>IF($A417="","",UPPER(TRIM(INDEX(FORM!$J:$J,ROW()))))</f>
        <v/>
      </c>
      <c r="L417" s="8" t="str">
        <f>IF($A417="","",IF(ISNUMBER(SEARCH("Aktivitas Harian",INDEX(FORM!$K:$K,ROW()))),1,0))</f>
        <v/>
      </c>
      <c r="M417" s="8" t="str">
        <f>IF($A417="","",IF(ISNUMBER(SEARCH("Aktivitas Mingguan",INDEX(FORM!$K:$K,ROW()))),1,0))</f>
        <v/>
      </c>
      <c r="N417" s="8" t="str">
        <f>IF($A417="","",IF(ISNUMBER(SEARCH("Aktivitas Bulanan",INDEX(FORM!$K:$K,ROW()))),1,0))</f>
        <v/>
      </c>
      <c r="O417" s="8" t="str">
        <f>IF($A417="","",IF(ISNUMBER(SEARCH("Overview Cabang",INDEX(FORM!$K:$K,ROW()))),1,0))</f>
        <v/>
      </c>
      <c r="P417" s="8" t="str">
        <f>IF($A417="","",IFERROR(VLOOKUP(I417,DATA!$AH$9:$AI$13,2,0),""))</f>
        <v/>
      </c>
      <c r="Q417" s="8" t="str">
        <f>IF($A417="","",IFERROR(VLOOKUP(J417,DATA!$AH$9:$AI$13,2,0),""))</f>
        <v/>
      </c>
      <c r="R417" s="8" t="str">
        <f>IF($A417="","",IFERROR(VLOOKUP(K417,DATA!$AH$9:$AI$13,2,0),""))</f>
        <v/>
      </c>
      <c r="S417" s="42" t="str">
        <f t="shared" si="132"/>
        <v/>
      </c>
      <c r="T417" s="8" t="str">
        <f>IF($A417="","",IF(COUNTIF($D$2:D417,D417)=1,1,0))</f>
        <v/>
      </c>
      <c r="U417" s="8" t="str">
        <f>IF($A417="","",IF(F417="-","Cabang tdk ada",IF(IFERROR(VLOOKUP(G417,#REF!,1,0),"")="","",IF(INDEX(DATA!$AH$2:$AH$5,MATCH(G417,DATA!$AI$2:$AI$5,0))&lt;&gt;F417,"Wilayah beda","OK"))))</f>
        <v/>
      </c>
      <c r="V417" s="8" t="str">
        <f>IF($A417="","",TRIM(INDEX(FORM!$I:$I,ROW())&amp;""))</f>
        <v/>
      </c>
      <c r="W417" s="8" t="str">
        <f>IF($A417="","",TRIM(INDEX(FORM!$L:$L,ROW())&amp;""))</f>
        <v/>
      </c>
      <c r="X417" s="8" t="str">
        <f>IF($A417="","",TRIM(INDEX(FORM!$M:$M,ROW())&amp;""))</f>
        <v/>
      </c>
      <c r="Y417" s="8" t="str">
        <f>IF($A417="","",IFERROR(MATCH(F417,DATA!$AH$2:$AH$5,0),9)*10000+A417)</f>
        <v/>
      </c>
      <c r="Z417" s="8" t="str">
        <f t="shared" si="133"/>
        <v/>
      </c>
      <c r="AA417" s="8" t="str">
        <f t="shared" si="134"/>
        <v/>
      </c>
      <c r="AB417" s="8" t="str">
        <f t="shared" si="135"/>
        <v/>
      </c>
      <c r="AC417" s="8"/>
      <c r="AD417" s="8"/>
      <c r="AE417" s="8"/>
      <c r="AK417" s="5" t="str">
        <f t="shared" si="136"/>
        <v/>
      </c>
      <c r="AL417" s="5" t="str">
        <f t="shared" si="137"/>
        <v/>
      </c>
      <c r="AM417" s="5" t="str">
        <f t="shared" si="138"/>
        <v/>
      </c>
      <c r="AN417" s="5" t="str">
        <f t="shared" si="139"/>
        <v/>
      </c>
      <c r="AO417" s="5" t="str">
        <f t="shared" si="140"/>
        <v/>
      </c>
      <c r="AP417" s="5" t="str">
        <f t="shared" si="141"/>
        <v/>
      </c>
      <c r="AQ417" s="5" t="str">
        <f t="shared" si="142"/>
        <v/>
      </c>
      <c r="AR417" s="5" t="str">
        <f t="shared" si="143"/>
        <v/>
      </c>
      <c r="AS417" s="5" t="str">
        <f t="shared" si="144"/>
        <v/>
      </c>
      <c r="AT417" s="5" t="str">
        <f t="shared" si="145"/>
        <v/>
      </c>
      <c r="AU417" s="5" t="str">
        <f t="shared" si="146"/>
        <v/>
      </c>
      <c r="AV417" s="5" t="str">
        <f t="shared" si="147"/>
        <v/>
      </c>
      <c r="AW417" s="5" t="str">
        <f t="shared" si="148"/>
        <v/>
      </c>
      <c r="AX417" s="5" t="str">
        <f t="shared" si="149"/>
        <v/>
      </c>
      <c r="AY417" s="5" t="str">
        <f t="shared" si="150"/>
        <v/>
      </c>
      <c r="AZ417" s="5" t="str">
        <f t="shared" si="151"/>
        <v/>
      </c>
      <c r="BA417" s="5" t="str">
        <f t="shared" si="152"/>
        <v/>
      </c>
      <c r="BB417" s="5" t="str">
        <f t="shared" si="153"/>
        <v/>
      </c>
    </row>
    <row r="418" spans="1:54" s="5" customFormat="1" hidden="1">
      <c r="A418" s="8" t="str">
        <f>IF(INDEX(FORM!$A:$A,ROW())="","",ROW()-1)</f>
        <v/>
      </c>
      <c r="B418" s="41" t="str">
        <f>IF($A418="","",INDEX(FORM!$A:$A,ROW()))</f>
        <v/>
      </c>
      <c r="C418" s="8" t="str">
        <f>IF($A418="","",TRIM(INDEX(FORM!$B:$B,ROW())))</f>
        <v/>
      </c>
      <c r="D418" s="8" t="str">
        <f>IF($A418="","",TRIM(INDEX(FORM!$C:$C,ROW())&amp;""))</f>
        <v/>
      </c>
      <c r="E418" s="8" t="str">
        <f>IF($A418="","",UPPER(TRIM(INDEX(FORM!$D:$D,ROW()))))</f>
        <v/>
      </c>
      <c r="F418" s="8" t="str">
        <f>IF($A418="","",IFERROR(INDEX(PROGRES!$A$2:$A$92,MATCH(E418,PROGRES!$B$2:$B$92,0)),"-"))</f>
        <v/>
      </c>
      <c r="G418" s="8" t="str">
        <f>IF($A418="","",UPPER(TRIM(INDEX(FORM!$F:$F,ROW()))))</f>
        <v/>
      </c>
      <c r="H418" s="8" t="str">
        <f>IF($A418="","",UPPER(TRIM(INDEX(FORM!$E:$E,ROW()))))</f>
        <v/>
      </c>
      <c r="I418" s="8" t="str">
        <f>IF($A418="","",UPPER(TRIM(INDEX(FORM!$G:$G,ROW()))))</f>
        <v/>
      </c>
      <c r="J418" s="8" t="str">
        <f>IF($A418="","",IF(ISNUMBER(SEARCH("Ya,",INDEX(FORM!$H:$H,ROW()))),"YA",IF(ISNUMBER(SEARCH("Cukup,",INDEX(FORM!$H:$H,ROW()))),"CUKUP",IF(ISNUMBER(SEARCH("Kurang,",INDEX(FORM!$H:$H,ROW()))),"KURANG",""))))</f>
        <v/>
      </c>
      <c r="K418" s="8" t="str">
        <f>IF($A418="","",UPPER(TRIM(INDEX(FORM!$J:$J,ROW()))))</f>
        <v/>
      </c>
      <c r="L418" s="8" t="str">
        <f>IF($A418="","",IF(ISNUMBER(SEARCH("Aktivitas Harian",INDEX(FORM!$K:$K,ROW()))),1,0))</f>
        <v/>
      </c>
      <c r="M418" s="8" t="str">
        <f>IF($A418="","",IF(ISNUMBER(SEARCH("Aktivitas Mingguan",INDEX(FORM!$K:$K,ROW()))),1,0))</f>
        <v/>
      </c>
      <c r="N418" s="8" t="str">
        <f>IF($A418="","",IF(ISNUMBER(SEARCH("Aktivitas Bulanan",INDEX(FORM!$K:$K,ROW()))),1,0))</f>
        <v/>
      </c>
      <c r="O418" s="8" t="str">
        <f>IF($A418="","",IF(ISNUMBER(SEARCH("Overview Cabang",INDEX(FORM!$K:$K,ROW()))),1,0))</f>
        <v/>
      </c>
      <c r="P418" s="8" t="str">
        <f>IF($A418="","",IFERROR(VLOOKUP(I418,DATA!$AH$9:$AI$13,2,0),""))</f>
        <v/>
      </c>
      <c r="Q418" s="8" t="str">
        <f>IF($A418="","",IFERROR(VLOOKUP(J418,DATA!$AH$9:$AI$13,2,0),""))</f>
        <v/>
      </c>
      <c r="R418" s="8" t="str">
        <f>IF($A418="","",IFERROR(VLOOKUP(K418,DATA!$AH$9:$AI$13,2,0),""))</f>
        <v/>
      </c>
      <c r="S418" s="42" t="str">
        <f t="shared" si="132"/>
        <v/>
      </c>
      <c r="T418" s="8" t="str">
        <f>IF($A418="","",IF(COUNTIF($D$2:D418,D418)=1,1,0))</f>
        <v/>
      </c>
      <c r="U418" s="8" t="str">
        <f>IF($A418="","",IF(F418="-","Cabang tdk ada",IF(IFERROR(VLOOKUP(G418,#REF!,1,0),"")="","",IF(INDEX(DATA!$AH$2:$AH$5,MATCH(G418,DATA!$AI$2:$AI$5,0))&lt;&gt;F418,"Wilayah beda","OK"))))</f>
        <v/>
      </c>
      <c r="V418" s="8" t="str">
        <f>IF($A418="","",TRIM(INDEX(FORM!$I:$I,ROW())&amp;""))</f>
        <v/>
      </c>
      <c r="W418" s="8" t="str">
        <f>IF($A418="","",TRIM(INDEX(FORM!$L:$L,ROW())&amp;""))</f>
        <v/>
      </c>
      <c r="X418" s="8" t="str">
        <f>IF($A418="","",TRIM(INDEX(FORM!$M:$M,ROW())&amp;""))</f>
        <v/>
      </c>
      <c r="Y418" s="8" t="str">
        <f>IF($A418="","",IFERROR(MATCH(F418,DATA!$AH$2:$AH$5,0),9)*10000+A418)</f>
        <v/>
      </c>
      <c r="Z418" s="8" t="str">
        <f t="shared" si="133"/>
        <v/>
      </c>
      <c r="AA418" s="8" t="str">
        <f t="shared" si="134"/>
        <v/>
      </c>
      <c r="AB418" s="8" t="str">
        <f t="shared" si="135"/>
        <v/>
      </c>
      <c r="AC418" s="8"/>
      <c r="AD418" s="8"/>
      <c r="AE418" s="8"/>
      <c r="AK418" s="5" t="str">
        <f t="shared" si="136"/>
        <v/>
      </c>
      <c r="AL418" s="5" t="str">
        <f t="shared" si="137"/>
        <v/>
      </c>
      <c r="AM418" s="5" t="str">
        <f t="shared" si="138"/>
        <v/>
      </c>
      <c r="AN418" s="5" t="str">
        <f t="shared" si="139"/>
        <v/>
      </c>
      <c r="AO418" s="5" t="str">
        <f t="shared" si="140"/>
        <v/>
      </c>
      <c r="AP418" s="5" t="str">
        <f t="shared" si="141"/>
        <v/>
      </c>
      <c r="AQ418" s="5" t="str">
        <f t="shared" si="142"/>
        <v/>
      </c>
      <c r="AR418" s="5" t="str">
        <f t="shared" si="143"/>
        <v/>
      </c>
      <c r="AS418" s="5" t="str">
        <f t="shared" si="144"/>
        <v/>
      </c>
      <c r="AT418" s="5" t="str">
        <f t="shared" si="145"/>
        <v/>
      </c>
      <c r="AU418" s="5" t="str">
        <f t="shared" si="146"/>
        <v/>
      </c>
      <c r="AV418" s="5" t="str">
        <f t="shared" si="147"/>
        <v/>
      </c>
      <c r="AW418" s="5" t="str">
        <f t="shared" si="148"/>
        <v/>
      </c>
      <c r="AX418" s="5" t="str">
        <f t="shared" si="149"/>
        <v/>
      </c>
      <c r="AY418" s="5" t="str">
        <f t="shared" si="150"/>
        <v/>
      </c>
      <c r="AZ418" s="5" t="str">
        <f t="shared" si="151"/>
        <v/>
      </c>
      <c r="BA418" s="5" t="str">
        <f t="shared" si="152"/>
        <v/>
      </c>
      <c r="BB418" s="5" t="str">
        <f t="shared" si="153"/>
        <v/>
      </c>
    </row>
    <row r="419" spans="1:54" s="5" customFormat="1" hidden="1">
      <c r="A419" s="8" t="str">
        <f>IF(INDEX(FORM!$A:$A,ROW())="","",ROW()-1)</f>
        <v/>
      </c>
      <c r="B419" s="41" t="str">
        <f>IF($A419="","",INDEX(FORM!$A:$A,ROW()))</f>
        <v/>
      </c>
      <c r="C419" s="8" t="str">
        <f>IF($A419="","",TRIM(INDEX(FORM!$B:$B,ROW())))</f>
        <v/>
      </c>
      <c r="D419" s="8" t="str">
        <f>IF($A419="","",TRIM(INDEX(FORM!$C:$C,ROW())&amp;""))</f>
        <v/>
      </c>
      <c r="E419" s="8" t="str">
        <f>IF($A419="","",UPPER(TRIM(INDEX(FORM!$D:$D,ROW()))))</f>
        <v/>
      </c>
      <c r="F419" s="8" t="str">
        <f>IF($A419="","",IFERROR(INDEX(PROGRES!$A$2:$A$92,MATCH(E419,PROGRES!$B$2:$B$92,0)),"-"))</f>
        <v/>
      </c>
      <c r="G419" s="8" t="str">
        <f>IF($A419="","",UPPER(TRIM(INDEX(FORM!$F:$F,ROW()))))</f>
        <v/>
      </c>
      <c r="H419" s="8" t="str">
        <f>IF($A419="","",UPPER(TRIM(INDEX(FORM!$E:$E,ROW()))))</f>
        <v/>
      </c>
      <c r="I419" s="8" t="str">
        <f>IF($A419="","",UPPER(TRIM(INDEX(FORM!$G:$G,ROW()))))</f>
        <v/>
      </c>
      <c r="J419" s="8" t="str">
        <f>IF($A419="","",IF(ISNUMBER(SEARCH("Ya,",INDEX(FORM!$H:$H,ROW()))),"YA",IF(ISNUMBER(SEARCH("Cukup,",INDEX(FORM!$H:$H,ROW()))),"CUKUP",IF(ISNUMBER(SEARCH("Kurang,",INDEX(FORM!$H:$H,ROW()))),"KURANG",""))))</f>
        <v/>
      </c>
      <c r="K419" s="8" t="str">
        <f>IF($A419="","",UPPER(TRIM(INDEX(FORM!$J:$J,ROW()))))</f>
        <v/>
      </c>
      <c r="L419" s="8" t="str">
        <f>IF($A419="","",IF(ISNUMBER(SEARCH("Aktivitas Harian",INDEX(FORM!$K:$K,ROW()))),1,0))</f>
        <v/>
      </c>
      <c r="M419" s="8" t="str">
        <f>IF($A419="","",IF(ISNUMBER(SEARCH("Aktivitas Mingguan",INDEX(FORM!$K:$K,ROW()))),1,0))</f>
        <v/>
      </c>
      <c r="N419" s="8" t="str">
        <f>IF($A419="","",IF(ISNUMBER(SEARCH("Aktivitas Bulanan",INDEX(FORM!$K:$K,ROW()))),1,0))</f>
        <v/>
      </c>
      <c r="O419" s="8" t="str">
        <f>IF($A419="","",IF(ISNUMBER(SEARCH("Overview Cabang",INDEX(FORM!$K:$K,ROW()))),1,0))</f>
        <v/>
      </c>
      <c r="P419" s="8" t="str">
        <f>IF($A419="","",IFERROR(VLOOKUP(I419,DATA!$AH$9:$AI$13,2,0),""))</f>
        <v/>
      </c>
      <c r="Q419" s="8" t="str">
        <f>IF($A419="","",IFERROR(VLOOKUP(J419,DATA!$AH$9:$AI$13,2,0),""))</f>
        <v/>
      </c>
      <c r="R419" s="8" t="str">
        <f>IF($A419="","",IFERROR(VLOOKUP(K419,DATA!$AH$9:$AI$13,2,0),""))</f>
        <v/>
      </c>
      <c r="S419" s="42" t="str">
        <f t="shared" si="132"/>
        <v/>
      </c>
      <c r="T419" s="8" t="str">
        <f>IF($A419="","",IF(COUNTIF($D$2:D419,D419)=1,1,0))</f>
        <v/>
      </c>
      <c r="U419" s="8" t="str">
        <f>IF($A419="","",IF(F419="-","Cabang tdk ada",IF(IFERROR(VLOOKUP(G419,#REF!,1,0),"")="","",IF(INDEX(DATA!$AH$2:$AH$5,MATCH(G419,DATA!$AI$2:$AI$5,0))&lt;&gt;F419,"Wilayah beda","OK"))))</f>
        <v/>
      </c>
      <c r="V419" s="8" t="str">
        <f>IF($A419="","",TRIM(INDEX(FORM!$I:$I,ROW())&amp;""))</f>
        <v/>
      </c>
      <c r="W419" s="8" t="str">
        <f>IF($A419="","",TRIM(INDEX(FORM!$L:$L,ROW())&amp;""))</f>
        <v/>
      </c>
      <c r="X419" s="8" t="str">
        <f>IF($A419="","",TRIM(INDEX(FORM!$M:$M,ROW())&amp;""))</f>
        <v/>
      </c>
      <c r="Y419" s="8" t="str">
        <f>IF($A419="","",IFERROR(MATCH(F419,DATA!$AH$2:$AH$5,0),9)*10000+A419)</f>
        <v/>
      </c>
      <c r="Z419" s="8" t="str">
        <f t="shared" si="133"/>
        <v/>
      </c>
      <c r="AA419" s="8" t="str">
        <f t="shared" si="134"/>
        <v/>
      </c>
      <c r="AB419" s="8" t="str">
        <f t="shared" si="135"/>
        <v/>
      </c>
      <c r="AC419" s="8"/>
      <c r="AD419" s="8"/>
      <c r="AE419" s="8"/>
      <c r="AK419" s="5" t="str">
        <f t="shared" si="136"/>
        <v/>
      </c>
      <c r="AL419" s="5" t="str">
        <f t="shared" si="137"/>
        <v/>
      </c>
      <c r="AM419" s="5" t="str">
        <f t="shared" si="138"/>
        <v/>
      </c>
      <c r="AN419" s="5" t="str">
        <f t="shared" si="139"/>
        <v/>
      </c>
      <c r="AO419" s="5" t="str">
        <f t="shared" si="140"/>
        <v/>
      </c>
      <c r="AP419" s="5" t="str">
        <f t="shared" si="141"/>
        <v/>
      </c>
      <c r="AQ419" s="5" t="str">
        <f t="shared" si="142"/>
        <v/>
      </c>
      <c r="AR419" s="5" t="str">
        <f t="shared" si="143"/>
        <v/>
      </c>
      <c r="AS419" s="5" t="str">
        <f t="shared" si="144"/>
        <v/>
      </c>
      <c r="AT419" s="5" t="str">
        <f t="shared" si="145"/>
        <v/>
      </c>
      <c r="AU419" s="5" t="str">
        <f t="shared" si="146"/>
        <v/>
      </c>
      <c r="AV419" s="5" t="str">
        <f t="shared" si="147"/>
        <v/>
      </c>
      <c r="AW419" s="5" t="str">
        <f t="shared" si="148"/>
        <v/>
      </c>
      <c r="AX419" s="5" t="str">
        <f t="shared" si="149"/>
        <v/>
      </c>
      <c r="AY419" s="5" t="str">
        <f t="shared" si="150"/>
        <v/>
      </c>
      <c r="AZ419" s="5" t="str">
        <f t="shared" si="151"/>
        <v/>
      </c>
      <c r="BA419" s="5" t="str">
        <f t="shared" si="152"/>
        <v/>
      </c>
      <c r="BB419" s="5" t="str">
        <f t="shared" si="153"/>
        <v/>
      </c>
    </row>
    <row r="420" spans="1:54" s="5" customFormat="1" hidden="1">
      <c r="A420" s="8" t="str">
        <f>IF(INDEX(FORM!$A:$A,ROW())="","",ROW()-1)</f>
        <v/>
      </c>
      <c r="B420" s="41" t="str">
        <f>IF($A420="","",INDEX(FORM!$A:$A,ROW()))</f>
        <v/>
      </c>
      <c r="C420" s="8" t="str">
        <f>IF($A420="","",TRIM(INDEX(FORM!$B:$B,ROW())))</f>
        <v/>
      </c>
      <c r="D420" s="8" t="str">
        <f>IF($A420="","",TRIM(INDEX(FORM!$C:$C,ROW())&amp;""))</f>
        <v/>
      </c>
      <c r="E420" s="8" t="str">
        <f>IF($A420="","",UPPER(TRIM(INDEX(FORM!$D:$D,ROW()))))</f>
        <v/>
      </c>
      <c r="F420" s="8" t="str">
        <f>IF($A420="","",IFERROR(INDEX(PROGRES!$A$2:$A$92,MATCH(E420,PROGRES!$B$2:$B$92,0)),"-"))</f>
        <v/>
      </c>
      <c r="G420" s="8" t="str">
        <f>IF($A420="","",UPPER(TRIM(INDEX(FORM!$F:$F,ROW()))))</f>
        <v/>
      </c>
      <c r="H420" s="8" t="str">
        <f>IF($A420="","",UPPER(TRIM(INDEX(FORM!$E:$E,ROW()))))</f>
        <v/>
      </c>
      <c r="I420" s="8" t="str">
        <f>IF($A420="","",UPPER(TRIM(INDEX(FORM!$G:$G,ROW()))))</f>
        <v/>
      </c>
      <c r="J420" s="8" t="str">
        <f>IF($A420="","",IF(ISNUMBER(SEARCH("Ya,",INDEX(FORM!$H:$H,ROW()))),"YA",IF(ISNUMBER(SEARCH("Cukup,",INDEX(FORM!$H:$H,ROW()))),"CUKUP",IF(ISNUMBER(SEARCH("Kurang,",INDEX(FORM!$H:$H,ROW()))),"KURANG",""))))</f>
        <v/>
      </c>
      <c r="K420" s="8" t="str">
        <f>IF($A420="","",UPPER(TRIM(INDEX(FORM!$J:$J,ROW()))))</f>
        <v/>
      </c>
      <c r="L420" s="8" t="str">
        <f>IF($A420="","",IF(ISNUMBER(SEARCH("Aktivitas Harian",INDEX(FORM!$K:$K,ROW()))),1,0))</f>
        <v/>
      </c>
      <c r="M420" s="8" t="str">
        <f>IF($A420="","",IF(ISNUMBER(SEARCH("Aktivitas Mingguan",INDEX(FORM!$K:$K,ROW()))),1,0))</f>
        <v/>
      </c>
      <c r="N420" s="8" t="str">
        <f>IF($A420="","",IF(ISNUMBER(SEARCH("Aktivitas Bulanan",INDEX(FORM!$K:$K,ROW()))),1,0))</f>
        <v/>
      </c>
      <c r="O420" s="8" t="str">
        <f>IF($A420="","",IF(ISNUMBER(SEARCH("Overview Cabang",INDEX(FORM!$K:$K,ROW()))),1,0))</f>
        <v/>
      </c>
      <c r="P420" s="8" t="str">
        <f>IF($A420="","",IFERROR(VLOOKUP(I420,DATA!$AH$9:$AI$13,2,0),""))</f>
        <v/>
      </c>
      <c r="Q420" s="8" t="str">
        <f>IF($A420="","",IFERROR(VLOOKUP(J420,DATA!$AH$9:$AI$13,2,0),""))</f>
        <v/>
      </c>
      <c r="R420" s="8" t="str">
        <f>IF($A420="","",IFERROR(VLOOKUP(K420,DATA!$AH$9:$AI$13,2,0),""))</f>
        <v/>
      </c>
      <c r="S420" s="42" t="str">
        <f t="shared" si="132"/>
        <v/>
      </c>
      <c r="T420" s="8" t="str">
        <f>IF($A420="","",IF(COUNTIF($D$2:D420,D420)=1,1,0))</f>
        <v/>
      </c>
      <c r="U420" s="8" t="str">
        <f>IF($A420="","",IF(F420="-","Cabang tdk ada",IF(IFERROR(VLOOKUP(G420,#REF!,1,0),"")="","",IF(INDEX(DATA!$AH$2:$AH$5,MATCH(G420,DATA!$AI$2:$AI$5,0))&lt;&gt;F420,"Wilayah beda","OK"))))</f>
        <v/>
      </c>
      <c r="V420" s="8" t="str">
        <f>IF($A420="","",TRIM(INDEX(FORM!$I:$I,ROW())&amp;""))</f>
        <v/>
      </c>
      <c r="W420" s="8" t="str">
        <f>IF($A420="","",TRIM(INDEX(FORM!$L:$L,ROW())&amp;""))</f>
        <v/>
      </c>
      <c r="X420" s="8" t="str">
        <f>IF($A420="","",TRIM(INDEX(FORM!$M:$M,ROW())&amp;""))</f>
        <v/>
      </c>
      <c r="Y420" s="8" t="str">
        <f>IF($A420="","",IFERROR(MATCH(F420,DATA!$AH$2:$AH$5,0),9)*10000+A420)</f>
        <v/>
      </c>
      <c r="Z420" s="8" t="str">
        <f t="shared" si="133"/>
        <v/>
      </c>
      <c r="AA420" s="8" t="str">
        <f t="shared" si="134"/>
        <v/>
      </c>
      <c r="AB420" s="8" t="str">
        <f t="shared" si="135"/>
        <v/>
      </c>
      <c r="AC420" s="8"/>
      <c r="AD420" s="8"/>
      <c r="AE420" s="8"/>
      <c r="AK420" s="5" t="str">
        <f t="shared" si="136"/>
        <v/>
      </c>
      <c r="AL420" s="5" t="str">
        <f t="shared" si="137"/>
        <v/>
      </c>
      <c r="AM420" s="5" t="str">
        <f t="shared" si="138"/>
        <v/>
      </c>
      <c r="AN420" s="5" t="str">
        <f t="shared" si="139"/>
        <v/>
      </c>
      <c r="AO420" s="5" t="str">
        <f t="shared" si="140"/>
        <v/>
      </c>
      <c r="AP420" s="5" t="str">
        <f t="shared" si="141"/>
        <v/>
      </c>
      <c r="AQ420" s="5" t="str">
        <f t="shared" si="142"/>
        <v/>
      </c>
      <c r="AR420" s="5" t="str">
        <f t="shared" si="143"/>
        <v/>
      </c>
      <c r="AS420" s="5" t="str">
        <f t="shared" si="144"/>
        <v/>
      </c>
      <c r="AT420" s="5" t="str">
        <f t="shared" si="145"/>
        <v/>
      </c>
      <c r="AU420" s="5" t="str">
        <f t="shared" si="146"/>
        <v/>
      </c>
      <c r="AV420" s="5" t="str">
        <f t="shared" si="147"/>
        <v/>
      </c>
      <c r="AW420" s="5" t="str">
        <f t="shared" si="148"/>
        <v/>
      </c>
      <c r="AX420" s="5" t="str">
        <f t="shared" si="149"/>
        <v/>
      </c>
      <c r="AY420" s="5" t="str">
        <f t="shared" si="150"/>
        <v/>
      </c>
      <c r="AZ420" s="5" t="str">
        <f t="shared" si="151"/>
        <v/>
      </c>
      <c r="BA420" s="5" t="str">
        <f t="shared" si="152"/>
        <v/>
      </c>
      <c r="BB420" s="5" t="str">
        <f t="shared" si="153"/>
        <v/>
      </c>
    </row>
    <row r="421" spans="1:54" s="5" customFormat="1" hidden="1">
      <c r="A421" s="8" t="str">
        <f>IF(INDEX(FORM!$A:$A,ROW())="","",ROW()-1)</f>
        <v/>
      </c>
      <c r="B421" s="41" t="str">
        <f>IF($A421="","",INDEX(FORM!$A:$A,ROW()))</f>
        <v/>
      </c>
      <c r="C421" s="8" t="str">
        <f>IF($A421="","",TRIM(INDEX(FORM!$B:$B,ROW())))</f>
        <v/>
      </c>
      <c r="D421" s="8" t="str">
        <f>IF($A421="","",TRIM(INDEX(FORM!$C:$C,ROW())&amp;""))</f>
        <v/>
      </c>
      <c r="E421" s="8" t="str">
        <f>IF($A421="","",UPPER(TRIM(INDEX(FORM!$D:$D,ROW()))))</f>
        <v/>
      </c>
      <c r="F421" s="8" t="str">
        <f>IF($A421="","",IFERROR(INDEX(PROGRES!$A$2:$A$92,MATCH(E421,PROGRES!$B$2:$B$92,0)),"-"))</f>
        <v/>
      </c>
      <c r="G421" s="8" t="str">
        <f>IF($A421="","",UPPER(TRIM(INDEX(FORM!$F:$F,ROW()))))</f>
        <v/>
      </c>
      <c r="H421" s="8" t="str">
        <f>IF($A421="","",UPPER(TRIM(INDEX(FORM!$E:$E,ROW()))))</f>
        <v/>
      </c>
      <c r="I421" s="8" t="str">
        <f>IF($A421="","",UPPER(TRIM(INDEX(FORM!$G:$G,ROW()))))</f>
        <v/>
      </c>
      <c r="J421" s="8" t="str">
        <f>IF($A421="","",IF(ISNUMBER(SEARCH("Ya,",INDEX(FORM!$H:$H,ROW()))),"YA",IF(ISNUMBER(SEARCH("Cukup,",INDEX(FORM!$H:$H,ROW()))),"CUKUP",IF(ISNUMBER(SEARCH("Kurang,",INDEX(FORM!$H:$H,ROW()))),"KURANG",""))))</f>
        <v/>
      </c>
      <c r="K421" s="8" t="str">
        <f>IF($A421="","",UPPER(TRIM(INDEX(FORM!$J:$J,ROW()))))</f>
        <v/>
      </c>
      <c r="L421" s="8" t="str">
        <f>IF($A421="","",IF(ISNUMBER(SEARCH("Aktivitas Harian",INDEX(FORM!$K:$K,ROW()))),1,0))</f>
        <v/>
      </c>
      <c r="M421" s="8" t="str">
        <f>IF($A421="","",IF(ISNUMBER(SEARCH("Aktivitas Mingguan",INDEX(FORM!$K:$K,ROW()))),1,0))</f>
        <v/>
      </c>
      <c r="N421" s="8" t="str">
        <f>IF($A421="","",IF(ISNUMBER(SEARCH("Aktivitas Bulanan",INDEX(FORM!$K:$K,ROW()))),1,0))</f>
        <v/>
      </c>
      <c r="O421" s="8" t="str">
        <f>IF($A421="","",IF(ISNUMBER(SEARCH("Overview Cabang",INDEX(FORM!$K:$K,ROW()))),1,0))</f>
        <v/>
      </c>
      <c r="P421" s="8" t="str">
        <f>IF($A421="","",IFERROR(VLOOKUP(I421,DATA!$AH$9:$AI$13,2,0),""))</f>
        <v/>
      </c>
      <c r="Q421" s="8" t="str">
        <f>IF($A421="","",IFERROR(VLOOKUP(J421,DATA!$AH$9:$AI$13,2,0),""))</f>
        <v/>
      </c>
      <c r="R421" s="8" t="str">
        <f>IF($A421="","",IFERROR(VLOOKUP(K421,DATA!$AH$9:$AI$13,2,0),""))</f>
        <v/>
      </c>
      <c r="S421" s="42" t="str">
        <f t="shared" si="132"/>
        <v/>
      </c>
      <c r="T421" s="8" t="str">
        <f>IF($A421="","",IF(COUNTIF($D$2:D421,D421)=1,1,0))</f>
        <v/>
      </c>
      <c r="U421" s="8" t="str">
        <f>IF($A421="","",IF(F421="-","Cabang tdk ada",IF(IFERROR(VLOOKUP(G421,#REF!,1,0),"")="","",IF(INDEX(DATA!$AH$2:$AH$5,MATCH(G421,DATA!$AI$2:$AI$5,0))&lt;&gt;F421,"Wilayah beda","OK"))))</f>
        <v/>
      </c>
      <c r="V421" s="8" t="str">
        <f>IF($A421="","",TRIM(INDEX(FORM!$I:$I,ROW())&amp;""))</f>
        <v/>
      </c>
      <c r="W421" s="8" t="str">
        <f>IF($A421="","",TRIM(INDEX(FORM!$L:$L,ROW())&amp;""))</f>
        <v/>
      </c>
      <c r="X421" s="8" t="str">
        <f>IF($A421="","",TRIM(INDEX(FORM!$M:$M,ROW())&amp;""))</f>
        <v/>
      </c>
      <c r="Y421" s="8" t="str">
        <f>IF($A421="","",IFERROR(MATCH(F421,DATA!$AH$2:$AH$5,0),9)*10000+A421)</f>
        <v/>
      </c>
      <c r="Z421" s="8" t="str">
        <f t="shared" si="133"/>
        <v/>
      </c>
      <c r="AA421" s="8" t="str">
        <f t="shared" si="134"/>
        <v/>
      </c>
      <c r="AB421" s="8" t="str">
        <f t="shared" si="135"/>
        <v/>
      </c>
      <c r="AC421" s="8"/>
      <c r="AD421" s="8"/>
      <c r="AE421" s="8"/>
      <c r="AK421" s="5" t="str">
        <f t="shared" si="136"/>
        <v/>
      </c>
      <c r="AL421" s="5" t="str">
        <f t="shared" si="137"/>
        <v/>
      </c>
      <c r="AM421" s="5" t="str">
        <f t="shared" si="138"/>
        <v/>
      </c>
      <c r="AN421" s="5" t="str">
        <f t="shared" si="139"/>
        <v/>
      </c>
      <c r="AO421" s="5" t="str">
        <f t="shared" si="140"/>
        <v/>
      </c>
      <c r="AP421" s="5" t="str">
        <f t="shared" si="141"/>
        <v/>
      </c>
      <c r="AQ421" s="5" t="str">
        <f t="shared" si="142"/>
        <v/>
      </c>
      <c r="AR421" s="5" t="str">
        <f t="shared" si="143"/>
        <v/>
      </c>
      <c r="AS421" s="5" t="str">
        <f t="shared" si="144"/>
        <v/>
      </c>
      <c r="AT421" s="5" t="str">
        <f t="shared" si="145"/>
        <v/>
      </c>
      <c r="AU421" s="5" t="str">
        <f t="shared" si="146"/>
        <v/>
      </c>
      <c r="AV421" s="5" t="str">
        <f t="shared" si="147"/>
        <v/>
      </c>
      <c r="AW421" s="5" t="str">
        <f t="shared" si="148"/>
        <v/>
      </c>
      <c r="AX421" s="5" t="str">
        <f t="shared" si="149"/>
        <v/>
      </c>
      <c r="AY421" s="5" t="str">
        <f t="shared" si="150"/>
        <v/>
      </c>
      <c r="AZ421" s="5" t="str">
        <f t="shared" si="151"/>
        <v/>
      </c>
      <c r="BA421" s="5" t="str">
        <f t="shared" si="152"/>
        <v/>
      </c>
      <c r="BB421" s="5" t="str">
        <f t="shared" si="153"/>
        <v/>
      </c>
    </row>
    <row r="422" spans="1:54" s="5" customFormat="1" hidden="1">
      <c r="A422" s="8" t="str">
        <f>IF(INDEX(FORM!$A:$A,ROW())="","",ROW()-1)</f>
        <v/>
      </c>
      <c r="B422" s="41" t="str">
        <f>IF($A422="","",INDEX(FORM!$A:$A,ROW()))</f>
        <v/>
      </c>
      <c r="C422" s="8" t="str">
        <f>IF($A422="","",TRIM(INDEX(FORM!$B:$B,ROW())))</f>
        <v/>
      </c>
      <c r="D422" s="8" t="str">
        <f>IF($A422="","",TRIM(INDEX(FORM!$C:$C,ROW())&amp;""))</f>
        <v/>
      </c>
      <c r="E422" s="8" t="str">
        <f>IF($A422="","",UPPER(TRIM(INDEX(FORM!$D:$D,ROW()))))</f>
        <v/>
      </c>
      <c r="F422" s="8" t="str">
        <f>IF($A422="","",IFERROR(INDEX(PROGRES!$A$2:$A$92,MATCH(E422,PROGRES!$B$2:$B$92,0)),"-"))</f>
        <v/>
      </c>
      <c r="G422" s="8" t="str">
        <f>IF($A422="","",UPPER(TRIM(INDEX(FORM!$F:$F,ROW()))))</f>
        <v/>
      </c>
      <c r="H422" s="8" t="str">
        <f>IF($A422="","",UPPER(TRIM(INDEX(FORM!$E:$E,ROW()))))</f>
        <v/>
      </c>
      <c r="I422" s="8" t="str">
        <f>IF($A422="","",UPPER(TRIM(INDEX(FORM!$G:$G,ROW()))))</f>
        <v/>
      </c>
      <c r="J422" s="8" t="str">
        <f>IF($A422="","",IF(ISNUMBER(SEARCH("Ya,",INDEX(FORM!$H:$H,ROW()))),"YA",IF(ISNUMBER(SEARCH("Cukup,",INDEX(FORM!$H:$H,ROW()))),"CUKUP",IF(ISNUMBER(SEARCH("Kurang,",INDEX(FORM!$H:$H,ROW()))),"KURANG",""))))</f>
        <v/>
      </c>
      <c r="K422" s="8" t="str">
        <f>IF($A422="","",UPPER(TRIM(INDEX(FORM!$J:$J,ROW()))))</f>
        <v/>
      </c>
      <c r="L422" s="8" t="str">
        <f>IF($A422="","",IF(ISNUMBER(SEARCH("Aktivitas Harian",INDEX(FORM!$K:$K,ROW()))),1,0))</f>
        <v/>
      </c>
      <c r="M422" s="8" t="str">
        <f>IF($A422="","",IF(ISNUMBER(SEARCH("Aktivitas Mingguan",INDEX(FORM!$K:$K,ROW()))),1,0))</f>
        <v/>
      </c>
      <c r="N422" s="8" t="str">
        <f>IF($A422="","",IF(ISNUMBER(SEARCH("Aktivitas Bulanan",INDEX(FORM!$K:$K,ROW()))),1,0))</f>
        <v/>
      </c>
      <c r="O422" s="8" t="str">
        <f>IF($A422="","",IF(ISNUMBER(SEARCH("Overview Cabang",INDEX(FORM!$K:$K,ROW()))),1,0))</f>
        <v/>
      </c>
      <c r="P422" s="8" t="str">
        <f>IF($A422="","",IFERROR(VLOOKUP(I422,DATA!$AH$9:$AI$13,2,0),""))</f>
        <v/>
      </c>
      <c r="Q422" s="8" t="str">
        <f>IF($A422="","",IFERROR(VLOOKUP(J422,DATA!$AH$9:$AI$13,2,0),""))</f>
        <v/>
      </c>
      <c r="R422" s="8" t="str">
        <f>IF($A422="","",IFERROR(VLOOKUP(K422,DATA!$AH$9:$AI$13,2,0),""))</f>
        <v/>
      </c>
      <c r="S422" s="42" t="str">
        <f t="shared" si="132"/>
        <v/>
      </c>
      <c r="T422" s="8" t="str">
        <f>IF($A422="","",IF(COUNTIF($D$2:D422,D422)=1,1,0))</f>
        <v/>
      </c>
      <c r="U422" s="8" t="str">
        <f>IF($A422="","",IF(F422="-","Cabang tdk ada",IF(IFERROR(VLOOKUP(G422,#REF!,1,0),"")="","",IF(INDEX(DATA!$AH$2:$AH$5,MATCH(G422,DATA!$AI$2:$AI$5,0))&lt;&gt;F422,"Wilayah beda","OK"))))</f>
        <v/>
      </c>
      <c r="V422" s="8" t="str">
        <f>IF($A422="","",TRIM(INDEX(FORM!$I:$I,ROW())&amp;""))</f>
        <v/>
      </c>
      <c r="W422" s="8" t="str">
        <f>IF($A422="","",TRIM(INDEX(FORM!$L:$L,ROW())&amp;""))</f>
        <v/>
      </c>
      <c r="X422" s="8" t="str">
        <f>IF($A422="","",TRIM(INDEX(FORM!$M:$M,ROW())&amp;""))</f>
        <v/>
      </c>
      <c r="Y422" s="8" t="str">
        <f>IF($A422="","",IFERROR(MATCH(F422,DATA!$AH$2:$AH$5,0),9)*10000+A422)</f>
        <v/>
      </c>
      <c r="Z422" s="8" t="str">
        <f t="shared" si="133"/>
        <v/>
      </c>
      <c r="AA422" s="8" t="str">
        <f t="shared" si="134"/>
        <v/>
      </c>
      <c r="AB422" s="8" t="str">
        <f t="shared" si="135"/>
        <v/>
      </c>
      <c r="AC422" s="8"/>
      <c r="AD422" s="8"/>
      <c r="AE422" s="8"/>
      <c r="AK422" s="5" t="str">
        <f t="shared" si="136"/>
        <v/>
      </c>
      <c r="AL422" s="5" t="str">
        <f t="shared" si="137"/>
        <v/>
      </c>
      <c r="AM422" s="5" t="str">
        <f t="shared" si="138"/>
        <v/>
      </c>
      <c r="AN422" s="5" t="str">
        <f t="shared" si="139"/>
        <v/>
      </c>
      <c r="AO422" s="5" t="str">
        <f t="shared" si="140"/>
        <v/>
      </c>
      <c r="AP422" s="5" t="str">
        <f t="shared" si="141"/>
        <v/>
      </c>
      <c r="AQ422" s="5" t="str">
        <f t="shared" si="142"/>
        <v/>
      </c>
      <c r="AR422" s="5" t="str">
        <f t="shared" si="143"/>
        <v/>
      </c>
      <c r="AS422" s="5" t="str">
        <f t="shared" si="144"/>
        <v/>
      </c>
      <c r="AT422" s="5" t="str">
        <f t="shared" si="145"/>
        <v/>
      </c>
      <c r="AU422" s="5" t="str">
        <f t="shared" si="146"/>
        <v/>
      </c>
      <c r="AV422" s="5" t="str">
        <f t="shared" si="147"/>
        <v/>
      </c>
      <c r="AW422" s="5" t="str">
        <f t="shared" si="148"/>
        <v/>
      </c>
      <c r="AX422" s="5" t="str">
        <f t="shared" si="149"/>
        <v/>
      </c>
      <c r="AY422" s="5" t="str">
        <f t="shared" si="150"/>
        <v/>
      </c>
      <c r="AZ422" s="5" t="str">
        <f t="shared" si="151"/>
        <v/>
      </c>
      <c r="BA422" s="5" t="str">
        <f t="shared" si="152"/>
        <v/>
      </c>
      <c r="BB422" s="5" t="str">
        <f t="shared" si="153"/>
        <v/>
      </c>
    </row>
    <row r="423" spans="1:54" s="5" customFormat="1" hidden="1">
      <c r="A423" s="8" t="str">
        <f>IF(INDEX(FORM!$A:$A,ROW())="","",ROW()-1)</f>
        <v/>
      </c>
      <c r="B423" s="41" t="str">
        <f>IF($A423="","",INDEX(FORM!$A:$A,ROW()))</f>
        <v/>
      </c>
      <c r="C423" s="8" t="str">
        <f>IF($A423="","",TRIM(INDEX(FORM!$B:$B,ROW())))</f>
        <v/>
      </c>
      <c r="D423" s="8" t="str">
        <f>IF($A423="","",TRIM(INDEX(FORM!$C:$C,ROW())&amp;""))</f>
        <v/>
      </c>
      <c r="E423" s="8" t="str">
        <f>IF($A423="","",UPPER(TRIM(INDEX(FORM!$D:$D,ROW()))))</f>
        <v/>
      </c>
      <c r="F423" s="8" t="str">
        <f>IF($A423="","",IFERROR(INDEX(PROGRES!$A$2:$A$92,MATCH(E423,PROGRES!$B$2:$B$92,0)),"-"))</f>
        <v/>
      </c>
      <c r="G423" s="8" t="str">
        <f>IF($A423="","",UPPER(TRIM(INDEX(FORM!$F:$F,ROW()))))</f>
        <v/>
      </c>
      <c r="H423" s="8" t="str">
        <f>IF($A423="","",UPPER(TRIM(INDEX(FORM!$E:$E,ROW()))))</f>
        <v/>
      </c>
      <c r="I423" s="8" t="str">
        <f>IF($A423="","",UPPER(TRIM(INDEX(FORM!$G:$G,ROW()))))</f>
        <v/>
      </c>
      <c r="J423" s="8" t="str">
        <f>IF($A423="","",IF(ISNUMBER(SEARCH("Ya,",INDEX(FORM!$H:$H,ROW()))),"YA",IF(ISNUMBER(SEARCH("Cukup,",INDEX(FORM!$H:$H,ROW()))),"CUKUP",IF(ISNUMBER(SEARCH("Kurang,",INDEX(FORM!$H:$H,ROW()))),"KURANG",""))))</f>
        <v/>
      </c>
      <c r="K423" s="8" t="str">
        <f>IF($A423="","",UPPER(TRIM(INDEX(FORM!$J:$J,ROW()))))</f>
        <v/>
      </c>
      <c r="L423" s="8" t="str">
        <f>IF($A423="","",IF(ISNUMBER(SEARCH("Aktivitas Harian",INDEX(FORM!$K:$K,ROW()))),1,0))</f>
        <v/>
      </c>
      <c r="M423" s="8" t="str">
        <f>IF($A423="","",IF(ISNUMBER(SEARCH("Aktivitas Mingguan",INDEX(FORM!$K:$K,ROW()))),1,0))</f>
        <v/>
      </c>
      <c r="N423" s="8" t="str">
        <f>IF($A423="","",IF(ISNUMBER(SEARCH("Aktivitas Bulanan",INDEX(FORM!$K:$K,ROW()))),1,0))</f>
        <v/>
      </c>
      <c r="O423" s="8" t="str">
        <f>IF($A423="","",IF(ISNUMBER(SEARCH("Overview Cabang",INDEX(FORM!$K:$K,ROW()))),1,0))</f>
        <v/>
      </c>
      <c r="P423" s="8" t="str">
        <f>IF($A423="","",IFERROR(VLOOKUP(I423,DATA!$AH$9:$AI$13,2,0),""))</f>
        <v/>
      </c>
      <c r="Q423" s="8" t="str">
        <f>IF($A423="","",IFERROR(VLOOKUP(J423,DATA!$AH$9:$AI$13,2,0),""))</f>
        <v/>
      </c>
      <c r="R423" s="8" t="str">
        <f>IF($A423="","",IFERROR(VLOOKUP(K423,DATA!$AH$9:$AI$13,2,0),""))</f>
        <v/>
      </c>
      <c r="S423" s="42" t="str">
        <f t="shared" si="132"/>
        <v/>
      </c>
      <c r="T423" s="8" t="str">
        <f>IF($A423="","",IF(COUNTIF($D$2:D423,D423)=1,1,0))</f>
        <v/>
      </c>
      <c r="U423" s="8" t="str">
        <f>IF($A423="","",IF(F423="-","Cabang tdk ada",IF(IFERROR(VLOOKUP(G423,#REF!,1,0),"")="","",IF(INDEX(DATA!$AH$2:$AH$5,MATCH(G423,DATA!$AI$2:$AI$5,0))&lt;&gt;F423,"Wilayah beda","OK"))))</f>
        <v/>
      </c>
      <c r="V423" s="8" t="str">
        <f>IF($A423="","",TRIM(INDEX(FORM!$I:$I,ROW())&amp;""))</f>
        <v/>
      </c>
      <c r="W423" s="8" t="str">
        <f>IF($A423="","",TRIM(INDEX(FORM!$L:$L,ROW())&amp;""))</f>
        <v/>
      </c>
      <c r="X423" s="8" t="str">
        <f>IF($A423="","",TRIM(INDEX(FORM!$M:$M,ROW())&amp;""))</f>
        <v/>
      </c>
      <c r="Y423" s="8" t="str">
        <f>IF($A423="","",IFERROR(MATCH(F423,DATA!$AH$2:$AH$5,0),9)*10000+A423)</f>
        <v/>
      </c>
      <c r="Z423" s="8" t="str">
        <f t="shared" si="133"/>
        <v/>
      </c>
      <c r="AA423" s="8" t="str">
        <f t="shared" si="134"/>
        <v/>
      </c>
      <c r="AB423" s="8" t="str">
        <f t="shared" si="135"/>
        <v/>
      </c>
      <c r="AC423" s="8"/>
      <c r="AD423" s="8"/>
      <c r="AE423" s="8"/>
      <c r="AK423" s="5" t="str">
        <f t="shared" si="136"/>
        <v/>
      </c>
      <c r="AL423" s="5" t="str">
        <f t="shared" si="137"/>
        <v/>
      </c>
      <c r="AM423" s="5" t="str">
        <f t="shared" si="138"/>
        <v/>
      </c>
      <c r="AN423" s="5" t="str">
        <f t="shared" si="139"/>
        <v/>
      </c>
      <c r="AO423" s="5" t="str">
        <f t="shared" si="140"/>
        <v/>
      </c>
      <c r="AP423" s="5" t="str">
        <f t="shared" si="141"/>
        <v/>
      </c>
      <c r="AQ423" s="5" t="str">
        <f t="shared" si="142"/>
        <v/>
      </c>
      <c r="AR423" s="5" t="str">
        <f t="shared" si="143"/>
        <v/>
      </c>
      <c r="AS423" s="5" t="str">
        <f t="shared" si="144"/>
        <v/>
      </c>
      <c r="AT423" s="5" t="str">
        <f t="shared" si="145"/>
        <v/>
      </c>
      <c r="AU423" s="5" t="str">
        <f t="shared" si="146"/>
        <v/>
      </c>
      <c r="AV423" s="5" t="str">
        <f t="shared" si="147"/>
        <v/>
      </c>
      <c r="AW423" s="5" t="str">
        <f t="shared" si="148"/>
        <v/>
      </c>
      <c r="AX423" s="5" t="str">
        <f t="shared" si="149"/>
        <v/>
      </c>
      <c r="AY423" s="5" t="str">
        <f t="shared" si="150"/>
        <v/>
      </c>
      <c r="AZ423" s="5" t="str">
        <f t="shared" si="151"/>
        <v/>
      </c>
      <c r="BA423" s="5" t="str">
        <f t="shared" si="152"/>
        <v/>
      </c>
      <c r="BB423" s="5" t="str">
        <f t="shared" si="153"/>
        <v/>
      </c>
    </row>
    <row r="424" spans="1:54" s="5" customFormat="1" hidden="1">
      <c r="A424" s="8" t="str">
        <f>IF(INDEX(FORM!$A:$A,ROW())="","",ROW()-1)</f>
        <v/>
      </c>
      <c r="B424" s="41" t="str">
        <f>IF($A424="","",INDEX(FORM!$A:$A,ROW()))</f>
        <v/>
      </c>
      <c r="C424" s="8" t="str">
        <f>IF($A424="","",TRIM(INDEX(FORM!$B:$B,ROW())))</f>
        <v/>
      </c>
      <c r="D424" s="8" t="str">
        <f>IF($A424="","",TRIM(INDEX(FORM!$C:$C,ROW())&amp;""))</f>
        <v/>
      </c>
      <c r="E424" s="8" t="str">
        <f>IF($A424="","",UPPER(TRIM(INDEX(FORM!$D:$D,ROW()))))</f>
        <v/>
      </c>
      <c r="F424" s="8" t="str">
        <f>IF($A424="","",IFERROR(INDEX(PROGRES!$A$2:$A$92,MATCH(E424,PROGRES!$B$2:$B$92,0)),"-"))</f>
        <v/>
      </c>
      <c r="G424" s="8" t="str">
        <f>IF($A424="","",UPPER(TRIM(INDEX(FORM!$F:$F,ROW()))))</f>
        <v/>
      </c>
      <c r="H424" s="8" t="str">
        <f>IF($A424="","",UPPER(TRIM(INDEX(FORM!$E:$E,ROW()))))</f>
        <v/>
      </c>
      <c r="I424" s="8" t="str">
        <f>IF($A424="","",UPPER(TRIM(INDEX(FORM!$G:$G,ROW()))))</f>
        <v/>
      </c>
      <c r="J424" s="8" t="str">
        <f>IF($A424="","",IF(ISNUMBER(SEARCH("Ya,",INDEX(FORM!$H:$H,ROW()))),"YA",IF(ISNUMBER(SEARCH("Cukup,",INDEX(FORM!$H:$H,ROW()))),"CUKUP",IF(ISNUMBER(SEARCH("Kurang,",INDEX(FORM!$H:$H,ROW()))),"KURANG",""))))</f>
        <v/>
      </c>
      <c r="K424" s="8" t="str">
        <f>IF($A424="","",UPPER(TRIM(INDEX(FORM!$J:$J,ROW()))))</f>
        <v/>
      </c>
      <c r="L424" s="8" t="str">
        <f>IF($A424="","",IF(ISNUMBER(SEARCH("Aktivitas Harian",INDEX(FORM!$K:$K,ROW()))),1,0))</f>
        <v/>
      </c>
      <c r="M424" s="8" t="str">
        <f>IF($A424="","",IF(ISNUMBER(SEARCH("Aktivitas Mingguan",INDEX(FORM!$K:$K,ROW()))),1,0))</f>
        <v/>
      </c>
      <c r="N424" s="8" t="str">
        <f>IF($A424="","",IF(ISNUMBER(SEARCH("Aktivitas Bulanan",INDEX(FORM!$K:$K,ROW()))),1,0))</f>
        <v/>
      </c>
      <c r="O424" s="8" t="str">
        <f>IF($A424="","",IF(ISNUMBER(SEARCH("Overview Cabang",INDEX(FORM!$K:$K,ROW()))),1,0))</f>
        <v/>
      </c>
      <c r="P424" s="8" t="str">
        <f>IF($A424="","",IFERROR(VLOOKUP(I424,DATA!$AH$9:$AI$13,2,0),""))</f>
        <v/>
      </c>
      <c r="Q424" s="8" t="str">
        <f>IF($A424="","",IFERROR(VLOOKUP(J424,DATA!$AH$9:$AI$13,2,0),""))</f>
        <v/>
      </c>
      <c r="R424" s="8" t="str">
        <f>IF($A424="","",IFERROR(VLOOKUP(K424,DATA!$AH$9:$AI$13,2,0),""))</f>
        <v/>
      </c>
      <c r="S424" s="42" t="str">
        <f t="shared" si="132"/>
        <v/>
      </c>
      <c r="T424" s="8" t="str">
        <f>IF($A424="","",IF(COUNTIF($D$2:D424,D424)=1,1,0))</f>
        <v/>
      </c>
      <c r="U424" s="8" t="str">
        <f>IF($A424="","",IF(F424="-","Cabang tdk ada",IF(IFERROR(VLOOKUP(G424,#REF!,1,0),"")="","",IF(INDEX(DATA!$AH$2:$AH$5,MATCH(G424,DATA!$AI$2:$AI$5,0))&lt;&gt;F424,"Wilayah beda","OK"))))</f>
        <v/>
      </c>
      <c r="V424" s="8" t="str">
        <f>IF($A424="","",TRIM(INDEX(FORM!$I:$I,ROW())&amp;""))</f>
        <v/>
      </c>
      <c r="W424" s="8" t="str">
        <f>IF($A424="","",TRIM(INDEX(FORM!$L:$L,ROW())&amp;""))</f>
        <v/>
      </c>
      <c r="X424" s="8" t="str">
        <f>IF($A424="","",TRIM(INDEX(FORM!$M:$M,ROW())&amp;""))</f>
        <v/>
      </c>
      <c r="Y424" s="8" t="str">
        <f>IF($A424="","",IFERROR(MATCH(F424,DATA!$AH$2:$AH$5,0),9)*10000+A424)</f>
        <v/>
      </c>
      <c r="Z424" s="8" t="str">
        <f t="shared" si="133"/>
        <v/>
      </c>
      <c r="AA424" s="8" t="str">
        <f t="shared" si="134"/>
        <v/>
      </c>
      <c r="AB424" s="8" t="str">
        <f t="shared" si="135"/>
        <v/>
      </c>
      <c r="AC424" s="8"/>
      <c r="AD424" s="8"/>
      <c r="AE424" s="8"/>
      <c r="AK424" s="5" t="str">
        <f t="shared" si="136"/>
        <v/>
      </c>
      <c r="AL424" s="5" t="str">
        <f t="shared" si="137"/>
        <v/>
      </c>
      <c r="AM424" s="5" t="str">
        <f t="shared" si="138"/>
        <v/>
      </c>
      <c r="AN424" s="5" t="str">
        <f t="shared" si="139"/>
        <v/>
      </c>
      <c r="AO424" s="5" t="str">
        <f t="shared" si="140"/>
        <v/>
      </c>
      <c r="AP424" s="5" t="str">
        <f t="shared" si="141"/>
        <v/>
      </c>
      <c r="AQ424" s="5" t="str">
        <f t="shared" si="142"/>
        <v/>
      </c>
      <c r="AR424" s="5" t="str">
        <f t="shared" si="143"/>
        <v/>
      </c>
      <c r="AS424" s="5" t="str">
        <f t="shared" si="144"/>
        <v/>
      </c>
      <c r="AT424" s="5" t="str">
        <f t="shared" si="145"/>
        <v/>
      </c>
      <c r="AU424" s="5" t="str">
        <f t="shared" si="146"/>
        <v/>
      </c>
      <c r="AV424" s="5" t="str">
        <f t="shared" si="147"/>
        <v/>
      </c>
      <c r="AW424" s="5" t="str">
        <f t="shared" si="148"/>
        <v/>
      </c>
      <c r="AX424" s="5" t="str">
        <f t="shared" si="149"/>
        <v/>
      </c>
      <c r="AY424" s="5" t="str">
        <f t="shared" si="150"/>
        <v/>
      </c>
      <c r="AZ424" s="5" t="str">
        <f t="shared" si="151"/>
        <v/>
      </c>
      <c r="BA424" s="5" t="str">
        <f t="shared" si="152"/>
        <v/>
      </c>
      <c r="BB424" s="5" t="str">
        <f t="shared" si="153"/>
        <v/>
      </c>
    </row>
    <row r="425" spans="1:54" s="5" customFormat="1" hidden="1">
      <c r="A425" s="8" t="str">
        <f>IF(INDEX(FORM!$A:$A,ROW())="","",ROW()-1)</f>
        <v/>
      </c>
      <c r="B425" s="41" t="str">
        <f>IF($A425="","",INDEX(FORM!$A:$A,ROW()))</f>
        <v/>
      </c>
      <c r="C425" s="8" t="str">
        <f>IF($A425="","",TRIM(INDEX(FORM!$B:$B,ROW())))</f>
        <v/>
      </c>
      <c r="D425" s="8" t="str">
        <f>IF($A425="","",TRIM(INDEX(FORM!$C:$C,ROW())&amp;""))</f>
        <v/>
      </c>
      <c r="E425" s="8" t="str">
        <f>IF($A425="","",UPPER(TRIM(INDEX(FORM!$D:$D,ROW()))))</f>
        <v/>
      </c>
      <c r="F425" s="8" t="str">
        <f>IF($A425="","",IFERROR(INDEX(PROGRES!$A$2:$A$92,MATCH(E425,PROGRES!$B$2:$B$92,0)),"-"))</f>
        <v/>
      </c>
      <c r="G425" s="8" t="str">
        <f>IF($A425="","",UPPER(TRIM(INDEX(FORM!$F:$F,ROW()))))</f>
        <v/>
      </c>
      <c r="H425" s="8" t="str">
        <f>IF($A425="","",UPPER(TRIM(INDEX(FORM!$E:$E,ROW()))))</f>
        <v/>
      </c>
      <c r="I425" s="8" t="str">
        <f>IF($A425="","",UPPER(TRIM(INDEX(FORM!$G:$G,ROW()))))</f>
        <v/>
      </c>
      <c r="J425" s="8" t="str">
        <f>IF($A425="","",IF(ISNUMBER(SEARCH("Ya,",INDEX(FORM!$H:$H,ROW()))),"YA",IF(ISNUMBER(SEARCH("Cukup,",INDEX(FORM!$H:$H,ROW()))),"CUKUP",IF(ISNUMBER(SEARCH("Kurang,",INDEX(FORM!$H:$H,ROW()))),"KURANG",""))))</f>
        <v/>
      </c>
      <c r="K425" s="8" t="str">
        <f>IF($A425="","",UPPER(TRIM(INDEX(FORM!$J:$J,ROW()))))</f>
        <v/>
      </c>
      <c r="L425" s="8" t="str">
        <f>IF($A425="","",IF(ISNUMBER(SEARCH("Aktivitas Harian",INDEX(FORM!$K:$K,ROW()))),1,0))</f>
        <v/>
      </c>
      <c r="M425" s="8" t="str">
        <f>IF($A425="","",IF(ISNUMBER(SEARCH("Aktivitas Mingguan",INDEX(FORM!$K:$K,ROW()))),1,0))</f>
        <v/>
      </c>
      <c r="N425" s="8" t="str">
        <f>IF($A425="","",IF(ISNUMBER(SEARCH("Aktivitas Bulanan",INDEX(FORM!$K:$K,ROW()))),1,0))</f>
        <v/>
      </c>
      <c r="O425" s="8" t="str">
        <f>IF($A425="","",IF(ISNUMBER(SEARCH("Overview Cabang",INDEX(FORM!$K:$K,ROW()))),1,0))</f>
        <v/>
      </c>
      <c r="P425" s="8" t="str">
        <f>IF($A425="","",IFERROR(VLOOKUP(I425,DATA!$AH$9:$AI$13,2,0),""))</f>
        <v/>
      </c>
      <c r="Q425" s="8" t="str">
        <f>IF($A425="","",IFERROR(VLOOKUP(J425,DATA!$AH$9:$AI$13,2,0),""))</f>
        <v/>
      </c>
      <c r="R425" s="8" t="str">
        <f>IF($A425="","",IFERROR(VLOOKUP(K425,DATA!$AH$9:$AI$13,2,0),""))</f>
        <v/>
      </c>
      <c r="S425" s="42" t="str">
        <f t="shared" si="132"/>
        <v/>
      </c>
      <c r="T425" s="8" t="str">
        <f>IF($A425="","",IF(COUNTIF($D$2:D425,D425)=1,1,0))</f>
        <v/>
      </c>
      <c r="U425" s="8" t="str">
        <f>IF($A425="","",IF(F425="-","Cabang tdk ada",IF(IFERROR(VLOOKUP(G425,#REF!,1,0),"")="","",IF(INDEX(DATA!$AH$2:$AH$5,MATCH(G425,DATA!$AI$2:$AI$5,0))&lt;&gt;F425,"Wilayah beda","OK"))))</f>
        <v/>
      </c>
      <c r="V425" s="8" t="str">
        <f>IF($A425="","",TRIM(INDEX(FORM!$I:$I,ROW())&amp;""))</f>
        <v/>
      </c>
      <c r="W425" s="8" t="str">
        <f>IF($A425="","",TRIM(INDEX(FORM!$L:$L,ROW())&amp;""))</f>
        <v/>
      </c>
      <c r="X425" s="8" t="str">
        <f>IF($A425="","",TRIM(INDEX(FORM!$M:$M,ROW())&amp;""))</f>
        <v/>
      </c>
      <c r="Y425" s="8" t="str">
        <f>IF($A425="","",IFERROR(MATCH(F425,DATA!$AH$2:$AH$5,0),9)*10000+A425)</f>
        <v/>
      </c>
      <c r="Z425" s="8" t="str">
        <f t="shared" si="133"/>
        <v/>
      </c>
      <c r="AA425" s="8" t="str">
        <f t="shared" si="134"/>
        <v/>
      </c>
      <c r="AB425" s="8" t="str">
        <f t="shared" si="135"/>
        <v/>
      </c>
      <c r="AC425" s="8"/>
      <c r="AD425" s="8"/>
      <c r="AE425" s="8"/>
      <c r="AK425" s="5" t="str">
        <f t="shared" si="136"/>
        <v/>
      </c>
      <c r="AL425" s="5" t="str">
        <f t="shared" si="137"/>
        <v/>
      </c>
      <c r="AM425" s="5" t="str">
        <f t="shared" si="138"/>
        <v/>
      </c>
      <c r="AN425" s="5" t="str">
        <f t="shared" si="139"/>
        <v/>
      </c>
      <c r="AO425" s="5" t="str">
        <f t="shared" si="140"/>
        <v/>
      </c>
      <c r="AP425" s="5" t="str">
        <f t="shared" si="141"/>
        <v/>
      </c>
      <c r="AQ425" s="5" t="str">
        <f t="shared" si="142"/>
        <v/>
      </c>
      <c r="AR425" s="5" t="str">
        <f t="shared" si="143"/>
        <v/>
      </c>
      <c r="AS425" s="5" t="str">
        <f t="shared" si="144"/>
        <v/>
      </c>
      <c r="AT425" s="5" t="str">
        <f t="shared" si="145"/>
        <v/>
      </c>
      <c r="AU425" s="5" t="str">
        <f t="shared" si="146"/>
        <v/>
      </c>
      <c r="AV425" s="5" t="str">
        <f t="shared" si="147"/>
        <v/>
      </c>
      <c r="AW425" s="5" t="str">
        <f t="shared" si="148"/>
        <v/>
      </c>
      <c r="AX425" s="5" t="str">
        <f t="shared" si="149"/>
        <v/>
      </c>
      <c r="AY425" s="5" t="str">
        <f t="shared" si="150"/>
        <v/>
      </c>
      <c r="AZ425" s="5" t="str">
        <f t="shared" si="151"/>
        <v/>
      </c>
      <c r="BA425" s="5" t="str">
        <f t="shared" si="152"/>
        <v/>
      </c>
      <c r="BB425" s="5" t="str">
        <f t="shared" si="153"/>
        <v/>
      </c>
    </row>
    <row r="426" spans="1:54" s="5" customFormat="1" hidden="1">
      <c r="A426" s="8" t="str">
        <f>IF(INDEX(FORM!$A:$A,ROW())="","",ROW()-1)</f>
        <v/>
      </c>
      <c r="B426" s="41" t="str">
        <f>IF($A426="","",INDEX(FORM!$A:$A,ROW()))</f>
        <v/>
      </c>
      <c r="C426" s="8" t="str">
        <f>IF($A426="","",TRIM(INDEX(FORM!$B:$B,ROW())))</f>
        <v/>
      </c>
      <c r="D426" s="8" t="str">
        <f>IF($A426="","",TRIM(INDEX(FORM!$C:$C,ROW())&amp;""))</f>
        <v/>
      </c>
      <c r="E426" s="8" t="str">
        <f>IF($A426="","",UPPER(TRIM(INDEX(FORM!$D:$D,ROW()))))</f>
        <v/>
      </c>
      <c r="F426" s="8" t="str">
        <f>IF($A426="","",IFERROR(INDEX(PROGRES!$A$2:$A$92,MATCH(E426,PROGRES!$B$2:$B$92,0)),"-"))</f>
        <v/>
      </c>
      <c r="G426" s="8" t="str">
        <f>IF($A426="","",UPPER(TRIM(INDEX(FORM!$F:$F,ROW()))))</f>
        <v/>
      </c>
      <c r="H426" s="8" t="str">
        <f>IF($A426="","",UPPER(TRIM(INDEX(FORM!$E:$E,ROW()))))</f>
        <v/>
      </c>
      <c r="I426" s="8" t="str">
        <f>IF($A426="","",UPPER(TRIM(INDEX(FORM!$G:$G,ROW()))))</f>
        <v/>
      </c>
      <c r="J426" s="8" t="str">
        <f>IF($A426="","",IF(ISNUMBER(SEARCH("Ya,",INDEX(FORM!$H:$H,ROW()))),"YA",IF(ISNUMBER(SEARCH("Cukup,",INDEX(FORM!$H:$H,ROW()))),"CUKUP",IF(ISNUMBER(SEARCH("Kurang,",INDEX(FORM!$H:$H,ROW()))),"KURANG",""))))</f>
        <v/>
      </c>
      <c r="K426" s="8" t="str">
        <f>IF($A426="","",UPPER(TRIM(INDEX(FORM!$J:$J,ROW()))))</f>
        <v/>
      </c>
      <c r="L426" s="8" t="str">
        <f>IF($A426="","",IF(ISNUMBER(SEARCH("Aktivitas Harian",INDEX(FORM!$K:$K,ROW()))),1,0))</f>
        <v/>
      </c>
      <c r="M426" s="8" t="str">
        <f>IF($A426="","",IF(ISNUMBER(SEARCH("Aktivitas Mingguan",INDEX(FORM!$K:$K,ROW()))),1,0))</f>
        <v/>
      </c>
      <c r="N426" s="8" t="str">
        <f>IF($A426="","",IF(ISNUMBER(SEARCH("Aktivitas Bulanan",INDEX(FORM!$K:$K,ROW()))),1,0))</f>
        <v/>
      </c>
      <c r="O426" s="8" t="str">
        <f>IF($A426="","",IF(ISNUMBER(SEARCH("Overview Cabang",INDEX(FORM!$K:$K,ROW()))),1,0))</f>
        <v/>
      </c>
      <c r="P426" s="8" t="str">
        <f>IF($A426="","",IFERROR(VLOOKUP(I426,DATA!$AH$9:$AI$13,2,0),""))</f>
        <v/>
      </c>
      <c r="Q426" s="8" t="str">
        <f>IF($A426="","",IFERROR(VLOOKUP(J426,DATA!$AH$9:$AI$13,2,0),""))</f>
        <v/>
      </c>
      <c r="R426" s="8" t="str">
        <f>IF($A426="","",IFERROR(VLOOKUP(K426,DATA!$AH$9:$AI$13,2,0),""))</f>
        <v/>
      </c>
      <c r="S426" s="42" t="str">
        <f t="shared" si="132"/>
        <v/>
      </c>
      <c r="T426" s="8" t="str">
        <f>IF($A426="","",IF(COUNTIF($D$2:D426,D426)=1,1,0))</f>
        <v/>
      </c>
      <c r="U426" s="8" t="str">
        <f>IF($A426="","",IF(F426="-","Cabang tdk ada",IF(IFERROR(VLOOKUP(G426,#REF!,1,0),"")="","",IF(INDEX(DATA!$AH$2:$AH$5,MATCH(G426,DATA!$AI$2:$AI$5,0))&lt;&gt;F426,"Wilayah beda","OK"))))</f>
        <v/>
      </c>
      <c r="V426" s="8" t="str">
        <f>IF($A426="","",TRIM(INDEX(FORM!$I:$I,ROW())&amp;""))</f>
        <v/>
      </c>
      <c r="W426" s="8" t="str">
        <f>IF($A426="","",TRIM(INDEX(FORM!$L:$L,ROW())&amp;""))</f>
        <v/>
      </c>
      <c r="X426" s="8" t="str">
        <f>IF($A426="","",TRIM(INDEX(FORM!$M:$M,ROW())&amp;""))</f>
        <v/>
      </c>
      <c r="Y426" s="8" t="str">
        <f>IF($A426="","",IFERROR(MATCH(F426,DATA!$AH$2:$AH$5,0),9)*10000+A426)</f>
        <v/>
      </c>
      <c r="Z426" s="8" t="str">
        <f t="shared" si="133"/>
        <v/>
      </c>
      <c r="AA426" s="8" t="str">
        <f t="shared" si="134"/>
        <v/>
      </c>
      <c r="AB426" s="8" t="str">
        <f t="shared" si="135"/>
        <v/>
      </c>
      <c r="AC426" s="8"/>
      <c r="AD426" s="8"/>
      <c r="AE426" s="8"/>
      <c r="AK426" s="5" t="str">
        <f t="shared" si="136"/>
        <v/>
      </c>
      <c r="AL426" s="5" t="str">
        <f t="shared" si="137"/>
        <v/>
      </c>
      <c r="AM426" s="5" t="str">
        <f t="shared" si="138"/>
        <v/>
      </c>
      <c r="AN426" s="5" t="str">
        <f t="shared" si="139"/>
        <v/>
      </c>
      <c r="AO426" s="5" t="str">
        <f t="shared" si="140"/>
        <v/>
      </c>
      <c r="AP426" s="5" t="str">
        <f t="shared" si="141"/>
        <v/>
      </c>
      <c r="AQ426" s="5" t="str">
        <f t="shared" si="142"/>
        <v/>
      </c>
      <c r="AR426" s="5" t="str">
        <f t="shared" si="143"/>
        <v/>
      </c>
      <c r="AS426" s="5" t="str">
        <f t="shared" si="144"/>
        <v/>
      </c>
      <c r="AT426" s="5" t="str">
        <f t="shared" si="145"/>
        <v/>
      </c>
      <c r="AU426" s="5" t="str">
        <f t="shared" si="146"/>
        <v/>
      </c>
      <c r="AV426" s="5" t="str">
        <f t="shared" si="147"/>
        <v/>
      </c>
      <c r="AW426" s="5" t="str">
        <f t="shared" si="148"/>
        <v/>
      </c>
      <c r="AX426" s="5" t="str">
        <f t="shared" si="149"/>
        <v/>
      </c>
      <c r="AY426" s="5" t="str">
        <f t="shared" si="150"/>
        <v/>
      </c>
      <c r="AZ426" s="5" t="str">
        <f t="shared" si="151"/>
        <v/>
      </c>
      <c r="BA426" s="5" t="str">
        <f t="shared" si="152"/>
        <v/>
      </c>
      <c r="BB426" s="5" t="str">
        <f t="shared" si="153"/>
        <v/>
      </c>
    </row>
    <row r="427" spans="1:54" s="5" customFormat="1" hidden="1">
      <c r="A427" s="8" t="str">
        <f>IF(INDEX(FORM!$A:$A,ROW())="","",ROW()-1)</f>
        <v/>
      </c>
      <c r="B427" s="41" t="str">
        <f>IF($A427="","",INDEX(FORM!$A:$A,ROW()))</f>
        <v/>
      </c>
      <c r="C427" s="8" t="str">
        <f>IF($A427="","",TRIM(INDEX(FORM!$B:$B,ROW())))</f>
        <v/>
      </c>
      <c r="D427" s="8" t="str">
        <f>IF($A427="","",TRIM(INDEX(FORM!$C:$C,ROW())&amp;""))</f>
        <v/>
      </c>
      <c r="E427" s="8" t="str">
        <f>IF($A427="","",UPPER(TRIM(INDEX(FORM!$D:$D,ROW()))))</f>
        <v/>
      </c>
      <c r="F427" s="8" t="str">
        <f>IF($A427="","",IFERROR(INDEX(PROGRES!$A$2:$A$92,MATCH(E427,PROGRES!$B$2:$B$92,0)),"-"))</f>
        <v/>
      </c>
      <c r="G427" s="8" t="str">
        <f>IF($A427="","",UPPER(TRIM(INDEX(FORM!$F:$F,ROW()))))</f>
        <v/>
      </c>
      <c r="H427" s="8" t="str">
        <f>IF($A427="","",UPPER(TRIM(INDEX(FORM!$E:$E,ROW()))))</f>
        <v/>
      </c>
      <c r="I427" s="8" t="str">
        <f>IF($A427="","",UPPER(TRIM(INDEX(FORM!$G:$G,ROW()))))</f>
        <v/>
      </c>
      <c r="J427" s="8" t="str">
        <f>IF($A427="","",IF(ISNUMBER(SEARCH("Ya,",INDEX(FORM!$H:$H,ROW()))),"YA",IF(ISNUMBER(SEARCH("Cukup,",INDEX(FORM!$H:$H,ROW()))),"CUKUP",IF(ISNUMBER(SEARCH("Kurang,",INDEX(FORM!$H:$H,ROW()))),"KURANG",""))))</f>
        <v/>
      </c>
      <c r="K427" s="8" t="str">
        <f>IF($A427="","",UPPER(TRIM(INDEX(FORM!$J:$J,ROW()))))</f>
        <v/>
      </c>
      <c r="L427" s="8" t="str">
        <f>IF($A427="","",IF(ISNUMBER(SEARCH("Aktivitas Harian",INDEX(FORM!$K:$K,ROW()))),1,0))</f>
        <v/>
      </c>
      <c r="M427" s="8" t="str">
        <f>IF($A427="","",IF(ISNUMBER(SEARCH("Aktivitas Mingguan",INDEX(FORM!$K:$K,ROW()))),1,0))</f>
        <v/>
      </c>
      <c r="N427" s="8" t="str">
        <f>IF($A427="","",IF(ISNUMBER(SEARCH("Aktivitas Bulanan",INDEX(FORM!$K:$K,ROW()))),1,0))</f>
        <v/>
      </c>
      <c r="O427" s="8" t="str">
        <f>IF($A427="","",IF(ISNUMBER(SEARCH("Overview Cabang",INDEX(FORM!$K:$K,ROW()))),1,0))</f>
        <v/>
      </c>
      <c r="P427" s="8" t="str">
        <f>IF($A427="","",IFERROR(VLOOKUP(I427,DATA!$AH$9:$AI$13,2,0),""))</f>
        <v/>
      </c>
      <c r="Q427" s="8" t="str">
        <f>IF($A427="","",IFERROR(VLOOKUP(J427,DATA!$AH$9:$AI$13,2,0),""))</f>
        <v/>
      </c>
      <c r="R427" s="8" t="str">
        <f>IF($A427="","",IFERROR(VLOOKUP(K427,DATA!$AH$9:$AI$13,2,0),""))</f>
        <v/>
      </c>
      <c r="S427" s="42" t="str">
        <f t="shared" si="132"/>
        <v/>
      </c>
      <c r="T427" s="8" t="str">
        <f>IF($A427="","",IF(COUNTIF($D$2:D427,D427)=1,1,0))</f>
        <v/>
      </c>
      <c r="U427" s="8" t="str">
        <f>IF($A427="","",IF(F427="-","Cabang tdk ada",IF(IFERROR(VLOOKUP(G427,#REF!,1,0),"")="","",IF(INDEX(DATA!$AH$2:$AH$5,MATCH(G427,DATA!$AI$2:$AI$5,0))&lt;&gt;F427,"Wilayah beda","OK"))))</f>
        <v/>
      </c>
      <c r="V427" s="8" t="str">
        <f>IF($A427="","",TRIM(INDEX(FORM!$I:$I,ROW())&amp;""))</f>
        <v/>
      </c>
      <c r="W427" s="8" t="str">
        <f>IF($A427="","",TRIM(INDEX(FORM!$L:$L,ROW())&amp;""))</f>
        <v/>
      </c>
      <c r="X427" s="8" t="str">
        <f>IF($A427="","",TRIM(INDEX(FORM!$M:$M,ROW())&amp;""))</f>
        <v/>
      </c>
      <c r="Y427" s="8" t="str">
        <f>IF($A427="","",IFERROR(MATCH(F427,DATA!$AH$2:$AH$5,0),9)*10000+A427)</f>
        <v/>
      </c>
      <c r="Z427" s="8" t="str">
        <f t="shared" si="133"/>
        <v/>
      </c>
      <c r="AA427" s="8" t="str">
        <f t="shared" si="134"/>
        <v/>
      </c>
      <c r="AB427" s="8" t="str">
        <f t="shared" si="135"/>
        <v/>
      </c>
      <c r="AC427" s="8"/>
      <c r="AD427" s="8"/>
      <c r="AE427" s="8"/>
      <c r="AK427" s="5" t="str">
        <f t="shared" si="136"/>
        <v/>
      </c>
      <c r="AL427" s="5" t="str">
        <f t="shared" si="137"/>
        <v/>
      </c>
      <c r="AM427" s="5" t="str">
        <f t="shared" si="138"/>
        <v/>
      </c>
      <c r="AN427" s="5" t="str">
        <f t="shared" si="139"/>
        <v/>
      </c>
      <c r="AO427" s="5" t="str">
        <f t="shared" si="140"/>
        <v/>
      </c>
      <c r="AP427" s="5" t="str">
        <f t="shared" si="141"/>
        <v/>
      </c>
      <c r="AQ427" s="5" t="str">
        <f t="shared" si="142"/>
        <v/>
      </c>
      <c r="AR427" s="5" t="str">
        <f t="shared" si="143"/>
        <v/>
      </c>
      <c r="AS427" s="5" t="str">
        <f t="shared" si="144"/>
        <v/>
      </c>
      <c r="AT427" s="5" t="str">
        <f t="shared" si="145"/>
        <v/>
      </c>
      <c r="AU427" s="5" t="str">
        <f t="shared" si="146"/>
        <v/>
      </c>
      <c r="AV427" s="5" t="str">
        <f t="shared" si="147"/>
        <v/>
      </c>
      <c r="AW427" s="5" t="str">
        <f t="shared" si="148"/>
        <v/>
      </c>
      <c r="AX427" s="5" t="str">
        <f t="shared" si="149"/>
        <v/>
      </c>
      <c r="AY427" s="5" t="str">
        <f t="shared" si="150"/>
        <v/>
      </c>
      <c r="AZ427" s="5" t="str">
        <f t="shared" si="151"/>
        <v/>
      </c>
      <c r="BA427" s="5" t="str">
        <f t="shared" si="152"/>
        <v/>
      </c>
      <c r="BB427" s="5" t="str">
        <f t="shared" si="153"/>
        <v/>
      </c>
    </row>
    <row r="428" spans="1:54" s="5" customFormat="1" hidden="1">
      <c r="A428" s="8" t="str">
        <f>IF(INDEX(FORM!$A:$A,ROW())="","",ROW()-1)</f>
        <v/>
      </c>
      <c r="B428" s="41" t="str">
        <f>IF($A428="","",INDEX(FORM!$A:$A,ROW()))</f>
        <v/>
      </c>
      <c r="C428" s="8" t="str">
        <f>IF($A428="","",TRIM(INDEX(FORM!$B:$B,ROW())))</f>
        <v/>
      </c>
      <c r="D428" s="8" t="str">
        <f>IF($A428="","",TRIM(INDEX(FORM!$C:$C,ROW())&amp;""))</f>
        <v/>
      </c>
      <c r="E428" s="8" t="str">
        <f>IF($A428="","",UPPER(TRIM(INDEX(FORM!$D:$D,ROW()))))</f>
        <v/>
      </c>
      <c r="F428" s="8" t="str">
        <f>IF($A428="","",IFERROR(INDEX(PROGRES!$A$2:$A$92,MATCH(E428,PROGRES!$B$2:$B$92,0)),"-"))</f>
        <v/>
      </c>
      <c r="G428" s="8" t="str">
        <f>IF($A428="","",UPPER(TRIM(INDEX(FORM!$F:$F,ROW()))))</f>
        <v/>
      </c>
      <c r="H428" s="8" t="str">
        <f>IF($A428="","",UPPER(TRIM(INDEX(FORM!$E:$E,ROW()))))</f>
        <v/>
      </c>
      <c r="I428" s="8" t="str">
        <f>IF($A428="","",UPPER(TRIM(INDEX(FORM!$G:$G,ROW()))))</f>
        <v/>
      </c>
      <c r="J428" s="8" t="str">
        <f>IF($A428="","",IF(ISNUMBER(SEARCH("Ya,",INDEX(FORM!$H:$H,ROW()))),"YA",IF(ISNUMBER(SEARCH("Cukup,",INDEX(FORM!$H:$H,ROW()))),"CUKUP",IF(ISNUMBER(SEARCH("Kurang,",INDEX(FORM!$H:$H,ROW()))),"KURANG",""))))</f>
        <v/>
      </c>
      <c r="K428" s="8" t="str">
        <f>IF($A428="","",UPPER(TRIM(INDEX(FORM!$J:$J,ROW()))))</f>
        <v/>
      </c>
      <c r="L428" s="8" t="str">
        <f>IF($A428="","",IF(ISNUMBER(SEARCH("Aktivitas Harian",INDEX(FORM!$K:$K,ROW()))),1,0))</f>
        <v/>
      </c>
      <c r="M428" s="8" t="str">
        <f>IF($A428="","",IF(ISNUMBER(SEARCH("Aktivitas Mingguan",INDEX(FORM!$K:$K,ROW()))),1,0))</f>
        <v/>
      </c>
      <c r="N428" s="8" t="str">
        <f>IF($A428="","",IF(ISNUMBER(SEARCH("Aktivitas Bulanan",INDEX(FORM!$K:$K,ROW()))),1,0))</f>
        <v/>
      </c>
      <c r="O428" s="8" t="str">
        <f>IF($A428="","",IF(ISNUMBER(SEARCH("Overview Cabang",INDEX(FORM!$K:$K,ROW()))),1,0))</f>
        <v/>
      </c>
      <c r="P428" s="8" t="str">
        <f>IF($A428="","",IFERROR(VLOOKUP(I428,DATA!$AH$9:$AI$13,2,0),""))</f>
        <v/>
      </c>
      <c r="Q428" s="8" t="str">
        <f>IF($A428="","",IFERROR(VLOOKUP(J428,DATA!$AH$9:$AI$13,2,0),""))</f>
        <v/>
      </c>
      <c r="R428" s="8" t="str">
        <f>IF($A428="","",IFERROR(VLOOKUP(K428,DATA!$AH$9:$AI$13,2,0),""))</f>
        <v/>
      </c>
      <c r="S428" s="42" t="str">
        <f t="shared" si="132"/>
        <v/>
      </c>
      <c r="T428" s="8" t="str">
        <f>IF($A428="","",IF(COUNTIF($D$2:D428,D428)=1,1,0))</f>
        <v/>
      </c>
      <c r="U428" s="8" t="str">
        <f>IF($A428="","",IF(F428="-","Cabang tdk ada",IF(IFERROR(VLOOKUP(G428,#REF!,1,0),"")="","",IF(INDEX(DATA!$AH$2:$AH$5,MATCH(G428,DATA!$AI$2:$AI$5,0))&lt;&gt;F428,"Wilayah beda","OK"))))</f>
        <v/>
      </c>
      <c r="V428" s="8" t="str">
        <f>IF($A428="","",TRIM(INDEX(FORM!$I:$I,ROW())&amp;""))</f>
        <v/>
      </c>
      <c r="W428" s="8" t="str">
        <f>IF($A428="","",TRIM(INDEX(FORM!$L:$L,ROW())&amp;""))</f>
        <v/>
      </c>
      <c r="X428" s="8" t="str">
        <f>IF($A428="","",TRIM(INDEX(FORM!$M:$M,ROW())&amp;""))</f>
        <v/>
      </c>
      <c r="Y428" s="8" t="str">
        <f>IF($A428="","",IFERROR(MATCH(F428,DATA!$AH$2:$AH$5,0),9)*10000+A428)</f>
        <v/>
      </c>
      <c r="Z428" s="8" t="str">
        <f t="shared" si="133"/>
        <v/>
      </c>
      <c r="AA428" s="8" t="str">
        <f t="shared" si="134"/>
        <v/>
      </c>
      <c r="AB428" s="8" t="str">
        <f t="shared" si="135"/>
        <v/>
      </c>
      <c r="AC428" s="8"/>
      <c r="AD428" s="8"/>
      <c r="AE428" s="8"/>
      <c r="AK428" s="5" t="str">
        <f t="shared" si="136"/>
        <v/>
      </c>
      <c r="AL428" s="5" t="str">
        <f t="shared" si="137"/>
        <v/>
      </c>
      <c r="AM428" s="5" t="str">
        <f t="shared" si="138"/>
        <v/>
      </c>
      <c r="AN428" s="5" t="str">
        <f t="shared" si="139"/>
        <v/>
      </c>
      <c r="AO428" s="5" t="str">
        <f t="shared" si="140"/>
        <v/>
      </c>
      <c r="AP428" s="5" t="str">
        <f t="shared" si="141"/>
        <v/>
      </c>
      <c r="AQ428" s="5" t="str">
        <f t="shared" si="142"/>
        <v/>
      </c>
      <c r="AR428" s="5" t="str">
        <f t="shared" si="143"/>
        <v/>
      </c>
      <c r="AS428" s="5" t="str">
        <f t="shared" si="144"/>
        <v/>
      </c>
      <c r="AT428" s="5" t="str">
        <f t="shared" si="145"/>
        <v/>
      </c>
      <c r="AU428" s="5" t="str">
        <f t="shared" si="146"/>
        <v/>
      </c>
      <c r="AV428" s="5" t="str">
        <f t="shared" si="147"/>
        <v/>
      </c>
      <c r="AW428" s="5" t="str">
        <f t="shared" si="148"/>
        <v/>
      </c>
      <c r="AX428" s="5" t="str">
        <f t="shared" si="149"/>
        <v/>
      </c>
      <c r="AY428" s="5" t="str">
        <f t="shared" si="150"/>
        <v/>
      </c>
      <c r="AZ428" s="5" t="str">
        <f t="shared" si="151"/>
        <v/>
      </c>
      <c r="BA428" s="5" t="str">
        <f t="shared" si="152"/>
        <v/>
      </c>
      <c r="BB428" s="5" t="str">
        <f t="shared" si="153"/>
        <v/>
      </c>
    </row>
    <row r="429" spans="1:54" s="5" customFormat="1" hidden="1">
      <c r="A429" s="8" t="str">
        <f>IF(INDEX(FORM!$A:$A,ROW())="","",ROW()-1)</f>
        <v/>
      </c>
      <c r="B429" s="41" t="str">
        <f>IF($A429="","",INDEX(FORM!$A:$A,ROW()))</f>
        <v/>
      </c>
      <c r="C429" s="8" t="str">
        <f>IF($A429="","",TRIM(INDEX(FORM!$B:$B,ROW())))</f>
        <v/>
      </c>
      <c r="D429" s="8" t="str">
        <f>IF($A429="","",TRIM(INDEX(FORM!$C:$C,ROW())&amp;""))</f>
        <v/>
      </c>
      <c r="E429" s="8" t="str">
        <f>IF($A429="","",UPPER(TRIM(INDEX(FORM!$D:$D,ROW()))))</f>
        <v/>
      </c>
      <c r="F429" s="8" t="str">
        <f>IF($A429="","",IFERROR(INDEX(PROGRES!$A$2:$A$92,MATCH(E429,PROGRES!$B$2:$B$92,0)),"-"))</f>
        <v/>
      </c>
      <c r="G429" s="8" t="str">
        <f>IF($A429="","",UPPER(TRIM(INDEX(FORM!$F:$F,ROW()))))</f>
        <v/>
      </c>
      <c r="H429" s="8" t="str">
        <f>IF($A429="","",UPPER(TRIM(INDEX(FORM!$E:$E,ROW()))))</f>
        <v/>
      </c>
      <c r="I429" s="8" t="str">
        <f>IF($A429="","",UPPER(TRIM(INDEX(FORM!$G:$G,ROW()))))</f>
        <v/>
      </c>
      <c r="J429" s="8" t="str">
        <f>IF($A429="","",IF(ISNUMBER(SEARCH("Ya,",INDEX(FORM!$H:$H,ROW()))),"YA",IF(ISNUMBER(SEARCH("Cukup,",INDEX(FORM!$H:$H,ROW()))),"CUKUP",IF(ISNUMBER(SEARCH("Kurang,",INDEX(FORM!$H:$H,ROW()))),"KURANG",""))))</f>
        <v/>
      </c>
      <c r="K429" s="8" t="str">
        <f>IF($A429="","",UPPER(TRIM(INDEX(FORM!$J:$J,ROW()))))</f>
        <v/>
      </c>
      <c r="L429" s="8" t="str">
        <f>IF($A429="","",IF(ISNUMBER(SEARCH("Aktivitas Harian",INDEX(FORM!$K:$K,ROW()))),1,0))</f>
        <v/>
      </c>
      <c r="M429" s="8" t="str">
        <f>IF($A429="","",IF(ISNUMBER(SEARCH("Aktivitas Mingguan",INDEX(FORM!$K:$K,ROW()))),1,0))</f>
        <v/>
      </c>
      <c r="N429" s="8" t="str">
        <f>IF($A429="","",IF(ISNUMBER(SEARCH("Aktivitas Bulanan",INDEX(FORM!$K:$K,ROW()))),1,0))</f>
        <v/>
      </c>
      <c r="O429" s="8" t="str">
        <f>IF($A429="","",IF(ISNUMBER(SEARCH("Overview Cabang",INDEX(FORM!$K:$K,ROW()))),1,0))</f>
        <v/>
      </c>
      <c r="P429" s="8" t="str">
        <f>IF($A429="","",IFERROR(VLOOKUP(I429,DATA!$AH$9:$AI$13,2,0),""))</f>
        <v/>
      </c>
      <c r="Q429" s="8" t="str">
        <f>IF($A429="","",IFERROR(VLOOKUP(J429,DATA!$AH$9:$AI$13,2,0),""))</f>
        <v/>
      </c>
      <c r="R429" s="8" t="str">
        <f>IF($A429="","",IFERROR(VLOOKUP(K429,DATA!$AH$9:$AI$13,2,0),""))</f>
        <v/>
      </c>
      <c r="S429" s="42" t="str">
        <f t="shared" si="132"/>
        <v/>
      </c>
      <c r="T429" s="8" t="str">
        <f>IF($A429="","",IF(COUNTIF($D$2:D429,D429)=1,1,0))</f>
        <v/>
      </c>
      <c r="U429" s="8" t="str">
        <f>IF($A429="","",IF(F429="-","Cabang tdk ada",IF(IFERROR(VLOOKUP(G429,#REF!,1,0),"")="","",IF(INDEX(DATA!$AH$2:$AH$5,MATCH(G429,DATA!$AI$2:$AI$5,0))&lt;&gt;F429,"Wilayah beda","OK"))))</f>
        <v/>
      </c>
      <c r="V429" s="8" t="str">
        <f>IF($A429="","",TRIM(INDEX(FORM!$I:$I,ROW())&amp;""))</f>
        <v/>
      </c>
      <c r="W429" s="8" t="str">
        <f>IF($A429="","",TRIM(INDEX(FORM!$L:$L,ROW())&amp;""))</f>
        <v/>
      </c>
      <c r="X429" s="8" t="str">
        <f>IF($A429="","",TRIM(INDEX(FORM!$M:$M,ROW())&amp;""))</f>
        <v/>
      </c>
      <c r="Y429" s="8" t="str">
        <f>IF($A429="","",IFERROR(MATCH(F429,DATA!$AH$2:$AH$5,0),9)*10000+A429)</f>
        <v/>
      </c>
      <c r="Z429" s="8" t="str">
        <f t="shared" si="133"/>
        <v/>
      </c>
      <c r="AA429" s="8" t="str">
        <f t="shared" si="134"/>
        <v/>
      </c>
      <c r="AB429" s="8" t="str">
        <f t="shared" si="135"/>
        <v/>
      </c>
      <c r="AC429" s="8"/>
      <c r="AD429" s="8"/>
      <c r="AE429" s="8"/>
      <c r="AK429" s="5" t="str">
        <f t="shared" si="136"/>
        <v/>
      </c>
      <c r="AL429" s="5" t="str">
        <f t="shared" si="137"/>
        <v/>
      </c>
      <c r="AM429" s="5" t="str">
        <f t="shared" si="138"/>
        <v/>
      </c>
      <c r="AN429" s="5" t="str">
        <f t="shared" si="139"/>
        <v/>
      </c>
      <c r="AO429" s="5" t="str">
        <f t="shared" si="140"/>
        <v/>
      </c>
      <c r="AP429" s="5" t="str">
        <f t="shared" si="141"/>
        <v/>
      </c>
      <c r="AQ429" s="5" t="str">
        <f t="shared" si="142"/>
        <v/>
      </c>
      <c r="AR429" s="5" t="str">
        <f t="shared" si="143"/>
        <v/>
      </c>
      <c r="AS429" s="5" t="str">
        <f t="shared" si="144"/>
        <v/>
      </c>
      <c r="AT429" s="5" t="str">
        <f t="shared" si="145"/>
        <v/>
      </c>
      <c r="AU429" s="5" t="str">
        <f t="shared" si="146"/>
        <v/>
      </c>
      <c r="AV429" s="5" t="str">
        <f t="shared" si="147"/>
        <v/>
      </c>
      <c r="AW429" s="5" t="str">
        <f t="shared" si="148"/>
        <v/>
      </c>
      <c r="AX429" s="5" t="str">
        <f t="shared" si="149"/>
        <v/>
      </c>
      <c r="AY429" s="5" t="str">
        <f t="shared" si="150"/>
        <v/>
      </c>
      <c r="AZ429" s="5" t="str">
        <f t="shared" si="151"/>
        <v/>
      </c>
      <c r="BA429" s="5" t="str">
        <f t="shared" si="152"/>
        <v/>
      </c>
      <c r="BB429" s="5" t="str">
        <f t="shared" si="153"/>
        <v/>
      </c>
    </row>
    <row r="430" spans="1:54" s="5" customFormat="1" hidden="1">
      <c r="A430" s="8" t="str">
        <f>IF(INDEX(FORM!$A:$A,ROW())="","",ROW()-1)</f>
        <v/>
      </c>
      <c r="B430" s="41" t="str">
        <f>IF($A430="","",INDEX(FORM!$A:$A,ROW()))</f>
        <v/>
      </c>
      <c r="C430" s="8" t="str">
        <f>IF($A430="","",TRIM(INDEX(FORM!$B:$B,ROW())))</f>
        <v/>
      </c>
      <c r="D430" s="8" t="str">
        <f>IF($A430="","",TRIM(INDEX(FORM!$C:$C,ROW())&amp;""))</f>
        <v/>
      </c>
      <c r="E430" s="8" t="str">
        <f>IF($A430="","",UPPER(TRIM(INDEX(FORM!$D:$D,ROW()))))</f>
        <v/>
      </c>
      <c r="F430" s="8" t="str">
        <f>IF($A430="","",IFERROR(INDEX(PROGRES!$A$2:$A$92,MATCH(E430,PROGRES!$B$2:$B$92,0)),"-"))</f>
        <v/>
      </c>
      <c r="G430" s="8" t="str">
        <f>IF($A430="","",UPPER(TRIM(INDEX(FORM!$F:$F,ROW()))))</f>
        <v/>
      </c>
      <c r="H430" s="8" t="str">
        <f>IF($A430="","",UPPER(TRIM(INDEX(FORM!$E:$E,ROW()))))</f>
        <v/>
      </c>
      <c r="I430" s="8" t="str">
        <f>IF($A430="","",UPPER(TRIM(INDEX(FORM!$G:$G,ROW()))))</f>
        <v/>
      </c>
      <c r="J430" s="8" t="str">
        <f>IF($A430="","",IF(ISNUMBER(SEARCH("Ya,",INDEX(FORM!$H:$H,ROW()))),"YA",IF(ISNUMBER(SEARCH("Cukup,",INDEX(FORM!$H:$H,ROW()))),"CUKUP",IF(ISNUMBER(SEARCH("Kurang,",INDEX(FORM!$H:$H,ROW()))),"KURANG",""))))</f>
        <v/>
      </c>
      <c r="K430" s="8" t="str">
        <f>IF($A430="","",UPPER(TRIM(INDEX(FORM!$J:$J,ROW()))))</f>
        <v/>
      </c>
      <c r="L430" s="8" t="str">
        <f>IF($A430="","",IF(ISNUMBER(SEARCH("Aktivitas Harian",INDEX(FORM!$K:$K,ROW()))),1,0))</f>
        <v/>
      </c>
      <c r="M430" s="8" t="str">
        <f>IF($A430="","",IF(ISNUMBER(SEARCH("Aktivitas Mingguan",INDEX(FORM!$K:$K,ROW()))),1,0))</f>
        <v/>
      </c>
      <c r="N430" s="8" t="str">
        <f>IF($A430="","",IF(ISNUMBER(SEARCH("Aktivitas Bulanan",INDEX(FORM!$K:$K,ROW()))),1,0))</f>
        <v/>
      </c>
      <c r="O430" s="8" t="str">
        <f>IF($A430="","",IF(ISNUMBER(SEARCH("Overview Cabang",INDEX(FORM!$K:$K,ROW()))),1,0))</f>
        <v/>
      </c>
      <c r="P430" s="8" t="str">
        <f>IF($A430="","",IFERROR(VLOOKUP(I430,DATA!$AH$9:$AI$13,2,0),""))</f>
        <v/>
      </c>
      <c r="Q430" s="8" t="str">
        <f>IF($A430="","",IFERROR(VLOOKUP(J430,DATA!$AH$9:$AI$13,2,0),""))</f>
        <v/>
      </c>
      <c r="R430" s="8" t="str">
        <f>IF($A430="","",IFERROR(VLOOKUP(K430,DATA!$AH$9:$AI$13,2,0),""))</f>
        <v/>
      </c>
      <c r="S430" s="42" t="str">
        <f t="shared" si="132"/>
        <v/>
      </c>
      <c r="T430" s="8" t="str">
        <f>IF($A430="","",IF(COUNTIF($D$2:D430,D430)=1,1,0))</f>
        <v/>
      </c>
      <c r="U430" s="8" t="str">
        <f>IF($A430="","",IF(F430="-","Cabang tdk ada",IF(IFERROR(VLOOKUP(G430,#REF!,1,0),"")="","",IF(INDEX(DATA!$AH$2:$AH$5,MATCH(G430,DATA!$AI$2:$AI$5,0))&lt;&gt;F430,"Wilayah beda","OK"))))</f>
        <v/>
      </c>
      <c r="V430" s="8" t="str">
        <f>IF($A430="","",TRIM(INDEX(FORM!$I:$I,ROW())&amp;""))</f>
        <v/>
      </c>
      <c r="W430" s="8" t="str">
        <f>IF($A430="","",TRIM(INDEX(FORM!$L:$L,ROW())&amp;""))</f>
        <v/>
      </c>
      <c r="X430" s="8" t="str">
        <f>IF($A430="","",TRIM(INDEX(FORM!$M:$M,ROW())&amp;""))</f>
        <v/>
      </c>
      <c r="Y430" s="8" t="str">
        <f>IF($A430="","",IFERROR(MATCH(F430,DATA!$AH$2:$AH$5,0),9)*10000+A430)</f>
        <v/>
      </c>
      <c r="Z430" s="8" t="str">
        <f t="shared" si="133"/>
        <v/>
      </c>
      <c r="AA430" s="8" t="str">
        <f t="shared" si="134"/>
        <v/>
      </c>
      <c r="AB430" s="8" t="str">
        <f t="shared" si="135"/>
        <v/>
      </c>
      <c r="AC430" s="8"/>
      <c r="AD430" s="8"/>
      <c r="AE430" s="8"/>
      <c r="AK430" s="5" t="str">
        <f t="shared" si="136"/>
        <v/>
      </c>
      <c r="AL430" s="5" t="str">
        <f t="shared" si="137"/>
        <v/>
      </c>
      <c r="AM430" s="5" t="str">
        <f t="shared" si="138"/>
        <v/>
      </c>
      <c r="AN430" s="5" t="str">
        <f t="shared" si="139"/>
        <v/>
      </c>
      <c r="AO430" s="5" t="str">
        <f t="shared" si="140"/>
        <v/>
      </c>
      <c r="AP430" s="5" t="str">
        <f t="shared" si="141"/>
        <v/>
      </c>
      <c r="AQ430" s="5" t="str">
        <f t="shared" si="142"/>
        <v/>
      </c>
      <c r="AR430" s="5" t="str">
        <f t="shared" si="143"/>
        <v/>
      </c>
      <c r="AS430" s="5" t="str">
        <f t="shared" si="144"/>
        <v/>
      </c>
      <c r="AT430" s="5" t="str">
        <f t="shared" si="145"/>
        <v/>
      </c>
      <c r="AU430" s="5" t="str">
        <f t="shared" si="146"/>
        <v/>
      </c>
      <c r="AV430" s="5" t="str">
        <f t="shared" si="147"/>
        <v/>
      </c>
      <c r="AW430" s="5" t="str">
        <f t="shared" si="148"/>
        <v/>
      </c>
      <c r="AX430" s="5" t="str">
        <f t="shared" si="149"/>
        <v/>
      </c>
      <c r="AY430" s="5" t="str">
        <f t="shared" si="150"/>
        <v/>
      </c>
      <c r="AZ430" s="5" t="str">
        <f t="shared" si="151"/>
        <v/>
      </c>
      <c r="BA430" s="5" t="str">
        <f t="shared" si="152"/>
        <v/>
      </c>
      <c r="BB430" s="5" t="str">
        <f t="shared" si="153"/>
        <v/>
      </c>
    </row>
    <row r="431" spans="1:54" s="5" customFormat="1" hidden="1">
      <c r="A431" s="8" t="str">
        <f>IF(INDEX(FORM!$A:$A,ROW())="","",ROW()-1)</f>
        <v/>
      </c>
      <c r="B431" s="41" t="str">
        <f>IF($A431="","",INDEX(FORM!$A:$A,ROW()))</f>
        <v/>
      </c>
      <c r="C431" s="8" t="str">
        <f>IF($A431="","",TRIM(INDEX(FORM!$B:$B,ROW())))</f>
        <v/>
      </c>
      <c r="D431" s="8" t="str">
        <f>IF($A431="","",TRIM(INDEX(FORM!$C:$C,ROW())&amp;""))</f>
        <v/>
      </c>
      <c r="E431" s="8" t="str">
        <f>IF($A431="","",UPPER(TRIM(INDEX(FORM!$D:$D,ROW()))))</f>
        <v/>
      </c>
      <c r="F431" s="8" t="str">
        <f>IF($A431="","",IFERROR(INDEX(PROGRES!$A$2:$A$92,MATCH(E431,PROGRES!$B$2:$B$92,0)),"-"))</f>
        <v/>
      </c>
      <c r="G431" s="8" t="str">
        <f>IF($A431="","",UPPER(TRIM(INDEX(FORM!$F:$F,ROW()))))</f>
        <v/>
      </c>
      <c r="H431" s="8" t="str">
        <f>IF($A431="","",UPPER(TRIM(INDEX(FORM!$E:$E,ROW()))))</f>
        <v/>
      </c>
      <c r="I431" s="8" t="str">
        <f>IF($A431="","",UPPER(TRIM(INDEX(FORM!$G:$G,ROW()))))</f>
        <v/>
      </c>
      <c r="J431" s="8" t="str">
        <f>IF($A431="","",IF(ISNUMBER(SEARCH("Ya,",INDEX(FORM!$H:$H,ROW()))),"YA",IF(ISNUMBER(SEARCH("Cukup,",INDEX(FORM!$H:$H,ROW()))),"CUKUP",IF(ISNUMBER(SEARCH("Kurang,",INDEX(FORM!$H:$H,ROW()))),"KURANG",""))))</f>
        <v/>
      </c>
      <c r="K431" s="8" t="str">
        <f>IF($A431="","",UPPER(TRIM(INDEX(FORM!$J:$J,ROW()))))</f>
        <v/>
      </c>
      <c r="L431" s="8" t="str">
        <f>IF($A431="","",IF(ISNUMBER(SEARCH("Aktivitas Harian",INDEX(FORM!$K:$K,ROW()))),1,0))</f>
        <v/>
      </c>
      <c r="M431" s="8" t="str">
        <f>IF($A431="","",IF(ISNUMBER(SEARCH("Aktivitas Mingguan",INDEX(FORM!$K:$K,ROW()))),1,0))</f>
        <v/>
      </c>
      <c r="N431" s="8" t="str">
        <f>IF($A431="","",IF(ISNUMBER(SEARCH("Aktivitas Bulanan",INDEX(FORM!$K:$K,ROW()))),1,0))</f>
        <v/>
      </c>
      <c r="O431" s="8" t="str">
        <f>IF($A431="","",IF(ISNUMBER(SEARCH("Overview Cabang",INDEX(FORM!$K:$K,ROW()))),1,0))</f>
        <v/>
      </c>
      <c r="P431" s="8" t="str">
        <f>IF($A431="","",IFERROR(VLOOKUP(I431,DATA!$AH$9:$AI$13,2,0),""))</f>
        <v/>
      </c>
      <c r="Q431" s="8" t="str">
        <f>IF($A431="","",IFERROR(VLOOKUP(J431,DATA!$AH$9:$AI$13,2,0),""))</f>
        <v/>
      </c>
      <c r="R431" s="8" t="str">
        <f>IF($A431="","",IFERROR(VLOOKUP(K431,DATA!$AH$9:$AI$13,2,0),""))</f>
        <v/>
      </c>
      <c r="S431" s="42" t="str">
        <f t="shared" si="132"/>
        <v/>
      </c>
      <c r="T431" s="8" t="str">
        <f>IF($A431="","",IF(COUNTIF($D$2:D431,D431)=1,1,0))</f>
        <v/>
      </c>
      <c r="U431" s="8" t="str">
        <f>IF($A431="","",IF(F431="-","Cabang tdk ada",IF(IFERROR(VLOOKUP(G431,#REF!,1,0),"")="","",IF(INDEX(DATA!$AH$2:$AH$5,MATCH(G431,DATA!$AI$2:$AI$5,0))&lt;&gt;F431,"Wilayah beda","OK"))))</f>
        <v/>
      </c>
      <c r="V431" s="8" t="str">
        <f>IF($A431="","",TRIM(INDEX(FORM!$I:$I,ROW())&amp;""))</f>
        <v/>
      </c>
      <c r="W431" s="8" t="str">
        <f>IF($A431="","",TRIM(INDEX(FORM!$L:$L,ROW())&amp;""))</f>
        <v/>
      </c>
      <c r="X431" s="8" t="str">
        <f>IF($A431="","",TRIM(INDEX(FORM!$M:$M,ROW())&amp;""))</f>
        <v/>
      </c>
      <c r="Y431" s="8" t="str">
        <f>IF($A431="","",IFERROR(MATCH(F431,DATA!$AH$2:$AH$5,0),9)*10000+A431)</f>
        <v/>
      </c>
      <c r="Z431" s="8" t="str">
        <f t="shared" si="133"/>
        <v/>
      </c>
      <c r="AA431" s="8" t="str">
        <f t="shared" si="134"/>
        <v/>
      </c>
      <c r="AB431" s="8" t="str">
        <f t="shared" si="135"/>
        <v/>
      </c>
      <c r="AC431" s="8"/>
      <c r="AD431" s="8"/>
      <c r="AE431" s="8"/>
      <c r="AK431" s="5" t="str">
        <f t="shared" si="136"/>
        <v/>
      </c>
      <c r="AL431" s="5" t="str">
        <f t="shared" si="137"/>
        <v/>
      </c>
      <c r="AM431" s="5" t="str">
        <f t="shared" si="138"/>
        <v/>
      </c>
      <c r="AN431" s="5" t="str">
        <f t="shared" si="139"/>
        <v/>
      </c>
      <c r="AO431" s="5" t="str">
        <f t="shared" si="140"/>
        <v/>
      </c>
      <c r="AP431" s="5" t="str">
        <f t="shared" si="141"/>
        <v/>
      </c>
      <c r="AQ431" s="5" t="str">
        <f t="shared" si="142"/>
        <v/>
      </c>
      <c r="AR431" s="5" t="str">
        <f t="shared" si="143"/>
        <v/>
      </c>
      <c r="AS431" s="5" t="str">
        <f t="shared" si="144"/>
        <v/>
      </c>
      <c r="AT431" s="5" t="str">
        <f t="shared" si="145"/>
        <v/>
      </c>
      <c r="AU431" s="5" t="str">
        <f t="shared" si="146"/>
        <v/>
      </c>
      <c r="AV431" s="5" t="str">
        <f t="shared" si="147"/>
        <v/>
      </c>
      <c r="AW431" s="5" t="str">
        <f t="shared" si="148"/>
        <v/>
      </c>
      <c r="AX431" s="5" t="str">
        <f t="shared" si="149"/>
        <v/>
      </c>
      <c r="AY431" s="5" t="str">
        <f t="shared" si="150"/>
        <v/>
      </c>
      <c r="AZ431" s="5" t="str">
        <f t="shared" si="151"/>
        <v/>
      </c>
      <c r="BA431" s="5" t="str">
        <f t="shared" si="152"/>
        <v/>
      </c>
      <c r="BB431" s="5" t="str">
        <f t="shared" si="153"/>
        <v/>
      </c>
    </row>
    <row r="432" spans="1:54" s="5" customFormat="1" hidden="1">
      <c r="A432" s="8" t="str">
        <f>IF(INDEX(FORM!$A:$A,ROW())="","",ROW()-1)</f>
        <v/>
      </c>
      <c r="B432" s="41" t="str">
        <f>IF($A432="","",INDEX(FORM!$A:$A,ROW()))</f>
        <v/>
      </c>
      <c r="C432" s="8" t="str">
        <f>IF($A432="","",TRIM(INDEX(FORM!$B:$B,ROW())))</f>
        <v/>
      </c>
      <c r="D432" s="8" t="str">
        <f>IF($A432="","",TRIM(INDEX(FORM!$C:$C,ROW())&amp;""))</f>
        <v/>
      </c>
      <c r="E432" s="8" t="str">
        <f>IF($A432="","",UPPER(TRIM(INDEX(FORM!$D:$D,ROW()))))</f>
        <v/>
      </c>
      <c r="F432" s="8" t="str">
        <f>IF($A432="","",IFERROR(INDEX(PROGRES!$A$2:$A$92,MATCH(E432,PROGRES!$B$2:$B$92,0)),"-"))</f>
        <v/>
      </c>
      <c r="G432" s="8" t="str">
        <f>IF($A432="","",UPPER(TRIM(INDEX(FORM!$F:$F,ROW()))))</f>
        <v/>
      </c>
      <c r="H432" s="8" t="str">
        <f>IF($A432="","",UPPER(TRIM(INDEX(FORM!$E:$E,ROW()))))</f>
        <v/>
      </c>
      <c r="I432" s="8" t="str">
        <f>IF($A432="","",UPPER(TRIM(INDEX(FORM!$G:$G,ROW()))))</f>
        <v/>
      </c>
      <c r="J432" s="8" t="str">
        <f>IF($A432="","",IF(ISNUMBER(SEARCH("Ya,",INDEX(FORM!$H:$H,ROW()))),"YA",IF(ISNUMBER(SEARCH("Cukup,",INDEX(FORM!$H:$H,ROW()))),"CUKUP",IF(ISNUMBER(SEARCH("Kurang,",INDEX(FORM!$H:$H,ROW()))),"KURANG",""))))</f>
        <v/>
      </c>
      <c r="K432" s="8" t="str">
        <f>IF($A432="","",UPPER(TRIM(INDEX(FORM!$J:$J,ROW()))))</f>
        <v/>
      </c>
      <c r="L432" s="8" t="str">
        <f>IF($A432="","",IF(ISNUMBER(SEARCH("Aktivitas Harian",INDEX(FORM!$K:$K,ROW()))),1,0))</f>
        <v/>
      </c>
      <c r="M432" s="8" t="str">
        <f>IF($A432="","",IF(ISNUMBER(SEARCH("Aktivitas Mingguan",INDEX(FORM!$K:$K,ROW()))),1,0))</f>
        <v/>
      </c>
      <c r="N432" s="8" t="str">
        <f>IF($A432="","",IF(ISNUMBER(SEARCH("Aktivitas Bulanan",INDEX(FORM!$K:$K,ROW()))),1,0))</f>
        <v/>
      </c>
      <c r="O432" s="8" t="str">
        <f>IF($A432="","",IF(ISNUMBER(SEARCH("Overview Cabang",INDEX(FORM!$K:$K,ROW()))),1,0))</f>
        <v/>
      </c>
      <c r="P432" s="8" t="str">
        <f>IF($A432="","",IFERROR(VLOOKUP(I432,DATA!$AH$9:$AI$13,2,0),""))</f>
        <v/>
      </c>
      <c r="Q432" s="8" t="str">
        <f>IF($A432="","",IFERROR(VLOOKUP(J432,DATA!$AH$9:$AI$13,2,0),""))</f>
        <v/>
      </c>
      <c r="R432" s="8" t="str">
        <f>IF($A432="","",IFERROR(VLOOKUP(K432,DATA!$AH$9:$AI$13,2,0),""))</f>
        <v/>
      </c>
      <c r="S432" s="42" t="str">
        <f t="shared" si="132"/>
        <v/>
      </c>
      <c r="T432" s="8" t="str">
        <f>IF($A432="","",IF(COUNTIF($D$2:D432,D432)=1,1,0))</f>
        <v/>
      </c>
      <c r="U432" s="8" t="str">
        <f>IF($A432="","",IF(F432="-","Cabang tdk ada",IF(IFERROR(VLOOKUP(G432,#REF!,1,0),"")="","",IF(INDEX(DATA!$AH$2:$AH$5,MATCH(G432,DATA!$AI$2:$AI$5,0))&lt;&gt;F432,"Wilayah beda","OK"))))</f>
        <v/>
      </c>
      <c r="V432" s="8" t="str">
        <f>IF($A432="","",TRIM(INDEX(FORM!$I:$I,ROW())&amp;""))</f>
        <v/>
      </c>
      <c r="W432" s="8" t="str">
        <f>IF($A432="","",TRIM(INDEX(FORM!$L:$L,ROW())&amp;""))</f>
        <v/>
      </c>
      <c r="X432" s="8" t="str">
        <f>IF($A432="","",TRIM(INDEX(FORM!$M:$M,ROW())&amp;""))</f>
        <v/>
      </c>
      <c r="Y432" s="8" t="str">
        <f>IF($A432="","",IFERROR(MATCH(F432,DATA!$AH$2:$AH$5,0),9)*10000+A432)</f>
        <v/>
      </c>
      <c r="Z432" s="8" t="str">
        <f t="shared" si="133"/>
        <v/>
      </c>
      <c r="AA432" s="8" t="str">
        <f t="shared" si="134"/>
        <v/>
      </c>
      <c r="AB432" s="8" t="str">
        <f t="shared" si="135"/>
        <v/>
      </c>
      <c r="AC432" s="8"/>
      <c r="AD432" s="8"/>
      <c r="AE432" s="8"/>
      <c r="AK432" s="5" t="str">
        <f t="shared" si="136"/>
        <v/>
      </c>
      <c r="AL432" s="5" t="str">
        <f t="shared" si="137"/>
        <v/>
      </c>
      <c r="AM432" s="5" t="str">
        <f t="shared" si="138"/>
        <v/>
      </c>
      <c r="AN432" s="5" t="str">
        <f t="shared" si="139"/>
        <v/>
      </c>
      <c r="AO432" s="5" t="str">
        <f t="shared" si="140"/>
        <v/>
      </c>
      <c r="AP432" s="5" t="str">
        <f t="shared" si="141"/>
        <v/>
      </c>
      <c r="AQ432" s="5" t="str">
        <f t="shared" si="142"/>
        <v/>
      </c>
      <c r="AR432" s="5" t="str">
        <f t="shared" si="143"/>
        <v/>
      </c>
      <c r="AS432" s="5" t="str">
        <f t="shared" si="144"/>
        <v/>
      </c>
      <c r="AT432" s="5" t="str">
        <f t="shared" si="145"/>
        <v/>
      </c>
      <c r="AU432" s="5" t="str">
        <f t="shared" si="146"/>
        <v/>
      </c>
      <c r="AV432" s="5" t="str">
        <f t="shared" si="147"/>
        <v/>
      </c>
      <c r="AW432" s="5" t="str">
        <f t="shared" si="148"/>
        <v/>
      </c>
      <c r="AX432" s="5" t="str">
        <f t="shared" si="149"/>
        <v/>
      </c>
      <c r="AY432" s="5" t="str">
        <f t="shared" si="150"/>
        <v/>
      </c>
      <c r="AZ432" s="5" t="str">
        <f t="shared" si="151"/>
        <v/>
      </c>
      <c r="BA432" s="5" t="str">
        <f t="shared" si="152"/>
        <v/>
      </c>
      <c r="BB432" s="5" t="str">
        <f t="shared" si="153"/>
        <v/>
      </c>
    </row>
    <row r="433" spans="1:54" s="5" customFormat="1" hidden="1">
      <c r="A433" s="8" t="str">
        <f>IF(INDEX(FORM!$A:$A,ROW())="","",ROW()-1)</f>
        <v/>
      </c>
      <c r="B433" s="41" t="str">
        <f>IF($A433="","",INDEX(FORM!$A:$A,ROW()))</f>
        <v/>
      </c>
      <c r="C433" s="8" t="str">
        <f>IF($A433="","",TRIM(INDEX(FORM!$B:$B,ROW())))</f>
        <v/>
      </c>
      <c r="D433" s="8" t="str">
        <f>IF($A433="","",TRIM(INDEX(FORM!$C:$C,ROW())&amp;""))</f>
        <v/>
      </c>
      <c r="E433" s="8" t="str">
        <f>IF($A433="","",UPPER(TRIM(INDEX(FORM!$D:$D,ROW()))))</f>
        <v/>
      </c>
      <c r="F433" s="8" t="str">
        <f>IF($A433="","",IFERROR(INDEX(PROGRES!$A$2:$A$92,MATCH(E433,PROGRES!$B$2:$B$92,0)),"-"))</f>
        <v/>
      </c>
      <c r="G433" s="8" t="str">
        <f>IF($A433="","",UPPER(TRIM(INDEX(FORM!$F:$F,ROW()))))</f>
        <v/>
      </c>
      <c r="H433" s="8" t="str">
        <f>IF($A433="","",UPPER(TRIM(INDEX(FORM!$E:$E,ROW()))))</f>
        <v/>
      </c>
      <c r="I433" s="8" t="str">
        <f>IF($A433="","",UPPER(TRIM(INDEX(FORM!$G:$G,ROW()))))</f>
        <v/>
      </c>
      <c r="J433" s="8" t="str">
        <f>IF($A433="","",IF(ISNUMBER(SEARCH("Ya,",INDEX(FORM!$H:$H,ROW()))),"YA",IF(ISNUMBER(SEARCH("Cukup,",INDEX(FORM!$H:$H,ROW()))),"CUKUP",IF(ISNUMBER(SEARCH("Kurang,",INDEX(FORM!$H:$H,ROW()))),"KURANG",""))))</f>
        <v/>
      </c>
      <c r="K433" s="8" t="str">
        <f>IF($A433="","",UPPER(TRIM(INDEX(FORM!$J:$J,ROW()))))</f>
        <v/>
      </c>
      <c r="L433" s="8" t="str">
        <f>IF($A433="","",IF(ISNUMBER(SEARCH("Aktivitas Harian",INDEX(FORM!$K:$K,ROW()))),1,0))</f>
        <v/>
      </c>
      <c r="M433" s="8" t="str">
        <f>IF($A433="","",IF(ISNUMBER(SEARCH("Aktivitas Mingguan",INDEX(FORM!$K:$K,ROW()))),1,0))</f>
        <v/>
      </c>
      <c r="N433" s="8" t="str">
        <f>IF($A433="","",IF(ISNUMBER(SEARCH("Aktivitas Bulanan",INDEX(FORM!$K:$K,ROW()))),1,0))</f>
        <v/>
      </c>
      <c r="O433" s="8" t="str">
        <f>IF($A433="","",IF(ISNUMBER(SEARCH("Overview Cabang",INDEX(FORM!$K:$K,ROW()))),1,0))</f>
        <v/>
      </c>
      <c r="P433" s="8" t="str">
        <f>IF($A433="","",IFERROR(VLOOKUP(I433,DATA!$AH$9:$AI$13,2,0),""))</f>
        <v/>
      </c>
      <c r="Q433" s="8" t="str">
        <f>IF($A433="","",IFERROR(VLOOKUP(J433,DATA!$AH$9:$AI$13,2,0),""))</f>
        <v/>
      </c>
      <c r="R433" s="8" t="str">
        <f>IF($A433="","",IFERROR(VLOOKUP(K433,DATA!$AH$9:$AI$13,2,0),""))</f>
        <v/>
      </c>
      <c r="S433" s="42" t="str">
        <f t="shared" si="132"/>
        <v/>
      </c>
      <c r="T433" s="8" t="str">
        <f>IF($A433="","",IF(COUNTIF($D$2:D433,D433)=1,1,0))</f>
        <v/>
      </c>
      <c r="U433" s="8" t="str">
        <f>IF($A433="","",IF(F433="-","Cabang tdk ada",IF(IFERROR(VLOOKUP(G433,#REF!,1,0),"")="","",IF(INDEX(DATA!$AH$2:$AH$5,MATCH(G433,DATA!$AI$2:$AI$5,0))&lt;&gt;F433,"Wilayah beda","OK"))))</f>
        <v/>
      </c>
      <c r="V433" s="8" t="str">
        <f>IF($A433="","",TRIM(INDEX(FORM!$I:$I,ROW())&amp;""))</f>
        <v/>
      </c>
      <c r="W433" s="8" t="str">
        <f>IF($A433="","",TRIM(INDEX(FORM!$L:$L,ROW())&amp;""))</f>
        <v/>
      </c>
      <c r="X433" s="8" t="str">
        <f>IF($A433="","",TRIM(INDEX(FORM!$M:$M,ROW())&amp;""))</f>
        <v/>
      </c>
      <c r="Y433" s="8" t="str">
        <f>IF($A433="","",IFERROR(MATCH(F433,DATA!$AH$2:$AH$5,0),9)*10000+A433)</f>
        <v/>
      </c>
      <c r="Z433" s="8" t="str">
        <f t="shared" si="133"/>
        <v/>
      </c>
      <c r="AA433" s="8" t="str">
        <f t="shared" si="134"/>
        <v/>
      </c>
      <c r="AB433" s="8" t="str">
        <f t="shared" si="135"/>
        <v/>
      </c>
      <c r="AC433" s="8"/>
      <c r="AD433" s="8"/>
      <c r="AE433" s="8"/>
      <c r="AK433" s="5" t="str">
        <f t="shared" si="136"/>
        <v/>
      </c>
      <c r="AL433" s="5" t="str">
        <f t="shared" si="137"/>
        <v/>
      </c>
      <c r="AM433" s="5" t="str">
        <f t="shared" si="138"/>
        <v/>
      </c>
      <c r="AN433" s="5" t="str">
        <f t="shared" si="139"/>
        <v/>
      </c>
      <c r="AO433" s="5" t="str">
        <f t="shared" si="140"/>
        <v/>
      </c>
      <c r="AP433" s="5" t="str">
        <f t="shared" si="141"/>
        <v/>
      </c>
      <c r="AQ433" s="5" t="str">
        <f t="shared" si="142"/>
        <v/>
      </c>
      <c r="AR433" s="5" t="str">
        <f t="shared" si="143"/>
        <v/>
      </c>
      <c r="AS433" s="5" t="str">
        <f t="shared" si="144"/>
        <v/>
      </c>
      <c r="AT433" s="5" t="str">
        <f t="shared" si="145"/>
        <v/>
      </c>
      <c r="AU433" s="5" t="str">
        <f t="shared" si="146"/>
        <v/>
      </c>
      <c r="AV433" s="5" t="str">
        <f t="shared" si="147"/>
        <v/>
      </c>
      <c r="AW433" s="5" t="str">
        <f t="shared" si="148"/>
        <v/>
      </c>
      <c r="AX433" s="5" t="str">
        <f t="shared" si="149"/>
        <v/>
      </c>
      <c r="AY433" s="5" t="str">
        <f t="shared" si="150"/>
        <v/>
      </c>
      <c r="AZ433" s="5" t="str">
        <f t="shared" si="151"/>
        <v/>
      </c>
      <c r="BA433" s="5" t="str">
        <f t="shared" si="152"/>
        <v/>
      </c>
      <c r="BB433" s="5" t="str">
        <f t="shared" si="153"/>
        <v/>
      </c>
    </row>
    <row r="434" spans="1:54" s="5" customFormat="1" hidden="1">
      <c r="A434" s="8" t="str">
        <f>IF(INDEX(FORM!$A:$A,ROW())="","",ROW()-1)</f>
        <v/>
      </c>
      <c r="B434" s="41" t="str">
        <f>IF($A434="","",INDEX(FORM!$A:$A,ROW()))</f>
        <v/>
      </c>
      <c r="C434" s="8" t="str">
        <f>IF($A434="","",TRIM(INDEX(FORM!$B:$B,ROW())))</f>
        <v/>
      </c>
      <c r="D434" s="8" t="str">
        <f>IF($A434="","",TRIM(INDEX(FORM!$C:$C,ROW())&amp;""))</f>
        <v/>
      </c>
      <c r="E434" s="8" t="str">
        <f>IF($A434="","",UPPER(TRIM(INDEX(FORM!$D:$D,ROW()))))</f>
        <v/>
      </c>
      <c r="F434" s="8" t="str">
        <f>IF($A434="","",IFERROR(INDEX(PROGRES!$A$2:$A$92,MATCH(E434,PROGRES!$B$2:$B$92,0)),"-"))</f>
        <v/>
      </c>
      <c r="G434" s="8" t="str">
        <f>IF($A434="","",UPPER(TRIM(INDEX(FORM!$F:$F,ROW()))))</f>
        <v/>
      </c>
      <c r="H434" s="8" t="str">
        <f>IF($A434="","",UPPER(TRIM(INDEX(FORM!$E:$E,ROW()))))</f>
        <v/>
      </c>
      <c r="I434" s="8" t="str">
        <f>IF($A434="","",UPPER(TRIM(INDEX(FORM!$G:$G,ROW()))))</f>
        <v/>
      </c>
      <c r="J434" s="8" t="str">
        <f>IF($A434="","",IF(ISNUMBER(SEARCH("Ya,",INDEX(FORM!$H:$H,ROW()))),"YA",IF(ISNUMBER(SEARCH("Cukup,",INDEX(FORM!$H:$H,ROW()))),"CUKUP",IF(ISNUMBER(SEARCH("Kurang,",INDEX(FORM!$H:$H,ROW()))),"KURANG",""))))</f>
        <v/>
      </c>
      <c r="K434" s="8" t="str">
        <f>IF($A434="","",UPPER(TRIM(INDEX(FORM!$J:$J,ROW()))))</f>
        <v/>
      </c>
      <c r="L434" s="8" t="str">
        <f>IF($A434="","",IF(ISNUMBER(SEARCH("Aktivitas Harian",INDEX(FORM!$K:$K,ROW()))),1,0))</f>
        <v/>
      </c>
      <c r="M434" s="8" t="str">
        <f>IF($A434="","",IF(ISNUMBER(SEARCH("Aktivitas Mingguan",INDEX(FORM!$K:$K,ROW()))),1,0))</f>
        <v/>
      </c>
      <c r="N434" s="8" t="str">
        <f>IF($A434="","",IF(ISNUMBER(SEARCH("Aktivitas Bulanan",INDEX(FORM!$K:$K,ROW()))),1,0))</f>
        <v/>
      </c>
      <c r="O434" s="8" t="str">
        <f>IF($A434="","",IF(ISNUMBER(SEARCH("Overview Cabang",INDEX(FORM!$K:$K,ROW()))),1,0))</f>
        <v/>
      </c>
      <c r="P434" s="8" t="str">
        <f>IF($A434="","",IFERROR(VLOOKUP(I434,DATA!$AH$9:$AI$13,2,0),""))</f>
        <v/>
      </c>
      <c r="Q434" s="8" t="str">
        <f>IF($A434="","",IFERROR(VLOOKUP(J434,DATA!$AH$9:$AI$13,2,0),""))</f>
        <v/>
      </c>
      <c r="R434" s="8" t="str">
        <f>IF($A434="","",IFERROR(VLOOKUP(K434,DATA!$AH$9:$AI$13,2,0),""))</f>
        <v/>
      </c>
      <c r="S434" s="42" t="str">
        <f t="shared" si="132"/>
        <v/>
      </c>
      <c r="T434" s="8" t="str">
        <f>IF($A434="","",IF(COUNTIF($D$2:D434,D434)=1,1,0))</f>
        <v/>
      </c>
      <c r="U434" s="8" t="str">
        <f>IF($A434="","",IF(F434="-","Cabang tdk ada",IF(IFERROR(VLOOKUP(G434,#REF!,1,0),"")="","",IF(INDEX(DATA!$AH$2:$AH$5,MATCH(G434,DATA!$AI$2:$AI$5,0))&lt;&gt;F434,"Wilayah beda","OK"))))</f>
        <v/>
      </c>
      <c r="V434" s="8" t="str">
        <f>IF($A434="","",TRIM(INDEX(FORM!$I:$I,ROW())&amp;""))</f>
        <v/>
      </c>
      <c r="W434" s="8" t="str">
        <f>IF($A434="","",TRIM(INDEX(FORM!$L:$L,ROW())&amp;""))</f>
        <v/>
      </c>
      <c r="X434" s="8" t="str">
        <f>IF($A434="","",TRIM(INDEX(FORM!$M:$M,ROW())&amp;""))</f>
        <v/>
      </c>
      <c r="Y434" s="8" t="str">
        <f>IF($A434="","",IFERROR(MATCH(F434,DATA!$AH$2:$AH$5,0),9)*10000+A434)</f>
        <v/>
      </c>
      <c r="Z434" s="8" t="str">
        <f t="shared" si="133"/>
        <v/>
      </c>
      <c r="AA434" s="8" t="str">
        <f t="shared" si="134"/>
        <v/>
      </c>
      <c r="AB434" s="8" t="str">
        <f t="shared" si="135"/>
        <v/>
      </c>
      <c r="AC434" s="8"/>
      <c r="AD434" s="8"/>
      <c r="AE434" s="8"/>
      <c r="AK434" s="5" t="str">
        <f t="shared" si="136"/>
        <v/>
      </c>
      <c r="AL434" s="5" t="str">
        <f t="shared" si="137"/>
        <v/>
      </c>
      <c r="AM434" s="5" t="str">
        <f t="shared" si="138"/>
        <v/>
      </c>
      <c r="AN434" s="5" t="str">
        <f t="shared" si="139"/>
        <v/>
      </c>
      <c r="AO434" s="5" t="str">
        <f t="shared" si="140"/>
        <v/>
      </c>
      <c r="AP434" s="5" t="str">
        <f t="shared" si="141"/>
        <v/>
      </c>
      <c r="AQ434" s="5" t="str">
        <f t="shared" si="142"/>
        <v/>
      </c>
      <c r="AR434" s="5" t="str">
        <f t="shared" si="143"/>
        <v/>
      </c>
      <c r="AS434" s="5" t="str">
        <f t="shared" si="144"/>
        <v/>
      </c>
      <c r="AT434" s="5" t="str">
        <f t="shared" si="145"/>
        <v/>
      </c>
      <c r="AU434" s="5" t="str">
        <f t="shared" si="146"/>
        <v/>
      </c>
      <c r="AV434" s="5" t="str">
        <f t="shared" si="147"/>
        <v/>
      </c>
      <c r="AW434" s="5" t="str">
        <f t="shared" si="148"/>
        <v/>
      </c>
      <c r="AX434" s="5" t="str">
        <f t="shared" si="149"/>
        <v/>
      </c>
      <c r="AY434" s="5" t="str">
        <f t="shared" si="150"/>
        <v/>
      </c>
      <c r="AZ434" s="5" t="str">
        <f t="shared" si="151"/>
        <v/>
      </c>
      <c r="BA434" s="5" t="str">
        <f t="shared" si="152"/>
        <v/>
      </c>
      <c r="BB434" s="5" t="str">
        <f t="shared" si="153"/>
        <v/>
      </c>
    </row>
    <row r="435" spans="1:54" s="5" customFormat="1" hidden="1">
      <c r="A435" s="8" t="str">
        <f>IF(INDEX(FORM!$A:$A,ROW())="","",ROW()-1)</f>
        <v/>
      </c>
      <c r="B435" s="41" t="str">
        <f>IF($A435="","",INDEX(FORM!$A:$A,ROW()))</f>
        <v/>
      </c>
      <c r="C435" s="8" t="str">
        <f>IF($A435="","",TRIM(INDEX(FORM!$B:$B,ROW())))</f>
        <v/>
      </c>
      <c r="D435" s="8" t="str">
        <f>IF($A435="","",TRIM(INDEX(FORM!$C:$C,ROW())&amp;""))</f>
        <v/>
      </c>
      <c r="E435" s="8" t="str">
        <f>IF($A435="","",UPPER(TRIM(INDEX(FORM!$D:$D,ROW()))))</f>
        <v/>
      </c>
      <c r="F435" s="8" t="str">
        <f>IF($A435="","",IFERROR(INDEX(PROGRES!$A$2:$A$92,MATCH(E435,PROGRES!$B$2:$B$92,0)),"-"))</f>
        <v/>
      </c>
      <c r="G435" s="8" t="str">
        <f>IF($A435="","",UPPER(TRIM(INDEX(FORM!$F:$F,ROW()))))</f>
        <v/>
      </c>
      <c r="H435" s="8" t="str">
        <f>IF($A435="","",UPPER(TRIM(INDEX(FORM!$E:$E,ROW()))))</f>
        <v/>
      </c>
      <c r="I435" s="8" t="str">
        <f>IF($A435="","",UPPER(TRIM(INDEX(FORM!$G:$G,ROW()))))</f>
        <v/>
      </c>
      <c r="J435" s="8" t="str">
        <f>IF($A435="","",IF(ISNUMBER(SEARCH("Ya,",INDEX(FORM!$H:$H,ROW()))),"YA",IF(ISNUMBER(SEARCH("Cukup,",INDEX(FORM!$H:$H,ROW()))),"CUKUP",IF(ISNUMBER(SEARCH("Kurang,",INDEX(FORM!$H:$H,ROW()))),"KURANG",""))))</f>
        <v/>
      </c>
      <c r="K435" s="8" t="str">
        <f>IF($A435="","",UPPER(TRIM(INDEX(FORM!$J:$J,ROW()))))</f>
        <v/>
      </c>
      <c r="L435" s="8" t="str">
        <f>IF($A435="","",IF(ISNUMBER(SEARCH("Aktivitas Harian",INDEX(FORM!$K:$K,ROW()))),1,0))</f>
        <v/>
      </c>
      <c r="M435" s="8" t="str">
        <f>IF($A435="","",IF(ISNUMBER(SEARCH("Aktivitas Mingguan",INDEX(FORM!$K:$K,ROW()))),1,0))</f>
        <v/>
      </c>
      <c r="N435" s="8" t="str">
        <f>IF($A435="","",IF(ISNUMBER(SEARCH("Aktivitas Bulanan",INDEX(FORM!$K:$K,ROW()))),1,0))</f>
        <v/>
      </c>
      <c r="O435" s="8" t="str">
        <f>IF($A435="","",IF(ISNUMBER(SEARCH("Overview Cabang",INDEX(FORM!$K:$K,ROW()))),1,0))</f>
        <v/>
      </c>
      <c r="P435" s="8" t="str">
        <f>IF($A435="","",IFERROR(VLOOKUP(I435,DATA!$AH$9:$AI$13,2,0),""))</f>
        <v/>
      </c>
      <c r="Q435" s="8" t="str">
        <f>IF($A435="","",IFERROR(VLOOKUP(J435,DATA!$AH$9:$AI$13,2,0),""))</f>
        <v/>
      </c>
      <c r="R435" s="8" t="str">
        <f>IF($A435="","",IFERROR(VLOOKUP(K435,DATA!$AH$9:$AI$13,2,0),""))</f>
        <v/>
      </c>
      <c r="S435" s="42" t="str">
        <f t="shared" si="132"/>
        <v/>
      </c>
      <c r="T435" s="8" t="str">
        <f>IF($A435="","",IF(COUNTIF($D$2:D435,D435)=1,1,0))</f>
        <v/>
      </c>
      <c r="U435" s="8" t="str">
        <f>IF($A435="","",IF(F435="-","Cabang tdk ada",IF(IFERROR(VLOOKUP(G435,#REF!,1,0),"")="","",IF(INDEX(DATA!$AH$2:$AH$5,MATCH(G435,DATA!$AI$2:$AI$5,0))&lt;&gt;F435,"Wilayah beda","OK"))))</f>
        <v/>
      </c>
      <c r="V435" s="8" t="str">
        <f>IF($A435="","",TRIM(INDEX(FORM!$I:$I,ROW())&amp;""))</f>
        <v/>
      </c>
      <c r="W435" s="8" t="str">
        <f>IF($A435="","",TRIM(INDEX(FORM!$L:$L,ROW())&amp;""))</f>
        <v/>
      </c>
      <c r="X435" s="8" t="str">
        <f>IF($A435="","",TRIM(INDEX(FORM!$M:$M,ROW())&amp;""))</f>
        <v/>
      </c>
      <c r="Y435" s="8" t="str">
        <f>IF($A435="","",IFERROR(MATCH(F435,DATA!$AH$2:$AH$5,0),9)*10000+A435)</f>
        <v/>
      </c>
      <c r="Z435" s="8" t="str">
        <f t="shared" si="133"/>
        <v/>
      </c>
      <c r="AA435" s="8" t="str">
        <f t="shared" si="134"/>
        <v/>
      </c>
      <c r="AB435" s="8" t="str">
        <f t="shared" si="135"/>
        <v/>
      </c>
      <c r="AC435" s="8"/>
      <c r="AD435" s="8"/>
      <c r="AE435" s="8"/>
      <c r="AK435" s="5" t="str">
        <f t="shared" si="136"/>
        <v/>
      </c>
      <c r="AL435" s="5" t="str">
        <f t="shared" si="137"/>
        <v/>
      </c>
      <c r="AM435" s="5" t="str">
        <f t="shared" si="138"/>
        <v/>
      </c>
      <c r="AN435" s="5" t="str">
        <f t="shared" si="139"/>
        <v/>
      </c>
      <c r="AO435" s="5" t="str">
        <f t="shared" si="140"/>
        <v/>
      </c>
      <c r="AP435" s="5" t="str">
        <f t="shared" si="141"/>
        <v/>
      </c>
      <c r="AQ435" s="5" t="str">
        <f t="shared" si="142"/>
        <v/>
      </c>
      <c r="AR435" s="5" t="str">
        <f t="shared" si="143"/>
        <v/>
      </c>
      <c r="AS435" s="5" t="str">
        <f t="shared" si="144"/>
        <v/>
      </c>
      <c r="AT435" s="5" t="str">
        <f t="shared" si="145"/>
        <v/>
      </c>
      <c r="AU435" s="5" t="str">
        <f t="shared" si="146"/>
        <v/>
      </c>
      <c r="AV435" s="5" t="str">
        <f t="shared" si="147"/>
        <v/>
      </c>
      <c r="AW435" s="5" t="str">
        <f t="shared" si="148"/>
        <v/>
      </c>
      <c r="AX435" s="5" t="str">
        <f t="shared" si="149"/>
        <v/>
      </c>
      <c r="AY435" s="5" t="str">
        <f t="shared" si="150"/>
        <v/>
      </c>
      <c r="AZ435" s="5" t="str">
        <f t="shared" si="151"/>
        <v/>
      </c>
      <c r="BA435" s="5" t="str">
        <f t="shared" si="152"/>
        <v/>
      </c>
      <c r="BB435" s="5" t="str">
        <f t="shared" si="153"/>
        <v/>
      </c>
    </row>
    <row r="436" spans="1:54" s="5" customFormat="1" hidden="1">
      <c r="A436" s="8" t="str">
        <f>IF(INDEX(FORM!$A:$A,ROW())="","",ROW()-1)</f>
        <v/>
      </c>
      <c r="B436" s="41" t="str">
        <f>IF($A436="","",INDEX(FORM!$A:$A,ROW()))</f>
        <v/>
      </c>
      <c r="C436" s="8" t="str">
        <f>IF($A436="","",TRIM(INDEX(FORM!$B:$B,ROW())))</f>
        <v/>
      </c>
      <c r="D436" s="8" t="str">
        <f>IF($A436="","",TRIM(INDEX(FORM!$C:$C,ROW())&amp;""))</f>
        <v/>
      </c>
      <c r="E436" s="8" t="str">
        <f>IF($A436="","",UPPER(TRIM(INDEX(FORM!$D:$D,ROW()))))</f>
        <v/>
      </c>
      <c r="F436" s="8" t="str">
        <f>IF($A436="","",IFERROR(INDEX(PROGRES!$A$2:$A$92,MATCH(E436,PROGRES!$B$2:$B$92,0)),"-"))</f>
        <v/>
      </c>
      <c r="G436" s="8" t="str">
        <f>IF($A436="","",UPPER(TRIM(INDEX(FORM!$F:$F,ROW()))))</f>
        <v/>
      </c>
      <c r="H436" s="8" t="str">
        <f>IF($A436="","",UPPER(TRIM(INDEX(FORM!$E:$E,ROW()))))</f>
        <v/>
      </c>
      <c r="I436" s="8" t="str">
        <f>IF($A436="","",UPPER(TRIM(INDEX(FORM!$G:$G,ROW()))))</f>
        <v/>
      </c>
      <c r="J436" s="8" t="str">
        <f>IF($A436="","",IF(ISNUMBER(SEARCH("Ya,",INDEX(FORM!$H:$H,ROW()))),"YA",IF(ISNUMBER(SEARCH("Cukup,",INDEX(FORM!$H:$H,ROW()))),"CUKUP",IF(ISNUMBER(SEARCH("Kurang,",INDEX(FORM!$H:$H,ROW()))),"KURANG",""))))</f>
        <v/>
      </c>
      <c r="K436" s="8" t="str">
        <f>IF($A436="","",UPPER(TRIM(INDEX(FORM!$J:$J,ROW()))))</f>
        <v/>
      </c>
      <c r="L436" s="8" t="str">
        <f>IF($A436="","",IF(ISNUMBER(SEARCH("Aktivitas Harian",INDEX(FORM!$K:$K,ROW()))),1,0))</f>
        <v/>
      </c>
      <c r="M436" s="8" t="str">
        <f>IF($A436="","",IF(ISNUMBER(SEARCH("Aktivitas Mingguan",INDEX(FORM!$K:$K,ROW()))),1,0))</f>
        <v/>
      </c>
      <c r="N436" s="8" t="str">
        <f>IF($A436="","",IF(ISNUMBER(SEARCH("Aktivitas Bulanan",INDEX(FORM!$K:$K,ROW()))),1,0))</f>
        <v/>
      </c>
      <c r="O436" s="8" t="str">
        <f>IF($A436="","",IF(ISNUMBER(SEARCH("Overview Cabang",INDEX(FORM!$K:$K,ROW()))),1,0))</f>
        <v/>
      </c>
      <c r="P436" s="8" t="str">
        <f>IF($A436="","",IFERROR(VLOOKUP(I436,DATA!$AH$9:$AI$13,2,0),""))</f>
        <v/>
      </c>
      <c r="Q436" s="8" t="str">
        <f>IF($A436="","",IFERROR(VLOOKUP(J436,DATA!$AH$9:$AI$13,2,0),""))</f>
        <v/>
      </c>
      <c r="R436" s="8" t="str">
        <f>IF($A436="","",IFERROR(VLOOKUP(K436,DATA!$AH$9:$AI$13,2,0),""))</f>
        <v/>
      </c>
      <c r="S436" s="42" t="str">
        <f t="shared" si="132"/>
        <v/>
      </c>
      <c r="T436" s="8" t="str">
        <f>IF($A436="","",IF(COUNTIF($D$2:D436,D436)=1,1,0))</f>
        <v/>
      </c>
      <c r="U436" s="8" t="str">
        <f>IF($A436="","",IF(F436="-","Cabang tdk ada",IF(IFERROR(VLOOKUP(G436,#REF!,1,0),"")="","",IF(INDEX(DATA!$AH$2:$AH$5,MATCH(G436,DATA!$AI$2:$AI$5,0))&lt;&gt;F436,"Wilayah beda","OK"))))</f>
        <v/>
      </c>
      <c r="V436" s="8" t="str">
        <f>IF($A436="","",TRIM(INDEX(FORM!$I:$I,ROW())&amp;""))</f>
        <v/>
      </c>
      <c r="W436" s="8" t="str">
        <f>IF($A436="","",TRIM(INDEX(FORM!$L:$L,ROW())&amp;""))</f>
        <v/>
      </c>
      <c r="X436" s="8" t="str">
        <f>IF($A436="","",TRIM(INDEX(FORM!$M:$M,ROW())&amp;""))</f>
        <v/>
      </c>
      <c r="Y436" s="8" t="str">
        <f>IF($A436="","",IFERROR(MATCH(F436,DATA!$AH$2:$AH$5,0),9)*10000+A436)</f>
        <v/>
      </c>
      <c r="Z436" s="8" t="str">
        <f t="shared" si="133"/>
        <v/>
      </c>
      <c r="AA436" s="8" t="str">
        <f t="shared" si="134"/>
        <v/>
      </c>
      <c r="AB436" s="8" t="str">
        <f t="shared" si="135"/>
        <v/>
      </c>
      <c r="AC436" s="8"/>
      <c r="AD436" s="8"/>
      <c r="AE436" s="8"/>
      <c r="AK436" s="5" t="str">
        <f t="shared" si="136"/>
        <v/>
      </c>
      <c r="AL436" s="5" t="str">
        <f t="shared" si="137"/>
        <v/>
      </c>
      <c r="AM436" s="5" t="str">
        <f t="shared" si="138"/>
        <v/>
      </c>
      <c r="AN436" s="5" t="str">
        <f t="shared" si="139"/>
        <v/>
      </c>
      <c r="AO436" s="5" t="str">
        <f t="shared" si="140"/>
        <v/>
      </c>
      <c r="AP436" s="5" t="str">
        <f t="shared" si="141"/>
        <v/>
      </c>
      <c r="AQ436" s="5" t="str">
        <f t="shared" si="142"/>
        <v/>
      </c>
      <c r="AR436" s="5" t="str">
        <f t="shared" si="143"/>
        <v/>
      </c>
      <c r="AS436" s="5" t="str">
        <f t="shared" si="144"/>
        <v/>
      </c>
      <c r="AT436" s="5" t="str">
        <f t="shared" si="145"/>
        <v/>
      </c>
      <c r="AU436" s="5" t="str">
        <f t="shared" si="146"/>
        <v/>
      </c>
      <c r="AV436" s="5" t="str">
        <f t="shared" si="147"/>
        <v/>
      </c>
      <c r="AW436" s="5" t="str">
        <f t="shared" si="148"/>
        <v/>
      </c>
      <c r="AX436" s="5" t="str">
        <f t="shared" si="149"/>
        <v/>
      </c>
      <c r="AY436" s="5" t="str">
        <f t="shared" si="150"/>
        <v/>
      </c>
      <c r="AZ436" s="5" t="str">
        <f t="shared" si="151"/>
        <v/>
      </c>
      <c r="BA436" s="5" t="str">
        <f t="shared" si="152"/>
        <v/>
      </c>
      <c r="BB436" s="5" t="str">
        <f t="shared" si="153"/>
        <v/>
      </c>
    </row>
    <row r="437" spans="1:54" s="5" customFormat="1" hidden="1">
      <c r="A437" s="8" t="str">
        <f>IF(INDEX(FORM!$A:$A,ROW())="","",ROW()-1)</f>
        <v/>
      </c>
      <c r="B437" s="41" t="str">
        <f>IF($A437="","",INDEX(FORM!$A:$A,ROW()))</f>
        <v/>
      </c>
      <c r="C437" s="8" t="str">
        <f>IF($A437="","",TRIM(INDEX(FORM!$B:$B,ROW())))</f>
        <v/>
      </c>
      <c r="D437" s="8" t="str">
        <f>IF($A437="","",TRIM(INDEX(FORM!$C:$C,ROW())&amp;""))</f>
        <v/>
      </c>
      <c r="E437" s="8" t="str">
        <f>IF($A437="","",UPPER(TRIM(INDEX(FORM!$D:$D,ROW()))))</f>
        <v/>
      </c>
      <c r="F437" s="8" t="str">
        <f>IF($A437="","",IFERROR(INDEX(PROGRES!$A$2:$A$92,MATCH(E437,PROGRES!$B$2:$B$92,0)),"-"))</f>
        <v/>
      </c>
      <c r="G437" s="8" t="str">
        <f>IF($A437="","",UPPER(TRIM(INDEX(FORM!$F:$F,ROW()))))</f>
        <v/>
      </c>
      <c r="H437" s="8" t="str">
        <f>IF($A437="","",UPPER(TRIM(INDEX(FORM!$E:$E,ROW()))))</f>
        <v/>
      </c>
      <c r="I437" s="8" t="str">
        <f>IF($A437="","",UPPER(TRIM(INDEX(FORM!$G:$G,ROW()))))</f>
        <v/>
      </c>
      <c r="J437" s="8" t="str">
        <f>IF($A437="","",IF(ISNUMBER(SEARCH("Ya,",INDEX(FORM!$H:$H,ROW()))),"YA",IF(ISNUMBER(SEARCH("Cukup,",INDEX(FORM!$H:$H,ROW()))),"CUKUP",IF(ISNUMBER(SEARCH("Kurang,",INDEX(FORM!$H:$H,ROW()))),"KURANG",""))))</f>
        <v/>
      </c>
      <c r="K437" s="8" t="str">
        <f>IF($A437="","",UPPER(TRIM(INDEX(FORM!$J:$J,ROW()))))</f>
        <v/>
      </c>
      <c r="L437" s="8" t="str">
        <f>IF($A437="","",IF(ISNUMBER(SEARCH("Aktivitas Harian",INDEX(FORM!$K:$K,ROW()))),1,0))</f>
        <v/>
      </c>
      <c r="M437" s="8" t="str">
        <f>IF($A437="","",IF(ISNUMBER(SEARCH("Aktivitas Mingguan",INDEX(FORM!$K:$K,ROW()))),1,0))</f>
        <v/>
      </c>
      <c r="N437" s="8" t="str">
        <f>IF($A437="","",IF(ISNUMBER(SEARCH("Aktivitas Bulanan",INDEX(FORM!$K:$K,ROW()))),1,0))</f>
        <v/>
      </c>
      <c r="O437" s="8" t="str">
        <f>IF($A437="","",IF(ISNUMBER(SEARCH("Overview Cabang",INDEX(FORM!$K:$K,ROW()))),1,0))</f>
        <v/>
      </c>
      <c r="P437" s="8" t="str">
        <f>IF($A437="","",IFERROR(VLOOKUP(I437,DATA!$AH$9:$AI$13,2,0),""))</f>
        <v/>
      </c>
      <c r="Q437" s="8" t="str">
        <f>IF($A437="","",IFERROR(VLOOKUP(J437,DATA!$AH$9:$AI$13,2,0),""))</f>
        <v/>
      </c>
      <c r="R437" s="8" t="str">
        <f>IF($A437="","",IFERROR(VLOOKUP(K437,DATA!$AH$9:$AI$13,2,0),""))</f>
        <v/>
      </c>
      <c r="S437" s="42" t="str">
        <f t="shared" si="132"/>
        <v/>
      </c>
      <c r="T437" s="8" t="str">
        <f>IF($A437="","",IF(COUNTIF($D$2:D437,D437)=1,1,0))</f>
        <v/>
      </c>
      <c r="U437" s="8" t="str">
        <f>IF($A437="","",IF(F437="-","Cabang tdk ada",IF(IFERROR(VLOOKUP(G437,#REF!,1,0),"")="","",IF(INDEX(DATA!$AH$2:$AH$5,MATCH(G437,DATA!$AI$2:$AI$5,0))&lt;&gt;F437,"Wilayah beda","OK"))))</f>
        <v/>
      </c>
      <c r="V437" s="8" t="str">
        <f>IF($A437="","",TRIM(INDEX(FORM!$I:$I,ROW())&amp;""))</f>
        <v/>
      </c>
      <c r="W437" s="8" t="str">
        <f>IF($A437="","",TRIM(INDEX(FORM!$L:$L,ROW())&amp;""))</f>
        <v/>
      </c>
      <c r="X437" s="8" t="str">
        <f>IF($A437="","",TRIM(INDEX(FORM!$M:$M,ROW())&amp;""))</f>
        <v/>
      </c>
      <c r="Y437" s="8" t="str">
        <f>IF($A437="","",IFERROR(MATCH(F437,DATA!$AH$2:$AH$5,0),9)*10000+A437)</f>
        <v/>
      </c>
      <c r="Z437" s="8" t="str">
        <f t="shared" si="133"/>
        <v/>
      </c>
      <c r="AA437" s="8" t="str">
        <f t="shared" si="134"/>
        <v/>
      </c>
      <c r="AB437" s="8" t="str">
        <f t="shared" si="135"/>
        <v/>
      </c>
      <c r="AC437" s="8"/>
      <c r="AD437" s="8"/>
      <c r="AE437" s="8"/>
      <c r="AK437" s="5" t="str">
        <f t="shared" si="136"/>
        <v/>
      </c>
      <c r="AL437" s="5" t="str">
        <f t="shared" si="137"/>
        <v/>
      </c>
      <c r="AM437" s="5" t="str">
        <f t="shared" si="138"/>
        <v/>
      </c>
      <c r="AN437" s="5" t="str">
        <f t="shared" si="139"/>
        <v/>
      </c>
      <c r="AO437" s="5" t="str">
        <f t="shared" si="140"/>
        <v/>
      </c>
      <c r="AP437" s="5" t="str">
        <f t="shared" si="141"/>
        <v/>
      </c>
      <c r="AQ437" s="5" t="str">
        <f t="shared" si="142"/>
        <v/>
      </c>
      <c r="AR437" s="5" t="str">
        <f t="shared" si="143"/>
        <v/>
      </c>
      <c r="AS437" s="5" t="str">
        <f t="shared" si="144"/>
        <v/>
      </c>
      <c r="AT437" s="5" t="str">
        <f t="shared" si="145"/>
        <v/>
      </c>
      <c r="AU437" s="5" t="str">
        <f t="shared" si="146"/>
        <v/>
      </c>
      <c r="AV437" s="5" t="str">
        <f t="shared" si="147"/>
        <v/>
      </c>
      <c r="AW437" s="5" t="str">
        <f t="shared" si="148"/>
        <v/>
      </c>
      <c r="AX437" s="5" t="str">
        <f t="shared" si="149"/>
        <v/>
      </c>
      <c r="AY437" s="5" t="str">
        <f t="shared" si="150"/>
        <v/>
      </c>
      <c r="AZ437" s="5" t="str">
        <f t="shared" si="151"/>
        <v/>
      </c>
      <c r="BA437" s="5" t="str">
        <f t="shared" si="152"/>
        <v/>
      </c>
      <c r="BB437" s="5" t="str">
        <f t="shared" si="153"/>
        <v/>
      </c>
    </row>
    <row r="438" spans="1:54" s="5" customFormat="1" hidden="1">
      <c r="A438" s="8" t="str">
        <f>IF(INDEX(FORM!$A:$A,ROW())="","",ROW()-1)</f>
        <v/>
      </c>
      <c r="B438" s="41" t="str">
        <f>IF($A438="","",INDEX(FORM!$A:$A,ROW()))</f>
        <v/>
      </c>
      <c r="C438" s="8" t="str">
        <f>IF($A438="","",TRIM(INDEX(FORM!$B:$B,ROW())))</f>
        <v/>
      </c>
      <c r="D438" s="8" t="str">
        <f>IF($A438="","",TRIM(INDEX(FORM!$C:$C,ROW())&amp;""))</f>
        <v/>
      </c>
      <c r="E438" s="8" t="str">
        <f>IF($A438="","",UPPER(TRIM(INDEX(FORM!$D:$D,ROW()))))</f>
        <v/>
      </c>
      <c r="F438" s="8" t="str">
        <f>IF($A438="","",IFERROR(INDEX(PROGRES!$A$2:$A$92,MATCH(E438,PROGRES!$B$2:$B$92,0)),"-"))</f>
        <v/>
      </c>
      <c r="G438" s="8" t="str">
        <f>IF($A438="","",UPPER(TRIM(INDEX(FORM!$F:$F,ROW()))))</f>
        <v/>
      </c>
      <c r="H438" s="8" t="str">
        <f>IF($A438="","",UPPER(TRIM(INDEX(FORM!$E:$E,ROW()))))</f>
        <v/>
      </c>
      <c r="I438" s="8" t="str">
        <f>IF($A438="","",UPPER(TRIM(INDEX(FORM!$G:$G,ROW()))))</f>
        <v/>
      </c>
      <c r="J438" s="8" t="str">
        <f>IF($A438="","",IF(ISNUMBER(SEARCH("Ya,",INDEX(FORM!$H:$H,ROW()))),"YA",IF(ISNUMBER(SEARCH("Cukup,",INDEX(FORM!$H:$H,ROW()))),"CUKUP",IF(ISNUMBER(SEARCH("Kurang,",INDEX(FORM!$H:$H,ROW()))),"KURANG",""))))</f>
        <v/>
      </c>
      <c r="K438" s="8" t="str">
        <f>IF($A438="","",UPPER(TRIM(INDEX(FORM!$J:$J,ROW()))))</f>
        <v/>
      </c>
      <c r="L438" s="8" t="str">
        <f>IF($A438="","",IF(ISNUMBER(SEARCH("Aktivitas Harian",INDEX(FORM!$K:$K,ROW()))),1,0))</f>
        <v/>
      </c>
      <c r="M438" s="8" t="str">
        <f>IF($A438="","",IF(ISNUMBER(SEARCH("Aktivitas Mingguan",INDEX(FORM!$K:$K,ROW()))),1,0))</f>
        <v/>
      </c>
      <c r="N438" s="8" t="str">
        <f>IF($A438="","",IF(ISNUMBER(SEARCH("Aktivitas Bulanan",INDEX(FORM!$K:$K,ROW()))),1,0))</f>
        <v/>
      </c>
      <c r="O438" s="8" t="str">
        <f>IF($A438="","",IF(ISNUMBER(SEARCH("Overview Cabang",INDEX(FORM!$K:$K,ROW()))),1,0))</f>
        <v/>
      </c>
      <c r="P438" s="8" t="str">
        <f>IF($A438="","",IFERROR(VLOOKUP(I438,DATA!$AH$9:$AI$13,2,0),""))</f>
        <v/>
      </c>
      <c r="Q438" s="8" t="str">
        <f>IF($A438="","",IFERROR(VLOOKUP(J438,DATA!$AH$9:$AI$13,2,0),""))</f>
        <v/>
      </c>
      <c r="R438" s="8" t="str">
        <f>IF($A438="","",IFERROR(VLOOKUP(K438,DATA!$AH$9:$AI$13,2,0),""))</f>
        <v/>
      </c>
      <c r="S438" s="42" t="str">
        <f t="shared" si="132"/>
        <v/>
      </c>
      <c r="T438" s="8" t="str">
        <f>IF($A438="","",IF(COUNTIF($D$2:D438,D438)=1,1,0))</f>
        <v/>
      </c>
      <c r="U438" s="8" t="str">
        <f>IF($A438="","",IF(F438="-","Cabang tdk ada",IF(IFERROR(VLOOKUP(G438,#REF!,1,0),"")="","",IF(INDEX(DATA!$AH$2:$AH$5,MATCH(G438,DATA!$AI$2:$AI$5,0))&lt;&gt;F438,"Wilayah beda","OK"))))</f>
        <v/>
      </c>
      <c r="V438" s="8" t="str">
        <f>IF($A438="","",TRIM(INDEX(FORM!$I:$I,ROW())&amp;""))</f>
        <v/>
      </c>
      <c r="W438" s="8" t="str">
        <f>IF($A438="","",TRIM(INDEX(FORM!$L:$L,ROW())&amp;""))</f>
        <v/>
      </c>
      <c r="X438" s="8" t="str">
        <f>IF($A438="","",TRIM(INDEX(FORM!$M:$M,ROW())&amp;""))</f>
        <v/>
      </c>
      <c r="Y438" s="8" t="str">
        <f>IF($A438="","",IFERROR(MATCH(F438,DATA!$AH$2:$AH$5,0),9)*10000+A438)</f>
        <v/>
      </c>
      <c r="Z438" s="8" t="str">
        <f t="shared" si="133"/>
        <v/>
      </c>
      <c r="AA438" s="8" t="str">
        <f t="shared" si="134"/>
        <v/>
      </c>
      <c r="AB438" s="8" t="str">
        <f t="shared" si="135"/>
        <v/>
      </c>
      <c r="AC438" s="8"/>
      <c r="AD438" s="8"/>
      <c r="AE438" s="8"/>
      <c r="AK438" s="5" t="str">
        <f t="shared" si="136"/>
        <v/>
      </c>
      <c r="AL438" s="5" t="str">
        <f t="shared" si="137"/>
        <v/>
      </c>
      <c r="AM438" s="5" t="str">
        <f t="shared" si="138"/>
        <v/>
      </c>
      <c r="AN438" s="5" t="str">
        <f t="shared" si="139"/>
        <v/>
      </c>
      <c r="AO438" s="5" t="str">
        <f t="shared" si="140"/>
        <v/>
      </c>
      <c r="AP438" s="5" t="str">
        <f t="shared" si="141"/>
        <v/>
      </c>
      <c r="AQ438" s="5" t="str">
        <f t="shared" si="142"/>
        <v/>
      </c>
      <c r="AR438" s="5" t="str">
        <f t="shared" si="143"/>
        <v/>
      </c>
      <c r="AS438" s="5" t="str">
        <f t="shared" si="144"/>
        <v/>
      </c>
      <c r="AT438" s="5" t="str">
        <f t="shared" si="145"/>
        <v/>
      </c>
      <c r="AU438" s="5" t="str">
        <f t="shared" si="146"/>
        <v/>
      </c>
      <c r="AV438" s="5" t="str">
        <f t="shared" si="147"/>
        <v/>
      </c>
      <c r="AW438" s="5" t="str">
        <f t="shared" si="148"/>
        <v/>
      </c>
      <c r="AX438" s="5" t="str">
        <f t="shared" si="149"/>
        <v/>
      </c>
      <c r="AY438" s="5" t="str">
        <f t="shared" si="150"/>
        <v/>
      </c>
      <c r="AZ438" s="5" t="str">
        <f t="shared" si="151"/>
        <v/>
      </c>
      <c r="BA438" s="5" t="str">
        <f t="shared" si="152"/>
        <v/>
      </c>
      <c r="BB438" s="5" t="str">
        <f t="shared" si="153"/>
        <v/>
      </c>
    </row>
    <row r="439" spans="1:54" s="5" customFormat="1" hidden="1">
      <c r="A439" s="8" t="str">
        <f>IF(INDEX(FORM!$A:$A,ROW())="","",ROW()-1)</f>
        <v/>
      </c>
      <c r="B439" s="41" t="str">
        <f>IF($A439="","",INDEX(FORM!$A:$A,ROW()))</f>
        <v/>
      </c>
      <c r="C439" s="8" t="str">
        <f>IF($A439="","",TRIM(INDEX(FORM!$B:$B,ROW())))</f>
        <v/>
      </c>
      <c r="D439" s="8" t="str">
        <f>IF($A439="","",TRIM(INDEX(FORM!$C:$C,ROW())&amp;""))</f>
        <v/>
      </c>
      <c r="E439" s="8" t="str">
        <f>IF($A439="","",UPPER(TRIM(INDEX(FORM!$D:$D,ROW()))))</f>
        <v/>
      </c>
      <c r="F439" s="8" t="str">
        <f>IF($A439="","",IFERROR(INDEX(PROGRES!$A$2:$A$92,MATCH(E439,PROGRES!$B$2:$B$92,0)),"-"))</f>
        <v/>
      </c>
      <c r="G439" s="8" t="str">
        <f>IF($A439="","",UPPER(TRIM(INDEX(FORM!$F:$F,ROW()))))</f>
        <v/>
      </c>
      <c r="H439" s="8" t="str">
        <f>IF($A439="","",UPPER(TRIM(INDEX(FORM!$E:$E,ROW()))))</f>
        <v/>
      </c>
      <c r="I439" s="8" t="str">
        <f>IF($A439="","",UPPER(TRIM(INDEX(FORM!$G:$G,ROW()))))</f>
        <v/>
      </c>
      <c r="J439" s="8" t="str">
        <f>IF($A439="","",IF(ISNUMBER(SEARCH("Ya,",INDEX(FORM!$H:$H,ROW()))),"YA",IF(ISNUMBER(SEARCH("Cukup,",INDEX(FORM!$H:$H,ROW()))),"CUKUP",IF(ISNUMBER(SEARCH("Kurang,",INDEX(FORM!$H:$H,ROW()))),"KURANG",""))))</f>
        <v/>
      </c>
      <c r="K439" s="8" t="str">
        <f>IF($A439="","",UPPER(TRIM(INDEX(FORM!$J:$J,ROW()))))</f>
        <v/>
      </c>
      <c r="L439" s="8" t="str">
        <f>IF($A439="","",IF(ISNUMBER(SEARCH("Aktivitas Harian",INDEX(FORM!$K:$K,ROW()))),1,0))</f>
        <v/>
      </c>
      <c r="M439" s="8" t="str">
        <f>IF($A439="","",IF(ISNUMBER(SEARCH("Aktivitas Mingguan",INDEX(FORM!$K:$K,ROW()))),1,0))</f>
        <v/>
      </c>
      <c r="N439" s="8" t="str">
        <f>IF($A439="","",IF(ISNUMBER(SEARCH("Aktivitas Bulanan",INDEX(FORM!$K:$K,ROW()))),1,0))</f>
        <v/>
      </c>
      <c r="O439" s="8" t="str">
        <f>IF($A439="","",IF(ISNUMBER(SEARCH("Overview Cabang",INDEX(FORM!$K:$K,ROW()))),1,0))</f>
        <v/>
      </c>
      <c r="P439" s="8" t="str">
        <f>IF($A439="","",IFERROR(VLOOKUP(I439,DATA!$AH$9:$AI$13,2,0),""))</f>
        <v/>
      </c>
      <c r="Q439" s="8" t="str">
        <f>IF($A439="","",IFERROR(VLOOKUP(J439,DATA!$AH$9:$AI$13,2,0),""))</f>
        <v/>
      </c>
      <c r="R439" s="8" t="str">
        <f>IF($A439="","",IFERROR(VLOOKUP(K439,DATA!$AH$9:$AI$13,2,0),""))</f>
        <v/>
      </c>
      <c r="S439" s="42" t="str">
        <f t="shared" si="132"/>
        <v/>
      </c>
      <c r="T439" s="8" t="str">
        <f>IF($A439="","",IF(COUNTIF($D$2:D439,D439)=1,1,0))</f>
        <v/>
      </c>
      <c r="U439" s="8" t="str">
        <f>IF($A439="","",IF(F439="-","Cabang tdk ada",IF(IFERROR(VLOOKUP(G439,#REF!,1,0),"")="","",IF(INDEX(DATA!$AH$2:$AH$5,MATCH(G439,DATA!$AI$2:$AI$5,0))&lt;&gt;F439,"Wilayah beda","OK"))))</f>
        <v/>
      </c>
      <c r="V439" s="8" t="str">
        <f>IF($A439="","",TRIM(INDEX(FORM!$I:$I,ROW())&amp;""))</f>
        <v/>
      </c>
      <c r="W439" s="8" t="str">
        <f>IF($A439="","",TRIM(INDEX(FORM!$L:$L,ROW())&amp;""))</f>
        <v/>
      </c>
      <c r="X439" s="8" t="str">
        <f>IF($A439="","",TRIM(INDEX(FORM!$M:$M,ROW())&amp;""))</f>
        <v/>
      </c>
      <c r="Y439" s="8" t="str">
        <f>IF($A439="","",IFERROR(MATCH(F439,DATA!$AH$2:$AH$5,0),9)*10000+A439)</f>
        <v/>
      </c>
      <c r="Z439" s="8" t="str">
        <f t="shared" si="133"/>
        <v/>
      </c>
      <c r="AA439" s="8" t="str">
        <f t="shared" si="134"/>
        <v/>
      </c>
      <c r="AB439" s="8" t="str">
        <f t="shared" si="135"/>
        <v/>
      </c>
      <c r="AC439" s="8"/>
      <c r="AD439" s="8"/>
      <c r="AE439" s="8"/>
      <c r="AK439" s="5" t="str">
        <f t="shared" si="136"/>
        <v/>
      </c>
      <c r="AL439" s="5" t="str">
        <f t="shared" si="137"/>
        <v/>
      </c>
      <c r="AM439" s="5" t="str">
        <f t="shared" si="138"/>
        <v/>
      </c>
      <c r="AN439" s="5" t="str">
        <f t="shared" si="139"/>
        <v/>
      </c>
      <c r="AO439" s="5" t="str">
        <f t="shared" si="140"/>
        <v/>
      </c>
      <c r="AP439" s="5" t="str">
        <f t="shared" si="141"/>
        <v/>
      </c>
      <c r="AQ439" s="5" t="str">
        <f t="shared" si="142"/>
        <v/>
      </c>
      <c r="AR439" s="5" t="str">
        <f t="shared" si="143"/>
        <v/>
      </c>
      <c r="AS439" s="5" t="str">
        <f t="shared" si="144"/>
        <v/>
      </c>
      <c r="AT439" s="5" t="str">
        <f t="shared" si="145"/>
        <v/>
      </c>
      <c r="AU439" s="5" t="str">
        <f t="shared" si="146"/>
        <v/>
      </c>
      <c r="AV439" s="5" t="str">
        <f t="shared" si="147"/>
        <v/>
      </c>
      <c r="AW439" s="5" t="str">
        <f t="shared" si="148"/>
        <v/>
      </c>
      <c r="AX439" s="5" t="str">
        <f t="shared" si="149"/>
        <v/>
      </c>
      <c r="AY439" s="5" t="str">
        <f t="shared" si="150"/>
        <v/>
      </c>
      <c r="AZ439" s="5" t="str">
        <f t="shared" si="151"/>
        <v/>
      </c>
      <c r="BA439" s="5" t="str">
        <f t="shared" si="152"/>
        <v/>
      </c>
      <c r="BB439" s="5" t="str">
        <f t="shared" si="153"/>
        <v/>
      </c>
    </row>
    <row r="440" spans="1:54" s="5" customFormat="1" hidden="1">
      <c r="A440" s="8" t="str">
        <f>IF(INDEX(FORM!$A:$A,ROW())="","",ROW()-1)</f>
        <v/>
      </c>
      <c r="B440" s="41" t="str">
        <f>IF($A440="","",INDEX(FORM!$A:$A,ROW()))</f>
        <v/>
      </c>
      <c r="C440" s="8" t="str">
        <f>IF($A440="","",TRIM(INDEX(FORM!$B:$B,ROW())))</f>
        <v/>
      </c>
      <c r="D440" s="8" t="str">
        <f>IF($A440="","",TRIM(INDEX(FORM!$C:$C,ROW())&amp;""))</f>
        <v/>
      </c>
      <c r="E440" s="8" t="str">
        <f>IF($A440="","",UPPER(TRIM(INDEX(FORM!$D:$D,ROW()))))</f>
        <v/>
      </c>
      <c r="F440" s="8" t="str">
        <f>IF($A440="","",IFERROR(INDEX(PROGRES!$A$2:$A$92,MATCH(E440,PROGRES!$B$2:$B$92,0)),"-"))</f>
        <v/>
      </c>
      <c r="G440" s="8" t="str">
        <f>IF($A440="","",UPPER(TRIM(INDEX(FORM!$F:$F,ROW()))))</f>
        <v/>
      </c>
      <c r="H440" s="8" t="str">
        <f>IF($A440="","",UPPER(TRIM(INDEX(FORM!$E:$E,ROW()))))</f>
        <v/>
      </c>
      <c r="I440" s="8" t="str">
        <f>IF($A440="","",UPPER(TRIM(INDEX(FORM!$G:$G,ROW()))))</f>
        <v/>
      </c>
      <c r="J440" s="8" t="str">
        <f>IF($A440="","",IF(ISNUMBER(SEARCH("Ya,",INDEX(FORM!$H:$H,ROW()))),"YA",IF(ISNUMBER(SEARCH("Cukup,",INDEX(FORM!$H:$H,ROW()))),"CUKUP",IF(ISNUMBER(SEARCH("Kurang,",INDEX(FORM!$H:$H,ROW()))),"KURANG",""))))</f>
        <v/>
      </c>
      <c r="K440" s="8" t="str">
        <f>IF($A440="","",UPPER(TRIM(INDEX(FORM!$J:$J,ROW()))))</f>
        <v/>
      </c>
      <c r="L440" s="8" t="str">
        <f>IF($A440="","",IF(ISNUMBER(SEARCH("Aktivitas Harian",INDEX(FORM!$K:$K,ROW()))),1,0))</f>
        <v/>
      </c>
      <c r="M440" s="8" t="str">
        <f>IF($A440="","",IF(ISNUMBER(SEARCH("Aktivitas Mingguan",INDEX(FORM!$K:$K,ROW()))),1,0))</f>
        <v/>
      </c>
      <c r="N440" s="8" t="str">
        <f>IF($A440="","",IF(ISNUMBER(SEARCH("Aktivitas Bulanan",INDEX(FORM!$K:$K,ROW()))),1,0))</f>
        <v/>
      </c>
      <c r="O440" s="8" t="str">
        <f>IF($A440="","",IF(ISNUMBER(SEARCH("Overview Cabang",INDEX(FORM!$K:$K,ROW()))),1,0))</f>
        <v/>
      </c>
      <c r="P440" s="8" t="str">
        <f>IF($A440="","",IFERROR(VLOOKUP(I440,DATA!$AH$9:$AI$13,2,0),""))</f>
        <v/>
      </c>
      <c r="Q440" s="8" t="str">
        <f>IF($A440="","",IFERROR(VLOOKUP(J440,DATA!$AH$9:$AI$13,2,0),""))</f>
        <v/>
      </c>
      <c r="R440" s="8" t="str">
        <f>IF($A440="","",IFERROR(VLOOKUP(K440,DATA!$AH$9:$AI$13,2,0),""))</f>
        <v/>
      </c>
      <c r="S440" s="42" t="str">
        <f t="shared" si="132"/>
        <v/>
      </c>
      <c r="T440" s="8" t="str">
        <f>IF($A440="","",IF(COUNTIF($D$2:D440,D440)=1,1,0))</f>
        <v/>
      </c>
      <c r="U440" s="8" t="str">
        <f>IF($A440="","",IF(F440="-","Cabang tdk ada",IF(IFERROR(VLOOKUP(G440,#REF!,1,0),"")="","",IF(INDEX(DATA!$AH$2:$AH$5,MATCH(G440,DATA!$AI$2:$AI$5,0))&lt;&gt;F440,"Wilayah beda","OK"))))</f>
        <v/>
      </c>
      <c r="V440" s="8" t="str">
        <f>IF($A440="","",TRIM(INDEX(FORM!$I:$I,ROW())&amp;""))</f>
        <v/>
      </c>
      <c r="W440" s="8" t="str">
        <f>IF($A440="","",TRIM(INDEX(FORM!$L:$L,ROW())&amp;""))</f>
        <v/>
      </c>
      <c r="X440" s="8" t="str">
        <f>IF($A440="","",TRIM(INDEX(FORM!$M:$M,ROW())&amp;""))</f>
        <v/>
      </c>
      <c r="Y440" s="8" t="str">
        <f>IF($A440="","",IFERROR(MATCH(F440,DATA!$AH$2:$AH$5,0),9)*10000+A440)</f>
        <v/>
      </c>
      <c r="Z440" s="8" t="str">
        <f t="shared" si="133"/>
        <v/>
      </c>
      <c r="AA440" s="8" t="str">
        <f t="shared" si="134"/>
        <v/>
      </c>
      <c r="AB440" s="8" t="str">
        <f t="shared" si="135"/>
        <v/>
      </c>
      <c r="AC440" s="8"/>
      <c r="AD440" s="8"/>
      <c r="AE440" s="8"/>
      <c r="AK440" s="5" t="str">
        <f t="shared" si="136"/>
        <v/>
      </c>
      <c r="AL440" s="5" t="str">
        <f t="shared" si="137"/>
        <v/>
      </c>
      <c r="AM440" s="5" t="str">
        <f t="shared" si="138"/>
        <v/>
      </c>
      <c r="AN440" s="5" t="str">
        <f t="shared" si="139"/>
        <v/>
      </c>
      <c r="AO440" s="5" t="str">
        <f t="shared" si="140"/>
        <v/>
      </c>
      <c r="AP440" s="5" t="str">
        <f t="shared" si="141"/>
        <v/>
      </c>
      <c r="AQ440" s="5" t="str">
        <f t="shared" si="142"/>
        <v/>
      </c>
      <c r="AR440" s="5" t="str">
        <f t="shared" si="143"/>
        <v/>
      </c>
      <c r="AS440" s="5" t="str">
        <f t="shared" si="144"/>
        <v/>
      </c>
      <c r="AT440" s="5" t="str">
        <f t="shared" si="145"/>
        <v/>
      </c>
      <c r="AU440" s="5" t="str">
        <f t="shared" si="146"/>
        <v/>
      </c>
      <c r="AV440" s="5" t="str">
        <f t="shared" si="147"/>
        <v/>
      </c>
      <c r="AW440" s="5" t="str">
        <f t="shared" si="148"/>
        <v/>
      </c>
      <c r="AX440" s="5" t="str">
        <f t="shared" si="149"/>
        <v/>
      </c>
      <c r="AY440" s="5" t="str">
        <f t="shared" si="150"/>
        <v/>
      </c>
      <c r="AZ440" s="5" t="str">
        <f t="shared" si="151"/>
        <v/>
      </c>
      <c r="BA440" s="5" t="str">
        <f t="shared" si="152"/>
        <v/>
      </c>
      <c r="BB440" s="5" t="str">
        <f t="shared" si="153"/>
        <v/>
      </c>
    </row>
    <row r="441" spans="1:54" s="5" customFormat="1" hidden="1">
      <c r="A441" s="8" t="str">
        <f>IF(INDEX(FORM!$A:$A,ROW())="","",ROW()-1)</f>
        <v/>
      </c>
      <c r="B441" s="41" t="str">
        <f>IF($A441="","",INDEX(FORM!$A:$A,ROW()))</f>
        <v/>
      </c>
      <c r="C441" s="8" t="str">
        <f>IF($A441="","",TRIM(INDEX(FORM!$B:$B,ROW())))</f>
        <v/>
      </c>
      <c r="D441" s="8" t="str">
        <f>IF($A441="","",TRIM(INDEX(FORM!$C:$C,ROW())&amp;""))</f>
        <v/>
      </c>
      <c r="E441" s="8" t="str">
        <f>IF($A441="","",UPPER(TRIM(INDEX(FORM!$D:$D,ROW()))))</f>
        <v/>
      </c>
      <c r="F441" s="8" t="str">
        <f>IF($A441="","",IFERROR(INDEX(PROGRES!$A$2:$A$92,MATCH(E441,PROGRES!$B$2:$B$92,0)),"-"))</f>
        <v/>
      </c>
      <c r="G441" s="8" t="str">
        <f>IF($A441="","",UPPER(TRIM(INDEX(FORM!$F:$F,ROW()))))</f>
        <v/>
      </c>
      <c r="H441" s="8" t="str">
        <f>IF($A441="","",UPPER(TRIM(INDEX(FORM!$E:$E,ROW()))))</f>
        <v/>
      </c>
      <c r="I441" s="8" t="str">
        <f>IF($A441="","",UPPER(TRIM(INDEX(FORM!$G:$G,ROW()))))</f>
        <v/>
      </c>
      <c r="J441" s="8" t="str">
        <f>IF($A441="","",IF(ISNUMBER(SEARCH("Ya,",INDEX(FORM!$H:$H,ROW()))),"YA",IF(ISNUMBER(SEARCH("Cukup,",INDEX(FORM!$H:$H,ROW()))),"CUKUP",IF(ISNUMBER(SEARCH("Kurang,",INDEX(FORM!$H:$H,ROW()))),"KURANG",""))))</f>
        <v/>
      </c>
      <c r="K441" s="8" t="str">
        <f>IF($A441="","",UPPER(TRIM(INDEX(FORM!$J:$J,ROW()))))</f>
        <v/>
      </c>
      <c r="L441" s="8" t="str">
        <f>IF($A441="","",IF(ISNUMBER(SEARCH("Aktivitas Harian",INDEX(FORM!$K:$K,ROW()))),1,0))</f>
        <v/>
      </c>
      <c r="M441" s="8" t="str">
        <f>IF($A441="","",IF(ISNUMBER(SEARCH("Aktivitas Mingguan",INDEX(FORM!$K:$K,ROW()))),1,0))</f>
        <v/>
      </c>
      <c r="N441" s="8" t="str">
        <f>IF($A441="","",IF(ISNUMBER(SEARCH("Aktivitas Bulanan",INDEX(FORM!$K:$K,ROW()))),1,0))</f>
        <v/>
      </c>
      <c r="O441" s="8" t="str">
        <f>IF($A441="","",IF(ISNUMBER(SEARCH("Overview Cabang",INDEX(FORM!$K:$K,ROW()))),1,0))</f>
        <v/>
      </c>
      <c r="P441" s="8" t="str">
        <f>IF($A441="","",IFERROR(VLOOKUP(I441,DATA!$AH$9:$AI$13,2,0),""))</f>
        <v/>
      </c>
      <c r="Q441" s="8" t="str">
        <f>IF($A441="","",IFERROR(VLOOKUP(J441,DATA!$AH$9:$AI$13,2,0),""))</f>
        <v/>
      </c>
      <c r="R441" s="8" t="str">
        <f>IF($A441="","",IFERROR(VLOOKUP(K441,DATA!$AH$9:$AI$13,2,0),""))</f>
        <v/>
      </c>
      <c r="S441" s="42" t="str">
        <f t="shared" si="132"/>
        <v/>
      </c>
      <c r="T441" s="8" t="str">
        <f>IF($A441="","",IF(COUNTIF($D$2:D441,D441)=1,1,0))</f>
        <v/>
      </c>
      <c r="U441" s="8" t="str">
        <f>IF($A441="","",IF(F441="-","Cabang tdk ada",IF(IFERROR(VLOOKUP(G441,#REF!,1,0),"")="","",IF(INDEX(DATA!$AH$2:$AH$5,MATCH(G441,DATA!$AI$2:$AI$5,0))&lt;&gt;F441,"Wilayah beda","OK"))))</f>
        <v/>
      </c>
      <c r="V441" s="8" t="str">
        <f>IF($A441="","",TRIM(INDEX(FORM!$I:$I,ROW())&amp;""))</f>
        <v/>
      </c>
      <c r="W441" s="8" t="str">
        <f>IF($A441="","",TRIM(INDEX(FORM!$L:$L,ROW())&amp;""))</f>
        <v/>
      </c>
      <c r="X441" s="8" t="str">
        <f>IF($A441="","",TRIM(INDEX(FORM!$M:$M,ROW())&amp;""))</f>
        <v/>
      </c>
      <c r="Y441" s="8" t="str">
        <f>IF($A441="","",IFERROR(MATCH(F441,DATA!$AH$2:$AH$5,0),9)*10000+A441)</f>
        <v/>
      </c>
      <c r="Z441" s="8" t="str">
        <f t="shared" si="133"/>
        <v/>
      </c>
      <c r="AA441" s="8" t="str">
        <f t="shared" si="134"/>
        <v/>
      </c>
      <c r="AB441" s="8" t="str">
        <f t="shared" si="135"/>
        <v/>
      </c>
      <c r="AC441" s="8"/>
      <c r="AD441" s="8"/>
      <c r="AE441" s="8"/>
      <c r="AK441" s="5" t="str">
        <f t="shared" si="136"/>
        <v/>
      </c>
      <c r="AL441" s="5" t="str">
        <f t="shared" si="137"/>
        <v/>
      </c>
      <c r="AM441" s="5" t="str">
        <f t="shared" si="138"/>
        <v/>
      </c>
      <c r="AN441" s="5" t="str">
        <f t="shared" si="139"/>
        <v/>
      </c>
      <c r="AO441" s="5" t="str">
        <f t="shared" si="140"/>
        <v/>
      </c>
      <c r="AP441" s="5" t="str">
        <f t="shared" si="141"/>
        <v/>
      </c>
      <c r="AQ441" s="5" t="str">
        <f t="shared" si="142"/>
        <v/>
      </c>
      <c r="AR441" s="5" t="str">
        <f t="shared" si="143"/>
        <v/>
      </c>
      <c r="AS441" s="5" t="str">
        <f t="shared" si="144"/>
        <v/>
      </c>
      <c r="AT441" s="5" t="str">
        <f t="shared" si="145"/>
        <v/>
      </c>
      <c r="AU441" s="5" t="str">
        <f t="shared" si="146"/>
        <v/>
      </c>
      <c r="AV441" s="5" t="str">
        <f t="shared" si="147"/>
        <v/>
      </c>
      <c r="AW441" s="5" t="str">
        <f t="shared" si="148"/>
        <v/>
      </c>
      <c r="AX441" s="5" t="str">
        <f t="shared" si="149"/>
        <v/>
      </c>
      <c r="AY441" s="5" t="str">
        <f t="shared" si="150"/>
        <v/>
      </c>
      <c r="AZ441" s="5" t="str">
        <f t="shared" si="151"/>
        <v/>
      </c>
      <c r="BA441" s="5" t="str">
        <f t="shared" si="152"/>
        <v/>
      </c>
      <c r="BB441" s="5" t="str">
        <f t="shared" si="153"/>
        <v/>
      </c>
    </row>
    <row r="442" spans="1:54" s="5" customFormat="1" hidden="1">
      <c r="A442" s="8" t="str">
        <f>IF(INDEX(FORM!$A:$A,ROW())="","",ROW()-1)</f>
        <v/>
      </c>
      <c r="B442" s="41" t="str">
        <f>IF($A442="","",INDEX(FORM!$A:$A,ROW()))</f>
        <v/>
      </c>
      <c r="C442" s="8" t="str">
        <f>IF($A442="","",TRIM(INDEX(FORM!$B:$B,ROW())))</f>
        <v/>
      </c>
      <c r="D442" s="8" t="str">
        <f>IF($A442="","",TRIM(INDEX(FORM!$C:$C,ROW())&amp;""))</f>
        <v/>
      </c>
      <c r="E442" s="8" t="str">
        <f>IF($A442="","",UPPER(TRIM(INDEX(FORM!$D:$D,ROW()))))</f>
        <v/>
      </c>
      <c r="F442" s="8" t="str">
        <f>IF($A442="","",IFERROR(INDEX(PROGRES!$A$2:$A$92,MATCH(E442,PROGRES!$B$2:$B$92,0)),"-"))</f>
        <v/>
      </c>
      <c r="G442" s="8" t="str">
        <f>IF($A442="","",UPPER(TRIM(INDEX(FORM!$F:$F,ROW()))))</f>
        <v/>
      </c>
      <c r="H442" s="8" t="str">
        <f>IF($A442="","",UPPER(TRIM(INDEX(FORM!$E:$E,ROW()))))</f>
        <v/>
      </c>
      <c r="I442" s="8" t="str">
        <f>IF($A442="","",UPPER(TRIM(INDEX(FORM!$G:$G,ROW()))))</f>
        <v/>
      </c>
      <c r="J442" s="8" t="str">
        <f>IF($A442="","",IF(ISNUMBER(SEARCH("Ya,",INDEX(FORM!$H:$H,ROW()))),"YA",IF(ISNUMBER(SEARCH("Cukup,",INDEX(FORM!$H:$H,ROW()))),"CUKUP",IF(ISNUMBER(SEARCH("Kurang,",INDEX(FORM!$H:$H,ROW()))),"KURANG",""))))</f>
        <v/>
      </c>
      <c r="K442" s="8" t="str">
        <f>IF($A442="","",UPPER(TRIM(INDEX(FORM!$J:$J,ROW()))))</f>
        <v/>
      </c>
      <c r="L442" s="8" t="str">
        <f>IF($A442="","",IF(ISNUMBER(SEARCH("Aktivitas Harian",INDEX(FORM!$K:$K,ROW()))),1,0))</f>
        <v/>
      </c>
      <c r="M442" s="8" t="str">
        <f>IF($A442="","",IF(ISNUMBER(SEARCH("Aktivitas Mingguan",INDEX(FORM!$K:$K,ROW()))),1,0))</f>
        <v/>
      </c>
      <c r="N442" s="8" t="str">
        <f>IF($A442="","",IF(ISNUMBER(SEARCH("Aktivitas Bulanan",INDEX(FORM!$K:$K,ROW()))),1,0))</f>
        <v/>
      </c>
      <c r="O442" s="8" t="str">
        <f>IF($A442="","",IF(ISNUMBER(SEARCH("Overview Cabang",INDEX(FORM!$K:$K,ROW()))),1,0))</f>
        <v/>
      </c>
      <c r="P442" s="8" t="str">
        <f>IF($A442="","",IFERROR(VLOOKUP(I442,DATA!$AH$9:$AI$13,2,0),""))</f>
        <v/>
      </c>
      <c r="Q442" s="8" t="str">
        <f>IF($A442="","",IFERROR(VLOOKUP(J442,DATA!$AH$9:$AI$13,2,0),""))</f>
        <v/>
      </c>
      <c r="R442" s="8" t="str">
        <f>IF($A442="","",IFERROR(VLOOKUP(K442,DATA!$AH$9:$AI$13,2,0),""))</f>
        <v/>
      </c>
      <c r="S442" s="42" t="str">
        <f t="shared" si="132"/>
        <v/>
      </c>
      <c r="T442" s="8" t="str">
        <f>IF($A442="","",IF(COUNTIF($D$2:D442,D442)=1,1,0))</f>
        <v/>
      </c>
      <c r="U442" s="8" t="str">
        <f>IF($A442="","",IF(F442="-","Cabang tdk ada",IF(IFERROR(VLOOKUP(G442,#REF!,1,0),"")="","",IF(INDEX(DATA!$AH$2:$AH$5,MATCH(G442,DATA!$AI$2:$AI$5,0))&lt;&gt;F442,"Wilayah beda","OK"))))</f>
        <v/>
      </c>
      <c r="V442" s="8" t="str">
        <f>IF($A442="","",TRIM(INDEX(FORM!$I:$I,ROW())&amp;""))</f>
        <v/>
      </c>
      <c r="W442" s="8" t="str">
        <f>IF($A442="","",TRIM(INDEX(FORM!$L:$L,ROW())&amp;""))</f>
        <v/>
      </c>
      <c r="X442" s="8" t="str">
        <f>IF($A442="","",TRIM(INDEX(FORM!$M:$M,ROW())&amp;""))</f>
        <v/>
      </c>
      <c r="Y442" s="8" t="str">
        <f>IF($A442="","",IFERROR(MATCH(F442,DATA!$AH$2:$AH$5,0),9)*10000+A442)</f>
        <v/>
      </c>
      <c r="Z442" s="8" t="str">
        <f t="shared" si="133"/>
        <v/>
      </c>
      <c r="AA442" s="8" t="str">
        <f t="shared" si="134"/>
        <v/>
      </c>
      <c r="AB442" s="8" t="str">
        <f t="shared" si="135"/>
        <v/>
      </c>
      <c r="AC442" s="8"/>
      <c r="AD442" s="8"/>
      <c r="AE442" s="8"/>
      <c r="AK442" s="5" t="str">
        <f t="shared" si="136"/>
        <v/>
      </c>
      <c r="AL442" s="5" t="str">
        <f t="shared" si="137"/>
        <v/>
      </c>
      <c r="AM442" s="5" t="str">
        <f t="shared" si="138"/>
        <v/>
      </c>
      <c r="AN442" s="5" t="str">
        <f t="shared" si="139"/>
        <v/>
      </c>
      <c r="AO442" s="5" t="str">
        <f t="shared" si="140"/>
        <v/>
      </c>
      <c r="AP442" s="5" t="str">
        <f t="shared" si="141"/>
        <v/>
      </c>
      <c r="AQ442" s="5" t="str">
        <f t="shared" si="142"/>
        <v/>
      </c>
      <c r="AR442" s="5" t="str">
        <f t="shared" si="143"/>
        <v/>
      </c>
      <c r="AS442" s="5" t="str">
        <f t="shared" si="144"/>
        <v/>
      </c>
      <c r="AT442" s="5" t="str">
        <f t="shared" si="145"/>
        <v/>
      </c>
      <c r="AU442" s="5" t="str">
        <f t="shared" si="146"/>
        <v/>
      </c>
      <c r="AV442" s="5" t="str">
        <f t="shared" si="147"/>
        <v/>
      </c>
      <c r="AW442" s="5" t="str">
        <f t="shared" si="148"/>
        <v/>
      </c>
      <c r="AX442" s="5" t="str">
        <f t="shared" si="149"/>
        <v/>
      </c>
      <c r="AY442" s="5" t="str">
        <f t="shared" si="150"/>
        <v/>
      </c>
      <c r="AZ442" s="5" t="str">
        <f t="shared" si="151"/>
        <v/>
      </c>
      <c r="BA442" s="5" t="str">
        <f t="shared" si="152"/>
        <v/>
      </c>
      <c r="BB442" s="5" t="str">
        <f t="shared" si="153"/>
        <v/>
      </c>
    </row>
    <row r="443" spans="1:54" s="5" customFormat="1" hidden="1">
      <c r="A443" s="8" t="str">
        <f>IF(INDEX(FORM!$A:$A,ROW())="","",ROW()-1)</f>
        <v/>
      </c>
      <c r="B443" s="41" t="str">
        <f>IF($A443="","",INDEX(FORM!$A:$A,ROW()))</f>
        <v/>
      </c>
      <c r="C443" s="8" t="str">
        <f>IF($A443="","",TRIM(INDEX(FORM!$B:$B,ROW())))</f>
        <v/>
      </c>
      <c r="D443" s="8" t="str">
        <f>IF($A443="","",TRIM(INDEX(FORM!$C:$C,ROW())&amp;""))</f>
        <v/>
      </c>
      <c r="E443" s="8" t="str">
        <f>IF($A443="","",UPPER(TRIM(INDEX(FORM!$D:$D,ROW()))))</f>
        <v/>
      </c>
      <c r="F443" s="8" t="str">
        <f>IF($A443="","",IFERROR(INDEX(PROGRES!$A$2:$A$92,MATCH(E443,PROGRES!$B$2:$B$92,0)),"-"))</f>
        <v/>
      </c>
      <c r="G443" s="8" t="str">
        <f>IF($A443="","",UPPER(TRIM(INDEX(FORM!$F:$F,ROW()))))</f>
        <v/>
      </c>
      <c r="H443" s="8" t="str">
        <f>IF($A443="","",UPPER(TRIM(INDEX(FORM!$E:$E,ROW()))))</f>
        <v/>
      </c>
      <c r="I443" s="8" t="str">
        <f>IF($A443="","",UPPER(TRIM(INDEX(FORM!$G:$G,ROW()))))</f>
        <v/>
      </c>
      <c r="J443" s="8" t="str">
        <f>IF($A443="","",IF(ISNUMBER(SEARCH("Ya,",INDEX(FORM!$H:$H,ROW()))),"YA",IF(ISNUMBER(SEARCH("Cukup,",INDEX(FORM!$H:$H,ROW()))),"CUKUP",IF(ISNUMBER(SEARCH("Kurang,",INDEX(FORM!$H:$H,ROW()))),"KURANG",""))))</f>
        <v/>
      </c>
      <c r="K443" s="8" t="str">
        <f>IF($A443="","",UPPER(TRIM(INDEX(FORM!$J:$J,ROW()))))</f>
        <v/>
      </c>
      <c r="L443" s="8" t="str">
        <f>IF($A443="","",IF(ISNUMBER(SEARCH("Aktivitas Harian",INDEX(FORM!$K:$K,ROW()))),1,0))</f>
        <v/>
      </c>
      <c r="M443" s="8" t="str">
        <f>IF($A443="","",IF(ISNUMBER(SEARCH("Aktivitas Mingguan",INDEX(FORM!$K:$K,ROW()))),1,0))</f>
        <v/>
      </c>
      <c r="N443" s="8" t="str">
        <f>IF($A443="","",IF(ISNUMBER(SEARCH("Aktivitas Bulanan",INDEX(FORM!$K:$K,ROW()))),1,0))</f>
        <v/>
      </c>
      <c r="O443" s="8" t="str">
        <f>IF($A443="","",IF(ISNUMBER(SEARCH("Overview Cabang",INDEX(FORM!$K:$K,ROW()))),1,0))</f>
        <v/>
      </c>
      <c r="P443" s="8" t="str">
        <f>IF($A443="","",IFERROR(VLOOKUP(I443,DATA!$AH$9:$AI$13,2,0),""))</f>
        <v/>
      </c>
      <c r="Q443" s="8" t="str">
        <f>IF($A443="","",IFERROR(VLOOKUP(J443,DATA!$AH$9:$AI$13,2,0),""))</f>
        <v/>
      </c>
      <c r="R443" s="8" t="str">
        <f>IF($A443="","",IFERROR(VLOOKUP(K443,DATA!$AH$9:$AI$13,2,0),""))</f>
        <v/>
      </c>
      <c r="S443" s="42" t="str">
        <f t="shared" si="132"/>
        <v/>
      </c>
      <c r="T443" s="8" t="str">
        <f>IF($A443="","",IF(COUNTIF($D$2:D443,D443)=1,1,0))</f>
        <v/>
      </c>
      <c r="U443" s="8" t="str">
        <f>IF($A443="","",IF(F443="-","Cabang tdk ada",IF(IFERROR(VLOOKUP(G443,#REF!,1,0),"")="","",IF(INDEX(DATA!$AH$2:$AH$5,MATCH(G443,DATA!$AI$2:$AI$5,0))&lt;&gt;F443,"Wilayah beda","OK"))))</f>
        <v/>
      </c>
      <c r="V443" s="8" t="str">
        <f>IF($A443="","",TRIM(INDEX(FORM!$I:$I,ROW())&amp;""))</f>
        <v/>
      </c>
      <c r="W443" s="8" t="str">
        <f>IF($A443="","",TRIM(INDEX(FORM!$L:$L,ROW())&amp;""))</f>
        <v/>
      </c>
      <c r="X443" s="8" t="str">
        <f>IF($A443="","",TRIM(INDEX(FORM!$M:$M,ROW())&amp;""))</f>
        <v/>
      </c>
      <c r="Y443" s="8" t="str">
        <f>IF($A443="","",IFERROR(MATCH(F443,DATA!$AH$2:$AH$5,0),9)*10000+A443)</f>
        <v/>
      </c>
      <c r="Z443" s="8" t="str">
        <f t="shared" si="133"/>
        <v/>
      </c>
      <c r="AA443" s="8" t="str">
        <f t="shared" si="134"/>
        <v/>
      </c>
      <c r="AB443" s="8" t="str">
        <f t="shared" si="135"/>
        <v/>
      </c>
      <c r="AC443" s="8"/>
      <c r="AD443" s="8"/>
      <c r="AE443" s="8"/>
      <c r="AK443" s="5" t="str">
        <f t="shared" si="136"/>
        <v/>
      </c>
      <c r="AL443" s="5" t="str">
        <f t="shared" si="137"/>
        <v/>
      </c>
      <c r="AM443" s="5" t="str">
        <f t="shared" si="138"/>
        <v/>
      </c>
      <c r="AN443" s="5" t="str">
        <f t="shared" si="139"/>
        <v/>
      </c>
      <c r="AO443" s="5" t="str">
        <f t="shared" si="140"/>
        <v/>
      </c>
      <c r="AP443" s="5" t="str">
        <f t="shared" si="141"/>
        <v/>
      </c>
      <c r="AQ443" s="5" t="str">
        <f t="shared" si="142"/>
        <v/>
      </c>
      <c r="AR443" s="5" t="str">
        <f t="shared" si="143"/>
        <v/>
      </c>
      <c r="AS443" s="5" t="str">
        <f t="shared" si="144"/>
        <v/>
      </c>
      <c r="AT443" s="5" t="str">
        <f t="shared" si="145"/>
        <v/>
      </c>
      <c r="AU443" s="5" t="str">
        <f t="shared" si="146"/>
        <v/>
      </c>
      <c r="AV443" s="5" t="str">
        <f t="shared" si="147"/>
        <v/>
      </c>
      <c r="AW443" s="5" t="str">
        <f t="shared" si="148"/>
        <v/>
      </c>
      <c r="AX443" s="5" t="str">
        <f t="shared" si="149"/>
        <v/>
      </c>
      <c r="AY443" s="5" t="str">
        <f t="shared" si="150"/>
        <v/>
      </c>
      <c r="AZ443" s="5" t="str">
        <f t="shared" si="151"/>
        <v/>
      </c>
      <c r="BA443" s="5" t="str">
        <f t="shared" si="152"/>
        <v/>
      </c>
      <c r="BB443" s="5" t="str">
        <f t="shared" si="153"/>
        <v/>
      </c>
    </row>
    <row r="444" spans="1:54" s="5" customFormat="1" hidden="1">
      <c r="A444" s="8" t="str">
        <f>IF(INDEX(FORM!$A:$A,ROW())="","",ROW()-1)</f>
        <v/>
      </c>
      <c r="B444" s="41" t="str">
        <f>IF($A444="","",INDEX(FORM!$A:$A,ROW()))</f>
        <v/>
      </c>
      <c r="C444" s="8" t="str">
        <f>IF($A444="","",TRIM(INDEX(FORM!$B:$B,ROW())))</f>
        <v/>
      </c>
      <c r="D444" s="8" t="str">
        <f>IF($A444="","",TRIM(INDEX(FORM!$C:$C,ROW())&amp;""))</f>
        <v/>
      </c>
      <c r="E444" s="8" t="str">
        <f>IF($A444="","",UPPER(TRIM(INDEX(FORM!$D:$D,ROW()))))</f>
        <v/>
      </c>
      <c r="F444" s="8" t="str">
        <f>IF($A444="","",IFERROR(INDEX(PROGRES!$A$2:$A$92,MATCH(E444,PROGRES!$B$2:$B$92,0)),"-"))</f>
        <v/>
      </c>
      <c r="G444" s="8" t="str">
        <f>IF($A444="","",UPPER(TRIM(INDEX(FORM!$F:$F,ROW()))))</f>
        <v/>
      </c>
      <c r="H444" s="8" t="str">
        <f>IF($A444="","",UPPER(TRIM(INDEX(FORM!$E:$E,ROW()))))</f>
        <v/>
      </c>
      <c r="I444" s="8" t="str">
        <f>IF($A444="","",UPPER(TRIM(INDEX(FORM!$G:$G,ROW()))))</f>
        <v/>
      </c>
      <c r="J444" s="8" t="str">
        <f>IF($A444="","",IF(ISNUMBER(SEARCH("Ya,",INDEX(FORM!$H:$H,ROW()))),"YA",IF(ISNUMBER(SEARCH("Cukup,",INDEX(FORM!$H:$H,ROW()))),"CUKUP",IF(ISNUMBER(SEARCH("Kurang,",INDEX(FORM!$H:$H,ROW()))),"KURANG",""))))</f>
        <v/>
      </c>
      <c r="K444" s="8" t="str">
        <f>IF($A444="","",UPPER(TRIM(INDEX(FORM!$J:$J,ROW()))))</f>
        <v/>
      </c>
      <c r="L444" s="8" t="str">
        <f>IF($A444="","",IF(ISNUMBER(SEARCH("Aktivitas Harian",INDEX(FORM!$K:$K,ROW()))),1,0))</f>
        <v/>
      </c>
      <c r="M444" s="8" t="str">
        <f>IF($A444="","",IF(ISNUMBER(SEARCH("Aktivitas Mingguan",INDEX(FORM!$K:$K,ROW()))),1,0))</f>
        <v/>
      </c>
      <c r="N444" s="8" t="str">
        <f>IF($A444="","",IF(ISNUMBER(SEARCH("Aktivitas Bulanan",INDEX(FORM!$K:$K,ROW()))),1,0))</f>
        <v/>
      </c>
      <c r="O444" s="8" t="str">
        <f>IF($A444="","",IF(ISNUMBER(SEARCH("Overview Cabang",INDEX(FORM!$K:$K,ROW()))),1,0))</f>
        <v/>
      </c>
      <c r="P444" s="8" t="str">
        <f>IF($A444="","",IFERROR(VLOOKUP(I444,DATA!$AH$9:$AI$13,2,0),""))</f>
        <v/>
      </c>
      <c r="Q444" s="8" t="str">
        <f>IF($A444="","",IFERROR(VLOOKUP(J444,DATA!$AH$9:$AI$13,2,0),""))</f>
        <v/>
      </c>
      <c r="R444" s="8" t="str">
        <f>IF($A444="","",IFERROR(VLOOKUP(K444,DATA!$AH$9:$AI$13,2,0),""))</f>
        <v/>
      </c>
      <c r="S444" s="42" t="str">
        <f t="shared" si="132"/>
        <v/>
      </c>
      <c r="T444" s="8" t="str">
        <f>IF($A444="","",IF(COUNTIF($D$2:D444,D444)=1,1,0))</f>
        <v/>
      </c>
      <c r="U444" s="8" t="str">
        <f>IF($A444="","",IF(F444="-","Cabang tdk ada",IF(IFERROR(VLOOKUP(G444,#REF!,1,0),"")="","",IF(INDEX(DATA!$AH$2:$AH$5,MATCH(G444,DATA!$AI$2:$AI$5,0))&lt;&gt;F444,"Wilayah beda","OK"))))</f>
        <v/>
      </c>
      <c r="V444" s="8" t="str">
        <f>IF($A444="","",TRIM(INDEX(FORM!$I:$I,ROW())&amp;""))</f>
        <v/>
      </c>
      <c r="W444" s="8" t="str">
        <f>IF($A444="","",TRIM(INDEX(FORM!$L:$L,ROW())&amp;""))</f>
        <v/>
      </c>
      <c r="X444" s="8" t="str">
        <f>IF($A444="","",TRIM(INDEX(FORM!$M:$M,ROW())&amp;""))</f>
        <v/>
      </c>
      <c r="Y444" s="8" t="str">
        <f>IF($A444="","",IFERROR(MATCH(F444,DATA!$AH$2:$AH$5,0),9)*10000+A444)</f>
        <v/>
      </c>
      <c r="Z444" s="8" t="str">
        <f t="shared" si="133"/>
        <v/>
      </c>
      <c r="AA444" s="8" t="str">
        <f t="shared" si="134"/>
        <v/>
      </c>
      <c r="AB444" s="8" t="str">
        <f t="shared" si="135"/>
        <v/>
      </c>
      <c r="AC444" s="8"/>
      <c r="AD444" s="8"/>
      <c r="AE444" s="8"/>
      <c r="AK444" s="5" t="str">
        <f t="shared" si="136"/>
        <v/>
      </c>
      <c r="AL444" s="5" t="str">
        <f t="shared" si="137"/>
        <v/>
      </c>
      <c r="AM444" s="5" t="str">
        <f t="shared" si="138"/>
        <v/>
      </c>
      <c r="AN444" s="5" t="str">
        <f t="shared" si="139"/>
        <v/>
      </c>
      <c r="AO444" s="5" t="str">
        <f t="shared" si="140"/>
        <v/>
      </c>
      <c r="AP444" s="5" t="str">
        <f t="shared" si="141"/>
        <v/>
      </c>
      <c r="AQ444" s="5" t="str">
        <f t="shared" si="142"/>
        <v/>
      </c>
      <c r="AR444" s="5" t="str">
        <f t="shared" si="143"/>
        <v/>
      </c>
      <c r="AS444" s="5" t="str">
        <f t="shared" si="144"/>
        <v/>
      </c>
      <c r="AT444" s="5" t="str">
        <f t="shared" si="145"/>
        <v/>
      </c>
      <c r="AU444" s="5" t="str">
        <f t="shared" si="146"/>
        <v/>
      </c>
      <c r="AV444" s="5" t="str">
        <f t="shared" si="147"/>
        <v/>
      </c>
      <c r="AW444" s="5" t="str">
        <f t="shared" si="148"/>
        <v/>
      </c>
      <c r="AX444" s="5" t="str">
        <f t="shared" si="149"/>
        <v/>
      </c>
      <c r="AY444" s="5" t="str">
        <f t="shared" si="150"/>
        <v/>
      </c>
      <c r="AZ444" s="5" t="str">
        <f t="shared" si="151"/>
        <v/>
      </c>
      <c r="BA444" s="5" t="str">
        <f t="shared" si="152"/>
        <v/>
      </c>
      <c r="BB444" s="5" t="str">
        <f t="shared" si="153"/>
        <v/>
      </c>
    </row>
    <row r="445" spans="1:54" s="5" customFormat="1" hidden="1">
      <c r="A445" s="8" t="str">
        <f>IF(INDEX(FORM!$A:$A,ROW())="","",ROW()-1)</f>
        <v/>
      </c>
      <c r="B445" s="41" t="str">
        <f>IF($A445="","",INDEX(FORM!$A:$A,ROW()))</f>
        <v/>
      </c>
      <c r="C445" s="8" t="str">
        <f>IF($A445="","",TRIM(INDEX(FORM!$B:$B,ROW())))</f>
        <v/>
      </c>
      <c r="D445" s="8" t="str">
        <f>IF($A445="","",TRIM(INDEX(FORM!$C:$C,ROW())&amp;""))</f>
        <v/>
      </c>
      <c r="E445" s="8" t="str">
        <f>IF($A445="","",UPPER(TRIM(INDEX(FORM!$D:$D,ROW()))))</f>
        <v/>
      </c>
      <c r="F445" s="8" t="str">
        <f>IF($A445="","",IFERROR(INDEX(PROGRES!$A$2:$A$92,MATCH(E445,PROGRES!$B$2:$B$92,0)),"-"))</f>
        <v/>
      </c>
      <c r="G445" s="8" t="str">
        <f>IF($A445="","",UPPER(TRIM(INDEX(FORM!$F:$F,ROW()))))</f>
        <v/>
      </c>
      <c r="H445" s="8" t="str">
        <f>IF($A445="","",UPPER(TRIM(INDEX(FORM!$E:$E,ROW()))))</f>
        <v/>
      </c>
      <c r="I445" s="8" t="str">
        <f>IF($A445="","",UPPER(TRIM(INDEX(FORM!$G:$G,ROW()))))</f>
        <v/>
      </c>
      <c r="J445" s="8" t="str">
        <f>IF($A445="","",IF(ISNUMBER(SEARCH("Ya,",INDEX(FORM!$H:$H,ROW()))),"YA",IF(ISNUMBER(SEARCH("Cukup,",INDEX(FORM!$H:$H,ROW()))),"CUKUP",IF(ISNUMBER(SEARCH("Kurang,",INDEX(FORM!$H:$H,ROW()))),"KURANG",""))))</f>
        <v/>
      </c>
      <c r="K445" s="8" t="str">
        <f>IF($A445="","",UPPER(TRIM(INDEX(FORM!$J:$J,ROW()))))</f>
        <v/>
      </c>
      <c r="L445" s="8" t="str">
        <f>IF($A445="","",IF(ISNUMBER(SEARCH("Aktivitas Harian",INDEX(FORM!$K:$K,ROW()))),1,0))</f>
        <v/>
      </c>
      <c r="M445" s="8" t="str">
        <f>IF($A445="","",IF(ISNUMBER(SEARCH("Aktivitas Mingguan",INDEX(FORM!$K:$K,ROW()))),1,0))</f>
        <v/>
      </c>
      <c r="N445" s="8" t="str">
        <f>IF($A445="","",IF(ISNUMBER(SEARCH("Aktivitas Bulanan",INDEX(FORM!$K:$K,ROW()))),1,0))</f>
        <v/>
      </c>
      <c r="O445" s="8" t="str">
        <f>IF($A445="","",IF(ISNUMBER(SEARCH("Overview Cabang",INDEX(FORM!$K:$K,ROW()))),1,0))</f>
        <v/>
      </c>
      <c r="P445" s="8" t="str">
        <f>IF($A445="","",IFERROR(VLOOKUP(I445,DATA!$AH$9:$AI$13,2,0),""))</f>
        <v/>
      </c>
      <c r="Q445" s="8" t="str">
        <f>IF($A445="","",IFERROR(VLOOKUP(J445,DATA!$AH$9:$AI$13,2,0),""))</f>
        <v/>
      </c>
      <c r="R445" s="8" t="str">
        <f>IF($A445="","",IFERROR(VLOOKUP(K445,DATA!$AH$9:$AI$13,2,0),""))</f>
        <v/>
      </c>
      <c r="S445" s="42" t="str">
        <f t="shared" si="132"/>
        <v/>
      </c>
      <c r="T445" s="8" t="str">
        <f>IF($A445="","",IF(COUNTIF($D$2:D445,D445)=1,1,0))</f>
        <v/>
      </c>
      <c r="U445" s="8" t="str">
        <f>IF($A445="","",IF(F445="-","Cabang tdk ada",IF(IFERROR(VLOOKUP(G445,#REF!,1,0),"")="","",IF(INDEX(DATA!$AH$2:$AH$5,MATCH(G445,DATA!$AI$2:$AI$5,0))&lt;&gt;F445,"Wilayah beda","OK"))))</f>
        <v/>
      </c>
      <c r="V445" s="8" t="str">
        <f>IF($A445="","",TRIM(INDEX(FORM!$I:$I,ROW())&amp;""))</f>
        <v/>
      </c>
      <c r="W445" s="8" t="str">
        <f>IF($A445="","",TRIM(INDEX(FORM!$L:$L,ROW())&amp;""))</f>
        <v/>
      </c>
      <c r="X445" s="8" t="str">
        <f>IF($A445="","",TRIM(INDEX(FORM!$M:$M,ROW())&amp;""))</f>
        <v/>
      </c>
      <c r="Y445" s="8" t="str">
        <f>IF($A445="","",IFERROR(MATCH(F445,DATA!$AH$2:$AH$5,0),9)*10000+A445)</f>
        <v/>
      </c>
      <c r="Z445" s="8" t="str">
        <f t="shared" si="133"/>
        <v/>
      </c>
      <c r="AA445" s="8" t="str">
        <f t="shared" si="134"/>
        <v/>
      </c>
      <c r="AB445" s="8" t="str">
        <f t="shared" si="135"/>
        <v/>
      </c>
      <c r="AC445" s="8"/>
      <c r="AD445" s="8"/>
      <c r="AE445" s="8"/>
      <c r="AK445" s="5" t="str">
        <f t="shared" si="136"/>
        <v/>
      </c>
      <c r="AL445" s="5" t="str">
        <f t="shared" si="137"/>
        <v/>
      </c>
      <c r="AM445" s="5" t="str">
        <f t="shared" si="138"/>
        <v/>
      </c>
      <c r="AN445" s="5" t="str">
        <f t="shared" si="139"/>
        <v/>
      </c>
      <c r="AO445" s="5" t="str">
        <f t="shared" si="140"/>
        <v/>
      </c>
      <c r="AP445" s="5" t="str">
        <f t="shared" si="141"/>
        <v/>
      </c>
      <c r="AQ445" s="5" t="str">
        <f t="shared" si="142"/>
        <v/>
      </c>
      <c r="AR445" s="5" t="str">
        <f t="shared" si="143"/>
        <v/>
      </c>
      <c r="AS445" s="5" t="str">
        <f t="shared" si="144"/>
        <v/>
      </c>
      <c r="AT445" s="5" t="str">
        <f t="shared" si="145"/>
        <v/>
      </c>
      <c r="AU445" s="5" t="str">
        <f t="shared" si="146"/>
        <v/>
      </c>
      <c r="AV445" s="5" t="str">
        <f t="shared" si="147"/>
        <v/>
      </c>
      <c r="AW445" s="5" t="str">
        <f t="shared" si="148"/>
        <v/>
      </c>
      <c r="AX445" s="5" t="str">
        <f t="shared" si="149"/>
        <v/>
      </c>
      <c r="AY445" s="5" t="str">
        <f t="shared" si="150"/>
        <v/>
      </c>
      <c r="AZ445" s="5" t="str">
        <f t="shared" si="151"/>
        <v/>
      </c>
      <c r="BA445" s="5" t="str">
        <f t="shared" si="152"/>
        <v/>
      </c>
      <c r="BB445" s="5" t="str">
        <f t="shared" si="153"/>
        <v/>
      </c>
    </row>
    <row r="446" spans="1:54" s="5" customFormat="1" hidden="1">
      <c r="A446" s="8" t="str">
        <f>IF(INDEX(FORM!$A:$A,ROW())="","",ROW()-1)</f>
        <v/>
      </c>
      <c r="B446" s="41" t="str">
        <f>IF($A446="","",INDEX(FORM!$A:$A,ROW()))</f>
        <v/>
      </c>
      <c r="C446" s="8" t="str">
        <f>IF($A446="","",TRIM(INDEX(FORM!$B:$B,ROW())))</f>
        <v/>
      </c>
      <c r="D446" s="8" t="str">
        <f>IF($A446="","",TRIM(INDEX(FORM!$C:$C,ROW())&amp;""))</f>
        <v/>
      </c>
      <c r="E446" s="8" t="str">
        <f>IF($A446="","",UPPER(TRIM(INDEX(FORM!$D:$D,ROW()))))</f>
        <v/>
      </c>
      <c r="F446" s="8" t="str">
        <f>IF($A446="","",IFERROR(INDEX(PROGRES!$A$2:$A$92,MATCH(E446,PROGRES!$B$2:$B$92,0)),"-"))</f>
        <v/>
      </c>
      <c r="G446" s="8" t="str">
        <f>IF($A446="","",UPPER(TRIM(INDEX(FORM!$F:$F,ROW()))))</f>
        <v/>
      </c>
      <c r="H446" s="8" t="str">
        <f>IF($A446="","",UPPER(TRIM(INDEX(FORM!$E:$E,ROW()))))</f>
        <v/>
      </c>
      <c r="I446" s="8" t="str">
        <f>IF($A446="","",UPPER(TRIM(INDEX(FORM!$G:$G,ROW()))))</f>
        <v/>
      </c>
      <c r="J446" s="8" t="str">
        <f>IF($A446="","",IF(ISNUMBER(SEARCH("Ya,",INDEX(FORM!$H:$H,ROW()))),"YA",IF(ISNUMBER(SEARCH("Cukup,",INDEX(FORM!$H:$H,ROW()))),"CUKUP",IF(ISNUMBER(SEARCH("Kurang,",INDEX(FORM!$H:$H,ROW()))),"KURANG",""))))</f>
        <v/>
      </c>
      <c r="K446" s="8" t="str">
        <f>IF($A446="","",UPPER(TRIM(INDEX(FORM!$J:$J,ROW()))))</f>
        <v/>
      </c>
      <c r="L446" s="8" t="str">
        <f>IF($A446="","",IF(ISNUMBER(SEARCH("Aktivitas Harian",INDEX(FORM!$K:$K,ROW()))),1,0))</f>
        <v/>
      </c>
      <c r="M446" s="8" t="str">
        <f>IF($A446="","",IF(ISNUMBER(SEARCH("Aktivitas Mingguan",INDEX(FORM!$K:$K,ROW()))),1,0))</f>
        <v/>
      </c>
      <c r="N446" s="8" t="str">
        <f>IF($A446="","",IF(ISNUMBER(SEARCH("Aktivitas Bulanan",INDEX(FORM!$K:$K,ROW()))),1,0))</f>
        <v/>
      </c>
      <c r="O446" s="8" t="str">
        <f>IF($A446="","",IF(ISNUMBER(SEARCH("Overview Cabang",INDEX(FORM!$K:$K,ROW()))),1,0))</f>
        <v/>
      </c>
      <c r="P446" s="8" t="str">
        <f>IF($A446="","",IFERROR(VLOOKUP(I446,DATA!$AH$9:$AI$13,2,0),""))</f>
        <v/>
      </c>
      <c r="Q446" s="8" t="str">
        <f>IF($A446="","",IFERROR(VLOOKUP(J446,DATA!$AH$9:$AI$13,2,0),""))</f>
        <v/>
      </c>
      <c r="R446" s="8" t="str">
        <f>IF($A446="","",IFERROR(VLOOKUP(K446,DATA!$AH$9:$AI$13,2,0),""))</f>
        <v/>
      </c>
      <c r="S446" s="42" t="str">
        <f t="shared" si="132"/>
        <v/>
      </c>
      <c r="T446" s="8" t="str">
        <f>IF($A446="","",IF(COUNTIF($D$2:D446,D446)=1,1,0))</f>
        <v/>
      </c>
      <c r="U446" s="8" t="str">
        <f>IF($A446="","",IF(F446="-","Cabang tdk ada",IF(IFERROR(VLOOKUP(G446,#REF!,1,0),"")="","",IF(INDEX(DATA!$AH$2:$AH$5,MATCH(G446,DATA!$AI$2:$AI$5,0))&lt;&gt;F446,"Wilayah beda","OK"))))</f>
        <v/>
      </c>
      <c r="V446" s="8" t="str">
        <f>IF($A446="","",TRIM(INDEX(FORM!$I:$I,ROW())&amp;""))</f>
        <v/>
      </c>
      <c r="W446" s="8" t="str">
        <f>IF($A446="","",TRIM(INDEX(FORM!$L:$L,ROW())&amp;""))</f>
        <v/>
      </c>
      <c r="X446" s="8" t="str">
        <f>IF($A446="","",TRIM(INDEX(FORM!$M:$M,ROW())&amp;""))</f>
        <v/>
      </c>
      <c r="Y446" s="8" t="str">
        <f>IF($A446="","",IFERROR(MATCH(F446,DATA!$AH$2:$AH$5,0),9)*10000+A446)</f>
        <v/>
      </c>
      <c r="Z446" s="8" t="str">
        <f t="shared" si="133"/>
        <v/>
      </c>
      <c r="AA446" s="8" t="str">
        <f t="shared" si="134"/>
        <v/>
      </c>
      <c r="AB446" s="8" t="str">
        <f t="shared" si="135"/>
        <v/>
      </c>
      <c r="AC446" s="8"/>
      <c r="AD446" s="8"/>
      <c r="AE446" s="8"/>
      <c r="AK446" s="5" t="str">
        <f t="shared" si="136"/>
        <v/>
      </c>
      <c r="AL446" s="5" t="str">
        <f t="shared" si="137"/>
        <v/>
      </c>
      <c r="AM446" s="5" t="str">
        <f t="shared" si="138"/>
        <v/>
      </c>
      <c r="AN446" s="5" t="str">
        <f t="shared" si="139"/>
        <v/>
      </c>
      <c r="AO446" s="5" t="str">
        <f t="shared" si="140"/>
        <v/>
      </c>
      <c r="AP446" s="5" t="str">
        <f t="shared" si="141"/>
        <v/>
      </c>
      <c r="AQ446" s="5" t="str">
        <f t="shared" si="142"/>
        <v/>
      </c>
      <c r="AR446" s="5" t="str">
        <f t="shared" si="143"/>
        <v/>
      </c>
      <c r="AS446" s="5" t="str">
        <f t="shared" si="144"/>
        <v/>
      </c>
      <c r="AT446" s="5" t="str">
        <f t="shared" si="145"/>
        <v/>
      </c>
      <c r="AU446" s="5" t="str">
        <f t="shared" si="146"/>
        <v/>
      </c>
      <c r="AV446" s="5" t="str">
        <f t="shared" si="147"/>
        <v/>
      </c>
      <c r="AW446" s="5" t="str">
        <f t="shared" si="148"/>
        <v/>
      </c>
      <c r="AX446" s="5" t="str">
        <f t="shared" si="149"/>
        <v/>
      </c>
      <c r="AY446" s="5" t="str">
        <f t="shared" si="150"/>
        <v/>
      </c>
      <c r="AZ446" s="5" t="str">
        <f t="shared" si="151"/>
        <v/>
      </c>
      <c r="BA446" s="5" t="str">
        <f t="shared" si="152"/>
        <v/>
      </c>
      <c r="BB446" s="5" t="str">
        <f t="shared" si="153"/>
        <v/>
      </c>
    </row>
    <row r="447" spans="1:54" s="5" customFormat="1" hidden="1">
      <c r="A447" s="8" t="str">
        <f>IF(INDEX(FORM!$A:$A,ROW())="","",ROW()-1)</f>
        <v/>
      </c>
      <c r="B447" s="41" t="str">
        <f>IF($A447="","",INDEX(FORM!$A:$A,ROW()))</f>
        <v/>
      </c>
      <c r="C447" s="8" t="str">
        <f>IF($A447="","",TRIM(INDEX(FORM!$B:$B,ROW())))</f>
        <v/>
      </c>
      <c r="D447" s="8" t="str">
        <f>IF($A447="","",TRIM(INDEX(FORM!$C:$C,ROW())&amp;""))</f>
        <v/>
      </c>
      <c r="E447" s="8" t="str">
        <f>IF($A447="","",UPPER(TRIM(INDEX(FORM!$D:$D,ROW()))))</f>
        <v/>
      </c>
      <c r="F447" s="8" t="str">
        <f>IF($A447="","",IFERROR(INDEX(PROGRES!$A$2:$A$92,MATCH(E447,PROGRES!$B$2:$B$92,0)),"-"))</f>
        <v/>
      </c>
      <c r="G447" s="8" t="str">
        <f>IF($A447="","",UPPER(TRIM(INDEX(FORM!$F:$F,ROW()))))</f>
        <v/>
      </c>
      <c r="H447" s="8" t="str">
        <f>IF($A447="","",UPPER(TRIM(INDEX(FORM!$E:$E,ROW()))))</f>
        <v/>
      </c>
      <c r="I447" s="8" t="str">
        <f>IF($A447="","",UPPER(TRIM(INDEX(FORM!$G:$G,ROW()))))</f>
        <v/>
      </c>
      <c r="J447" s="8" t="str">
        <f>IF($A447="","",IF(ISNUMBER(SEARCH("Ya,",INDEX(FORM!$H:$H,ROW()))),"YA",IF(ISNUMBER(SEARCH("Cukup,",INDEX(FORM!$H:$H,ROW()))),"CUKUP",IF(ISNUMBER(SEARCH("Kurang,",INDEX(FORM!$H:$H,ROW()))),"KURANG",""))))</f>
        <v/>
      </c>
      <c r="K447" s="8" t="str">
        <f>IF($A447="","",UPPER(TRIM(INDEX(FORM!$J:$J,ROW()))))</f>
        <v/>
      </c>
      <c r="L447" s="8" t="str">
        <f>IF($A447="","",IF(ISNUMBER(SEARCH("Aktivitas Harian",INDEX(FORM!$K:$K,ROW()))),1,0))</f>
        <v/>
      </c>
      <c r="M447" s="8" t="str">
        <f>IF($A447="","",IF(ISNUMBER(SEARCH("Aktivitas Mingguan",INDEX(FORM!$K:$K,ROW()))),1,0))</f>
        <v/>
      </c>
      <c r="N447" s="8" t="str">
        <f>IF($A447="","",IF(ISNUMBER(SEARCH("Aktivitas Bulanan",INDEX(FORM!$K:$K,ROW()))),1,0))</f>
        <v/>
      </c>
      <c r="O447" s="8" t="str">
        <f>IF($A447="","",IF(ISNUMBER(SEARCH("Overview Cabang",INDEX(FORM!$K:$K,ROW()))),1,0))</f>
        <v/>
      </c>
      <c r="P447" s="8" t="str">
        <f>IF($A447="","",IFERROR(VLOOKUP(I447,DATA!$AH$9:$AI$13,2,0),""))</f>
        <v/>
      </c>
      <c r="Q447" s="8" t="str">
        <f>IF($A447="","",IFERROR(VLOOKUP(J447,DATA!$AH$9:$AI$13,2,0),""))</f>
        <v/>
      </c>
      <c r="R447" s="8" t="str">
        <f>IF($A447="","",IFERROR(VLOOKUP(K447,DATA!$AH$9:$AI$13,2,0),""))</f>
        <v/>
      </c>
      <c r="S447" s="42" t="str">
        <f t="shared" si="132"/>
        <v/>
      </c>
      <c r="T447" s="8" t="str">
        <f>IF($A447="","",IF(COUNTIF($D$2:D447,D447)=1,1,0))</f>
        <v/>
      </c>
      <c r="U447" s="8" t="str">
        <f>IF($A447="","",IF(F447="-","Cabang tdk ada",IF(IFERROR(VLOOKUP(G447,#REF!,1,0),"")="","",IF(INDEX(DATA!$AH$2:$AH$5,MATCH(G447,DATA!$AI$2:$AI$5,0))&lt;&gt;F447,"Wilayah beda","OK"))))</f>
        <v/>
      </c>
      <c r="V447" s="8" t="str">
        <f>IF($A447="","",TRIM(INDEX(FORM!$I:$I,ROW())&amp;""))</f>
        <v/>
      </c>
      <c r="W447" s="8" t="str">
        <f>IF($A447="","",TRIM(INDEX(FORM!$L:$L,ROW())&amp;""))</f>
        <v/>
      </c>
      <c r="X447" s="8" t="str">
        <f>IF($A447="","",TRIM(INDEX(FORM!$M:$M,ROW())&amp;""))</f>
        <v/>
      </c>
      <c r="Y447" s="8" t="str">
        <f>IF($A447="","",IFERROR(MATCH(F447,DATA!$AH$2:$AH$5,0),9)*10000+A447)</f>
        <v/>
      </c>
      <c r="Z447" s="8" t="str">
        <f t="shared" si="133"/>
        <v/>
      </c>
      <c r="AA447" s="8" t="str">
        <f t="shared" si="134"/>
        <v/>
      </c>
      <c r="AB447" s="8" t="str">
        <f t="shared" si="135"/>
        <v/>
      </c>
      <c r="AC447" s="8"/>
      <c r="AD447" s="8"/>
      <c r="AE447" s="8"/>
      <c r="AK447" s="5" t="str">
        <f t="shared" si="136"/>
        <v/>
      </c>
      <c r="AL447" s="5" t="str">
        <f t="shared" si="137"/>
        <v/>
      </c>
      <c r="AM447" s="5" t="str">
        <f t="shared" si="138"/>
        <v/>
      </c>
      <c r="AN447" s="5" t="str">
        <f t="shared" si="139"/>
        <v/>
      </c>
      <c r="AO447" s="5" t="str">
        <f t="shared" si="140"/>
        <v/>
      </c>
      <c r="AP447" s="5" t="str">
        <f t="shared" si="141"/>
        <v/>
      </c>
      <c r="AQ447" s="5" t="str">
        <f t="shared" si="142"/>
        <v/>
      </c>
      <c r="AR447" s="5" t="str">
        <f t="shared" si="143"/>
        <v/>
      </c>
      <c r="AS447" s="5" t="str">
        <f t="shared" si="144"/>
        <v/>
      </c>
      <c r="AT447" s="5" t="str">
        <f t="shared" si="145"/>
        <v/>
      </c>
      <c r="AU447" s="5" t="str">
        <f t="shared" si="146"/>
        <v/>
      </c>
      <c r="AV447" s="5" t="str">
        <f t="shared" si="147"/>
        <v/>
      </c>
      <c r="AW447" s="5" t="str">
        <f t="shared" si="148"/>
        <v/>
      </c>
      <c r="AX447" s="5" t="str">
        <f t="shared" si="149"/>
        <v/>
      </c>
      <c r="AY447" s="5" t="str">
        <f t="shared" si="150"/>
        <v/>
      </c>
      <c r="AZ447" s="5" t="str">
        <f t="shared" si="151"/>
        <v/>
      </c>
      <c r="BA447" s="5" t="str">
        <f t="shared" si="152"/>
        <v/>
      </c>
      <c r="BB447" s="5" t="str">
        <f t="shared" si="153"/>
        <v/>
      </c>
    </row>
    <row r="448" spans="1:54" s="5" customFormat="1" hidden="1">
      <c r="A448" s="8" t="str">
        <f>IF(INDEX(FORM!$A:$A,ROW())="","",ROW()-1)</f>
        <v/>
      </c>
      <c r="B448" s="41" t="str">
        <f>IF($A448="","",INDEX(FORM!$A:$A,ROW()))</f>
        <v/>
      </c>
      <c r="C448" s="8" t="str">
        <f>IF($A448="","",TRIM(INDEX(FORM!$B:$B,ROW())))</f>
        <v/>
      </c>
      <c r="D448" s="8" t="str">
        <f>IF($A448="","",TRIM(INDEX(FORM!$C:$C,ROW())&amp;""))</f>
        <v/>
      </c>
      <c r="E448" s="8" t="str">
        <f>IF($A448="","",UPPER(TRIM(INDEX(FORM!$D:$D,ROW()))))</f>
        <v/>
      </c>
      <c r="F448" s="8" t="str">
        <f>IF($A448="","",IFERROR(INDEX(PROGRES!$A$2:$A$92,MATCH(E448,PROGRES!$B$2:$B$92,0)),"-"))</f>
        <v/>
      </c>
      <c r="G448" s="8" t="str">
        <f>IF($A448="","",UPPER(TRIM(INDEX(FORM!$F:$F,ROW()))))</f>
        <v/>
      </c>
      <c r="H448" s="8" t="str">
        <f>IF($A448="","",UPPER(TRIM(INDEX(FORM!$E:$E,ROW()))))</f>
        <v/>
      </c>
      <c r="I448" s="8" t="str">
        <f>IF($A448="","",UPPER(TRIM(INDEX(FORM!$G:$G,ROW()))))</f>
        <v/>
      </c>
      <c r="J448" s="8" t="str">
        <f>IF($A448="","",IF(ISNUMBER(SEARCH("Ya,",INDEX(FORM!$H:$H,ROW()))),"YA",IF(ISNUMBER(SEARCH("Cukup,",INDEX(FORM!$H:$H,ROW()))),"CUKUP",IF(ISNUMBER(SEARCH("Kurang,",INDEX(FORM!$H:$H,ROW()))),"KURANG",""))))</f>
        <v/>
      </c>
      <c r="K448" s="8" t="str">
        <f>IF($A448="","",UPPER(TRIM(INDEX(FORM!$J:$J,ROW()))))</f>
        <v/>
      </c>
      <c r="L448" s="8" t="str">
        <f>IF($A448="","",IF(ISNUMBER(SEARCH("Aktivitas Harian",INDEX(FORM!$K:$K,ROW()))),1,0))</f>
        <v/>
      </c>
      <c r="M448" s="8" t="str">
        <f>IF($A448="","",IF(ISNUMBER(SEARCH("Aktivitas Mingguan",INDEX(FORM!$K:$K,ROW()))),1,0))</f>
        <v/>
      </c>
      <c r="N448" s="8" t="str">
        <f>IF($A448="","",IF(ISNUMBER(SEARCH("Aktivitas Bulanan",INDEX(FORM!$K:$K,ROW()))),1,0))</f>
        <v/>
      </c>
      <c r="O448" s="8" t="str">
        <f>IF($A448="","",IF(ISNUMBER(SEARCH("Overview Cabang",INDEX(FORM!$K:$K,ROW()))),1,0))</f>
        <v/>
      </c>
      <c r="P448" s="8" t="str">
        <f>IF($A448="","",IFERROR(VLOOKUP(I448,DATA!$AH$9:$AI$13,2,0),""))</f>
        <v/>
      </c>
      <c r="Q448" s="8" t="str">
        <f>IF($A448="","",IFERROR(VLOOKUP(J448,DATA!$AH$9:$AI$13,2,0),""))</f>
        <v/>
      </c>
      <c r="R448" s="8" t="str">
        <f>IF($A448="","",IFERROR(VLOOKUP(K448,DATA!$AH$9:$AI$13,2,0),""))</f>
        <v/>
      </c>
      <c r="S448" s="42" t="str">
        <f t="shared" si="132"/>
        <v/>
      </c>
      <c r="T448" s="8" t="str">
        <f>IF($A448="","",IF(COUNTIF($D$2:D448,D448)=1,1,0))</f>
        <v/>
      </c>
      <c r="U448" s="8" t="str">
        <f>IF($A448="","",IF(F448="-","Cabang tdk ada",IF(IFERROR(VLOOKUP(G448,#REF!,1,0),"")="","",IF(INDEX(DATA!$AH$2:$AH$5,MATCH(G448,DATA!$AI$2:$AI$5,0))&lt;&gt;F448,"Wilayah beda","OK"))))</f>
        <v/>
      </c>
      <c r="V448" s="8" t="str">
        <f>IF($A448="","",TRIM(INDEX(FORM!$I:$I,ROW())&amp;""))</f>
        <v/>
      </c>
      <c r="W448" s="8" t="str">
        <f>IF($A448="","",TRIM(INDEX(FORM!$L:$L,ROW())&amp;""))</f>
        <v/>
      </c>
      <c r="X448" s="8" t="str">
        <f>IF($A448="","",TRIM(INDEX(FORM!$M:$M,ROW())&amp;""))</f>
        <v/>
      </c>
      <c r="Y448" s="8" t="str">
        <f>IF($A448="","",IFERROR(MATCH(F448,DATA!$AH$2:$AH$5,0),9)*10000+A448)</f>
        <v/>
      </c>
      <c r="Z448" s="8" t="str">
        <f t="shared" si="133"/>
        <v/>
      </c>
      <c r="AA448" s="8" t="str">
        <f t="shared" si="134"/>
        <v/>
      </c>
      <c r="AB448" s="8" t="str">
        <f t="shared" si="135"/>
        <v/>
      </c>
      <c r="AC448" s="8"/>
      <c r="AD448" s="8"/>
      <c r="AE448" s="8"/>
      <c r="AK448" s="5" t="str">
        <f t="shared" si="136"/>
        <v/>
      </c>
      <c r="AL448" s="5" t="str">
        <f t="shared" si="137"/>
        <v/>
      </c>
      <c r="AM448" s="5" t="str">
        <f t="shared" si="138"/>
        <v/>
      </c>
      <c r="AN448" s="5" t="str">
        <f t="shared" si="139"/>
        <v/>
      </c>
      <c r="AO448" s="5" t="str">
        <f t="shared" si="140"/>
        <v/>
      </c>
      <c r="AP448" s="5" t="str">
        <f t="shared" si="141"/>
        <v/>
      </c>
      <c r="AQ448" s="5" t="str">
        <f t="shared" si="142"/>
        <v/>
      </c>
      <c r="AR448" s="5" t="str">
        <f t="shared" si="143"/>
        <v/>
      </c>
      <c r="AS448" s="5" t="str">
        <f t="shared" si="144"/>
        <v/>
      </c>
      <c r="AT448" s="5" t="str">
        <f t="shared" si="145"/>
        <v/>
      </c>
      <c r="AU448" s="5" t="str">
        <f t="shared" si="146"/>
        <v/>
      </c>
      <c r="AV448" s="5" t="str">
        <f t="shared" si="147"/>
        <v/>
      </c>
      <c r="AW448" s="5" t="str">
        <f t="shared" si="148"/>
        <v/>
      </c>
      <c r="AX448" s="5" t="str">
        <f t="shared" si="149"/>
        <v/>
      </c>
      <c r="AY448" s="5" t="str">
        <f t="shared" si="150"/>
        <v/>
      </c>
      <c r="AZ448" s="5" t="str">
        <f t="shared" si="151"/>
        <v/>
      </c>
      <c r="BA448" s="5" t="str">
        <f t="shared" si="152"/>
        <v/>
      </c>
      <c r="BB448" s="5" t="str">
        <f t="shared" si="153"/>
        <v/>
      </c>
    </row>
    <row r="449" spans="1:54" s="5" customFormat="1" hidden="1">
      <c r="A449" s="8" t="str">
        <f>IF(INDEX(FORM!$A:$A,ROW())="","",ROW()-1)</f>
        <v/>
      </c>
      <c r="B449" s="41" t="str">
        <f>IF($A449="","",INDEX(FORM!$A:$A,ROW()))</f>
        <v/>
      </c>
      <c r="C449" s="8" t="str">
        <f>IF($A449="","",TRIM(INDEX(FORM!$B:$B,ROW())))</f>
        <v/>
      </c>
      <c r="D449" s="8" t="str">
        <f>IF($A449="","",TRIM(INDEX(FORM!$C:$C,ROW())&amp;""))</f>
        <v/>
      </c>
      <c r="E449" s="8" t="str">
        <f>IF($A449="","",UPPER(TRIM(INDEX(FORM!$D:$D,ROW()))))</f>
        <v/>
      </c>
      <c r="F449" s="8" t="str">
        <f>IF($A449="","",IFERROR(INDEX(PROGRES!$A$2:$A$92,MATCH(E449,PROGRES!$B$2:$B$92,0)),"-"))</f>
        <v/>
      </c>
      <c r="G449" s="8" t="str">
        <f>IF($A449="","",UPPER(TRIM(INDEX(FORM!$F:$F,ROW()))))</f>
        <v/>
      </c>
      <c r="H449" s="8" t="str">
        <f>IF($A449="","",UPPER(TRIM(INDEX(FORM!$E:$E,ROW()))))</f>
        <v/>
      </c>
      <c r="I449" s="8" t="str">
        <f>IF($A449="","",UPPER(TRIM(INDEX(FORM!$G:$G,ROW()))))</f>
        <v/>
      </c>
      <c r="J449" s="8" t="str">
        <f>IF($A449="","",IF(ISNUMBER(SEARCH("Ya,",INDEX(FORM!$H:$H,ROW()))),"YA",IF(ISNUMBER(SEARCH("Cukup,",INDEX(FORM!$H:$H,ROW()))),"CUKUP",IF(ISNUMBER(SEARCH("Kurang,",INDEX(FORM!$H:$H,ROW()))),"KURANG",""))))</f>
        <v/>
      </c>
      <c r="K449" s="8" t="str">
        <f>IF($A449="","",UPPER(TRIM(INDEX(FORM!$J:$J,ROW()))))</f>
        <v/>
      </c>
      <c r="L449" s="8" t="str">
        <f>IF($A449="","",IF(ISNUMBER(SEARCH("Aktivitas Harian",INDEX(FORM!$K:$K,ROW()))),1,0))</f>
        <v/>
      </c>
      <c r="M449" s="8" t="str">
        <f>IF($A449="","",IF(ISNUMBER(SEARCH("Aktivitas Mingguan",INDEX(FORM!$K:$K,ROW()))),1,0))</f>
        <v/>
      </c>
      <c r="N449" s="8" t="str">
        <f>IF($A449="","",IF(ISNUMBER(SEARCH("Aktivitas Bulanan",INDEX(FORM!$K:$K,ROW()))),1,0))</f>
        <v/>
      </c>
      <c r="O449" s="8" t="str">
        <f>IF($A449="","",IF(ISNUMBER(SEARCH("Overview Cabang",INDEX(FORM!$K:$K,ROW()))),1,0))</f>
        <v/>
      </c>
      <c r="P449" s="8" t="str">
        <f>IF($A449="","",IFERROR(VLOOKUP(I449,DATA!$AH$9:$AI$13,2,0),""))</f>
        <v/>
      </c>
      <c r="Q449" s="8" t="str">
        <f>IF($A449="","",IFERROR(VLOOKUP(J449,DATA!$AH$9:$AI$13,2,0),""))</f>
        <v/>
      </c>
      <c r="R449" s="8" t="str">
        <f>IF($A449="","",IFERROR(VLOOKUP(K449,DATA!$AH$9:$AI$13,2,0),""))</f>
        <v/>
      </c>
      <c r="S449" s="42" t="str">
        <f t="shared" si="132"/>
        <v/>
      </c>
      <c r="T449" s="8" t="str">
        <f>IF($A449="","",IF(COUNTIF($D$2:D449,D449)=1,1,0))</f>
        <v/>
      </c>
      <c r="U449" s="8" t="str">
        <f>IF($A449="","",IF(F449="-","Cabang tdk ada",IF(IFERROR(VLOOKUP(G449,#REF!,1,0),"")="","",IF(INDEX(DATA!$AH$2:$AH$5,MATCH(G449,DATA!$AI$2:$AI$5,0))&lt;&gt;F449,"Wilayah beda","OK"))))</f>
        <v/>
      </c>
      <c r="V449" s="8" t="str">
        <f>IF($A449="","",TRIM(INDEX(FORM!$I:$I,ROW())&amp;""))</f>
        <v/>
      </c>
      <c r="W449" s="8" t="str">
        <f>IF($A449="","",TRIM(INDEX(FORM!$L:$L,ROW())&amp;""))</f>
        <v/>
      </c>
      <c r="X449" s="8" t="str">
        <f>IF($A449="","",TRIM(INDEX(FORM!$M:$M,ROW())&amp;""))</f>
        <v/>
      </c>
      <c r="Y449" s="8" t="str">
        <f>IF($A449="","",IFERROR(MATCH(F449,DATA!$AH$2:$AH$5,0),9)*10000+A449)</f>
        <v/>
      </c>
      <c r="Z449" s="8" t="str">
        <f t="shared" si="133"/>
        <v/>
      </c>
      <c r="AA449" s="8" t="str">
        <f t="shared" si="134"/>
        <v/>
      </c>
      <c r="AB449" s="8" t="str">
        <f t="shared" si="135"/>
        <v/>
      </c>
      <c r="AC449" s="8"/>
      <c r="AD449" s="8"/>
      <c r="AE449" s="8"/>
      <c r="AK449" s="5" t="str">
        <f t="shared" si="136"/>
        <v/>
      </c>
      <c r="AL449" s="5" t="str">
        <f t="shared" si="137"/>
        <v/>
      </c>
      <c r="AM449" s="5" t="str">
        <f t="shared" si="138"/>
        <v/>
      </c>
      <c r="AN449" s="5" t="str">
        <f t="shared" si="139"/>
        <v/>
      </c>
      <c r="AO449" s="5" t="str">
        <f t="shared" si="140"/>
        <v/>
      </c>
      <c r="AP449" s="5" t="str">
        <f t="shared" si="141"/>
        <v/>
      </c>
      <c r="AQ449" s="5" t="str">
        <f t="shared" si="142"/>
        <v/>
      </c>
      <c r="AR449" s="5" t="str">
        <f t="shared" si="143"/>
        <v/>
      </c>
      <c r="AS449" s="5" t="str">
        <f t="shared" si="144"/>
        <v/>
      </c>
      <c r="AT449" s="5" t="str">
        <f t="shared" si="145"/>
        <v/>
      </c>
      <c r="AU449" s="5" t="str">
        <f t="shared" si="146"/>
        <v/>
      </c>
      <c r="AV449" s="5" t="str">
        <f t="shared" si="147"/>
        <v/>
      </c>
      <c r="AW449" s="5" t="str">
        <f t="shared" si="148"/>
        <v/>
      </c>
      <c r="AX449" s="5" t="str">
        <f t="shared" si="149"/>
        <v/>
      </c>
      <c r="AY449" s="5" t="str">
        <f t="shared" si="150"/>
        <v/>
      </c>
      <c r="AZ449" s="5" t="str">
        <f t="shared" si="151"/>
        <v/>
      </c>
      <c r="BA449" s="5" t="str">
        <f t="shared" si="152"/>
        <v/>
      </c>
      <c r="BB449" s="5" t="str">
        <f t="shared" si="153"/>
        <v/>
      </c>
    </row>
    <row r="450" spans="1:54" s="5" customFormat="1" hidden="1">
      <c r="A450" s="8" t="str">
        <f>IF(INDEX(FORM!$A:$A,ROW())="","",ROW()-1)</f>
        <v/>
      </c>
      <c r="B450" s="41" t="str">
        <f>IF($A450="","",INDEX(FORM!$A:$A,ROW()))</f>
        <v/>
      </c>
      <c r="C450" s="8" t="str">
        <f>IF($A450="","",TRIM(INDEX(FORM!$B:$B,ROW())))</f>
        <v/>
      </c>
      <c r="D450" s="8" t="str">
        <f>IF($A450="","",TRIM(INDEX(FORM!$C:$C,ROW())&amp;""))</f>
        <v/>
      </c>
      <c r="E450" s="8" t="str">
        <f>IF($A450="","",UPPER(TRIM(INDEX(FORM!$D:$D,ROW()))))</f>
        <v/>
      </c>
      <c r="F450" s="8" t="str">
        <f>IF($A450="","",IFERROR(INDEX(PROGRES!$A$2:$A$92,MATCH(E450,PROGRES!$B$2:$B$92,0)),"-"))</f>
        <v/>
      </c>
      <c r="G450" s="8" t="str">
        <f>IF($A450="","",UPPER(TRIM(INDEX(FORM!$F:$F,ROW()))))</f>
        <v/>
      </c>
      <c r="H450" s="8" t="str">
        <f>IF($A450="","",UPPER(TRIM(INDEX(FORM!$E:$E,ROW()))))</f>
        <v/>
      </c>
      <c r="I450" s="8" t="str">
        <f>IF($A450="","",UPPER(TRIM(INDEX(FORM!$G:$G,ROW()))))</f>
        <v/>
      </c>
      <c r="J450" s="8" t="str">
        <f>IF($A450="","",IF(ISNUMBER(SEARCH("Ya,",INDEX(FORM!$H:$H,ROW()))),"YA",IF(ISNUMBER(SEARCH("Cukup,",INDEX(FORM!$H:$H,ROW()))),"CUKUP",IF(ISNUMBER(SEARCH("Kurang,",INDEX(FORM!$H:$H,ROW()))),"KURANG",""))))</f>
        <v/>
      </c>
      <c r="K450" s="8" t="str">
        <f>IF($A450="","",UPPER(TRIM(INDEX(FORM!$J:$J,ROW()))))</f>
        <v/>
      </c>
      <c r="L450" s="8" t="str">
        <f>IF($A450="","",IF(ISNUMBER(SEARCH("Aktivitas Harian",INDEX(FORM!$K:$K,ROW()))),1,0))</f>
        <v/>
      </c>
      <c r="M450" s="8" t="str">
        <f>IF($A450="","",IF(ISNUMBER(SEARCH("Aktivitas Mingguan",INDEX(FORM!$K:$K,ROW()))),1,0))</f>
        <v/>
      </c>
      <c r="N450" s="8" t="str">
        <f>IF($A450="","",IF(ISNUMBER(SEARCH("Aktivitas Bulanan",INDEX(FORM!$K:$K,ROW()))),1,0))</f>
        <v/>
      </c>
      <c r="O450" s="8" t="str">
        <f>IF($A450="","",IF(ISNUMBER(SEARCH("Overview Cabang",INDEX(FORM!$K:$K,ROW()))),1,0))</f>
        <v/>
      </c>
      <c r="P450" s="8" t="str">
        <f>IF($A450="","",IFERROR(VLOOKUP(I450,DATA!$AH$9:$AI$13,2,0),""))</f>
        <v/>
      </c>
      <c r="Q450" s="8" t="str">
        <f>IF($A450="","",IFERROR(VLOOKUP(J450,DATA!$AH$9:$AI$13,2,0),""))</f>
        <v/>
      </c>
      <c r="R450" s="8" t="str">
        <f>IF($A450="","",IFERROR(VLOOKUP(K450,DATA!$AH$9:$AI$13,2,0),""))</f>
        <v/>
      </c>
      <c r="S450" s="42" t="str">
        <f t="shared" ref="S450:S513" si="154">IF($A450="","",IFERROR(AVERAGE(P450:R450),""))</f>
        <v/>
      </c>
      <c r="T450" s="8" t="str">
        <f>IF($A450="","",IF(COUNTIF($D$2:D450,D450)=1,1,0))</f>
        <v/>
      </c>
      <c r="U450" s="8" t="str">
        <f>IF($A450="","",IF(F450="-","Cabang tdk ada",IF(IFERROR(VLOOKUP(G450,#REF!,1,0),"")="","",IF(INDEX(DATA!$AH$2:$AH$5,MATCH(G450,DATA!$AI$2:$AI$5,0))&lt;&gt;F450,"Wilayah beda","OK"))))</f>
        <v/>
      </c>
      <c r="V450" s="8" t="str">
        <f>IF($A450="","",TRIM(INDEX(FORM!$I:$I,ROW())&amp;""))</f>
        <v/>
      </c>
      <c r="W450" s="8" t="str">
        <f>IF($A450="","",TRIM(INDEX(FORM!$L:$L,ROW())&amp;""))</f>
        <v/>
      </c>
      <c r="X450" s="8" t="str">
        <f>IF($A450="","",TRIM(INDEX(FORM!$M:$M,ROW())&amp;""))</f>
        <v/>
      </c>
      <c r="Y450" s="8" t="str">
        <f>IF($A450="","",IFERROR(MATCH(F450,DATA!$AH$2:$AH$5,0),9)*10000+A450)</f>
        <v/>
      </c>
      <c r="Z450" s="8" t="str">
        <f t="shared" ref="Z450:Z513" si="155">IF($A450="","",IF(LEN(SUBSTITUTE(SUBSTITUTE(SUBSTITUTE(V450,"-",""),".",""),"?",""))&lt;2,"Tidak ada masukan / sudah baik",IF(OR(ISNUMBER(SEARCH("memang harus",V450&amp;" "))),"Tidak ada masukan / sudah baik",IF(OR(ISNUMBER(SEARCH("lemot",V450&amp;" ")),ISNUMBER(SEARCH("loading",V450&amp;" ")),ISNUMBER(SEARCH("lambat",V450&amp;" ")),ISNUMBER(SEARCH("kecepatan",V450&amp;" ")),ISNUMBER(SEARCH("koneksi",V450&amp;" ")),ISNUMBER(SEARCH("eroro",V450&amp;" ")),ISNUMBER(SEARCH("error",V450&amp;" ")),ISNUMBER(SEARCH("ketutup",V450&amp;" "))),"Kecepatan &amp; Loading Website",IF(OR(ISNUMBER(SEARCH("kontak",V450&amp;" ")),ISNUMBER(SEARCH("pic",V450&amp;" ")),ISNUMBER(SEARCH("darurat",V450&amp;" "))),"Kontak &amp; Informasi PIC",IF(OR(ISNUMBER(SEARCH("sacs",V450&amp;" ")),ISNUMBER(SEARCH("aplikasi",V450&amp;" ")),ISNUMBER(SEARCH("kinerja",V450&amp;" ")),ISNUMBER(SEARCH("seluruh cabang",V450&amp;" "))),"Integrasi dengan SACS / Aplikasi",IF(OR(ISNUMBER(SEARCH("mobile",V450&amp;" ")),ISNUMBER(SEARCH("lebih responsif",V450&amp;" ")),ISNUMBER(SEARCH("scroll",V450&amp;" ")),ISNUMBER(SEARCH("melebar",V450&amp;" "))),"Tampilan di HP (Responsif)",IF(OR(ISNUMBER(SEARCH("simpel",V450&amp;" ")),ISNUMBER(SEARCH("simple",V450&amp;" ")),ISNUMBER(SEARCH("sederhana",V450&amp;" ")),ISNUMBER(SEARCH("ringkas",V450&amp;" ")),ISNUMBER(SEARCH("intinya",V450&amp;" ")),ISNUMBER(SEARCH("panjang lebar",V450&amp;" ")),ISNUMBER(SEARCH("mudah dipahami lagi",V450&amp;" ")),ISNUMBER(SEARCH("tata letak",V450&amp;" ")),ISNUMBER(SEARCH("harus mencari",V450&amp;" "))),"Penyederhanaan &amp; Ringkas Isi",IF(OR(ISNUMBER(SEARCH("menu ",V450&amp;" ")),ISNUMBER(SEARCH("tiap posisi",V450&amp;" ")),ISNUMBER(SEARCH("pilihan antara",V450&amp;" "))),"Menu per Jabatan / Navigasi",IF(OR(ISNUMBER(SEARCH("video",V450&amp;" ")),ISNUMBER(SEARCH("vidio",V450&amp;" ")),ISNUMBER(SEARCH("bagan",V450&amp;" ")),ISNUMBER(SEARCH("gambar",V450&amp;" ")),ISNUMBER(SEARCH("qna",V450&amp;" "))),"Tambah Video / Bagan",IF(OR(ISNUMBER(SEARCH("menarik",V450&amp;" ")),ISNUMBER(SEARCH("design",V450&amp;" ")),ISNUMBER(SEARCH("desain",V450&amp;" ")),ISNUMBER(SEARCH("font",V450&amp;" ")),ISNUMBER(SEARCH("warna",V450&amp;" ")),ISNUMBER(SEARCH("soft",V450&amp;" ")),ISNUMBER(SEARCH("kaku",V450&amp;" ")),ISNUMBER(SEARCH("elegan",V450&amp;" ")),ISNUMBER(SEARCH("grafis",V450&amp;" ")),ISNUMBER(SEARCH("visual",V450&amp;" ")),ISNUMBER(SEARCH("logo",V450&amp;" ")),ISNUMBER(SEARCH("jenuh",V450&amp;" ")),ISNUMBER(SEARCH("abu",V450&amp;" ")),ISNUMBER(SEARCH("tampilannya",V450&amp;" ")),ISNUMBER(SEARCH("tampilan dibuat",V450&amp;" ")),ISNUMBER(SEARCH("tamoilan",V450&amp;" ")),ISNUMBER(SEARCH("lebih user friendly",V450&amp;" "))),"Desain, Warna &amp; Font",IF(OR(ISNUMBER(SEARCH("perbanyak",V450&amp;" ")),ISNUMBER(SEARCH("jabarkan",V450&amp;" ")),ISNUMBER(SEARCH("jobdesk",V450&amp;" ")),ISNUMBER(SEARCH("pengajuan",V450&amp;" ")),ISNUMBER(SEARCH("informasi",V450&amp;" "))),"Penambahan Isi / Penjelasan",IF(OR(ISNUMBER(SEARCH("tingkat",V450&amp;" ")),ISNUMBER(SEARCH("kembang",V450&amp;" ")),ISNUMBER(SEARCH("lebih baik lagi",V450&amp;" ")),ISNUMBER(SEARCH("maksimal",V450&amp;" ")),ISNUMBER(SEARCH("penikatan",V450&amp;" "))),"Saran Umum Peningkatan",IF(OR(ISNUMBER(SEARCH("tidak",V450&amp;" ")),ISNUMBER(SEARCH("tdk",V450&amp;" ")),ISNUMBER(SEARCH("sudah",V450&amp;" ")),ISNUMBER(SEARCH("sdh",V450&amp;" ")),ISNUMBER(SEARCH("cukup",V450&amp;" ")),ISNUMBER(SEARCH("baik",V450&amp;" ")),ISNUMBER(SEARCH("bagus",V450&amp;" ")),ISNUMBER(SEARCH("ok",V450&amp;" ")),ISNUMBER(SEARCH("good",V450&amp;" ")),ISNUMBER(SEARCH("aman",V450&amp;" ")),ISNUMBER(SEARCH("lanjut",V450&amp;" ")),ISNUMBER(SEARCH("mantap",V450&amp;" ")),ISNUMBER(SEARCH("josjis",V450&amp;" ")),ISNUMBER(SEARCH("lumayan",V450&amp;" ")),ISNUMBER(SEARCH("mudah",V450&amp;" ")),ISNUMBER(SEARCH("belum",V450&amp;" ")),ISNUMBER(SEARCH("membantu",V450&amp;" ")),ISNUMBER(SEARCH("comment",V450&amp;" ")),ISNUMBER(SEARCH("lengkap",V450&amp;" ")),ISNUMBER(SEARCH("tercakup",V450&amp;" ")),ISNUMBER(SEARCH("mencakup",V450&amp;" ")),ISNUMBER(SEARCH("semua",V450&amp;" ")),ISNUMBER(SEARCH("penting",V450&amp;" ")),ISNUMBER(SEARCH("terangkum",V450&amp;" ")),ISNUMBER(SEARCH("pas",V450&amp;" ")),ISNUMBER(SEARCH("berjalan",V450&amp;" ")),ISNUMBER(SEARCH("sesuai",V450&amp;" "))),"Tidak ada masukan / sudah baik","Lainnya (perlu dibaca manual)"))))))))))))))</f>
        <v/>
      </c>
      <c r="AA450" s="8" t="str">
        <f t="shared" ref="AA450:AA513" si="156">IF($A450="","",IF(LEN(SUBSTITUTE(SUBSTITUTE(SUBSTITUTE(W450,"-",""),".",""),"?",""))&lt;2,"Tidak ada masukan / sudah baik",IF(OR(ISNUMBER(SEARCH("tampilan",W450&amp;" ")),ISNUMBER(SEARCH("lemot",W450&amp;" "))),"Bukan Terkait SOP (Tampilan / Akses)",IF(OR(ISNUMBER(SEARCH("sanksi",W450&amp;" ")),ISNUMBER(SEARCH("pelanggaran",W450&amp;" ")),ISNUMBER(SEARCH("larangan",W450&amp;" ")),ISNUMBER(SEARCH("rekening pribadi",W450&amp;" "))),"Sanksi &amp; Pelanggaran SOP",IF(OR(ISNUMBER(SEARCH("npl",W450&amp;" ")),ISNUMBER(SEARCH("piutang",W450&amp;" ")),ISNUMBER(SEARCH("rekon",W450&amp;" ")),ISNUMBER(SEARCH("overdue",W450&amp;" ")),ISNUMBER(SEARCH("restruk",W450&amp;" ")),ISNUMBER(SEARCH("tempo",W450&amp;" "))),"Piutang &amp; Pelanggan Bermasalah",IF(OR(ISNUMBER(SEARCH("kiriman",W450&amp;" ")),ISNUMBER(SEARCH("pengiriman",W450&amp;" ")),ISNUMBER(SEARCH("retur",W450&amp;" ")),ISNUMBER(SEARCH("barang",W450&amp;" "))),"Pengiriman, Retur &amp; Logistik",IF(OR(ISNUMBER(SEARCH("contact",W450&amp;" ")),ISNUMBER(SEARCH("kontak",W450&amp;" ")),ISNUMBER(SEARCH("pic",W450&amp;" ")),ISNUMBER(SEARCH("berwenang",W450&amp;" ")),ISNUMBER(SEARCH("follow up",W450&amp;" ")),ISNUMBER(SEARCH("eskalasi",W450&amp;" "))),"Kontak PIC &amp; Eskalasi",IF(OR(ISNUMBER(SEARCH("laporan evaluasi",W450&amp;" ")),ISNUMBER(SEARCH("aplikasi cp",W450&amp;" ")),ISNUMBER(SEARCH("flowchart",W450&amp;" ")),ISNUMBER(SEARCH("acuan",W450&amp;" ")),ISNUMBER(SEARCH("poa",W450&amp;" ")),ISNUMBER(SEARCH("aktifitas",W450&amp;" ")),ISNUMBER(SEARCH("aktivitas",W450&amp;" "))),"Panduan Laporan &amp; Alur Kerja",IF(OR(ISNUMBER(SEARCH("notifikasi",W450&amp;" ")),ISNUMBER(SEARCH("pembaruan",W450&amp;" ")),ISNUMBER(SEARCH("perubahan",W450&amp;" ")),ISNUMBER(SEARCH("update",W450&amp;" "))),"Pembaruan &amp; Notifikasi SOP",IF(OR(ISNUMBER(SEARCH("tidak",W450&amp;" ")),ISNUMBER(SEARCH("tdk",W450&amp;" ")),ISNUMBER(SEARCH("sudah",W450&amp;" ")),ISNUMBER(SEARCH("sdh",W450&amp;" ")),ISNUMBER(SEARCH("cukup",W450&amp;" ")),ISNUMBER(SEARCH("baik",W450&amp;" ")),ISNUMBER(SEARCH("bagus",W450&amp;" ")),ISNUMBER(SEARCH("ok",W450&amp;" ")),ISNUMBER(SEARCH("good",W450&amp;" ")),ISNUMBER(SEARCH("aman",W450&amp;" ")),ISNUMBER(SEARCH("lanjut",W450&amp;" ")),ISNUMBER(SEARCH("mantap",W450&amp;" ")),ISNUMBER(SEARCH("josjis",W450&amp;" ")),ISNUMBER(SEARCH("lumayan",W450&amp;" ")),ISNUMBER(SEARCH("mudah",W450&amp;" ")),ISNUMBER(SEARCH("belum",W450&amp;" ")),ISNUMBER(SEARCH("membantu",W450&amp;" ")),ISNUMBER(SEARCH("comment",W450&amp;" ")),ISNUMBER(SEARCH("lengkap",W450&amp;" ")),ISNUMBER(SEARCH("tercakup",W450&amp;" ")),ISNUMBER(SEARCH("mencakup",W450&amp;" ")),ISNUMBER(SEARCH("semua",W450&amp;" ")),ISNUMBER(SEARCH("penting",W450&amp;" ")),ISNUMBER(SEARCH("terangkum",W450&amp;" ")),ISNUMBER(SEARCH("pas",W450&amp;" ")),ISNUMBER(SEARCH("berjalan",W450&amp;" ")),ISNUMBER(SEARCH("sesuai",W450&amp;" "))),"Tidak ada masukan / sudah baik","Lainnya (perlu dibaca manual)"))))))))))</f>
        <v/>
      </c>
      <c r="AB450" s="8" t="str">
        <f t="shared" ref="AB450:AB513" si="157">IF($A450="","",IF(LEN(SUBSTITUTE(SUBSTITUTE(SUBSTITUTE(X450,"-",""),".",""),"?",""))&lt;2,"Tidak ada masukan / sudah baik",IF(OR(ISNUMBER(SEARCH("urgent",X450&amp;" "))),"Lainnya (perlu dibaca manual)",IF(OR(ISNUMBER(SEARCH("struktur organisasi",X450&amp;" ")),ISNUMBER(SEARCH("pic",X450&amp;" ")),ISNUMBER(SEARCH("cp",X450&amp;" ")),ISNUMBER(SEARCH("personil",X450&amp;" ")),ISNUMBER(SEARCH("sales",X450&amp;" ")),ISNUMBER(SEARCH("muka",X450&amp;" ")),ISNUMBER(SEARCH("eskalasi",X450&amp;" "))),"Struktur Organisasi, PIC &amp; Tim",IF(OR(ISNUMBER(SEARCH("lemot",X450&amp;" ")),ISNUMBER(SEARCH("lambat",X450&amp;" ")),ISNUMBER(SEARCH("memuat",X450&amp;" ")),ISNUMBER(SEARCH("koneksi",X450&amp;" "))),"Kecepatan Akses Website",IF(OR(ISNUMBER(SEARCH("sacs",X450&amp;" ")),ISNUMBER(SEARCH("aplikasi",X450&amp;" "))),"Integrasi ke SACS / Aplikasi Kerja",IF(OR(ISNUMBER(SEARCH("dashboard",X450&amp;" ")),ISNUMBER(SEARCH("kpi",X450&amp;" ")),ISNUMBER(SEARCH("database",X450&amp;" ")),ISNUMBER(SEARCH("kinerja",X450&amp;" ")),ISNUMBER(SEARCH("seluruh cabang",X450&amp;" "))),"Fitur Baru (Dashboard / KPI / Database)",IF(OR(ISNUMBER(SEARCH("video",X450&amp;" ")),ISNUMBER(SEARCH("gambar",X450&amp;" ")),ISNUMBER(SEARCH("jpg",X450&amp;" ")),ISNUMBER(SEARCH("flowchart",X450&amp;" ")),ISNUMBER(SEARCH("tutorial",X450&amp;" "))),"Tambah Video / Gambar / Flowchart",IF(OR(ISNUMBER(SEARCH("template",X450&amp;" ")),ISNUMBER(SEARCH("surat",X450&amp;" ")),ISNUMBER(SEARCH("korin",X450&amp;" ")),ISNUMBER(SEARCH("overdue",X450&amp;" ")),ISNUMBER(SEARCH("restruk",X450&amp;" ")),ISNUMBER(SEARCH("tempo",X450&amp;" ")),ISNUMBER(SEARCH("larangan",X450&amp;" ")),ISNUMBER(SEARCH("posisi lain",X450&amp;" ")),ISNUMBER(SEARCH("jobdesk",X450&amp;" ")),ISNUMBER(SEARCH("jobdisk",X450&amp;" ")),ISNUMBER(SEARCH("langkah",X450&amp;" ")),ISNUMBER(SEARCH("detail",X450&amp;" ")),ISNUMBER(SEARCH("panduan",X450&amp;" ")),ISNUMBER(SEARCH("lengkap lagi",X450&amp;" ")),ISNUMBER(SEARCH("tips",X450&amp;" "))),"Penambahan Materi &amp; Template",IF(OR(ISNUMBER(SEARCH("simpel",X450&amp;" ")),ISNUMBER(SEARCH("simple",X450&amp;" ")),ISNUMBER(SEARCH("ringkas",X450&amp;" ")),ISNUMBER(SEARCH("monoton",X450&amp;" ")),ISNUMBER(SEARCH("penataan",X450&amp;" "))),"Penyederhanaan Isi",IF(OR(ISNUMBER(SEARCH("menarik",X450&amp;" ")),ISNUMBER(SEARCH("design",X450&amp;" ")),ISNUMBER(SEARCH("desain",X450&amp;" ")),ISNUMBER(SEARCH("tampilan",X450&amp;" ")),ISNUMBER(SEARCH("kaku",X450&amp;" ")),ISNUMBER(SEARCH("user friendly",X450&amp;" "))),"Desain Tampilan",IF(OR(ISNUMBER(SEARCH("update",X450&amp;" ")),ISNUMBER(SEARCH("terbaru",X450&amp;" ")),ISNUMBER(SEARCH("terkini",X450&amp;" ")),ISNUMBER(SEARCH("uptodate",X450&amp;" "))),"Update Informasi Berkala",IF(OR(ISNUMBER(SEARCH("tingkat",X450&amp;" ")),ISNUMBER(SEARCH("kembang",X450&amp;" ")),ISNUMBER(SEARCH("inovasi",X450&amp;" ")),ISNUMBER(SEARCH("maintenance",X450&amp;" "))),"Saran Umum Peningkatan",IF(OR(ISNUMBER(SEARCH("tidak",X450&amp;" ")),ISNUMBER(SEARCH("tdk",X450&amp;" ")),ISNUMBER(SEARCH("sudah",X450&amp;" ")),ISNUMBER(SEARCH("sdh",X450&amp;" ")),ISNUMBER(SEARCH("cukup",X450&amp;" ")),ISNUMBER(SEARCH("baik",X450&amp;" ")),ISNUMBER(SEARCH("bagus",X450&amp;" ")),ISNUMBER(SEARCH("ok",X450&amp;" ")),ISNUMBER(SEARCH("good",X450&amp;" ")),ISNUMBER(SEARCH("aman",X450&amp;" ")),ISNUMBER(SEARCH("lanjut",X450&amp;" ")),ISNUMBER(SEARCH("mantap",X450&amp;" ")),ISNUMBER(SEARCH("josjis",X450&amp;" ")),ISNUMBER(SEARCH("lumayan",X450&amp;" ")),ISNUMBER(SEARCH("mudah",X450&amp;" ")),ISNUMBER(SEARCH("belum",X450&amp;" ")),ISNUMBER(SEARCH("membantu",X450&amp;" ")),ISNUMBER(SEARCH("comment",X450&amp;" ")),ISNUMBER(SEARCH("lengkap",X450&amp;" ")),ISNUMBER(SEARCH("tercakup",X450&amp;" ")),ISNUMBER(SEARCH("mencakup",X450&amp;" ")),ISNUMBER(SEARCH("semua",X450&amp;" ")),ISNUMBER(SEARCH("penting",X450&amp;" ")),ISNUMBER(SEARCH("terangkum",X450&amp;" ")),ISNUMBER(SEARCH("pas",X450&amp;" ")),ISNUMBER(SEARCH("berjalan",X450&amp;" ")),ISNUMBER(SEARCH("sesuai",X450&amp;" "))),"Tidak ada masukan / sudah baik","Lainnya (perlu dibaca manual)"))))))))))))))</f>
        <v/>
      </c>
      <c r="AC450" s="8"/>
      <c r="AD450" s="8"/>
      <c r="AE450" s="8"/>
      <c r="AK450" s="5" t="str">
        <f t="shared" ref="AK450:AK513" si="158">IF($A450="","",IF(OR($Z450="Kecepatan &amp; Loading Website",$AB450="Kecepatan Akses Website",AND($AA450="Bukan Terkait SOP (Tampilan / Akses)",OR(ISNUMBER(SEARCH("lemot",$W450)),ISNUMBER(SEARCH("loading",$W450)),ISNUMBER(SEARCH("lambat",$W450))))),1,0))</f>
        <v/>
      </c>
      <c r="AL450" s="5" t="str">
        <f t="shared" ref="AL450:AL513" si="159">IF($A450="","",IF(OR($Z450="Tampilan di HP (Responsif)"),1,0))</f>
        <v/>
      </c>
      <c r="AM450" s="5" t="str">
        <f t="shared" ref="AM450:AM513" si="160">IF($A450="","",IF(OR($Z450="Desain, Warna &amp; Font",$AB450="Desain Tampilan",AND($AA450="Bukan Terkait SOP (Tampilan / Akses)",NOT(OR(ISNUMBER(SEARCH("lemot",$W450)),ISNUMBER(SEARCH("loading",$W450)),ISNUMBER(SEARCH("lambat",$W450)))))),1,0))</f>
        <v/>
      </c>
      <c r="AN450" s="5" t="str">
        <f t="shared" ref="AN450:AN513" si="161">IF($A450="","",IF(OR($Z450="Menu per Jabatan / Navigasi"),1,0))</f>
        <v/>
      </c>
      <c r="AO450" s="5" t="str">
        <f t="shared" ref="AO450:AO513" si="162">IF($A450="","",IF(OR($Z450="Integrasi dengan SACS / Aplikasi",$AB450="Integrasi ke SACS / Aplikasi Kerja"),1,0))</f>
        <v/>
      </c>
      <c r="AP450" s="5" t="str">
        <f t="shared" ref="AP450:AP513" si="163">IF($A450="","",IF(OR($AB450="Fitur Baru (Dashboard / KPI / Database)"),1,0))</f>
        <v/>
      </c>
      <c r="AQ450" s="5" t="str">
        <f t="shared" ref="AQ450:AQ513" si="164">IF($A450="","",IF(OR($Z450="Penyederhanaan &amp; Ringkas Isi",$AB450="Penyederhanaan Isi"),1,0))</f>
        <v/>
      </c>
      <c r="AR450" s="5" t="str">
        <f t="shared" ref="AR450:AR513" si="165">IF($A450="","",IF(OR($Z450="Penambahan Isi / Penjelasan",$AB450="Penambahan Materi &amp; Template"),1,0))</f>
        <v/>
      </c>
      <c r="AS450" s="5" t="str">
        <f t="shared" ref="AS450:AS513" si="166">IF($A450="","",IF(OR($Z450="Tambah Video / Bagan",$AB450="Tambah Video / Gambar / Flowchart"),1,0))</f>
        <v/>
      </c>
      <c r="AT450" s="5" t="str">
        <f t="shared" ref="AT450:AT513" si="167">IF($A450="","",IF(OR($Z450="Kontak &amp; Informasi PIC",$AA450="Kontak PIC &amp; Eskalasi",$AB450="Struktur Organisasi, PIC &amp; Tim"),1,0))</f>
        <v/>
      </c>
      <c r="AU450" s="5" t="str">
        <f t="shared" ref="AU450:AU513" si="168">IF($A450="","",IF(OR($AA450="Pembaruan &amp; Notifikasi SOP",$AB450="Update Informasi Berkala"),1,0))</f>
        <v/>
      </c>
      <c r="AV450" s="5" t="str">
        <f t="shared" ref="AV450:AV513" si="169">IF($A450="","",IF(OR($AA450="Sanksi &amp; Pelanggaran SOP"),1,0))</f>
        <v/>
      </c>
      <c r="AW450" s="5" t="str">
        <f t="shared" ref="AW450:AW513" si="170">IF($A450="","",IF(OR($AA450="Piutang &amp; Pelanggan Bermasalah"),1,0))</f>
        <v/>
      </c>
      <c r="AX450" s="5" t="str">
        <f t="shared" ref="AX450:AX513" si="171">IF($A450="","",IF(OR($AA450="Pengiriman, Retur &amp; Logistik"),1,0))</f>
        <v/>
      </c>
      <c r="AY450" s="5" t="str">
        <f t="shared" ref="AY450:AY513" si="172">IF($A450="","",IF(OR($AA450="Panduan Laporan &amp; Alur Kerja"),1,0))</f>
        <v/>
      </c>
      <c r="AZ450" s="5" t="str">
        <f t="shared" ref="AZ450:AZ513" si="173">IF($A450="","",IF(OR($Z450="Saran Umum Peningkatan",$AB450="Saran Umum Peningkatan"),1,0))</f>
        <v/>
      </c>
      <c r="BA450" s="5" t="str">
        <f t="shared" ref="BA450:BA513" si="174">IF($A450="","",IF(OR($Z450="Lainnya (perlu dibaca manual)",$AA450="Lainnya (perlu dibaca manual)",$AB450="Lainnya (perlu dibaca manual)"),1,0))</f>
        <v/>
      </c>
      <c r="BB450" s="5" t="str">
        <f t="shared" ref="BB450:BB513" si="175">IF($A450="","",IF(AND($Z450="Tidak ada masukan / sudah baik",$AA450="Tidak ada masukan / sudah baik",$AB450="Tidak ada masukan / sudah baik"),0,1))</f>
        <v/>
      </c>
    </row>
    <row r="451" spans="1:54" s="5" customFormat="1" hidden="1">
      <c r="A451" s="8" t="str">
        <f>IF(INDEX(FORM!$A:$A,ROW())="","",ROW()-1)</f>
        <v/>
      </c>
      <c r="B451" s="41" t="str">
        <f>IF($A451="","",INDEX(FORM!$A:$A,ROW()))</f>
        <v/>
      </c>
      <c r="C451" s="8" t="str">
        <f>IF($A451="","",TRIM(INDEX(FORM!$B:$B,ROW())))</f>
        <v/>
      </c>
      <c r="D451" s="8" t="str">
        <f>IF($A451="","",TRIM(INDEX(FORM!$C:$C,ROW())&amp;""))</f>
        <v/>
      </c>
      <c r="E451" s="8" t="str">
        <f>IF($A451="","",UPPER(TRIM(INDEX(FORM!$D:$D,ROW()))))</f>
        <v/>
      </c>
      <c r="F451" s="8" t="str">
        <f>IF($A451="","",IFERROR(INDEX(PROGRES!$A$2:$A$92,MATCH(E451,PROGRES!$B$2:$B$92,0)),"-"))</f>
        <v/>
      </c>
      <c r="G451" s="8" t="str">
        <f>IF($A451="","",UPPER(TRIM(INDEX(FORM!$F:$F,ROW()))))</f>
        <v/>
      </c>
      <c r="H451" s="8" t="str">
        <f>IF($A451="","",UPPER(TRIM(INDEX(FORM!$E:$E,ROW()))))</f>
        <v/>
      </c>
      <c r="I451" s="8" t="str">
        <f>IF($A451="","",UPPER(TRIM(INDEX(FORM!$G:$G,ROW()))))</f>
        <v/>
      </c>
      <c r="J451" s="8" t="str">
        <f>IF($A451="","",IF(ISNUMBER(SEARCH("Ya,",INDEX(FORM!$H:$H,ROW()))),"YA",IF(ISNUMBER(SEARCH("Cukup,",INDEX(FORM!$H:$H,ROW()))),"CUKUP",IF(ISNUMBER(SEARCH("Kurang,",INDEX(FORM!$H:$H,ROW()))),"KURANG",""))))</f>
        <v/>
      </c>
      <c r="K451" s="8" t="str">
        <f>IF($A451="","",UPPER(TRIM(INDEX(FORM!$J:$J,ROW()))))</f>
        <v/>
      </c>
      <c r="L451" s="8" t="str">
        <f>IF($A451="","",IF(ISNUMBER(SEARCH("Aktivitas Harian",INDEX(FORM!$K:$K,ROW()))),1,0))</f>
        <v/>
      </c>
      <c r="M451" s="8" t="str">
        <f>IF($A451="","",IF(ISNUMBER(SEARCH("Aktivitas Mingguan",INDEX(FORM!$K:$K,ROW()))),1,0))</f>
        <v/>
      </c>
      <c r="N451" s="8" t="str">
        <f>IF($A451="","",IF(ISNUMBER(SEARCH("Aktivitas Bulanan",INDEX(FORM!$K:$K,ROW()))),1,0))</f>
        <v/>
      </c>
      <c r="O451" s="8" t="str">
        <f>IF($A451="","",IF(ISNUMBER(SEARCH("Overview Cabang",INDEX(FORM!$K:$K,ROW()))),1,0))</f>
        <v/>
      </c>
      <c r="P451" s="8" t="str">
        <f>IF($A451="","",IFERROR(VLOOKUP(I451,DATA!$AH$9:$AI$13,2,0),""))</f>
        <v/>
      </c>
      <c r="Q451" s="8" t="str">
        <f>IF($A451="","",IFERROR(VLOOKUP(J451,DATA!$AH$9:$AI$13,2,0),""))</f>
        <v/>
      </c>
      <c r="R451" s="8" t="str">
        <f>IF($A451="","",IFERROR(VLOOKUP(K451,DATA!$AH$9:$AI$13,2,0),""))</f>
        <v/>
      </c>
      <c r="S451" s="42" t="str">
        <f t="shared" si="154"/>
        <v/>
      </c>
      <c r="T451" s="8" t="str">
        <f>IF($A451="","",IF(COUNTIF($D$2:D451,D451)=1,1,0))</f>
        <v/>
      </c>
      <c r="U451" s="8" t="str">
        <f>IF($A451="","",IF(F451="-","Cabang tdk ada",IF(IFERROR(VLOOKUP(G451,#REF!,1,0),"")="","",IF(INDEX(DATA!$AH$2:$AH$5,MATCH(G451,DATA!$AI$2:$AI$5,0))&lt;&gt;F451,"Wilayah beda","OK"))))</f>
        <v/>
      </c>
      <c r="V451" s="8" t="str">
        <f>IF($A451="","",TRIM(INDEX(FORM!$I:$I,ROW())&amp;""))</f>
        <v/>
      </c>
      <c r="W451" s="8" t="str">
        <f>IF($A451="","",TRIM(INDEX(FORM!$L:$L,ROW())&amp;""))</f>
        <v/>
      </c>
      <c r="X451" s="8" t="str">
        <f>IF($A451="","",TRIM(INDEX(FORM!$M:$M,ROW())&amp;""))</f>
        <v/>
      </c>
      <c r="Y451" s="8" t="str">
        <f>IF($A451="","",IFERROR(MATCH(F451,DATA!$AH$2:$AH$5,0),9)*10000+A451)</f>
        <v/>
      </c>
      <c r="Z451" s="8" t="str">
        <f t="shared" si="155"/>
        <v/>
      </c>
      <c r="AA451" s="8" t="str">
        <f t="shared" si="156"/>
        <v/>
      </c>
      <c r="AB451" s="8" t="str">
        <f t="shared" si="157"/>
        <v/>
      </c>
      <c r="AC451" s="8"/>
      <c r="AD451" s="8"/>
      <c r="AE451" s="8"/>
      <c r="AK451" s="5" t="str">
        <f t="shared" si="158"/>
        <v/>
      </c>
      <c r="AL451" s="5" t="str">
        <f t="shared" si="159"/>
        <v/>
      </c>
      <c r="AM451" s="5" t="str">
        <f t="shared" si="160"/>
        <v/>
      </c>
      <c r="AN451" s="5" t="str">
        <f t="shared" si="161"/>
        <v/>
      </c>
      <c r="AO451" s="5" t="str">
        <f t="shared" si="162"/>
        <v/>
      </c>
      <c r="AP451" s="5" t="str">
        <f t="shared" si="163"/>
        <v/>
      </c>
      <c r="AQ451" s="5" t="str">
        <f t="shared" si="164"/>
        <v/>
      </c>
      <c r="AR451" s="5" t="str">
        <f t="shared" si="165"/>
        <v/>
      </c>
      <c r="AS451" s="5" t="str">
        <f t="shared" si="166"/>
        <v/>
      </c>
      <c r="AT451" s="5" t="str">
        <f t="shared" si="167"/>
        <v/>
      </c>
      <c r="AU451" s="5" t="str">
        <f t="shared" si="168"/>
        <v/>
      </c>
      <c r="AV451" s="5" t="str">
        <f t="shared" si="169"/>
        <v/>
      </c>
      <c r="AW451" s="5" t="str">
        <f t="shared" si="170"/>
        <v/>
      </c>
      <c r="AX451" s="5" t="str">
        <f t="shared" si="171"/>
        <v/>
      </c>
      <c r="AY451" s="5" t="str">
        <f t="shared" si="172"/>
        <v/>
      </c>
      <c r="AZ451" s="5" t="str">
        <f t="shared" si="173"/>
        <v/>
      </c>
      <c r="BA451" s="5" t="str">
        <f t="shared" si="174"/>
        <v/>
      </c>
      <c r="BB451" s="5" t="str">
        <f t="shared" si="175"/>
        <v/>
      </c>
    </row>
    <row r="452" spans="1:54" s="5" customFormat="1" hidden="1">
      <c r="A452" s="8" t="str">
        <f>IF(INDEX(FORM!$A:$A,ROW())="","",ROW()-1)</f>
        <v/>
      </c>
      <c r="B452" s="41" t="str">
        <f>IF($A452="","",INDEX(FORM!$A:$A,ROW()))</f>
        <v/>
      </c>
      <c r="C452" s="8" t="str">
        <f>IF($A452="","",TRIM(INDEX(FORM!$B:$B,ROW())))</f>
        <v/>
      </c>
      <c r="D452" s="8" t="str">
        <f>IF($A452="","",TRIM(INDEX(FORM!$C:$C,ROW())&amp;""))</f>
        <v/>
      </c>
      <c r="E452" s="8" t="str">
        <f>IF($A452="","",UPPER(TRIM(INDEX(FORM!$D:$D,ROW()))))</f>
        <v/>
      </c>
      <c r="F452" s="8" t="str">
        <f>IF($A452="","",IFERROR(INDEX(PROGRES!$A$2:$A$92,MATCH(E452,PROGRES!$B$2:$B$92,0)),"-"))</f>
        <v/>
      </c>
      <c r="G452" s="8" t="str">
        <f>IF($A452="","",UPPER(TRIM(INDEX(FORM!$F:$F,ROW()))))</f>
        <v/>
      </c>
      <c r="H452" s="8" t="str">
        <f>IF($A452="","",UPPER(TRIM(INDEX(FORM!$E:$E,ROW()))))</f>
        <v/>
      </c>
      <c r="I452" s="8" t="str">
        <f>IF($A452="","",UPPER(TRIM(INDEX(FORM!$G:$G,ROW()))))</f>
        <v/>
      </c>
      <c r="J452" s="8" t="str">
        <f>IF($A452="","",IF(ISNUMBER(SEARCH("Ya,",INDEX(FORM!$H:$H,ROW()))),"YA",IF(ISNUMBER(SEARCH("Cukup,",INDEX(FORM!$H:$H,ROW()))),"CUKUP",IF(ISNUMBER(SEARCH("Kurang,",INDEX(FORM!$H:$H,ROW()))),"KURANG",""))))</f>
        <v/>
      </c>
      <c r="K452" s="8" t="str">
        <f>IF($A452="","",UPPER(TRIM(INDEX(FORM!$J:$J,ROW()))))</f>
        <v/>
      </c>
      <c r="L452" s="8" t="str">
        <f>IF($A452="","",IF(ISNUMBER(SEARCH("Aktivitas Harian",INDEX(FORM!$K:$K,ROW()))),1,0))</f>
        <v/>
      </c>
      <c r="M452" s="8" t="str">
        <f>IF($A452="","",IF(ISNUMBER(SEARCH("Aktivitas Mingguan",INDEX(FORM!$K:$K,ROW()))),1,0))</f>
        <v/>
      </c>
      <c r="N452" s="8" t="str">
        <f>IF($A452="","",IF(ISNUMBER(SEARCH("Aktivitas Bulanan",INDEX(FORM!$K:$K,ROW()))),1,0))</f>
        <v/>
      </c>
      <c r="O452" s="8" t="str">
        <f>IF($A452="","",IF(ISNUMBER(SEARCH("Overview Cabang",INDEX(FORM!$K:$K,ROW()))),1,0))</f>
        <v/>
      </c>
      <c r="P452" s="8" t="str">
        <f>IF($A452="","",IFERROR(VLOOKUP(I452,DATA!$AH$9:$AI$13,2,0),""))</f>
        <v/>
      </c>
      <c r="Q452" s="8" t="str">
        <f>IF($A452="","",IFERROR(VLOOKUP(J452,DATA!$AH$9:$AI$13,2,0),""))</f>
        <v/>
      </c>
      <c r="R452" s="8" t="str">
        <f>IF($A452="","",IFERROR(VLOOKUP(K452,DATA!$AH$9:$AI$13,2,0),""))</f>
        <v/>
      </c>
      <c r="S452" s="42" t="str">
        <f t="shared" si="154"/>
        <v/>
      </c>
      <c r="T452" s="8" t="str">
        <f>IF($A452="","",IF(COUNTIF($D$2:D452,D452)=1,1,0))</f>
        <v/>
      </c>
      <c r="U452" s="8" t="str">
        <f>IF($A452="","",IF(F452="-","Cabang tdk ada",IF(IFERROR(VLOOKUP(G452,#REF!,1,0),"")="","",IF(INDEX(DATA!$AH$2:$AH$5,MATCH(G452,DATA!$AI$2:$AI$5,0))&lt;&gt;F452,"Wilayah beda","OK"))))</f>
        <v/>
      </c>
      <c r="V452" s="8" t="str">
        <f>IF($A452="","",TRIM(INDEX(FORM!$I:$I,ROW())&amp;""))</f>
        <v/>
      </c>
      <c r="W452" s="8" t="str">
        <f>IF($A452="","",TRIM(INDEX(FORM!$L:$L,ROW())&amp;""))</f>
        <v/>
      </c>
      <c r="X452" s="8" t="str">
        <f>IF($A452="","",TRIM(INDEX(FORM!$M:$M,ROW())&amp;""))</f>
        <v/>
      </c>
      <c r="Y452" s="8" t="str">
        <f>IF($A452="","",IFERROR(MATCH(F452,DATA!$AH$2:$AH$5,0),9)*10000+A452)</f>
        <v/>
      </c>
      <c r="Z452" s="8" t="str">
        <f t="shared" si="155"/>
        <v/>
      </c>
      <c r="AA452" s="8" t="str">
        <f t="shared" si="156"/>
        <v/>
      </c>
      <c r="AB452" s="8" t="str">
        <f t="shared" si="157"/>
        <v/>
      </c>
      <c r="AC452" s="8"/>
      <c r="AD452" s="8"/>
      <c r="AE452" s="8"/>
      <c r="AK452" s="5" t="str">
        <f t="shared" si="158"/>
        <v/>
      </c>
      <c r="AL452" s="5" t="str">
        <f t="shared" si="159"/>
        <v/>
      </c>
      <c r="AM452" s="5" t="str">
        <f t="shared" si="160"/>
        <v/>
      </c>
      <c r="AN452" s="5" t="str">
        <f t="shared" si="161"/>
        <v/>
      </c>
      <c r="AO452" s="5" t="str">
        <f t="shared" si="162"/>
        <v/>
      </c>
      <c r="AP452" s="5" t="str">
        <f t="shared" si="163"/>
        <v/>
      </c>
      <c r="AQ452" s="5" t="str">
        <f t="shared" si="164"/>
        <v/>
      </c>
      <c r="AR452" s="5" t="str">
        <f t="shared" si="165"/>
        <v/>
      </c>
      <c r="AS452" s="5" t="str">
        <f t="shared" si="166"/>
        <v/>
      </c>
      <c r="AT452" s="5" t="str">
        <f t="shared" si="167"/>
        <v/>
      </c>
      <c r="AU452" s="5" t="str">
        <f t="shared" si="168"/>
        <v/>
      </c>
      <c r="AV452" s="5" t="str">
        <f t="shared" si="169"/>
        <v/>
      </c>
      <c r="AW452" s="5" t="str">
        <f t="shared" si="170"/>
        <v/>
      </c>
      <c r="AX452" s="5" t="str">
        <f t="shared" si="171"/>
        <v/>
      </c>
      <c r="AY452" s="5" t="str">
        <f t="shared" si="172"/>
        <v/>
      </c>
      <c r="AZ452" s="5" t="str">
        <f t="shared" si="173"/>
        <v/>
      </c>
      <c r="BA452" s="5" t="str">
        <f t="shared" si="174"/>
        <v/>
      </c>
      <c r="BB452" s="5" t="str">
        <f t="shared" si="175"/>
        <v/>
      </c>
    </row>
    <row r="453" spans="1:54" s="5" customFormat="1" hidden="1">
      <c r="A453" s="8" t="str">
        <f>IF(INDEX(FORM!$A:$A,ROW())="","",ROW()-1)</f>
        <v/>
      </c>
      <c r="B453" s="41" t="str">
        <f>IF($A453="","",INDEX(FORM!$A:$A,ROW()))</f>
        <v/>
      </c>
      <c r="C453" s="8" t="str">
        <f>IF($A453="","",TRIM(INDEX(FORM!$B:$B,ROW())))</f>
        <v/>
      </c>
      <c r="D453" s="8" t="str">
        <f>IF($A453="","",TRIM(INDEX(FORM!$C:$C,ROW())&amp;""))</f>
        <v/>
      </c>
      <c r="E453" s="8" t="str">
        <f>IF($A453="","",UPPER(TRIM(INDEX(FORM!$D:$D,ROW()))))</f>
        <v/>
      </c>
      <c r="F453" s="8" t="str">
        <f>IF($A453="","",IFERROR(INDEX(PROGRES!$A$2:$A$92,MATCH(E453,PROGRES!$B$2:$B$92,0)),"-"))</f>
        <v/>
      </c>
      <c r="G453" s="8" t="str">
        <f>IF($A453="","",UPPER(TRIM(INDEX(FORM!$F:$F,ROW()))))</f>
        <v/>
      </c>
      <c r="H453" s="8" t="str">
        <f>IF($A453="","",UPPER(TRIM(INDEX(FORM!$E:$E,ROW()))))</f>
        <v/>
      </c>
      <c r="I453" s="8" t="str">
        <f>IF($A453="","",UPPER(TRIM(INDEX(FORM!$G:$G,ROW()))))</f>
        <v/>
      </c>
      <c r="J453" s="8" t="str">
        <f>IF($A453="","",IF(ISNUMBER(SEARCH("Ya,",INDEX(FORM!$H:$H,ROW()))),"YA",IF(ISNUMBER(SEARCH("Cukup,",INDEX(FORM!$H:$H,ROW()))),"CUKUP",IF(ISNUMBER(SEARCH("Kurang,",INDEX(FORM!$H:$H,ROW()))),"KURANG",""))))</f>
        <v/>
      </c>
      <c r="K453" s="8" t="str">
        <f>IF($A453="","",UPPER(TRIM(INDEX(FORM!$J:$J,ROW()))))</f>
        <v/>
      </c>
      <c r="L453" s="8" t="str">
        <f>IF($A453="","",IF(ISNUMBER(SEARCH("Aktivitas Harian",INDEX(FORM!$K:$K,ROW()))),1,0))</f>
        <v/>
      </c>
      <c r="M453" s="8" t="str">
        <f>IF($A453="","",IF(ISNUMBER(SEARCH("Aktivitas Mingguan",INDEX(FORM!$K:$K,ROW()))),1,0))</f>
        <v/>
      </c>
      <c r="N453" s="8" t="str">
        <f>IF($A453="","",IF(ISNUMBER(SEARCH("Aktivitas Bulanan",INDEX(FORM!$K:$K,ROW()))),1,0))</f>
        <v/>
      </c>
      <c r="O453" s="8" t="str">
        <f>IF($A453="","",IF(ISNUMBER(SEARCH("Overview Cabang",INDEX(FORM!$K:$K,ROW()))),1,0))</f>
        <v/>
      </c>
      <c r="P453" s="8" t="str">
        <f>IF($A453="","",IFERROR(VLOOKUP(I453,DATA!$AH$9:$AI$13,2,0),""))</f>
        <v/>
      </c>
      <c r="Q453" s="8" t="str">
        <f>IF($A453="","",IFERROR(VLOOKUP(J453,DATA!$AH$9:$AI$13,2,0),""))</f>
        <v/>
      </c>
      <c r="R453" s="8" t="str">
        <f>IF($A453="","",IFERROR(VLOOKUP(K453,DATA!$AH$9:$AI$13,2,0),""))</f>
        <v/>
      </c>
      <c r="S453" s="42" t="str">
        <f t="shared" si="154"/>
        <v/>
      </c>
      <c r="T453" s="8" t="str">
        <f>IF($A453="","",IF(COUNTIF($D$2:D453,D453)=1,1,0))</f>
        <v/>
      </c>
      <c r="U453" s="8" t="str">
        <f>IF($A453="","",IF(F453="-","Cabang tdk ada",IF(IFERROR(VLOOKUP(G453,#REF!,1,0),"")="","",IF(INDEX(DATA!$AH$2:$AH$5,MATCH(G453,DATA!$AI$2:$AI$5,0))&lt;&gt;F453,"Wilayah beda","OK"))))</f>
        <v/>
      </c>
      <c r="V453" s="8" t="str">
        <f>IF($A453="","",TRIM(INDEX(FORM!$I:$I,ROW())&amp;""))</f>
        <v/>
      </c>
      <c r="W453" s="8" t="str">
        <f>IF($A453="","",TRIM(INDEX(FORM!$L:$L,ROW())&amp;""))</f>
        <v/>
      </c>
      <c r="X453" s="8" t="str">
        <f>IF($A453="","",TRIM(INDEX(FORM!$M:$M,ROW())&amp;""))</f>
        <v/>
      </c>
      <c r="Y453" s="8" t="str">
        <f>IF($A453="","",IFERROR(MATCH(F453,DATA!$AH$2:$AH$5,0),9)*10000+A453)</f>
        <v/>
      </c>
      <c r="Z453" s="8" t="str">
        <f t="shared" si="155"/>
        <v/>
      </c>
      <c r="AA453" s="8" t="str">
        <f t="shared" si="156"/>
        <v/>
      </c>
      <c r="AB453" s="8" t="str">
        <f t="shared" si="157"/>
        <v/>
      </c>
      <c r="AC453" s="8"/>
      <c r="AD453" s="8"/>
      <c r="AE453" s="8"/>
      <c r="AK453" s="5" t="str">
        <f t="shared" si="158"/>
        <v/>
      </c>
      <c r="AL453" s="5" t="str">
        <f t="shared" si="159"/>
        <v/>
      </c>
      <c r="AM453" s="5" t="str">
        <f t="shared" si="160"/>
        <v/>
      </c>
      <c r="AN453" s="5" t="str">
        <f t="shared" si="161"/>
        <v/>
      </c>
      <c r="AO453" s="5" t="str">
        <f t="shared" si="162"/>
        <v/>
      </c>
      <c r="AP453" s="5" t="str">
        <f t="shared" si="163"/>
        <v/>
      </c>
      <c r="AQ453" s="5" t="str">
        <f t="shared" si="164"/>
        <v/>
      </c>
      <c r="AR453" s="5" t="str">
        <f t="shared" si="165"/>
        <v/>
      </c>
      <c r="AS453" s="5" t="str">
        <f t="shared" si="166"/>
        <v/>
      </c>
      <c r="AT453" s="5" t="str">
        <f t="shared" si="167"/>
        <v/>
      </c>
      <c r="AU453" s="5" t="str">
        <f t="shared" si="168"/>
        <v/>
      </c>
      <c r="AV453" s="5" t="str">
        <f t="shared" si="169"/>
        <v/>
      </c>
      <c r="AW453" s="5" t="str">
        <f t="shared" si="170"/>
        <v/>
      </c>
      <c r="AX453" s="5" t="str">
        <f t="shared" si="171"/>
        <v/>
      </c>
      <c r="AY453" s="5" t="str">
        <f t="shared" si="172"/>
        <v/>
      </c>
      <c r="AZ453" s="5" t="str">
        <f t="shared" si="173"/>
        <v/>
      </c>
      <c r="BA453" s="5" t="str">
        <f t="shared" si="174"/>
        <v/>
      </c>
      <c r="BB453" s="5" t="str">
        <f t="shared" si="175"/>
        <v/>
      </c>
    </row>
    <row r="454" spans="1:54" s="5" customFormat="1" hidden="1">
      <c r="A454" s="8" t="str">
        <f>IF(INDEX(FORM!$A:$A,ROW())="","",ROW()-1)</f>
        <v/>
      </c>
      <c r="B454" s="41" t="str">
        <f>IF($A454="","",INDEX(FORM!$A:$A,ROW()))</f>
        <v/>
      </c>
      <c r="C454" s="8" t="str">
        <f>IF($A454="","",TRIM(INDEX(FORM!$B:$B,ROW())))</f>
        <v/>
      </c>
      <c r="D454" s="8" t="str">
        <f>IF($A454="","",TRIM(INDEX(FORM!$C:$C,ROW())&amp;""))</f>
        <v/>
      </c>
      <c r="E454" s="8" t="str">
        <f>IF($A454="","",UPPER(TRIM(INDEX(FORM!$D:$D,ROW()))))</f>
        <v/>
      </c>
      <c r="F454" s="8" t="str">
        <f>IF($A454="","",IFERROR(INDEX(PROGRES!$A$2:$A$92,MATCH(E454,PROGRES!$B$2:$B$92,0)),"-"))</f>
        <v/>
      </c>
      <c r="G454" s="8" t="str">
        <f>IF($A454="","",UPPER(TRIM(INDEX(FORM!$F:$F,ROW()))))</f>
        <v/>
      </c>
      <c r="H454" s="8" t="str">
        <f>IF($A454="","",UPPER(TRIM(INDEX(FORM!$E:$E,ROW()))))</f>
        <v/>
      </c>
      <c r="I454" s="8" t="str">
        <f>IF($A454="","",UPPER(TRIM(INDEX(FORM!$G:$G,ROW()))))</f>
        <v/>
      </c>
      <c r="J454" s="8" t="str">
        <f>IF($A454="","",IF(ISNUMBER(SEARCH("Ya,",INDEX(FORM!$H:$H,ROW()))),"YA",IF(ISNUMBER(SEARCH("Cukup,",INDEX(FORM!$H:$H,ROW()))),"CUKUP",IF(ISNUMBER(SEARCH("Kurang,",INDEX(FORM!$H:$H,ROW()))),"KURANG",""))))</f>
        <v/>
      </c>
      <c r="K454" s="8" t="str">
        <f>IF($A454="","",UPPER(TRIM(INDEX(FORM!$J:$J,ROW()))))</f>
        <v/>
      </c>
      <c r="L454" s="8" t="str">
        <f>IF($A454="","",IF(ISNUMBER(SEARCH("Aktivitas Harian",INDEX(FORM!$K:$K,ROW()))),1,0))</f>
        <v/>
      </c>
      <c r="M454" s="8" t="str">
        <f>IF($A454="","",IF(ISNUMBER(SEARCH("Aktivitas Mingguan",INDEX(FORM!$K:$K,ROW()))),1,0))</f>
        <v/>
      </c>
      <c r="N454" s="8" t="str">
        <f>IF($A454="","",IF(ISNUMBER(SEARCH("Aktivitas Bulanan",INDEX(FORM!$K:$K,ROW()))),1,0))</f>
        <v/>
      </c>
      <c r="O454" s="8" t="str">
        <f>IF($A454="","",IF(ISNUMBER(SEARCH("Overview Cabang",INDEX(FORM!$K:$K,ROW()))),1,0))</f>
        <v/>
      </c>
      <c r="P454" s="8" t="str">
        <f>IF($A454="","",IFERROR(VLOOKUP(I454,DATA!$AH$9:$AI$13,2,0),""))</f>
        <v/>
      </c>
      <c r="Q454" s="8" t="str">
        <f>IF($A454="","",IFERROR(VLOOKUP(J454,DATA!$AH$9:$AI$13,2,0),""))</f>
        <v/>
      </c>
      <c r="R454" s="8" t="str">
        <f>IF($A454="","",IFERROR(VLOOKUP(K454,DATA!$AH$9:$AI$13,2,0),""))</f>
        <v/>
      </c>
      <c r="S454" s="42" t="str">
        <f t="shared" si="154"/>
        <v/>
      </c>
      <c r="T454" s="8" t="str">
        <f>IF($A454="","",IF(COUNTIF($D$2:D454,D454)=1,1,0))</f>
        <v/>
      </c>
      <c r="U454" s="8" t="str">
        <f>IF($A454="","",IF(F454="-","Cabang tdk ada",IF(IFERROR(VLOOKUP(G454,#REF!,1,0),"")="","",IF(INDEX(DATA!$AH$2:$AH$5,MATCH(G454,DATA!$AI$2:$AI$5,0))&lt;&gt;F454,"Wilayah beda","OK"))))</f>
        <v/>
      </c>
      <c r="V454" s="8" t="str">
        <f>IF($A454="","",TRIM(INDEX(FORM!$I:$I,ROW())&amp;""))</f>
        <v/>
      </c>
      <c r="W454" s="8" t="str">
        <f>IF($A454="","",TRIM(INDEX(FORM!$L:$L,ROW())&amp;""))</f>
        <v/>
      </c>
      <c r="X454" s="8" t="str">
        <f>IF($A454="","",TRIM(INDEX(FORM!$M:$M,ROW())&amp;""))</f>
        <v/>
      </c>
      <c r="Y454" s="8" t="str">
        <f>IF($A454="","",IFERROR(MATCH(F454,DATA!$AH$2:$AH$5,0),9)*10000+A454)</f>
        <v/>
      </c>
      <c r="Z454" s="8" t="str">
        <f t="shared" si="155"/>
        <v/>
      </c>
      <c r="AA454" s="8" t="str">
        <f t="shared" si="156"/>
        <v/>
      </c>
      <c r="AB454" s="8" t="str">
        <f t="shared" si="157"/>
        <v/>
      </c>
      <c r="AC454" s="8"/>
      <c r="AD454" s="8"/>
      <c r="AE454" s="8"/>
      <c r="AK454" s="5" t="str">
        <f t="shared" si="158"/>
        <v/>
      </c>
      <c r="AL454" s="5" t="str">
        <f t="shared" si="159"/>
        <v/>
      </c>
      <c r="AM454" s="5" t="str">
        <f t="shared" si="160"/>
        <v/>
      </c>
      <c r="AN454" s="5" t="str">
        <f t="shared" si="161"/>
        <v/>
      </c>
      <c r="AO454" s="5" t="str">
        <f t="shared" si="162"/>
        <v/>
      </c>
      <c r="AP454" s="5" t="str">
        <f t="shared" si="163"/>
        <v/>
      </c>
      <c r="AQ454" s="5" t="str">
        <f t="shared" si="164"/>
        <v/>
      </c>
      <c r="AR454" s="5" t="str">
        <f t="shared" si="165"/>
        <v/>
      </c>
      <c r="AS454" s="5" t="str">
        <f t="shared" si="166"/>
        <v/>
      </c>
      <c r="AT454" s="5" t="str">
        <f t="shared" si="167"/>
        <v/>
      </c>
      <c r="AU454" s="5" t="str">
        <f t="shared" si="168"/>
        <v/>
      </c>
      <c r="AV454" s="5" t="str">
        <f t="shared" si="169"/>
        <v/>
      </c>
      <c r="AW454" s="5" t="str">
        <f t="shared" si="170"/>
        <v/>
      </c>
      <c r="AX454" s="5" t="str">
        <f t="shared" si="171"/>
        <v/>
      </c>
      <c r="AY454" s="5" t="str">
        <f t="shared" si="172"/>
        <v/>
      </c>
      <c r="AZ454" s="5" t="str">
        <f t="shared" si="173"/>
        <v/>
      </c>
      <c r="BA454" s="5" t="str">
        <f t="shared" si="174"/>
        <v/>
      </c>
      <c r="BB454" s="5" t="str">
        <f t="shared" si="175"/>
        <v/>
      </c>
    </row>
    <row r="455" spans="1:54" s="5" customFormat="1" hidden="1">
      <c r="A455" s="8" t="str">
        <f>IF(INDEX(FORM!$A:$A,ROW())="","",ROW()-1)</f>
        <v/>
      </c>
      <c r="B455" s="41" t="str">
        <f>IF($A455="","",INDEX(FORM!$A:$A,ROW()))</f>
        <v/>
      </c>
      <c r="C455" s="8" t="str">
        <f>IF($A455="","",TRIM(INDEX(FORM!$B:$B,ROW())))</f>
        <v/>
      </c>
      <c r="D455" s="8" t="str">
        <f>IF($A455="","",TRIM(INDEX(FORM!$C:$C,ROW())&amp;""))</f>
        <v/>
      </c>
      <c r="E455" s="8" t="str">
        <f>IF($A455="","",UPPER(TRIM(INDEX(FORM!$D:$D,ROW()))))</f>
        <v/>
      </c>
      <c r="F455" s="8" t="str">
        <f>IF($A455="","",IFERROR(INDEX(PROGRES!$A$2:$A$92,MATCH(E455,PROGRES!$B$2:$B$92,0)),"-"))</f>
        <v/>
      </c>
      <c r="G455" s="8" t="str">
        <f>IF($A455="","",UPPER(TRIM(INDEX(FORM!$F:$F,ROW()))))</f>
        <v/>
      </c>
      <c r="H455" s="8" t="str">
        <f>IF($A455="","",UPPER(TRIM(INDEX(FORM!$E:$E,ROW()))))</f>
        <v/>
      </c>
      <c r="I455" s="8" t="str">
        <f>IF($A455="","",UPPER(TRIM(INDEX(FORM!$G:$G,ROW()))))</f>
        <v/>
      </c>
      <c r="J455" s="8" t="str">
        <f>IF($A455="","",IF(ISNUMBER(SEARCH("Ya,",INDEX(FORM!$H:$H,ROW()))),"YA",IF(ISNUMBER(SEARCH("Cukup,",INDEX(FORM!$H:$H,ROW()))),"CUKUP",IF(ISNUMBER(SEARCH("Kurang,",INDEX(FORM!$H:$H,ROW()))),"KURANG",""))))</f>
        <v/>
      </c>
      <c r="K455" s="8" t="str">
        <f>IF($A455="","",UPPER(TRIM(INDEX(FORM!$J:$J,ROW()))))</f>
        <v/>
      </c>
      <c r="L455" s="8" t="str">
        <f>IF($A455="","",IF(ISNUMBER(SEARCH("Aktivitas Harian",INDEX(FORM!$K:$K,ROW()))),1,0))</f>
        <v/>
      </c>
      <c r="M455" s="8" t="str">
        <f>IF($A455="","",IF(ISNUMBER(SEARCH("Aktivitas Mingguan",INDEX(FORM!$K:$K,ROW()))),1,0))</f>
        <v/>
      </c>
      <c r="N455" s="8" t="str">
        <f>IF($A455="","",IF(ISNUMBER(SEARCH("Aktivitas Bulanan",INDEX(FORM!$K:$K,ROW()))),1,0))</f>
        <v/>
      </c>
      <c r="O455" s="8" t="str">
        <f>IF($A455="","",IF(ISNUMBER(SEARCH("Overview Cabang",INDEX(FORM!$K:$K,ROW()))),1,0))</f>
        <v/>
      </c>
      <c r="P455" s="8" t="str">
        <f>IF($A455="","",IFERROR(VLOOKUP(I455,DATA!$AH$9:$AI$13,2,0),""))</f>
        <v/>
      </c>
      <c r="Q455" s="8" t="str">
        <f>IF($A455="","",IFERROR(VLOOKUP(J455,DATA!$AH$9:$AI$13,2,0),""))</f>
        <v/>
      </c>
      <c r="R455" s="8" t="str">
        <f>IF($A455="","",IFERROR(VLOOKUP(K455,DATA!$AH$9:$AI$13,2,0),""))</f>
        <v/>
      </c>
      <c r="S455" s="42" t="str">
        <f t="shared" si="154"/>
        <v/>
      </c>
      <c r="T455" s="8" t="str">
        <f>IF($A455="","",IF(COUNTIF($D$2:D455,D455)=1,1,0))</f>
        <v/>
      </c>
      <c r="U455" s="8" t="str">
        <f>IF($A455="","",IF(F455="-","Cabang tdk ada",IF(IFERROR(VLOOKUP(G455,#REF!,1,0),"")="","",IF(INDEX(DATA!$AH$2:$AH$5,MATCH(G455,DATA!$AI$2:$AI$5,0))&lt;&gt;F455,"Wilayah beda","OK"))))</f>
        <v/>
      </c>
      <c r="V455" s="8" t="str">
        <f>IF($A455="","",TRIM(INDEX(FORM!$I:$I,ROW())&amp;""))</f>
        <v/>
      </c>
      <c r="W455" s="8" t="str">
        <f>IF($A455="","",TRIM(INDEX(FORM!$L:$L,ROW())&amp;""))</f>
        <v/>
      </c>
      <c r="X455" s="8" t="str">
        <f>IF($A455="","",TRIM(INDEX(FORM!$M:$M,ROW())&amp;""))</f>
        <v/>
      </c>
      <c r="Y455" s="8" t="str">
        <f>IF($A455="","",IFERROR(MATCH(F455,DATA!$AH$2:$AH$5,0),9)*10000+A455)</f>
        <v/>
      </c>
      <c r="Z455" s="8" t="str">
        <f t="shared" si="155"/>
        <v/>
      </c>
      <c r="AA455" s="8" t="str">
        <f t="shared" si="156"/>
        <v/>
      </c>
      <c r="AB455" s="8" t="str">
        <f t="shared" si="157"/>
        <v/>
      </c>
      <c r="AC455" s="8"/>
      <c r="AD455" s="8"/>
      <c r="AE455" s="8"/>
      <c r="AK455" s="5" t="str">
        <f t="shared" si="158"/>
        <v/>
      </c>
      <c r="AL455" s="5" t="str">
        <f t="shared" si="159"/>
        <v/>
      </c>
      <c r="AM455" s="5" t="str">
        <f t="shared" si="160"/>
        <v/>
      </c>
      <c r="AN455" s="5" t="str">
        <f t="shared" si="161"/>
        <v/>
      </c>
      <c r="AO455" s="5" t="str">
        <f t="shared" si="162"/>
        <v/>
      </c>
      <c r="AP455" s="5" t="str">
        <f t="shared" si="163"/>
        <v/>
      </c>
      <c r="AQ455" s="5" t="str">
        <f t="shared" si="164"/>
        <v/>
      </c>
      <c r="AR455" s="5" t="str">
        <f t="shared" si="165"/>
        <v/>
      </c>
      <c r="AS455" s="5" t="str">
        <f t="shared" si="166"/>
        <v/>
      </c>
      <c r="AT455" s="5" t="str">
        <f t="shared" si="167"/>
        <v/>
      </c>
      <c r="AU455" s="5" t="str">
        <f t="shared" si="168"/>
        <v/>
      </c>
      <c r="AV455" s="5" t="str">
        <f t="shared" si="169"/>
        <v/>
      </c>
      <c r="AW455" s="5" t="str">
        <f t="shared" si="170"/>
        <v/>
      </c>
      <c r="AX455" s="5" t="str">
        <f t="shared" si="171"/>
        <v/>
      </c>
      <c r="AY455" s="5" t="str">
        <f t="shared" si="172"/>
        <v/>
      </c>
      <c r="AZ455" s="5" t="str">
        <f t="shared" si="173"/>
        <v/>
      </c>
      <c r="BA455" s="5" t="str">
        <f t="shared" si="174"/>
        <v/>
      </c>
      <c r="BB455" s="5" t="str">
        <f t="shared" si="175"/>
        <v/>
      </c>
    </row>
    <row r="456" spans="1:54" s="5" customFormat="1" hidden="1">
      <c r="A456" s="8" t="str">
        <f>IF(INDEX(FORM!$A:$A,ROW())="","",ROW()-1)</f>
        <v/>
      </c>
      <c r="B456" s="41" t="str">
        <f>IF($A456="","",INDEX(FORM!$A:$A,ROW()))</f>
        <v/>
      </c>
      <c r="C456" s="8" t="str">
        <f>IF($A456="","",TRIM(INDEX(FORM!$B:$B,ROW())))</f>
        <v/>
      </c>
      <c r="D456" s="8" t="str">
        <f>IF($A456="","",TRIM(INDEX(FORM!$C:$C,ROW())&amp;""))</f>
        <v/>
      </c>
      <c r="E456" s="8" t="str">
        <f>IF($A456="","",UPPER(TRIM(INDEX(FORM!$D:$D,ROW()))))</f>
        <v/>
      </c>
      <c r="F456" s="8" t="str">
        <f>IF($A456="","",IFERROR(INDEX(PROGRES!$A$2:$A$92,MATCH(E456,PROGRES!$B$2:$B$92,0)),"-"))</f>
        <v/>
      </c>
      <c r="G456" s="8" t="str">
        <f>IF($A456="","",UPPER(TRIM(INDEX(FORM!$F:$F,ROW()))))</f>
        <v/>
      </c>
      <c r="H456" s="8" t="str">
        <f>IF($A456="","",UPPER(TRIM(INDEX(FORM!$E:$E,ROW()))))</f>
        <v/>
      </c>
      <c r="I456" s="8" t="str">
        <f>IF($A456="","",UPPER(TRIM(INDEX(FORM!$G:$G,ROW()))))</f>
        <v/>
      </c>
      <c r="J456" s="8" t="str">
        <f>IF($A456="","",IF(ISNUMBER(SEARCH("Ya,",INDEX(FORM!$H:$H,ROW()))),"YA",IF(ISNUMBER(SEARCH("Cukup,",INDEX(FORM!$H:$H,ROW()))),"CUKUP",IF(ISNUMBER(SEARCH("Kurang,",INDEX(FORM!$H:$H,ROW()))),"KURANG",""))))</f>
        <v/>
      </c>
      <c r="K456" s="8" t="str">
        <f>IF($A456="","",UPPER(TRIM(INDEX(FORM!$J:$J,ROW()))))</f>
        <v/>
      </c>
      <c r="L456" s="8" t="str">
        <f>IF($A456="","",IF(ISNUMBER(SEARCH("Aktivitas Harian",INDEX(FORM!$K:$K,ROW()))),1,0))</f>
        <v/>
      </c>
      <c r="M456" s="8" t="str">
        <f>IF($A456="","",IF(ISNUMBER(SEARCH("Aktivitas Mingguan",INDEX(FORM!$K:$K,ROW()))),1,0))</f>
        <v/>
      </c>
      <c r="N456" s="8" t="str">
        <f>IF($A456="","",IF(ISNUMBER(SEARCH("Aktivitas Bulanan",INDEX(FORM!$K:$K,ROW()))),1,0))</f>
        <v/>
      </c>
      <c r="O456" s="8" t="str">
        <f>IF($A456="","",IF(ISNUMBER(SEARCH("Overview Cabang",INDEX(FORM!$K:$K,ROW()))),1,0))</f>
        <v/>
      </c>
      <c r="P456" s="8" t="str">
        <f>IF($A456="","",IFERROR(VLOOKUP(I456,DATA!$AH$9:$AI$13,2,0),""))</f>
        <v/>
      </c>
      <c r="Q456" s="8" t="str">
        <f>IF($A456="","",IFERROR(VLOOKUP(J456,DATA!$AH$9:$AI$13,2,0),""))</f>
        <v/>
      </c>
      <c r="R456" s="8" t="str">
        <f>IF($A456="","",IFERROR(VLOOKUP(K456,DATA!$AH$9:$AI$13,2,0),""))</f>
        <v/>
      </c>
      <c r="S456" s="42" t="str">
        <f t="shared" si="154"/>
        <v/>
      </c>
      <c r="T456" s="8" t="str">
        <f>IF($A456="","",IF(COUNTIF($D$2:D456,D456)=1,1,0))</f>
        <v/>
      </c>
      <c r="U456" s="8" t="str">
        <f>IF($A456="","",IF(F456="-","Cabang tdk ada",IF(IFERROR(VLOOKUP(G456,#REF!,1,0),"")="","",IF(INDEX(DATA!$AH$2:$AH$5,MATCH(G456,DATA!$AI$2:$AI$5,0))&lt;&gt;F456,"Wilayah beda","OK"))))</f>
        <v/>
      </c>
      <c r="V456" s="8" t="str">
        <f>IF($A456="","",TRIM(INDEX(FORM!$I:$I,ROW())&amp;""))</f>
        <v/>
      </c>
      <c r="W456" s="8" t="str">
        <f>IF($A456="","",TRIM(INDEX(FORM!$L:$L,ROW())&amp;""))</f>
        <v/>
      </c>
      <c r="X456" s="8" t="str">
        <f>IF($A456="","",TRIM(INDEX(FORM!$M:$M,ROW())&amp;""))</f>
        <v/>
      </c>
      <c r="Y456" s="8" t="str">
        <f>IF($A456="","",IFERROR(MATCH(F456,DATA!$AH$2:$AH$5,0),9)*10000+A456)</f>
        <v/>
      </c>
      <c r="Z456" s="8" t="str">
        <f t="shared" si="155"/>
        <v/>
      </c>
      <c r="AA456" s="8" t="str">
        <f t="shared" si="156"/>
        <v/>
      </c>
      <c r="AB456" s="8" t="str">
        <f t="shared" si="157"/>
        <v/>
      </c>
      <c r="AC456" s="8"/>
      <c r="AD456" s="8"/>
      <c r="AE456" s="8"/>
      <c r="AK456" s="5" t="str">
        <f t="shared" si="158"/>
        <v/>
      </c>
      <c r="AL456" s="5" t="str">
        <f t="shared" si="159"/>
        <v/>
      </c>
      <c r="AM456" s="5" t="str">
        <f t="shared" si="160"/>
        <v/>
      </c>
      <c r="AN456" s="5" t="str">
        <f t="shared" si="161"/>
        <v/>
      </c>
      <c r="AO456" s="5" t="str">
        <f t="shared" si="162"/>
        <v/>
      </c>
      <c r="AP456" s="5" t="str">
        <f t="shared" si="163"/>
        <v/>
      </c>
      <c r="AQ456" s="5" t="str">
        <f t="shared" si="164"/>
        <v/>
      </c>
      <c r="AR456" s="5" t="str">
        <f t="shared" si="165"/>
        <v/>
      </c>
      <c r="AS456" s="5" t="str">
        <f t="shared" si="166"/>
        <v/>
      </c>
      <c r="AT456" s="5" t="str">
        <f t="shared" si="167"/>
        <v/>
      </c>
      <c r="AU456" s="5" t="str">
        <f t="shared" si="168"/>
        <v/>
      </c>
      <c r="AV456" s="5" t="str">
        <f t="shared" si="169"/>
        <v/>
      </c>
      <c r="AW456" s="5" t="str">
        <f t="shared" si="170"/>
        <v/>
      </c>
      <c r="AX456" s="5" t="str">
        <f t="shared" si="171"/>
        <v/>
      </c>
      <c r="AY456" s="5" t="str">
        <f t="shared" si="172"/>
        <v/>
      </c>
      <c r="AZ456" s="5" t="str">
        <f t="shared" si="173"/>
        <v/>
      </c>
      <c r="BA456" s="5" t="str">
        <f t="shared" si="174"/>
        <v/>
      </c>
      <c r="BB456" s="5" t="str">
        <f t="shared" si="175"/>
        <v/>
      </c>
    </row>
    <row r="457" spans="1:54" s="5" customFormat="1" hidden="1">
      <c r="A457" s="8" t="str">
        <f>IF(INDEX(FORM!$A:$A,ROW())="","",ROW()-1)</f>
        <v/>
      </c>
      <c r="B457" s="41" t="str">
        <f>IF($A457="","",INDEX(FORM!$A:$A,ROW()))</f>
        <v/>
      </c>
      <c r="C457" s="8" t="str">
        <f>IF($A457="","",TRIM(INDEX(FORM!$B:$B,ROW())))</f>
        <v/>
      </c>
      <c r="D457" s="8" t="str">
        <f>IF($A457="","",TRIM(INDEX(FORM!$C:$C,ROW())&amp;""))</f>
        <v/>
      </c>
      <c r="E457" s="8" t="str">
        <f>IF($A457="","",UPPER(TRIM(INDEX(FORM!$D:$D,ROW()))))</f>
        <v/>
      </c>
      <c r="F457" s="8" t="str">
        <f>IF($A457="","",IFERROR(INDEX(PROGRES!$A$2:$A$92,MATCH(E457,PROGRES!$B$2:$B$92,0)),"-"))</f>
        <v/>
      </c>
      <c r="G457" s="8" t="str">
        <f>IF($A457="","",UPPER(TRIM(INDEX(FORM!$F:$F,ROW()))))</f>
        <v/>
      </c>
      <c r="H457" s="8" t="str">
        <f>IF($A457="","",UPPER(TRIM(INDEX(FORM!$E:$E,ROW()))))</f>
        <v/>
      </c>
      <c r="I457" s="8" t="str">
        <f>IF($A457="","",UPPER(TRIM(INDEX(FORM!$G:$G,ROW()))))</f>
        <v/>
      </c>
      <c r="J457" s="8" t="str">
        <f>IF($A457="","",IF(ISNUMBER(SEARCH("Ya,",INDEX(FORM!$H:$H,ROW()))),"YA",IF(ISNUMBER(SEARCH("Cukup,",INDEX(FORM!$H:$H,ROW()))),"CUKUP",IF(ISNUMBER(SEARCH("Kurang,",INDEX(FORM!$H:$H,ROW()))),"KURANG",""))))</f>
        <v/>
      </c>
      <c r="K457" s="8" t="str">
        <f>IF($A457="","",UPPER(TRIM(INDEX(FORM!$J:$J,ROW()))))</f>
        <v/>
      </c>
      <c r="L457" s="8" t="str">
        <f>IF($A457="","",IF(ISNUMBER(SEARCH("Aktivitas Harian",INDEX(FORM!$K:$K,ROW()))),1,0))</f>
        <v/>
      </c>
      <c r="M457" s="8" t="str">
        <f>IF($A457="","",IF(ISNUMBER(SEARCH("Aktivitas Mingguan",INDEX(FORM!$K:$K,ROW()))),1,0))</f>
        <v/>
      </c>
      <c r="N457" s="8" t="str">
        <f>IF($A457="","",IF(ISNUMBER(SEARCH("Aktivitas Bulanan",INDEX(FORM!$K:$K,ROW()))),1,0))</f>
        <v/>
      </c>
      <c r="O457" s="8" t="str">
        <f>IF($A457="","",IF(ISNUMBER(SEARCH("Overview Cabang",INDEX(FORM!$K:$K,ROW()))),1,0))</f>
        <v/>
      </c>
      <c r="P457" s="8" t="str">
        <f>IF($A457="","",IFERROR(VLOOKUP(I457,DATA!$AH$9:$AI$13,2,0),""))</f>
        <v/>
      </c>
      <c r="Q457" s="8" t="str">
        <f>IF($A457="","",IFERROR(VLOOKUP(J457,DATA!$AH$9:$AI$13,2,0),""))</f>
        <v/>
      </c>
      <c r="R457" s="8" t="str">
        <f>IF($A457="","",IFERROR(VLOOKUP(K457,DATA!$AH$9:$AI$13,2,0),""))</f>
        <v/>
      </c>
      <c r="S457" s="42" t="str">
        <f t="shared" si="154"/>
        <v/>
      </c>
      <c r="T457" s="8" t="str">
        <f>IF($A457="","",IF(COUNTIF($D$2:D457,D457)=1,1,0))</f>
        <v/>
      </c>
      <c r="U457" s="8" t="str">
        <f>IF($A457="","",IF(F457="-","Cabang tdk ada",IF(IFERROR(VLOOKUP(G457,#REF!,1,0),"")="","",IF(INDEX(DATA!$AH$2:$AH$5,MATCH(G457,DATA!$AI$2:$AI$5,0))&lt;&gt;F457,"Wilayah beda","OK"))))</f>
        <v/>
      </c>
      <c r="V457" s="8" t="str">
        <f>IF($A457="","",TRIM(INDEX(FORM!$I:$I,ROW())&amp;""))</f>
        <v/>
      </c>
      <c r="W457" s="8" t="str">
        <f>IF($A457="","",TRIM(INDEX(FORM!$L:$L,ROW())&amp;""))</f>
        <v/>
      </c>
      <c r="X457" s="8" t="str">
        <f>IF($A457="","",TRIM(INDEX(FORM!$M:$M,ROW())&amp;""))</f>
        <v/>
      </c>
      <c r="Y457" s="8" t="str">
        <f>IF($A457="","",IFERROR(MATCH(F457,DATA!$AH$2:$AH$5,0),9)*10000+A457)</f>
        <v/>
      </c>
      <c r="Z457" s="8" t="str">
        <f t="shared" si="155"/>
        <v/>
      </c>
      <c r="AA457" s="8" t="str">
        <f t="shared" si="156"/>
        <v/>
      </c>
      <c r="AB457" s="8" t="str">
        <f t="shared" si="157"/>
        <v/>
      </c>
      <c r="AC457" s="8"/>
      <c r="AD457" s="8"/>
      <c r="AE457" s="8"/>
      <c r="AK457" s="5" t="str">
        <f t="shared" si="158"/>
        <v/>
      </c>
      <c r="AL457" s="5" t="str">
        <f t="shared" si="159"/>
        <v/>
      </c>
      <c r="AM457" s="5" t="str">
        <f t="shared" si="160"/>
        <v/>
      </c>
      <c r="AN457" s="5" t="str">
        <f t="shared" si="161"/>
        <v/>
      </c>
      <c r="AO457" s="5" t="str">
        <f t="shared" si="162"/>
        <v/>
      </c>
      <c r="AP457" s="5" t="str">
        <f t="shared" si="163"/>
        <v/>
      </c>
      <c r="AQ457" s="5" t="str">
        <f t="shared" si="164"/>
        <v/>
      </c>
      <c r="AR457" s="5" t="str">
        <f t="shared" si="165"/>
        <v/>
      </c>
      <c r="AS457" s="5" t="str">
        <f t="shared" si="166"/>
        <v/>
      </c>
      <c r="AT457" s="5" t="str">
        <f t="shared" si="167"/>
        <v/>
      </c>
      <c r="AU457" s="5" t="str">
        <f t="shared" si="168"/>
        <v/>
      </c>
      <c r="AV457" s="5" t="str">
        <f t="shared" si="169"/>
        <v/>
      </c>
      <c r="AW457" s="5" t="str">
        <f t="shared" si="170"/>
        <v/>
      </c>
      <c r="AX457" s="5" t="str">
        <f t="shared" si="171"/>
        <v/>
      </c>
      <c r="AY457" s="5" t="str">
        <f t="shared" si="172"/>
        <v/>
      </c>
      <c r="AZ457" s="5" t="str">
        <f t="shared" si="173"/>
        <v/>
      </c>
      <c r="BA457" s="5" t="str">
        <f t="shared" si="174"/>
        <v/>
      </c>
      <c r="BB457" s="5" t="str">
        <f t="shared" si="175"/>
        <v/>
      </c>
    </row>
    <row r="458" spans="1:54" s="5" customFormat="1" hidden="1">
      <c r="A458" s="8" t="str">
        <f>IF(INDEX(FORM!$A:$A,ROW())="","",ROW()-1)</f>
        <v/>
      </c>
      <c r="B458" s="41" t="str">
        <f>IF($A458="","",INDEX(FORM!$A:$A,ROW()))</f>
        <v/>
      </c>
      <c r="C458" s="8" t="str">
        <f>IF($A458="","",TRIM(INDEX(FORM!$B:$B,ROW())))</f>
        <v/>
      </c>
      <c r="D458" s="8" t="str">
        <f>IF($A458="","",TRIM(INDEX(FORM!$C:$C,ROW())&amp;""))</f>
        <v/>
      </c>
      <c r="E458" s="8" t="str">
        <f>IF($A458="","",UPPER(TRIM(INDEX(FORM!$D:$D,ROW()))))</f>
        <v/>
      </c>
      <c r="F458" s="8" t="str">
        <f>IF($A458="","",IFERROR(INDEX(PROGRES!$A$2:$A$92,MATCH(E458,PROGRES!$B$2:$B$92,0)),"-"))</f>
        <v/>
      </c>
      <c r="G458" s="8" t="str">
        <f>IF($A458="","",UPPER(TRIM(INDEX(FORM!$F:$F,ROW()))))</f>
        <v/>
      </c>
      <c r="H458" s="8" t="str">
        <f>IF($A458="","",UPPER(TRIM(INDEX(FORM!$E:$E,ROW()))))</f>
        <v/>
      </c>
      <c r="I458" s="8" t="str">
        <f>IF($A458="","",UPPER(TRIM(INDEX(FORM!$G:$G,ROW()))))</f>
        <v/>
      </c>
      <c r="J458" s="8" t="str">
        <f>IF($A458="","",IF(ISNUMBER(SEARCH("Ya,",INDEX(FORM!$H:$H,ROW()))),"YA",IF(ISNUMBER(SEARCH("Cukup,",INDEX(FORM!$H:$H,ROW()))),"CUKUP",IF(ISNUMBER(SEARCH("Kurang,",INDEX(FORM!$H:$H,ROW()))),"KURANG",""))))</f>
        <v/>
      </c>
      <c r="K458" s="8" t="str">
        <f>IF($A458="","",UPPER(TRIM(INDEX(FORM!$J:$J,ROW()))))</f>
        <v/>
      </c>
      <c r="L458" s="8" t="str">
        <f>IF($A458="","",IF(ISNUMBER(SEARCH("Aktivitas Harian",INDEX(FORM!$K:$K,ROW()))),1,0))</f>
        <v/>
      </c>
      <c r="M458" s="8" t="str">
        <f>IF($A458="","",IF(ISNUMBER(SEARCH("Aktivitas Mingguan",INDEX(FORM!$K:$K,ROW()))),1,0))</f>
        <v/>
      </c>
      <c r="N458" s="8" t="str">
        <f>IF($A458="","",IF(ISNUMBER(SEARCH("Aktivitas Bulanan",INDEX(FORM!$K:$K,ROW()))),1,0))</f>
        <v/>
      </c>
      <c r="O458" s="8" t="str">
        <f>IF($A458="","",IF(ISNUMBER(SEARCH("Overview Cabang",INDEX(FORM!$K:$K,ROW()))),1,0))</f>
        <v/>
      </c>
      <c r="P458" s="8" t="str">
        <f>IF($A458="","",IFERROR(VLOOKUP(I458,DATA!$AH$9:$AI$13,2,0),""))</f>
        <v/>
      </c>
      <c r="Q458" s="8" t="str">
        <f>IF($A458="","",IFERROR(VLOOKUP(J458,DATA!$AH$9:$AI$13,2,0),""))</f>
        <v/>
      </c>
      <c r="R458" s="8" t="str">
        <f>IF($A458="","",IFERROR(VLOOKUP(K458,DATA!$AH$9:$AI$13,2,0),""))</f>
        <v/>
      </c>
      <c r="S458" s="42" t="str">
        <f t="shared" si="154"/>
        <v/>
      </c>
      <c r="T458" s="8" t="str">
        <f>IF($A458="","",IF(COUNTIF($D$2:D458,D458)=1,1,0))</f>
        <v/>
      </c>
      <c r="U458" s="8" t="str">
        <f>IF($A458="","",IF(F458="-","Cabang tdk ada",IF(IFERROR(VLOOKUP(G458,#REF!,1,0),"")="","",IF(INDEX(DATA!$AH$2:$AH$5,MATCH(G458,DATA!$AI$2:$AI$5,0))&lt;&gt;F458,"Wilayah beda","OK"))))</f>
        <v/>
      </c>
      <c r="V458" s="8" t="str">
        <f>IF($A458="","",TRIM(INDEX(FORM!$I:$I,ROW())&amp;""))</f>
        <v/>
      </c>
      <c r="W458" s="8" t="str">
        <f>IF($A458="","",TRIM(INDEX(FORM!$L:$L,ROW())&amp;""))</f>
        <v/>
      </c>
      <c r="X458" s="8" t="str">
        <f>IF($A458="","",TRIM(INDEX(FORM!$M:$M,ROW())&amp;""))</f>
        <v/>
      </c>
      <c r="Y458" s="8" t="str">
        <f>IF($A458="","",IFERROR(MATCH(F458,DATA!$AH$2:$AH$5,0),9)*10000+A458)</f>
        <v/>
      </c>
      <c r="Z458" s="8" t="str">
        <f t="shared" si="155"/>
        <v/>
      </c>
      <c r="AA458" s="8" t="str">
        <f t="shared" si="156"/>
        <v/>
      </c>
      <c r="AB458" s="8" t="str">
        <f t="shared" si="157"/>
        <v/>
      </c>
      <c r="AC458" s="8"/>
      <c r="AD458" s="8"/>
      <c r="AE458" s="8"/>
      <c r="AK458" s="5" t="str">
        <f t="shared" si="158"/>
        <v/>
      </c>
      <c r="AL458" s="5" t="str">
        <f t="shared" si="159"/>
        <v/>
      </c>
      <c r="AM458" s="5" t="str">
        <f t="shared" si="160"/>
        <v/>
      </c>
      <c r="AN458" s="5" t="str">
        <f t="shared" si="161"/>
        <v/>
      </c>
      <c r="AO458" s="5" t="str">
        <f t="shared" si="162"/>
        <v/>
      </c>
      <c r="AP458" s="5" t="str">
        <f t="shared" si="163"/>
        <v/>
      </c>
      <c r="AQ458" s="5" t="str">
        <f t="shared" si="164"/>
        <v/>
      </c>
      <c r="AR458" s="5" t="str">
        <f t="shared" si="165"/>
        <v/>
      </c>
      <c r="AS458" s="5" t="str">
        <f t="shared" si="166"/>
        <v/>
      </c>
      <c r="AT458" s="5" t="str">
        <f t="shared" si="167"/>
        <v/>
      </c>
      <c r="AU458" s="5" t="str">
        <f t="shared" si="168"/>
        <v/>
      </c>
      <c r="AV458" s="5" t="str">
        <f t="shared" si="169"/>
        <v/>
      </c>
      <c r="AW458" s="5" t="str">
        <f t="shared" si="170"/>
        <v/>
      </c>
      <c r="AX458" s="5" t="str">
        <f t="shared" si="171"/>
        <v/>
      </c>
      <c r="AY458" s="5" t="str">
        <f t="shared" si="172"/>
        <v/>
      </c>
      <c r="AZ458" s="5" t="str">
        <f t="shared" si="173"/>
        <v/>
      </c>
      <c r="BA458" s="5" t="str">
        <f t="shared" si="174"/>
        <v/>
      </c>
      <c r="BB458" s="5" t="str">
        <f t="shared" si="175"/>
        <v/>
      </c>
    </row>
    <row r="459" spans="1:54" s="5" customFormat="1" hidden="1">
      <c r="A459" s="8" t="str">
        <f>IF(INDEX(FORM!$A:$A,ROW())="","",ROW()-1)</f>
        <v/>
      </c>
      <c r="B459" s="41" t="str">
        <f>IF($A459="","",INDEX(FORM!$A:$A,ROW()))</f>
        <v/>
      </c>
      <c r="C459" s="8" t="str">
        <f>IF($A459="","",TRIM(INDEX(FORM!$B:$B,ROW())))</f>
        <v/>
      </c>
      <c r="D459" s="8" t="str">
        <f>IF($A459="","",TRIM(INDEX(FORM!$C:$C,ROW())&amp;""))</f>
        <v/>
      </c>
      <c r="E459" s="8" t="str">
        <f>IF($A459="","",UPPER(TRIM(INDEX(FORM!$D:$D,ROW()))))</f>
        <v/>
      </c>
      <c r="F459" s="8" t="str">
        <f>IF($A459="","",IFERROR(INDEX(PROGRES!$A$2:$A$92,MATCH(E459,PROGRES!$B$2:$B$92,0)),"-"))</f>
        <v/>
      </c>
      <c r="G459" s="8" t="str">
        <f>IF($A459="","",UPPER(TRIM(INDEX(FORM!$F:$F,ROW()))))</f>
        <v/>
      </c>
      <c r="H459" s="8" t="str">
        <f>IF($A459="","",UPPER(TRIM(INDEX(FORM!$E:$E,ROW()))))</f>
        <v/>
      </c>
      <c r="I459" s="8" t="str">
        <f>IF($A459="","",UPPER(TRIM(INDEX(FORM!$G:$G,ROW()))))</f>
        <v/>
      </c>
      <c r="J459" s="8" t="str">
        <f>IF($A459="","",IF(ISNUMBER(SEARCH("Ya,",INDEX(FORM!$H:$H,ROW()))),"YA",IF(ISNUMBER(SEARCH("Cukup,",INDEX(FORM!$H:$H,ROW()))),"CUKUP",IF(ISNUMBER(SEARCH("Kurang,",INDEX(FORM!$H:$H,ROW()))),"KURANG",""))))</f>
        <v/>
      </c>
      <c r="K459" s="8" t="str">
        <f>IF($A459="","",UPPER(TRIM(INDEX(FORM!$J:$J,ROW()))))</f>
        <v/>
      </c>
      <c r="L459" s="8" t="str">
        <f>IF($A459="","",IF(ISNUMBER(SEARCH("Aktivitas Harian",INDEX(FORM!$K:$K,ROW()))),1,0))</f>
        <v/>
      </c>
      <c r="M459" s="8" t="str">
        <f>IF($A459="","",IF(ISNUMBER(SEARCH("Aktivitas Mingguan",INDEX(FORM!$K:$K,ROW()))),1,0))</f>
        <v/>
      </c>
      <c r="N459" s="8" t="str">
        <f>IF($A459="","",IF(ISNUMBER(SEARCH("Aktivitas Bulanan",INDEX(FORM!$K:$K,ROW()))),1,0))</f>
        <v/>
      </c>
      <c r="O459" s="8" t="str">
        <f>IF($A459="","",IF(ISNUMBER(SEARCH("Overview Cabang",INDEX(FORM!$K:$K,ROW()))),1,0))</f>
        <v/>
      </c>
      <c r="P459" s="8" t="str">
        <f>IF($A459="","",IFERROR(VLOOKUP(I459,DATA!$AH$9:$AI$13,2,0),""))</f>
        <v/>
      </c>
      <c r="Q459" s="8" t="str">
        <f>IF($A459="","",IFERROR(VLOOKUP(J459,DATA!$AH$9:$AI$13,2,0),""))</f>
        <v/>
      </c>
      <c r="R459" s="8" t="str">
        <f>IF($A459="","",IFERROR(VLOOKUP(K459,DATA!$AH$9:$AI$13,2,0),""))</f>
        <v/>
      </c>
      <c r="S459" s="42" t="str">
        <f t="shared" si="154"/>
        <v/>
      </c>
      <c r="T459" s="8" t="str">
        <f>IF($A459="","",IF(COUNTIF($D$2:D459,D459)=1,1,0))</f>
        <v/>
      </c>
      <c r="U459" s="8" t="str">
        <f>IF($A459="","",IF(F459="-","Cabang tdk ada",IF(IFERROR(VLOOKUP(G459,#REF!,1,0),"")="","",IF(INDEX(DATA!$AH$2:$AH$5,MATCH(G459,DATA!$AI$2:$AI$5,0))&lt;&gt;F459,"Wilayah beda","OK"))))</f>
        <v/>
      </c>
      <c r="V459" s="8" t="str">
        <f>IF($A459="","",TRIM(INDEX(FORM!$I:$I,ROW())&amp;""))</f>
        <v/>
      </c>
      <c r="W459" s="8" t="str">
        <f>IF($A459="","",TRIM(INDEX(FORM!$L:$L,ROW())&amp;""))</f>
        <v/>
      </c>
      <c r="X459" s="8" t="str">
        <f>IF($A459="","",TRIM(INDEX(FORM!$M:$M,ROW())&amp;""))</f>
        <v/>
      </c>
      <c r="Y459" s="8" t="str">
        <f>IF($A459="","",IFERROR(MATCH(F459,DATA!$AH$2:$AH$5,0),9)*10000+A459)</f>
        <v/>
      </c>
      <c r="Z459" s="8" t="str">
        <f t="shared" si="155"/>
        <v/>
      </c>
      <c r="AA459" s="8" t="str">
        <f t="shared" si="156"/>
        <v/>
      </c>
      <c r="AB459" s="8" t="str">
        <f t="shared" si="157"/>
        <v/>
      </c>
      <c r="AC459" s="8"/>
      <c r="AD459" s="8"/>
      <c r="AE459" s="8"/>
      <c r="AK459" s="5" t="str">
        <f t="shared" si="158"/>
        <v/>
      </c>
      <c r="AL459" s="5" t="str">
        <f t="shared" si="159"/>
        <v/>
      </c>
      <c r="AM459" s="5" t="str">
        <f t="shared" si="160"/>
        <v/>
      </c>
      <c r="AN459" s="5" t="str">
        <f t="shared" si="161"/>
        <v/>
      </c>
      <c r="AO459" s="5" t="str">
        <f t="shared" si="162"/>
        <v/>
      </c>
      <c r="AP459" s="5" t="str">
        <f t="shared" si="163"/>
        <v/>
      </c>
      <c r="AQ459" s="5" t="str">
        <f t="shared" si="164"/>
        <v/>
      </c>
      <c r="AR459" s="5" t="str">
        <f t="shared" si="165"/>
        <v/>
      </c>
      <c r="AS459" s="5" t="str">
        <f t="shared" si="166"/>
        <v/>
      </c>
      <c r="AT459" s="5" t="str">
        <f t="shared" si="167"/>
        <v/>
      </c>
      <c r="AU459" s="5" t="str">
        <f t="shared" si="168"/>
        <v/>
      </c>
      <c r="AV459" s="5" t="str">
        <f t="shared" si="169"/>
        <v/>
      </c>
      <c r="AW459" s="5" t="str">
        <f t="shared" si="170"/>
        <v/>
      </c>
      <c r="AX459" s="5" t="str">
        <f t="shared" si="171"/>
        <v/>
      </c>
      <c r="AY459" s="5" t="str">
        <f t="shared" si="172"/>
        <v/>
      </c>
      <c r="AZ459" s="5" t="str">
        <f t="shared" si="173"/>
        <v/>
      </c>
      <c r="BA459" s="5" t="str">
        <f t="shared" si="174"/>
        <v/>
      </c>
      <c r="BB459" s="5" t="str">
        <f t="shared" si="175"/>
        <v/>
      </c>
    </row>
    <row r="460" spans="1:54" s="5" customFormat="1" hidden="1">
      <c r="A460" s="8" t="str">
        <f>IF(INDEX(FORM!$A:$A,ROW())="","",ROW()-1)</f>
        <v/>
      </c>
      <c r="B460" s="41" t="str">
        <f>IF($A460="","",INDEX(FORM!$A:$A,ROW()))</f>
        <v/>
      </c>
      <c r="C460" s="8" t="str">
        <f>IF($A460="","",TRIM(INDEX(FORM!$B:$B,ROW())))</f>
        <v/>
      </c>
      <c r="D460" s="8" t="str">
        <f>IF($A460="","",TRIM(INDEX(FORM!$C:$C,ROW())&amp;""))</f>
        <v/>
      </c>
      <c r="E460" s="8" t="str">
        <f>IF($A460="","",UPPER(TRIM(INDEX(FORM!$D:$D,ROW()))))</f>
        <v/>
      </c>
      <c r="F460" s="8" t="str">
        <f>IF($A460="","",IFERROR(INDEX(PROGRES!$A$2:$A$92,MATCH(E460,PROGRES!$B$2:$B$92,0)),"-"))</f>
        <v/>
      </c>
      <c r="G460" s="8" t="str">
        <f>IF($A460="","",UPPER(TRIM(INDEX(FORM!$F:$F,ROW()))))</f>
        <v/>
      </c>
      <c r="H460" s="8" t="str">
        <f>IF($A460="","",UPPER(TRIM(INDEX(FORM!$E:$E,ROW()))))</f>
        <v/>
      </c>
      <c r="I460" s="8" t="str">
        <f>IF($A460="","",UPPER(TRIM(INDEX(FORM!$G:$G,ROW()))))</f>
        <v/>
      </c>
      <c r="J460" s="8" t="str">
        <f>IF($A460="","",IF(ISNUMBER(SEARCH("Ya,",INDEX(FORM!$H:$H,ROW()))),"YA",IF(ISNUMBER(SEARCH("Cukup,",INDEX(FORM!$H:$H,ROW()))),"CUKUP",IF(ISNUMBER(SEARCH("Kurang,",INDEX(FORM!$H:$H,ROW()))),"KURANG",""))))</f>
        <v/>
      </c>
      <c r="K460" s="8" t="str">
        <f>IF($A460="","",UPPER(TRIM(INDEX(FORM!$J:$J,ROW()))))</f>
        <v/>
      </c>
      <c r="L460" s="8" t="str">
        <f>IF($A460="","",IF(ISNUMBER(SEARCH("Aktivitas Harian",INDEX(FORM!$K:$K,ROW()))),1,0))</f>
        <v/>
      </c>
      <c r="M460" s="8" t="str">
        <f>IF($A460="","",IF(ISNUMBER(SEARCH("Aktivitas Mingguan",INDEX(FORM!$K:$K,ROW()))),1,0))</f>
        <v/>
      </c>
      <c r="N460" s="8" t="str">
        <f>IF($A460="","",IF(ISNUMBER(SEARCH("Aktivitas Bulanan",INDEX(FORM!$K:$K,ROW()))),1,0))</f>
        <v/>
      </c>
      <c r="O460" s="8" t="str">
        <f>IF($A460="","",IF(ISNUMBER(SEARCH("Overview Cabang",INDEX(FORM!$K:$K,ROW()))),1,0))</f>
        <v/>
      </c>
      <c r="P460" s="8" t="str">
        <f>IF($A460="","",IFERROR(VLOOKUP(I460,DATA!$AH$9:$AI$13,2,0),""))</f>
        <v/>
      </c>
      <c r="Q460" s="8" t="str">
        <f>IF($A460="","",IFERROR(VLOOKUP(J460,DATA!$AH$9:$AI$13,2,0),""))</f>
        <v/>
      </c>
      <c r="R460" s="8" t="str">
        <f>IF($A460="","",IFERROR(VLOOKUP(K460,DATA!$AH$9:$AI$13,2,0),""))</f>
        <v/>
      </c>
      <c r="S460" s="42" t="str">
        <f t="shared" si="154"/>
        <v/>
      </c>
      <c r="T460" s="8" t="str">
        <f>IF($A460="","",IF(COUNTIF($D$2:D460,D460)=1,1,0))</f>
        <v/>
      </c>
      <c r="U460" s="8" t="str">
        <f>IF($A460="","",IF(F460="-","Cabang tdk ada",IF(IFERROR(VLOOKUP(G460,#REF!,1,0),"")="","",IF(INDEX(DATA!$AH$2:$AH$5,MATCH(G460,DATA!$AI$2:$AI$5,0))&lt;&gt;F460,"Wilayah beda","OK"))))</f>
        <v/>
      </c>
      <c r="V460" s="8" t="str">
        <f>IF($A460="","",TRIM(INDEX(FORM!$I:$I,ROW())&amp;""))</f>
        <v/>
      </c>
      <c r="W460" s="8" t="str">
        <f>IF($A460="","",TRIM(INDEX(FORM!$L:$L,ROW())&amp;""))</f>
        <v/>
      </c>
      <c r="X460" s="8" t="str">
        <f>IF($A460="","",TRIM(INDEX(FORM!$M:$M,ROW())&amp;""))</f>
        <v/>
      </c>
      <c r="Y460" s="8" t="str">
        <f>IF($A460="","",IFERROR(MATCH(F460,DATA!$AH$2:$AH$5,0),9)*10000+A460)</f>
        <v/>
      </c>
      <c r="Z460" s="8" t="str">
        <f t="shared" si="155"/>
        <v/>
      </c>
      <c r="AA460" s="8" t="str">
        <f t="shared" si="156"/>
        <v/>
      </c>
      <c r="AB460" s="8" t="str">
        <f t="shared" si="157"/>
        <v/>
      </c>
      <c r="AC460" s="8"/>
      <c r="AD460" s="8"/>
      <c r="AE460" s="8"/>
      <c r="AK460" s="5" t="str">
        <f t="shared" si="158"/>
        <v/>
      </c>
      <c r="AL460" s="5" t="str">
        <f t="shared" si="159"/>
        <v/>
      </c>
      <c r="AM460" s="5" t="str">
        <f t="shared" si="160"/>
        <v/>
      </c>
      <c r="AN460" s="5" t="str">
        <f t="shared" si="161"/>
        <v/>
      </c>
      <c r="AO460" s="5" t="str">
        <f t="shared" si="162"/>
        <v/>
      </c>
      <c r="AP460" s="5" t="str">
        <f t="shared" si="163"/>
        <v/>
      </c>
      <c r="AQ460" s="5" t="str">
        <f t="shared" si="164"/>
        <v/>
      </c>
      <c r="AR460" s="5" t="str">
        <f t="shared" si="165"/>
        <v/>
      </c>
      <c r="AS460" s="5" t="str">
        <f t="shared" si="166"/>
        <v/>
      </c>
      <c r="AT460" s="5" t="str">
        <f t="shared" si="167"/>
        <v/>
      </c>
      <c r="AU460" s="5" t="str">
        <f t="shared" si="168"/>
        <v/>
      </c>
      <c r="AV460" s="5" t="str">
        <f t="shared" si="169"/>
        <v/>
      </c>
      <c r="AW460" s="5" t="str">
        <f t="shared" si="170"/>
        <v/>
      </c>
      <c r="AX460" s="5" t="str">
        <f t="shared" si="171"/>
        <v/>
      </c>
      <c r="AY460" s="5" t="str">
        <f t="shared" si="172"/>
        <v/>
      </c>
      <c r="AZ460" s="5" t="str">
        <f t="shared" si="173"/>
        <v/>
      </c>
      <c r="BA460" s="5" t="str">
        <f t="shared" si="174"/>
        <v/>
      </c>
      <c r="BB460" s="5" t="str">
        <f t="shared" si="175"/>
        <v/>
      </c>
    </row>
    <row r="461" spans="1:54" s="5" customFormat="1" hidden="1">
      <c r="A461" s="8" t="str">
        <f>IF(INDEX(FORM!$A:$A,ROW())="","",ROW()-1)</f>
        <v/>
      </c>
      <c r="B461" s="41" t="str">
        <f>IF($A461="","",INDEX(FORM!$A:$A,ROW()))</f>
        <v/>
      </c>
      <c r="C461" s="8" t="str">
        <f>IF($A461="","",TRIM(INDEX(FORM!$B:$B,ROW())))</f>
        <v/>
      </c>
      <c r="D461" s="8" t="str">
        <f>IF($A461="","",TRIM(INDEX(FORM!$C:$C,ROW())&amp;""))</f>
        <v/>
      </c>
      <c r="E461" s="8" t="str">
        <f>IF($A461="","",UPPER(TRIM(INDEX(FORM!$D:$D,ROW()))))</f>
        <v/>
      </c>
      <c r="F461" s="8" t="str">
        <f>IF($A461="","",IFERROR(INDEX(PROGRES!$A$2:$A$92,MATCH(E461,PROGRES!$B$2:$B$92,0)),"-"))</f>
        <v/>
      </c>
      <c r="G461" s="8" t="str">
        <f>IF($A461="","",UPPER(TRIM(INDEX(FORM!$F:$F,ROW()))))</f>
        <v/>
      </c>
      <c r="H461" s="8" t="str">
        <f>IF($A461="","",UPPER(TRIM(INDEX(FORM!$E:$E,ROW()))))</f>
        <v/>
      </c>
      <c r="I461" s="8" t="str">
        <f>IF($A461="","",UPPER(TRIM(INDEX(FORM!$G:$G,ROW()))))</f>
        <v/>
      </c>
      <c r="J461" s="8" t="str">
        <f>IF($A461="","",IF(ISNUMBER(SEARCH("Ya,",INDEX(FORM!$H:$H,ROW()))),"YA",IF(ISNUMBER(SEARCH("Cukup,",INDEX(FORM!$H:$H,ROW()))),"CUKUP",IF(ISNUMBER(SEARCH("Kurang,",INDEX(FORM!$H:$H,ROW()))),"KURANG",""))))</f>
        <v/>
      </c>
      <c r="K461" s="8" t="str">
        <f>IF($A461="","",UPPER(TRIM(INDEX(FORM!$J:$J,ROW()))))</f>
        <v/>
      </c>
      <c r="L461" s="8" t="str">
        <f>IF($A461="","",IF(ISNUMBER(SEARCH("Aktivitas Harian",INDEX(FORM!$K:$K,ROW()))),1,0))</f>
        <v/>
      </c>
      <c r="M461" s="8" t="str">
        <f>IF($A461="","",IF(ISNUMBER(SEARCH("Aktivitas Mingguan",INDEX(FORM!$K:$K,ROW()))),1,0))</f>
        <v/>
      </c>
      <c r="N461" s="8" t="str">
        <f>IF($A461="","",IF(ISNUMBER(SEARCH("Aktivitas Bulanan",INDEX(FORM!$K:$K,ROW()))),1,0))</f>
        <v/>
      </c>
      <c r="O461" s="8" t="str">
        <f>IF($A461="","",IF(ISNUMBER(SEARCH("Overview Cabang",INDEX(FORM!$K:$K,ROW()))),1,0))</f>
        <v/>
      </c>
      <c r="P461" s="8" t="str">
        <f>IF($A461="","",IFERROR(VLOOKUP(I461,DATA!$AH$9:$AI$13,2,0),""))</f>
        <v/>
      </c>
      <c r="Q461" s="8" t="str">
        <f>IF($A461="","",IFERROR(VLOOKUP(J461,DATA!$AH$9:$AI$13,2,0),""))</f>
        <v/>
      </c>
      <c r="R461" s="8" t="str">
        <f>IF($A461="","",IFERROR(VLOOKUP(K461,DATA!$AH$9:$AI$13,2,0),""))</f>
        <v/>
      </c>
      <c r="S461" s="42" t="str">
        <f t="shared" si="154"/>
        <v/>
      </c>
      <c r="T461" s="8" t="str">
        <f>IF($A461="","",IF(COUNTIF($D$2:D461,D461)=1,1,0))</f>
        <v/>
      </c>
      <c r="U461" s="8" t="str">
        <f>IF($A461="","",IF(F461="-","Cabang tdk ada",IF(IFERROR(VLOOKUP(G461,#REF!,1,0),"")="","",IF(INDEX(DATA!$AH$2:$AH$5,MATCH(G461,DATA!$AI$2:$AI$5,0))&lt;&gt;F461,"Wilayah beda","OK"))))</f>
        <v/>
      </c>
      <c r="V461" s="8" t="str">
        <f>IF($A461="","",TRIM(INDEX(FORM!$I:$I,ROW())&amp;""))</f>
        <v/>
      </c>
      <c r="W461" s="8" t="str">
        <f>IF($A461="","",TRIM(INDEX(FORM!$L:$L,ROW())&amp;""))</f>
        <v/>
      </c>
      <c r="X461" s="8" t="str">
        <f>IF($A461="","",TRIM(INDEX(FORM!$M:$M,ROW())&amp;""))</f>
        <v/>
      </c>
      <c r="Y461" s="8" t="str">
        <f>IF($A461="","",IFERROR(MATCH(F461,DATA!$AH$2:$AH$5,0),9)*10000+A461)</f>
        <v/>
      </c>
      <c r="Z461" s="8" t="str">
        <f t="shared" si="155"/>
        <v/>
      </c>
      <c r="AA461" s="8" t="str">
        <f t="shared" si="156"/>
        <v/>
      </c>
      <c r="AB461" s="8" t="str">
        <f t="shared" si="157"/>
        <v/>
      </c>
      <c r="AC461" s="8"/>
      <c r="AD461" s="8"/>
      <c r="AE461" s="8"/>
      <c r="AK461" s="5" t="str">
        <f t="shared" si="158"/>
        <v/>
      </c>
      <c r="AL461" s="5" t="str">
        <f t="shared" si="159"/>
        <v/>
      </c>
      <c r="AM461" s="5" t="str">
        <f t="shared" si="160"/>
        <v/>
      </c>
      <c r="AN461" s="5" t="str">
        <f t="shared" si="161"/>
        <v/>
      </c>
      <c r="AO461" s="5" t="str">
        <f t="shared" si="162"/>
        <v/>
      </c>
      <c r="AP461" s="5" t="str">
        <f t="shared" si="163"/>
        <v/>
      </c>
      <c r="AQ461" s="5" t="str">
        <f t="shared" si="164"/>
        <v/>
      </c>
      <c r="AR461" s="5" t="str">
        <f t="shared" si="165"/>
        <v/>
      </c>
      <c r="AS461" s="5" t="str">
        <f t="shared" si="166"/>
        <v/>
      </c>
      <c r="AT461" s="5" t="str">
        <f t="shared" si="167"/>
        <v/>
      </c>
      <c r="AU461" s="5" t="str">
        <f t="shared" si="168"/>
        <v/>
      </c>
      <c r="AV461" s="5" t="str">
        <f t="shared" si="169"/>
        <v/>
      </c>
      <c r="AW461" s="5" t="str">
        <f t="shared" si="170"/>
        <v/>
      </c>
      <c r="AX461" s="5" t="str">
        <f t="shared" si="171"/>
        <v/>
      </c>
      <c r="AY461" s="5" t="str">
        <f t="shared" si="172"/>
        <v/>
      </c>
      <c r="AZ461" s="5" t="str">
        <f t="shared" si="173"/>
        <v/>
      </c>
      <c r="BA461" s="5" t="str">
        <f t="shared" si="174"/>
        <v/>
      </c>
      <c r="BB461" s="5" t="str">
        <f t="shared" si="175"/>
        <v/>
      </c>
    </row>
    <row r="462" spans="1:54" s="5" customFormat="1" hidden="1">
      <c r="A462" s="8" t="str">
        <f>IF(INDEX(FORM!$A:$A,ROW())="","",ROW()-1)</f>
        <v/>
      </c>
      <c r="B462" s="41" t="str">
        <f>IF($A462="","",INDEX(FORM!$A:$A,ROW()))</f>
        <v/>
      </c>
      <c r="C462" s="8" t="str">
        <f>IF($A462="","",TRIM(INDEX(FORM!$B:$B,ROW())))</f>
        <v/>
      </c>
      <c r="D462" s="8" t="str">
        <f>IF($A462="","",TRIM(INDEX(FORM!$C:$C,ROW())&amp;""))</f>
        <v/>
      </c>
      <c r="E462" s="8" t="str">
        <f>IF($A462="","",UPPER(TRIM(INDEX(FORM!$D:$D,ROW()))))</f>
        <v/>
      </c>
      <c r="F462" s="8" t="str">
        <f>IF($A462="","",IFERROR(INDEX(PROGRES!$A$2:$A$92,MATCH(E462,PROGRES!$B$2:$B$92,0)),"-"))</f>
        <v/>
      </c>
      <c r="G462" s="8" t="str">
        <f>IF($A462="","",UPPER(TRIM(INDEX(FORM!$F:$F,ROW()))))</f>
        <v/>
      </c>
      <c r="H462" s="8" t="str">
        <f>IF($A462="","",UPPER(TRIM(INDEX(FORM!$E:$E,ROW()))))</f>
        <v/>
      </c>
      <c r="I462" s="8" t="str">
        <f>IF($A462="","",UPPER(TRIM(INDEX(FORM!$G:$G,ROW()))))</f>
        <v/>
      </c>
      <c r="J462" s="8" t="str">
        <f>IF($A462="","",IF(ISNUMBER(SEARCH("Ya,",INDEX(FORM!$H:$H,ROW()))),"YA",IF(ISNUMBER(SEARCH("Cukup,",INDEX(FORM!$H:$H,ROW()))),"CUKUP",IF(ISNUMBER(SEARCH("Kurang,",INDEX(FORM!$H:$H,ROW()))),"KURANG",""))))</f>
        <v/>
      </c>
      <c r="K462" s="8" t="str">
        <f>IF($A462="","",UPPER(TRIM(INDEX(FORM!$J:$J,ROW()))))</f>
        <v/>
      </c>
      <c r="L462" s="8" t="str">
        <f>IF($A462="","",IF(ISNUMBER(SEARCH("Aktivitas Harian",INDEX(FORM!$K:$K,ROW()))),1,0))</f>
        <v/>
      </c>
      <c r="M462" s="8" t="str">
        <f>IF($A462="","",IF(ISNUMBER(SEARCH("Aktivitas Mingguan",INDEX(FORM!$K:$K,ROW()))),1,0))</f>
        <v/>
      </c>
      <c r="N462" s="8" t="str">
        <f>IF($A462="","",IF(ISNUMBER(SEARCH("Aktivitas Bulanan",INDEX(FORM!$K:$K,ROW()))),1,0))</f>
        <v/>
      </c>
      <c r="O462" s="8" t="str">
        <f>IF($A462="","",IF(ISNUMBER(SEARCH("Overview Cabang",INDEX(FORM!$K:$K,ROW()))),1,0))</f>
        <v/>
      </c>
      <c r="P462" s="8" t="str">
        <f>IF($A462="","",IFERROR(VLOOKUP(I462,DATA!$AH$9:$AI$13,2,0),""))</f>
        <v/>
      </c>
      <c r="Q462" s="8" t="str">
        <f>IF($A462="","",IFERROR(VLOOKUP(J462,DATA!$AH$9:$AI$13,2,0),""))</f>
        <v/>
      </c>
      <c r="R462" s="8" t="str">
        <f>IF($A462="","",IFERROR(VLOOKUP(K462,DATA!$AH$9:$AI$13,2,0),""))</f>
        <v/>
      </c>
      <c r="S462" s="42" t="str">
        <f t="shared" si="154"/>
        <v/>
      </c>
      <c r="T462" s="8" t="str">
        <f>IF($A462="","",IF(COUNTIF($D$2:D462,D462)=1,1,0))</f>
        <v/>
      </c>
      <c r="U462" s="8" t="str">
        <f>IF($A462="","",IF(F462="-","Cabang tdk ada",IF(IFERROR(VLOOKUP(G462,#REF!,1,0),"")="","",IF(INDEX(DATA!$AH$2:$AH$5,MATCH(G462,DATA!$AI$2:$AI$5,0))&lt;&gt;F462,"Wilayah beda","OK"))))</f>
        <v/>
      </c>
      <c r="V462" s="8" t="str">
        <f>IF($A462="","",TRIM(INDEX(FORM!$I:$I,ROW())&amp;""))</f>
        <v/>
      </c>
      <c r="W462" s="8" t="str">
        <f>IF($A462="","",TRIM(INDEX(FORM!$L:$L,ROW())&amp;""))</f>
        <v/>
      </c>
      <c r="X462" s="8" t="str">
        <f>IF($A462="","",TRIM(INDEX(FORM!$M:$M,ROW())&amp;""))</f>
        <v/>
      </c>
      <c r="Y462" s="8" t="str">
        <f>IF($A462="","",IFERROR(MATCH(F462,DATA!$AH$2:$AH$5,0),9)*10000+A462)</f>
        <v/>
      </c>
      <c r="Z462" s="8" t="str">
        <f t="shared" si="155"/>
        <v/>
      </c>
      <c r="AA462" s="8" t="str">
        <f t="shared" si="156"/>
        <v/>
      </c>
      <c r="AB462" s="8" t="str">
        <f t="shared" si="157"/>
        <v/>
      </c>
      <c r="AC462" s="8"/>
      <c r="AD462" s="8"/>
      <c r="AE462" s="8"/>
      <c r="AK462" s="5" t="str">
        <f t="shared" si="158"/>
        <v/>
      </c>
      <c r="AL462" s="5" t="str">
        <f t="shared" si="159"/>
        <v/>
      </c>
      <c r="AM462" s="5" t="str">
        <f t="shared" si="160"/>
        <v/>
      </c>
      <c r="AN462" s="5" t="str">
        <f t="shared" si="161"/>
        <v/>
      </c>
      <c r="AO462" s="5" t="str">
        <f t="shared" si="162"/>
        <v/>
      </c>
      <c r="AP462" s="5" t="str">
        <f t="shared" si="163"/>
        <v/>
      </c>
      <c r="AQ462" s="5" t="str">
        <f t="shared" si="164"/>
        <v/>
      </c>
      <c r="AR462" s="5" t="str">
        <f t="shared" si="165"/>
        <v/>
      </c>
      <c r="AS462" s="5" t="str">
        <f t="shared" si="166"/>
        <v/>
      </c>
      <c r="AT462" s="5" t="str">
        <f t="shared" si="167"/>
        <v/>
      </c>
      <c r="AU462" s="5" t="str">
        <f t="shared" si="168"/>
        <v/>
      </c>
      <c r="AV462" s="5" t="str">
        <f t="shared" si="169"/>
        <v/>
      </c>
      <c r="AW462" s="5" t="str">
        <f t="shared" si="170"/>
        <v/>
      </c>
      <c r="AX462" s="5" t="str">
        <f t="shared" si="171"/>
        <v/>
      </c>
      <c r="AY462" s="5" t="str">
        <f t="shared" si="172"/>
        <v/>
      </c>
      <c r="AZ462" s="5" t="str">
        <f t="shared" si="173"/>
        <v/>
      </c>
      <c r="BA462" s="5" t="str">
        <f t="shared" si="174"/>
        <v/>
      </c>
      <c r="BB462" s="5" t="str">
        <f t="shared" si="175"/>
        <v/>
      </c>
    </row>
    <row r="463" spans="1:54" s="5" customFormat="1" hidden="1">
      <c r="A463" s="8" t="str">
        <f>IF(INDEX(FORM!$A:$A,ROW())="","",ROW()-1)</f>
        <v/>
      </c>
      <c r="B463" s="41" t="str">
        <f>IF($A463="","",INDEX(FORM!$A:$A,ROW()))</f>
        <v/>
      </c>
      <c r="C463" s="8" t="str">
        <f>IF($A463="","",TRIM(INDEX(FORM!$B:$B,ROW())))</f>
        <v/>
      </c>
      <c r="D463" s="8" t="str">
        <f>IF($A463="","",TRIM(INDEX(FORM!$C:$C,ROW())&amp;""))</f>
        <v/>
      </c>
      <c r="E463" s="8" t="str">
        <f>IF($A463="","",UPPER(TRIM(INDEX(FORM!$D:$D,ROW()))))</f>
        <v/>
      </c>
      <c r="F463" s="8" t="str">
        <f>IF($A463="","",IFERROR(INDEX(PROGRES!$A$2:$A$92,MATCH(E463,PROGRES!$B$2:$B$92,0)),"-"))</f>
        <v/>
      </c>
      <c r="G463" s="8" t="str">
        <f>IF($A463="","",UPPER(TRIM(INDEX(FORM!$F:$F,ROW()))))</f>
        <v/>
      </c>
      <c r="H463" s="8" t="str">
        <f>IF($A463="","",UPPER(TRIM(INDEX(FORM!$E:$E,ROW()))))</f>
        <v/>
      </c>
      <c r="I463" s="8" t="str">
        <f>IF($A463="","",UPPER(TRIM(INDEX(FORM!$G:$G,ROW()))))</f>
        <v/>
      </c>
      <c r="J463" s="8" t="str">
        <f>IF($A463="","",IF(ISNUMBER(SEARCH("Ya,",INDEX(FORM!$H:$H,ROW()))),"YA",IF(ISNUMBER(SEARCH("Cukup,",INDEX(FORM!$H:$H,ROW()))),"CUKUP",IF(ISNUMBER(SEARCH("Kurang,",INDEX(FORM!$H:$H,ROW()))),"KURANG",""))))</f>
        <v/>
      </c>
      <c r="K463" s="8" t="str">
        <f>IF($A463="","",UPPER(TRIM(INDEX(FORM!$J:$J,ROW()))))</f>
        <v/>
      </c>
      <c r="L463" s="8" t="str">
        <f>IF($A463="","",IF(ISNUMBER(SEARCH("Aktivitas Harian",INDEX(FORM!$K:$K,ROW()))),1,0))</f>
        <v/>
      </c>
      <c r="M463" s="8" t="str">
        <f>IF($A463="","",IF(ISNUMBER(SEARCH("Aktivitas Mingguan",INDEX(FORM!$K:$K,ROW()))),1,0))</f>
        <v/>
      </c>
      <c r="N463" s="8" t="str">
        <f>IF($A463="","",IF(ISNUMBER(SEARCH("Aktivitas Bulanan",INDEX(FORM!$K:$K,ROW()))),1,0))</f>
        <v/>
      </c>
      <c r="O463" s="8" t="str">
        <f>IF($A463="","",IF(ISNUMBER(SEARCH("Overview Cabang",INDEX(FORM!$K:$K,ROW()))),1,0))</f>
        <v/>
      </c>
      <c r="P463" s="8" t="str">
        <f>IF($A463="","",IFERROR(VLOOKUP(I463,DATA!$AH$9:$AI$13,2,0),""))</f>
        <v/>
      </c>
      <c r="Q463" s="8" t="str">
        <f>IF($A463="","",IFERROR(VLOOKUP(J463,DATA!$AH$9:$AI$13,2,0),""))</f>
        <v/>
      </c>
      <c r="R463" s="8" t="str">
        <f>IF($A463="","",IFERROR(VLOOKUP(K463,DATA!$AH$9:$AI$13,2,0),""))</f>
        <v/>
      </c>
      <c r="S463" s="42" t="str">
        <f t="shared" si="154"/>
        <v/>
      </c>
      <c r="T463" s="8" t="str">
        <f>IF($A463="","",IF(COUNTIF($D$2:D463,D463)=1,1,0))</f>
        <v/>
      </c>
      <c r="U463" s="8" t="str">
        <f>IF($A463="","",IF(F463="-","Cabang tdk ada",IF(IFERROR(VLOOKUP(G463,#REF!,1,0),"")="","",IF(INDEX(DATA!$AH$2:$AH$5,MATCH(G463,DATA!$AI$2:$AI$5,0))&lt;&gt;F463,"Wilayah beda","OK"))))</f>
        <v/>
      </c>
      <c r="V463" s="8" t="str">
        <f>IF($A463="","",TRIM(INDEX(FORM!$I:$I,ROW())&amp;""))</f>
        <v/>
      </c>
      <c r="W463" s="8" t="str">
        <f>IF($A463="","",TRIM(INDEX(FORM!$L:$L,ROW())&amp;""))</f>
        <v/>
      </c>
      <c r="X463" s="8" t="str">
        <f>IF($A463="","",TRIM(INDEX(FORM!$M:$M,ROW())&amp;""))</f>
        <v/>
      </c>
      <c r="Y463" s="8" t="str">
        <f>IF($A463="","",IFERROR(MATCH(F463,DATA!$AH$2:$AH$5,0),9)*10000+A463)</f>
        <v/>
      </c>
      <c r="Z463" s="8" t="str">
        <f t="shared" si="155"/>
        <v/>
      </c>
      <c r="AA463" s="8" t="str">
        <f t="shared" si="156"/>
        <v/>
      </c>
      <c r="AB463" s="8" t="str">
        <f t="shared" si="157"/>
        <v/>
      </c>
      <c r="AC463" s="8"/>
      <c r="AD463" s="8"/>
      <c r="AE463" s="8"/>
      <c r="AK463" s="5" t="str">
        <f t="shared" si="158"/>
        <v/>
      </c>
      <c r="AL463" s="5" t="str">
        <f t="shared" si="159"/>
        <v/>
      </c>
      <c r="AM463" s="5" t="str">
        <f t="shared" si="160"/>
        <v/>
      </c>
      <c r="AN463" s="5" t="str">
        <f t="shared" si="161"/>
        <v/>
      </c>
      <c r="AO463" s="5" t="str">
        <f t="shared" si="162"/>
        <v/>
      </c>
      <c r="AP463" s="5" t="str">
        <f t="shared" si="163"/>
        <v/>
      </c>
      <c r="AQ463" s="5" t="str">
        <f t="shared" si="164"/>
        <v/>
      </c>
      <c r="AR463" s="5" t="str">
        <f t="shared" si="165"/>
        <v/>
      </c>
      <c r="AS463" s="5" t="str">
        <f t="shared" si="166"/>
        <v/>
      </c>
      <c r="AT463" s="5" t="str">
        <f t="shared" si="167"/>
        <v/>
      </c>
      <c r="AU463" s="5" t="str">
        <f t="shared" si="168"/>
        <v/>
      </c>
      <c r="AV463" s="5" t="str">
        <f t="shared" si="169"/>
        <v/>
      </c>
      <c r="AW463" s="5" t="str">
        <f t="shared" si="170"/>
        <v/>
      </c>
      <c r="AX463" s="5" t="str">
        <f t="shared" si="171"/>
        <v/>
      </c>
      <c r="AY463" s="5" t="str">
        <f t="shared" si="172"/>
        <v/>
      </c>
      <c r="AZ463" s="5" t="str">
        <f t="shared" si="173"/>
        <v/>
      </c>
      <c r="BA463" s="5" t="str">
        <f t="shared" si="174"/>
        <v/>
      </c>
      <c r="BB463" s="5" t="str">
        <f t="shared" si="175"/>
        <v/>
      </c>
    </row>
    <row r="464" spans="1:54" s="5" customFormat="1" hidden="1">
      <c r="A464" s="8" t="str">
        <f>IF(INDEX(FORM!$A:$A,ROW())="","",ROW()-1)</f>
        <v/>
      </c>
      <c r="B464" s="41" t="str">
        <f>IF($A464="","",INDEX(FORM!$A:$A,ROW()))</f>
        <v/>
      </c>
      <c r="C464" s="8" t="str">
        <f>IF($A464="","",TRIM(INDEX(FORM!$B:$B,ROW())))</f>
        <v/>
      </c>
      <c r="D464" s="8" t="str">
        <f>IF($A464="","",TRIM(INDEX(FORM!$C:$C,ROW())&amp;""))</f>
        <v/>
      </c>
      <c r="E464" s="8" t="str">
        <f>IF($A464="","",UPPER(TRIM(INDEX(FORM!$D:$D,ROW()))))</f>
        <v/>
      </c>
      <c r="F464" s="8" t="str">
        <f>IF($A464="","",IFERROR(INDEX(PROGRES!$A$2:$A$92,MATCH(E464,PROGRES!$B$2:$B$92,0)),"-"))</f>
        <v/>
      </c>
      <c r="G464" s="8" t="str">
        <f>IF($A464="","",UPPER(TRIM(INDEX(FORM!$F:$F,ROW()))))</f>
        <v/>
      </c>
      <c r="H464" s="8" t="str">
        <f>IF($A464="","",UPPER(TRIM(INDEX(FORM!$E:$E,ROW()))))</f>
        <v/>
      </c>
      <c r="I464" s="8" t="str">
        <f>IF($A464="","",UPPER(TRIM(INDEX(FORM!$G:$G,ROW()))))</f>
        <v/>
      </c>
      <c r="J464" s="8" t="str">
        <f>IF($A464="","",IF(ISNUMBER(SEARCH("Ya,",INDEX(FORM!$H:$H,ROW()))),"YA",IF(ISNUMBER(SEARCH("Cukup,",INDEX(FORM!$H:$H,ROW()))),"CUKUP",IF(ISNUMBER(SEARCH("Kurang,",INDEX(FORM!$H:$H,ROW()))),"KURANG",""))))</f>
        <v/>
      </c>
      <c r="K464" s="8" t="str">
        <f>IF($A464="","",UPPER(TRIM(INDEX(FORM!$J:$J,ROW()))))</f>
        <v/>
      </c>
      <c r="L464" s="8" t="str">
        <f>IF($A464="","",IF(ISNUMBER(SEARCH("Aktivitas Harian",INDEX(FORM!$K:$K,ROW()))),1,0))</f>
        <v/>
      </c>
      <c r="M464" s="8" t="str">
        <f>IF($A464="","",IF(ISNUMBER(SEARCH("Aktivitas Mingguan",INDEX(FORM!$K:$K,ROW()))),1,0))</f>
        <v/>
      </c>
      <c r="N464" s="8" t="str">
        <f>IF($A464="","",IF(ISNUMBER(SEARCH("Aktivitas Bulanan",INDEX(FORM!$K:$K,ROW()))),1,0))</f>
        <v/>
      </c>
      <c r="O464" s="8" t="str">
        <f>IF($A464="","",IF(ISNUMBER(SEARCH("Overview Cabang",INDEX(FORM!$K:$K,ROW()))),1,0))</f>
        <v/>
      </c>
      <c r="P464" s="8" t="str">
        <f>IF($A464="","",IFERROR(VLOOKUP(I464,DATA!$AH$9:$AI$13,2,0),""))</f>
        <v/>
      </c>
      <c r="Q464" s="8" t="str">
        <f>IF($A464="","",IFERROR(VLOOKUP(J464,DATA!$AH$9:$AI$13,2,0),""))</f>
        <v/>
      </c>
      <c r="R464" s="8" t="str">
        <f>IF($A464="","",IFERROR(VLOOKUP(K464,DATA!$AH$9:$AI$13,2,0),""))</f>
        <v/>
      </c>
      <c r="S464" s="42" t="str">
        <f t="shared" si="154"/>
        <v/>
      </c>
      <c r="T464" s="8" t="str">
        <f>IF($A464="","",IF(COUNTIF($D$2:D464,D464)=1,1,0))</f>
        <v/>
      </c>
      <c r="U464" s="8" t="str">
        <f>IF($A464="","",IF(F464="-","Cabang tdk ada",IF(IFERROR(VLOOKUP(G464,#REF!,1,0),"")="","",IF(INDEX(DATA!$AH$2:$AH$5,MATCH(G464,DATA!$AI$2:$AI$5,0))&lt;&gt;F464,"Wilayah beda","OK"))))</f>
        <v/>
      </c>
      <c r="V464" s="8" t="str">
        <f>IF($A464="","",TRIM(INDEX(FORM!$I:$I,ROW())&amp;""))</f>
        <v/>
      </c>
      <c r="W464" s="8" t="str">
        <f>IF($A464="","",TRIM(INDEX(FORM!$L:$L,ROW())&amp;""))</f>
        <v/>
      </c>
      <c r="X464" s="8" t="str">
        <f>IF($A464="","",TRIM(INDEX(FORM!$M:$M,ROW())&amp;""))</f>
        <v/>
      </c>
      <c r="Y464" s="8" t="str">
        <f>IF($A464="","",IFERROR(MATCH(F464,DATA!$AH$2:$AH$5,0),9)*10000+A464)</f>
        <v/>
      </c>
      <c r="Z464" s="8" t="str">
        <f t="shared" si="155"/>
        <v/>
      </c>
      <c r="AA464" s="8" t="str">
        <f t="shared" si="156"/>
        <v/>
      </c>
      <c r="AB464" s="8" t="str">
        <f t="shared" si="157"/>
        <v/>
      </c>
      <c r="AC464" s="8"/>
      <c r="AD464" s="8"/>
      <c r="AE464" s="8"/>
      <c r="AK464" s="5" t="str">
        <f t="shared" si="158"/>
        <v/>
      </c>
      <c r="AL464" s="5" t="str">
        <f t="shared" si="159"/>
        <v/>
      </c>
      <c r="AM464" s="5" t="str">
        <f t="shared" si="160"/>
        <v/>
      </c>
      <c r="AN464" s="5" t="str">
        <f t="shared" si="161"/>
        <v/>
      </c>
      <c r="AO464" s="5" t="str">
        <f t="shared" si="162"/>
        <v/>
      </c>
      <c r="AP464" s="5" t="str">
        <f t="shared" si="163"/>
        <v/>
      </c>
      <c r="AQ464" s="5" t="str">
        <f t="shared" si="164"/>
        <v/>
      </c>
      <c r="AR464" s="5" t="str">
        <f t="shared" si="165"/>
        <v/>
      </c>
      <c r="AS464" s="5" t="str">
        <f t="shared" si="166"/>
        <v/>
      </c>
      <c r="AT464" s="5" t="str">
        <f t="shared" si="167"/>
        <v/>
      </c>
      <c r="AU464" s="5" t="str">
        <f t="shared" si="168"/>
        <v/>
      </c>
      <c r="AV464" s="5" t="str">
        <f t="shared" si="169"/>
        <v/>
      </c>
      <c r="AW464" s="5" t="str">
        <f t="shared" si="170"/>
        <v/>
      </c>
      <c r="AX464" s="5" t="str">
        <f t="shared" si="171"/>
        <v/>
      </c>
      <c r="AY464" s="5" t="str">
        <f t="shared" si="172"/>
        <v/>
      </c>
      <c r="AZ464" s="5" t="str">
        <f t="shared" si="173"/>
        <v/>
      </c>
      <c r="BA464" s="5" t="str">
        <f t="shared" si="174"/>
        <v/>
      </c>
      <c r="BB464" s="5" t="str">
        <f t="shared" si="175"/>
        <v/>
      </c>
    </row>
    <row r="465" spans="1:54" s="5" customFormat="1" hidden="1">
      <c r="A465" s="8" t="str">
        <f>IF(INDEX(FORM!$A:$A,ROW())="","",ROW()-1)</f>
        <v/>
      </c>
      <c r="B465" s="41" t="str">
        <f>IF($A465="","",INDEX(FORM!$A:$A,ROW()))</f>
        <v/>
      </c>
      <c r="C465" s="8" t="str">
        <f>IF($A465="","",TRIM(INDEX(FORM!$B:$B,ROW())))</f>
        <v/>
      </c>
      <c r="D465" s="8" t="str">
        <f>IF($A465="","",TRIM(INDEX(FORM!$C:$C,ROW())&amp;""))</f>
        <v/>
      </c>
      <c r="E465" s="8" t="str">
        <f>IF($A465="","",UPPER(TRIM(INDEX(FORM!$D:$D,ROW()))))</f>
        <v/>
      </c>
      <c r="F465" s="8" t="str">
        <f>IF($A465="","",IFERROR(INDEX(PROGRES!$A$2:$A$92,MATCH(E465,PROGRES!$B$2:$B$92,0)),"-"))</f>
        <v/>
      </c>
      <c r="G465" s="8" t="str">
        <f>IF($A465="","",UPPER(TRIM(INDEX(FORM!$F:$F,ROW()))))</f>
        <v/>
      </c>
      <c r="H465" s="8" t="str">
        <f>IF($A465="","",UPPER(TRIM(INDEX(FORM!$E:$E,ROW()))))</f>
        <v/>
      </c>
      <c r="I465" s="8" t="str">
        <f>IF($A465="","",UPPER(TRIM(INDEX(FORM!$G:$G,ROW()))))</f>
        <v/>
      </c>
      <c r="J465" s="8" t="str">
        <f>IF($A465="","",IF(ISNUMBER(SEARCH("Ya,",INDEX(FORM!$H:$H,ROW()))),"YA",IF(ISNUMBER(SEARCH("Cukup,",INDEX(FORM!$H:$H,ROW()))),"CUKUP",IF(ISNUMBER(SEARCH("Kurang,",INDEX(FORM!$H:$H,ROW()))),"KURANG",""))))</f>
        <v/>
      </c>
      <c r="K465" s="8" t="str">
        <f>IF($A465="","",UPPER(TRIM(INDEX(FORM!$J:$J,ROW()))))</f>
        <v/>
      </c>
      <c r="L465" s="8" t="str">
        <f>IF($A465="","",IF(ISNUMBER(SEARCH("Aktivitas Harian",INDEX(FORM!$K:$K,ROW()))),1,0))</f>
        <v/>
      </c>
      <c r="M465" s="8" t="str">
        <f>IF($A465="","",IF(ISNUMBER(SEARCH("Aktivitas Mingguan",INDEX(FORM!$K:$K,ROW()))),1,0))</f>
        <v/>
      </c>
      <c r="N465" s="8" t="str">
        <f>IF($A465="","",IF(ISNUMBER(SEARCH("Aktivitas Bulanan",INDEX(FORM!$K:$K,ROW()))),1,0))</f>
        <v/>
      </c>
      <c r="O465" s="8" t="str">
        <f>IF($A465="","",IF(ISNUMBER(SEARCH("Overview Cabang",INDEX(FORM!$K:$K,ROW()))),1,0))</f>
        <v/>
      </c>
      <c r="P465" s="8" t="str">
        <f>IF($A465="","",IFERROR(VLOOKUP(I465,DATA!$AH$9:$AI$13,2,0),""))</f>
        <v/>
      </c>
      <c r="Q465" s="8" t="str">
        <f>IF($A465="","",IFERROR(VLOOKUP(J465,DATA!$AH$9:$AI$13,2,0),""))</f>
        <v/>
      </c>
      <c r="R465" s="8" t="str">
        <f>IF($A465="","",IFERROR(VLOOKUP(K465,DATA!$AH$9:$AI$13,2,0),""))</f>
        <v/>
      </c>
      <c r="S465" s="42" t="str">
        <f t="shared" si="154"/>
        <v/>
      </c>
      <c r="T465" s="8" t="str">
        <f>IF($A465="","",IF(COUNTIF($D$2:D465,D465)=1,1,0))</f>
        <v/>
      </c>
      <c r="U465" s="8" t="str">
        <f>IF($A465="","",IF(F465="-","Cabang tdk ada",IF(IFERROR(VLOOKUP(G465,#REF!,1,0),"")="","",IF(INDEX(DATA!$AH$2:$AH$5,MATCH(G465,DATA!$AI$2:$AI$5,0))&lt;&gt;F465,"Wilayah beda","OK"))))</f>
        <v/>
      </c>
      <c r="V465" s="8" t="str">
        <f>IF($A465="","",TRIM(INDEX(FORM!$I:$I,ROW())&amp;""))</f>
        <v/>
      </c>
      <c r="W465" s="8" t="str">
        <f>IF($A465="","",TRIM(INDEX(FORM!$L:$L,ROW())&amp;""))</f>
        <v/>
      </c>
      <c r="X465" s="8" t="str">
        <f>IF($A465="","",TRIM(INDEX(FORM!$M:$M,ROW())&amp;""))</f>
        <v/>
      </c>
      <c r="Y465" s="8" t="str">
        <f>IF($A465="","",IFERROR(MATCH(F465,DATA!$AH$2:$AH$5,0),9)*10000+A465)</f>
        <v/>
      </c>
      <c r="Z465" s="8" t="str">
        <f t="shared" si="155"/>
        <v/>
      </c>
      <c r="AA465" s="8" t="str">
        <f t="shared" si="156"/>
        <v/>
      </c>
      <c r="AB465" s="8" t="str">
        <f t="shared" si="157"/>
        <v/>
      </c>
      <c r="AC465" s="8"/>
      <c r="AD465" s="8"/>
      <c r="AE465" s="8"/>
      <c r="AK465" s="5" t="str">
        <f t="shared" si="158"/>
        <v/>
      </c>
      <c r="AL465" s="5" t="str">
        <f t="shared" si="159"/>
        <v/>
      </c>
      <c r="AM465" s="5" t="str">
        <f t="shared" si="160"/>
        <v/>
      </c>
      <c r="AN465" s="5" t="str">
        <f t="shared" si="161"/>
        <v/>
      </c>
      <c r="AO465" s="5" t="str">
        <f t="shared" si="162"/>
        <v/>
      </c>
      <c r="AP465" s="5" t="str">
        <f t="shared" si="163"/>
        <v/>
      </c>
      <c r="AQ465" s="5" t="str">
        <f t="shared" si="164"/>
        <v/>
      </c>
      <c r="AR465" s="5" t="str">
        <f t="shared" si="165"/>
        <v/>
      </c>
      <c r="AS465" s="5" t="str">
        <f t="shared" si="166"/>
        <v/>
      </c>
      <c r="AT465" s="5" t="str">
        <f t="shared" si="167"/>
        <v/>
      </c>
      <c r="AU465" s="5" t="str">
        <f t="shared" si="168"/>
        <v/>
      </c>
      <c r="AV465" s="5" t="str">
        <f t="shared" si="169"/>
        <v/>
      </c>
      <c r="AW465" s="5" t="str">
        <f t="shared" si="170"/>
        <v/>
      </c>
      <c r="AX465" s="5" t="str">
        <f t="shared" si="171"/>
        <v/>
      </c>
      <c r="AY465" s="5" t="str">
        <f t="shared" si="172"/>
        <v/>
      </c>
      <c r="AZ465" s="5" t="str">
        <f t="shared" si="173"/>
        <v/>
      </c>
      <c r="BA465" s="5" t="str">
        <f t="shared" si="174"/>
        <v/>
      </c>
      <c r="BB465" s="5" t="str">
        <f t="shared" si="175"/>
        <v/>
      </c>
    </row>
    <row r="466" spans="1:54" s="5" customFormat="1" hidden="1">
      <c r="A466" s="8" t="str">
        <f>IF(INDEX(FORM!$A:$A,ROW())="","",ROW()-1)</f>
        <v/>
      </c>
      <c r="B466" s="41" t="str">
        <f>IF($A466="","",INDEX(FORM!$A:$A,ROW()))</f>
        <v/>
      </c>
      <c r="C466" s="8" t="str">
        <f>IF($A466="","",TRIM(INDEX(FORM!$B:$B,ROW())))</f>
        <v/>
      </c>
      <c r="D466" s="8" t="str">
        <f>IF($A466="","",TRIM(INDEX(FORM!$C:$C,ROW())&amp;""))</f>
        <v/>
      </c>
      <c r="E466" s="8" t="str">
        <f>IF($A466="","",UPPER(TRIM(INDEX(FORM!$D:$D,ROW()))))</f>
        <v/>
      </c>
      <c r="F466" s="8" t="str">
        <f>IF($A466="","",IFERROR(INDEX(PROGRES!$A$2:$A$92,MATCH(E466,PROGRES!$B$2:$B$92,0)),"-"))</f>
        <v/>
      </c>
      <c r="G466" s="8" t="str">
        <f>IF($A466="","",UPPER(TRIM(INDEX(FORM!$F:$F,ROW()))))</f>
        <v/>
      </c>
      <c r="H466" s="8" t="str">
        <f>IF($A466="","",UPPER(TRIM(INDEX(FORM!$E:$E,ROW()))))</f>
        <v/>
      </c>
      <c r="I466" s="8" t="str">
        <f>IF($A466="","",UPPER(TRIM(INDEX(FORM!$G:$G,ROW()))))</f>
        <v/>
      </c>
      <c r="J466" s="8" t="str">
        <f>IF($A466="","",IF(ISNUMBER(SEARCH("Ya,",INDEX(FORM!$H:$H,ROW()))),"YA",IF(ISNUMBER(SEARCH("Cukup,",INDEX(FORM!$H:$H,ROW()))),"CUKUP",IF(ISNUMBER(SEARCH("Kurang,",INDEX(FORM!$H:$H,ROW()))),"KURANG",""))))</f>
        <v/>
      </c>
      <c r="K466" s="8" t="str">
        <f>IF($A466="","",UPPER(TRIM(INDEX(FORM!$J:$J,ROW()))))</f>
        <v/>
      </c>
      <c r="L466" s="8" t="str">
        <f>IF($A466="","",IF(ISNUMBER(SEARCH("Aktivitas Harian",INDEX(FORM!$K:$K,ROW()))),1,0))</f>
        <v/>
      </c>
      <c r="M466" s="8" t="str">
        <f>IF($A466="","",IF(ISNUMBER(SEARCH("Aktivitas Mingguan",INDEX(FORM!$K:$K,ROW()))),1,0))</f>
        <v/>
      </c>
      <c r="N466" s="8" t="str">
        <f>IF($A466="","",IF(ISNUMBER(SEARCH("Aktivitas Bulanan",INDEX(FORM!$K:$K,ROW()))),1,0))</f>
        <v/>
      </c>
      <c r="O466" s="8" t="str">
        <f>IF($A466="","",IF(ISNUMBER(SEARCH("Overview Cabang",INDEX(FORM!$K:$K,ROW()))),1,0))</f>
        <v/>
      </c>
      <c r="P466" s="8" t="str">
        <f>IF($A466="","",IFERROR(VLOOKUP(I466,DATA!$AH$9:$AI$13,2,0),""))</f>
        <v/>
      </c>
      <c r="Q466" s="8" t="str">
        <f>IF($A466="","",IFERROR(VLOOKUP(J466,DATA!$AH$9:$AI$13,2,0),""))</f>
        <v/>
      </c>
      <c r="R466" s="8" t="str">
        <f>IF($A466="","",IFERROR(VLOOKUP(K466,DATA!$AH$9:$AI$13,2,0),""))</f>
        <v/>
      </c>
      <c r="S466" s="42" t="str">
        <f t="shared" si="154"/>
        <v/>
      </c>
      <c r="T466" s="8" t="str">
        <f>IF($A466="","",IF(COUNTIF($D$2:D466,D466)=1,1,0))</f>
        <v/>
      </c>
      <c r="U466" s="8" t="str">
        <f>IF($A466="","",IF(F466="-","Cabang tdk ada",IF(IFERROR(VLOOKUP(G466,#REF!,1,0),"")="","",IF(INDEX(DATA!$AH$2:$AH$5,MATCH(G466,DATA!$AI$2:$AI$5,0))&lt;&gt;F466,"Wilayah beda","OK"))))</f>
        <v/>
      </c>
      <c r="V466" s="8" t="str">
        <f>IF($A466="","",TRIM(INDEX(FORM!$I:$I,ROW())&amp;""))</f>
        <v/>
      </c>
      <c r="W466" s="8" t="str">
        <f>IF($A466="","",TRIM(INDEX(FORM!$L:$L,ROW())&amp;""))</f>
        <v/>
      </c>
      <c r="X466" s="8" t="str">
        <f>IF($A466="","",TRIM(INDEX(FORM!$M:$M,ROW())&amp;""))</f>
        <v/>
      </c>
      <c r="Y466" s="8" t="str">
        <f>IF($A466="","",IFERROR(MATCH(F466,DATA!$AH$2:$AH$5,0),9)*10000+A466)</f>
        <v/>
      </c>
      <c r="Z466" s="8" t="str">
        <f t="shared" si="155"/>
        <v/>
      </c>
      <c r="AA466" s="8" t="str">
        <f t="shared" si="156"/>
        <v/>
      </c>
      <c r="AB466" s="8" t="str">
        <f t="shared" si="157"/>
        <v/>
      </c>
      <c r="AC466" s="8"/>
      <c r="AD466" s="8"/>
      <c r="AE466" s="8"/>
      <c r="AK466" s="5" t="str">
        <f t="shared" si="158"/>
        <v/>
      </c>
      <c r="AL466" s="5" t="str">
        <f t="shared" si="159"/>
        <v/>
      </c>
      <c r="AM466" s="5" t="str">
        <f t="shared" si="160"/>
        <v/>
      </c>
      <c r="AN466" s="5" t="str">
        <f t="shared" si="161"/>
        <v/>
      </c>
      <c r="AO466" s="5" t="str">
        <f t="shared" si="162"/>
        <v/>
      </c>
      <c r="AP466" s="5" t="str">
        <f t="shared" si="163"/>
        <v/>
      </c>
      <c r="AQ466" s="5" t="str">
        <f t="shared" si="164"/>
        <v/>
      </c>
      <c r="AR466" s="5" t="str">
        <f t="shared" si="165"/>
        <v/>
      </c>
      <c r="AS466" s="5" t="str">
        <f t="shared" si="166"/>
        <v/>
      </c>
      <c r="AT466" s="5" t="str">
        <f t="shared" si="167"/>
        <v/>
      </c>
      <c r="AU466" s="5" t="str">
        <f t="shared" si="168"/>
        <v/>
      </c>
      <c r="AV466" s="5" t="str">
        <f t="shared" si="169"/>
        <v/>
      </c>
      <c r="AW466" s="5" t="str">
        <f t="shared" si="170"/>
        <v/>
      </c>
      <c r="AX466" s="5" t="str">
        <f t="shared" si="171"/>
        <v/>
      </c>
      <c r="AY466" s="5" t="str">
        <f t="shared" si="172"/>
        <v/>
      </c>
      <c r="AZ466" s="5" t="str">
        <f t="shared" si="173"/>
        <v/>
      </c>
      <c r="BA466" s="5" t="str">
        <f t="shared" si="174"/>
        <v/>
      </c>
      <c r="BB466" s="5" t="str">
        <f t="shared" si="175"/>
        <v/>
      </c>
    </row>
    <row r="467" spans="1:54" s="5" customFormat="1" hidden="1">
      <c r="A467" s="8" t="str">
        <f>IF(INDEX(FORM!$A:$A,ROW())="","",ROW()-1)</f>
        <v/>
      </c>
      <c r="B467" s="41" t="str">
        <f>IF($A467="","",INDEX(FORM!$A:$A,ROW()))</f>
        <v/>
      </c>
      <c r="C467" s="8" t="str">
        <f>IF($A467="","",TRIM(INDEX(FORM!$B:$B,ROW())))</f>
        <v/>
      </c>
      <c r="D467" s="8" t="str">
        <f>IF($A467="","",TRIM(INDEX(FORM!$C:$C,ROW())&amp;""))</f>
        <v/>
      </c>
      <c r="E467" s="8" t="str">
        <f>IF($A467="","",UPPER(TRIM(INDEX(FORM!$D:$D,ROW()))))</f>
        <v/>
      </c>
      <c r="F467" s="8" t="str">
        <f>IF($A467="","",IFERROR(INDEX(PROGRES!$A$2:$A$92,MATCH(E467,PROGRES!$B$2:$B$92,0)),"-"))</f>
        <v/>
      </c>
      <c r="G467" s="8" t="str">
        <f>IF($A467="","",UPPER(TRIM(INDEX(FORM!$F:$F,ROW()))))</f>
        <v/>
      </c>
      <c r="H467" s="8" t="str">
        <f>IF($A467="","",UPPER(TRIM(INDEX(FORM!$E:$E,ROW()))))</f>
        <v/>
      </c>
      <c r="I467" s="8" t="str">
        <f>IF($A467="","",UPPER(TRIM(INDEX(FORM!$G:$G,ROW()))))</f>
        <v/>
      </c>
      <c r="J467" s="8" t="str">
        <f>IF($A467="","",IF(ISNUMBER(SEARCH("Ya,",INDEX(FORM!$H:$H,ROW()))),"YA",IF(ISNUMBER(SEARCH("Cukup,",INDEX(FORM!$H:$H,ROW()))),"CUKUP",IF(ISNUMBER(SEARCH("Kurang,",INDEX(FORM!$H:$H,ROW()))),"KURANG",""))))</f>
        <v/>
      </c>
      <c r="K467" s="8" t="str">
        <f>IF($A467="","",UPPER(TRIM(INDEX(FORM!$J:$J,ROW()))))</f>
        <v/>
      </c>
      <c r="L467" s="8" t="str">
        <f>IF($A467="","",IF(ISNUMBER(SEARCH("Aktivitas Harian",INDEX(FORM!$K:$K,ROW()))),1,0))</f>
        <v/>
      </c>
      <c r="M467" s="8" t="str">
        <f>IF($A467="","",IF(ISNUMBER(SEARCH("Aktivitas Mingguan",INDEX(FORM!$K:$K,ROW()))),1,0))</f>
        <v/>
      </c>
      <c r="N467" s="8" t="str">
        <f>IF($A467="","",IF(ISNUMBER(SEARCH("Aktivitas Bulanan",INDEX(FORM!$K:$K,ROW()))),1,0))</f>
        <v/>
      </c>
      <c r="O467" s="8" t="str">
        <f>IF($A467="","",IF(ISNUMBER(SEARCH("Overview Cabang",INDEX(FORM!$K:$K,ROW()))),1,0))</f>
        <v/>
      </c>
      <c r="P467" s="8" t="str">
        <f>IF($A467="","",IFERROR(VLOOKUP(I467,DATA!$AH$9:$AI$13,2,0),""))</f>
        <v/>
      </c>
      <c r="Q467" s="8" t="str">
        <f>IF($A467="","",IFERROR(VLOOKUP(J467,DATA!$AH$9:$AI$13,2,0),""))</f>
        <v/>
      </c>
      <c r="R467" s="8" t="str">
        <f>IF($A467="","",IFERROR(VLOOKUP(K467,DATA!$AH$9:$AI$13,2,0),""))</f>
        <v/>
      </c>
      <c r="S467" s="42" t="str">
        <f t="shared" si="154"/>
        <v/>
      </c>
      <c r="T467" s="8" t="str">
        <f>IF($A467="","",IF(COUNTIF($D$2:D467,D467)=1,1,0))</f>
        <v/>
      </c>
      <c r="U467" s="8" t="str">
        <f>IF($A467="","",IF(F467="-","Cabang tdk ada",IF(IFERROR(VLOOKUP(G467,#REF!,1,0),"")="","",IF(INDEX(DATA!$AH$2:$AH$5,MATCH(G467,DATA!$AI$2:$AI$5,0))&lt;&gt;F467,"Wilayah beda","OK"))))</f>
        <v/>
      </c>
      <c r="V467" s="8" t="str">
        <f>IF($A467="","",TRIM(INDEX(FORM!$I:$I,ROW())&amp;""))</f>
        <v/>
      </c>
      <c r="W467" s="8" t="str">
        <f>IF($A467="","",TRIM(INDEX(FORM!$L:$L,ROW())&amp;""))</f>
        <v/>
      </c>
      <c r="X467" s="8" t="str">
        <f>IF($A467="","",TRIM(INDEX(FORM!$M:$M,ROW())&amp;""))</f>
        <v/>
      </c>
      <c r="Y467" s="8" t="str">
        <f>IF($A467="","",IFERROR(MATCH(F467,DATA!$AH$2:$AH$5,0),9)*10000+A467)</f>
        <v/>
      </c>
      <c r="Z467" s="8" t="str">
        <f t="shared" si="155"/>
        <v/>
      </c>
      <c r="AA467" s="8" t="str">
        <f t="shared" si="156"/>
        <v/>
      </c>
      <c r="AB467" s="8" t="str">
        <f t="shared" si="157"/>
        <v/>
      </c>
      <c r="AC467" s="8"/>
      <c r="AD467" s="8"/>
      <c r="AE467" s="8"/>
      <c r="AK467" s="5" t="str">
        <f t="shared" si="158"/>
        <v/>
      </c>
      <c r="AL467" s="5" t="str">
        <f t="shared" si="159"/>
        <v/>
      </c>
      <c r="AM467" s="5" t="str">
        <f t="shared" si="160"/>
        <v/>
      </c>
      <c r="AN467" s="5" t="str">
        <f t="shared" si="161"/>
        <v/>
      </c>
      <c r="AO467" s="5" t="str">
        <f t="shared" si="162"/>
        <v/>
      </c>
      <c r="AP467" s="5" t="str">
        <f t="shared" si="163"/>
        <v/>
      </c>
      <c r="AQ467" s="5" t="str">
        <f t="shared" si="164"/>
        <v/>
      </c>
      <c r="AR467" s="5" t="str">
        <f t="shared" si="165"/>
        <v/>
      </c>
      <c r="AS467" s="5" t="str">
        <f t="shared" si="166"/>
        <v/>
      </c>
      <c r="AT467" s="5" t="str">
        <f t="shared" si="167"/>
        <v/>
      </c>
      <c r="AU467" s="5" t="str">
        <f t="shared" si="168"/>
        <v/>
      </c>
      <c r="AV467" s="5" t="str">
        <f t="shared" si="169"/>
        <v/>
      </c>
      <c r="AW467" s="5" t="str">
        <f t="shared" si="170"/>
        <v/>
      </c>
      <c r="AX467" s="5" t="str">
        <f t="shared" si="171"/>
        <v/>
      </c>
      <c r="AY467" s="5" t="str">
        <f t="shared" si="172"/>
        <v/>
      </c>
      <c r="AZ467" s="5" t="str">
        <f t="shared" si="173"/>
        <v/>
      </c>
      <c r="BA467" s="5" t="str">
        <f t="shared" si="174"/>
        <v/>
      </c>
      <c r="BB467" s="5" t="str">
        <f t="shared" si="175"/>
        <v/>
      </c>
    </row>
    <row r="468" spans="1:54" s="5" customFormat="1" hidden="1">
      <c r="A468" s="8" t="str">
        <f>IF(INDEX(FORM!$A:$A,ROW())="","",ROW()-1)</f>
        <v/>
      </c>
      <c r="B468" s="41" t="str">
        <f>IF($A468="","",INDEX(FORM!$A:$A,ROW()))</f>
        <v/>
      </c>
      <c r="C468" s="8" t="str">
        <f>IF($A468="","",TRIM(INDEX(FORM!$B:$B,ROW())))</f>
        <v/>
      </c>
      <c r="D468" s="8" t="str">
        <f>IF($A468="","",TRIM(INDEX(FORM!$C:$C,ROW())&amp;""))</f>
        <v/>
      </c>
      <c r="E468" s="8" t="str">
        <f>IF($A468="","",UPPER(TRIM(INDEX(FORM!$D:$D,ROW()))))</f>
        <v/>
      </c>
      <c r="F468" s="8" t="str">
        <f>IF($A468="","",IFERROR(INDEX(PROGRES!$A$2:$A$92,MATCH(E468,PROGRES!$B$2:$B$92,0)),"-"))</f>
        <v/>
      </c>
      <c r="G468" s="8" t="str">
        <f>IF($A468="","",UPPER(TRIM(INDEX(FORM!$F:$F,ROW()))))</f>
        <v/>
      </c>
      <c r="H468" s="8" t="str">
        <f>IF($A468="","",UPPER(TRIM(INDEX(FORM!$E:$E,ROW()))))</f>
        <v/>
      </c>
      <c r="I468" s="8" t="str">
        <f>IF($A468="","",UPPER(TRIM(INDEX(FORM!$G:$G,ROW()))))</f>
        <v/>
      </c>
      <c r="J468" s="8" t="str">
        <f>IF($A468="","",IF(ISNUMBER(SEARCH("Ya,",INDEX(FORM!$H:$H,ROW()))),"YA",IF(ISNUMBER(SEARCH("Cukup,",INDEX(FORM!$H:$H,ROW()))),"CUKUP",IF(ISNUMBER(SEARCH("Kurang,",INDEX(FORM!$H:$H,ROW()))),"KURANG",""))))</f>
        <v/>
      </c>
      <c r="K468" s="8" t="str">
        <f>IF($A468="","",UPPER(TRIM(INDEX(FORM!$J:$J,ROW()))))</f>
        <v/>
      </c>
      <c r="L468" s="8" t="str">
        <f>IF($A468="","",IF(ISNUMBER(SEARCH("Aktivitas Harian",INDEX(FORM!$K:$K,ROW()))),1,0))</f>
        <v/>
      </c>
      <c r="M468" s="8" t="str">
        <f>IF($A468="","",IF(ISNUMBER(SEARCH("Aktivitas Mingguan",INDEX(FORM!$K:$K,ROW()))),1,0))</f>
        <v/>
      </c>
      <c r="N468" s="8" t="str">
        <f>IF($A468="","",IF(ISNUMBER(SEARCH("Aktivitas Bulanan",INDEX(FORM!$K:$K,ROW()))),1,0))</f>
        <v/>
      </c>
      <c r="O468" s="8" t="str">
        <f>IF($A468="","",IF(ISNUMBER(SEARCH("Overview Cabang",INDEX(FORM!$K:$K,ROW()))),1,0))</f>
        <v/>
      </c>
      <c r="P468" s="8" t="str">
        <f>IF($A468="","",IFERROR(VLOOKUP(I468,DATA!$AH$9:$AI$13,2,0),""))</f>
        <v/>
      </c>
      <c r="Q468" s="8" t="str">
        <f>IF($A468="","",IFERROR(VLOOKUP(J468,DATA!$AH$9:$AI$13,2,0),""))</f>
        <v/>
      </c>
      <c r="R468" s="8" t="str">
        <f>IF($A468="","",IFERROR(VLOOKUP(K468,DATA!$AH$9:$AI$13,2,0),""))</f>
        <v/>
      </c>
      <c r="S468" s="42" t="str">
        <f t="shared" si="154"/>
        <v/>
      </c>
      <c r="T468" s="8" t="str">
        <f>IF($A468="","",IF(COUNTIF($D$2:D468,D468)=1,1,0))</f>
        <v/>
      </c>
      <c r="U468" s="8" t="str">
        <f>IF($A468="","",IF(F468="-","Cabang tdk ada",IF(IFERROR(VLOOKUP(G468,#REF!,1,0),"")="","",IF(INDEX(DATA!$AH$2:$AH$5,MATCH(G468,DATA!$AI$2:$AI$5,0))&lt;&gt;F468,"Wilayah beda","OK"))))</f>
        <v/>
      </c>
      <c r="V468" s="8" t="str">
        <f>IF($A468="","",TRIM(INDEX(FORM!$I:$I,ROW())&amp;""))</f>
        <v/>
      </c>
      <c r="W468" s="8" t="str">
        <f>IF($A468="","",TRIM(INDEX(FORM!$L:$L,ROW())&amp;""))</f>
        <v/>
      </c>
      <c r="X468" s="8" t="str">
        <f>IF($A468="","",TRIM(INDEX(FORM!$M:$M,ROW())&amp;""))</f>
        <v/>
      </c>
      <c r="Y468" s="8" t="str">
        <f>IF($A468="","",IFERROR(MATCH(F468,DATA!$AH$2:$AH$5,0),9)*10000+A468)</f>
        <v/>
      </c>
      <c r="Z468" s="8" t="str">
        <f t="shared" si="155"/>
        <v/>
      </c>
      <c r="AA468" s="8" t="str">
        <f t="shared" si="156"/>
        <v/>
      </c>
      <c r="AB468" s="8" t="str">
        <f t="shared" si="157"/>
        <v/>
      </c>
      <c r="AC468" s="8"/>
      <c r="AD468" s="8"/>
      <c r="AE468" s="8"/>
      <c r="AK468" s="5" t="str">
        <f t="shared" si="158"/>
        <v/>
      </c>
      <c r="AL468" s="5" t="str">
        <f t="shared" si="159"/>
        <v/>
      </c>
      <c r="AM468" s="5" t="str">
        <f t="shared" si="160"/>
        <v/>
      </c>
      <c r="AN468" s="5" t="str">
        <f t="shared" si="161"/>
        <v/>
      </c>
      <c r="AO468" s="5" t="str">
        <f t="shared" si="162"/>
        <v/>
      </c>
      <c r="AP468" s="5" t="str">
        <f t="shared" si="163"/>
        <v/>
      </c>
      <c r="AQ468" s="5" t="str">
        <f t="shared" si="164"/>
        <v/>
      </c>
      <c r="AR468" s="5" t="str">
        <f t="shared" si="165"/>
        <v/>
      </c>
      <c r="AS468" s="5" t="str">
        <f t="shared" si="166"/>
        <v/>
      </c>
      <c r="AT468" s="5" t="str">
        <f t="shared" si="167"/>
        <v/>
      </c>
      <c r="AU468" s="5" t="str">
        <f t="shared" si="168"/>
        <v/>
      </c>
      <c r="AV468" s="5" t="str">
        <f t="shared" si="169"/>
        <v/>
      </c>
      <c r="AW468" s="5" t="str">
        <f t="shared" si="170"/>
        <v/>
      </c>
      <c r="AX468" s="5" t="str">
        <f t="shared" si="171"/>
        <v/>
      </c>
      <c r="AY468" s="5" t="str">
        <f t="shared" si="172"/>
        <v/>
      </c>
      <c r="AZ468" s="5" t="str">
        <f t="shared" si="173"/>
        <v/>
      </c>
      <c r="BA468" s="5" t="str">
        <f t="shared" si="174"/>
        <v/>
      </c>
      <c r="BB468" s="5" t="str">
        <f t="shared" si="175"/>
        <v/>
      </c>
    </row>
    <row r="469" spans="1:54" s="5" customFormat="1" hidden="1">
      <c r="A469" s="8" t="str">
        <f>IF(INDEX(FORM!$A:$A,ROW())="","",ROW()-1)</f>
        <v/>
      </c>
      <c r="B469" s="41" t="str">
        <f>IF($A469="","",INDEX(FORM!$A:$A,ROW()))</f>
        <v/>
      </c>
      <c r="C469" s="8" t="str">
        <f>IF($A469="","",TRIM(INDEX(FORM!$B:$B,ROW())))</f>
        <v/>
      </c>
      <c r="D469" s="8" t="str">
        <f>IF($A469="","",TRIM(INDEX(FORM!$C:$C,ROW())&amp;""))</f>
        <v/>
      </c>
      <c r="E469" s="8" t="str">
        <f>IF($A469="","",UPPER(TRIM(INDEX(FORM!$D:$D,ROW()))))</f>
        <v/>
      </c>
      <c r="F469" s="8" t="str">
        <f>IF($A469="","",IFERROR(INDEX(PROGRES!$A$2:$A$92,MATCH(E469,PROGRES!$B$2:$B$92,0)),"-"))</f>
        <v/>
      </c>
      <c r="G469" s="8" t="str">
        <f>IF($A469="","",UPPER(TRIM(INDEX(FORM!$F:$F,ROW()))))</f>
        <v/>
      </c>
      <c r="H469" s="8" t="str">
        <f>IF($A469="","",UPPER(TRIM(INDEX(FORM!$E:$E,ROW()))))</f>
        <v/>
      </c>
      <c r="I469" s="8" t="str">
        <f>IF($A469="","",UPPER(TRIM(INDEX(FORM!$G:$G,ROW()))))</f>
        <v/>
      </c>
      <c r="J469" s="8" t="str">
        <f>IF($A469="","",IF(ISNUMBER(SEARCH("Ya,",INDEX(FORM!$H:$H,ROW()))),"YA",IF(ISNUMBER(SEARCH("Cukup,",INDEX(FORM!$H:$H,ROW()))),"CUKUP",IF(ISNUMBER(SEARCH("Kurang,",INDEX(FORM!$H:$H,ROW()))),"KURANG",""))))</f>
        <v/>
      </c>
      <c r="K469" s="8" t="str">
        <f>IF($A469="","",UPPER(TRIM(INDEX(FORM!$J:$J,ROW()))))</f>
        <v/>
      </c>
      <c r="L469" s="8" t="str">
        <f>IF($A469="","",IF(ISNUMBER(SEARCH("Aktivitas Harian",INDEX(FORM!$K:$K,ROW()))),1,0))</f>
        <v/>
      </c>
      <c r="M469" s="8" t="str">
        <f>IF($A469="","",IF(ISNUMBER(SEARCH("Aktivitas Mingguan",INDEX(FORM!$K:$K,ROW()))),1,0))</f>
        <v/>
      </c>
      <c r="N469" s="8" t="str">
        <f>IF($A469="","",IF(ISNUMBER(SEARCH("Aktivitas Bulanan",INDEX(FORM!$K:$K,ROW()))),1,0))</f>
        <v/>
      </c>
      <c r="O469" s="8" t="str">
        <f>IF($A469="","",IF(ISNUMBER(SEARCH("Overview Cabang",INDEX(FORM!$K:$K,ROW()))),1,0))</f>
        <v/>
      </c>
      <c r="P469" s="8" t="str">
        <f>IF($A469="","",IFERROR(VLOOKUP(I469,DATA!$AH$9:$AI$13,2,0),""))</f>
        <v/>
      </c>
      <c r="Q469" s="8" t="str">
        <f>IF($A469="","",IFERROR(VLOOKUP(J469,DATA!$AH$9:$AI$13,2,0),""))</f>
        <v/>
      </c>
      <c r="R469" s="8" t="str">
        <f>IF($A469="","",IFERROR(VLOOKUP(K469,DATA!$AH$9:$AI$13,2,0),""))</f>
        <v/>
      </c>
      <c r="S469" s="42" t="str">
        <f t="shared" si="154"/>
        <v/>
      </c>
      <c r="T469" s="8" t="str">
        <f>IF($A469="","",IF(COUNTIF($D$2:D469,D469)=1,1,0))</f>
        <v/>
      </c>
      <c r="U469" s="8" t="str">
        <f>IF($A469="","",IF(F469="-","Cabang tdk ada",IF(IFERROR(VLOOKUP(G469,#REF!,1,0),"")="","",IF(INDEX(DATA!$AH$2:$AH$5,MATCH(G469,DATA!$AI$2:$AI$5,0))&lt;&gt;F469,"Wilayah beda","OK"))))</f>
        <v/>
      </c>
      <c r="V469" s="8" t="str">
        <f>IF($A469="","",TRIM(INDEX(FORM!$I:$I,ROW())&amp;""))</f>
        <v/>
      </c>
      <c r="W469" s="8" t="str">
        <f>IF($A469="","",TRIM(INDEX(FORM!$L:$L,ROW())&amp;""))</f>
        <v/>
      </c>
      <c r="X469" s="8" t="str">
        <f>IF($A469="","",TRIM(INDEX(FORM!$M:$M,ROW())&amp;""))</f>
        <v/>
      </c>
      <c r="Y469" s="8" t="str">
        <f>IF($A469="","",IFERROR(MATCH(F469,DATA!$AH$2:$AH$5,0),9)*10000+A469)</f>
        <v/>
      </c>
      <c r="Z469" s="8" t="str">
        <f t="shared" si="155"/>
        <v/>
      </c>
      <c r="AA469" s="8" t="str">
        <f t="shared" si="156"/>
        <v/>
      </c>
      <c r="AB469" s="8" t="str">
        <f t="shared" si="157"/>
        <v/>
      </c>
      <c r="AC469" s="8"/>
      <c r="AD469" s="8"/>
      <c r="AE469" s="8"/>
      <c r="AK469" s="5" t="str">
        <f t="shared" si="158"/>
        <v/>
      </c>
      <c r="AL469" s="5" t="str">
        <f t="shared" si="159"/>
        <v/>
      </c>
      <c r="AM469" s="5" t="str">
        <f t="shared" si="160"/>
        <v/>
      </c>
      <c r="AN469" s="5" t="str">
        <f t="shared" si="161"/>
        <v/>
      </c>
      <c r="AO469" s="5" t="str">
        <f t="shared" si="162"/>
        <v/>
      </c>
      <c r="AP469" s="5" t="str">
        <f t="shared" si="163"/>
        <v/>
      </c>
      <c r="AQ469" s="5" t="str">
        <f t="shared" si="164"/>
        <v/>
      </c>
      <c r="AR469" s="5" t="str">
        <f t="shared" si="165"/>
        <v/>
      </c>
      <c r="AS469" s="5" t="str">
        <f t="shared" si="166"/>
        <v/>
      </c>
      <c r="AT469" s="5" t="str">
        <f t="shared" si="167"/>
        <v/>
      </c>
      <c r="AU469" s="5" t="str">
        <f t="shared" si="168"/>
        <v/>
      </c>
      <c r="AV469" s="5" t="str">
        <f t="shared" si="169"/>
        <v/>
      </c>
      <c r="AW469" s="5" t="str">
        <f t="shared" si="170"/>
        <v/>
      </c>
      <c r="AX469" s="5" t="str">
        <f t="shared" si="171"/>
        <v/>
      </c>
      <c r="AY469" s="5" t="str">
        <f t="shared" si="172"/>
        <v/>
      </c>
      <c r="AZ469" s="5" t="str">
        <f t="shared" si="173"/>
        <v/>
      </c>
      <c r="BA469" s="5" t="str">
        <f t="shared" si="174"/>
        <v/>
      </c>
      <c r="BB469" s="5" t="str">
        <f t="shared" si="175"/>
        <v/>
      </c>
    </row>
    <row r="470" spans="1:54" s="5" customFormat="1" hidden="1">
      <c r="A470" s="8" t="str">
        <f>IF(INDEX(FORM!$A:$A,ROW())="","",ROW()-1)</f>
        <v/>
      </c>
      <c r="B470" s="41" t="str">
        <f>IF($A470="","",INDEX(FORM!$A:$A,ROW()))</f>
        <v/>
      </c>
      <c r="C470" s="8" t="str">
        <f>IF($A470="","",TRIM(INDEX(FORM!$B:$B,ROW())))</f>
        <v/>
      </c>
      <c r="D470" s="8" t="str">
        <f>IF($A470="","",TRIM(INDEX(FORM!$C:$C,ROW())&amp;""))</f>
        <v/>
      </c>
      <c r="E470" s="8" t="str">
        <f>IF($A470="","",UPPER(TRIM(INDEX(FORM!$D:$D,ROW()))))</f>
        <v/>
      </c>
      <c r="F470" s="8" t="str">
        <f>IF($A470="","",IFERROR(INDEX(PROGRES!$A$2:$A$92,MATCH(E470,PROGRES!$B$2:$B$92,0)),"-"))</f>
        <v/>
      </c>
      <c r="G470" s="8" t="str">
        <f>IF($A470="","",UPPER(TRIM(INDEX(FORM!$F:$F,ROW()))))</f>
        <v/>
      </c>
      <c r="H470" s="8" t="str">
        <f>IF($A470="","",UPPER(TRIM(INDEX(FORM!$E:$E,ROW()))))</f>
        <v/>
      </c>
      <c r="I470" s="8" t="str">
        <f>IF($A470="","",UPPER(TRIM(INDEX(FORM!$G:$G,ROW()))))</f>
        <v/>
      </c>
      <c r="J470" s="8" t="str">
        <f>IF($A470="","",IF(ISNUMBER(SEARCH("Ya,",INDEX(FORM!$H:$H,ROW()))),"YA",IF(ISNUMBER(SEARCH("Cukup,",INDEX(FORM!$H:$H,ROW()))),"CUKUP",IF(ISNUMBER(SEARCH("Kurang,",INDEX(FORM!$H:$H,ROW()))),"KURANG",""))))</f>
        <v/>
      </c>
      <c r="K470" s="8" t="str">
        <f>IF($A470="","",UPPER(TRIM(INDEX(FORM!$J:$J,ROW()))))</f>
        <v/>
      </c>
      <c r="L470" s="8" t="str">
        <f>IF($A470="","",IF(ISNUMBER(SEARCH("Aktivitas Harian",INDEX(FORM!$K:$K,ROW()))),1,0))</f>
        <v/>
      </c>
      <c r="M470" s="8" t="str">
        <f>IF($A470="","",IF(ISNUMBER(SEARCH("Aktivitas Mingguan",INDEX(FORM!$K:$K,ROW()))),1,0))</f>
        <v/>
      </c>
      <c r="N470" s="8" t="str">
        <f>IF($A470="","",IF(ISNUMBER(SEARCH("Aktivitas Bulanan",INDEX(FORM!$K:$K,ROW()))),1,0))</f>
        <v/>
      </c>
      <c r="O470" s="8" t="str">
        <f>IF($A470="","",IF(ISNUMBER(SEARCH("Overview Cabang",INDEX(FORM!$K:$K,ROW()))),1,0))</f>
        <v/>
      </c>
      <c r="P470" s="8" t="str">
        <f>IF($A470="","",IFERROR(VLOOKUP(I470,DATA!$AH$9:$AI$13,2,0),""))</f>
        <v/>
      </c>
      <c r="Q470" s="8" t="str">
        <f>IF($A470="","",IFERROR(VLOOKUP(J470,DATA!$AH$9:$AI$13,2,0),""))</f>
        <v/>
      </c>
      <c r="R470" s="8" t="str">
        <f>IF($A470="","",IFERROR(VLOOKUP(K470,DATA!$AH$9:$AI$13,2,0),""))</f>
        <v/>
      </c>
      <c r="S470" s="42" t="str">
        <f t="shared" si="154"/>
        <v/>
      </c>
      <c r="T470" s="8" t="str">
        <f>IF($A470="","",IF(COUNTIF($D$2:D470,D470)=1,1,0))</f>
        <v/>
      </c>
      <c r="U470" s="8" t="str">
        <f>IF($A470="","",IF(F470="-","Cabang tdk ada",IF(IFERROR(VLOOKUP(G470,#REF!,1,0),"")="","",IF(INDEX(DATA!$AH$2:$AH$5,MATCH(G470,DATA!$AI$2:$AI$5,0))&lt;&gt;F470,"Wilayah beda","OK"))))</f>
        <v/>
      </c>
      <c r="V470" s="8" t="str">
        <f>IF($A470="","",TRIM(INDEX(FORM!$I:$I,ROW())&amp;""))</f>
        <v/>
      </c>
      <c r="W470" s="8" t="str">
        <f>IF($A470="","",TRIM(INDEX(FORM!$L:$L,ROW())&amp;""))</f>
        <v/>
      </c>
      <c r="X470" s="8" t="str">
        <f>IF($A470="","",TRIM(INDEX(FORM!$M:$M,ROW())&amp;""))</f>
        <v/>
      </c>
      <c r="Y470" s="8" t="str">
        <f>IF($A470="","",IFERROR(MATCH(F470,DATA!$AH$2:$AH$5,0),9)*10000+A470)</f>
        <v/>
      </c>
      <c r="Z470" s="8" t="str">
        <f t="shared" si="155"/>
        <v/>
      </c>
      <c r="AA470" s="8" t="str">
        <f t="shared" si="156"/>
        <v/>
      </c>
      <c r="AB470" s="8" t="str">
        <f t="shared" si="157"/>
        <v/>
      </c>
      <c r="AC470" s="8"/>
      <c r="AD470" s="8"/>
      <c r="AE470" s="8"/>
      <c r="AK470" s="5" t="str">
        <f t="shared" si="158"/>
        <v/>
      </c>
      <c r="AL470" s="5" t="str">
        <f t="shared" si="159"/>
        <v/>
      </c>
      <c r="AM470" s="5" t="str">
        <f t="shared" si="160"/>
        <v/>
      </c>
      <c r="AN470" s="5" t="str">
        <f t="shared" si="161"/>
        <v/>
      </c>
      <c r="AO470" s="5" t="str">
        <f t="shared" si="162"/>
        <v/>
      </c>
      <c r="AP470" s="5" t="str">
        <f t="shared" si="163"/>
        <v/>
      </c>
      <c r="AQ470" s="5" t="str">
        <f t="shared" si="164"/>
        <v/>
      </c>
      <c r="AR470" s="5" t="str">
        <f t="shared" si="165"/>
        <v/>
      </c>
      <c r="AS470" s="5" t="str">
        <f t="shared" si="166"/>
        <v/>
      </c>
      <c r="AT470" s="5" t="str">
        <f t="shared" si="167"/>
        <v/>
      </c>
      <c r="AU470" s="5" t="str">
        <f t="shared" si="168"/>
        <v/>
      </c>
      <c r="AV470" s="5" t="str">
        <f t="shared" si="169"/>
        <v/>
      </c>
      <c r="AW470" s="5" t="str">
        <f t="shared" si="170"/>
        <v/>
      </c>
      <c r="AX470" s="5" t="str">
        <f t="shared" si="171"/>
        <v/>
      </c>
      <c r="AY470" s="5" t="str">
        <f t="shared" si="172"/>
        <v/>
      </c>
      <c r="AZ470" s="5" t="str">
        <f t="shared" si="173"/>
        <v/>
      </c>
      <c r="BA470" s="5" t="str">
        <f t="shared" si="174"/>
        <v/>
      </c>
      <c r="BB470" s="5" t="str">
        <f t="shared" si="175"/>
        <v/>
      </c>
    </row>
    <row r="471" spans="1:54" s="5" customFormat="1" hidden="1">
      <c r="A471" s="8" t="str">
        <f>IF(INDEX(FORM!$A:$A,ROW())="","",ROW()-1)</f>
        <v/>
      </c>
      <c r="B471" s="41" t="str">
        <f>IF($A471="","",INDEX(FORM!$A:$A,ROW()))</f>
        <v/>
      </c>
      <c r="C471" s="8" t="str">
        <f>IF($A471="","",TRIM(INDEX(FORM!$B:$B,ROW())))</f>
        <v/>
      </c>
      <c r="D471" s="8" t="str">
        <f>IF($A471="","",TRIM(INDEX(FORM!$C:$C,ROW())&amp;""))</f>
        <v/>
      </c>
      <c r="E471" s="8" t="str">
        <f>IF($A471="","",UPPER(TRIM(INDEX(FORM!$D:$D,ROW()))))</f>
        <v/>
      </c>
      <c r="F471" s="8" t="str">
        <f>IF($A471="","",IFERROR(INDEX(PROGRES!$A$2:$A$92,MATCH(E471,PROGRES!$B$2:$B$92,0)),"-"))</f>
        <v/>
      </c>
      <c r="G471" s="8" t="str">
        <f>IF($A471="","",UPPER(TRIM(INDEX(FORM!$F:$F,ROW()))))</f>
        <v/>
      </c>
      <c r="H471" s="8" t="str">
        <f>IF($A471="","",UPPER(TRIM(INDEX(FORM!$E:$E,ROW()))))</f>
        <v/>
      </c>
      <c r="I471" s="8" t="str">
        <f>IF($A471="","",UPPER(TRIM(INDEX(FORM!$G:$G,ROW()))))</f>
        <v/>
      </c>
      <c r="J471" s="8" t="str">
        <f>IF($A471="","",IF(ISNUMBER(SEARCH("Ya,",INDEX(FORM!$H:$H,ROW()))),"YA",IF(ISNUMBER(SEARCH("Cukup,",INDEX(FORM!$H:$H,ROW()))),"CUKUP",IF(ISNUMBER(SEARCH("Kurang,",INDEX(FORM!$H:$H,ROW()))),"KURANG",""))))</f>
        <v/>
      </c>
      <c r="K471" s="8" t="str">
        <f>IF($A471="","",UPPER(TRIM(INDEX(FORM!$J:$J,ROW()))))</f>
        <v/>
      </c>
      <c r="L471" s="8" t="str">
        <f>IF($A471="","",IF(ISNUMBER(SEARCH("Aktivitas Harian",INDEX(FORM!$K:$K,ROW()))),1,0))</f>
        <v/>
      </c>
      <c r="M471" s="8" t="str">
        <f>IF($A471="","",IF(ISNUMBER(SEARCH("Aktivitas Mingguan",INDEX(FORM!$K:$K,ROW()))),1,0))</f>
        <v/>
      </c>
      <c r="N471" s="8" t="str">
        <f>IF($A471="","",IF(ISNUMBER(SEARCH("Aktivitas Bulanan",INDEX(FORM!$K:$K,ROW()))),1,0))</f>
        <v/>
      </c>
      <c r="O471" s="8" t="str">
        <f>IF($A471="","",IF(ISNUMBER(SEARCH("Overview Cabang",INDEX(FORM!$K:$K,ROW()))),1,0))</f>
        <v/>
      </c>
      <c r="P471" s="8" t="str">
        <f>IF($A471="","",IFERROR(VLOOKUP(I471,DATA!$AH$9:$AI$13,2,0),""))</f>
        <v/>
      </c>
      <c r="Q471" s="8" t="str">
        <f>IF($A471="","",IFERROR(VLOOKUP(J471,DATA!$AH$9:$AI$13,2,0),""))</f>
        <v/>
      </c>
      <c r="R471" s="8" t="str">
        <f>IF($A471="","",IFERROR(VLOOKUP(K471,DATA!$AH$9:$AI$13,2,0),""))</f>
        <v/>
      </c>
      <c r="S471" s="42" t="str">
        <f t="shared" si="154"/>
        <v/>
      </c>
      <c r="T471" s="8" t="str">
        <f>IF($A471="","",IF(COUNTIF($D$2:D471,D471)=1,1,0))</f>
        <v/>
      </c>
      <c r="U471" s="8" t="str">
        <f>IF($A471="","",IF(F471="-","Cabang tdk ada",IF(IFERROR(VLOOKUP(G471,#REF!,1,0),"")="","",IF(INDEX(DATA!$AH$2:$AH$5,MATCH(G471,DATA!$AI$2:$AI$5,0))&lt;&gt;F471,"Wilayah beda","OK"))))</f>
        <v/>
      </c>
      <c r="V471" s="8" t="str">
        <f>IF($A471="","",TRIM(INDEX(FORM!$I:$I,ROW())&amp;""))</f>
        <v/>
      </c>
      <c r="W471" s="8" t="str">
        <f>IF($A471="","",TRIM(INDEX(FORM!$L:$L,ROW())&amp;""))</f>
        <v/>
      </c>
      <c r="X471" s="8" t="str">
        <f>IF($A471="","",TRIM(INDEX(FORM!$M:$M,ROW())&amp;""))</f>
        <v/>
      </c>
      <c r="Y471" s="8" t="str">
        <f>IF($A471="","",IFERROR(MATCH(F471,DATA!$AH$2:$AH$5,0),9)*10000+A471)</f>
        <v/>
      </c>
      <c r="Z471" s="8" t="str">
        <f t="shared" si="155"/>
        <v/>
      </c>
      <c r="AA471" s="8" t="str">
        <f t="shared" si="156"/>
        <v/>
      </c>
      <c r="AB471" s="8" t="str">
        <f t="shared" si="157"/>
        <v/>
      </c>
      <c r="AC471" s="8"/>
      <c r="AD471" s="8"/>
      <c r="AE471" s="8"/>
      <c r="AK471" s="5" t="str">
        <f t="shared" si="158"/>
        <v/>
      </c>
      <c r="AL471" s="5" t="str">
        <f t="shared" si="159"/>
        <v/>
      </c>
      <c r="AM471" s="5" t="str">
        <f t="shared" si="160"/>
        <v/>
      </c>
      <c r="AN471" s="5" t="str">
        <f t="shared" si="161"/>
        <v/>
      </c>
      <c r="AO471" s="5" t="str">
        <f t="shared" si="162"/>
        <v/>
      </c>
      <c r="AP471" s="5" t="str">
        <f t="shared" si="163"/>
        <v/>
      </c>
      <c r="AQ471" s="5" t="str">
        <f t="shared" si="164"/>
        <v/>
      </c>
      <c r="AR471" s="5" t="str">
        <f t="shared" si="165"/>
        <v/>
      </c>
      <c r="AS471" s="5" t="str">
        <f t="shared" si="166"/>
        <v/>
      </c>
      <c r="AT471" s="5" t="str">
        <f t="shared" si="167"/>
        <v/>
      </c>
      <c r="AU471" s="5" t="str">
        <f t="shared" si="168"/>
        <v/>
      </c>
      <c r="AV471" s="5" t="str">
        <f t="shared" si="169"/>
        <v/>
      </c>
      <c r="AW471" s="5" t="str">
        <f t="shared" si="170"/>
        <v/>
      </c>
      <c r="AX471" s="5" t="str">
        <f t="shared" si="171"/>
        <v/>
      </c>
      <c r="AY471" s="5" t="str">
        <f t="shared" si="172"/>
        <v/>
      </c>
      <c r="AZ471" s="5" t="str">
        <f t="shared" si="173"/>
        <v/>
      </c>
      <c r="BA471" s="5" t="str">
        <f t="shared" si="174"/>
        <v/>
      </c>
      <c r="BB471" s="5" t="str">
        <f t="shared" si="175"/>
        <v/>
      </c>
    </row>
    <row r="472" spans="1:54" s="5" customFormat="1" hidden="1">
      <c r="A472" s="8" t="str">
        <f>IF(INDEX(FORM!$A:$A,ROW())="","",ROW()-1)</f>
        <v/>
      </c>
      <c r="B472" s="41" t="str">
        <f>IF($A472="","",INDEX(FORM!$A:$A,ROW()))</f>
        <v/>
      </c>
      <c r="C472" s="8" t="str">
        <f>IF($A472="","",TRIM(INDEX(FORM!$B:$B,ROW())))</f>
        <v/>
      </c>
      <c r="D472" s="8" t="str">
        <f>IF($A472="","",TRIM(INDEX(FORM!$C:$C,ROW())&amp;""))</f>
        <v/>
      </c>
      <c r="E472" s="8" t="str">
        <f>IF($A472="","",UPPER(TRIM(INDEX(FORM!$D:$D,ROW()))))</f>
        <v/>
      </c>
      <c r="F472" s="8" t="str">
        <f>IF($A472="","",IFERROR(INDEX(PROGRES!$A$2:$A$92,MATCH(E472,PROGRES!$B$2:$B$92,0)),"-"))</f>
        <v/>
      </c>
      <c r="G472" s="8" t="str">
        <f>IF($A472="","",UPPER(TRIM(INDEX(FORM!$F:$F,ROW()))))</f>
        <v/>
      </c>
      <c r="H472" s="8" t="str">
        <f>IF($A472="","",UPPER(TRIM(INDEX(FORM!$E:$E,ROW()))))</f>
        <v/>
      </c>
      <c r="I472" s="8" t="str">
        <f>IF($A472="","",UPPER(TRIM(INDEX(FORM!$G:$G,ROW()))))</f>
        <v/>
      </c>
      <c r="J472" s="8" t="str">
        <f>IF($A472="","",IF(ISNUMBER(SEARCH("Ya,",INDEX(FORM!$H:$H,ROW()))),"YA",IF(ISNUMBER(SEARCH("Cukup,",INDEX(FORM!$H:$H,ROW()))),"CUKUP",IF(ISNUMBER(SEARCH("Kurang,",INDEX(FORM!$H:$H,ROW()))),"KURANG",""))))</f>
        <v/>
      </c>
      <c r="K472" s="8" t="str">
        <f>IF($A472="","",UPPER(TRIM(INDEX(FORM!$J:$J,ROW()))))</f>
        <v/>
      </c>
      <c r="L472" s="8" t="str">
        <f>IF($A472="","",IF(ISNUMBER(SEARCH("Aktivitas Harian",INDEX(FORM!$K:$K,ROW()))),1,0))</f>
        <v/>
      </c>
      <c r="M472" s="8" t="str">
        <f>IF($A472="","",IF(ISNUMBER(SEARCH("Aktivitas Mingguan",INDEX(FORM!$K:$K,ROW()))),1,0))</f>
        <v/>
      </c>
      <c r="N472" s="8" t="str">
        <f>IF($A472="","",IF(ISNUMBER(SEARCH("Aktivitas Bulanan",INDEX(FORM!$K:$K,ROW()))),1,0))</f>
        <v/>
      </c>
      <c r="O472" s="8" t="str">
        <f>IF($A472="","",IF(ISNUMBER(SEARCH("Overview Cabang",INDEX(FORM!$K:$K,ROW()))),1,0))</f>
        <v/>
      </c>
      <c r="P472" s="8" t="str">
        <f>IF($A472="","",IFERROR(VLOOKUP(I472,DATA!$AH$9:$AI$13,2,0),""))</f>
        <v/>
      </c>
      <c r="Q472" s="8" t="str">
        <f>IF($A472="","",IFERROR(VLOOKUP(J472,DATA!$AH$9:$AI$13,2,0),""))</f>
        <v/>
      </c>
      <c r="R472" s="8" t="str">
        <f>IF($A472="","",IFERROR(VLOOKUP(K472,DATA!$AH$9:$AI$13,2,0),""))</f>
        <v/>
      </c>
      <c r="S472" s="42" t="str">
        <f t="shared" si="154"/>
        <v/>
      </c>
      <c r="T472" s="8" t="str">
        <f>IF($A472="","",IF(COUNTIF($D$2:D472,D472)=1,1,0))</f>
        <v/>
      </c>
      <c r="U472" s="8" t="str">
        <f>IF($A472="","",IF(F472="-","Cabang tdk ada",IF(IFERROR(VLOOKUP(G472,#REF!,1,0),"")="","",IF(INDEX(DATA!$AH$2:$AH$5,MATCH(G472,DATA!$AI$2:$AI$5,0))&lt;&gt;F472,"Wilayah beda","OK"))))</f>
        <v/>
      </c>
      <c r="V472" s="8" t="str">
        <f>IF($A472="","",TRIM(INDEX(FORM!$I:$I,ROW())&amp;""))</f>
        <v/>
      </c>
      <c r="W472" s="8" t="str">
        <f>IF($A472="","",TRIM(INDEX(FORM!$L:$L,ROW())&amp;""))</f>
        <v/>
      </c>
      <c r="X472" s="8" t="str">
        <f>IF($A472="","",TRIM(INDEX(FORM!$M:$M,ROW())&amp;""))</f>
        <v/>
      </c>
      <c r="Y472" s="8" t="str">
        <f>IF($A472="","",IFERROR(MATCH(F472,DATA!$AH$2:$AH$5,0),9)*10000+A472)</f>
        <v/>
      </c>
      <c r="Z472" s="8" t="str">
        <f t="shared" si="155"/>
        <v/>
      </c>
      <c r="AA472" s="8" t="str">
        <f t="shared" si="156"/>
        <v/>
      </c>
      <c r="AB472" s="8" t="str">
        <f t="shared" si="157"/>
        <v/>
      </c>
      <c r="AC472" s="8"/>
      <c r="AD472" s="8"/>
      <c r="AE472" s="8"/>
      <c r="AK472" s="5" t="str">
        <f t="shared" si="158"/>
        <v/>
      </c>
      <c r="AL472" s="5" t="str">
        <f t="shared" si="159"/>
        <v/>
      </c>
      <c r="AM472" s="5" t="str">
        <f t="shared" si="160"/>
        <v/>
      </c>
      <c r="AN472" s="5" t="str">
        <f t="shared" si="161"/>
        <v/>
      </c>
      <c r="AO472" s="5" t="str">
        <f t="shared" si="162"/>
        <v/>
      </c>
      <c r="AP472" s="5" t="str">
        <f t="shared" si="163"/>
        <v/>
      </c>
      <c r="AQ472" s="5" t="str">
        <f t="shared" si="164"/>
        <v/>
      </c>
      <c r="AR472" s="5" t="str">
        <f t="shared" si="165"/>
        <v/>
      </c>
      <c r="AS472" s="5" t="str">
        <f t="shared" si="166"/>
        <v/>
      </c>
      <c r="AT472" s="5" t="str">
        <f t="shared" si="167"/>
        <v/>
      </c>
      <c r="AU472" s="5" t="str">
        <f t="shared" si="168"/>
        <v/>
      </c>
      <c r="AV472" s="5" t="str">
        <f t="shared" si="169"/>
        <v/>
      </c>
      <c r="AW472" s="5" t="str">
        <f t="shared" si="170"/>
        <v/>
      </c>
      <c r="AX472" s="5" t="str">
        <f t="shared" si="171"/>
        <v/>
      </c>
      <c r="AY472" s="5" t="str">
        <f t="shared" si="172"/>
        <v/>
      </c>
      <c r="AZ472" s="5" t="str">
        <f t="shared" si="173"/>
        <v/>
      </c>
      <c r="BA472" s="5" t="str">
        <f t="shared" si="174"/>
        <v/>
      </c>
      <c r="BB472" s="5" t="str">
        <f t="shared" si="175"/>
        <v/>
      </c>
    </row>
    <row r="473" spans="1:54" s="5" customFormat="1" hidden="1">
      <c r="A473" s="8" t="str">
        <f>IF(INDEX(FORM!$A:$A,ROW())="","",ROW()-1)</f>
        <v/>
      </c>
      <c r="B473" s="41" t="str">
        <f>IF($A473="","",INDEX(FORM!$A:$A,ROW()))</f>
        <v/>
      </c>
      <c r="C473" s="8" t="str">
        <f>IF($A473="","",TRIM(INDEX(FORM!$B:$B,ROW())))</f>
        <v/>
      </c>
      <c r="D473" s="8" t="str">
        <f>IF($A473="","",TRIM(INDEX(FORM!$C:$C,ROW())&amp;""))</f>
        <v/>
      </c>
      <c r="E473" s="8" t="str">
        <f>IF($A473="","",UPPER(TRIM(INDEX(FORM!$D:$D,ROW()))))</f>
        <v/>
      </c>
      <c r="F473" s="8" t="str">
        <f>IF($A473="","",IFERROR(INDEX(PROGRES!$A$2:$A$92,MATCH(E473,PROGRES!$B$2:$B$92,0)),"-"))</f>
        <v/>
      </c>
      <c r="G473" s="8" t="str">
        <f>IF($A473="","",UPPER(TRIM(INDEX(FORM!$F:$F,ROW()))))</f>
        <v/>
      </c>
      <c r="H473" s="8" t="str">
        <f>IF($A473="","",UPPER(TRIM(INDEX(FORM!$E:$E,ROW()))))</f>
        <v/>
      </c>
      <c r="I473" s="8" t="str">
        <f>IF($A473="","",UPPER(TRIM(INDEX(FORM!$G:$G,ROW()))))</f>
        <v/>
      </c>
      <c r="J473" s="8" t="str">
        <f>IF($A473="","",IF(ISNUMBER(SEARCH("Ya,",INDEX(FORM!$H:$H,ROW()))),"YA",IF(ISNUMBER(SEARCH("Cukup,",INDEX(FORM!$H:$H,ROW()))),"CUKUP",IF(ISNUMBER(SEARCH("Kurang,",INDEX(FORM!$H:$H,ROW()))),"KURANG",""))))</f>
        <v/>
      </c>
      <c r="K473" s="8" t="str">
        <f>IF($A473="","",UPPER(TRIM(INDEX(FORM!$J:$J,ROW()))))</f>
        <v/>
      </c>
      <c r="L473" s="8" t="str">
        <f>IF($A473="","",IF(ISNUMBER(SEARCH("Aktivitas Harian",INDEX(FORM!$K:$K,ROW()))),1,0))</f>
        <v/>
      </c>
      <c r="M473" s="8" t="str">
        <f>IF($A473="","",IF(ISNUMBER(SEARCH("Aktivitas Mingguan",INDEX(FORM!$K:$K,ROW()))),1,0))</f>
        <v/>
      </c>
      <c r="N473" s="8" t="str">
        <f>IF($A473="","",IF(ISNUMBER(SEARCH("Aktivitas Bulanan",INDEX(FORM!$K:$K,ROW()))),1,0))</f>
        <v/>
      </c>
      <c r="O473" s="8" t="str">
        <f>IF($A473="","",IF(ISNUMBER(SEARCH("Overview Cabang",INDEX(FORM!$K:$K,ROW()))),1,0))</f>
        <v/>
      </c>
      <c r="P473" s="8" t="str">
        <f>IF($A473="","",IFERROR(VLOOKUP(I473,DATA!$AH$9:$AI$13,2,0),""))</f>
        <v/>
      </c>
      <c r="Q473" s="8" t="str">
        <f>IF($A473="","",IFERROR(VLOOKUP(J473,DATA!$AH$9:$AI$13,2,0),""))</f>
        <v/>
      </c>
      <c r="R473" s="8" t="str">
        <f>IF($A473="","",IFERROR(VLOOKUP(K473,DATA!$AH$9:$AI$13,2,0),""))</f>
        <v/>
      </c>
      <c r="S473" s="42" t="str">
        <f t="shared" si="154"/>
        <v/>
      </c>
      <c r="T473" s="8" t="str">
        <f>IF($A473="","",IF(COUNTIF($D$2:D473,D473)=1,1,0))</f>
        <v/>
      </c>
      <c r="U473" s="8" t="str">
        <f>IF($A473="","",IF(F473="-","Cabang tdk ada",IF(IFERROR(VLOOKUP(G473,#REF!,1,0),"")="","",IF(INDEX(DATA!$AH$2:$AH$5,MATCH(G473,DATA!$AI$2:$AI$5,0))&lt;&gt;F473,"Wilayah beda","OK"))))</f>
        <v/>
      </c>
      <c r="V473" s="8" t="str">
        <f>IF($A473="","",TRIM(INDEX(FORM!$I:$I,ROW())&amp;""))</f>
        <v/>
      </c>
      <c r="W473" s="8" t="str">
        <f>IF($A473="","",TRIM(INDEX(FORM!$L:$L,ROW())&amp;""))</f>
        <v/>
      </c>
      <c r="X473" s="8" t="str">
        <f>IF($A473="","",TRIM(INDEX(FORM!$M:$M,ROW())&amp;""))</f>
        <v/>
      </c>
      <c r="Y473" s="8" t="str">
        <f>IF($A473="","",IFERROR(MATCH(F473,DATA!$AH$2:$AH$5,0),9)*10000+A473)</f>
        <v/>
      </c>
      <c r="Z473" s="8" t="str">
        <f t="shared" si="155"/>
        <v/>
      </c>
      <c r="AA473" s="8" t="str">
        <f t="shared" si="156"/>
        <v/>
      </c>
      <c r="AB473" s="8" t="str">
        <f t="shared" si="157"/>
        <v/>
      </c>
      <c r="AC473" s="8"/>
      <c r="AD473" s="8"/>
      <c r="AE473" s="8"/>
      <c r="AK473" s="5" t="str">
        <f t="shared" si="158"/>
        <v/>
      </c>
      <c r="AL473" s="5" t="str">
        <f t="shared" si="159"/>
        <v/>
      </c>
      <c r="AM473" s="5" t="str">
        <f t="shared" si="160"/>
        <v/>
      </c>
      <c r="AN473" s="5" t="str">
        <f t="shared" si="161"/>
        <v/>
      </c>
      <c r="AO473" s="5" t="str">
        <f t="shared" si="162"/>
        <v/>
      </c>
      <c r="AP473" s="5" t="str">
        <f t="shared" si="163"/>
        <v/>
      </c>
      <c r="AQ473" s="5" t="str">
        <f t="shared" si="164"/>
        <v/>
      </c>
      <c r="AR473" s="5" t="str">
        <f t="shared" si="165"/>
        <v/>
      </c>
      <c r="AS473" s="5" t="str">
        <f t="shared" si="166"/>
        <v/>
      </c>
      <c r="AT473" s="5" t="str">
        <f t="shared" si="167"/>
        <v/>
      </c>
      <c r="AU473" s="5" t="str">
        <f t="shared" si="168"/>
        <v/>
      </c>
      <c r="AV473" s="5" t="str">
        <f t="shared" si="169"/>
        <v/>
      </c>
      <c r="AW473" s="5" t="str">
        <f t="shared" si="170"/>
        <v/>
      </c>
      <c r="AX473" s="5" t="str">
        <f t="shared" si="171"/>
        <v/>
      </c>
      <c r="AY473" s="5" t="str">
        <f t="shared" si="172"/>
        <v/>
      </c>
      <c r="AZ473" s="5" t="str">
        <f t="shared" si="173"/>
        <v/>
      </c>
      <c r="BA473" s="5" t="str">
        <f t="shared" si="174"/>
        <v/>
      </c>
      <c r="BB473" s="5" t="str">
        <f t="shared" si="175"/>
        <v/>
      </c>
    </row>
    <row r="474" spans="1:54" s="5" customFormat="1" hidden="1">
      <c r="A474" s="8" t="str">
        <f>IF(INDEX(FORM!$A:$A,ROW())="","",ROW()-1)</f>
        <v/>
      </c>
      <c r="B474" s="41" t="str">
        <f>IF($A474="","",INDEX(FORM!$A:$A,ROW()))</f>
        <v/>
      </c>
      <c r="C474" s="8" t="str">
        <f>IF($A474="","",TRIM(INDEX(FORM!$B:$B,ROW())))</f>
        <v/>
      </c>
      <c r="D474" s="8" t="str">
        <f>IF($A474="","",TRIM(INDEX(FORM!$C:$C,ROW())&amp;""))</f>
        <v/>
      </c>
      <c r="E474" s="8" t="str">
        <f>IF($A474="","",UPPER(TRIM(INDEX(FORM!$D:$D,ROW()))))</f>
        <v/>
      </c>
      <c r="F474" s="8" t="str">
        <f>IF($A474="","",IFERROR(INDEX(PROGRES!$A$2:$A$92,MATCH(E474,PROGRES!$B$2:$B$92,0)),"-"))</f>
        <v/>
      </c>
      <c r="G474" s="8" t="str">
        <f>IF($A474="","",UPPER(TRIM(INDEX(FORM!$F:$F,ROW()))))</f>
        <v/>
      </c>
      <c r="H474" s="8" t="str">
        <f>IF($A474="","",UPPER(TRIM(INDEX(FORM!$E:$E,ROW()))))</f>
        <v/>
      </c>
      <c r="I474" s="8" t="str">
        <f>IF($A474="","",UPPER(TRIM(INDEX(FORM!$G:$G,ROW()))))</f>
        <v/>
      </c>
      <c r="J474" s="8" t="str">
        <f>IF($A474="","",IF(ISNUMBER(SEARCH("Ya,",INDEX(FORM!$H:$H,ROW()))),"YA",IF(ISNUMBER(SEARCH("Cukup,",INDEX(FORM!$H:$H,ROW()))),"CUKUP",IF(ISNUMBER(SEARCH("Kurang,",INDEX(FORM!$H:$H,ROW()))),"KURANG",""))))</f>
        <v/>
      </c>
      <c r="K474" s="8" t="str">
        <f>IF($A474="","",UPPER(TRIM(INDEX(FORM!$J:$J,ROW()))))</f>
        <v/>
      </c>
      <c r="L474" s="8" t="str">
        <f>IF($A474="","",IF(ISNUMBER(SEARCH("Aktivitas Harian",INDEX(FORM!$K:$K,ROW()))),1,0))</f>
        <v/>
      </c>
      <c r="M474" s="8" t="str">
        <f>IF($A474="","",IF(ISNUMBER(SEARCH("Aktivitas Mingguan",INDEX(FORM!$K:$K,ROW()))),1,0))</f>
        <v/>
      </c>
      <c r="N474" s="8" t="str">
        <f>IF($A474="","",IF(ISNUMBER(SEARCH("Aktivitas Bulanan",INDEX(FORM!$K:$K,ROW()))),1,0))</f>
        <v/>
      </c>
      <c r="O474" s="8" t="str">
        <f>IF($A474="","",IF(ISNUMBER(SEARCH("Overview Cabang",INDEX(FORM!$K:$K,ROW()))),1,0))</f>
        <v/>
      </c>
      <c r="P474" s="8" t="str">
        <f>IF($A474="","",IFERROR(VLOOKUP(I474,DATA!$AH$9:$AI$13,2,0),""))</f>
        <v/>
      </c>
      <c r="Q474" s="8" t="str">
        <f>IF($A474="","",IFERROR(VLOOKUP(J474,DATA!$AH$9:$AI$13,2,0),""))</f>
        <v/>
      </c>
      <c r="R474" s="8" t="str">
        <f>IF($A474="","",IFERROR(VLOOKUP(K474,DATA!$AH$9:$AI$13,2,0),""))</f>
        <v/>
      </c>
      <c r="S474" s="42" t="str">
        <f t="shared" si="154"/>
        <v/>
      </c>
      <c r="T474" s="8" t="str">
        <f>IF($A474="","",IF(COUNTIF($D$2:D474,D474)=1,1,0))</f>
        <v/>
      </c>
      <c r="U474" s="8" t="str">
        <f>IF($A474="","",IF(F474="-","Cabang tdk ada",IF(IFERROR(VLOOKUP(G474,#REF!,1,0),"")="","",IF(INDEX(DATA!$AH$2:$AH$5,MATCH(G474,DATA!$AI$2:$AI$5,0))&lt;&gt;F474,"Wilayah beda","OK"))))</f>
        <v/>
      </c>
      <c r="V474" s="8" t="str">
        <f>IF($A474="","",TRIM(INDEX(FORM!$I:$I,ROW())&amp;""))</f>
        <v/>
      </c>
      <c r="W474" s="8" t="str">
        <f>IF($A474="","",TRIM(INDEX(FORM!$L:$L,ROW())&amp;""))</f>
        <v/>
      </c>
      <c r="X474" s="8" t="str">
        <f>IF($A474="","",TRIM(INDEX(FORM!$M:$M,ROW())&amp;""))</f>
        <v/>
      </c>
      <c r="Y474" s="8" t="str">
        <f>IF($A474="","",IFERROR(MATCH(F474,DATA!$AH$2:$AH$5,0),9)*10000+A474)</f>
        <v/>
      </c>
      <c r="Z474" s="8" t="str">
        <f t="shared" si="155"/>
        <v/>
      </c>
      <c r="AA474" s="8" t="str">
        <f t="shared" si="156"/>
        <v/>
      </c>
      <c r="AB474" s="8" t="str">
        <f t="shared" si="157"/>
        <v/>
      </c>
      <c r="AC474" s="8"/>
      <c r="AD474" s="8"/>
      <c r="AE474" s="8"/>
      <c r="AK474" s="5" t="str">
        <f t="shared" si="158"/>
        <v/>
      </c>
      <c r="AL474" s="5" t="str">
        <f t="shared" si="159"/>
        <v/>
      </c>
      <c r="AM474" s="5" t="str">
        <f t="shared" si="160"/>
        <v/>
      </c>
      <c r="AN474" s="5" t="str">
        <f t="shared" si="161"/>
        <v/>
      </c>
      <c r="AO474" s="5" t="str">
        <f t="shared" si="162"/>
        <v/>
      </c>
      <c r="AP474" s="5" t="str">
        <f t="shared" si="163"/>
        <v/>
      </c>
      <c r="AQ474" s="5" t="str">
        <f t="shared" si="164"/>
        <v/>
      </c>
      <c r="AR474" s="5" t="str">
        <f t="shared" si="165"/>
        <v/>
      </c>
      <c r="AS474" s="5" t="str">
        <f t="shared" si="166"/>
        <v/>
      </c>
      <c r="AT474" s="5" t="str">
        <f t="shared" si="167"/>
        <v/>
      </c>
      <c r="AU474" s="5" t="str">
        <f t="shared" si="168"/>
        <v/>
      </c>
      <c r="AV474" s="5" t="str">
        <f t="shared" si="169"/>
        <v/>
      </c>
      <c r="AW474" s="5" t="str">
        <f t="shared" si="170"/>
        <v/>
      </c>
      <c r="AX474" s="5" t="str">
        <f t="shared" si="171"/>
        <v/>
      </c>
      <c r="AY474" s="5" t="str">
        <f t="shared" si="172"/>
        <v/>
      </c>
      <c r="AZ474" s="5" t="str">
        <f t="shared" si="173"/>
        <v/>
      </c>
      <c r="BA474" s="5" t="str">
        <f t="shared" si="174"/>
        <v/>
      </c>
      <c r="BB474" s="5" t="str">
        <f t="shared" si="175"/>
        <v/>
      </c>
    </row>
    <row r="475" spans="1:54" s="5" customFormat="1" hidden="1">
      <c r="A475" s="8" t="str">
        <f>IF(INDEX(FORM!$A:$A,ROW())="","",ROW()-1)</f>
        <v/>
      </c>
      <c r="B475" s="41" t="str">
        <f>IF($A475="","",INDEX(FORM!$A:$A,ROW()))</f>
        <v/>
      </c>
      <c r="C475" s="8" t="str">
        <f>IF($A475="","",TRIM(INDEX(FORM!$B:$B,ROW())))</f>
        <v/>
      </c>
      <c r="D475" s="8" t="str">
        <f>IF($A475="","",TRIM(INDEX(FORM!$C:$C,ROW())&amp;""))</f>
        <v/>
      </c>
      <c r="E475" s="8" t="str">
        <f>IF($A475="","",UPPER(TRIM(INDEX(FORM!$D:$D,ROW()))))</f>
        <v/>
      </c>
      <c r="F475" s="8" t="str">
        <f>IF($A475="","",IFERROR(INDEX(PROGRES!$A$2:$A$92,MATCH(E475,PROGRES!$B$2:$B$92,0)),"-"))</f>
        <v/>
      </c>
      <c r="G475" s="8" t="str">
        <f>IF($A475="","",UPPER(TRIM(INDEX(FORM!$F:$F,ROW()))))</f>
        <v/>
      </c>
      <c r="H475" s="8" t="str">
        <f>IF($A475="","",UPPER(TRIM(INDEX(FORM!$E:$E,ROW()))))</f>
        <v/>
      </c>
      <c r="I475" s="8" t="str">
        <f>IF($A475="","",UPPER(TRIM(INDEX(FORM!$G:$G,ROW()))))</f>
        <v/>
      </c>
      <c r="J475" s="8" t="str">
        <f>IF($A475="","",IF(ISNUMBER(SEARCH("Ya,",INDEX(FORM!$H:$H,ROW()))),"YA",IF(ISNUMBER(SEARCH("Cukup,",INDEX(FORM!$H:$H,ROW()))),"CUKUP",IF(ISNUMBER(SEARCH("Kurang,",INDEX(FORM!$H:$H,ROW()))),"KURANG",""))))</f>
        <v/>
      </c>
      <c r="K475" s="8" t="str">
        <f>IF($A475="","",UPPER(TRIM(INDEX(FORM!$J:$J,ROW()))))</f>
        <v/>
      </c>
      <c r="L475" s="8" t="str">
        <f>IF($A475="","",IF(ISNUMBER(SEARCH("Aktivitas Harian",INDEX(FORM!$K:$K,ROW()))),1,0))</f>
        <v/>
      </c>
      <c r="M475" s="8" t="str">
        <f>IF($A475="","",IF(ISNUMBER(SEARCH("Aktivitas Mingguan",INDEX(FORM!$K:$K,ROW()))),1,0))</f>
        <v/>
      </c>
      <c r="N475" s="8" t="str">
        <f>IF($A475="","",IF(ISNUMBER(SEARCH("Aktivitas Bulanan",INDEX(FORM!$K:$K,ROW()))),1,0))</f>
        <v/>
      </c>
      <c r="O475" s="8" t="str">
        <f>IF($A475="","",IF(ISNUMBER(SEARCH("Overview Cabang",INDEX(FORM!$K:$K,ROW()))),1,0))</f>
        <v/>
      </c>
      <c r="P475" s="8" t="str">
        <f>IF($A475="","",IFERROR(VLOOKUP(I475,DATA!$AH$9:$AI$13,2,0),""))</f>
        <v/>
      </c>
      <c r="Q475" s="8" t="str">
        <f>IF($A475="","",IFERROR(VLOOKUP(J475,DATA!$AH$9:$AI$13,2,0),""))</f>
        <v/>
      </c>
      <c r="R475" s="8" t="str">
        <f>IF($A475="","",IFERROR(VLOOKUP(K475,DATA!$AH$9:$AI$13,2,0),""))</f>
        <v/>
      </c>
      <c r="S475" s="42" t="str">
        <f t="shared" si="154"/>
        <v/>
      </c>
      <c r="T475" s="8" t="str">
        <f>IF($A475="","",IF(COUNTIF($D$2:D475,D475)=1,1,0))</f>
        <v/>
      </c>
      <c r="U475" s="8" t="str">
        <f>IF($A475="","",IF(F475="-","Cabang tdk ada",IF(IFERROR(VLOOKUP(G475,#REF!,1,0),"")="","",IF(INDEX(DATA!$AH$2:$AH$5,MATCH(G475,DATA!$AI$2:$AI$5,0))&lt;&gt;F475,"Wilayah beda","OK"))))</f>
        <v/>
      </c>
      <c r="V475" s="8" t="str">
        <f>IF($A475="","",TRIM(INDEX(FORM!$I:$I,ROW())&amp;""))</f>
        <v/>
      </c>
      <c r="W475" s="8" t="str">
        <f>IF($A475="","",TRIM(INDEX(FORM!$L:$L,ROW())&amp;""))</f>
        <v/>
      </c>
      <c r="X475" s="8" t="str">
        <f>IF($A475="","",TRIM(INDEX(FORM!$M:$M,ROW())&amp;""))</f>
        <v/>
      </c>
      <c r="Y475" s="8" t="str">
        <f>IF($A475="","",IFERROR(MATCH(F475,DATA!$AH$2:$AH$5,0),9)*10000+A475)</f>
        <v/>
      </c>
      <c r="Z475" s="8" t="str">
        <f t="shared" si="155"/>
        <v/>
      </c>
      <c r="AA475" s="8" t="str">
        <f t="shared" si="156"/>
        <v/>
      </c>
      <c r="AB475" s="8" t="str">
        <f t="shared" si="157"/>
        <v/>
      </c>
      <c r="AC475" s="8"/>
      <c r="AD475" s="8"/>
      <c r="AE475" s="8"/>
      <c r="AK475" s="5" t="str">
        <f t="shared" si="158"/>
        <v/>
      </c>
      <c r="AL475" s="5" t="str">
        <f t="shared" si="159"/>
        <v/>
      </c>
      <c r="AM475" s="5" t="str">
        <f t="shared" si="160"/>
        <v/>
      </c>
      <c r="AN475" s="5" t="str">
        <f t="shared" si="161"/>
        <v/>
      </c>
      <c r="AO475" s="5" t="str">
        <f t="shared" si="162"/>
        <v/>
      </c>
      <c r="AP475" s="5" t="str">
        <f t="shared" si="163"/>
        <v/>
      </c>
      <c r="AQ475" s="5" t="str">
        <f t="shared" si="164"/>
        <v/>
      </c>
      <c r="AR475" s="5" t="str">
        <f t="shared" si="165"/>
        <v/>
      </c>
      <c r="AS475" s="5" t="str">
        <f t="shared" si="166"/>
        <v/>
      </c>
      <c r="AT475" s="5" t="str">
        <f t="shared" si="167"/>
        <v/>
      </c>
      <c r="AU475" s="5" t="str">
        <f t="shared" si="168"/>
        <v/>
      </c>
      <c r="AV475" s="5" t="str">
        <f t="shared" si="169"/>
        <v/>
      </c>
      <c r="AW475" s="5" t="str">
        <f t="shared" si="170"/>
        <v/>
      </c>
      <c r="AX475" s="5" t="str">
        <f t="shared" si="171"/>
        <v/>
      </c>
      <c r="AY475" s="5" t="str">
        <f t="shared" si="172"/>
        <v/>
      </c>
      <c r="AZ475" s="5" t="str">
        <f t="shared" si="173"/>
        <v/>
      </c>
      <c r="BA475" s="5" t="str">
        <f t="shared" si="174"/>
        <v/>
      </c>
      <c r="BB475" s="5" t="str">
        <f t="shared" si="175"/>
        <v/>
      </c>
    </row>
    <row r="476" spans="1:54" s="5" customFormat="1" hidden="1">
      <c r="A476" s="8" t="str">
        <f>IF(INDEX(FORM!$A:$A,ROW())="","",ROW()-1)</f>
        <v/>
      </c>
      <c r="B476" s="41" t="str">
        <f>IF($A476="","",INDEX(FORM!$A:$A,ROW()))</f>
        <v/>
      </c>
      <c r="C476" s="8" t="str">
        <f>IF($A476="","",TRIM(INDEX(FORM!$B:$B,ROW())))</f>
        <v/>
      </c>
      <c r="D476" s="8" t="str">
        <f>IF($A476="","",TRIM(INDEX(FORM!$C:$C,ROW())&amp;""))</f>
        <v/>
      </c>
      <c r="E476" s="8" t="str">
        <f>IF($A476="","",UPPER(TRIM(INDEX(FORM!$D:$D,ROW()))))</f>
        <v/>
      </c>
      <c r="F476" s="8" t="str">
        <f>IF($A476="","",IFERROR(INDEX(PROGRES!$A$2:$A$92,MATCH(E476,PROGRES!$B$2:$B$92,0)),"-"))</f>
        <v/>
      </c>
      <c r="G476" s="8" t="str">
        <f>IF($A476="","",UPPER(TRIM(INDEX(FORM!$F:$F,ROW()))))</f>
        <v/>
      </c>
      <c r="H476" s="8" t="str">
        <f>IF($A476="","",UPPER(TRIM(INDEX(FORM!$E:$E,ROW()))))</f>
        <v/>
      </c>
      <c r="I476" s="8" t="str">
        <f>IF($A476="","",UPPER(TRIM(INDEX(FORM!$G:$G,ROW()))))</f>
        <v/>
      </c>
      <c r="J476" s="8" t="str">
        <f>IF($A476="","",IF(ISNUMBER(SEARCH("Ya,",INDEX(FORM!$H:$H,ROW()))),"YA",IF(ISNUMBER(SEARCH("Cukup,",INDEX(FORM!$H:$H,ROW()))),"CUKUP",IF(ISNUMBER(SEARCH("Kurang,",INDEX(FORM!$H:$H,ROW()))),"KURANG",""))))</f>
        <v/>
      </c>
      <c r="K476" s="8" t="str">
        <f>IF($A476="","",UPPER(TRIM(INDEX(FORM!$J:$J,ROW()))))</f>
        <v/>
      </c>
      <c r="L476" s="8" t="str">
        <f>IF($A476="","",IF(ISNUMBER(SEARCH("Aktivitas Harian",INDEX(FORM!$K:$K,ROW()))),1,0))</f>
        <v/>
      </c>
      <c r="M476" s="8" t="str">
        <f>IF($A476="","",IF(ISNUMBER(SEARCH("Aktivitas Mingguan",INDEX(FORM!$K:$K,ROW()))),1,0))</f>
        <v/>
      </c>
      <c r="N476" s="8" t="str">
        <f>IF($A476="","",IF(ISNUMBER(SEARCH("Aktivitas Bulanan",INDEX(FORM!$K:$K,ROW()))),1,0))</f>
        <v/>
      </c>
      <c r="O476" s="8" t="str">
        <f>IF($A476="","",IF(ISNUMBER(SEARCH("Overview Cabang",INDEX(FORM!$K:$K,ROW()))),1,0))</f>
        <v/>
      </c>
      <c r="P476" s="8" t="str">
        <f>IF($A476="","",IFERROR(VLOOKUP(I476,DATA!$AH$9:$AI$13,2,0),""))</f>
        <v/>
      </c>
      <c r="Q476" s="8" t="str">
        <f>IF($A476="","",IFERROR(VLOOKUP(J476,DATA!$AH$9:$AI$13,2,0),""))</f>
        <v/>
      </c>
      <c r="R476" s="8" t="str">
        <f>IF($A476="","",IFERROR(VLOOKUP(K476,DATA!$AH$9:$AI$13,2,0),""))</f>
        <v/>
      </c>
      <c r="S476" s="42" t="str">
        <f t="shared" si="154"/>
        <v/>
      </c>
      <c r="T476" s="8" t="str">
        <f>IF($A476="","",IF(COUNTIF($D$2:D476,D476)=1,1,0))</f>
        <v/>
      </c>
      <c r="U476" s="8" t="str">
        <f>IF($A476="","",IF(F476="-","Cabang tdk ada",IF(IFERROR(VLOOKUP(G476,#REF!,1,0),"")="","",IF(INDEX(DATA!$AH$2:$AH$5,MATCH(G476,DATA!$AI$2:$AI$5,0))&lt;&gt;F476,"Wilayah beda","OK"))))</f>
        <v/>
      </c>
      <c r="V476" s="8" t="str">
        <f>IF($A476="","",TRIM(INDEX(FORM!$I:$I,ROW())&amp;""))</f>
        <v/>
      </c>
      <c r="W476" s="8" t="str">
        <f>IF($A476="","",TRIM(INDEX(FORM!$L:$L,ROW())&amp;""))</f>
        <v/>
      </c>
      <c r="X476" s="8" t="str">
        <f>IF($A476="","",TRIM(INDEX(FORM!$M:$M,ROW())&amp;""))</f>
        <v/>
      </c>
      <c r="Y476" s="8" t="str">
        <f>IF($A476="","",IFERROR(MATCH(F476,DATA!$AH$2:$AH$5,0),9)*10000+A476)</f>
        <v/>
      </c>
      <c r="Z476" s="8" t="str">
        <f t="shared" si="155"/>
        <v/>
      </c>
      <c r="AA476" s="8" t="str">
        <f t="shared" si="156"/>
        <v/>
      </c>
      <c r="AB476" s="8" t="str">
        <f t="shared" si="157"/>
        <v/>
      </c>
      <c r="AC476" s="8"/>
      <c r="AD476" s="8"/>
      <c r="AE476" s="8"/>
      <c r="AK476" s="5" t="str">
        <f t="shared" si="158"/>
        <v/>
      </c>
      <c r="AL476" s="5" t="str">
        <f t="shared" si="159"/>
        <v/>
      </c>
      <c r="AM476" s="5" t="str">
        <f t="shared" si="160"/>
        <v/>
      </c>
      <c r="AN476" s="5" t="str">
        <f t="shared" si="161"/>
        <v/>
      </c>
      <c r="AO476" s="5" t="str">
        <f t="shared" si="162"/>
        <v/>
      </c>
      <c r="AP476" s="5" t="str">
        <f t="shared" si="163"/>
        <v/>
      </c>
      <c r="AQ476" s="5" t="str">
        <f t="shared" si="164"/>
        <v/>
      </c>
      <c r="AR476" s="5" t="str">
        <f t="shared" si="165"/>
        <v/>
      </c>
      <c r="AS476" s="5" t="str">
        <f t="shared" si="166"/>
        <v/>
      </c>
      <c r="AT476" s="5" t="str">
        <f t="shared" si="167"/>
        <v/>
      </c>
      <c r="AU476" s="5" t="str">
        <f t="shared" si="168"/>
        <v/>
      </c>
      <c r="AV476" s="5" t="str">
        <f t="shared" si="169"/>
        <v/>
      </c>
      <c r="AW476" s="5" t="str">
        <f t="shared" si="170"/>
        <v/>
      </c>
      <c r="AX476" s="5" t="str">
        <f t="shared" si="171"/>
        <v/>
      </c>
      <c r="AY476" s="5" t="str">
        <f t="shared" si="172"/>
        <v/>
      </c>
      <c r="AZ476" s="5" t="str">
        <f t="shared" si="173"/>
        <v/>
      </c>
      <c r="BA476" s="5" t="str">
        <f t="shared" si="174"/>
        <v/>
      </c>
      <c r="BB476" s="5" t="str">
        <f t="shared" si="175"/>
        <v/>
      </c>
    </row>
    <row r="477" spans="1:54" s="5" customFormat="1" hidden="1">
      <c r="A477" s="8" t="str">
        <f>IF(INDEX(FORM!$A:$A,ROW())="","",ROW()-1)</f>
        <v/>
      </c>
      <c r="B477" s="41" t="str">
        <f>IF($A477="","",INDEX(FORM!$A:$A,ROW()))</f>
        <v/>
      </c>
      <c r="C477" s="8" t="str">
        <f>IF($A477="","",TRIM(INDEX(FORM!$B:$B,ROW())))</f>
        <v/>
      </c>
      <c r="D477" s="8" t="str">
        <f>IF($A477="","",TRIM(INDEX(FORM!$C:$C,ROW())&amp;""))</f>
        <v/>
      </c>
      <c r="E477" s="8" t="str">
        <f>IF($A477="","",UPPER(TRIM(INDEX(FORM!$D:$D,ROW()))))</f>
        <v/>
      </c>
      <c r="F477" s="8" t="str">
        <f>IF($A477="","",IFERROR(INDEX(PROGRES!$A$2:$A$92,MATCH(E477,PROGRES!$B$2:$B$92,0)),"-"))</f>
        <v/>
      </c>
      <c r="G477" s="8" t="str">
        <f>IF($A477="","",UPPER(TRIM(INDEX(FORM!$F:$F,ROW()))))</f>
        <v/>
      </c>
      <c r="H477" s="8" t="str">
        <f>IF($A477="","",UPPER(TRIM(INDEX(FORM!$E:$E,ROW()))))</f>
        <v/>
      </c>
      <c r="I477" s="8" t="str">
        <f>IF($A477="","",UPPER(TRIM(INDEX(FORM!$G:$G,ROW()))))</f>
        <v/>
      </c>
      <c r="J477" s="8" t="str">
        <f>IF($A477="","",IF(ISNUMBER(SEARCH("Ya,",INDEX(FORM!$H:$H,ROW()))),"YA",IF(ISNUMBER(SEARCH("Cukup,",INDEX(FORM!$H:$H,ROW()))),"CUKUP",IF(ISNUMBER(SEARCH("Kurang,",INDEX(FORM!$H:$H,ROW()))),"KURANG",""))))</f>
        <v/>
      </c>
      <c r="K477" s="8" t="str">
        <f>IF($A477="","",UPPER(TRIM(INDEX(FORM!$J:$J,ROW()))))</f>
        <v/>
      </c>
      <c r="L477" s="8" t="str">
        <f>IF($A477="","",IF(ISNUMBER(SEARCH("Aktivitas Harian",INDEX(FORM!$K:$K,ROW()))),1,0))</f>
        <v/>
      </c>
      <c r="M477" s="8" t="str">
        <f>IF($A477="","",IF(ISNUMBER(SEARCH("Aktivitas Mingguan",INDEX(FORM!$K:$K,ROW()))),1,0))</f>
        <v/>
      </c>
      <c r="N477" s="8" t="str">
        <f>IF($A477="","",IF(ISNUMBER(SEARCH("Aktivitas Bulanan",INDEX(FORM!$K:$K,ROW()))),1,0))</f>
        <v/>
      </c>
      <c r="O477" s="8" t="str">
        <f>IF($A477="","",IF(ISNUMBER(SEARCH("Overview Cabang",INDEX(FORM!$K:$K,ROW()))),1,0))</f>
        <v/>
      </c>
      <c r="P477" s="8" t="str">
        <f>IF($A477="","",IFERROR(VLOOKUP(I477,DATA!$AH$9:$AI$13,2,0),""))</f>
        <v/>
      </c>
      <c r="Q477" s="8" t="str">
        <f>IF($A477="","",IFERROR(VLOOKUP(J477,DATA!$AH$9:$AI$13,2,0),""))</f>
        <v/>
      </c>
      <c r="R477" s="8" t="str">
        <f>IF($A477="","",IFERROR(VLOOKUP(K477,DATA!$AH$9:$AI$13,2,0),""))</f>
        <v/>
      </c>
      <c r="S477" s="42" t="str">
        <f t="shared" si="154"/>
        <v/>
      </c>
      <c r="T477" s="8" t="str">
        <f>IF($A477="","",IF(COUNTIF($D$2:D477,D477)=1,1,0))</f>
        <v/>
      </c>
      <c r="U477" s="8" t="str">
        <f>IF($A477="","",IF(F477="-","Cabang tdk ada",IF(IFERROR(VLOOKUP(G477,#REF!,1,0),"")="","",IF(INDEX(DATA!$AH$2:$AH$5,MATCH(G477,DATA!$AI$2:$AI$5,0))&lt;&gt;F477,"Wilayah beda","OK"))))</f>
        <v/>
      </c>
      <c r="V477" s="8" t="str">
        <f>IF($A477="","",TRIM(INDEX(FORM!$I:$I,ROW())&amp;""))</f>
        <v/>
      </c>
      <c r="W477" s="8" t="str">
        <f>IF($A477="","",TRIM(INDEX(FORM!$L:$L,ROW())&amp;""))</f>
        <v/>
      </c>
      <c r="X477" s="8" t="str">
        <f>IF($A477="","",TRIM(INDEX(FORM!$M:$M,ROW())&amp;""))</f>
        <v/>
      </c>
      <c r="Y477" s="8" t="str">
        <f>IF($A477="","",IFERROR(MATCH(F477,DATA!$AH$2:$AH$5,0),9)*10000+A477)</f>
        <v/>
      </c>
      <c r="Z477" s="8" t="str">
        <f t="shared" si="155"/>
        <v/>
      </c>
      <c r="AA477" s="8" t="str">
        <f t="shared" si="156"/>
        <v/>
      </c>
      <c r="AB477" s="8" t="str">
        <f t="shared" si="157"/>
        <v/>
      </c>
      <c r="AC477" s="8"/>
      <c r="AD477" s="8"/>
      <c r="AE477" s="8"/>
      <c r="AK477" s="5" t="str">
        <f t="shared" si="158"/>
        <v/>
      </c>
      <c r="AL477" s="5" t="str">
        <f t="shared" si="159"/>
        <v/>
      </c>
      <c r="AM477" s="5" t="str">
        <f t="shared" si="160"/>
        <v/>
      </c>
      <c r="AN477" s="5" t="str">
        <f t="shared" si="161"/>
        <v/>
      </c>
      <c r="AO477" s="5" t="str">
        <f t="shared" si="162"/>
        <v/>
      </c>
      <c r="AP477" s="5" t="str">
        <f t="shared" si="163"/>
        <v/>
      </c>
      <c r="AQ477" s="5" t="str">
        <f t="shared" si="164"/>
        <v/>
      </c>
      <c r="AR477" s="5" t="str">
        <f t="shared" si="165"/>
        <v/>
      </c>
      <c r="AS477" s="5" t="str">
        <f t="shared" si="166"/>
        <v/>
      </c>
      <c r="AT477" s="5" t="str">
        <f t="shared" si="167"/>
        <v/>
      </c>
      <c r="AU477" s="5" t="str">
        <f t="shared" si="168"/>
        <v/>
      </c>
      <c r="AV477" s="5" t="str">
        <f t="shared" si="169"/>
        <v/>
      </c>
      <c r="AW477" s="5" t="str">
        <f t="shared" si="170"/>
        <v/>
      </c>
      <c r="AX477" s="5" t="str">
        <f t="shared" si="171"/>
        <v/>
      </c>
      <c r="AY477" s="5" t="str">
        <f t="shared" si="172"/>
        <v/>
      </c>
      <c r="AZ477" s="5" t="str">
        <f t="shared" si="173"/>
        <v/>
      </c>
      <c r="BA477" s="5" t="str">
        <f t="shared" si="174"/>
        <v/>
      </c>
      <c r="BB477" s="5" t="str">
        <f t="shared" si="175"/>
        <v/>
      </c>
    </row>
    <row r="478" spans="1:54" s="5" customFormat="1" hidden="1">
      <c r="A478" s="8" t="str">
        <f>IF(INDEX(FORM!$A:$A,ROW())="","",ROW()-1)</f>
        <v/>
      </c>
      <c r="B478" s="41" t="str">
        <f>IF($A478="","",INDEX(FORM!$A:$A,ROW()))</f>
        <v/>
      </c>
      <c r="C478" s="8" t="str">
        <f>IF($A478="","",TRIM(INDEX(FORM!$B:$B,ROW())))</f>
        <v/>
      </c>
      <c r="D478" s="8" t="str">
        <f>IF($A478="","",TRIM(INDEX(FORM!$C:$C,ROW())&amp;""))</f>
        <v/>
      </c>
      <c r="E478" s="8" t="str">
        <f>IF($A478="","",UPPER(TRIM(INDEX(FORM!$D:$D,ROW()))))</f>
        <v/>
      </c>
      <c r="F478" s="8" t="str">
        <f>IF($A478="","",IFERROR(INDEX(PROGRES!$A$2:$A$92,MATCH(E478,PROGRES!$B$2:$B$92,0)),"-"))</f>
        <v/>
      </c>
      <c r="G478" s="8" t="str">
        <f>IF($A478="","",UPPER(TRIM(INDEX(FORM!$F:$F,ROW()))))</f>
        <v/>
      </c>
      <c r="H478" s="8" t="str">
        <f>IF($A478="","",UPPER(TRIM(INDEX(FORM!$E:$E,ROW()))))</f>
        <v/>
      </c>
      <c r="I478" s="8" t="str">
        <f>IF($A478="","",UPPER(TRIM(INDEX(FORM!$G:$G,ROW()))))</f>
        <v/>
      </c>
      <c r="J478" s="8" t="str">
        <f>IF($A478="","",IF(ISNUMBER(SEARCH("Ya,",INDEX(FORM!$H:$H,ROW()))),"YA",IF(ISNUMBER(SEARCH("Cukup,",INDEX(FORM!$H:$H,ROW()))),"CUKUP",IF(ISNUMBER(SEARCH("Kurang,",INDEX(FORM!$H:$H,ROW()))),"KURANG",""))))</f>
        <v/>
      </c>
      <c r="K478" s="8" t="str">
        <f>IF($A478="","",UPPER(TRIM(INDEX(FORM!$J:$J,ROW()))))</f>
        <v/>
      </c>
      <c r="L478" s="8" t="str">
        <f>IF($A478="","",IF(ISNUMBER(SEARCH("Aktivitas Harian",INDEX(FORM!$K:$K,ROW()))),1,0))</f>
        <v/>
      </c>
      <c r="M478" s="8" t="str">
        <f>IF($A478="","",IF(ISNUMBER(SEARCH("Aktivitas Mingguan",INDEX(FORM!$K:$K,ROW()))),1,0))</f>
        <v/>
      </c>
      <c r="N478" s="8" t="str">
        <f>IF($A478="","",IF(ISNUMBER(SEARCH("Aktivitas Bulanan",INDEX(FORM!$K:$K,ROW()))),1,0))</f>
        <v/>
      </c>
      <c r="O478" s="8" t="str">
        <f>IF($A478="","",IF(ISNUMBER(SEARCH("Overview Cabang",INDEX(FORM!$K:$K,ROW()))),1,0))</f>
        <v/>
      </c>
      <c r="P478" s="8" t="str">
        <f>IF($A478="","",IFERROR(VLOOKUP(I478,DATA!$AH$9:$AI$13,2,0),""))</f>
        <v/>
      </c>
      <c r="Q478" s="8" t="str">
        <f>IF($A478="","",IFERROR(VLOOKUP(J478,DATA!$AH$9:$AI$13,2,0),""))</f>
        <v/>
      </c>
      <c r="R478" s="8" t="str">
        <f>IF($A478="","",IFERROR(VLOOKUP(K478,DATA!$AH$9:$AI$13,2,0),""))</f>
        <v/>
      </c>
      <c r="S478" s="42" t="str">
        <f t="shared" si="154"/>
        <v/>
      </c>
      <c r="T478" s="8" t="str">
        <f>IF($A478="","",IF(COUNTIF($D$2:D478,D478)=1,1,0))</f>
        <v/>
      </c>
      <c r="U478" s="8" t="str">
        <f>IF($A478="","",IF(F478="-","Cabang tdk ada",IF(IFERROR(VLOOKUP(G478,#REF!,1,0),"")="","",IF(INDEX(DATA!$AH$2:$AH$5,MATCH(G478,DATA!$AI$2:$AI$5,0))&lt;&gt;F478,"Wilayah beda","OK"))))</f>
        <v/>
      </c>
      <c r="V478" s="8" t="str">
        <f>IF($A478="","",TRIM(INDEX(FORM!$I:$I,ROW())&amp;""))</f>
        <v/>
      </c>
      <c r="W478" s="8" t="str">
        <f>IF($A478="","",TRIM(INDEX(FORM!$L:$L,ROW())&amp;""))</f>
        <v/>
      </c>
      <c r="X478" s="8" t="str">
        <f>IF($A478="","",TRIM(INDEX(FORM!$M:$M,ROW())&amp;""))</f>
        <v/>
      </c>
      <c r="Y478" s="8" t="str">
        <f>IF($A478="","",IFERROR(MATCH(F478,DATA!$AH$2:$AH$5,0),9)*10000+A478)</f>
        <v/>
      </c>
      <c r="Z478" s="8" t="str">
        <f t="shared" si="155"/>
        <v/>
      </c>
      <c r="AA478" s="8" t="str">
        <f t="shared" si="156"/>
        <v/>
      </c>
      <c r="AB478" s="8" t="str">
        <f t="shared" si="157"/>
        <v/>
      </c>
      <c r="AC478" s="8"/>
      <c r="AD478" s="8"/>
      <c r="AE478" s="8"/>
      <c r="AK478" s="5" t="str">
        <f t="shared" si="158"/>
        <v/>
      </c>
      <c r="AL478" s="5" t="str">
        <f t="shared" si="159"/>
        <v/>
      </c>
      <c r="AM478" s="5" t="str">
        <f t="shared" si="160"/>
        <v/>
      </c>
      <c r="AN478" s="5" t="str">
        <f t="shared" si="161"/>
        <v/>
      </c>
      <c r="AO478" s="5" t="str">
        <f t="shared" si="162"/>
        <v/>
      </c>
      <c r="AP478" s="5" t="str">
        <f t="shared" si="163"/>
        <v/>
      </c>
      <c r="AQ478" s="5" t="str">
        <f t="shared" si="164"/>
        <v/>
      </c>
      <c r="AR478" s="5" t="str">
        <f t="shared" si="165"/>
        <v/>
      </c>
      <c r="AS478" s="5" t="str">
        <f t="shared" si="166"/>
        <v/>
      </c>
      <c r="AT478" s="5" t="str">
        <f t="shared" si="167"/>
        <v/>
      </c>
      <c r="AU478" s="5" t="str">
        <f t="shared" si="168"/>
        <v/>
      </c>
      <c r="AV478" s="5" t="str">
        <f t="shared" si="169"/>
        <v/>
      </c>
      <c r="AW478" s="5" t="str">
        <f t="shared" si="170"/>
        <v/>
      </c>
      <c r="AX478" s="5" t="str">
        <f t="shared" si="171"/>
        <v/>
      </c>
      <c r="AY478" s="5" t="str">
        <f t="shared" si="172"/>
        <v/>
      </c>
      <c r="AZ478" s="5" t="str">
        <f t="shared" si="173"/>
        <v/>
      </c>
      <c r="BA478" s="5" t="str">
        <f t="shared" si="174"/>
        <v/>
      </c>
      <c r="BB478" s="5" t="str">
        <f t="shared" si="175"/>
        <v/>
      </c>
    </row>
    <row r="479" spans="1:54" s="5" customFormat="1" hidden="1">
      <c r="A479" s="8" t="str">
        <f>IF(INDEX(FORM!$A:$A,ROW())="","",ROW()-1)</f>
        <v/>
      </c>
      <c r="B479" s="41" t="str">
        <f>IF($A479="","",INDEX(FORM!$A:$A,ROW()))</f>
        <v/>
      </c>
      <c r="C479" s="8" t="str">
        <f>IF($A479="","",TRIM(INDEX(FORM!$B:$B,ROW())))</f>
        <v/>
      </c>
      <c r="D479" s="8" t="str">
        <f>IF($A479="","",TRIM(INDEX(FORM!$C:$C,ROW())&amp;""))</f>
        <v/>
      </c>
      <c r="E479" s="8" t="str">
        <f>IF($A479="","",UPPER(TRIM(INDEX(FORM!$D:$D,ROW()))))</f>
        <v/>
      </c>
      <c r="F479" s="8" t="str">
        <f>IF($A479="","",IFERROR(INDEX(PROGRES!$A$2:$A$92,MATCH(E479,PROGRES!$B$2:$B$92,0)),"-"))</f>
        <v/>
      </c>
      <c r="G479" s="8" t="str">
        <f>IF($A479="","",UPPER(TRIM(INDEX(FORM!$F:$F,ROW()))))</f>
        <v/>
      </c>
      <c r="H479" s="8" t="str">
        <f>IF($A479="","",UPPER(TRIM(INDEX(FORM!$E:$E,ROW()))))</f>
        <v/>
      </c>
      <c r="I479" s="8" t="str">
        <f>IF($A479="","",UPPER(TRIM(INDEX(FORM!$G:$G,ROW()))))</f>
        <v/>
      </c>
      <c r="J479" s="8" t="str">
        <f>IF($A479="","",IF(ISNUMBER(SEARCH("Ya,",INDEX(FORM!$H:$H,ROW()))),"YA",IF(ISNUMBER(SEARCH("Cukup,",INDEX(FORM!$H:$H,ROW()))),"CUKUP",IF(ISNUMBER(SEARCH("Kurang,",INDEX(FORM!$H:$H,ROW()))),"KURANG",""))))</f>
        <v/>
      </c>
      <c r="K479" s="8" t="str">
        <f>IF($A479="","",UPPER(TRIM(INDEX(FORM!$J:$J,ROW()))))</f>
        <v/>
      </c>
      <c r="L479" s="8" t="str">
        <f>IF($A479="","",IF(ISNUMBER(SEARCH("Aktivitas Harian",INDEX(FORM!$K:$K,ROW()))),1,0))</f>
        <v/>
      </c>
      <c r="M479" s="8" t="str">
        <f>IF($A479="","",IF(ISNUMBER(SEARCH("Aktivitas Mingguan",INDEX(FORM!$K:$K,ROW()))),1,0))</f>
        <v/>
      </c>
      <c r="N479" s="8" t="str">
        <f>IF($A479="","",IF(ISNUMBER(SEARCH("Aktivitas Bulanan",INDEX(FORM!$K:$K,ROW()))),1,0))</f>
        <v/>
      </c>
      <c r="O479" s="8" t="str">
        <f>IF($A479="","",IF(ISNUMBER(SEARCH("Overview Cabang",INDEX(FORM!$K:$K,ROW()))),1,0))</f>
        <v/>
      </c>
      <c r="P479" s="8" t="str">
        <f>IF($A479="","",IFERROR(VLOOKUP(I479,DATA!$AH$9:$AI$13,2,0),""))</f>
        <v/>
      </c>
      <c r="Q479" s="8" t="str">
        <f>IF($A479="","",IFERROR(VLOOKUP(J479,DATA!$AH$9:$AI$13,2,0),""))</f>
        <v/>
      </c>
      <c r="R479" s="8" t="str">
        <f>IF($A479="","",IFERROR(VLOOKUP(K479,DATA!$AH$9:$AI$13,2,0),""))</f>
        <v/>
      </c>
      <c r="S479" s="42" t="str">
        <f t="shared" si="154"/>
        <v/>
      </c>
      <c r="T479" s="8" t="str">
        <f>IF($A479="","",IF(COUNTIF($D$2:D479,D479)=1,1,0))</f>
        <v/>
      </c>
      <c r="U479" s="8" t="str">
        <f>IF($A479="","",IF(F479="-","Cabang tdk ada",IF(IFERROR(VLOOKUP(G479,#REF!,1,0),"")="","",IF(INDEX(DATA!$AH$2:$AH$5,MATCH(G479,DATA!$AI$2:$AI$5,0))&lt;&gt;F479,"Wilayah beda","OK"))))</f>
        <v/>
      </c>
      <c r="V479" s="8" t="str">
        <f>IF($A479="","",TRIM(INDEX(FORM!$I:$I,ROW())&amp;""))</f>
        <v/>
      </c>
      <c r="W479" s="8" t="str">
        <f>IF($A479="","",TRIM(INDEX(FORM!$L:$L,ROW())&amp;""))</f>
        <v/>
      </c>
      <c r="X479" s="8" t="str">
        <f>IF($A479="","",TRIM(INDEX(FORM!$M:$M,ROW())&amp;""))</f>
        <v/>
      </c>
      <c r="Y479" s="8" t="str">
        <f>IF($A479="","",IFERROR(MATCH(F479,DATA!$AH$2:$AH$5,0),9)*10000+A479)</f>
        <v/>
      </c>
      <c r="Z479" s="8" t="str">
        <f t="shared" si="155"/>
        <v/>
      </c>
      <c r="AA479" s="8" t="str">
        <f t="shared" si="156"/>
        <v/>
      </c>
      <c r="AB479" s="8" t="str">
        <f t="shared" si="157"/>
        <v/>
      </c>
      <c r="AC479" s="8"/>
      <c r="AD479" s="8"/>
      <c r="AE479" s="8"/>
      <c r="AK479" s="5" t="str">
        <f t="shared" si="158"/>
        <v/>
      </c>
      <c r="AL479" s="5" t="str">
        <f t="shared" si="159"/>
        <v/>
      </c>
      <c r="AM479" s="5" t="str">
        <f t="shared" si="160"/>
        <v/>
      </c>
      <c r="AN479" s="5" t="str">
        <f t="shared" si="161"/>
        <v/>
      </c>
      <c r="AO479" s="5" t="str">
        <f t="shared" si="162"/>
        <v/>
      </c>
      <c r="AP479" s="5" t="str">
        <f t="shared" si="163"/>
        <v/>
      </c>
      <c r="AQ479" s="5" t="str">
        <f t="shared" si="164"/>
        <v/>
      </c>
      <c r="AR479" s="5" t="str">
        <f t="shared" si="165"/>
        <v/>
      </c>
      <c r="AS479" s="5" t="str">
        <f t="shared" si="166"/>
        <v/>
      </c>
      <c r="AT479" s="5" t="str">
        <f t="shared" si="167"/>
        <v/>
      </c>
      <c r="AU479" s="5" t="str">
        <f t="shared" si="168"/>
        <v/>
      </c>
      <c r="AV479" s="5" t="str">
        <f t="shared" si="169"/>
        <v/>
      </c>
      <c r="AW479" s="5" t="str">
        <f t="shared" si="170"/>
        <v/>
      </c>
      <c r="AX479" s="5" t="str">
        <f t="shared" si="171"/>
        <v/>
      </c>
      <c r="AY479" s="5" t="str">
        <f t="shared" si="172"/>
        <v/>
      </c>
      <c r="AZ479" s="5" t="str">
        <f t="shared" si="173"/>
        <v/>
      </c>
      <c r="BA479" s="5" t="str">
        <f t="shared" si="174"/>
        <v/>
      </c>
      <c r="BB479" s="5" t="str">
        <f t="shared" si="175"/>
        <v/>
      </c>
    </row>
    <row r="480" spans="1:54" s="5" customFormat="1" hidden="1">
      <c r="A480" s="8" t="str">
        <f>IF(INDEX(FORM!$A:$A,ROW())="","",ROW()-1)</f>
        <v/>
      </c>
      <c r="B480" s="41" t="str">
        <f>IF($A480="","",INDEX(FORM!$A:$A,ROW()))</f>
        <v/>
      </c>
      <c r="C480" s="8" t="str">
        <f>IF($A480="","",TRIM(INDEX(FORM!$B:$B,ROW())))</f>
        <v/>
      </c>
      <c r="D480" s="8" t="str">
        <f>IF($A480="","",TRIM(INDEX(FORM!$C:$C,ROW())&amp;""))</f>
        <v/>
      </c>
      <c r="E480" s="8" t="str">
        <f>IF($A480="","",UPPER(TRIM(INDEX(FORM!$D:$D,ROW()))))</f>
        <v/>
      </c>
      <c r="F480" s="8" t="str">
        <f>IF($A480="","",IFERROR(INDEX(PROGRES!$A$2:$A$92,MATCH(E480,PROGRES!$B$2:$B$92,0)),"-"))</f>
        <v/>
      </c>
      <c r="G480" s="8" t="str">
        <f>IF($A480="","",UPPER(TRIM(INDEX(FORM!$F:$F,ROW()))))</f>
        <v/>
      </c>
      <c r="H480" s="8" t="str">
        <f>IF($A480="","",UPPER(TRIM(INDEX(FORM!$E:$E,ROW()))))</f>
        <v/>
      </c>
      <c r="I480" s="8" t="str">
        <f>IF($A480="","",UPPER(TRIM(INDEX(FORM!$G:$G,ROW()))))</f>
        <v/>
      </c>
      <c r="J480" s="8" t="str">
        <f>IF($A480="","",IF(ISNUMBER(SEARCH("Ya,",INDEX(FORM!$H:$H,ROW()))),"YA",IF(ISNUMBER(SEARCH("Cukup,",INDEX(FORM!$H:$H,ROW()))),"CUKUP",IF(ISNUMBER(SEARCH("Kurang,",INDEX(FORM!$H:$H,ROW()))),"KURANG",""))))</f>
        <v/>
      </c>
      <c r="K480" s="8" t="str">
        <f>IF($A480="","",UPPER(TRIM(INDEX(FORM!$J:$J,ROW()))))</f>
        <v/>
      </c>
      <c r="L480" s="8" t="str">
        <f>IF($A480="","",IF(ISNUMBER(SEARCH("Aktivitas Harian",INDEX(FORM!$K:$K,ROW()))),1,0))</f>
        <v/>
      </c>
      <c r="M480" s="8" t="str">
        <f>IF($A480="","",IF(ISNUMBER(SEARCH("Aktivitas Mingguan",INDEX(FORM!$K:$K,ROW()))),1,0))</f>
        <v/>
      </c>
      <c r="N480" s="8" t="str">
        <f>IF($A480="","",IF(ISNUMBER(SEARCH("Aktivitas Bulanan",INDEX(FORM!$K:$K,ROW()))),1,0))</f>
        <v/>
      </c>
      <c r="O480" s="8" t="str">
        <f>IF($A480="","",IF(ISNUMBER(SEARCH("Overview Cabang",INDEX(FORM!$K:$K,ROW()))),1,0))</f>
        <v/>
      </c>
      <c r="P480" s="8" t="str">
        <f>IF($A480="","",IFERROR(VLOOKUP(I480,DATA!$AH$9:$AI$13,2,0),""))</f>
        <v/>
      </c>
      <c r="Q480" s="8" t="str">
        <f>IF($A480="","",IFERROR(VLOOKUP(J480,DATA!$AH$9:$AI$13,2,0),""))</f>
        <v/>
      </c>
      <c r="R480" s="8" t="str">
        <f>IF($A480="","",IFERROR(VLOOKUP(K480,DATA!$AH$9:$AI$13,2,0),""))</f>
        <v/>
      </c>
      <c r="S480" s="42" t="str">
        <f t="shared" si="154"/>
        <v/>
      </c>
      <c r="T480" s="8" t="str">
        <f>IF($A480="","",IF(COUNTIF($D$2:D480,D480)=1,1,0))</f>
        <v/>
      </c>
      <c r="U480" s="8" t="str">
        <f>IF($A480="","",IF(F480="-","Cabang tdk ada",IF(IFERROR(VLOOKUP(G480,#REF!,1,0),"")="","",IF(INDEX(DATA!$AH$2:$AH$5,MATCH(G480,DATA!$AI$2:$AI$5,0))&lt;&gt;F480,"Wilayah beda","OK"))))</f>
        <v/>
      </c>
      <c r="V480" s="8" t="str">
        <f>IF($A480="","",TRIM(INDEX(FORM!$I:$I,ROW())&amp;""))</f>
        <v/>
      </c>
      <c r="W480" s="8" t="str">
        <f>IF($A480="","",TRIM(INDEX(FORM!$L:$L,ROW())&amp;""))</f>
        <v/>
      </c>
      <c r="X480" s="8" t="str">
        <f>IF($A480="","",TRIM(INDEX(FORM!$M:$M,ROW())&amp;""))</f>
        <v/>
      </c>
      <c r="Y480" s="8" t="str">
        <f>IF($A480="","",IFERROR(MATCH(F480,DATA!$AH$2:$AH$5,0),9)*10000+A480)</f>
        <v/>
      </c>
      <c r="Z480" s="8" t="str">
        <f t="shared" si="155"/>
        <v/>
      </c>
      <c r="AA480" s="8" t="str">
        <f t="shared" si="156"/>
        <v/>
      </c>
      <c r="AB480" s="8" t="str">
        <f t="shared" si="157"/>
        <v/>
      </c>
      <c r="AC480" s="8"/>
      <c r="AD480" s="8"/>
      <c r="AE480" s="8"/>
      <c r="AK480" s="5" t="str">
        <f t="shared" si="158"/>
        <v/>
      </c>
      <c r="AL480" s="5" t="str">
        <f t="shared" si="159"/>
        <v/>
      </c>
      <c r="AM480" s="5" t="str">
        <f t="shared" si="160"/>
        <v/>
      </c>
      <c r="AN480" s="5" t="str">
        <f t="shared" si="161"/>
        <v/>
      </c>
      <c r="AO480" s="5" t="str">
        <f t="shared" si="162"/>
        <v/>
      </c>
      <c r="AP480" s="5" t="str">
        <f t="shared" si="163"/>
        <v/>
      </c>
      <c r="AQ480" s="5" t="str">
        <f t="shared" si="164"/>
        <v/>
      </c>
      <c r="AR480" s="5" t="str">
        <f t="shared" si="165"/>
        <v/>
      </c>
      <c r="AS480" s="5" t="str">
        <f t="shared" si="166"/>
        <v/>
      </c>
      <c r="AT480" s="5" t="str">
        <f t="shared" si="167"/>
        <v/>
      </c>
      <c r="AU480" s="5" t="str">
        <f t="shared" si="168"/>
        <v/>
      </c>
      <c r="AV480" s="5" t="str">
        <f t="shared" si="169"/>
        <v/>
      </c>
      <c r="AW480" s="5" t="str">
        <f t="shared" si="170"/>
        <v/>
      </c>
      <c r="AX480" s="5" t="str">
        <f t="shared" si="171"/>
        <v/>
      </c>
      <c r="AY480" s="5" t="str">
        <f t="shared" si="172"/>
        <v/>
      </c>
      <c r="AZ480" s="5" t="str">
        <f t="shared" si="173"/>
        <v/>
      </c>
      <c r="BA480" s="5" t="str">
        <f t="shared" si="174"/>
        <v/>
      </c>
      <c r="BB480" s="5" t="str">
        <f t="shared" si="175"/>
        <v/>
      </c>
    </row>
    <row r="481" spans="1:54" s="5" customFormat="1" hidden="1">
      <c r="A481" s="8" t="str">
        <f>IF(INDEX(FORM!$A:$A,ROW())="","",ROW()-1)</f>
        <v/>
      </c>
      <c r="B481" s="41" t="str">
        <f>IF($A481="","",INDEX(FORM!$A:$A,ROW()))</f>
        <v/>
      </c>
      <c r="C481" s="8" t="str">
        <f>IF($A481="","",TRIM(INDEX(FORM!$B:$B,ROW())))</f>
        <v/>
      </c>
      <c r="D481" s="8" t="str">
        <f>IF($A481="","",TRIM(INDEX(FORM!$C:$C,ROW())&amp;""))</f>
        <v/>
      </c>
      <c r="E481" s="8" t="str">
        <f>IF($A481="","",UPPER(TRIM(INDEX(FORM!$D:$D,ROW()))))</f>
        <v/>
      </c>
      <c r="F481" s="8" t="str">
        <f>IF($A481="","",IFERROR(INDEX(PROGRES!$A$2:$A$92,MATCH(E481,PROGRES!$B$2:$B$92,0)),"-"))</f>
        <v/>
      </c>
      <c r="G481" s="8" t="str">
        <f>IF($A481="","",UPPER(TRIM(INDEX(FORM!$F:$F,ROW()))))</f>
        <v/>
      </c>
      <c r="H481" s="8" t="str">
        <f>IF($A481="","",UPPER(TRIM(INDEX(FORM!$E:$E,ROW()))))</f>
        <v/>
      </c>
      <c r="I481" s="8" t="str">
        <f>IF($A481="","",UPPER(TRIM(INDEX(FORM!$G:$G,ROW()))))</f>
        <v/>
      </c>
      <c r="J481" s="8" t="str">
        <f>IF($A481="","",IF(ISNUMBER(SEARCH("Ya,",INDEX(FORM!$H:$H,ROW()))),"YA",IF(ISNUMBER(SEARCH("Cukup,",INDEX(FORM!$H:$H,ROW()))),"CUKUP",IF(ISNUMBER(SEARCH("Kurang,",INDEX(FORM!$H:$H,ROW()))),"KURANG",""))))</f>
        <v/>
      </c>
      <c r="K481" s="8" t="str">
        <f>IF($A481="","",UPPER(TRIM(INDEX(FORM!$J:$J,ROW()))))</f>
        <v/>
      </c>
      <c r="L481" s="8" t="str">
        <f>IF($A481="","",IF(ISNUMBER(SEARCH("Aktivitas Harian",INDEX(FORM!$K:$K,ROW()))),1,0))</f>
        <v/>
      </c>
      <c r="M481" s="8" t="str">
        <f>IF($A481="","",IF(ISNUMBER(SEARCH("Aktivitas Mingguan",INDEX(FORM!$K:$K,ROW()))),1,0))</f>
        <v/>
      </c>
      <c r="N481" s="8" t="str">
        <f>IF($A481="","",IF(ISNUMBER(SEARCH("Aktivitas Bulanan",INDEX(FORM!$K:$K,ROW()))),1,0))</f>
        <v/>
      </c>
      <c r="O481" s="8" t="str">
        <f>IF($A481="","",IF(ISNUMBER(SEARCH("Overview Cabang",INDEX(FORM!$K:$K,ROW()))),1,0))</f>
        <v/>
      </c>
      <c r="P481" s="8" t="str">
        <f>IF($A481="","",IFERROR(VLOOKUP(I481,DATA!$AH$9:$AI$13,2,0),""))</f>
        <v/>
      </c>
      <c r="Q481" s="8" t="str">
        <f>IF($A481="","",IFERROR(VLOOKUP(J481,DATA!$AH$9:$AI$13,2,0),""))</f>
        <v/>
      </c>
      <c r="R481" s="8" t="str">
        <f>IF($A481="","",IFERROR(VLOOKUP(K481,DATA!$AH$9:$AI$13,2,0),""))</f>
        <v/>
      </c>
      <c r="S481" s="42" t="str">
        <f t="shared" si="154"/>
        <v/>
      </c>
      <c r="T481" s="8" t="str">
        <f>IF($A481="","",IF(COUNTIF($D$2:D481,D481)=1,1,0))</f>
        <v/>
      </c>
      <c r="U481" s="8" t="str">
        <f>IF($A481="","",IF(F481="-","Cabang tdk ada",IF(IFERROR(VLOOKUP(G481,#REF!,1,0),"")="","",IF(INDEX(DATA!$AH$2:$AH$5,MATCH(G481,DATA!$AI$2:$AI$5,0))&lt;&gt;F481,"Wilayah beda","OK"))))</f>
        <v/>
      </c>
      <c r="V481" s="8" t="str">
        <f>IF($A481="","",TRIM(INDEX(FORM!$I:$I,ROW())&amp;""))</f>
        <v/>
      </c>
      <c r="W481" s="8" t="str">
        <f>IF($A481="","",TRIM(INDEX(FORM!$L:$L,ROW())&amp;""))</f>
        <v/>
      </c>
      <c r="X481" s="8" t="str">
        <f>IF($A481="","",TRIM(INDEX(FORM!$M:$M,ROW())&amp;""))</f>
        <v/>
      </c>
      <c r="Y481" s="8" t="str">
        <f>IF($A481="","",IFERROR(MATCH(F481,DATA!$AH$2:$AH$5,0),9)*10000+A481)</f>
        <v/>
      </c>
      <c r="Z481" s="8" t="str">
        <f t="shared" si="155"/>
        <v/>
      </c>
      <c r="AA481" s="8" t="str">
        <f t="shared" si="156"/>
        <v/>
      </c>
      <c r="AB481" s="8" t="str">
        <f t="shared" si="157"/>
        <v/>
      </c>
      <c r="AC481" s="8"/>
      <c r="AD481" s="8"/>
      <c r="AE481" s="8"/>
      <c r="AK481" s="5" t="str">
        <f t="shared" si="158"/>
        <v/>
      </c>
      <c r="AL481" s="5" t="str">
        <f t="shared" si="159"/>
        <v/>
      </c>
      <c r="AM481" s="5" t="str">
        <f t="shared" si="160"/>
        <v/>
      </c>
      <c r="AN481" s="5" t="str">
        <f t="shared" si="161"/>
        <v/>
      </c>
      <c r="AO481" s="5" t="str">
        <f t="shared" si="162"/>
        <v/>
      </c>
      <c r="AP481" s="5" t="str">
        <f t="shared" si="163"/>
        <v/>
      </c>
      <c r="AQ481" s="5" t="str">
        <f t="shared" si="164"/>
        <v/>
      </c>
      <c r="AR481" s="5" t="str">
        <f t="shared" si="165"/>
        <v/>
      </c>
      <c r="AS481" s="5" t="str">
        <f t="shared" si="166"/>
        <v/>
      </c>
      <c r="AT481" s="5" t="str">
        <f t="shared" si="167"/>
        <v/>
      </c>
      <c r="AU481" s="5" t="str">
        <f t="shared" si="168"/>
        <v/>
      </c>
      <c r="AV481" s="5" t="str">
        <f t="shared" si="169"/>
        <v/>
      </c>
      <c r="AW481" s="5" t="str">
        <f t="shared" si="170"/>
        <v/>
      </c>
      <c r="AX481" s="5" t="str">
        <f t="shared" si="171"/>
        <v/>
      </c>
      <c r="AY481" s="5" t="str">
        <f t="shared" si="172"/>
        <v/>
      </c>
      <c r="AZ481" s="5" t="str">
        <f t="shared" si="173"/>
        <v/>
      </c>
      <c r="BA481" s="5" t="str">
        <f t="shared" si="174"/>
        <v/>
      </c>
      <c r="BB481" s="5" t="str">
        <f t="shared" si="175"/>
        <v/>
      </c>
    </row>
    <row r="482" spans="1:54" s="5" customFormat="1" hidden="1">
      <c r="A482" s="8" t="str">
        <f>IF(INDEX(FORM!$A:$A,ROW())="","",ROW()-1)</f>
        <v/>
      </c>
      <c r="B482" s="41" t="str">
        <f>IF($A482="","",INDEX(FORM!$A:$A,ROW()))</f>
        <v/>
      </c>
      <c r="C482" s="8" t="str">
        <f>IF($A482="","",TRIM(INDEX(FORM!$B:$B,ROW())))</f>
        <v/>
      </c>
      <c r="D482" s="8" t="str">
        <f>IF($A482="","",TRIM(INDEX(FORM!$C:$C,ROW())&amp;""))</f>
        <v/>
      </c>
      <c r="E482" s="8" t="str">
        <f>IF($A482="","",UPPER(TRIM(INDEX(FORM!$D:$D,ROW()))))</f>
        <v/>
      </c>
      <c r="F482" s="8" t="str">
        <f>IF($A482="","",IFERROR(INDEX(PROGRES!$A$2:$A$92,MATCH(E482,PROGRES!$B$2:$B$92,0)),"-"))</f>
        <v/>
      </c>
      <c r="G482" s="8" t="str">
        <f>IF($A482="","",UPPER(TRIM(INDEX(FORM!$F:$F,ROW()))))</f>
        <v/>
      </c>
      <c r="H482" s="8" t="str">
        <f>IF($A482="","",UPPER(TRIM(INDEX(FORM!$E:$E,ROW()))))</f>
        <v/>
      </c>
      <c r="I482" s="8" t="str">
        <f>IF($A482="","",UPPER(TRIM(INDEX(FORM!$G:$G,ROW()))))</f>
        <v/>
      </c>
      <c r="J482" s="8" t="str">
        <f>IF($A482="","",IF(ISNUMBER(SEARCH("Ya,",INDEX(FORM!$H:$H,ROW()))),"YA",IF(ISNUMBER(SEARCH("Cukup,",INDEX(FORM!$H:$H,ROW()))),"CUKUP",IF(ISNUMBER(SEARCH("Kurang,",INDEX(FORM!$H:$H,ROW()))),"KURANG",""))))</f>
        <v/>
      </c>
      <c r="K482" s="8" t="str">
        <f>IF($A482="","",UPPER(TRIM(INDEX(FORM!$J:$J,ROW()))))</f>
        <v/>
      </c>
      <c r="L482" s="8" t="str">
        <f>IF($A482="","",IF(ISNUMBER(SEARCH("Aktivitas Harian",INDEX(FORM!$K:$K,ROW()))),1,0))</f>
        <v/>
      </c>
      <c r="M482" s="8" t="str">
        <f>IF($A482="","",IF(ISNUMBER(SEARCH("Aktivitas Mingguan",INDEX(FORM!$K:$K,ROW()))),1,0))</f>
        <v/>
      </c>
      <c r="N482" s="8" t="str">
        <f>IF($A482="","",IF(ISNUMBER(SEARCH("Aktivitas Bulanan",INDEX(FORM!$K:$K,ROW()))),1,0))</f>
        <v/>
      </c>
      <c r="O482" s="8" t="str">
        <f>IF($A482="","",IF(ISNUMBER(SEARCH("Overview Cabang",INDEX(FORM!$K:$K,ROW()))),1,0))</f>
        <v/>
      </c>
      <c r="P482" s="8" t="str">
        <f>IF($A482="","",IFERROR(VLOOKUP(I482,DATA!$AH$9:$AI$13,2,0),""))</f>
        <v/>
      </c>
      <c r="Q482" s="8" t="str">
        <f>IF($A482="","",IFERROR(VLOOKUP(J482,DATA!$AH$9:$AI$13,2,0),""))</f>
        <v/>
      </c>
      <c r="R482" s="8" t="str">
        <f>IF($A482="","",IFERROR(VLOOKUP(K482,DATA!$AH$9:$AI$13,2,0),""))</f>
        <v/>
      </c>
      <c r="S482" s="42" t="str">
        <f t="shared" si="154"/>
        <v/>
      </c>
      <c r="T482" s="8" t="str">
        <f>IF($A482="","",IF(COUNTIF($D$2:D482,D482)=1,1,0))</f>
        <v/>
      </c>
      <c r="U482" s="8" t="str">
        <f>IF($A482="","",IF(F482="-","Cabang tdk ada",IF(IFERROR(VLOOKUP(G482,#REF!,1,0),"")="","",IF(INDEX(DATA!$AH$2:$AH$5,MATCH(G482,DATA!$AI$2:$AI$5,0))&lt;&gt;F482,"Wilayah beda","OK"))))</f>
        <v/>
      </c>
      <c r="V482" s="8" t="str">
        <f>IF($A482="","",TRIM(INDEX(FORM!$I:$I,ROW())&amp;""))</f>
        <v/>
      </c>
      <c r="W482" s="8" t="str">
        <f>IF($A482="","",TRIM(INDEX(FORM!$L:$L,ROW())&amp;""))</f>
        <v/>
      </c>
      <c r="X482" s="8" t="str">
        <f>IF($A482="","",TRIM(INDEX(FORM!$M:$M,ROW())&amp;""))</f>
        <v/>
      </c>
      <c r="Y482" s="8" t="str">
        <f>IF($A482="","",IFERROR(MATCH(F482,DATA!$AH$2:$AH$5,0),9)*10000+A482)</f>
        <v/>
      </c>
      <c r="Z482" s="8" t="str">
        <f t="shared" si="155"/>
        <v/>
      </c>
      <c r="AA482" s="8" t="str">
        <f t="shared" si="156"/>
        <v/>
      </c>
      <c r="AB482" s="8" t="str">
        <f t="shared" si="157"/>
        <v/>
      </c>
      <c r="AC482" s="8"/>
      <c r="AD482" s="8"/>
      <c r="AE482" s="8"/>
      <c r="AK482" s="5" t="str">
        <f t="shared" si="158"/>
        <v/>
      </c>
      <c r="AL482" s="5" t="str">
        <f t="shared" si="159"/>
        <v/>
      </c>
      <c r="AM482" s="5" t="str">
        <f t="shared" si="160"/>
        <v/>
      </c>
      <c r="AN482" s="5" t="str">
        <f t="shared" si="161"/>
        <v/>
      </c>
      <c r="AO482" s="5" t="str">
        <f t="shared" si="162"/>
        <v/>
      </c>
      <c r="AP482" s="5" t="str">
        <f t="shared" si="163"/>
        <v/>
      </c>
      <c r="AQ482" s="5" t="str">
        <f t="shared" si="164"/>
        <v/>
      </c>
      <c r="AR482" s="5" t="str">
        <f t="shared" si="165"/>
        <v/>
      </c>
      <c r="AS482" s="5" t="str">
        <f t="shared" si="166"/>
        <v/>
      </c>
      <c r="AT482" s="5" t="str">
        <f t="shared" si="167"/>
        <v/>
      </c>
      <c r="AU482" s="5" t="str">
        <f t="shared" si="168"/>
        <v/>
      </c>
      <c r="AV482" s="5" t="str">
        <f t="shared" si="169"/>
        <v/>
      </c>
      <c r="AW482" s="5" t="str">
        <f t="shared" si="170"/>
        <v/>
      </c>
      <c r="AX482" s="5" t="str">
        <f t="shared" si="171"/>
        <v/>
      </c>
      <c r="AY482" s="5" t="str">
        <f t="shared" si="172"/>
        <v/>
      </c>
      <c r="AZ482" s="5" t="str">
        <f t="shared" si="173"/>
        <v/>
      </c>
      <c r="BA482" s="5" t="str">
        <f t="shared" si="174"/>
        <v/>
      </c>
      <c r="BB482" s="5" t="str">
        <f t="shared" si="175"/>
        <v/>
      </c>
    </row>
    <row r="483" spans="1:54" s="5" customFormat="1" hidden="1">
      <c r="A483" s="8" t="str">
        <f>IF(INDEX(FORM!$A:$A,ROW())="","",ROW()-1)</f>
        <v/>
      </c>
      <c r="B483" s="41" t="str">
        <f>IF($A483="","",INDEX(FORM!$A:$A,ROW()))</f>
        <v/>
      </c>
      <c r="C483" s="8" t="str">
        <f>IF($A483="","",TRIM(INDEX(FORM!$B:$B,ROW())))</f>
        <v/>
      </c>
      <c r="D483" s="8" t="str">
        <f>IF($A483="","",TRIM(INDEX(FORM!$C:$C,ROW())&amp;""))</f>
        <v/>
      </c>
      <c r="E483" s="8" t="str">
        <f>IF($A483="","",UPPER(TRIM(INDEX(FORM!$D:$D,ROW()))))</f>
        <v/>
      </c>
      <c r="F483" s="8" t="str">
        <f>IF($A483="","",IFERROR(INDEX(PROGRES!$A$2:$A$92,MATCH(E483,PROGRES!$B$2:$B$92,0)),"-"))</f>
        <v/>
      </c>
      <c r="G483" s="8" t="str">
        <f>IF($A483="","",UPPER(TRIM(INDEX(FORM!$F:$F,ROW()))))</f>
        <v/>
      </c>
      <c r="H483" s="8" t="str">
        <f>IF($A483="","",UPPER(TRIM(INDEX(FORM!$E:$E,ROW()))))</f>
        <v/>
      </c>
      <c r="I483" s="8" t="str">
        <f>IF($A483="","",UPPER(TRIM(INDEX(FORM!$G:$G,ROW()))))</f>
        <v/>
      </c>
      <c r="J483" s="8" t="str">
        <f>IF($A483="","",IF(ISNUMBER(SEARCH("Ya,",INDEX(FORM!$H:$H,ROW()))),"YA",IF(ISNUMBER(SEARCH("Cukup,",INDEX(FORM!$H:$H,ROW()))),"CUKUP",IF(ISNUMBER(SEARCH("Kurang,",INDEX(FORM!$H:$H,ROW()))),"KURANG",""))))</f>
        <v/>
      </c>
      <c r="K483" s="8" t="str">
        <f>IF($A483="","",UPPER(TRIM(INDEX(FORM!$J:$J,ROW()))))</f>
        <v/>
      </c>
      <c r="L483" s="8" t="str">
        <f>IF($A483="","",IF(ISNUMBER(SEARCH("Aktivitas Harian",INDEX(FORM!$K:$K,ROW()))),1,0))</f>
        <v/>
      </c>
      <c r="M483" s="8" t="str">
        <f>IF($A483="","",IF(ISNUMBER(SEARCH("Aktivitas Mingguan",INDEX(FORM!$K:$K,ROW()))),1,0))</f>
        <v/>
      </c>
      <c r="N483" s="8" t="str">
        <f>IF($A483="","",IF(ISNUMBER(SEARCH("Aktivitas Bulanan",INDEX(FORM!$K:$K,ROW()))),1,0))</f>
        <v/>
      </c>
      <c r="O483" s="8" t="str">
        <f>IF($A483="","",IF(ISNUMBER(SEARCH("Overview Cabang",INDEX(FORM!$K:$K,ROW()))),1,0))</f>
        <v/>
      </c>
      <c r="P483" s="8" t="str">
        <f>IF($A483="","",IFERROR(VLOOKUP(I483,DATA!$AH$9:$AI$13,2,0),""))</f>
        <v/>
      </c>
      <c r="Q483" s="8" t="str">
        <f>IF($A483="","",IFERROR(VLOOKUP(J483,DATA!$AH$9:$AI$13,2,0),""))</f>
        <v/>
      </c>
      <c r="R483" s="8" t="str">
        <f>IF($A483="","",IFERROR(VLOOKUP(K483,DATA!$AH$9:$AI$13,2,0),""))</f>
        <v/>
      </c>
      <c r="S483" s="42" t="str">
        <f t="shared" si="154"/>
        <v/>
      </c>
      <c r="T483" s="8" t="str">
        <f>IF($A483="","",IF(COUNTIF($D$2:D483,D483)=1,1,0))</f>
        <v/>
      </c>
      <c r="U483" s="8" t="str">
        <f>IF($A483="","",IF(F483="-","Cabang tdk ada",IF(IFERROR(VLOOKUP(G483,#REF!,1,0),"")="","",IF(INDEX(DATA!$AH$2:$AH$5,MATCH(G483,DATA!$AI$2:$AI$5,0))&lt;&gt;F483,"Wilayah beda","OK"))))</f>
        <v/>
      </c>
      <c r="V483" s="8" t="str">
        <f>IF($A483="","",TRIM(INDEX(FORM!$I:$I,ROW())&amp;""))</f>
        <v/>
      </c>
      <c r="W483" s="8" t="str">
        <f>IF($A483="","",TRIM(INDEX(FORM!$L:$L,ROW())&amp;""))</f>
        <v/>
      </c>
      <c r="X483" s="8" t="str">
        <f>IF($A483="","",TRIM(INDEX(FORM!$M:$M,ROW())&amp;""))</f>
        <v/>
      </c>
      <c r="Y483" s="8" t="str">
        <f>IF($A483="","",IFERROR(MATCH(F483,DATA!$AH$2:$AH$5,0),9)*10000+A483)</f>
        <v/>
      </c>
      <c r="Z483" s="8" t="str">
        <f t="shared" si="155"/>
        <v/>
      </c>
      <c r="AA483" s="8" t="str">
        <f t="shared" si="156"/>
        <v/>
      </c>
      <c r="AB483" s="8" t="str">
        <f t="shared" si="157"/>
        <v/>
      </c>
      <c r="AC483" s="8"/>
      <c r="AD483" s="8"/>
      <c r="AE483" s="8"/>
      <c r="AK483" s="5" t="str">
        <f t="shared" si="158"/>
        <v/>
      </c>
      <c r="AL483" s="5" t="str">
        <f t="shared" si="159"/>
        <v/>
      </c>
      <c r="AM483" s="5" t="str">
        <f t="shared" si="160"/>
        <v/>
      </c>
      <c r="AN483" s="5" t="str">
        <f t="shared" si="161"/>
        <v/>
      </c>
      <c r="AO483" s="5" t="str">
        <f t="shared" si="162"/>
        <v/>
      </c>
      <c r="AP483" s="5" t="str">
        <f t="shared" si="163"/>
        <v/>
      </c>
      <c r="AQ483" s="5" t="str">
        <f t="shared" si="164"/>
        <v/>
      </c>
      <c r="AR483" s="5" t="str">
        <f t="shared" si="165"/>
        <v/>
      </c>
      <c r="AS483" s="5" t="str">
        <f t="shared" si="166"/>
        <v/>
      </c>
      <c r="AT483" s="5" t="str">
        <f t="shared" si="167"/>
        <v/>
      </c>
      <c r="AU483" s="5" t="str">
        <f t="shared" si="168"/>
        <v/>
      </c>
      <c r="AV483" s="5" t="str">
        <f t="shared" si="169"/>
        <v/>
      </c>
      <c r="AW483" s="5" t="str">
        <f t="shared" si="170"/>
        <v/>
      </c>
      <c r="AX483" s="5" t="str">
        <f t="shared" si="171"/>
        <v/>
      </c>
      <c r="AY483" s="5" t="str">
        <f t="shared" si="172"/>
        <v/>
      </c>
      <c r="AZ483" s="5" t="str">
        <f t="shared" si="173"/>
        <v/>
      </c>
      <c r="BA483" s="5" t="str">
        <f t="shared" si="174"/>
        <v/>
      </c>
      <c r="BB483" s="5" t="str">
        <f t="shared" si="175"/>
        <v/>
      </c>
    </row>
    <row r="484" spans="1:54" s="5" customFormat="1" hidden="1">
      <c r="A484" s="8" t="str">
        <f>IF(INDEX(FORM!$A:$A,ROW())="","",ROW()-1)</f>
        <v/>
      </c>
      <c r="B484" s="41" t="str">
        <f>IF($A484="","",INDEX(FORM!$A:$A,ROW()))</f>
        <v/>
      </c>
      <c r="C484" s="8" t="str">
        <f>IF($A484="","",TRIM(INDEX(FORM!$B:$B,ROW())))</f>
        <v/>
      </c>
      <c r="D484" s="8" t="str">
        <f>IF($A484="","",TRIM(INDEX(FORM!$C:$C,ROW())&amp;""))</f>
        <v/>
      </c>
      <c r="E484" s="8" t="str">
        <f>IF($A484="","",UPPER(TRIM(INDEX(FORM!$D:$D,ROW()))))</f>
        <v/>
      </c>
      <c r="F484" s="8" t="str">
        <f>IF($A484="","",IFERROR(INDEX(PROGRES!$A$2:$A$92,MATCH(E484,PROGRES!$B$2:$B$92,0)),"-"))</f>
        <v/>
      </c>
      <c r="G484" s="8" t="str">
        <f>IF($A484="","",UPPER(TRIM(INDEX(FORM!$F:$F,ROW()))))</f>
        <v/>
      </c>
      <c r="H484" s="8" t="str">
        <f>IF($A484="","",UPPER(TRIM(INDEX(FORM!$E:$E,ROW()))))</f>
        <v/>
      </c>
      <c r="I484" s="8" t="str">
        <f>IF($A484="","",UPPER(TRIM(INDEX(FORM!$G:$G,ROW()))))</f>
        <v/>
      </c>
      <c r="J484" s="8" t="str">
        <f>IF($A484="","",IF(ISNUMBER(SEARCH("Ya,",INDEX(FORM!$H:$H,ROW()))),"YA",IF(ISNUMBER(SEARCH("Cukup,",INDEX(FORM!$H:$H,ROW()))),"CUKUP",IF(ISNUMBER(SEARCH("Kurang,",INDEX(FORM!$H:$H,ROW()))),"KURANG",""))))</f>
        <v/>
      </c>
      <c r="K484" s="8" t="str">
        <f>IF($A484="","",UPPER(TRIM(INDEX(FORM!$J:$J,ROW()))))</f>
        <v/>
      </c>
      <c r="L484" s="8" t="str">
        <f>IF($A484="","",IF(ISNUMBER(SEARCH("Aktivitas Harian",INDEX(FORM!$K:$K,ROW()))),1,0))</f>
        <v/>
      </c>
      <c r="M484" s="8" t="str">
        <f>IF($A484="","",IF(ISNUMBER(SEARCH("Aktivitas Mingguan",INDEX(FORM!$K:$K,ROW()))),1,0))</f>
        <v/>
      </c>
      <c r="N484" s="8" t="str">
        <f>IF($A484="","",IF(ISNUMBER(SEARCH("Aktivitas Bulanan",INDEX(FORM!$K:$K,ROW()))),1,0))</f>
        <v/>
      </c>
      <c r="O484" s="8" t="str">
        <f>IF($A484="","",IF(ISNUMBER(SEARCH("Overview Cabang",INDEX(FORM!$K:$K,ROW()))),1,0))</f>
        <v/>
      </c>
      <c r="P484" s="8" t="str">
        <f>IF($A484="","",IFERROR(VLOOKUP(I484,DATA!$AH$9:$AI$13,2,0),""))</f>
        <v/>
      </c>
      <c r="Q484" s="8" t="str">
        <f>IF($A484="","",IFERROR(VLOOKUP(J484,DATA!$AH$9:$AI$13,2,0),""))</f>
        <v/>
      </c>
      <c r="R484" s="8" t="str">
        <f>IF($A484="","",IFERROR(VLOOKUP(K484,DATA!$AH$9:$AI$13,2,0),""))</f>
        <v/>
      </c>
      <c r="S484" s="42" t="str">
        <f t="shared" si="154"/>
        <v/>
      </c>
      <c r="T484" s="8" t="str">
        <f>IF($A484="","",IF(COUNTIF($D$2:D484,D484)=1,1,0))</f>
        <v/>
      </c>
      <c r="U484" s="8" t="str">
        <f>IF($A484="","",IF(F484="-","Cabang tdk ada",IF(IFERROR(VLOOKUP(G484,#REF!,1,0),"")="","",IF(INDEX(DATA!$AH$2:$AH$5,MATCH(G484,DATA!$AI$2:$AI$5,0))&lt;&gt;F484,"Wilayah beda","OK"))))</f>
        <v/>
      </c>
      <c r="V484" s="8" t="str">
        <f>IF($A484="","",TRIM(INDEX(FORM!$I:$I,ROW())&amp;""))</f>
        <v/>
      </c>
      <c r="W484" s="8" t="str">
        <f>IF($A484="","",TRIM(INDEX(FORM!$L:$L,ROW())&amp;""))</f>
        <v/>
      </c>
      <c r="X484" s="8" t="str">
        <f>IF($A484="","",TRIM(INDEX(FORM!$M:$M,ROW())&amp;""))</f>
        <v/>
      </c>
      <c r="Y484" s="8" t="str">
        <f>IF($A484="","",IFERROR(MATCH(F484,DATA!$AH$2:$AH$5,0),9)*10000+A484)</f>
        <v/>
      </c>
      <c r="Z484" s="8" t="str">
        <f t="shared" si="155"/>
        <v/>
      </c>
      <c r="AA484" s="8" t="str">
        <f t="shared" si="156"/>
        <v/>
      </c>
      <c r="AB484" s="8" t="str">
        <f t="shared" si="157"/>
        <v/>
      </c>
      <c r="AC484" s="8"/>
      <c r="AD484" s="8"/>
      <c r="AE484" s="8"/>
      <c r="AK484" s="5" t="str">
        <f t="shared" si="158"/>
        <v/>
      </c>
      <c r="AL484" s="5" t="str">
        <f t="shared" si="159"/>
        <v/>
      </c>
      <c r="AM484" s="5" t="str">
        <f t="shared" si="160"/>
        <v/>
      </c>
      <c r="AN484" s="5" t="str">
        <f t="shared" si="161"/>
        <v/>
      </c>
      <c r="AO484" s="5" t="str">
        <f t="shared" si="162"/>
        <v/>
      </c>
      <c r="AP484" s="5" t="str">
        <f t="shared" si="163"/>
        <v/>
      </c>
      <c r="AQ484" s="5" t="str">
        <f t="shared" si="164"/>
        <v/>
      </c>
      <c r="AR484" s="5" t="str">
        <f t="shared" si="165"/>
        <v/>
      </c>
      <c r="AS484" s="5" t="str">
        <f t="shared" si="166"/>
        <v/>
      </c>
      <c r="AT484" s="5" t="str">
        <f t="shared" si="167"/>
        <v/>
      </c>
      <c r="AU484" s="5" t="str">
        <f t="shared" si="168"/>
        <v/>
      </c>
      <c r="AV484" s="5" t="str">
        <f t="shared" si="169"/>
        <v/>
      </c>
      <c r="AW484" s="5" t="str">
        <f t="shared" si="170"/>
        <v/>
      </c>
      <c r="AX484" s="5" t="str">
        <f t="shared" si="171"/>
        <v/>
      </c>
      <c r="AY484" s="5" t="str">
        <f t="shared" si="172"/>
        <v/>
      </c>
      <c r="AZ484" s="5" t="str">
        <f t="shared" si="173"/>
        <v/>
      </c>
      <c r="BA484" s="5" t="str">
        <f t="shared" si="174"/>
        <v/>
      </c>
      <c r="BB484" s="5" t="str">
        <f t="shared" si="175"/>
        <v/>
      </c>
    </row>
    <row r="485" spans="1:54" s="5" customFormat="1" hidden="1">
      <c r="A485" s="8" t="str">
        <f>IF(INDEX(FORM!$A:$A,ROW())="","",ROW()-1)</f>
        <v/>
      </c>
      <c r="B485" s="41" t="str">
        <f>IF($A485="","",INDEX(FORM!$A:$A,ROW()))</f>
        <v/>
      </c>
      <c r="C485" s="8" t="str">
        <f>IF($A485="","",TRIM(INDEX(FORM!$B:$B,ROW())))</f>
        <v/>
      </c>
      <c r="D485" s="8" t="str">
        <f>IF($A485="","",TRIM(INDEX(FORM!$C:$C,ROW())&amp;""))</f>
        <v/>
      </c>
      <c r="E485" s="8" t="str">
        <f>IF($A485="","",UPPER(TRIM(INDEX(FORM!$D:$D,ROW()))))</f>
        <v/>
      </c>
      <c r="F485" s="8" t="str">
        <f>IF($A485="","",IFERROR(INDEX(PROGRES!$A$2:$A$92,MATCH(E485,PROGRES!$B$2:$B$92,0)),"-"))</f>
        <v/>
      </c>
      <c r="G485" s="8" t="str">
        <f>IF($A485="","",UPPER(TRIM(INDEX(FORM!$F:$F,ROW()))))</f>
        <v/>
      </c>
      <c r="H485" s="8" t="str">
        <f>IF($A485="","",UPPER(TRIM(INDEX(FORM!$E:$E,ROW()))))</f>
        <v/>
      </c>
      <c r="I485" s="8" t="str">
        <f>IF($A485="","",UPPER(TRIM(INDEX(FORM!$G:$G,ROW()))))</f>
        <v/>
      </c>
      <c r="J485" s="8" t="str">
        <f>IF($A485="","",IF(ISNUMBER(SEARCH("Ya,",INDEX(FORM!$H:$H,ROW()))),"YA",IF(ISNUMBER(SEARCH("Cukup,",INDEX(FORM!$H:$H,ROW()))),"CUKUP",IF(ISNUMBER(SEARCH("Kurang,",INDEX(FORM!$H:$H,ROW()))),"KURANG",""))))</f>
        <v/>
      </c>
      <c r="K485" s="8" t="str">
        <f>IF($A485="","",UPPER(TRIM(INDEX(FORM!$J:$J,ROW()))))</f>
        <v/>
      </c>
      <c r="L485" s="8" t="str">
        <f>IF($A485="","",IF(ISNUMBER(SEARCH("Aktivitas Harian",INDEX(FORM!$K:$K,ROW()))),1,0))</f>
        <v/>
      </c>
      <c r="M485" s="8" t="str">
        <f>IF($A485="","",IF(ISNUMBER(SEARCH("Aktivitas Mingguan",INDEX(FORM!$K:$K,ROW()))),1,0))</f>
        <v/>
      </c>
      <c r="N485" s="8" t="str">
        <f>IF($A485="","",IF(ISNUMBER(SEARCH("Aktivitas Bulanan",INDEX(FORM!$K:$K,ROW()))),1,0))</f>
        <v/>
      </c>
      <c r="O485" s="8" t="str">
        <f>IF($A485="","",IF(ISNUMBER(SEARCH("Overview Cabang",INDEX(FORM!$K:$K,ROW()))),1,0))</f>
        <v/>
      </c>
      <c r="P485" s="8" t="str">
        <f>IF($A485="","",IFERROR(VLOOKUP(I485,DATA!$AH$9:$AI$13,2,0),""))</f>
        <v/>
      </c>
      <c r="Q485" s="8" t="str">
        <f>IF($A485="","",IFERROR(VLOOKUP(J485,DATA!$AH$9:$AI$13,2,0),""))</f>
        <v/>
      </c>
      <c r="R485" s="8" t="str">
        <f>IF($A485="","",IFERROR(VLOOKUP(K485,DATA!$AH$9:$AI$13,2,0),""))</f>
        <v/>
      </c>
      <c r="S485" s="42" t="str">
        <f t="shared" si="154"/>
        <v/>
      </c>
      <c r="T485" s="8" t="str">
        <f>IF($A485="","",IF(COUNTIF($D$2:D485,D485)=1,1,0))</f>
        <v/>
      </c>
      <c r="U485" s="8" t="str">
        <f>IF($A485="","",IF(F485="-","Cabang tdk ada",IF(IFERROR(VLOOKUP(G485,#REF!,1,0),"")="","",IF(INDEX(DATA!$AH$2:$AH$5,MATCH(G485,DATA!$AI$2:$AI$5,0))&lt;&gt;F485,"Wilayah beda","OK"))))</f>
        <v/>
      </c>
      <c r="V485" s="8" t="str">
        <f>IF($A485="","",TRIM(INDEX(FORM!$I:$I,ROW())&amp;""))</f>
        <v/>
      </c>
      <c r="W485" s="8" t="str">
        <f>IF($A485="","",TRIM(INDEX(FORM!$L:$L,ROW())&amp;""))</f>
        <v/>
      </c>
      <c r="X485" s="8" t="str">
        <f>IF($A485="","",TRIM(INDEX(FORM!$M:$M,ROW())&amp;""))</f>
        <v/>
      </c>
      <c r="Y485" s="8" t="str">
        <f>IF($A485="","",IFERROR(MATCH(F485,DATA!$AH$2:$AH$5,0),9)*10000+A485)</f>
        <v/>
      </c>
      <c r="Z485" s="8" t="str">
        <f t="shared" si="155"/>
        <v/>
      </c>
      <c r="AA485" s="8" t="str">
        <f t="shared" si="156"/>
        <v/>
      </c>
      <c r="AB485" s="8" t="str">
        <f t="shared" si="157"/>
        <v/>
      </c>
      <c r="AC485" s="8"/>
      <c r="AD485" s="8"/>
      <c r="AE485" s="8"/>
      <c r="AK485" s="5" t="str">
        <f t="shared" si="158"/>
        <v/>
      </c>
      <c r="AL485" s="5" t="str">
        <f t="shared" si="159"/>
        <v/>
      </c>
      <c r="AM485" s="5" t="str">
        <f t="shared" si="160"/>
        <v/>
      </c>
      <c r="AN485" s="5" t="str">
        <f t="shared" si="161"/>
        <v/>
      </c>
      <c r="AO485" s="5" t="str">
        <f t="shared" si="162"/>
        <v/>
      </c>
      <c r="AP485" s="5" t="str">
        <f t="shared" si="163"/>
        <v/>
      </c>
      <c r="AQ485" s="5" t="str">
        <f t="shared" si="164"/>
        <v/>
      </c>
      <c r="AR485" s="5" t="str">
        <f t="shared" si="165"/>
        <v/>
      </c>
      <c r="AS485" s="5" t="str">
        <f t="shared" si="166"/>
        <v/>
      </c>
      <c r="AT485" s="5" t="str">
        <f t="shared" si="167"/>
        <v/>
      </c>
      <c r="AU485" s="5" t="str">
        <f t="shared" si="168"/>
        <v/>
      </c>
      <c r="AV485" s="5" t="str">
        <f t="shared" si="169"/>
        <v/>
      </c>
      <c r="AW485" s="5" t="str">
        <f t="shared" si="170"/>
        <v/>
      </c>
      <c r="AX485" s="5" t="str">
        <f t="shared" si="171"/>
        <v/>
      </c>
      <c r="AY485" s="5" t="str">
        <f t="shared" si="172"/>
        <v/>
      </c>
      <c r="AZ485" s="5" t="str">
        <f t="shared" si="173"/>
        <v/>
      </c>
      <c r="BA485" s="5" t="str">
        <f t="shared" si="174"/>
        <v/>
      </c>
      <c r="BB485" s="5" t="str">
        <f t="shared" si="175"/>
        <v/>
      </c>
    </row>
    <row r="486" spans="1:54" s="5" customFormat="1" hidden="1">
      <c r="A486" s="8" t="str">
        <f>IF(INDEX(FORM!$A:$A,ROW())="","",ROW()-1)</f>
        <v/>
      </c>
      <c r="B486" s="41" t="str">
        <f>IF($A486="","",INDEX(FORM!$A:$A,ROW()))</f>
        <v/>
      </c>
      <c r="C486" s="8" t="str">
        <f>IF($A486="","",TRIM(INDEX(FORM!$B:$B,ROW())))</f>
        <v/>
      </c>
      <c r="D486" s="8" t="str">
        <f>IF($A486="","",TRIM(INDEX(FORM!$C:$C,ROW())&amp;""))</f>
        <v/>
      </c>
      <c r="E486" s="8" t="str">
        <f>IF($A486="","",UPPER(TRIM(INDEX(FORM!$D:$D,ROW()))))</f>
        <v/>
      </c>
      <c r="F486" s="8" t="str">
        <f>IF($A486="","",IFERROR(INDEX(PROGRES!$A$2:$A$92,MATCH(E486,PROGRES!$B$2:$B$92,0)),"-"))</f>
        <v/>
      </c>
      <c r="G486" s="8" t="str">
        <f>IF($A486="","",UPPER(TRIM(INDEX(FORM!$F:$F,ROW()))))</f>
        <v/>
      </c>
      <c r="H486" s="8" t="str">
        <f>IF($A486="","",UPPER(TRIM(INDEX(FORM!$E:$E,ROW()))))</f>
        <v/>
      </c>
      <c r="I486" s="8" t="str">
        <f>IF($A486="","",UPPER(TRIM(INDEX(FORM!$G:$G,ROW()))))</f>
        <v/>
      </c>
      <c r="J486" s="8" t="str">
        <f>IF($A486="","",IF(ISNUMBER(SEARCH("Ya,",INDEX(FORM!$H:$H,ROW()))),"YA",IF(ISNUMBER(SEARCH("Cukup,",INDEX(FORM!$H:$H,ROW()))),"CUKUP",IF(ISNUMBER(SEARCH("Kurang,",INDEX(FORM!$H:$H,ROW()))),"KURANG",""))))</f>
        <v/>
      </c>
      <c r="K486" s="8" t="str">
        <f>IF($A486="","",UPPER(TRIM(INDEX(FORM!$J:$J,ROW()))))</f>
        <v/>
      </c>
      <c r="L486" s="8" t="str">
        <f>IF($A486="","",IF(ISNUMBER(SEARCH("Aktivitas Harian",INDEX(FORM!$K:$K,ROW()))),1,0))</f>
        <v/>
      </c>
      <c r="M486" s="8" t="str">
        <f>IF($A486="","",IF(ISNUMBER(SEARCH("Aktivitas Mingguan",INDEX(FORM!$K:$K,ROW()))),1,0))</f>
        <v/>
      </c>
      <c r="N486" s="8" t="str">
        <f>IF($A486="","",IF(ISNUMBER(SEARCH("Aktivitas Bulanan",INDEX(FORM!$K:$K,ROW()))),1,0))</f>
        <v/>
      </c>
      <c r="O486" s="8" t="str">
        <f>IF($A486="","",IF(ISNUMBER(SEARCH("Overview Cabang",INDEX(FORM!$K:$K,ROW()))),1,0))</f>
        <v/>
      </c>
      <c r="P486" s="8" t="str">
        <f>IF($A486="","",IFERROR(VLOOKUP(I486,DATA!$AH$9:$AI$13,2,0),""))</f>
        <v/>
      </c>
      <c r="Q486" s="8" t="str">
        <f>IF($A486="","",IFERROR(VLOOKUP(J486,DATA!$AH$9:$AI$13,2,0),""))</f>
        <v/>
      </c>
      <c r="R486" s="8" t="str">
        <f>IF($A486="","",IFERROR(VLOOKUP(K486,DATA!$AH$9:$AI$13,2,0),""))</f>
        <v/>
      </c>
      <c r="S486" s="42" t="str">
        <f t="shared" si="154"/>
        <v/>
      </c>
      <c r="T486" s="8" t="str">
        <f>IF($A486="","",IF(COUNTIF($D$2:D486,D486)=1,1,0))</f>
        <v/>
      </c>
      <c r="U486" s="8" t="str">
        <f>IF($A486="","",IF(F486="-","Cabang tdk ada",IF(IFERROR(VLOOKUP(G486,#REF!,1,0),"")="","",IF(INDEX(DATA!$AH$2:$AH$5,MATCH(G486,DATA!$AI$2:$AI$5,0))&lt;&gt;F486,"Wilayah beda","OK"))))</f>
        <v/>
      </c>
      <c r="V486" s="8" t="str">
        <f>IF($A486="","",TRIM(INDEX(FORM!$I:$I,ROW())&amp;""))</f>
        <v/>
      </c>
      <c r="W486" s="8" t="str">
        <f>IF($A486="","",TRIM(INDEX(FORM!$L:$L,ROW())&amp;""))</f>
        <v/>
      </c>
      <c r="X486" s="8" t="str">
        <f>IF($A486="","",TRIM(INDEX(FORM!$M:$M,ROW())&amp;""))</f>
        <v/>
      </c>
      <c r="Y486" s="8" t="str">
        <f>IF($A486="","",IFERROR(MATCH(F486,DATA!$AH$2:$AH$5,0),9)*10000+A486)</f>
        <v/>
      </c>
      <c r="Z486" s="8" t="str">
        <f t="shared" si="155"/>
        <v/>
      </c>
      <c r="AA486" s="8" t="str">
        <f t="shared" si="156"/>
        <v/>
      </c>
      <c r="AB486" s="8" t="str">
        <f t="shared" si="157"/>
        <v/>
      </c>
      <c r="AC486" s="8"/>
      <c r="AD486" s="8"/>
      <c r="AE486" s="8"/>
      <c r="AK486" s="5" t="str">
        <f t="shared" si="158"/>
        <v/>
      </c>
      <c r="AL486" s="5" t="str">
        <f t="shared" si="159"/>
        <v/>
      </c>
      <c r="AM486" s="5" t="str">
        <f t="shared" si="160"/>
        <v/>
      </c>
      <c r="AN486" s="5" t="str">
        <f t="shared" si="161"/>
        <v/>
      </c>
      <c r="AO486" s="5" t="str">
        <f t="shared" si="162"/>
        <v/>
      </c>
      <c r="AP486" s="5" t="str">
        <f t="shared" si="163"/>
        <v/>
      </c>
      <c r="AQ486" s="5" t="str">
        <f t="shared" si="164"/>
        <v/>
      </c>
      <c r="AR486" s="5" t="str">
        <f t="shared" si="165"/>
        <v/>
      </c>
      <c r="AS486" s="5" t="str">
        <f t="shared" si="166"/>
        <v/>
      </c>
      <c r="AT486" s="5" t="str">
        <f t="shared" si="167"/>
        <v/>
      </c>
      <c r="AU486" s="5" t="str">
        <f t="shared" si="168"/>
        <v/>
      </c>
      <c r="AV486" s="5" t="str">
        <f t="shared" si="169"/>
        <v/>
      </c>
      <c r="AW486" s="5" t="str">
        <f t="shared" si="170"/>
        <v/>
      </c>
      <c r="AX486" s="5" t="str">
        <f t="shared" si="171"/>
        <v/>
      </c>
      <c r="AY486" s="5" t="str">
        <f t="shared" si="172"/>
        <v/>
      </c>
      <c r="AZ486" s="5" t="str">
        <f t="shared" si="173"/>
        <v/>
      </c>
      <c r="BA486" s="5" t="str">
        <f t="shared" si="174"/>
        <v/>
      </c>
      <c r="BB486" s="5" t="str">
        <f t="shared" si="175"/>
        <v/>
      </c>
    </row>
    <row r="487" spans="1:54" s="5" customFormat="1" hidden="1">
      <c r="A487" s="8" t="str">
        <f>IF(INDEX(FORM!$A:$A,ROW())="","",ROW()-1)</f>
        <v/>
      </c>
      <c r="B487" s="41" t="str">
        <f>IF($A487="","",INDEX(FORM!$A:$A,ROW()))</f>
        <v/>
      </c>
      <c r="C487" s="8" t="str">
        <f>IF($A487="","",TRIM(INDEX(FORM!$B:$B,ROW())))</f>
        <v/>
      </c>
      <c r="D487" s="8" t="str">
        <f>IF($A487="","",TRIM(INDEX(FORM!$C:$C,ROW())&amp;""))</f>
        <v/>
      </c>
      <c r="E487" s="8" t="str">
        <f>IF($A487="","",UPPER(TRIM(INDEX(FORM!$D:$D,ROW()))))</f>
        <v/>
      </c>
      <c r="F487" s="8" t="str">
        <f>IF($A487="","",IFERROR(INDEX(PROGRES!$A$2:$A$92,MATCH(E487,PROGRES!$B$2:$B$92,0)),"-"))</f>
        <v/>
      </c>
      <c r="G487" s="8" t="str">
        <f>IF($A487="","",UPPER(TRIM(INDEX(FORM!$F:$F,ROW()))))</f>
        <v/>
      </c>
      <c r="H487" s="8" t="str">
        <f>IF($A487="","",UPPER(TRIM(INDEX(FORM!$E:$E,ROW()))))</f>
        <v/>
      </c>
      <c r="I487" s="8" t="str">
        <f>IF($A487="","",UPPER(TRIM(INDEX(FORM!$G:$G,ROW()))))</f>
        <v/>
      </c>
      <c r="J487" s="8" t="str">
        <f>IF($A487="","",IF(ISNUMBER(SEARCH("Ya,",INDEX(FORM!$H:$H,ROW()))),"YA",IF(ISNUMBER(SEARCH("Cukup,",INDEX(FORM!$H:$H,ROW()))),"CUKUP",IF(ISNUMBER(SEARCH("Kurang,",INDEX(FORM!$H:$H,ROW()))),"KURANG",""))))</f>
        <v/>
      </c>
      <c r="K487" s="8" t="str">
        <f>IF($A487="","",UPPER(TRIM(INDEX(FORM!$J:$J,ROW()))))</f>
        <v/>
      </c>
      <c r="L487" s="8" t="str">
        <f>IF($A487="","",IF(ISNUMBER(SEARCH("Aktivitas Harian",INDEX(FORM!$K:$K,ROW()))),1,0))</f>
        <v/>
      </c>
      <c r="M487" s="8" t="str">
        <f>IF($A487="","",IF(ISNUMBER(SEARCH("Aktivitas Mingguan",INDEX(FORM!$K:$K,ROW()))),1,0))</f>
        <v/>
      </c>
      <c r="N487" s="8" t="str">
        <f>IF($A487="","",IF(ISNUMBER(SEARCH("Aktivitas Bulanan",INDEX(FORM!$K:$K,ROW()))),1,0))</f>
        <v/>
      </c>
      <c r="O487" s="8" t="str">
        <f>IF($A487="","",IF(ISNUMBER(SEARCH("Overview Cabang",INDEX(FORM!$K:$K,ROW()))),1,0))</f>
        <v/>
      </c>
      <c r="P487" s="8" t="str">
        <f>IF($A487="","",IFERROR(VLOOKUP(I487,DATA!$AH$9:$AI$13,2,0),""))</f>
        <v/>
      </c>
      <c r="Q487" s="8" t="str">
        <f>IF($A487="","",IFERROR(VLOOKUP(J487,DATA!$AH$9:$AI$13,2,0),""))</f>
        <v/>
      </c>
      <c r="R487" s="8" t="str">
        <f>IF($A487="","",IFERROR(VLOOKUP(K487,DATA!$AH$9:$AI$13,2,0),""))</f>
        <v/>
      </c>
      <c r="S487" s="42" t="str">
        <f t="shared" si="154"/>
        <v/>
      </c>
      <c r="T487" s="8" t="str">
        <f>IF($A487="","",IF(COUNTIF($D$2:D487,D487)=1,1,0))</f>
        <v/>
      </c>
      <c r="U487" s="8" t="str">
        <f>IF($A487="","",IF(F487="-","Cabang tdk ada",IF(IFERROR(VLOOKUP(G487,#REF!,1,0),"")="","",IF(INDEX(DATA!$AH$2:$AH$5,MATCH(G487,DATA!$AI$2:$AI$5,0))&lt;&gt;F487,"Wilayah beda","OK"))))</f>
        <v/>
      </c>
      <c r="V487" s="8" t="str">
        <f>IF($A487="","",TRIM(INDEX(FORM!$I:$I,ROW())&amp;""))</f>
        <v/>
      </c>
      <c r="W487" s="8" t="str">
        <f>IF($A487="","",TRIM(INDEX(FORM!$L:$L,ROW())&amp;""))</f>
        <v/>
      </c>
      <c r="X487" s="8" t="str">
        <f>IF($A487="","",TRIM(INDEX(FORM!$M:$M,ROW())&amp;""))</f>
        <v/>
      </c>
      <c r="Y487" s="8" t="str">
        <f>IF($A487="","",IFERROR(MATCH(F487,DATA!$AH$2:$AH$5,0),9)*10000+A487)</f>
        <v/>
      </c>
      <c r="Z487" s="8" t="str">
        <f t="shared" si="155"/>
        <v/>
      </c>
      <c r="AA487" s="8" t="str">
        <f t="shared" si="156"/>
        <v/>
      </c>
      <c r="AB487" s="8" t="str">
        <f t="shared" si="157"/>
        <v/>
      </c>
      <c r="AC487" s="8"/>
      <c r="AD487" s="8"/>
      <c r="AE487" s="8"/>
      <c r="AK487" s="5" t="str">
        <f t="shared" si="158"/>
        <v/>
      </c>
      <c r="AL487" s="5" t="str">
        <f t="shared" si="159"/>
        <v/>
      </c>
      <c r="AM487" s="5" t="str">
        <f t="shared" si="160"/>
        <v/>
      </c>
      <c r="AN487" s="5" t="str">
        <f t="shared" si="161"/>
        <v/>
      </c>
      <c r="AO487" s="5" t="str">
        <f t="shared" si="162"/>
        <v/>
      </c>
      <c r="AP487" s="5" t="str">
        <f t="shared" si="163"/>
        <v/>
      </c>
      <c r="AQ487" s="5" t="str">
        <f t="shared" si="164"/>
        <v/>
      </c>
      <c r="AR487" s="5" t="str">
        <f t="shared" si="165"/>
        <v/>
      </c>
      <c r="AS487" s="5" t="str">
        <f t="shared" si="166"/>
        <v/>
      </c>
      <c r="AT487" s="5" t="str">
        <f t="shared" si="167"/>
        <v/>
      </c>
      <c r="AU487" s="5" t="str">
        <f t="shared" si="168"/>
        <v/>
      </c>
      <c r="AV487" s="5" t="str">
        <f t="shared" si="169"/>
        <v/>
      </c>
      <c r="AW487" s="5" t="str">
        <f t="shared" si="170"/>
        <v/>
      </c>
      <c r="AX487" s="5" t="str">
        <f t="shared" si="171"/>
        <v/>
      </c>
      <c r="AY487" s="5" t="str">
        <f t="shared" si="172"/>
        <v/>
      </c>
      <c r="AZ487" s="5" t="str">
        <f t="shared" si="173"/>
        <v/>
      </c>
      <c r="BA487" s="5" t="str">
        <f t="shared" si="174"/>
        <v/>
      </c>
      <c r="BB487" s="5" t="str">
        <f t="shared" si="175"/>
        <v/>
      </c>
    </row>
    <row r="488" spans="1:54" s="5" customFormat="1" hidden="1">
      <c r="A488" s="8" t="str">
        <f>IF(INDEX(FORM!$A:$A,ROW())="","",ROW()-1)</f>
        <v/>
      </c>
      <c r="B488" s="41" t="str">
        <f>IF($A488="","",INDEX(FORM!$A:$A,ROW()))</f>
        <v/>
      </c>
      <c r="C488" s="8" t="str">
        <f>IF($A488="","",TRIM(INDEX(FORM!$B:$B,ROW())))</f>
        <v/>
      </c>
      <c r="D488" s="8" t="str">
        <f>IF($A488="","",TRIM(INDEX(FORM!$C:$C,ROW())&amp;""))</f>
        <v/>
      </c>
      <c r="E488" s="8" t="str">
        <f>IF($A488="","",UPPER(TRIM(INDEX(FORM!$D:$D,ROW()))))</f>
        <v/>
      </c>
      <c r="F488" s="8" t="str">
        <f>IF($A488="","",IFERROR(INDEX(PROGRES!$A$2:$A$92,MATCH(E488,PROGRES!$B$2:$B$92,0)),"-"))</f>
        <v/>
      </c>
      <c r="G488" s="8" t="str">
        <f>IF($A488="","",UPPER(TRIM(INDEX(FORM!$F:$F,ROW()))))</f>
        <v/>
      </c>
      <c r="H488" s="8" t="str">
        <f>IF($A488="","",UPPER(TRIM(INDEX(FORM!$E:$E,ROW()))))</f>
        <v/>
      </c>
      <c r="I488" s="8" t="str">
        <f>IF($A488="","",UPPER(TRIM(INDEX(FORM!$G:$G,ROW()))))</f>
        <v/>
      </c>
      <c r="J488" s="8" t="str">
        <f>IF($A488="","",IF(ISNUMBER(SEARCH("Ya,",INDEX(FORM!$H:$H,ROW()))),"YA",IF(ISNUMBER(SEARCH("Cukup,",INDEX(FORM!$H:$H,ROW()))),"CUKUP",IF(ISNUMBER(SEARCH("Kurang,",INDEX(FORM!$H:$H,ROW()))),"KURANG",""))))</f>
        <v/>
      </c>
      <c r="K488" s="8" t="str">
        <f>IF($A488="","",UPPER(TRIM(INDEX(FORM!$J:$J,ROW()))))</f>
        <v/>
      </c>
      <c r="L488" s="8" t="str">
        <f>IF($A488="","",IF(ISNUMBER(SEARCH("Aktivitas Harian",INDEX(FORM!$K:$K,ROW()))),1,0))</f>
        <v/>
      </c>
      <c r="M488" s="8" t="str">
        <f>IF($A488="","",IF(ISNUMBER(SEARCH("Aktivitas Mingguan",INDEX(FORM!$K:$K,ROW()))),1,0))</f>
        <v/>
      </c>
      <c r="N488" s="8" t="str">
        <f>IF($A488="","",IF(ISNUMBER(SEARCH("Aktivitas Bulanan",INDEX(FORM!$K:$K,ROW()))),1,0))</f>
        <v/>
      </c>
      <c r="O488" s="8" t="str">
        <f>IF($A488="","",IF(ISNUMBER(SEARCH("Overview Cabang",INDEX(FORM!$K:$K,ROW()))),1,0))</f>
        <v/>
      </c>
      <c r="P488" s="8" t="str">
        <f>IF($A488="","",IFERROR(VLOOKUP(I488,DATA!$AH$9:$AI$13,2,0),""))</f>
        <v/>
      </c>
      <c r="Q488" s="8" t="str">
        <f>IF($A488="","",IFERROR(VLOOKUP(J488,DATA!$AH$9:$AI$13,2,0),""))</f>
        <v/>
      </c>
      <c r="R488" s="8" t="str">
        <f>IF($A488="","",IFERROR(VLOOKUP(K488,DATA!$AH$9:$AI$13,2,0),""))</f>
        <v/>
      </c>
      <c r="S488" s="42" t="str">
        <f t="shared" si="154"/>
        <v/>
      </c>
      <c r="T488" s="8" t="str">
        <f>IF($A488="","",IF(COUNTIF($D$2:D488,D488)=1,1,0))</f>
        <v/>
      </c>
      <c r="U488" s="8" t="str">
        <f>IF($A488="","",IF(F488="-","Cabang tdk ada",IF(IFERROR(VLOOKUP(G488,#REF!,1,0),"")="","",IF(INDEX(DATA!$AH$2:$AH$5,MATCH(G488,DATA!$AI$2:$AI$5,0))&lt;&gt;F488,"Wilayah beda","OK"))))</f>
        <v/>
      </c>
      <c r="V488" s="8" t="str">
        <f>IF($A488="","",TRIM(INDEX(FORM!$I:$I,ROW())&amp;""))</f>
        <v/>
      </c>
      <c r="W488" s="8" t="str">
        <f>IF($A488="","",TRIM(INDEX(FORM!$L:$L,ROW())&amp;""))</f>
        <v/>
      </c>
      <c r="X488" s="8" t="str">
        <f>IF($A488="","",TRIM(INDEX(FORM!$M:$M,ROW())&amp;""))</f>
        <v/>
      </c>
      <c r="Y488" s="8" t="str">
        <f>IF($A488="","",IFERROR(MATCH(F488,DATA!$AH$2:$AH$5,0),9)*10000+A488)</f>
        <v/>
      </c>
      <c r="Z488" s="8" t="str">
        <f t="shared" si="155"/>
        <v/>
      </c>
      <c r="AA488" s="8" t="str">
        <f t="shared" si="156"/>
        <v/>
      </c>
      <c r="AB488" s="8" t="str">
        <f t="shared" si="157"/>
        <v/>
      </c>
      <c r="AC488" s="8"/>
      <c r="AD488" s="8"/>
      <c r="AE488" s="8"/>
      <c r="AK488" s="5" t="str">
        <f t="shared" si="158"/>
        <v/>
      </c>
      <c r="AL488" s="5" t="str">
        <f t="shared" si="159"/>
        <v/>
      </c>
      <c r="AM488" s="5" t="str">
        <f t="shared" si="160"/>
        <v/>
      </c>
      <c r="AN488" s="5" t="str">
        <f t="shared" si="161"/>
        <v/>
      </c>
      <c r="AO488" s="5" t="str">
        <f t="shared" si="162"/>
        <v/>
      </c>
      <c r="AP488" s="5" t="str">
        <f t="shared" si="163"/>
        <v/>
      </c>
      <c r="AQ488" s="5" t="str">
        <f t="shared" si="164"/>
        <v/>
      </c>
      <c r="AR488" s="5" t="str">
        <f t="shared" si="165"/>
        <v/>
      </c>
      <c r="AS488" s="5" t="str">
        <f t="shared" si="166"/>
        <v/>
      </c>
      <c r="AT488" s="5" t="str">
        <f t="shared" si="167"/>
        <v/>
      </c>
      <c r="AU488" s="5" t="str">
        <f t="shared" si="168"/>
        <v/>
      </c>
      <c r="AV488" s="5" t="str">
        <f t="shared" si="169"/>
        <v/>
      </c>
      <c r="AW488" s="5" t="str">
        <f t="shared" si="170"/>
        <v/>
      </c>
      <c r="AX488" s="5" t="str">
        <f t="shared" si="171"/>
        <v/>
      </c>
      <c r="AY488" s="5" t="str">
        <f t="shared" si="172"/>
        <v/>
      </c>
      <c r="AZ488" s="5" t="str">
        <f t="shared" si="173"/>
        <v/>
      </c>
      <c r="BA488" s="5" t="str">
        <f t="shared" si="174"/>
        <v/>
      </c>
      <c r="BB488" s="5" t="str">
        <f t="shared" si="175"/>
        <v/>
      </c>
    </row>
    <row r="489" spans="1:54" s="5" customFormat="1" hidden="1">
      <c r="A489" s="8" t="str">
        <f>IF(INDEX(FORM!$A:$A,ROW())="","",ROW()-1)</f>
        <v/>
      </c>
      <c r="B489" s="41" t="str">
        <f>IF($A489="","",INDEX(FORM!$A:$A,ROW()))</f>
        <v/>
      </c>
      <c r="C489" s="8" t="str">
        <f>IF($A489="","",TRIM(INDEX(FORM!$B:$B,ROW())))</f>
        <v/>
      </c>
      <c r="D489" s="8" t="str">
        <f>IF($A489="","",TRIM(INDEX(FORM!$C:$C,ROW())&amp;""))</f>
        <v/>
      </c>
      <c r="E489" s="8" t="str">
        <f>IF($A489="","",UPPER(TRIM(INDEX(FORM!$D:$D,ROW()))))</f>
        <v/>
      </c>
      <c r="F489" s="8" t="str">
        <f>IF($A489="","",IFERROR(INDEX(PROGRES!$A$2:$A$92,MATCH(E489,PROGRES!$B$2:$B$92,0)),"-"))</f>
        <v/>
      </c>
      <c r="G489" s="8" t="str">
        <f>IF($A489="","",UPPER(TRIM(INDEX(FORM!$F:$F,ROW()))))</f>
        <v/>
      </c>
      <c r="H489" s="8" t="str">
        <f>IF($A489="","",UPPER(TRIM(INDEX(FORM!$E:$E,ROW()))))</f>
        <v/>
      </c>
      <c r="I489" s="8" t="str">
        <f>IF($A489="","",UPPER(TRIM(INDEX(FORM!$G:$G,ROW()))))</f>
        <v/>
      </c>
      <c r="J489" s="8" t="str">
        <f>IF($A489="","",IF(ISNUMBER(SEARCH("Ya,",INDEX(FORM!$H:$H,ROW()))),"YA",IF(ISNUMBER(SEARCH("Cukup,",INDEX(FORM!$H:$H,ROW()))),"CUKUP",IF(ISNUMBER(SEARCH("Kurang,",INDEX(FORM!$H:$H,ROW()))),"KURANG",""))))</f>
        <v/>
      </c>
      <c r="K489" s="8" t="str">
        <f>IF($A489="","",UPPER(TRIM(INDEX(FORM!$J:$J,ROW()))))</f>
        <v/>
      </c>
      <c r="L489" s="8" t="str">
        <f>IF($A489="","",IF(ISNUMBER(SEARCH("Aktivitas Harian",INDEX(FORM!$K:$K,ROW()))),1,0))</f>
        <v/>
      </c>
      <c r="M489" s="8" t="str">
        <f>IF($A489="","",IF(ISNUMBER(SEARCH("Aktivitas Mingguan",INDEX(FORM!$K:$K,ROW()))),1,0))</f>
        <v/>
      </c>
      <c r="N489" s="8" t="str">
        <f>IF($A489="","",IF(ISNUMBER(SEARCH("Aktivitas Bulanan",INDEX(FORM!$K:$K,ROW()))),1,0))</f>
        <v/>
      </c>
      <c r="O489" s="8" t="str">
        <f>IF($A489="","",IF(ISNUMBER(SEARCH("Overview Cabang",INDEX(FORM!$K:$K,ROW()))),1,0))</f>
        <v/>
      </c>
      <c r="P489" s="8" t="str">
        <f>IF($A489="","",IFERROR(VLOOKUP(I489,DATA!$AH$9:$AI$13,2,0),""))</f>
        <v/>
      </c>
      <c r="Q489" s="8" t="str">
        <f>IF($A489="","",IFERROR(VLOOKUP(J489,DATA!$AH$9:$AI$13,2,0),""))</f>
        <v/>
      </c>
      <c r="R489" s="8" t="str">
        <f>IF($A489="","",IFERROR(VLOOKUP(K489,DATA!$AH$9:$AI$13,2,0),""))</f>
        <v/>
      </c>
      <c r="S489" s="42" t="str">
        <f t="shared" si="154"/>
        <v/>
      </c>
      <c r="T489" s="8" t="str">
        <f>IF($A489="","",IF(COUNTIF($D$2:D489,D489)=1,1,0))</f>
        <v/>
      </c>
      <c r="U489" s="8" t="str">
        <f>IF($A489="","",IF(F489="-","Cabang tdk ada",IF(IFERROR(VLOOKUP(G489,#REF!,1,0),"")="","",IF(INDEX(DATA!$AH$2:$AH$5,MATCH(G489,DATA!$AI$2:$AI$5,0))&lt;&gt;F489,"Wilayah beda","OK"))))</f>
        <v/>
      </c>
      <c r="V489" s="8" t="str">
        <f>IF($A489="","",TRIM(INDEX(FORM!$I:$I,ROW())&amp;""))</f>
        <v/>
      </c>
      <c r="W489" s="8" t="str">
        <f>IF($A489="","",TRIM(INDEX(FORM!$L:$L,ROW())&amp;""))</f>
        <v/>
      </c>
      <c r="X489" s="8" t="str">
        <f>IF($A489="","",TRIM(INDEX(FORM!$M:$M,ROW())&amp;""))</f>
        <v/>
      </c>
      <c r="Y489" s="8" t="str">
        <f>IF($A489="","",IFERROR(MATCH(F489,DATA!$AH$2:$AH$5,0),9)*10000+A489)</f>
        <v/>
      </c>
      <c r="Z489" s="8" t="str">
        <f t="shared" si="155"/>
        <v/>
      </c>
      <c r="AA489" s="8" t="str">
        <f t="shared" si="156"/>
        <v/>
      </c>
      <c r="AB489" s="8" t="str">
        <f t="shared" si="157"/>
        <v/>
      </c>
      <c r="AC489" s="8"/>
      <c r="AD489" s="8"/>
      <c r="AE489" s="8"/>
      <c r="AK489" s="5" t="str">
        <f t="shared" si="158"/>
        <v/>
      </c>
      <c r="AL489" s="5" t="str">
        <f t="shared" si="159"/>
        <v/>
      </c>
      <c r="AM489" s="5" t="str">
        <f t="shared" si="160"/>
        <v/>
      </c>
      <c r="AN489" s="5" t="str">
        <f t="shared" si="161"/>
        <v/>
      </c>
      <c r="AO489" s="5" t="str">
        <f t="shared" si="162"/>
        <v/>
      </c>
      <c r="AP489" s="5" t="str">
        <f t="shared" si="163"/>
        <v/>
      </c>
      <c r="AQ489" s="5" t="str">
        <f t="shared" si="164"/>
        <v/>
      </c>
      <c r="AR489" s="5" t="str">
        <f t="shared" si="165"/>
        <v/>
      </c>
      <c r="AS489" s="5" t="str">
        <f t="shared" si="166"/>
        <v/>
      </c>
      <c r="AT489" s="5" t="str">
        <f t="shared" si="167"/>
        <v/>
      </c>
      <c r="AU489" s="5" t="str">
        <f t="shared" si="168"/>
        <v/>
      </c>
      <c r="AV489" s="5" t="str">
        <f t="shared" si="169"/>
        <v/>
      </c>
      <c r="AW489" s="5" t="str">
        <f t="shared" si="170"/>
        <v/>
      </c>
      <c r="AX489" s="5" t="str">
        <f t="shared" si="171"/>
        <v/>
      </c>
      <c r="AY489" s="5" t="str">
        <f t="shared" si="172"/>
        <v/>
      </c>
      <c r="AZ489" s="5" t="str">
        <f t="shared" si="173"/>
        <v/>
      </c>
      <c r="BA489" s="5" t="str">
        <f t="shared" si="174"/>
        <v/>
      </c>
      <c r="BB489" s="5" t="str">
        <f t="shared" si="175"/>
        <v/>
      </c>
    </row>
    <row r="490" spans="1:54" s="5" customFormat="1" hidden="1">
      <c r="A490" s="8" t="str">
        <f>IF(INDEX(FORM!$A:$A,ROW())="","",ROW()-1)</f>
        <v/>
      </c>
      <c r="B490" s="41" t="str">
        <f>IF($A490="","",INDEX(FORM!$A:$A,ROW()))</f>
        <v/>
      </c>
      <c r="C490" s="8" t="str">
        <f>IF($A490="","",TRIM(INDEX(FORM!$B:$B,ROW())))</f>
        <v/>
      </c>
      <c r="D490" s="8" t="str">
        <f>IF($A490="","",TRIM(INDEX(FORM!$C:$C,ROW())&amp;""))</f>
        <v/>
      </c>
      <c r="E490" s="8" t="str">
        <f>IF($A490="","",UPPER(TRIM(INDEX(FORM!$D:$D,ROW()))))</f>
        <v/>
      </c>
      <c r="F490" s="8" t="str">
        <f>IF($A490="","",IFERROR(INDEX(PROGRES!$A$2:$A$92,MATCH(E490,PROGRES!$B$2:$B$92,0)),"-"))</f>
        <v/>
      </c>
      <c r="G490" s="8" t="str">
        <f>IF($A490="","",UPPER(TRIM(INDEX(FORM!$F:$F,ROW()))))</f>
        <v/>
      </c>
      <c r="H490" s="8" t="str">
        <f>IF($A490="","",UPPER(TRIM(INDEX(FORM!$E:$E,ROW()))))</f>
        <v/>
      </c>
      <c r="I490" s="8" t="str">
        <f>IF($A490="","",UPPER(TRIM(INDEX(FORM!$G:$G,ROW()))))</f>
        <v/>
      </c>
      <c r="J490" s="8" t="str">
        <f>IF($A490="","",IF(ISNUMBER(SEARCH("Ya,",INDEX(FORM!$H:$H,ROW()))),"YA",IF(ISNUMBER(SEARCH("Cukup,",INDEX(FORM!$H:$H,ROW()))),"CUKUP",IF(ISNUMBER(SEARCH("Kurang,",INDEX(FORM!$H:$H,ROW()))),"KURANG",""))))</f>
        <v/>
      </c>
      <c r="K490" s="8" t="str">
        <f>IF($A490="","",UPPER(TRIM(INDEX(FORM!$J:$J,ROW()))))</f>
        <v/>
      </c>
      <c r="L490" s="8" t="str">
        <f>IF($A490="","",IF(ISNUMBER(SEARCH("Aktivitas Harian",INDEX(FORM!$K:$K,ROW()))),1,0))</f>
        <v/>
      </c>
      <c r="M490" s="8" t="str">
        <f>IF($A490="","",IF(ISNUMBER(SEARCH("Aktivitas Mingguan",INDEX(FORM!$K:$K,ROW()))),1,0))</f>
        <v/>
      </c>
      <c r="N490" s="8" t="str">
        <f>IF($A490="","",IF(ISNUMBER(SEARCH("Aktivitas Bulanan",INDEX(FORM!$K:$K,ROW()))),1,0))</f>
        <v/>
      </c>
      <c r="O490" s="8" t="str">
        <f>IF($A490="","",IF(ISNUMBER(SEARCH("Overview Cabang",INDEX(FORM!$K:$K,ROW()))),1,0))</f>
        <v/>
      </c>
      <c r="P490" s="8" t="str">
        <f>IF($A490="","",IFERROR(VLOOKUP(I490,DATA!$AH$9:$AI$13,2,0),""))</f>
        <v/>
      </c>
      <c r="Q490" s="8" t="str">
        <f>IF($A490="","",IFERROR(VLOOKUP(J490,DATA!$AH$9:$AI$13,2,0),""))</f>
        <v/>
      </c>
      <c r="R490" s="8" t="str">
        <f>IF($A490="","",IFERROR(VLOOKUP(K490,DATA!$AH$9:$AI$13,2,0),""))</f>
        <v/>
      </c>
      <c r="S490" s="42" t="str">
        <f t="shared" si="154"/>
        <v/>
      </c>
      <c r="T490" s="8" t="str">
        <f>IF($A490="","",IF(COUNTIF($D$2:D490,D490)=1,1,0))</f>
        <v/>
      </c>
      <c r="U490" s="8" t="str">
        <f>IF($A490="","",IF(F490="-","Cabang tdk ada",IF(IFERROR(VLOOKUP(G490,#REF!,1,0),"")="","",IF(INDEX(DATA!$AH$2:$AH$5,MATCH(G490,DATA!$AI$2:$AI$5,0))&lt;&gt;F490,"Wilayah beda","OK"))))</f>
        <v/>
      </c>
      <c r="V490" s="8" t="str">
        <f>IF($A490="","",TRIM(INDEX(FORM!$I:$I,ROW())&amp;""))</f>
        <v/>
      </c>
      <c r="W490" s="8" t="str">
        <f>IF($A490="","",TRIM(INDEX(FORM!$L:$L,ROW())&amp;""))</f>
        <v/>
      </c>
      <c r="X490" s="8" t="str">
        <f>IF($A490="","",TRIM(INDEX(FORM!$M:$M,ROW())&amp;""))</f>
        <v/>
      </c>
      <c r="Y490" s="8" t="str">
        <f>IF($A490="","",IFERROR(MATCH(F490,DATA!$AH$2:$AH$5,0),9)*10000+A490)</f>
        <v/>
      </c>
      <c r="Z490" s="8" t="str">
        <f t="shared" si="155"/>
        <v/>
      </c>
      <c r="AA490" s="8" t="str">
        <f t="shared" si="156"/>
        <v/>
      </c>
      <c r="AB490" s="8" t="str">
        <f t="shared" si="157"/>
        <v/>
      </c>
      <c r="AC490" s="8"/>
      <c r="AD490" s="8"/>
      <c r="AE490" s="8"/>
      <c r="AK490" s="5" t="str">
        <f t="shared" si="158"/>
        <v/>
      </c>
      <c r="AL490" s="5" t="str">
        <f t="shared" si="159"/>
        <v/>
      </c>
      <c r="AM490" s="5" t="str">
        <f t="shared" si="160"/>
        <v/>
      </c>
      <c r="AN490" s="5" t="str">
        <f t="shared" si="161"/>
        <v/>
      </c>
      <c r="AO490" s="5" t="str">
        <f t="shared" si="162"/>
        <v/>
      </c>
      <c r="AP490" s="5" t="str">
        <f t="shared" si="163"/>
        <v/>
      </c>
      <c r="AQ490" s="5" t="str">
        <f t="shared" si="164"/>
        <v/>
      </c>
      <c r="AR490" s="5" t="str">
        <f t="shared" si="165"/>
        <v/>
      </c>
      <c r="AS490" s="5" t="str">
        <f t="shared" si="166"/>
        <v/>
      </c>
      <c r="AT490" s="5" t="str">
        <f t="shared" si="167"/>
        <v/>
      </c>
      <c r="AU490" s="5" t="str">
        <f t="shared" si="168"/>
        <v/>
      </c>
      <c r="AV490" s="5" t="str">
        <f t="shared" si="169"/>
        <v/>
      </c>
      <c r="AW490" s="5" t="str">
        <f t="shared" si="170"/>
        <v/>
      </c>
      <c r="AX490" s="5" t="str">
        <f t="shared" si="171"/>
        <v/>
      </c>
      <c r="AY490" s="5" t="str">
        <f t="shared" si="172"/>
        <v/>
      </c>
      <c r="AZ490" s="5" t="str">
        <f t="shared" si="173"/>
        <v/>
      </c>
      <c r="BA490" s="5" t="str">
        <f t="shared" si="174"/>
        <v/>
      </c>
      <c r="BB490" s="5" t="str">
        <f t="shared" si="175"/>
        <v/>
      </c>
    </row>
    <row r="491" spans="1:54" s="5" customFormat="1" hidden="1">
      <c r="A491" s="8" t="str">
        <f>IF(INDEX(FORM!$A:$A,ROW())="","",ROW()-1)</f>
        <v/>
      </c>
      <c r="B491" s="41" t="str">
        <f>IF($A491="","",INDEX(FORM!$A:$A,ROW()))</f>
        <v/>
      </c>
      <c r="C491" s="8" t="str">
        <f>IF($A491="","",TRIM(INDEX(FORM!$B:$B,ROW())))</f>
        <v/>
      </c>
      <c r="D491" s="8" t="str">
        <f>IF($A491="","",TRIM(INDEX(FORM!$C:$C,ROW())&amp;""))</f>
        <v/>
      </c>
      <c r="E491" s="8" t="str">
        <f>IF($A491="","",UPPER(TRIM(INDEX(FORM!$D:$D,ROW()))))</f>
        <v/>
      </c>
      <c r="F491" s="8" t="str">
        <f>IF($A491="","",IFERROR(INDEX(PROGRES!$A$2:$A$92,MATCH(E491,PROGRES!$B$2:$B$92,0)),"-"))</f>
        <v/>
      </c>
      <c r="G491" s="8" t="str">
        <f>IF($A491="","",UPPER(TRIM(INDEX(FORM!$F:$F,ROW()))))</f>
        <v/>
      </c>
      <c r="H491" s="8" t="str">
        <f>IF($A491="","",UPPER(TRIM(INDEX(FORM!$E:$E,ROW()))))</f>
        <v/>
      </c>
      <c r="I491" s="8" t="str">
        <f>IF($A491="","",UPPER(TRIM(INDEX(FORM!$G:$G,ROW()))))</f>
        <v/>
      </c>
      <c r="J491" s="8" t="str">
        <f>IF($A491="","",IF(ISNUMBER(SEARCH("Ya,",INDEX(FORM!$H:$H,ROW()))),"YA",IF(ISNUMBER(SEARCH("Cukup,",INDEX(FORM!$H:$H,ROW()))),"CUKUP",IF(ISNUMBER(SEARCH("Kurang,",INDEX(FORM!$H:$H,ROW()))),"KURANG",""))))</f>
        <v/>
      </c>
      <c r="K491" s="8" t="str">
        <f>IF($A491="","",UPPER(TRIM(INDEX(FORM!$J:$J,ROW()))))</f>
        <v/>
      </c>
      <c r="L491" s="8" t="str">
        <f>IF($A491="","",IF(ISNUMBER(SEARCH("Aktivitas Harian",INDEX(FORM!$K:$K,ROW()))),1,0))</f>
        <v/>
      </c>
      <c r="M491" s="8" t="str">
        <f>IF($A491="","",IF(ISNUMBER(SEARCH("Aktivitas Mingguan",INDEX(FORM!$K:$K,ROW()))),1,0))</f>
        <v/>
      </c>
      <c r="N491" s="8" t="str">
        <f>IF($A491="","",IF(ISNUMBER(SEARCH("Aktivitas Bulanan",INDEX(FORM!$K:$K,ROW()))),1,0))</f>
        <v/>
      </c>
      <c r="O491" s="8" t="str">
        <f>IF($A491="","",IF(ISNUMBER(SEARCH("Overview Cabang",INDEX(FORM!$K:$K,ROW()))),1,0))</f>
        <v/>
      </c>
      <c r="P491" s="8" t="str">
        <f>IF($A491="","",IFERROR(VLOOKUP(I491,DATA!$AH$9:$AI$13,2,0),""))</f>
        <v/>
      </c>
      <c r="Q491" s="8" t="str">
        <f>IF($A491="","",IFERROR(VLOOKUP(J491,DATA!$AH$9:$AI$13,2,0),""))</f>
        <v/>
      </c>
      <c r="R491" s="8" t="str">
        <f>IF($A491="","",IFERROR(VLOOKUP(K491,DATA!$AH$9:$AI$13,2,0),""))</f>
        <v/>
      </c>
      <c r="S491" s="42" t="str">
        <f t="shared" si="154"/>
        <v/>
      </c>
      <c r="T491" s="8" t="str">
        <f>IF($A491="","",IF(COUNTIF($D$2:D491,D491)=1,1,0))</f>
        <v/>
      </c>
      <c r="U491" s="8" t="str">
        <f>IF($A491="","",IF(F491="-","Cabang tdk ada",IF(IFERROR(VLOOKUP(G491,#REF!,1,0),"")="","",IF(INDEX(DATA!$AH$2:$AH$5,MATCH(G491,DATA!$AI$2:$AI$5,0))&lt;&gt;F491,"Wilayah beda","OK"))))</f>
        <v/>
      </c>
      <c r="V491" s="8" t="str">
        <f>IF($A491="","",TRIM(INDEX(FORM!$I:$I,ROW())&amp;""))</f>
        <v/>
      </c>
      <c r="W491" s="8" t="str">
        <f>IF($A491="","",TRIM(INDEX(FORM!$L:$L,ROW())&amp;""))</f>
        <v/>
      </c>
      <c r="X491" s="8" t="str">
        <f>IF($A491="","",TRIM(INDEX(FORM!$M:$M,ROW())&amp;""))</f>
        <v/>
      </c>
      <c r="Y491" s="8" t="str">
        <f>IF($A491="","",IFERROR(MATCH(F491,DATA!$AH$2:$AH$5,0),9)*10000+A491)</f>
        <v/>
      </c>
      <c r="Z491" s="8" t="str">
        <f t="shared" si="155"/>
        <v/>
      </c>
      <c r="AA491" s="8" t="str">
        <f t="shared" si="156"/>
        <v/>
      </c>
      <c r="AB491" s="8" t="str">
        <f t="shared" si="157"/>
        <v/>
      </c>
      <c r="AC491" s="8"/>
      <c r="AD491" s="8"/>
      <c r="AE491" s="8"/>
      <c r="AK491" s="5" t="str">
        <f t="shared" si="158"/>
        <v/>
      </c>
      <c r="AL491" s="5" t="str">
        <f t="shared" si="159"/>
        <v/>
      </c>
      <c r="AM491" s="5" t="str">
        <f t="shared" si="160"/>
        <v/>
      </c>
      <c r="AN491" s="5" t="str">
        <f t="shared" si="161"/>
        <v/>
      </c>
      <c r="AO491" s="5" t="str">
        <f t="shared" si="162"/>
        <v/>
      </c>
      <c r="AP491" s="5" t="str">
        <f t="shared" si="163"/>
        <v/>
      </c>
      <c r="AQ491" s="5" t="str">
        <f t="shared" si="164"/>
        <v/>
      </c>
      <c r="AR491" s="5" t="str">
        <f t="shared" si="165"/>
        <v/>
      </c>
      <c r="AS491" s="5" t="str">
        <f t="shared" si="166"/>
        <v/>
      </c>
      <c r="AT491" s="5" t="str">
        <f t="shared" si="167"/>
        <v/>
      </c>
      <c r="AU491" s="5" t="str">
        <f t="shared" si="168"/>
        <v/>
      </c>
      <c r="AV491" s="5" t="str">
        <f t="shared" si="169"/>
        <v/>
      </c>
      <c r="AW491" s="5" t="str">
        <f t="shared" si="170"/>
        <v/>
      </c>
      <c r="AX491" s="5" t="str">
        <f t="shared" si="171"/>
        <v/>
      </c>
      <c r="AY491" s="5" t="str">
        <f t="shared" si="172"/>
        <v/>
      </c>
      <c r="AZ491" s="5" t="str">
        <f t="shared" si="173"/>
        <v/>
      </c>
      <c r="BA491" s="5" t="str">
        <f t="shared" si="174"/>
        <v/>
      </c>
      <c r="BB491" s="5" t="str">
        <f t="shared" si="175"/>
        <v/>
      </c>
    </row>
    <row r="492" spans="1:54" s="5" customFormat="1" hidden="1">
      <c r="A492" s="8" t="str">
        <f>IF(INDEX(FORM!$A:$A,ROW())="","",ROW()-1)</f>
        <v/>
      </c>
      <c r="B492" s="41" t="str">
        <f>IF($A492="","",INDEX(FORM!$A:$A,ROW()))</f>
        <v/>
      </c>
      <c r="C492" s="8" t="str">
        <f>IF($A492="","",TRIM(INDEX(FORM!$B:$B,ROW())))</f>
        <v/>
      </c>
      <c r="D492" s="8" t="str">
        <f>IF($A492="","",TRIM(INDEX(FORM!$C:$C,ROW())&amp;""))</f>
        <v/>
      </c>
      <c r="E492" s="8" t="str">
        <f>IF($A492="","",UPPER(TRIM(INDEX(FORM!$D:$D,ROW()))))</f>
        <v/>
      </c>
      <c r="F492" s="8" t="str">
        <f>IF($A492="","",IFERROR(INDEX(PROGRES!$A$2:$A$92,MATCH(E492,PROGRES!$B$2:$B$92,0)),"-"))</f>
        <v/>
      </c>
      <c r="G492" s="8" t="str">
        <f>IF($A492="","",UPPER(TRIM(INDEX(FORM!$F:$F,ROW()))))</f>
        <v/>
      </c>
      <c r="H492" s="8" t="str">
        <f>IF($A492="","",UPPER(TRIM(INDEX(FORM!$E:$E,ROW()))))</f>
        <v/>
      </c>
      <c r="I492" s="8" t="str">
        <f>IF($A492="","",UPPER(TRIM(INDEX(FORM!$G:$G,ROW()))))</f>
        <v/>
      </c>
      <c r="J492" s="8" t="str">
        <f>IF($A492="","",IF(ISNUMBER(SEARCH("Ya,",INDEX(FORM!$H:$H,ROW()))),"YA",IF(ISNUMBER(SEARCH("Cukup,",INDEX(FORM!$H:$H,ROW()))),"CUKUP",IF(ISNUMBER(SEARCH("Kurang,",INDEX(FORM!$H:$H,ROW()))),"KURANG",""))))</f>
        <v/>
      </c>
      <c r="K492" s="8" t="str">
        <f>IF($A492="","",UPPER(TRIM(INDEX(FORM!$J:$J,ROW()))))</f>
        <v/>
      </c>
      <c r="L492" s="8" t="str">
        <f>IF($A492="","",IF(ISNUMBER(SEARCH("Aktivitas Harian",INDEX(FORM!$K:$K,ROW()))),1,0))</f>
        <v/>
      </c>
      <c r="M492" s="8" t="str">
        <f>IF($A492="","",IF(ISNUMBER(SEARCH("Aktivitas Mingguan",INDEX(FORM!$K:$K,ROW()))),1,0))</f>
        <v/>
      </c>
      <c r="N492" s="8" t="str">
        <f>IF($A492="","",IF(ISNUMBER(SEARCH("Aktivitas Bulanan",INDEX(FORM!$K:$K,ROW()))),1,0))</f>
        <v/>
      </c>
      <c r="O492" s="8" t="str">
        <f>IF($A492="","",IF(ISNUMBER(SEARCH("Overview Cabang",INDEX(FORM!$K:$K,ROW()))),1,0))</f>
        <v/>
      </c>
      <c r="P492" s="8" t="str">
        <f>IF($A492="","",IFERROR(VLOOKUP(I492,DATA!$AH$9:$AI$13,2,0),""))</f>
        <v/>
      </c>
      <c r="Q492" s="8" t="str">
        <f>IF($A492="","",IFERROR(VLOOKUP(J492,DATA!$AH$9:$AI$13,2,0),""))</f>
        <v/>
      </c>
      <c r="R492" s="8" t="str">
        <f>IF($A492="","",IFERROR(VLOOKUP(K492,DATA!$AH$9:$AI$13,2,0),""))</f>
        <v/>
      </c>
      <c r="S492" s="42" t="str">
        <f t="shared" si="154"/>
        <v/>
      </c>
      <c r="T492" s="8" t="str">
        <f>IF($A492="","",IF(COUNTIF($D$2:D492,D492)=1,1,0))</f>
        <v/>
      </c>
      <c r="U492" s="8" t="str">
        <f>IF($A492="","",IF(F492="-","Cabang tdk ada",IF(IFERROR(VLOOKUP(G492,#REF!,1,0),"")="","",IF(INDEX(DATA!$AH$2:$AH$5,MATCH(G492,DATA!$AI$2:$AI$5,0))&lt;&gt;F492,"Wilayah beda","OK"))))</f>
        <v/>
      </c>
      <c r="V492" s="8" t="str">
        <f>IF($A492="","",TRIM(INDEX(FORM!$I:$I,ROW())&amp;""))</f>
        <v/>
      </c>
      <c r="W492" s="8" t="str">
        <f>IF($A492="","",TRIM(INDEX(FORM!$L:$L,ROW())&amp;""))</f>
        <v/>
      </c>
      <c r="X492" s="8" t="str">
        <f>IF($A492="","",TRIM(INDEX(FORM!$M:$M,ROW())&amp;""))</f>
        <v/>
      </c>
      <c r="Y492" s="8" t="str">
        <f>IF($A492="","",IFERROR(MATCH(F492,DATA!$AH$2:$AH$5,0),9)*10000+A492)</f>
        <v/>
      </c>
      <c r="Z492" s="8" t="str">
        <f t="shared" si="155"/>
        <v/>
      </c>
      <c r="AA492" s="8" t="str">
        <f t="shared" si="156"/>
        <v/>
      </c>
      <c r="AB492" s="8" t="str">
        <f t="shared" si="157"/>
        <v/>
      </c>
      <c r="AC492" s="8"/>
      <c r="AD492" s="8"/>
      <c r="AE492" s="8"/>
      <c r="AK492" s="5" t="str">
        <f t="shared" si="158"/>
        <v/>
      </c>
      <c r="AL492" s="5" t="str">
        <f t="shared" si="159"/>
        <v/>
      </c>
      <c r="AM492" s="5" t="str">
        <f t="shared" si="160"/>
        <v/>
      </c>
      <c r="AN492" s="5" t="str">
        <f t="shared" si="161"/>
        <v/>
      </c>
      <c r="AO492" s="5" t="str">
        <f t="shared" si="162"/>
        <v/>
      </c>
      <c r="AP492" s="5" t="str">
        <f t="shared" si="163"/>
        <v/>
      </c>
      <c r="AQ492" s="5" t="str">
        <f t="shared" si="164"/>
        <v/>
      </c>
      <c r="AR492" s="5" t="str">
        <f t="shared" si="165"/>
        <v/>
      </c>
      <c r="AS492" s="5" t="str">
        <f t="shared" si="166"/>
        <v/>
      </c>
      <c r="AT492" s="5" t="str">
        <f t="shared" si="167"/>
        <v/>
      </c>
      <c r="AU492" s="5" t="str">
        <f t="shared" si="168"/>
        <v/>
      </c>
      <c r="AV492" s="5" t="str">
        <f t="shared" si="169"/>
        <v/>
      </c>
      <c r="AW492" s="5" t="str">
        <f t="shared" si="170"/>
        <v/>
      </c>
      <c r="AX492" s="5" t="str">
        <f t="shared" si="171"/>
        <v/>
      </c>
      <c r="AY492" s="5" t="str">
        <f t="shared" si="172"/>
        <v/>
      </c>
      <c r="AZ492" s="5" t="str">
        <f t="shared" si="173"/>
        <v/>
      </c>
      <c r="BA492" s="5" t="str">
        <f t="shared" si="174"/>
        <v/>
      </c>
      <c r="BB492" s="5" t="str">
        <f t="shared" si="175"/>
        <v/>
      </c>
    </row>
    <row r="493" spans="1:54" s="5" customFormat="1" hidden="1">
      <c r="A493" s="8" t="str">
        <f>IF(INDEX(FORM!$A:$A,ROW())="","",ROW()-1)</f>
        <v/>
      </c>
      <c r="B493" s="41" t="str">
        <f>IF($A493="","",INDEX(FORM!$A:$A,ROW()))</f>
        <v/>
      </c>
      <c r="C493" s="8" t="str">
        <f>IF($A493="","",TRIM(INDEX(FORM!$B:$B,ROW())))</f>
        <v/>
      </c>
      <c r="D493" s="8" t="str">
        <f>IF($A493="","",TRIM(INDEX(FORM!$C:$C,ROW())&amp;""))</f>
        <v/>
      </c>
      <c r="E493" s="8" t="str">
        <f>IF($A493="","",UPPER(TRIM(INDEX(FORM!$D:$D,ROW()))))</f>
        <v/>
      </c>
      <c r="F493" s="8" t="str">
        <f>IF($A493="","",IFERROR(INDEX(PROGRES!$A$2:$A$92,MATCH(E493,PROGRES!$B$2:$B$92,0)),"-"))</f>
        <v/>
      </c>
      <c r="G493" s="8" t="str">
        <f>IF($A493="","",UPPER(TRIM(INDEX(FORM!$F:$F,ROW()))))</f>
        <v/>
      </c>
      <c r="H493" s="8" t="str">
        <f>IF($A493="","",UPPER(TRIM(INDEX(FORM!$E:$E,ROW()))))</f>
        <v/>
      </c>
      <c r="I493" s="8" t="str">
        <f>IF($A493="","",UPPER(TRIM(INDEX(FORM!$G:$G,ROW()))))</f>
        <v/>
      </c>
      <c r="J493" s="8" t="str">
        <f>IF($A493="","",IF(ISNUMBER(SEARCH("Ya,",INDEX(FORM!$H:$H,ROW()))),"YA",IF(ISNUMBER(SEARCH("Cukup,",INDEX(FORM!$H:$H,ROW()))),"CUKUP",IF(ISNUMBER(SEARCH("Kurang,",INDEX(FORM!$H:$H,ROW()))),"KURANG",""))))</f>
        <v/>
      </c>
      <c r="K493" s="8" t="str">
        <f>IF($A493="","",UPPER(TRIM(INDEX(FORM!$J:$J,ROW()))))</f>
        <v/>
      </c>
      <c r="L493" s="8" t="str">
        <f>IF($A493="","",IF(ISNUMBER(SEARCH("Aktivitas Harian",INDEX(FORM!$K:$K,ROW()))),1,0))</f>
        <v/>
      </c>
      <c r="M493" s="8" t="str">
        <f>IF($A493="","",IF(ISNUMBER(SEARCH("Aktivitas Mingguan",INDEX(FORM!$K:$K,ROW()))),1,0))</f>
        <v/>
      </c>
      <c r="N493" s="8" t="str">
        <f>IF($A493="","",IF(ISNUMBER(SEARCH("Aktivitas Bulanan",INDEX(FORM!$K:$K,ROW()))),1,0))</f>
        <v/>
      </c>
      <c r="O493" s="8" t="str">
        <f>IF($A493="","",IF(ISNUMBER(SEARCH("Overview Cabang",INDEX(FORM!$K:$K,ROW()))),1,0))</f>
        <v/>
      </c>
      <c r="P493" s="8" t="str">
        <f>IF($A493="","",IFERROR(VLOOKUP(I493,DATA!$AH$9:$AI$13,2,0),""))</f>
        <v/>
      </c>
      <c r="Q493" s="8" t="str">
        <f>IF($A493="","",IFERROR(VLOOKUP(J493,DATA!$AH$9:$AI$13,2,0),""))</f>
        <v/>
      </c>
      <c r="R493" s="8" t="str">
        <f>IF($A493="","",IFERROR(VLOOKUP(K493,DATA!$AH$9:$AI$13,2,0),""))</f>
        <v/>
      </c>
      <c r="S493" s="42" t="str">
        <f t="shared" si="154"/>
        <v/>
      </c>
      <c r="T493" s="8" t="str">
        <f>IF($A493="","",IF(COUNTIF($D$2:D493,D493)=1,1,0))</f>
        <v/>
      </c>
      <c r="U493" s="8" t="str">
        <f>IF($A493="","",IF(F493="-","Cabang tdk ada",IF(IFERROR(VLOOKUP(G493,#REF!,1,0),"")="","",IF(INDEX(DATA!$AH$2:$AH$5,MATCH(G493,DATA!$AI$2:$AI$5,0))&lt;&gt;F493,"Wilayah beda","OK"))))</f>
        <v/>
      </c>
      <c r="V493" s="8" t="str">
        <f>IF($A493="","",TRIM(INDEX(FORM!$I:$I,ROW())&amp;""))</f>
        <v/>
      </c>
      <c r="W493" s="8" t="str">
        <f>IF($A493="","",TRIM(INDEX(FORM!$L:$L,ROW())&amp;""))</f>
        <v/>
      </c>
      <c r="X493" s="8" t="str">
        <f>IF($A493="","",TRIM(INDEX(FORM!$M:$M,ROW())&amp;""))</f>
        <v/>
      </c>
      <c r="Y493" s="8" t="str">
        <f>IF($A493="","",IFERROR(MATCH(F493,DATA!$AH$2:$AH$5,0),9)*10000+A493)</f>
        <v/>
      </c>
      <c r="Z493" s="8" t="str">
        <f t="shared" si="155"/>
        <v/>
      </c>
      <c r="AA493" s="8" t="str">
        <f t="shared" si="156"/>
        <v/>
      </c>
      <c r="AB493" s="8" t="str">
        <f t="shared" si="157"/>
        <v/>
      </c>
      <c r="AC493" s="8"/>
      <c r="AD493" s="8"/>
      <c r="AE493" s="8"/>
      <c r="AK493" s="5" t="str">
        <f t="shared" si="158"/>
        <v/>
      </c>
      <c r="AL493" s="5" t="str">
        <f t="shared" si="159"/>
        <v/>
      </c>
      <c r="AM493" s="5" t="str">
        <f t="shared" si="160"/>
        <v/>
      </c>
      <c r="AN493" s="5" t="str">
        <f t="shared" si="161"/>
        <v/>
      </c>
      <c r="AO493" s="5" t="str">
        <f t="shared" si="162"/>
        <v/>
      </c>
      <c r="AP493" s="5" t="str">
        <f t="shared" si="163"/>
        <v/>
      </c>
      <c r="AQ493" s="5" t="str">
        <f t="shared" si="164"/>
        <v/>
      </c>
      <c r="AR493" s="5" t="str">
        <f t="shared" si="165"/>
        <v/>
      </c>
      <c r="AS493" s="5" t="str">
        <f t="shared" si="166"/>
        <v/>
      </c>
      <c r="AT493" s="5" t="str">
        <f t="shared" si="167"/>
        <v/>
      </c>
      <c r="AU493" s="5" t="str">
        <f t="shared" si="168"/>
        <v/>
      </c>
      <c r="AV493" s="5" t="str">
        <f t="shared" si="169"/>
        <v/>
      </c>
      <c r="AW493" s="5" t="str">
        <f t="shared" si="170"/>
        <v/>
      </c>
      <c r="AX493" s="5" t="str">
        <f t="shared" si="171"/>
        <v/>
      </c>
      <c r="AY493" s="5" t="str">
        <f t="shared" si="172"/>
        <v/>
      </c>
      <c r="AZ493" s="5" t="str">
        <f t="shared" si="173"/>
        <v/>
      </c>
      <c r="BA493" s="5" t="str">
        <f t="shared" si="174"/>
        <v/>
      </c>
      <c r="BB493" s="5" t="str">
        <f t="shared" si="175"/>
        <v/>
      </c>
    </row>
    <row r="494" spans="1:54" s="5" customFormat="1" hidden="1">
      <c r="A494" s="8" t="str">
        <f>IF(INDEX(FORM!$A:$A,ROW())="","",ROW()-1)</f>
        <v/>
      </c>
      <c r="B494" s="41" t="str">
        <f>IF($A494="","",INDEX(FORM!$A:$A,ROW()))</f>
        <v/>
      </c>
      <c r="C494" s="8" t="str">
        <f>IF($A494="","",TRIM(INDEX(FORM!$B:$B,ROW())))</f>
        <v/>
      </c>
      <c r="D494" s="8" t="str">
        <f>IF($A494="","",TRIM(INDEX(FORM!$C:$C,ROW())&amp;""))</f>
        <v/>
      </c>
      <c r="E494" s="8" t="str">
        <f>IF($A494="","",UPPER(TRIM(INDEX(FORM!$D:$D,ROW()))))</f>
        <v/>
      </c>
      <c r="F494" s="8" t="str">
        <f>IF($A494="","",IFERROR(INDEX(PROGRES!$A$2:$A$92,MATCH(E494,PROGRES!$B$2:$B$92,0)),"-"))</f>
        <v/>
      </c>
      <c r="G494" s="8" t="str">
        <f>IF($A494="","",UPPER(TRIM(INDEX(FORM!$F:$F,ROW()))))</f>
        <v/>
      </c>
      <c r="H494" s="8" t="str">
        <f>IF($A494="","",UPPER(TRIM(INDEX(FORM!$E:$E,ROW()))))</f>
        <v/>
      </c>
      <c r="I494" s="8" t="str">
        <f>IF($A494="","",UPPER(TRIM(INDEX(FORM!$G:$G,ROW()))))</f>
        <v/>
      </c>
      <c r="J494" s="8" t="str">
        <f>IF($A494="","",IF(ISNUMBER(SEARCH("Ya,",INDEX(FORM!$H:$H,ROW()))),"YA",IF(ISNUMBER(SEARCH("Cukup,",INDEX(FORM!$H:$H,ROW()))),"CUKUP",IF(ISNUMBER(SEARCH("Kurang,",INDEX(FORM!$H:$H,ROW()))),"KURANG",""))))</f>
        <v/>
      </c>
      <c r="K494" s="8" t="str">
        <f>IF($A494="","",UPPER(TRIM(INDEX(FORM!$J:$J,ROW()))))</f>
        <v/>
      </c>
      <c r="L494" s="8" t="str">
        <f>IF($A494="","",IF(ISNUMBER(SEARCH("Aktivitas Harian",INDEX(FORM!$K:$K,ROW()))),1,0))</f>
        <v/>
      </c>
      <c r="M494" s="8" t="str">
        <f>IF($A494="","",IF(ISNUMBER(SEARCH("Aktivitas Mingguan",INDEX(FORM!$K:$K,ROW()))),1,0))</f>
        <v/>
      </c>
      <c r="N494" s="8" t="str">
        <f>IF($A494="","",IF(ISNUMBER(SEARCH("Aktivitas Bulanan",INDEX(FORM!$K:$K,ROW()))),1,0))</f>
        <v/>
      </c>
      <c r="O494" s="8" t="str">
        <f>IF($A494="","",IF(ISNUMBER(SEARCH("Overview Cabang",INDEX(FORM!$K:$K,ROW()))),1,0))</f>
        <v/>
      </c>
      <c r="P494" s="8" t="str">
        <f>IF($A494="","",IFERROR(VLOOKUP(I494,DATA!$AH$9:$AI$13,2,0),""))</f>
        <v/>
      </c>
      <c r="Q494" s="8" t="str">
        <f>IF($A494="","",IFERROR(VLOOKUP(J494,DATA!$AH$9:$AI$13,2,0),""))</f>
        <v/>
      </c>
      <c r="R494" s="8" t="str">
        <f>IF($A494="","",IFERROR(VLOOKUP(K494,DATA!$AH$9:$AI$13,2,0),""))</f>
        <v/>
      </c>
      <c r="S494" s="42" t="str">
        <f t="shared" si="154"/>
        <v/>
      </c>
      <c r="T494" s="8" t="str">
        <f>IF($A494="","",IF(COUNTIF($D$2:D494,D494)=1,1,0))</f>
        <v/>
      </c>
      <c r="U494" s="8" t="str">
        <f>IF($A494="","",IF(F494="-","Cabang tdk ada",IF(IFERROR(VLOOKUP(G494,#REF!,1,0),"")="","",IF(INDEX(DATA!$AH$2:$AH$5,MATCH(G494,DATA!$AI$2:$AI$5,0))&lt;&gt;F494,"Wilayah beda","OK"))))</f>
        <v/>
      </c>
      <c r="V494" s="8" t="str">
        <f>IF($A494="","",TRIM(INDEX(FORM!$I:$I,ROW())&amp;""))</f>
        <v/>
      </c>
      <c r="W494" s="8" t="str">
        <f>IF($A494="","",TRIM(INDEX(FORM!$L:$L,ROW())&amp;""))</f>
        <v/>
      </c>
      <c r="X494" s="8" t="str">
        <f>IF($A494="","",TRIM(INDEX(FORM!$M:$M,ROW())&amp;""))</f>
        <v/>
      </c>
      <c r="Y494" s="8" t="str">
        <f>IF($A494="","",IFERROR(MATCH(F494,DATA!$AH$2:$AH$5,0),9)*10000+A494)</f>
        <v/>
      </c>
      <c r="Z494" s="8" t="str">
        <f t="shared" si="155"/>
        <v/>
      </c>
      <c r="AA494" s="8" t="str">
        <f t="shared" si="156"/>
        <v/>
      </c>
      <c r="AB494" s="8" t="str">
        <f t="shared" si="157"/>
        <v/>
      </c>
      <c r="AC494" s="8"/>
      <c r="AD494" s="8"/>
      <c r="AE494" s="8"/>
      <c r="AK494" s="5" t="str">
        <f t="shared" si="158"/>
        <v/>
      </c>
      <c r="AL494" s="5" t="str">
        <f t="shared" si="159"/>
        <v/>
      </c>
      <c r="AM494" s="5" t="str">
        <f t="shared" si="160"/>
        <v/>
      </c>
      <c r="AN494" s="5" t="str">
        <f t="shared" si="161"/>
        <v/>
      </c>
      <c r="AO494" s="5" t="str">
        <f t="shared" si="162"/>
        <v/>
      </c>
      <c r="AP494" s="5" t="str">
        <f t="shared" si="163"/>
        <v/>
      </c>
      <c r="AQ494" s="5" t="str">
        <f t="shared" si="164"/>
        <v/>
      </c>
      <c r="AR494" s="5" t="str">
        <f t="shared" si="165"/>
        <v/>
      </c>
      <c r="AS494" s="5" t="str">
        <f t="shared" si="166"/>
        <v/>
      </c>
      <c r="AT494" s="5" t="str">
        <f t="shared" si="167"/>
        <v/>
      </c>
      <c r="AU494" s="5" t="str">
        <f t="shared" si="168"/>
        <v/>
      </c>
      <c r="AV494" s="5" t="str">
        <f t="shared" si="169"/>
        <v/>
      </c>
      <c r="AW494" s="5" t="str">
        <f t="shared" si="170"/>
        <v/>
      </c>
      <c r="AX494" s="5" t="str">
        <f t="shared" si="171"/>
        <v/>
      </c>
      <c r="AY494" s="5" t="str">
        <f t="shared" si="172"/>
        <v/>
      </c>
      <c r="AZ494" s="5" t="str">
        <f t="shared" si="173"/>
        <v/>
      </c>
      <c r="BA494" s="5" t="str">
        <f t="shared" si="174"/>
        <v/>
      </c>
      <c r="BB494" s="5" t="str">
        <f t="shared" si="175"/>
        <v/>
      </c>
    </row>
    <row r="495" spans="1:54" s="5" customFormat="1" hidden="1">
      <c r="A495" s="8" t="str">
        <f>IF(INDEX(FORM!$A:$A,ROW())="","",ROW()-1)</f>
        <v/>
      </c>
      <c r="B495" s="41" t="str">
        <f>IF($A495="","",INDEX(FORM!$A:$A,ROW()))</f>
        <v/>
      </c>
      <c r="C495" s="8" t="str">
        <f>IF($A495="","",TRIM(INDEX(FORM!$B:$B,ROW())))</f>
        <v/>
      </c>
      <c r="D495" s="8" t="str">
        <f>IF($A495="","",TRIM(INDEX(FORM!$C:$C,ROW())&amp;""))</f>
        <v/>
      </c>
      <c r="E495" s="8" t="str">
        <f>IF($A495="","",UPPER(TRIM(INDEX(FORM!$D:$D,ROW()))))</f>
        <v/>
      </c>
      <c r="F495" s="8" t="str">
        <f>IF($A495="","",IFERROR(INDEX(PROGRES!$A$2:$A$92,MATCH(E495,PROGRES!$B$2:$B$92,0)),"-"))</f>
        <v/>
      </c>
      <c r="G495" s="8" t="str">
        <f>IF($A495="","",UPPER(TRIM(INDEX(FORM!$F:$F,ROW()))))</f>
        <v/>
      </c>
      <c r="H495" s="8" t="str">
        <f>IF($A495="","",UPPER(TRIM(INDEX(FORM!$E:$E,ROW()))))</f>
        <v/>
      </c>
      <c r="I495" s="8" t="str">
        <f>IF($A495="","",UPPER(TRIM(INDEX(FORM!$G:$G,ROW()))))</f>
        <v/>
      </c>
      <c r="J495" s="8" t="str">
        <f>IF($A495="","",IF(ISNUMBER(SEARCH("Ya,",INDEX(FORM!$H:$H,ROW()))),"YA",IF(ISNUMBER(SEARCH("Cukup,",INDEX(FORM!$H:$H,ROW()))),"CUKUP",IF(ISNUMBER(SEARCH("Kurang,",INDEX(FORM!$H:$H,ROW()))),"KURANG",""))))</f>
        <v/>
      </c>
      <c r="K495" s="8" t="str">
        <f>IF($A495="","",UPPER(TRIM(INDEX(FORM!$J:$J,ROW()))))</f>
        <v/>
      </c>
      <c r="L495" s="8" t="str">
        <f>IF($A495="","",IF(ISNUMBER(SEARCH("Aktivitas Harian",INDEX(FORM!$K:$K,ROW()))),1,0))</f>
        <v/>
      </c>
      <c r="M495" s="8" t="str">
        <f>IF($A495="","",IF(ISNUMBER(SEARCH("Aktivitas Mingguan",INDEX(FORM!$K:$K,ROW()))),1,0))</f>
        <v/>
      </c>
      <c r="N495" s="8" t="str">
        <f>IF($A495="","",IF(ISNUMBER(SEARCH("Aktivitas Bulanan",INDEX(FORM!$K:$K,ROW()))),1,0))</f>
        <v/>
      </c>
      <c r="O495" s="8" t="str">
        <f>IF($A495="","",IF(ISNUMBER(SEARCH("Overview Cabang",INDEX(FORM!$K:$K,ROW()))),1,0))</f>
        <v/>
      </c>
      <c r="P495" s="8" t="str">
        <f>IF($A495="","",IFERROR(VLOOKUP(I495,DATA!$AH$9:$AI$13,2,0),""))</f>
        <v/>
      </c>
      <c r="Q495" s="8" t="str">
        <f>IF($A495="","",IFERROR(VLOOKUP(J495,DATA!$AH$9:$AI$13,2,0),""))</f>
        <v/>
      </c>
      <c r="R495" s="8" t="str">
        <f>IF($A495="","",IFERROR(VLOOKUP(K495,DATA!$AH$9:$AI$13,2,0),""))</f>
        <v/>
      </c>
      <c r="S495" s="42" t="str">
        <f t="shared" si="154"/>
        <v/>
      </c>
      <c r="T495" s="8" t="str">
        <f>IF($A495="","",IF(COUNTIF($D$2:D495,D495)=1,1,0))</f>
        <v/>
      </c>
      <c r="U495" s="8" t="str">
        <f>IF($A495="","",IF(F495="-","Cabang tdk ada",IF(IFERROR(VLOOKUP(G495,#REF!,1,0),"")="","",IF(INDEX(DATA!$AH$2:$AH$5,MATCH(G495,DATA!$AI$2:$AI$5,0))&lt;&gt;F495,"Wilayah beda","OK"))))</f>
        <v/>
      </c>
      <c r="V495" s="8" t="str">
        <f>IF($A495="","",TRIM(INDEX(FORM!$I:$I,ROW())&amp;""))</f>
        <v/>
      </c>
      <c r="W495" s="8" t="str">
        <f>IF($A495="","",TRIM(INDEX(FORM!$L:$L,ROW())&amp;""))</f>
        <v/>
      </c>
      <c r="X495" s="8" t="str">
        <f>IF($A495="","",TRIM(INDEX(FORM!$M:$M,ROW())&amp;""))</f>
        <v/>
      </c>
      <c r="Y495" s="8" t="str">
        <f>IF($A495="","",IFERROR(MATCH(F495,DATA!$AH$2:$AH$5,0),9)*10000+A495)</f>
        <v/>
      </c>
      <c r="Z495" s="8" t="str">
        <f t="shared" si="155"/>
        <v/>
      </c>
      <c r="AA495" s="8" t="str">
        <f t="shared" si="156"/>
        <v/>
      </c>
      <c r="AB495" s="8" t="str">
        <f t="shared" si="157"/>
        <v/>
      </c>
      <c r="AC495" s="8"/>
      <c r="AD495" s="8"/>
      <c r="AE495" s="8"/>
      <c r="AK495" s="5" t="str">
        <f t="shared" si="158"/>
        <v/>
      </c>
      <c r="AL495" s="5" t="str">
        <f t="shared" si="159"/>
        <v/>
      </c>
      <c r="AM495" s="5" t="str">
        <f t="shared" si="160"/>
        <v/>
      </c>
      <c r="AN495" s="5" t="str">
        <f t="shared" si="161"/>
        <v/>
      </c>
      <c r="AO495" s="5" t="str">
        <f t="shared" si="162"/>
        <v/>
      </c>
      <c r="AP495" s="5" t="str">
        <f t="shared" si="163"/>
        <v/>
      </c>
      <c r="AQ495" s="5" t="str">
        <f t="shared" si="164"/>
        <v/>
      </c>
      <c r="AR495" s="5" t="str">
        <f t="shared" si="165"/>
        <v/>
      </c>
      <c r="AS495" s="5" t="str">
        <f t="shared" si="166"/>
        <v/>
      </c>
      <c r="AT495" s="5" t="str">
        <f t="shared" si="167"/>
        <v/>
      </c>
      <c r="AU495" s="5" t="str">
        <f t="shared" si="168"/>
        <v/>
      </c>
      <c r="AV495" s="5" t="str">
        <f t="shared" si="169"/>
        <v/>
      </c>
      <c r="AW495" s="5" t="str">
        <f t="shared" si="170"/>
        <v/>
      </c>
      <c r="AX495" s="5" t="str">
        <f t="shared" si="171"/>
        <v/>
      </c>
      <c r="AY495" s="5" t="str">
        <f t="shared" si="172"/>
        <v/>
      </c>
      <c r="AZ495" s="5" t="str">
        <f t="shared" si="173"/>
        <v/>
      </c>
      <c r="BA495" s="5" t="str">
        <f t="shared" si="174"/>
        <v/>
      </c>
      <c r="BB495" s="5" t="str">
        <f t="shared" si="175"/>
        <v/>
      </c>
    </row>
    <row r="496" spans="1:54" s="5" customFormat="1" hidden="1">
      <c r="A496" s="8" t="str">
        <f>IF(INDEX(FORM!$A:$A,ROW())="","",ROW()-1)</f>
        <v/>
      </c>
      <c r="B496" s="41" t="str">
        <f>IF($A496="","",INDEX(FORM!$A:$A,ROW()))</f>
        <v/>
      </c>
      <c r="C496" s="8" t="str">
        <f>IF($A496="","",TRIM(INDEX(FORM!$B:$B,ROW())))</f>
        <v/>
      </c>
      <c r="D496" s="8" t="str">
        <f>IF($A496="","",TRIM(INDEX(FORM!$C:$C,ROW())&amp;""))</f>
        <v/>
      </c>
      <c r="E496" s="8" t="str">
        <f>IF($A496="","",UPPER(TRIM(INDEX(FORM!$D:$D,ROW()))))</f>
        <v/>
      </c>
      <c r="F496" s="8" t="str">
        <f>IF($A496="","",IFERROR(INDEX(PROGRES!$A$2:$A$92,MATCH(E496,PROGRES!$B$2:$B$92,0)),"-"))</f>
        <v/>
      </c>
      <c r="G496" s="8" t="str">
        <f>IF($A496="","",UPPER(TRIM(INDEX(FORM!$F:$F,ROW()))))</f>
        <v/>
      </c>
      <c r="H496" s="8" t="str">
        <f>IF($A496="","",UPPER(TRIM(INDEX(FORM!$E:$E,ROW()))))</f>
        <v/>
      </c>
      <c r="I496" s="8" t="str">
        <f>IF($A496="","",UPPER(TRIM(INDEX(FORM!$G:$G,ROW()))))</f>
        <v/>
      </c>
      <c r="J496" s="8" t="str">
        <f>IF($A496="","",IF(ISNUMBER(SEARCH("Ya,",INDEX(FORM!$H:$H,ROW()))),"YA",IF(ISNUMBER(SEARCH("Cukup,",INDEX(FORM!$H:$H,ROW()))),"CUKUP",IF(ISNUMBER(SEARCH("Kurang,",INDEX(FORM!$H:$H,ROW()))),"KURANG",""))))</f>
        <v/>
      </c>
      <c r="K496" s="8" t="str">
        <f>IF($A496="","",UPPER(TRIM(INDEX(FORM!$J:$J,ROW()))))</f>
        <v/>
      </c>
      <c r="L496" s="8" t="str">
        <f>IF($A496="","",IF(ISNUMBER(SEARCH("Aktivitas Harian",INDEX(FORM!$K:$K,ROW()))),1,0))</f>
        <v/>
      </c>
      <c r="M496" s="8" t="str">
        <f>IF($A496="","",IF(ISNUMBER(SEARCH("Aktivitas Mingguan",INDEX(FORM!$K:$K,ROW()))),1,0))</f>
        <v/>
      </c>
      <c r="N496" s="8" t="str">
        <f>IF($A496="","",IF(ISNUMBER(SEARCH("Aktivitas Bulanan",INDEX(FORM!$K:$K,ROW()))),1,0))</f>
        <v/>
      </c>
      <c r="O496" s="8" t="str">
        <f>IF($A496="","",IF(ISNUMBER(SEARCH("Overview Cabang",INDEX(FORM!$K:$K,ROW()))),1,0))</f>
        <v/>
      </c>
      <c r="P496" s="8" t="str">
        <f>IF($A496="","",IFERROR(VLOOKUP(I496,DATA!$AH$9:$AI$13,2,0),""))</f>
        <v/>
      </c>
      <c r="Q496" s="8" t="str">
        <f>IF($A496="","",IFERROR(VLOOKUP(J496,DATA!$AH$9:$AI$13,2,0),""))</f>
        <v/>
      </c>
      <c r="R496" s="8" t="str">
        <f>IF($A496="","",IFERROR(VLOOKUP(K496,DATA!$AH$9:$AI$13,2,0),""))</f>
        <v/>
      </c>
      <c r="S496" s="42" t="str">
        <f t="shared" si="154"/>
        <v/>
      </c>
      <c r="T496" s="8" t="str">
        <f>IF($A496="","",IF(COUNTIF($D$2:D496,D496)=1,1,0))</f>
        <v/>
      </c>
      <c r="U496" s="8" t="str">
        <f>IF($A496="","",IF(F496="-","Cabang tdk ada",IF(IFERROR(VLOOKUP(G496,#REF!,1,0),"")="","",IF(INDEX(DATA!$AH$2:$AH$5,MATCH(G496,DATA!$AI$2:$AI$5,0))&lt;&gt;F496,"Wilayah beda","OK"))))</f>
        <v/>
      </c>
      <c r="V496" s="8" t="str">
        <f>IF($A496="","",TRIM(INDEX(FORM!$I:$I,ROW())&amp;""))</f>
        <v/>
      </c>
      <c r="W496" s="8" t="str">
        <f>IF($A496="","",TRIM(INDEX(FORM!$L:$L,ROW())&amp;""))</f>
        <v/>
      </c>
      <c r="X496" s="8" t="str">
        <f>IF($A496="","",TRIM(INDEX(FORM!$M:$M,ROW())&amp;""))</f>
        <v/>
      </c>
      <c r="Y496" s="8" t="str">
        <f>IF($A496="","",IFERROR(MATCH(F496,DATA!$AH$2:$AH$5,0),9)*10000+A496)</f>
        <v/>
      </c>
      <c r="Z496" s="8" t="str">
        <f t="shared" si="155"/>
        <v/>
      </c>
      <c r="AA496" s="8" t="str">
        <f t="shared" si="156"/>
        <v/>
      </c>
      <c r="AB496" s="8" t="str">
        <f t="shared" si="157"/>
        <v/>
      </c>
      <c r="AC496" s="8"/>
      <c r="AD496" s="8"/>
      <c r="AE496" s="8"/>
      <c r="AK496" s="5" t="str">
        <f t="shared" si="158"/>
        <v/>
      </c>
      <c r="AL496" s="5" t="str">
        <f t="shared" si="159"/>
        <v/>
      </c>
      <c r="AM496" s="5" t="str">
        <f t="shared" si="160"/>
        <v/>
      </c>
      <c r="AN496" s="5" t="str">
        <f t="shared" si="161"/>
        <v/>
      </c>
      <c r="AO496" s="5" t="str">
        <f t="shared" si="162"/>
        <v/>
      </c>
      <c r="AP496" s="5" t="str">
        <f t="shared" si="163"/>
        <v/>
      </c>
      <c r="AQ496" s="5" t="str">
        <f t="shared" si="164"/>
        <v/>
      </c>
      <c r="AR496" s="5" t="str">
        <f t="shared" si="165"/>
        <v/>
      </c>
      <c r="AS496" s="5" t="str">
        <f t="shared" si="166"/>
        <v/>
      </c>
      <c r="AT496" s="5" t="str">
        <f t="shared" si="167"/>
        <v/>
      </c>
      <c r="AU496" s="5" t="str">
        <f t="shared" si="168"/>
        <v/>
      </c>
      <c r="AV496" s="5" t="str">
        <f t="shared" si="169"/>
        <v/>
      </c>
      <c r="AW496" s="5" t="str">
        <f t="shared" si="170"/>
        <v/>
      </c>
      <c r="AX496" s="5" t="str">
        <f t="shared" si="171"/>
        <v/>
      </c>
      <c r="AY496" s="5" t="str">
        <f t="shared" si="172"/>
        <v/>
      </c>
      <c r="AZ496" s="5" t="str">
        <f t="shared" si="173"/>
        <v/>
      </c>
      <c r="BA496" s="5" t="str">
        <f t="shared" si="174"/>
        <v/>
      </c>
      <c r="BB496" s="5" t="str">
        <f t="shared" si="175"/>
        <v/>
      </c>
    </row>
    <row r="497" spans="1:54" s="5" customFormat="1" hidden="1">
      <c r="A497" s="8" t="str">
        <f>IF(INDEX(FORM!$A:$A,ROW())="","",ROW()-1)</f>
        <v/>
      </c>
      <c r="B497" s="41" t="str">
        <f>IF($A497="","",INDEX(FORM!$A:$A,ROW()))</f>
        <v/>
      </c>
      <c r="C497" s="8" t="str">
        <f>IF($A497="","",TRIM(INDEX(FORM!$B:$B,ROW())))</f>
        <v/>
      </c>
      <c r="D497" s="8" t="str">
        <f>IF($A497="","",TRIM(INDEX(FORM!$C:$C,ROW())&amp;""))</f>
        <v/>
      </c>
      <c r="E497" s="8" t="str">
        <f>IF($A497="","",UPPER(TRIM(INDEX(FORM!$D:$D,ROW()))))</f>
        <v/>
      </c>
      <c r="F497" s="8" t="str">
        <f>IF($A497="","",IFERROR(INDEX(PROGRES!$A$2:$A$92,MATCH(E497,PROGRES!$B$2:$B$92,0)),"-"))</f>
        <v/>
      </c>
      <c r="G497" s="8" t="str">
        <f>IF($A497="","",UPPER(TRIM(INDEX(FORM!$F:$F,ROW()))))</f>
        <v/>
      </c>
      <c r="H497" s="8" t="str">
        <f>IF($A497="","",UPPER(TRIM(INDEX(FORM!$E:$E,ROW()))))</f>
        <v/>
      </c>
      <c r="I497" s="8" t="str">
        <f>IF($A497="","",UPPER(TRIM(INDEX(FORM!$G:$G,ROW()))))</f>
        <v/>
      </c>
      <c r="J497" s="8" t="str">
        <f>IF($A497="","",IF(ISNUMBER(SEARCH("Ya,",INDEX(FORM!$H:$H,ROW()))),"YA",IF(ISNUMBER(SEARCH("Cukup,",INDEX(FORM!$H:$H,ROW()))),"CUKUP",IF(ISNUMBER(SEARCH("Kurang,",INDEX(FORM!$H:$H,ROW()))),"KURANG",""))))</f>
        <v/>
      </c>
      <c r="K497" s="8" t="str">
        <f>IF($A497="","",UPPER(TRIM(INDEX(FORM!$J:$J,ROW()))))</f>
        <v/>
      </c>
      <c r="L497" s="8" t="str">
        <f>IF($A497="","",IF(ISNUMBER(SEARCH("Aktivitas Harian",INDEX(FORM!$K:$K,ROW()))),1,0))</f>
        <v/>
      </c>
      <c r="M497" s="8" t="str">
        <f>IF($A497="","",IF(ISNUMBER(SEARCH("Aktivitas Mingguan",INDEX(FORM!$K:$K,ROW()))),1,0))</f>
        <v/>
      </c>
      <c r="N497" s="8" t="str">
        <f>IF($A497="","",IF(ISNUMBER(SEARCH("Aktivitas Bulanan",INDEX(FORM!$K:$K,ROW()))),1,0))</f>
        <v/>
      </c>
      <c r="O497" s="8" t="str">
        <f>IF($A497="","",IF(ISNUMBER(SEARCH("Overview Cabang",INDEX(FORM!$K:$K,ROW()))),1,0))</f>
        <v/>
      </c>
      <c r="P497" s="8" t="str">
        <f>IF($A497="","",IFERROR(VLOOKUP(I497,DATA!$AH$9:$AI$13,2,0),""))</f>
        <v/>
      </c>
      <c r="Q497" s="8" t="str">
        <f>IF($A497="","",IFERROR(VLOOKUP(J497,DATA!$AH$9:$AI$13,2,0),""))</f>
        <v/>
      </c>
      <c r="R497" s="8" t="str">
        <f>IF($A497="","",IFERROR(VLOOKUP(K497,DATA!$AH$9:$AI$13,2,0),""))</f>
        <v/>
      </c>
      <c r="S497" s="42" t="str">
        <f t="shared" si="154"/>
        <v/>
      </c>
      <c r="T497" s="8" t="str">
        <f>IF($A497="","",IF(COUNTIF($D$2:D497,D497)=1,1,0))</f>
        <v/>
      </c>
      <c r="U497" s="8" t="str">
        <f>IF($A497="","",IF(F497="-","Cabang tdk ada",IF(IFERROR(VLOOKUP(G497,#REF!,1,0),"")="","",IF(INDEX(DATA!$AH$2:$AH$5,MATCH(G497,DATA!$AI$2:$AI$5,0))&lt;&gt;F497,"Wilayah beda","OK"))))</f>
        <v/>
      </c>
      <c r="V497" s="8" t="str">
        <f>IF($A497="","",TRIM(INDEX(FORM!$I:$I,ROW())&amp;""))</f>
        <v/>
      </c>
      <c r="W497" s="8" t="str">
        <f>IF($A497="","",TRIM(INDEX(FORM!$L:$L,ROW())&amp;""))</f>
        <v/>
      </c>
      <c r="X497" s="8" t="str">
        <f>IF($A497="","",TRIM(INDEX(FORM!$M:$M,ROW())&amp;""))</f>
        <v/>
      </c>
      <c r="Y497" s="8" t="str">
        <f>IF($A497="","",IFERROR(MATCH(F497,DATA!$AH$2:$AH$5,0),9)*10000+A497)</f>
        <v/>
      </c>
      <c r="Z497" s="8" t="str">
        <f t="shared" si="155"/>
        <v/>
      </c>
      <c r="AA497" s="8" t="str">
        <f t="shared" si="156"/>
        <v/>
      </c>
      <c r="AB497" s="8" t="str">
        <f t="shared" si="157"/>
        <v/>
      </c>
      <c r="AC497" s="8"/>
      <c r="AD497" s="8"/>
      <c r="AE497" s="8"/>
      <c r="AK497" s="5" t="str">
        <f t="shared" si="158"/>
        <v/>
      </c>
      <c r="AL497" s="5" t="str">
        <f t="shared" si="159"/>
        <v/>
      </c>
      <c r="AM497" s="5" t="str">
        <f t="shared" si="160"/>
        <v/>
      </c>
      <c r="AN497" s="5" t="str">
        <f t="shared" si="161"/>
        <v/>
      </c>
      <c r="AO497" s="5" t="str">
        <f t="shared" si="162"/>
        <v/>
      </c>
      <c r="AP497" s="5" t="str">
        <f t="shared" si="163"/>
        <v/>
      </c>
      <c r="AQ497" s="5" t="str">
        <f t="shared" si="164"/>
        <v/>
      </c>
      <c r="AR497" s="5" t="str">
        <f t="shared" si="165"/>
        <v/>
      </c>
      <c r="AS497" s="5" t="str">
        <f t="shared" si="166"/>
        <v/>
      </c>
      <c r="AT497" s="5" t="str">
        <f t="shared" si="167"/>
        <v/>
      </c>
      <c r="AU497" s="5" t="str">
        <f t="shared" si="168"/>
        <v/>
      </c>
      <c r="AV497" s="5" t="str">
        <f t="shared" si="169"/>
        <v/>
      </c>
      <c r="AW497" s="5" t="str">
        <f t="shared" si="170"/>
        <v/>
      </c>
      <c r="AX497" s="5" t="str">
        <f t="shared" si="171"/>
        <v/>
      </c>
      <c r="AY497" s="5" t="str">
        <f t="shared" si="172"/>
        <v/>
      </c>
      <c r="AZ497" s="5" t="str">
        <f t="shared" si="173"/>
        <v/>
      </c>
      <c r="BA497" s="5" t="str">
        <f t="shared" si="174"/>
        <v/>
      </c>
      <c r="BB497" s="5" t="str">
        <f t="shared" si="175"/>
        <v/>
      </c>
    </row>
    <row r="498" spans="1:54" s="5" customFormat="1" hidden="1">
      <c r="A498" s="8" t="str">
        <f>IF(INDEX(FORM!$A:$A,ROW())="","",ROW()-1)</f>
        <v/>
      </c>
      <c r="B498" s="41" t="str">
        <f>IF($A498="","",INDEX(FORM!$A:$A,ROW()))</f>
        <v/>
      </c>
      <c r="C498" s="8" t="str">
        <f>IF($A498="","",TRIM(INDEX(FORM!$B:$B,ROW())))</f>
        <v/>
      </c>
      <c r="D498" s="8" t="str">
        <f>IF($A498="","",TRIM(INDEX(FORM!$C:$C,ROW())&amp;""))</f>
        <v/>
      </c>
      <c r="E498" s="8" t="str">
        <f>IF($A498="","",UPPER(TRIM(INDEX(FORM!$D:$D,ROW()))))</f>
        <v/>
      </c>
      <c r="F498" s="8" t="str">
        <f>IF($A498="","",IFERROR(INDEX(PROGRES!$A$2:$A$92,MATCH(E498,PROGRES!$B$2:$B$92,0)),"-"))</f>
        <v/>
      </c>
      <c r="G498" s="8" t="str">
        <f>IF($A498="","",UPPER(TRIM(INDEX(FORM!$F:$F,ROW()))))</f>
        <v/>
      </c>
      <c r="H498" s="8" t="str">
        <f>IF($A498="","",UPPER(TRIM(INDEX(FORM!$E:$E,ROW()))))</f>
        <v/>
      </c>
      <c r="I498" s="8" t="str">
        <f>IF($A498="","",UPPER(TRIM(INDEX(FORM!$G:$G,ROW()))))</f>
        <v/>
      </c>
      <c r="J498" s="8" t="str">
        <f>IF($A498="","",IF(ISNUMBER(SEARCH("Ya,",INDEX(FORM!$H:$H,ROW()))),"YA",IF(ISNUMBER(SEARCH("Cukup,",INDEX(FORM!$H:$H,ROW()))),"CUKUP",IF(ISNUMBER(SEARCH("Kurang,",INDEX(FORM!$H:$H,ROW()))),"KURANG",""))))</f>
        <v/>
      </c>
      <c r="K498" s="8" t="str">
        <f>IF($A498="","",UPPER(TRIM(INDEX(FORM!$J:$J,ROW()))))</f>
        <v/>
      </c>
      <c r="L498" s="8" t="str">
        <f>IF($A498="","",IF(ISNUMBER(SEARCH("Aktivitas Harian",INDEX(FORM!$K:$K,ROW()))),1,0))</f>
        <v/>
      </c>
      <c r="M498" s="8" t="str">
        <f>IF($A498="","",IF(ISNUMBER(SEARCH("Aktivitas Mingguan",INDEX(FORM!$K:$K,ROW()))),1,0))</f>
        <v/>
      </c>
      <c r="N498" s="8" t="str">
        <f>IF($A498="","",IF(ISNUMBER(SEARCH("Aktivitas Bulanan",INDEX(FORM!$K:$K,ROW()))),1,0))</f>
        <v/>
      </c>
      <c r="O498" s="8" t="str">
        <f>IF($A498="","",IF(ISNUMBER(SEARCH("Overview Cabang",INDEX(FORM!$K:$K,ROW()))),1,0))</f>
        <v/>
      </c>
      <c r="P498" s="8" t="str">
        <f>IF($A498="","",IFERROR(VLOOKUP(I498,DATA!$AH$9:$AI$13,2,0),""))</f>
        <v/>
      </c>
      <c r="Q498" s="8" t="str">
        <f>IF($A498="","",IFERROR(VLOOKUP(J498,DATA!$AH$9:$AI$13,2,0),""))</f>
        <v/>
      </c>
      <c r="R498" s="8" t="str">
        <f>IF($A498="","",IFERROR(VLOOKUP(K498,DATA!$AH$9:$AI$13,2,0),""))</f>
        <v/>
      </c>
      <c r="S498" s="42" t="str">
        <f t="shared" si="154"/>
        <v/>
      </c>
      <c r="T498" s="8" t="str">
        <f>IF($A498="","",IF(COUNTIF($D$2:D498,D498)=1,1,0))</f>
        <v/>
      </c>
      <c r="U498" s="8" t="str">
        <f>IF($A498="","",IF(F498="-","Cabang tdk ada",IF(IFERROR(VLOOKUP(G498,#REF!,1,0),"")="","",IF(INDEX(DATA!$AH$2:$AH$5,MATCH(G498,DATA!$AI$2:$AI$5,0))&lt;&gt;F498,"Wilayah beda","OK"))))</f>
        <v/>
      </c>
      <c r="V498" s="8" t="str">
        <f>IF($A498="","",TRIM(INDEX(FORM!$I:$I,ROW())&amp;""))</f>
        <v/>
      </c>
      <c r="W498" s="8" t="str">
        <f>IF($A498="","",TRIM(INDEX(FORM!$L:$L,ROW())&amp;""))</f>
        <v/>
      </c>
      <c r="X498" s="8" t="str">
        <f>IF($A498="","",TRIM(INDEX(FORM!$M:$M,ROW())&amp;""))</f>
        <v/>
      </c>
      <c r="Y498" s="8" t="str">
        <f>IF($A498="","",IFERROR(MATCH(F498,DATA!$AH$2:$AH$5,0),9)*10000+A498)</f>
        <v/>
      </c>
      <c r="Z498" s="8" t="str">
        <f t="shared" si="155"/>
        <v/>
      </c>
      <c r="AA498" s="8" t="str">
        <f t="shared" si="156"/>
        <v/>
      </c>
      <c r="AB498" s="8" t="str">
        <f t="shared" si="157"/>
        <v/>
      </c>
      <c r="AC498" s="8"/>
      <c r="AD498" s="8"/>
      <c r="AE498" s="8"/>
      <c r="AK498" s="5" t="str">
        <f t="shared" si="158"/>
        <v/>
      </c>
      <c r="AL498" s="5" t="str">
        <f t="shared" si="159"/>
        <v/>
      </c>
      <c r="AM498" s="5" t="str">
        <f t="shared" si="160"/>
        <v/>
      </c>
      <c r="AN498" s="5" t="str">
        <f t="shared" si="161"/>
        <v/>
      </c>
      <c r="AO498" s="5" t="str">
        <f t="shared" si="162"/>
        <v/>
      </c>
      <c r="AP498" s="5" t="str">
        <f t="shared" si="163"/>
        <v/>
      </c>
      <c r="AQ498" s="5" t="str">
        <f t="shared" si="164"/>
        <v/>
      </c>
      <c r="AR498" s="5" t="str">
        <f t="shared" si="165"/>
        <v/>
      </c>
      <c r="AS498" s="5" t="str">
        <f t="shared" si="166"/>
        <v/>
      </c>
      <c r="AT498" s="5" t="str">
        <f t="shared" si="167"/>
        <v/>
      </c>
      <c r="AU498" s="5" t="str">
        <f t="shared" si="168"/>
        <v/>
      </c>
      <c r="AV498" s="5" t="str">
        <f t="shared" si="169"/>
        <v/>
      </c>
      <c r="AW498" s="5" t="str">
        <f t="shared" si="170"/>
        <v/>
      </c>
      <c r="AX498" s="5" t="str">
        <f t="shared" si="171"/>
        <v/>
      </c>
      <c r="AY498" s="5" t="str">
        <f t="shared" si="172"/>
        <v/>
      </c>
      <c r="AZ498" s="5" t="str">
        <f t="shared" si="173"/>
        <v/>
      </c>
      <c r="BA498" s="5" t="str">
        <f t="shared" si="174"/>
        <v/>
      </c>
      <c r="BB498" s="5" t="str">
        <f t="shared" si="175"/>
        <v/>
      </c>
    </row>
    <row r="499" spans="1:54" s="5" customFormat="1" hidden="1">
      <c r="A499" s="8" t="str">
        <f>IF(INDEX(FORM!$A:$A,ROW())="","",ROW()-1)</f>
        <v/>
      </c>
      <c r="B499" s="41" t="str">
        <f>IF($A499="","",INDEX(FORM!$A:$A,ROW()))</f>
        <v/>
      </c>
      <c r="C499" s="8" t="str">
        <f>IF($A499="","",TRIM(INDEX(FORM!$B:$B,ROW())))</f>
        <v/>
      </c>
      <c r="D499" s="8" t="str">
        <f>IF($A499="","",TRIM(INDEX(FORM!$C:$C,ROW())&amp;""))</f>
        <v/>
      </c>
      <c r="E499" s="8" t="str">
        <f>IF($A499="","",UPPER(TRIM(INDEX(FORM!$D:$D,ROW()))))</f>
        <v/>
      </c>
      <c r="F499" s="8" t="str">
        <f>IF($A499="","",IFERROR(INDEX(PROGRES!$A$2:$A$92,MATCH(E499,PROGRES!$B$2:$B$92,0)),"-"))</f>
        <v/>
      </c>
      <c r="G499" s="8" t="str">
        <f>IF($A499="","",UPPER(TRIM(INDEX(FORM!$F:$F,ROW()))))</f>
        <v/>
      </c>
      <c r="H499" s="8" t="str">
        <f>IF($A499="","",UPPER(TRIM(INDEX(FORM!$E:$E,ROW()))))</f>
        <v/>
      </c>
      <c r="I499" s="8" t="str">
        <f>IF($A499="","",UPPER(TRIM(INDEX(FORM!$G:$G,ROW()))))</f>
        <v/>
      </c>
      <c r="J499" s="8" t="str">
        <f>IF($A499="","",IF(ISNUMBER(SEARCH("Ya,",INDEX(FORM!$H:$H,ROW()))),"YA",IF(ISNUMBER(SEARCH("Cukup,",INDEX(FORM!$H:$H,ROW()))),"CUKUP",IF(ISNUMBER(SEARCH("Kurang,",INDEX(FORM!$H:$H,ROW()))),"KURANG",""))))</f>
        <v/>
      </c>
      <c r="K499" s="8" t="str">
        <f>IF($A499="","",UPPER(TRIM(INDEX(FORM!$J:$J,ROW()))))</f>
        <v/>
      </c>
      <c r="L499" s="8" t="str">
        <f>IF($A499="","",IF(ISNUMBER(SEARCH("Aktivitas Harian",INDEX(FORM!$K:$K,ROW()))),1,0))</f>
        <v/>
      </c>
      <c r="M499" s="8" t="str">
        <f>IF($A499="","",IF(ISNUMBER(SEARCH("Aktivitas Mingguan",INDEX(FORM!$K:$K,ROW()))),1,0))</f>
        <v/>
      </c>
      <c r="N499" s="8" t="str">
        <f>IF($A499="","",IF(ISNUMBER(SEARCH("Aktivitas Bulanan",INDEX(FORM!$K:$K,ROW()))),1,0))</f>
        <v/>
      </c>
      <c r="O499" s="8" t="str">
        <f>IF($A499="","",IF(ISNUMBER(SEARCH("Overview Cabang",INDEX(FORM!$K:$K,ROW()))),1,0))</f>
        <v/>
      </c>
      <c r="P499" s="8" t="str">
        <f>IF($A499="","",IFERROR(VLOOKUP(I499,DATA!$AH$9:$AI$13,2,0),""))</f>
        <v/>
      </c>
      <c r="Q499" s="8" t="str">
        <f>IF($A499="","",IFERROR(VLOOKUP(J499,DATA!$AH$9:$AI$13,2,0),""))</f>
        <v/>
      </c>
      <c r="R499" s="8" t="str">
        <f>IF($A499="","",IFERROR(VLOOKUP(K499,DATA!$AH$9:$AI$13,2,0),""))</f>
        <v/>
      </c>
      <c r="S499" s="42" t="str">
        <f t="shared" si="154"/>
        <v/>
      </c>
      <c r="T499" s="8" t="str">
        <f>IF($A499="","",IF(COUNTIF($D$2:D499,D499)=1,1,0))</f>
        <v/>
      </c>
      <c r="U499" s="8" t="str">
        <f>IF($A499="","",IF(F499="-","Cabang tdk ada",IF(IFERROR(VLOOKUP(G499,#REF!,1,0),"")="","",IF(INDEX(DATA!$AH$2:$AH$5,MATCH(G499,DATA!$AI$2:$AI$5,0))&lt;&gt;F499,"Wilayah beda","OK"))))</f>
        <v/>
      </c>
      <c r="V499" s="8" t="str">
        <f>IF($A499="","",TRIM(INDEX(FORM!$I:$I,ROW())&amp;""))</f>
        <v/>
      </c>
      <c r="W499" s="8" t="str">
        <f>IF($A499="","",TRIM(INDEX(FORM!$L:$L,ROW())&amp;""))</f>
        <v/>
      </c>
      <c r="X499" s="8" t="str">
        <f>IF($A499="","",TRIM(INDEX(FORM!$M:$M,ROW())&amp;""))</f>
        <v/>
      </c>
      <c r="Y499" s="8" t="str">
        <f>IF($A499="","",IFERROR(MATCH(F499,DATA!$AH$2:$AH$5,0),9)*10000+A499)</f>
        <v/>
      </c>
      <c r="Z499" s="8" t="str">
        <f t="shared" si="155"/>
        <v/>
      </c>
      <c r="AA499" s="8" t="str">
        <f t="shared" si="156"/>
        <v/>
      </c>
      <c r="AB499" s="8" t="str">
        <f t="shared" si="157"/>
        <v/>
      </c>
      <c r="AC499" s="8"/>
      <c r="AD499" s="8"/>
      <c r="AE499" s="8"/>
      <c r="AK499" s="5" t="str">
        <f t="shared" si="158"/>
        <v/>
      </c>
      <c r="AL499" s="5" t="str">
        <f t="shared" si="159"/>
        <v/>
      </c>
      <c r="AM499" s="5" t="str">
        <f t="shared" si="160"/>
        <v/>
      </c>
      <c r="AN499" s="5" t="str">
        <f t="shared" si="161"/>
        <v/>
      </c>
      <c r="AO499" s="5" t="str">
        <f t="shared" si="162"/>
        <v/>
      </c>
      <c r="AP499" s="5" t="str">
        <f t="shared" si="163"/>
        <v/>
      </c>
      <c r="AQ499" s="5" t="str">
        <f t="shared" si="164"/>
        <v/>
      </c>
      <c r="AR499" s="5" t="str">
        <f t="shared" si="165"/>
        <v/>
      </c>
      <c r="AS499" s="5" t="str">
        <f t="shared" si="166"/>
        <v/>
      </c>
      <c r="AT499" s="5" t="str">
        <f t="shared" si="167"/>
        <v/>
      </c>
      <c r="AU499" s="5" t="str">
        <f t="shared" si="168"/>
        <v/>
      </c>
      <c r="AV499" s="5" t="str">
        <f t="shared" si="169"/>
        <v/>
      </c>
      <c r="AW499" s="5" t="str">
        <f t="shared" si="170"/>
        <v/>
      </c>
      <c r="AX499" s="5" t="str">
        <f t="shared" si="171"/>
        <v/>
      </c>
      <c r="AY499" s="5" t="str">
        <f t="shared" si="172"/>
        <v/>
      </c>
      <c r="AZ499" s="5" t="str">
        <f t="shared" si="173"/>
        <v/>
      </c>
      <c r="BA499" s="5" t="str">
        <f t="shared" si="174"/>
        <v/>
      </c>
      <c r="BB499" s="5" t="str">
        <f t="shared" si="175"/>
        <v/>
      </c>
    </row>
    <row r="500" spans="1:54" s="5" customFormat="1" hidden="1">
      <c r="A500" s="8" t="str">
        <f>IF(INDEX(FORM!$A:$A,ROW())="","",ROW()-1)</f>
        <v/>
      </c>
      <c r="B500" s="41" t="str">
        <f>IF($A500="","",INDEX(FORM!$A:$A,ROW()))</f>
        <v/>
      </c>
      <c r="C500" s="8" t="str">
        <f>IF($A500="","",TRIM(INDEX(FORM!$B:$B,ROW())))</f>
        <v/>
      </c>
      <c r="D500" s="8" t="str">
        <f>IF($A500="","",TRIM(INDEX(FORM!$C:$C,ROW())&amp;""))</f>
        <v/>
      </c>
      <c r="E500" s="8" t="str">
        <f>IF($A500="","",UPPER(TRIM(INDEX(FORM!$D:$D,ROW()))))</f>
        <v/>
      </c>
      <c r="F500" s="8" t="str">
        <f>IF($A500="","",IFERROR(INDEX(PROGRES!$A$2:$A$92,MATCH(E500,PROGRES!$B$2:$B$92,0)),"-"))</f>
        <v/>
      </c>
      <c r="G500" s="8" t="str">
        <f>IF($A500="","",UPPER(TRIM(INDEX(FORM!$F:$F,ROW()))))</f>
        <v/>
      </c>
      <c r="H500" s="8" t="str">
        <f>IF($A500="","",UPPER(TRIM(INDEX(FORM!$E:$E,ROW()))))</f>
        <v/>
      </c>
      <c r="I500" s="8" t="str">
        <f>IF($A500="","",UPPER(TRIM(INDEX(FORM!$G:$G,ROW()))))</f>
        <v/>
      </c>
      <c r="J500" s="8" t="str">
        <f>IF($A500="","",IF(ISNUMBER(SEARCH("Ya,",INDEX(FORM!$H:$H,ROW()))),"YA",IF(ISNUMBER(SEARCH("Cukup,",INDEX(FORM!$H:$H,ROW()))),"CUKUP",IF(ISNUMBER(SEARCH("Kurang,",INDEX(FORM!$H:$H,ROW()))),"KURANG",""))))</f>
        <v/>
      </c>
      <c r="K500" s="8" t="str">
        <f>IF($A500="","",UPPER(TRIM(INDEX(FORM!$J:$J,ROW()))))</f>
        <v/>
      </c>
      <c r="L500" s="8" t="str">
        <f>IF($A500="","",IF(ISNUMBER(SEARCH("Aktivitas Harian",INDEX(FORM!$K:$K,ROW()))),1,0))</f>
        <v/>
      </c>
      <c r="M500" s="8" t="str">
        <f>IF($A500="","",IF(ISNUMBER(SEARCH("Aktivitas Mingguan",INDEX(FORM!$K:$K,ROW()))),1,0))</f>
        <v/>
      </c>
      <c r="N500" s="8" t="str">
        <f>IF($A500="","",IF(ISNUMBER(SEARCH("Aktivitas Bulanan",INDEX(FORM!$K:$K,ROW()))),1,0))</f>
        <v/>
      </c>
      <c r="O500" s="8" t="str">
        <f>IF($A500="","",IF(ISNUMBER(SEARCH("Overview Cabang",INDEX(FORM!$K:$K,ROW()))),1,0))</f>
        <v/>
      </c>
      <c r="P500" s="8" t="str">
        <f>IF($A500="","",IFERROR(VLOOKUP(I500,DATA!$AH$9:$AI$13,2,0),""))</f>
        <v/>
      </c>
      <c r="Q500" s="8" t="str">
        <f>IF($A500="","",IFERROR(VLOOKUP(J500,DATA!$AH$9:$AI$13,2,0),""))</f>
        <v/>
      </c>
      <c r="R500" s="8" t="str">
        <f>IF($A500="","",IFERROR(VLOOKUP(K500,DATA!$AH$9:$AI$13,2,0),""))</f>
        <v/>
      </c>
      <c r="S500" s="42" t="str">
        <f t="shared" si="154"/>
        <v/>
      </c>
      <c r="T500" s="8" t="str">
        <f>IF($A500="","",IF(COUNTIF($D$2:D500,D500)=1,1,0))</f>
        <v/>
      </c>
      <c r="U500" s="8" t="str">
        <f>IF($A500="","",IF(F500="-","Cabang tdk ada",IF(IFERROR(VLOOKUP(G500,#REF!,1,0),"")="","",IF(INDEX(DATA!$AH$2:$AH$5,MATCH(G500,DATA!$AI$2:$AI$5,0))&lt;&gt;F500,"Wilayah beda","OK"))))</f>
        <v/>
      </c>
      <c r="V500" s="8" t="str">
        <f>IF($A500="","",TRIM(INDEX(FORM!$I:$I,ROW())&amp;""))</f>
        <v/>
      </c>
      <c r="W500" s="8" t="str">
        <f>IF($A500="","",TRIM(INDEX(FORM!$L:$L,ROW())&amp;""))</f>
        <v/>
      </c>
      <c r="X500" s="8" t="str">
        <f>IF($A500="","",TRIM(INDEX(FORM!$M:$M,ROW())&amp;""))</f>
        <v/>
      </c>
      <c r="Y500" s="8" t="str">
        <f>IF($A500="","",IFERROR(MATCH(F500,DATA!$AH$2:$AH$5,0),9)*10000+A500)</f>
        <v/>
      </c>
      <c r="Z500" s="8" t="str">
        <f t="shared" si="155"/>
        <v/>
      </c>
      <c r="AA500" s="8" t="str">
        <f t="shared" si="156"/>
        <v/>
      </c>
      <c r="AB500" s="8" t="str">
        <f t="shared" si="157"/>
        <v/>
      </c>
      <c r="AC500" s="8"/>
      <c r="AD500" s="8"/>
      <c r="AE500" s="8"/>
      <c r="AK500" s="5" t="str">
        <f t="shared" si="158"/>
        <v/>
      </c>
      <c r="AL500" s="5" t="str">
        <f t="shared" si="159"/>
        <v/>
      </c>
      <c r="AM500" s="5" t="str">
        <f t="shared" si="160"/>
        <v/>
      </c>
      <c r="AN500" s="5" t="str">
        <f t="shared" si="161"/>
        <v/>
      </c>
      <c r="AO500" s="5" t="str">
        <f t="shared" si="162"/>
        <v/>
      </c>
      <c r="AP500" s="5" t="str">
        <f t="shared" si="163"/>
        <v/>
      </c>
      <c r="AQ500" s="5" t="str">
        <f t="shared" si="164"/>
        <v/>
      </c>
      <c r="AR500" s="5" t="str">
        <f t="shared" si="165"/>
        <v/>
      </c>
      <c r="AS500" s="5" t="str">
        <f t="shared" si="166"/>
        <v/>
      </c>
      <c r="AT500" s="5" t="str">
        <f t="shared" si="167"/>
        <v/>
      </c>
      <c r="AU500" s="5" t="str">
        <f t="shared" si="168"/>
        <v/>
      </c>
      <c r="AV500" s="5" t="str">
        <f t="shared" si="169"/>
        <v/>
      </c>
      <c r="AW500" s="5" t="str">
        <f t="shared" si="170"/>
        <v/>
      </c>
      <c r="AX500" s="5" t="str">
        <f t="shared" si="171"/>
        <v/>
      </c>
      <c r="AY500" s="5" t="str">
        <f t="shared" si="172"/>
        <v/>
      </c>
      <c r="AZ500" s="5" t="str">
        <f t="shared" si="173"/>
        <v/>
      </c>
      <c r="BA500" s="5" t="str">
        <f t="shared" si="174"/>
        <v/>
      </c>
      <c r="BB500" s="5" t="str">
        <f t="shared" si="175"/>
        <v/>
      </c>
    </row>
    <row r="501" spans="1:54" s="5" customFormat="1" hidden="1">
      <c r="A501" s="8" t="str">
        <f>IF(INDEX(FORM!$A:$A,ROW())="","",ROW()-1)</f>
        <v/>
      </c>
      <c r="B501" s="41" t="str">
        <f>IF($A501="","",INDEX(FORM!$A:$A,ROW()))</f>
        <v/>
      </c>
      <c r="C501" s="8" t="str">
        <f>IF($A501="","",TRIM(INDEX(FORM!$B:$B,ROW())))</f>
        <v/>
      </c>
      <c r="D501" s="8" t="str">
        <f>IF($A501="","",TRIM(INDEX(FORM!$C:$C,ROW())&amp;""))</f>
        <v/>
      </c>
      <c r="E501" s="8" t="str">
        <f>IF($A501="","",UPPER(TRIM(INDEX(FORM!$D:$D,ROW()))))</f>
        <v/>
      </c>
      <c r="F501" s="8" t="str">
        <f>IF($A501="","",IFERROR(INDEX(PROGRES!$A$2:$A$92,MATCH(E501,PROGRES!$B$2:$B$92,0)),"-"))</f>
        <v/>
      </c>
      <c r="G501" s="8" t="str">
        <f>IF($A501="","",UPPER(TRIM(INDEX(FORM!$F:$F,ROW()))))</f>
        <v/>
      </c>
      <c r="H501" s="8" t="str">
        <f>IF($A501="","",UPPER(TRIM(INDEX(FORM!$E:$E,ROW()))))</f>
        <v/>
      </c>
      <c r="I501" s="8" t="str">
        <f>IF($A501="","",UPPER(TRIM(INDEX(FORM!$G:$G,ROW()))))</f>
        <v/>
      </c>
      <c r="J501" s="8" t="str">
        <f>IF($A501="","",IF(ISNUMBER(SEARCH("Ya,",INDEX(FORM!$H:$H,ROW()))),"YA",IF(ISNUMBER(SEARCH("Cukup,",INDEX(FORM!$H:$H,ROW()))),"CUKUP",IF(ISNUMBER(SEARCH("Kurang,",INDEX(FORM!$H:$H,ROW()))),"KURANG",""))))</f>
        <v/>
      </c>
      <c r="K501" s="8" t="str">
        <f>IF($A501="","",UPPER(TRIM(INDEX(FORM!$J:$J,ROW()))))</f>
        <v/>
      </c>
      <c r="L501" s="8" t="str">
        <f>IF($A501="","",IF(ISNUMBER(SEARCH("Aktivitas Harian",INDEX(FORM!$K:$K,ROW()))),1,0))</f>
        <v/>
      </c>
      <c r="M501" s="8" t="str">
        <f>IF($A501="","",IF(ISNUMBER(SEARCH("Aktivitas Mingguan",INDEX(FORM!$K:$K,ROW()))),1,0))</f>
        <v/>
      </c>
      <c r="N501" s="8" t="str">
        <f>IF($A501="","",IF(ISNUMBER(SEARCH("Aktivitas Bulanan",INDEX(FORM!$K:$K,ROW()))),1,0))</f>
        <v/>
      </c>
      <c r="O501" s="8" t="str">
        <f>IF($A501="","",IF(ISNUMBER(SEARCH("Overview Cabang",INDEX(FORM!$K:$K,ROW()))),1,0))</f>
        <v/>
      </c>
      <c r="P501" s="8" t="str">
        <f>IF($A501="","",IFERROR(VLOOKUP(I501,DATA!$AH$9:$AI$13,2,0),""))</f>
        <v/>
      </c>
      <c r="Q501" s="8" t="str">
        <f>IF($A501="","",IFERROR(VLOOKUP(J501,DATA!$AH$9:$AI$13,2,0),""))</f>
        <v/>
      </c>
      <c r="R501" s="8" t="str">
        <f>IF($A501="","",IFERROR(VLOOKUP(K501,DATA!$AH$9:$AI$13,2,0),""))</f>
        <v/>
      </c>
      <c r="S501" s="42" t="str">
        <f t="shared" si="154"/>
        <v/>
      </c>
      <c r="T501" s="8" t="str">
        <f>IF($A501="","",IF(COUNTIF($D$2:D501,D501)=1,1,0))</f>
        <v/>
      </c>
      <c r="U501" s="8" t="str">
        <f>IF($A501="","",IF(F501="-","Cabang tdk ada",IF(IFERROR(VLOOKUP(G501,#REF!,1,0),"")="","",IF(INDEX(DATA!$AH$2:$AH$5,MATCH(G501,DATA!$AI$2:$AI$5,0))&lt;&gt;F501,"Wilayah beda","OK"))))</f>
        <v/>
      </c>
      <c r="V501" s="8" t="str">
        <f>IF($A501="","",TRIM(INDEX(FORM!$I:$I,ROW())&amp;""))</f>
        <v/>
      </c>
      <c r="W501" s="8" t="str">
        <f>IF($A501="","",TRIM(INDEX(FORM!$L:$L,ROW())&amp;""))</f>
        <v/>
      </c>
      <c r="X501" s="8" t="str">
        <f>IF($A501="","",TRIM(INDEX(FORM!$M:$M,ROW())&amp;""))</f>
        <v/>
      </c>
      <c r="Y501" s="8" t="str">
        <f>IF($A501="","",IFERROR(MATCH(F501,DATA!$AH$2:$AH$5,0),9)*10000+A501)</f>
        <v/>
      </c>
      <c r="Z501" s="8" t="str">
        <f t="shared" si="155"/>
        <v/>
      </c>
      <c r="AA501" s="8" t="str">
        <f t="shared" si="156"/>
        <v/>
      </c>
      <c r="AB501" s="8" t="str">
        <f t="shared" si="157"/>
        <v/>
      </c>
      <c r="AC501" s="8"/>
      <c r="AD501" s="8"/>
      <c r="AE501" s="8"/>
      <c r="AK501" s="5" t="str">
        <f t="shared" si="158"/>
        <v/>
      </c>
      <c r="AL501" s="5" t="str">
        <f t="shared" si="159"/>
        <v/>
      </c>
      <c r="AM501" s="5" t="str">
        <f t="shared" si="160"/>
        <v/>
      </c>
      <c r="AN501" s="5" t="str">
        <f t="shared" si="161"/>
        <v/>
      </c>
      <c r="AO501" s="5" t="str">
        <f t="shared" si="162"/>
        <v/>
      </c>
      <c r="AP501" s="5" t="str">
        <f t="shared" si="163"/>
        <v/>
      </c>
      <c r="AQ501" s="5" t="str">
        <f t="shared" si="164"/>
        <v/>
      </c>
      <c r="AR501" s="5" t="str">
        <f t="shared" si="165"/>
        <v/>
      </c>
      <c r="AS501" s="5" t="str">
        <f t="shared" si="166"/>
        <v/>
      </c>
      <c r="AT501" s="5" t="str">
        <f t="shared" si="167"/>
        <v/>
      </c>
      <c r="AU501" s="5" t="str">
        <f t="shared" si="168"/>
        <v/>
      </c>
      <c r="AV501" s="5" t="str">
        <f t="shared" si="169"/>
        <v/>
      </c>
      <c r="AW501" s="5" t="str">
        <f t="shared" si="170"/>
        <v/>
      </c>
      <c r="AX501" s="5" t="str">
        <f t="shared" si="171"/>
        <v/>
      </c>
      <c r="AY501" s="5" t="str">
        <f t="shared" si="172"/>
        <v/>
      </c>
      <c r="AZ501" s="5" t="str">
        <f t="shared" si="173"/>
        <v/>
      </c>
      <c r="BA501" s="5" t="str">
        <f t="shared" si="174"/>
        <v/>
      </c>
      <c r="BB501" s="5" t="str">
        <f t="shared" si="175"/>
        <v/>
      </c>
    </row>
    <row r="502" spans="1:54" s="5" customFormat="1" hidden="1">
      <c r="A502" s="8" t="str">
        <f>IF(INDEX(FORM!$A:$A,ROW())="","",ROW()-1)</f>
        <v/>
      </c>
      <c r="B502" s="41" t="str">
        <f>IF($A502="","",INDEX(FORM!$A:$A,ROW()))</f>
        <v/>
      </c>
      <c r="C502" s="8" t="str">
        <f>IF($A502="","",TRIM(INDEX(FORM!$B:$B,ROW())))</f>
        <v/>
      </c>
      <c r="D502" s="8" t="str">
        <f>IF($A502="","",TRIM(INDEX(FORM!$C:$C,ROW())&amp;""))</f>
        <v/>
      </c>
      <c r="E502" s="8" t="str">
        <f>IF($A502="","",UPPER(TRIM(INDEX(FORM!$D:$D,ROW()))))</f>
        <v/>
      </c>
      <c r="F502" s="8" t="str">
        <f>IF($A502="","",IFERROR(INDEX(PROGRES!$A$2:$A$92,MATCH(E502,PROGRES!$B$2:$B$92,0)),"-"))</f>
        <v/>
      </c>
      <c r="G502" s="8" t="str">
        <f>IF($A502="","",UPPER(TRIM(INDEX(FORM!$F:$F,ROW()))))</f>
        <v/>
      </c>
      <c r="H502" s="8" t="str">
        <f>IF($A502="","",UPPER(TRIM(INDEX(FORM!$E:$E,ROW()))))</f>
        <v/>
      </c>
      <c r="I502" s="8" t="str">
        <f>IF($A502="","",UPPER(TRIM(INDEX(FORM!$G:$G,ROW()))))</f>
        <v/>
      </c>
      <c r="J502" s="8" t="str">
        <f>IF($A502="","",IF(ISNUMBER(SEARCH("Ya,",INDEX(FORM!$H:$H,ROW()))),"YA",IF(ISNUMBER(SEARCH("Cukup,",INDEX(FORM!$H:$H,ROW()))),"CUKUP",IF(ISNUMBER(SEARCH("Kurang,",INDEX(FORM!$H:$H,ROW()))),"KURANG",""))))</f>
        <v/>
      </c>
      <c r="K502" s="8" t="str">
        <f>IF($A502="","",UPPER(TRIM(INDEX(FORM!$J:$J,ROW()))))</f>
        <v/>
      </c>
      <c r="L502" s="8" t="str">
        <f>IF($A502="","",IF(ISNUMBER(SEARCH("Aktivitas Harian",INDEX(FORM!$K:$K,ROW()))),1,0))</f>
        <v/>
      </c>
      <c r="M502" s="8" t="str">
        <f>IF($A502="","",IF(ISNUMBER(SEARCH("Aktivitas Mingguan",INDEX(FORM!$K:$K,ROW()))),1,0))</f>
        <v/>
      </c>
      <c r="N502" s="8" t="str">
        <f>IF($A502="","",IF(ISNUMBER(SEARCH("Aktivitas Bulanan",INDEX(FORM!$K:$K,ROW()))),1,0))</f>
        <v/>
      </c>
      <c r="O502" s="8" t="str">
        <f>IF($A502="","",IF(ISNUMBER(SEARCH("Overview Cabang",INDEX(FORM!$K:$K,ROW()))),1,0))</f>
        <v/>
      </c>
      <c r="P502" s="8" t="str">
        <f>IF($A502="","",IFERROR(VLOOKUP(I502,DATA!$AH$9:$AI$13,2,0),""))</f>
        <v/>
      </c>
      <c r="Q502" s="8" t="str">
        <f>IF($A502="","",IFERROR(VLOOKUP(J502,DATA!$AH$9:$AI$13,2,0),""))</f>
        <v/>
      </c>
      <c r="R502" s="8" t="str">
        <f>IF($A502="","",IFERROR(VLOOKUP(K502,DATA!$AH$9:$AI$13,2,0),""))</f>
        <v/>
      </c>
      <c r="S502" s="42" t="str">
        <f t="shared" si="154"/>
        <v/>
      </c>
      <c r="T502" s="8" t="str">
        <f>IF($A502="","",IF(COUNTIF($D$2:D502,D502)=1,1,0))</f>
        <v/>
      </c>
      <c r="U502" s="8" t="str">
        <f>IF($A502="","",IF(F502="-","Cabang tdk ada",IF(IFERROR(VLOOKUP(G502,#REF!,1,0),"")="","",IF(INDEX(DATA!$AH$2:$AH$5,MATCH(G502,DATA!$AI$2:$AI$5,0))&lt;&gt;F502,"Wilayah beda","OK"))))</f>
        <v/>
      </c>
      <c r="V502" s="8" t="str">
        <f>IF($A502="","",TRIM(INDEX(FORM!$I:$I,ROW())&amp;""))</f>
        <v/>
      </c>
      <c r="W502" s="8" t="str">
        <f>IF($A502="","",TRIM(INDEX(FORM!$L:$L,ROW())&amp;""))</f>
        <v/>
      </c>
      <c r="X502" s="8" t="str">
        <f>IF($A502="","",TRIM(INDEX(FORM!$M:$M,ROW())&amp;""))</f>
        <v/>
      </c>
      <c r="Y502" s="8" t="str">
        <f>IF($A502="","",IFERROR(MATCH(F502,DATA!$AH$2:$AH$5,0),9)*10000+A502)</f>
        <v/>
      </c>
      <c r="Z502" s="8" t="str">
        <f t="shared" si="155"/>
        <v/>
      </c>
      <c r="AA502" s="8" t="str">
        <f t="shared" si="156"/>
        <v/>
      </c>
      <c r="AB502" s="8" t="str">
        <f t="shared" si="157"/>
        <v/>
      </c>
      <c r="AC502" s="8"/>
      <c r="AD502" s="8"/>
      <c r="AE502" s="8"/>
      <c r="AK502" s="5" t="str">
        <f t="shared" si="158"/>
        <v/>
      </c>
      <c r="AL502" s="5" t="str">
        <f t="shared" si="159"/>
        <v/>
      </c>
      <c r="AM502" s="5" t="str">
        <f t="shared" si="160"/>
        <v/>
      </c>
      <c r="AN502" s="5" t="str">
        <f t="shared" si="161"/>
        <v/>
      </c>
      <c r="AO502" s="5" t="str">
        <f t="shared" si="162"/>
        <v/>
      </c>
      <c r="AP502" s="5" t="str">
        <f t="shared" si="163"/>
        <v/>
      </c>
      <c r="AQ502" s="5" t="str">
        <f t="shared" si="164"/>
        <v/>
      </c>
      <c r="AR502" s="5" t="str">
        <f t="shared" si="165"/>
        <v/>
      </c>
      <c r="AS502" s="5" t="str">
        <f t="shared" si="166"/>
        <v/>
      </c>
      <c r="AT502" s="5" t="str">
        <f t="shared" si="167"/>
        <v/>
      </c>
      <c r="AU502" s="5" t="str">
        <f t="shared" si="168"/>
        <v/>
      </c>
      <c r="AV502" s="5" t="str">
        <f t="shared" si="169"/>
        <v/>
      </c>
      <c r="AW502" s="5" t="str">
        <f t="shared" si="170"/>
        <v/>
      </c>
      <c r="AX502" s="5" t="str">
        <f t="shared" si="171"/>
        <v/>
      </c>
      <c r="AY502" s="5" t="str">
        <f t="shared" si="172"/>
        <v/>
      </c>
      <c r="AZ502" s="5" t="str">
        <f t="shared" si="173"/>
        <v/>
      </c>
      <c r="BA502" s="5" t="str">
        <f t="shared" si="174"/>
        <v/>
      </c>
      <c r="BB502" s="5" t="str">
        <f t="shared" si="175"/>
        <v/>
      </c>
    </row>
    <row r="503" spans="1:54" s="5" customFormat="1" hidden="1">
      <c r="A503" s="8" t="str">
        <f>IF(INDEX(FORM!$A:$A,ROW())="","",ROW()-1)</f>
        <v/>
      </c>
      <c r="B503" s="41" t="str">
        <f>IF($A503="","",INDEX(FORM!$A:$A,ROW()))</f>
        <v/>
      </c>
      <c r="C503" s="8" t="str">
        <f>IF($A503="","",TRIM(INDEX(FORM!$B:$B,ROW())))</f>
        <v/>
      </c>
      <c r="D503" s="8" t="str">
        <f>IF($A503="","",TRIM(INDEX(FORM!$C:$C,ROW())&amp;""))</f>
        <v/>
      </c>
      <c r="E503" s="8" t="str">
        <f>IF($A503="","",UPPER(TRIM(INDEX(FORM!$D:$D,ROW()))))</f>
        <v/>
      </c>
      <c r="F503" s="8" t="str">
        <f>IF($A503="","",IFERROR(INDEX(PROGRES!$A$2:$A$92,MATCH(E503,PROGRES!$B$2:$B$92,0)),"-"))</f>
        <v/>
      </c>
      <c r="G503" s="8" t="str">
        <f>IF($A503="","",UPPER(TRIM(INDEX(FORM!$F:$F,ROW()))))</f>
        <v/>
      </c>
      <c r="H503" s="8" t="str">
        <f>IF($A503="","",UPPER(TRIM(INDEX(FORM!$E:$E,ROW()))))</f>
        <v/>
      </c>
      <c r="I503" s="8" t="str">
        <f>IF($A503="","",UPPER(TRIM(INDEX(FORM!$G:$G,ROW()))))</f>
        <v/>
      </c>
      <c r="J503" s="8" t="str">
        <f>IF($A503="","",IF(ISNUMBER(SEARCH("Ya,",INDEX(FORM!$H:$H,ROW()))),"YA",IF(ISNUMBER(SEARCH("Cukup,",INDEX(FORM!$H:$H,ROW()))),"CUKUP",IF(ISNUMBER(SEARCH("Kurang,",INDEX(FORM!$H:$H,ROW()))),"KURANG",""))))</f>
        <v/>
      </c>
      <c r="K503" s="8" t="str">
        <f>IF($A503="","",UPPER(TRIM(INDEX(FORM!$J:$J,ROW()))))</f>
        <v/>
      </c>
      <c r="L503" s="8" t="str">
        <f>IF($A503="","",IF(ISNUMBER(SEARCH("Aktivitas Harian",INDEX(FORM!$K:$K,ROW()))),1,0))</f>
        <v/>
      </c>
      <c r="M503" s="8" t="str">
        <f>IF($A503="","",IF(ISNUMBER(SEARCH("Aktivitas Mingguan",INDEX(FORM!$K:$K,ROW()))),1,0))</f>
        <v/>
      </c>
      <c r="N503" s="8" t="str">
        <f>IF($A503="","",IF(ISNUMBER(SEARCH("Aktivitas Bulanan",INDEX(FORM!$K:$K,ROW()))),1,0))</f>
        <v/>
      </c>
      <c r="O503" s="8" t="str">
        <f>IF($A503="","",IF(ISNUMBER(SEARCH("Overview Cabang",INDEX(FORM!$K:$K,ROW()))),1,0))</f>
        <v/>
      </c>
      <c r="P503" s="8" t="str">
        <f>IF($A503="","",IFERROR(VLOOKUP(I503,DATA!$AH$9:$AI$13,2,0),""))</f>
        <v/>
      </c>
      <c r="Q503" s="8" t="str">
        <f>IF($A503="","",IFERROR(VLOOKUP(J503,DATA!$AH$9:$AI$13,2,0),""))</f>
        <v/>
      </c>
      <c r="R503" s="8" t="str">
        <f>IF($A503="","",IFERROR(VLOOKUP(K503,DATA!$AH$9:$AI$13,2,0),""))</f>
        <v/>
      </c>
      <c r="S503" s="42" t="str">
        <f t="shared" si="154"/>
        <v/>
      </c>
      <c r="T503" s="8" t="str">
        <f>IF($A503="","",IF(COUNTIF($D$2:D503,D503)=1,1,0))</f>
        <v/>
      </c>
      <c r="U503" s="8" t="str">
        <f>IF($A503="","",IF(F503="-","Cabang tdk ada",IF(IFERROR(VLOOKUP(G503,#REF!,1,0),"")="","",IF(INDEX(DATA!$AH$2:$AH$5,MATCH(G503,DATA!$AI$2:$AI$5,0))&lt;&gt;F503,"Wilayah beda","OK"))))</f>
        <v/>
      </c>
      <c r="V503" s="8" t="str">
        <f>IF($A503="","",TRIM(INDEX(FORM!$I:$I,ROW())&amp;""))</f>
        <v/>
      </c>
      <c r="W503" s="8" t="str">
        <f>IF($A503="","",TRIM(INDEX(FORM!$L:$L,ROW())&amp;""))</f>
        <v/>
      </c>
      <c r="X503" s="8" t="str">
        <f>IF($A503="","",TRIM(INDEX(FORM!$M:$M,ROW())&amp;""))</f>
        <v/>
      </c>
      <c r="Y503" s="8" t="str">
        <f>IF($A503="","",IFERROR(MATCH(F503,DATA!$AH$2:$AH$5,0),9)*10000+A503)</f>
        <v/>
      </c>
      <c r="Z503" s="8" t="str">
        <f t="shared" si="155"/>
        <v/>
      </c>
      <c r="AA503" s="8" t="str">
        <f t="shared" si="156"/>
        <v/>
      </c>
      <c r="AB503" s="8" t="str">
        <f t="shared" si="157"/>
        <v/>
      </c>
      <c r="AC503" s="8"/>
      <c r="AD503" s="8"/>
      <c r="AE503" s="8"/>
      <c r="AK503" s="5" t="str">
        <f t="shared" si="158"/>
        <v/>
      </c>
      <c r="AL503" s="5" t="str">
        <f t="shared" si="159"/>
        <v/>
      </c>
      <c r="AM503" s="5" t="str">
        <f t="shared" si="160"/>
        <v/>
      </c>
      <c r="AN503" s="5" t="str">
        <f t="shared" si="161"/>
        <v/>
      </c>
      <c r="AO503" s="5" t="str">
        <f t="shared" si="162"/>
        <v/>
      </c>
      <c r="AP503" s="5" t="str">
        <f t="shared" si="163"/>
        <v/>
      </c>
      <c r="AQ503" s="5" t="str">
        <f t="shared" si="164"/>
        <v/>
      </c>
      <c r="AR503" s="5" t="str">
        <f t="shared" si="165"/>
        <v/>
      </c>
      <c r="AS503" s="5" t="str">
        <f t="shared" si="166"/>
        <v/>
      </c>
      <c r="AT503" s="5" t="str">
        <f t="shared" si="167"/>
        <v/>
      </c>
      <c r="AU503" s="5" t="str">
        <f t="shared" si="168"/>
        <v/>
      </c>
      <c r="AV503" s="5" t="str">
        <f t="shared" si="169"/>
        <v/>
      </c>
      <c r="AW503" s="5" t="str">
        <f t="shared" si="170"/>
        <v/>
      </c>
      <c r="AX503" s="5" t="str">
        <f t="shared" si="171"/>
        <v/>
      </c>
      <c r="AY503" s="5" t="str">
        <f t="shared" si="172"/>
        <v/>
      </c>
      <c r="AZ503" s="5" t="str">
        <f t="shared" si="173"/>
        <v/>
      </c>
      <c r="BA503" s="5" t="str">
        <f t="shared" si="174"/>
        <v/>
      </c>
      <c r="BB503" s="5" t="str">
        <f t="shared" si="175"/>
        <v/>
      </c>
    </row>
    <row r="504" spans="1:54" s="5" customFormat="1" hidden="1">
      <c r="A504" s="8" t="str">
        <f>IF(INDEX(FORM!$A:$A,ROW())="","",ROW()-1)</f>
        <v/>
      </c>
      <c r="B504" s="41" t="str">
        <f>IF($A504="","",INDEX(FORM!$A:$A,ROW()))</f>
        <v/>
      </c>
      <c r="C504" s="8" t="str">
        <f>IF($A504="","",TRIM(INDEX(FORM!$B:$B,ROW())))</f>
        <v/>
      </c>
      <c r="D504" s="8" t="str">
        <f>IF($A504="","",TRIM(INDEX(FORM!$C:$C,ROW())&amp;""))</f>
        <v/>
      </c>
      <c r="E504" s="8" t="str">
        <f>IF($A504="","",UPPER(TRIM(INDEX(FORM!$D:$D,ROW()))))</f>
        <v/>
      </c>
      <c r="F504" s="8" t="str">
        <f>IF($A504="","",IFERROR(INDEX(PROGRES!$A$2:$A$92,MATCH(E504,PROGRES!$B$2:$B$92,0)),"-"))</f>
        <v/>
      </c>
      <c r="G504" s="8" t="str">
        <f>IF($A504="","",UPPER(TRIM(INDEX(FORM!$F:$F,ROW()))))</f>
        <v/>
      </c>
      <c r="H504" s="8" t="str">
        <f>IF($A504="","",UPPER(TRIM(INDEX(FORM!$E:$E,ROW()))))</f>
        <v/>
      </c>
      <c r="I504" s="8" t="str">
        <f>IF($A504="","",UPPER(TRIM(INDEX(FORM!$G:$G,ROW()))))</f>
        <v/>
      </c>
      <c r="J504" s="8" t="str">
        <f>IF($A504="","",IF(ISNUMBER(SEARCH("Ya,",INDEX(FORM!$H:$H,ROW()))),"YA",IF(ISNUMBER(SEARCH("Cukup,",INDEX(FORM!$H:$H,ROW()))),"CUKUP",IF(ISNUMBER(SEARCH("Kurang,",INDEX(FORM!$H:$H,ROW()))),"KURANG",""))))</f>
        <v/>
      </c>
      <c r="K504" s="8" t="str">
        <f>IF($A504="","",UPPER(TRIM(INDEX(FORM!$J:$J,ROW()))))</f>
        <v/>
      </c>
      <c r="L504" s="8" t="str">
        <f>IF($A504="","",IF(ISNUMBER(SEARCH("Aktivitas Harian",INDEX(FORM!$K:$K,ROW()))),1,0))</f>
        <v/>
      </c>
      <c r="M504" s="8" t="str">
        <f>IF($A504="","",IF(ISNUMBER(SEARCH("Aktivitas Mingguan",INDEX(FORM!$K:$K,ROW()))),1,0))</f>
        <v/>
      </c>
      <c r="N504" s="8" t="str">
        <f>IF($A504="","",IF(ISNUMBER(SEARCH("Aktivitas Bulanan",INDEX(FORM!$K:$K,ROW()))),1,0))</f>
        <v/>
      </c>
      <c r="O504" s="8" t="str">
        <f>IF($A504="","",IF(ISNUMBER(SEARCH("Overview Cabang",INDEX(FORM!$K:$K,ROW()))),1,0))</f>
        <v/>
      </c>
      <c r="P504" s="8" t="str">
        <f>IF($A504="","",IFERROR(VLOOKUP(I504,DATA!$AH$9:$AI$13,2,0),""))</f>
        <v/>
      </c>
      <c r="Q504" s="8" t="str">
        <f>IF($A504="","",IFERROR(VLOOKUP(J504,DATA!$AH$9:$AI$13,2,0),""))</f>
        <v/>
      </c>
      <c r="R504" s="8" t="str">
        <f>IF($A504="","",IFERROR(VLOOKUP(K504,DATA!$AH$9:$AI$13,2,0),""))</f>
        <v/>
      </c>
      <c r="S504" s="42" t="str">
        <f t="shared" si="154"/>
        <v/>
      </c>
      <c r="T504" s="8" t="str">
        <f>IF($A504="","",IF(COUNTIF($D$2:D504,D504)=1,1,0))</f>
        <v/>
      </c>
      <c r="U504" s="8" t="str">
        <f>IF($A504="","",IF(F504="-","Cabang tdk ada",IF(IFERROR(VLOOKUP(G504,#REF!,1,0),"")="","",IF(INDEX(DATA!$AH$2:$AH$5,MATCH(G504,DATA!$AI$2:$AI$5,0))&lt;&gt;F504,"Wilayah beda","OK"))))</f>
        <v/>
      </c>
      <c r="V504" s="8" t="str">
        <f>IF($A504="","",TRIM(INDEX(FORM!$I:$I,ROW())&amp;""))</f>
        <v/>
      </c>
      <c r="W504" s="8" t="str">
        <f>IF($A504="","",TRIM(INDEX(FORM!$L:$L,ROW())&amp;""))</f>
        <v/>
      </c>
      <c r="X504" s="8" t="str">
        <f>IF($A504="","",TRIM(INDEX(FORM!$M:$M,ROW())&amp;""))</f>
        <v/>
      </c>
      <c r="Y504" s="8" t="str">
        <f>IF($A504="","",IFERROR(MATCH(F504,DATA!$AH$2:$AH$5,0),9)*10000+A504)</f>
        <v/>
      </c>
      <c r="Z504" s="8" t="str">
        <f t="shared" si="155"/>
        <v/>
      </c>
      <c r="AA504" s="8" t="str">
        <f t="shared" si="156"/>
        <v/>
      </c>
      <c r="AB504" s="8" t="str">
        <f t="shared" si="157"/>
        <v/>
      </c>
      <c r="AC504" s="8"/>
      <c r="AD504" s="8"/>
      <c r="AE504" s="8"/>
      <c r="AK504" s="5" t="str">
        <f t="shared" si="158"/>
        <v/>
      </c>
      <c r="AL504" s="5" t="str">
        <f t="shared" si="159"/>
        <v/>
      </c>
      <c r="AM504" s="5" t="str">
        <f t="shared" si="160"/>
        <v/>
      </c>
      <c r="AN504" s="5" t="str">
        <f t="shared" si="161"/>
        <v/>
      </c>
      <c r="AO504" s="5" t="str">
        <f t="shared" si="162"/>
        <v/>
      </c>
      <c r="AP504" s="5" t="str">
        <f t="shared" si="163"/>
        <v/>
      </c>
      <c r="AQ504" s="5" t="str">
        <f t="shared" si="164"/>
        <v/>
      </c>
      <c r="AR504" s="5" t="str">
        <f t="shared" si="165"/>
        <v/>
      </c>
      <c r="AS504" s="5" t="str">
        <f t="shared" si="166"/>
        <v/>
      </c>
      <c r="AT504" s="5" t="str">
        <f t="shared" si="167"/>
        <v/>
      </c>
      <c r="AU504" s="5" t="str">
        <f t="shared" si="168"/>
        <v/>
      </c>
      <c r="AV504" s="5" t="str">
        <f t="shared" si="169"/>
        <v/>
      </c>
      <c r="AW504" s="5" t="str">
        <f t="shared" si="170"/>
        <v/>
      </c>
      <c r="AX504" s="5" t="str">
        <f t="shared" si="171"/>
        <v/>
      </c>
      <c r="AY504" s="5" t="str">
        <f t="shared" si="172"/>
        <v/>
      </c>
      <c r="AZ504" s="5" t="str">
        <f t="shared" si="173"/>
        <v/>
      </c>
      <c r="BA504" s="5" t="str">
        <f t="shared" si="174"/>
        <v/>
      </c>
      <c r="BB504" s="5" t="str">
        <f t="shared" si="175"/>
        <v/>
      </c>
    </row>
    <row r="505" spans="1:54" s="5" customFormat="1" hidden="1">
      <c r="A505" s="8" t="str">
        <f>IF(INDEX(FORM!$A:$A,ROW())="","",ROW()-1)</f>
        <v/>
      </c>
      <c r="B505" s="41" t="str">
        <f>IF($A505="","",INDEX(FORM!$A:$A,ROW()))</f>
        <v/>
      </c>
      <c r="C505" s="8" t="str">
        <f>IF($A505="","",TRIM(INDEX(FORM!$B:$B,ROW())))</f>
        <v/>
      </c>
      <c r="D505" s="8" t="str">
        <f>IF($A505="","",TRIM(INDEX(FORM!$C:$C,ROW())&amp;""))</f>
        <v/>
      </c>
      <c r="E505" s="8" t="str">
        <f>IF($A505="","",UPPER(TRIM(INDEX(FORM!$D:$D,ROW()))))</f>
        <v/>
      </c>
      <c r="F505" s="8" t="str">
        <f>IF($A505="","",IFERROR(INDEX(PROGRES!$A$2:$A$92,MATCH(E505,PROGRES!$B$2:$B$92,0)),"-"))</f>
        <v/>
      </c>
      <c r="G505" s="8" t="str">
        <f>IF($A505="","",UPPER(TRIM(INDEX(FORM!$F:$F,ROW()))))</f>
        <v/>
      </c>
      <c r="H505" s="8" t="str">
        <f>IF($A505="","",UPPER(TRIM(INDEX(FORM!$E:$E,ROW()))))</f>
        <v/>
      </c>
      <c r="I505" s="8" t="str">
        <f>IF($A505="","",UPPER(TRIM(INDEX(FORM!$G:$G,ROW()))))</f>
        <v/>
      </c>
      <c r="J505" s="8" t="str">
        <f>IF($A505="","",IF(ISNUMBER(SEARCH("Ya,",INDEX(FORM!$H:$H,ROW()))),"YA",IF(ISNUMBER(SEARCH("Cukup,",INDEX(FORM!$H:$H,ROW()))),"CUKUP",IF(ISNUMBER(SEARCH("Kurang,",INDEX(FORM!$H:$H,ROW()))),"KURANG",""))))</f>
        <v/>
      </c>
      <c r="K505" s="8" t="str">
        <f>IF($A505="","",UPPER(TRIM(INDEX(FORM!$J:$J,ROW()))))</f>
        <v/>
      </c>
      <c r="L505" s="8" t="str">
        <f>IF($A505="","",IF(ISNUMBER(SEARCH("Aktivitas Harian",INDEX(FORM!$K:$K,ROW()))),1,0))</f>
        <v/>
      </c>
      <c r="M505" s="8" t="str">
        <f>IF($A505="","",IF(ISNUMBER(SEARCH("Aktivitas Mingguan",INDEX(FORM!$K:$K,ROW()))),1,0))</f>
        <v/>
      </c>
      <c r="N505" s="8" t="str">
        <f>IF($A505="","",IF(ISNUMBER(SEARCH("Aktivitas Bulanan",INDEX(FORM!$K:$K,ROW()))),1,0))</f>
        <v/>
      </c>
      <c r="O505" s="8" t="str">
        <f>IF($A505="","",IF(ISNUMBER(SEARCH("Overview Cabang",INDEX(FORM!$K:$K,ROW()))),1,0))</f>
        <v/>
      </c>
      <c r="P505" s="8" t="str">
        <f>IF($A505="","",IFERROR(VLOOKUP(I505,DATA!$AH$9:$AI$13,2,0),""))</f>
        <v/>
      </c>
      <c r="Q505" s="8" t="str">
        <f>IF($A505="","",IFERROR(VLOOKUP(J505,DATA!$AH$9:$AI$13,2,0),""))</f>
        <v/>
      </c>
      <c r="R505" s="8" t="str">
        <f>IF($A505="","",IFERROR(VLOOKUP(K505,DATA!$AH$9:$AI$13,2,0),""))</f>
        <v/>
      </c>
      <c r="S505" s="42" t="str">
        <f t="shared" si="154"/>
        <v/>
      </c>
      <c r="T505" s="8" t="str">
        <f>IF($A505="","",IF(COUNTIF($D$2:D505,D505)=1,1,0))</f>
        <v/>
      </c>
      <c r="U505" s="8" t="str">
        <f>IF($A505="","",IF(F505="-","Cabang tdk ada",IF(IFERROR(VLOOKUP(G505,#REF!,1,0),"")="","",IF(INDEX(DATA!$AH$2:$AH$5,MATCH(G505,DATA!$AI$2:$AI$5,0))&lt;&gt;F505,"Wilayah beda","OK"))))</f>
        <v/>
      </c>
      <c r="V505" s="8" t="str">
        <f>IF($A505="","",TRIM(INDEX(FORM!$I:$I,ROW())&amp;""))</f>
        <v/>
      </c>
      <c r="W505" s="8" t="str">
        <f>IF($A505="","",TRIM(INDEX(FORM!$L:$L,ROW())&amp;""))</f>
        <v/>
      </c>
      <c r="X505" s="8" t="str">
        <f>IF($A505="","",TRIM(INDEX(FORM!$M:$M,ROW())&amp;""))</f>
        <v/>
      </c>
      <c r="Y505" s="8" t="str">
        <f>IF($A505="","",IFERROR(MATCH(F505,DATA!$AH$2:$AH$5,0),9)*10000+A505)</f>
        <v/>
      </c>
      <c r="Z505" s="8" t="str">
        <f t="shared" si="155"/>
        <v/>
      </c>
      <c r="AA505" s="8" t="str">
        <f t="shared" si="156"/>
        <v/>
      </c>
      <c r="AB505" s="8" t="str">
        <f t="shared" si="157"/>
        <v/>
      </c>
      <c r="AC505" s="8"/>
      <c r="AD505" s="8"/>
      <c r="AE505" s="8"/>
      <c r="AK505" s="5" t="str">
        <f t="shared" si="158"/>
        <v/>
      </c>
      <c r="AL505" s="5" t="str">
        <f t="shared" si="159"/>
        <v/>
      </c>
      <c r="AM505" s="5" t="str">
        <f t="shared" si="160"/>
        <v/>
      </c>
      <c r="AN505" s="5" t="str">
        <f t="shared" si="161"/>
        <v/>
      </c>
      <c r="AO505" s="5" t="str">
        <f t="shared" si="162"/>
        <v/>
      </c>
      <c r="AP505" s="5" t="str">
        <f t="shared" si="163"/>
        <v/>
      </c>
      <c r="AQ505" s="5" t="str">
        <f t="shared" si="164"/>
        <v/>
      </c>
      <c r="AR505" s="5" t="str">
        <f t="shared" si="165"/>
        <v/>
      </c>
      <c r="AS505" s="5" t="str">
        <f t="shared" si="166"/>
        <v/>
      </c>
      <c r="AT505" s="5" t="str">
        <f t="shared" si="167"/>
        <v/>
      </c>
      <c r="AU505" s="5" t="str">
        <f t="shared" si="168"/>
        <v/>
      </c>
      <c r="AV505" s="5" t="str">
        <f t="shared" si="169"/>
        <v/>
      </c>
      <c r="AW505" s="5" t="str">
        <f t="shared" si="170"/>
        <v/>
      </c>
      <c r="AX505" s="5" t="str">
        <f t="shared" si="171"/>
        <v/>
      </c>
      <c r="AY505" s="5" t="str">
        <f t="shared" si="172"/>
        <v/>
      </c>
      <c r="AZ505" s="5" t="str">
        <f t="shared" si="173"/>
        <v/>
      </c>
      <c r="BA505" s="5" t="str">
        <f t="shared" si="174"/>
        <v/>
      </c>
      <c r="BB505" s="5" t="str">
        <f t="shared" si="175"/>
        <v/>
      </c>
    </row>
    <row r="506" spans="1:54" s="5" customFormat="1" hidden="1">
      <c r="A506" s="8" t="str">
        <f>IF(INDEX(FORM!$A:$A,ROW())="","",ROW()-1)</f>
        <v/>
      </c>
      <c r="B506" s="41" t="str">
        <f>IF($A506="","",INDEX(FORM!$A:$A,ROW()))</f>
        <v/>
      </c>
      <c r="C506" s="8" t="str">
        <f>IF($A506="","",TRIM(INDEX(FORM!$B:$B,ROW())))</f>
        <v/>
      </c>
      <c r="D506" s="8" t="str">
        <f>IF($A506="","",TRIM(INDEX(FORM!$C:$C,ROW())&amp;""))</f>
        <v/>
      </c>
      <c r="E506" s="8" t="str">
        <f>IF($A506="","",UPPER(TRIM(INDEX(FORM!$D:$D,ROW()))))</f>
        <v/>
      </c>
      <c r="F506" s="8" t="str">
        <f>IF($A506="","",IFERROR(INDEX(PROGRES!$A$2:$A$92,MATCH(E506,PROGRES!$B$2:$B$92,0)),"-"))</f>
        <v/>
      </c>
      <c r="G506" s="8" t="str">
        <f>IF($A506="","",UPPER(TRIM(INDEX(FORM!$F:$F,ROW()))))</f>
        <v/>
      </c>
      <c r="H506" s="8" t="str">
        <f>IF($A506="","",UPPER(TRIM(INDEX(FORM!$E:$E,ROW()))))</f>
        <v/>
      </c>
      <c r="I506" s="8" t="str">
        <f>IF($A506="","",UPPER(TRIM(INDEX(FORM!$G:$G,ROW()))))</f>
        <v/>
      </c>
      <c r="J506" s="8" t="str">
        <f>IF($A506="","",IF(ISNUMBER(SEARCH("Ya,",INDEX(FORM!$H:$H,ROW()))),"YA",IF(ISNUMBER(SEARCH("Cukup,",INDEX(FORM!$H:$H,ROW()))),"CUKUP",IF(ISNUMBER(SEARCH("Kurang,",INDEX(FORM!$H:$H,ROW()))),"KURANG",""))))</f>
        <v/>
      </c>
      <c r="K506" s="8" t="str">
        <f>IF($A506="","",UPPER(TRIM(INDEX(FORM!$J:$J,ROW()))))</f>
        <v/>
      </c>
      <c r="L506" s="8" t="str">
        <f>IF($A506="","",IF(ISNUMBER(SEARCH("Aktivitas Harian",INDEX(FORM!$K:$K,ROW()))),1,0))</f>
        <v/>
      </c>
      <c r="M506" s="8" t="str">
        <f>IF($A506="","",IF(ISNUMBER(SEARCH("Aktivitas Mingguan",INDEX(FORM!$K:$K,ROW()))),1,0))</f>
        <v/>
      </c>
      <c r="N506" s="8" t="str">
        <f>IF($A506="","",IF(ISNUMBER(SEARCH("Aktivitas Bulanan",INDEX(FORM!$K:$K,ROW()))),1,0))</f>
        <v/>
      </c>
      <c r="O506" s="8" t="str">
        <f>IF($A506="","",IF(ISNUMBER(SEARCH("Overview Cabang",INDEX(FORM!$K:$K,ROW()))),1,0))</f>
        <v/>
      </c>
      <c r="P506" s="8" t="str">
        <f>IF($A506="","",IFERROR(VLOOKUP(I506,DATA!$AH$9:$AI$13,2,0),""))</f>
        <v/>
      </c>
      <c r="Q506" s="8" t="str">
        <f>IF($A506="","",IFERROR(VLOOKUP(J506,DATA!$AH$9:$AI$13,2,0),""))</f>
        <v/>
      </c>
      <c r="R506" s="8" t="str">
        <f>IF($A506="","",IFERROR(VLOOKUP(K506,DATA!$AH$9:$AI$13,2,0),""))</f>
        <v/>
      </c>
      <c r="S506" s="42" t="str">
        <f t="shared" si="154"/>
        <v/>
      </c>
      <c r="T506" s="8" t="str">
        <f>IF($A506="","",IF(COUNTIF($D$2:D506,D506)=1,1,0))</f>
        <v/>
      </c>
      <c r="U506" s="8" t="str">
        <f>IF($A506="","",IF(F506="-","Cabang tdk ada",IF(IFERROR(VLOOKUP(G506,#REF!,1,0),"")="","",IF(INDEX(DATA!$AH$2:$AH$5,MATCH(G506,DATA!$AI$2:$AI$5,0))&lt;&gt;F506,"Wilayah beda","OK"))))</f>
        <v/>
      </c>
      <c r="V506" s="8" t="str">
        <f>IF($A506="","",TRIM(INDEX(FORM!$I:$I,ROW())&amp;""))</f>
        <v/>
      </c>
      <c r="W506" s="8" t="str">
        <f>IF($A506="","",TRIM(INDEX(FORM!$L:$L,ROW())&amp;""))</f>
        <v/>
      </c>
      <c r="X506" s="8" t="str">
        <f>IF($A506="","",TRIM(INDEX(FORM!$M:$M,ROW())&amp;""))</f>
        <v/>
      </c>
      <c r="Y506" s="8" t="str">
        <f>IF($A506="","",IFERROR(MATCH(F506,DATA!$AH$2:$AH$5,0),9)*10000+A506)</f>
        <v/>
      </c>
      <c r="Z506" s="8" t="str">
        <f t="shared" si="155"/>
        <v/>
      </c>
      <c r="AA506" s="8" t="str">
        <f t="shared" si="156"/>
        <v/>
      </c>
      <c r="AB506" s="8" t="str">
        <f t="shared" si="157"/>
        <v/>
      </c>
      <c r="AC506" s="8"/>
      <c r="AD506" s="8"/>
      <c r="AE506" s="8"/>
      <c r="AK506" s="5" t="str">
        <f t="shared" si="158"/>
        <v/>
      </c>
      <c r="AL506" s="5" t="str">
        <f t="shared" si="159"/>
        <v/>
      </c>
      <c r="AM506" s="5" t="str">
        <f t="shared" si="160"/>
        <v/>
      </c>
      <c r="AN506" s="5" t="str">
        <f t="shared" si="161"/>
        <v/>
      </c>
      <c r="AO506" s="5" t="str">
        <f t="shared" si="162"/>
        <v/>
      </c>
      <c r="AP506" s="5" t="str">
        <f t="shared" si="163"/>
        <v/>
      </c>
      <c r="AQ506" s="5" t="str">
        <f t="shared" si="164"/>
        <v/>
      </c>
      <c r="AR506" s="5" t="str">
        <f t="shared" si="165"/>
        <v/>
      </c>
      <c r="AS506" s="5" t="str">
        <f t="shared" si="166"/>
        <v/>
      </c>
      <c r="AT506" s="5" t="str">
        <f t="shared" si="167"/>
        <v/>
      </c>
      <c r="AU506" s="5" t="str">
        <f t="shared" si="168"/>
        <v/>
      </c>
      <c r="AV506" s="5" t="str">
        <f t="shared" si="169"/>
        <v/>
      </c>
      <c r="AW506" s="5" t="str">
        <f t="shared" si="170"/>
        <v/>
      </c>
      <c r="AX506" s="5" t="str">
        <f t="shared" si="171"/>
        <v/>
      </c>
      <c r="AY506" s="5" t="str">
        <f t="shared" si="172"/>
        <v/>
      </c>
      <c r="AZ506" s="5" t="str">
        <f t="shared" si="173"/>
        <v/>
      </c>
      <c r="BA506" s="5" t="str">
        <f t="shared" si="174"/>
        <v/>
      </c>
      <c r="BB506" s="5" t="str">
        <f t="shared" si="175"/>
        <v/>
      </c>
    </row>
    <row r="507" spans="1:54" s="5" customFormat="1" hidden="1">
      <c r="A507" s="8" t="str">
        <f>IF(INDEX(FORM!$A:$A,ROW())="","",ROW()-1)</f>
        <v/>
      </c>
      <c r="B507" s="41" t="str">
        <f>IF($A507="","",INDEX(FORM!$A:$A,ROW()))</f>
        <v/>
      </c>
      <c r="C507" s="8" t="str">
        <f>IF($A507="","",TRIM(INDEX(FORM!$B:$B,ROW())))</f>
        <v/>
      </c>
      <c r="D507" s="8" t="str">
        <f>IF($A507="","",TRIM(INDEX(FORM!$C:$C,ROW())&amp;""))</f>
        <v/>
      </c>
      <c r="E507" s="8" t="str">
        <f>IF($A507="","",UPPER(TRIM(INDEX(FORM!$D:$D,ROW()))))</f>
        <v/>
      </c>
      <c r="F507" s="8" t="str">
        <f>IF($A507="","",IFERROR(INDEX(PROGRES!$A$2:$A$92,MATCH(E507,PROGRES!$B$2:$B$92,0)),"-"))</f>
        <v/>
      </c>
      <c r="G507" s="8" t="str">
        <f>IF($A507="","",UPPER(TRIM(INDEX(FORM!$F:$F,ROW()))))</f>
        <v/>
      </c>
      <c r="H507" s="8" t="str">
        <f>IF($A507="","",UPPER(TRIM(INDEX(FORM!$E:$E,ROW()))))</f>
        <v/>
      </c>
      <c r="I507" s="8" t="str">
        <f>IF($A507="","",UPPER(TRIM(INDEX(FORM!$G:$G,ROW()))))</f>
        <v/>
      </c>
      <c r="J507" s="8" t="str">
        <f>IF($A507="","",IF(ISNUMBER(SEARCH("Ya,",INDEX(FORM!$H:$H,ROW()))),"YA",IF(ISNUMBER(SEARCH("Cukup,",INDEX(FORM!$H:$H,ROW()))),"CUKUP",IF(ISNUMBER(SEARCH("Kurang,",INDEX(FORM!$H:$H,ROW()))),"KURANG",""))))</f>
        <v/>
      </c>
      <c r="K507" s="8" t="str">
        <f>IF($A507="","",UPPER(TRIM(INDEX(FORM!$J:$J,ROW()))))</f>
        <v/>
      </c>
      <c r="L507" s="8" t="str">
        <f>IF($A507="","",IF(ISNUMBER(SEARCH("Aktivitas Harian",INDEX(FORM!$K:$K,ROW()))),1,0))</f>
        <v/>
      </c>
      <c r="M507" s="8" t="str">
        <f>IF($A507="","",IF(ISNUMBER(SEARCH("Aktivitas Mingguan",INDEX(FORM!$K:$K,ROW()))),1,0))</f>
        <v/>
      </c>
      <c r="N507" s="8" t="str">
        <f>IF($A507="","",IF(ISNUMBER(SEARCH("Aktivitas Bulanan",INDEX(FORM!$K:$K,ROW()))),1,0))</f>
        <v/>
      </c>
      <c r="O507" s="8" t="str">
        <f>IF($A507="","",IF(ISNUMBER(SEARCH("Overview Cabang",INDEX(FORM!$K:$K,ROW()))),1,0))</f>
        <v/>
      </c>
      <c r="P507" s="8" t="str">
        <f>IF($A507="","",IFERROR(VLOOKUP(I507,DATA!$AH$9:$AI$13,2,0),""))</f>
        <v/>
      </c>
      <c r="Q507" s="8" t="str">
        <f>IF($A507="","",IFERROR(VLOOKUP(J507,DATA!$AH$9:$AI$13,2,0),""))</f>
        <v/>
      </c>
      <c r="R507" s="8" t="str">
        <f>IF($A507="","",IFERROR(VLOOKUP(K507,DATA!$AH$9:$AI$13,2,0),""))</f>
        <v/>
      </c>
      <c r="S507" s="42" t="str">
        <f t="shared" si="154"/>
        <v/>
      </c>
      <c r="T507" s="8" t="str">
        <f>IF($A507="","",IF(COUNTIF($D$2:D507,D507)=1,1,0))</f>
        <v/>
      </c>
      <c r="U507" s="8" t="str">
        <f>IF($A507="","",IF(F507="-","Cabang tdk ada",IF(IFERROR(VLOOKUP(G507,#REF!,1,0),"")="","",IF(INDEX(DATA!$AH$2:$AH$5,MATCH(G507,DATA!$AI$2:$AI$5,0))&lt;&gt;F507,"Wilayah beda","OK"))))</f>
        <v/>
      </c>
      <c r="V507" s="8" t="str">
        <f>IF($A507="","",TRIM(INDEX(FORM!$I:$I,ROW())&amp;""))</f>
        <v/>
      </c>
      <c r="W507" s="8" t="str">
        <f>IF($A507="","",TRIM(INDEX(FORM!$L:$L,ROW())&amp;""))</f>
        <v/>
      </c>
      <c r="X507" s="8" t="str">
        <f>IF($A507="","",TRIM(INDEX(FORM!$M:$M,ROW())&amp;""))</f>
        <v/>
      </c>
      <c r="Y507" s="8" t="str">
        <f>IF($A507="","",IFERROR(MATCH(F507,DATA!$AH$2:$AH$5,0),9)*10000+A507)</f>
        <v/>
      </c>
      <c r="Z507" s="8" t="str">
        <f t="shared" si="155"/>
        <v/>
      </c>
      <c r="AA507" s="8" t="str">
        <f t="shared" si="156"/>
        <v/>
      </c>
      <c r="AB507" s="8" t="str">
        <f t="shared" si="157"/>
        <v/>
      </c>
      <c r="AC507" s="8"/>
      <c r="AD507" s="8"/>
      <c r="AE507" s="8"/>
      <c r="AK507" s="5" t="str">
        <f t="shared" si="158"/>
        <v/>
      </c>
      <c r="AL507" s="5" t="str">
        <f t="shared" si="159"/>
        <v/>
      </c>
      <c r="AM507" s="5" t="str">
        <f t="shared" si="160"/>
        <v/>
      </c>
      <c r="AN507" s="5" t="str">
        <f t="shared" si="161"/>
        <v/>
      </c>
      <c r="AO507" s="5" t="str">
        <f t="shared" si="162"/>
        <v/>
      </c>
      <c r="AP507" s="5" t="str">
        <f t="shared" si="163"/>
        <v/>
      </c>
      <c r="AQ507" s="5" t="str">
        <f t="shared" si="164"/>
        <v/>
      </c>
      <c r="AR507" s="5" t="str">
        <f t="shared" si="165"/>
        <v/>
      </c>
      <c r="AS507" s="5" t="str">
        <f t="shared" si="166"/>
        <v/>
      </c>
      <c r="AT507" s="5" t="str">
        <f t="shared" si="167"/>
        <v/>
      </c>
      <c r="AU507" s="5" t="str">
        <f t="shared" si="168"/>
        <v/>
      </c>
      <c r="AV507" s="5" t="str">
        <f t="shared" si="169"/>
        <v/>
      </c>
      <c r="AW507" s="5" t="str">
        <f t="shared" si="170"/>
        <v/>
      </c>
      <c r="AX507" s="5" t="str">
        <f t="shared" si="171"/>
        <v/>
      </c>
      <c r="AY507" s="5" t="str">
        <f t="shared" si="172"/>
        <v/>
      </c>
      <c r="AZ507" s="5" t="str">
        <f t="shared" si="173"/>
        <v/>
      </c>
      <c r="BA507" s="5" t="str">
        <f t="shared" si="174"/>
        <v/>
      </c>
      <c r="BB507" s="5" t="str">
        <f t="shared" si="175"/>
        <v/>
      </c>
    </row>
    <row r="508" spans="1:54" s="5" customFormat="1" hidden="1">
      <c r="A508" s="8" t="str">
        <f>IF(INDEX(FORM!$A:$A,ROW())="","",ROW()-1)</f>
        <v/>
      </c>
      <c r="B508" s="41" t="str">
        <f>IF($A508="","",INDEX(FORM!$A:$A,ROW()))</f>
        <v/>
      </c>
      <c r="C508" s="8" t="str">
        <f>IF($A508="","",TRIM(INDEX(FORM!$B:$B,ROW())))</f>
        <v/>
      </c>
      <c r="D508" s="8" t="str">
        <f>IF($A508="","",TRIM(INDEX(FORM!$C:$C,ROW())&amp;""))</f>
        <v/>
      </c>
      <c r="E508" s="8" t="str">
        <f>IF($A508="","",UPPER(TRIM(INDEX(FORM!$D:$D,ROW()))))</f>
        <v/>
      </c>
      <c r="F508" s="8" t="str">
        <f>IF($A508="","",IFERROR(INDEX(PROGRES!$A$2:$A$92,MATCH(E508,PROGRES!$B$2:$B$92,0)),"-"))</f>
        <v/>
      </c>
      <c r="G508" s="8" t="str">
        <f>IF($A508="","",UPPER(TRIM(INDEX(FORM!$F:$F,ROW()))))</f>
        <v/>
      </c>
      <c r="H508" s="8" t="str">
        <f>IF($A508="","",UPPER(TRIM(INDEX(FORM!$E:$E,ROW()))))</f>
        <v/>
      </c>
      <c r="I508" s="8" t="str">
        <f>IF($A508="","",UPPER(TRIM(INDEX(FORM!$G:$G,ROW()))))</f>
        <v/>
      </c>
      <c r="J508" s="8" t="str">
        <f>IF($A508="","",IF(ISNUMBER(SEARCH("Ya,",INDEX(FORM!$H:$H,ROW()))),"YA",IF(ISNUMBER(SEARCH("Cukup,",INDEX(FORM!$H:$H,ROW()))),"CUKUP",IF(ISNUMBER(SEARCH("Kurang,",INDEX(FORM!$H:$H,ROW()))),"KURANG",""))))</f>
        <v/>
      </c>
      <c r="K508" s="8" t="str">
        <f>IF($A508="","",UPPER(TRIM(INDEX(FORM!$J:$J,ROW()))))</f>
        <v/>
      </c>
      <c r="L508" s="8" t="str">
        <f>IF($A508="","",IF(ISNUMBER(SEARCH("Aktivitas Harian",INDEX(FORM!$K:$K,ROW()))),1,0))</f>
        <v/>
      </c>
      <c r="M508" s="8" t="str">
        <f>IF($A508="","",IF(ISNUMBER(SEARCH("Aktivitas Mingguan",INDEX(FORM!$K:$K,ROW()))),1,0))</f>
        <v/>
      </c>
      <c r="N508" s="8" t="str">
        <f>IF($A508="","",IF(ISNUMBER(SEARCH("Aktivitas Bulanan",INDEX(FORM!$K:$K,ROW()))),1,0))</f>
        <v/>
      </c>
      <c r="O508" s="8" t="str">
        <f>IF($A508="","",IF(ISNUMBER(SEARCH("Overview Cabang",INDEX(FORM!$K:$K,ROW()))),1,0))</f>
        <v/>
      </c>
      <c r="P508" s="8" t="str">
        <f>IF($A508="","",IFERROR(VLOOKUP(I508,DATA!$AH$9:$AI$13,2,0),""))</f>
        <v/>
      </c>
      <c r="Q508" s="8" t="str">
        <f>IF($A508="","",IFERROR(VLOOKUP(J508,DATA!$AH$9:$AI$13,2,0),""))</f>
        <v/>
      </c>
      <c r="R508" s="8" t="str">
        <f>IF($A508="","",IFERROR(VLOOKUP(K508,DATA!$AH$9:$AI$13,2,0),""))</f>
        <v/>
      </c>
      <c r="S508" s="42" t="str">
        <f t="shared" si="154"/>
        <v/>
      </c>
      <c r="T508" s="8" t="str">
        <f>IF($A508="","",IF(COUNTIF($D$2:D508,D508)=1,1,0))</f>
        <v/>
      </c>
      <c r="U508" s="8" t="str">
        <f>IF($A508="","",IF(F508="-","Cabang tdk ada",IF(IFERROR(VLOOKUP(G508,#REF!,1,0),"")="","",IF(INDEX(DATA!$AH$2:$AH$5,MATCH(G508,DATA!$AI$2:$AI$5,0))&lt;&gt;F508,"Wilayah beda","OK"))))</f>
        <v/>
      </c>
      <c r="V508" s="8" t="str">
        <f>IF($A508="","",TRIM(INDEX(FORM!$I:$I,ROW())&amp;""))</f>
        <v/>
      </c>
      <c r="W508" s="8" t="str">
        <f>IF($A508="","",TRIM(INDEX(FORM!$L:$L,ROW())&amp;""))</f>
        <v/>
      </c>
      <c r="X508" s="8" t="str">
        <f>IF($A508="","",TRIM(INDEX(FORM!$M:$M,ROW())&amp;""))</f>
        <v/>
      </c>
      <c r="Y508" s="8" t="str">
        <f>IF($A508="","",IFERROR(MATCH(F508,DATA!$AH$2:$AH$5,0),9)*10000+A508)</f>
        <v/>
      </c>
      <c r="Z508" s="8" t="str">
        <f t="shared" si="155"/>
        <v/>
      </c>
      <c r="AA508" s="8" t="str">
        <f t="shared" si="156"/>
        <v/>
      </c>
      <c r="AB508" s="8" t="str">
        <f t="shared" si="157"/>
        <v/>
      </c>
      <c r="AC508" s="8"/>
      <c r="AD508" s="8"/>
      <c r="AE508" s="8"/>
      <c r="AK508" s="5" t="str">
        <f t="shared" si="158"/>
        <v/>
      </c>
      <c r="AL508" s="5" t="str">
        <f t="shared" si="159"/>
        <v/>
      </c>
      <c r="AM508" s="5" t="str">
        <f t="shared" si="160"/>
        <v/>
      </c>
      <c r="AN508" s="5" t="str">
        <f t="shared" si="161"/>
        <v/>
      </c>
      <c r="AO508" s="5" t="str">
        <f t="shared" si="162"/>
        <v/>
      </c>
      <c r="AP508" s="5" t="str">
        <f t="shared" si="163"/>
        <v/>
      </c>
      <c r="AQ508" s="5" t="str">
        <f t="shared" si="164"/>
        <v/>
      </c>
      <c r="AR508" s="5" t="str">
        <f t="shared" si="165"/>
        <v/>
      </c>
      <c r="AS508" s="5" t="str">
        <f t="shared" si="166"/>
        <v/>
      </c>
      <c r="AT508" s="5" t="str">
        <f t="shared" si="167"/>
        <v/>
      </c>
      <c r="AU508" s="5" t="str">
        <f t="shared" si="168"/>
        <v/>
      </c>
      <c r="AV508" s="5" t="str">
        <f t="shared" si="169"/>
        <v/>
      </c>
      <c r="AW508" s="5" t="str">
        <f t="shared" si="170"/>
        <v/>
      </c>
      <c r="AX508" s="5" t="str">
        <f t="shared" si="171"/>
        <v/>
      </c>
      <c r="AY508" s="5" t="str">
        <f t="shared" si="172"/>
        <v/>
      </c>
      <c r="AZ508" s="5" t="str">
        <f t="shared" si="173"/>
        <v/>
      </c>
      <c r="BA508" s="5" t="str">
        <f t="shared" si="174"/>
        <v/>
      </c>
      <c r="BB508" s="5" t="str">
        <f t="shared" si="175"/>
        <v/>
      </c>
    </row>
    <row r="509" spans="1:54" s="5" customFormat="1" hidden="1">
      <c r="A509" s="8" t="str">
        <f>IF(INDEX(FORM!$A:$A,ROW())="","",ROW()-1)</f>
        <v/>
      </c>
      <c r="B509" s="41" t="str">
        <f>IF($A509="","",INDEX(FORM!$A:$A,ROW()))</f>
        <v/>
      </c>
      <c r="C509" s="8" t="str">
        <f>IF($A509="","",TRIM(INDEX(FORM!$B:$B,ROW())))</f>
        <v/>
      </c>
      <c r="D509" s="8" t="str">
        <f>IF($A509="","",TRIM(INDEX(FORM!$C:$C,ROW())&amp;""))</f>
        <v/>
      </c>
      <c r="E509" s="8" t="str">
        <f>IF($A509="","",UPPER(TRIM(INDEX(FORM!$D:$D,ROW()))))</f>
        <v/>
      </c>
      <c r="F509" s="8" t="str">
        <f>IF($A509="","",IFERROR(INDEX(PROGRES!$A$2:$A$92,MATCH(E509,PROGRES!$B$2:$B$92,0)),"-"))</f>
        <v/>
      </c>
      <c r="G509" s="8" t="str">
        <f>IF($A509="","",UPPER(TRIM(INDEX(FORM!$F:$F,ROW()))))</f>
        <v/>
      </c>
      <c r="H509" s="8" t="str">
        <f>IF($A509="","",UPPER(TRIM(INDEX(FORM!$E:$E,ROW()))))</f>
        <v/>
      </c>
      <c r="I509" s="8" t="str">
        <f>IF($A509="","",UPPER(TRIM(INDEX(FORM!$G:$G,ROW()))))</f>
        <v/>
      </c>
      <c r="J509" s="8" t="str">
        <f>IF($A509="","",IF(ISNUMBER(SEARCH("Ya,",INDEX(FORM!$H:$H,ROW()))),"YA",IF(ISNUMBER(SEARCH("Cukup,",INDEX(FORM!$H:$H,ROW()))),"CUKUP",IF(ISNUMBER(SEARCH("Kurang,",INDEX(FORM!$H:$H,ROW()))),"KURANG",""))))</f>
        <v/>
      </c>
      <c r="K509" s="8" t="str">
        <f>IF($A509="","",UPPER(TRIM(INDEX(FORM!$J:$J,ROW()))))</f>
        <v/>
      </c>
      <c r="L509" s="8" t="str">
        <f>IF($A509="","",IF(ISNUMBER(SEARCH("Aktivitas Harian",INDEX(FORM!$K:$K,ROW()))),1,0))</f>
        <v/>
      </c>
      <c r="M509" s="8" t="str">
        <f>IF($A509="","",IF(ISNUMBER(SEARCH("Aktivitas Mingguan",INDEX(FORM!$K:$K,ROW()))),1,0))</f>
        <v/>
      </c>
      <c r="N509" s="8" t="str">
        <f>IF($A509="","",IF(ISNUMBER(SEARCH("Aktivitas Bulanan",INDEX(FORM!$K:$K,ROW()))),1,0))</f>
        <v/>
      </c>
      <c r="O509" s="8" t="str">
        <f>IF($A509="","",IF(ISNUMBER(SEARCH("Overview Cabang",INDEX(FORM!$K:$K,ROW()))),1,0))</f>
        <v/>
      </c>
      <c r="P509" s="8" t="str">
        <f>IF($A509="","",IFERROR(VLOOKUP(I509,DATA!$AH$9:$AI$13,2,0),""))</f>
        <v/>
      </c>
      <c r="Q509" s="8" t="str">
        <f>IF($A509="","",IFERROR(VLOOKUP(J509,DATA!$AH$9:$AI$13,2,0),""))</f>
        <v/>
      </c>
      <c r="R509" s="8" t="str">
        <f>IF($A509="","",IFERROR(VLOOKUP(K509,DATA!$AH$9:$AI$13,2,0),""))</f>
        <v/>
      </c>
      <c r="S509" s="42" t="str">
        <f t="shared" si="154"/>
        <v/>
      </c>
      <c r="T509" s="8" t="str">
        <f>IF($A509="","",IF(COUNTIF($D$2:D509,D509)=1,1,0))</f>
        <v/>
      </c>
      <c r="U509" s="8" t="str">
        <f>IF($A509="","",IF(F509="-","Cabang tdk ada",IF(IFERROR(VLOOKUP(G509,#REF!,1,0),"")="","",IF(INDEX(DATA!$AH$2:$AH$5,MATCH(G509,DATA!$AI$2:$AI$5,0))&lt;&gt;F509,"Wilayah beda","OK"))))</f>
        <v/>
      </c>
      <c r="V509" s="8" t="str">
        <f>IF($A509="","",TRIM(INDEX(FORM!$I:$I,ROW())&amp;""))</f>
        <v/>
      </c>
      <c r="W509" s="8" t="str">
        <f>IF($A509="","",TRIM(INDEX(FORM!$L:$L,ROW())&amp;""))</f>
        <v/>
      </c>
      <c r="X509" s="8" t="str">
        <f>IF($A509="","",TRIM(INDEX(FORM!$M:$M,ROW())&amp;""))</f>
        <v/>
      </c>
      <c r="Y509" s="8" t="str">
        <f>IF($A509="","",IFERROR(MATCH(F509,DATA!$AH$2:$AH$5,0),9)*10000+A509)</f>
        <v/>
      </c>
      <c r="Z509" s="8" t="str">
        <f t="shared" si="155"/>
        <v/>
      </c>
      <c r="AA509" s="8" t="str">
        <f t="shared" si="156"/>
        <v/>
      </c>
      <c r="AB509" s="8" t="str">
        <f t="shared" si="157"/>
        <v/>
      </c>
      <c r="AC509" s="8"/>
      <c r="AD509" s="8"/>
      <c r="AE509" s="8"/>
      <c r="AK509" s="5" t="str">
        <f t="shared" si="158"/>
        <v/>
      </c>
      <c r="AL509" s="5" t="str">
        <f t="shared" si="159"/>
        <v/>
      </c>
      <c r="AM509" s="5" t="str">
        <f t="shared" si="160"/>
        <v/>
      </c>
      <c r="AN509" s="5" t="str">
        <f t="shared" si="161"/>
        <v/>
      </c>
      <c r="AO509" s="5" t="str">
        <f t="shared" si="162"/>
        <v/>
      </c>
      <c r="AP509" s="5" t="str">
        <f t="shared" si="163"/>
        <v/>
      </c>
      <c r="AQ509" s="5" t="str">
        <f t="shared" si="164"/>
        <v/>
      </c>
      <c r="AR509" s="5" t="str">
        <f t="shared" si="165"/>
        <v/>
      </c>
      <c r="AS509" s="5" t="str">
        <f t="shared" si="166"/>
        <v/>
      </c>
      <c r="AT509" s="5" t="str">
        <f t="shared" si="167"/>
        <v/>
      </c>
      <c r="AU509" s="5" t="str">
        <f t="shared" si="168"/>
        <v/>
      </c>
      <c r="AV509" s="5" t="str">
        <f t="shared" si="169"/>
        <v/>
      </c>
      <c r="AW509" s="5" t="str">
        <f t="shared" si="170"/>
        <v/>
      </c>
      <c r="AX509" s="5" t="str">
        <f t="shared" si="171"/>
        <v/>
      </c>
      <c r="AY509" s="5" t="str">
        <f t="shared" si="172"/>
        <v/>
      </c>
      <c r="AZ509" s="5" t="str">
        <f t="shared" si="173"/>
        <v/>
      </c>
      <c r="BA509" s="5" t="str">
        <f t="shared" si="174"/>
        <v/>
      </c>
      <c r="BB509" s="5" t="str">
        <f t="shared" si="175"/>
        <v/>
      </c>
    </row>
    <row r="510" spans="1:54" s="5" customFormat="1" hidden="1">
      <c r="A510" s="8" t="str">
        <f>IF(INDEX(FORM!$A:$A,ROW())="","",ROW()-1)</f>
        <v/>
      </c>
      <c r="B510" s="41" t="str">
        <f>IF($A510="","",INDEX(FORM!$A:$A,ROW()))</f>
        <v/>
      </c>
      <c r="C510" s="8" t="str">
        <f>IF($A510="","",TRIM(INDEX(FORM!$B:$B,ROW())))</f>
        <v/>
      </c>
      <c r="D510" s="8" t="str">
        <f>IF($A510="","",TRIM(INDEX(FORM!$C:$C,ROW())&amp;""))</f>
        <v/>
      </c>
      <c r="E510" s="8" t="str">
        <f>IF($A510="","",UPPER(TRIM(INDEX(FORM!$D:$D,ROW()))))</f>
        <v/>
      </c>
      <c r="F510" s="8" t="str">
        <f>IF($A510="","",IFERROR(INDEX(PROGRES!$A$2:$A$92,MATCH(E510,PROGRES!$B$2:$B$92,0)),"-"))</f>
        <v/>
      </c>
      <c r="G510" s="8" t="str">
        <f>IF($A510="","",UPPER(TRIM(INDEX(FORM!$F:$F,ROW()))))</f>
        <v/>
      </c>
      <c r="H510" s="8" t="str">
        <f>IF($A510="","",UPPER(TRIM(INDEX(FORM!$E:$E,ROW()))))</f>
        <v/>
      </c>
      <c r="I510" s="8" t="str">
        <f>IF($A510="","",UPPER(TRIM(INDEX(FORM!$G:$G,ROW()))))</f>
        <v/>
      </c>
      <c r="J510" s="8" t="str">
        <f>IF($A510="","",IF(ISNUMBER(SEARCH("Ya,",INDEX(FORM!$H:$H,ROW()))),"YA",IF(ISNUMBER(SEARCH("Cukup,",INDEX(FORM!$H:$H,ROW()))),"CUKUP",IF(ISNUMBER(SEARCH("Kurang,",INDEX(FORM!$H:$H,ROW()))),"KURANG",""))))</f>
        <v/>
      </c>
      <c r="K510" s="8" t="str">
        <f>IF($A510="","",UPPER(TRIM(INDEX(FORM!$J:$J,ROW()))))</f>
        <v/>
      </c>
      <c r="L510" s="8" t="str">
        <f>IF($A510="","",IF(ISNUMBER(SEARCH("Aktivitas Harian",INDEX(FORM!$K:$K,ROW()))),1,0))</f>
        <v/>
      </c>
      <c r="M510" s="8" t="str">
        <f>IF($A510="","",IF(ISNUMBER(SEARCH("Aktivitas Mingguan",INDEX(FORM!$K:$K,ROW()))),1,0))</f>
        <v/>
      </c>
      <c r="N510" s="8" t="str">
        <f>IF($A510="","",IF(ISNUMBER(SEARCH("Aktivitas Bulanan",INDEX(FORM!$K:$K,ROW()))),1,0))</f>
        <v/>
      </c>
      <c r="O510" s="8" t="str">
        <f>IF($A510="","",IF(ISNUMBER(SEARCH("Overview Cabang",INDEX(FORM!$K:$K,ROW()))),1,0))</f>
        <v/>
      </c>
      <c r="P510" s="8" t="str">
        <f>IF($A510="","",IFERROR(VLOOKUP(I510,DATA!$AH$9:$AI$13,2,0),""))</f>
        <v/>
      </c>
      <c r="Q510" s="8" t="str">
        <f>IF($A510="","",IFERROR(VLOOKUP(J510,DATA!$AH$9:$AI$13,2,0),""))</f>
        <v/>
      </c>
      <c r="R510" s="8" t="str">
        <f>IF($A510="","",IFERROR(VLOOKUP(K510,DATA!$AH$9:$AI$13,2,0),""))</f>
        <v/>
      </c>
      <c r="S510" s="42" t="str">
        <f t="shared" si="154"/>
        <v/>
      </c>
      <c r="T510" s="8" t="str">
        <f>IF($A510="","",IF(COUNTIF($D$2:D510,D510)=1,1,0))</f>
        <v/>
      </c>
      <c r="U510" s="8" t="str">
        <f>IF($A510="","",IF(F510="-","Cabang tdk ada",IF(IFERROR(VLOOKUP(G510,#REF!,1,0),"")="","",IF(INDEX(DATA!$AH$2:$AH$5,MATCH(G510,DATA!$AI$2:$AI$5,0))&lt;&gt;F510,"Wilayah beda","OK"))))</f>
        <v/>
      </c>
      <c r="V510" s="8" t="str">
        <f>IF($A510="","",TRIM(INDEX(FORM!$I:$I,ROW())&amp;""))</f>
        <v/>
      </c>
      <c r="W510" s="8" t="str">
        <f>IF($A510="","",TRIM(INDEX(FORM!$L:$L,ROW())&amp;""))</f>
        <v/>
      </c>
      <c r="X510" s="8" t="str">
        <f>IF($A510="","",TRIM(INDEX(FORM!$M:$M,ROW())&amp;""))</f>
        <v/>
      </c>
      <c r="Y510" s="8" t="str">
        <f>IF($A510="","",IFERROR(MATCH(F510,DATA!$AH$2:$AH$5,0),9)*10000+A510)</f>
        <v/>
      </c>
      <c r="Z510" s="8" t="str">
        <f t="shared" si="155"/>
        <v/>
      </c>
      <c r="AA510" s="8" t="str">
        <f t="shared" si="156"/>
        <v/>
      </c>
      <c r="AB510" s="8" t="str">
        <f t="shared" si="157"/>
        <v/>
      </c>
      <c r="AC510" s="8"/>
      <c r="AD510" s="8"/>
      <c r="AE510" s="8"/>
      <c r="AK510" s="5" t="str">
        <f t="shared" si="158"/>
        <v/>
      </c>
      <c r="AL510" s="5" t="str">
        <f t="shared" si="159"/>
        <v/>
      </c>
      <c r="AM510" s="5" t="str">
        <f t="shared" si="160"/>
        <v/>
      </c>
      <c r="AN510" s="5" t="str">
        <f t="shared" si="161"/>
        <v/>
      </c>
      <c r="AO510" s="5" t="str">
        <f t="shared" si="162"/>
        <v/>
      </c>
      <c r="AP510" s="5" t="str">
        <f t="shared" si="163"/>
        <v/>
      </c>
      <c r="AQ510" s="5" t="str">
        <f t="shared" si="164"/>
        <v/>
      </c>
      <c r="AR510" s="5" t="str">
        <f t="shared" si="165"/>
        <v/>
      </c>
      <c r="AS510" s="5" t="str">
        <f t="shared" si="166"/>
        <v/>
      </c>
      <c r="AT510" s="5" t="str">
        <f t="shared" si="167"/>
        <v/>
      </c>
      <c r="AU510" s="5" t="str">
        <f t="shared" si="168"/>
        <v/>
      </c>
      <c r="AV510" s="5" t="str">
        <f t="shared" si="169"/>
        <v/>
      </c>
      <c r="AW510" s="5" t="str">
        <f t="shared" si="170"/>
        <v/>
      </c>
      <c r="AX510" s="5" t="str">
        <f t="shared" si="171"/>
        <v/>
      </c>
      <c r="AY510" s="5" t="str">
        <f t="shared" si="172"/>
        <v/>
      </c>
      <c r="AZ510" s="5" t="str">
        <f t="shared" si="173"/>
        <v/>
      </c>
      <c r="BA510" s="5" t="str">
        <f t="shared" si="174"/>
        <v/>
      </c>
      <c r="BB510" s="5" t="str">
        <f t="shared" si="175"/>
        <v/>
      </c>
    </row>
    <row r="511" spans="1:54" s="5" customFormat="1" hidden="1">
      <c r="A511" s="8" t="str">
        <f>IF(INDEX(FORM!$A:$A,ROW())="","",ROW()-1)</f>
        <v/>
      </c>
      <c r="B511" s="41" t="str">
        <f>IF($A511="","",INDEX(FORM!$A:$A,ROW()))</f>
        <v/>
      </c>
      <c r="C511" s="8" t="str">
        <f>IF($A511="","",TRIM(INDEX(FORM!$B:$B,ROW())))</f>
        <v/>
      </c>
      <c r="D511" s="8" t="str">
        <f>IF($A511="","",TRIM(INDEX(FORM!$C:$C,ROW())&amp;""))</f>
        <v/>
      </c>
      <c r="E511" s="8" t="str">
        <f>IF($A511="","",UPPER(TRIM(INDEX(FORM!$D:$D,ROW()))))</f>
        <v/>
      </c>
      <c r="F511" s="8" t="str">
        <f>IF($A511="","",IFERROR(INDEX(PROGRES!$A$2:$A$92,MATCH(E511,PROGRES!$B$2:$B$92,0)),"-"))</f>
        <v/>
      </c>
      <c r="G511" s="8" t="str">
        <f>IF($A511="","",UPPER(TRIM(INDEX(FORM!$F:$F,ROW()))))</f>
        <v/>
      </c>
      <c r="H511" s="8" t="str">
        <f>IF($A511="","",UPPER(TRIM(INDEX(FORM!$E:$E,ROW()))))</f>
        <v/>
      </c>
      <c r="I511" s="8" t="str">
        <f>IF($A511="","",UPPER(TRIM(INDEX(FORM!$G:$G,ROW()))))</f>
        <v/>
      </c>
      <c r="J511" s="8" t="str">
        <f>IF($A511="","",IF(ISNUMBER(SEARCH("Ya,",INDEX(FORM!$H:$H,ROW()))),"YA",IF(ISNUMBER(SEARCH("Cukup,",INDEX(FORM!$H:$H,ROW()))),"CUKUP",IF(ISNUMBER(SEARCH("Kurang,",INDEX(FORM!$H:$H,ROW()))),"KURANG",""))))</f>
        <v/>
      </c>
      <c r="K511" s="8" t="str">
        <f>IF($A511="","",UPPER(TRIM(INDEX(FORM!$J:$J,ROW()))))</f>
        <v/>
      </c>
      <c r="L511" s="8" t="str">
        <f>IF($A511="","",IF(ISNUMBER(SEARCH("Aktivitas Harian",INDEX(FORM!$K:$K,ROW()))),1,0))</f>
        <v/>
      </c>
      <c r="M511" s="8" t="str">
        <f>IF($A511="","",IF(ISNUMBER(SEARCH("Aktivitas Mingguan",INDEX(FORM!$K:$K,ROW()))),1,0))</f>
        <v/>
      </c>
      <c r="N511" s="8" t="str">
        <f>IF($A511="","",IF(ISNUMBER(SEARCH("Aktivitas Bulanan",INDEX(FORM!$K:$K,ROW()))),1,0))</f>
        <v/>
      </c>
      <c r="O511" s="8" t="str">
        <f>IF($A511="","",IF(ISNUMBER(SEARCH("Overview Cabang",INDEX(FORM!$K:$K,ROW()))),1,0))</f>
        <v/>
      </c>
      <c r="P511" s="8" t="str">
        <f>IF($A511="","",IFERROR(VLOOKUP(I511,DATA!$AH$9:$AI$13,2,0),""))</f>
        <v/>
      </c>
      <c r="Q511" s="8" t="str">
        <f>IF($A511="","",IFERROR(VLOOKUP(J511,DATA!$AH$9:$AI$13,2,0),""))</f>
        <v/>
      </c>
      <c r="R511" s="8" t="str">
        <f>IF($A511="","",IFERROR(VLOOKUP(K511,DATA!$AH$9:$AI$13,2,0),""))</f>
        <v/>
      </c>
      <c r="S511" s="42" t="str">
        <f t="shared" si="154"/>
        <v/>
      </c>
      <c r="T511" s="8" t="str">
        <f>IF($A511="","",IF(COUNTIF($D$2:D511,D511)=1,1,0))</f>
        <v/>
      </c>
      <c r="U511" s="8" t="str">
        <f>IF($A511="","",IF(F511="-","Cabang tdk ada",IF(IFERROR(VLOOKUP(G511,#REF!,1,0),"")="","",IF(INDEX(DATA!$AH$2:$AH$5,MATCH(G511,DATA!$AI$2:$AI$5,0))&lt;&gt;F511,"Wilayah beda","OK"))))</f>
        <v/>
      </c>
      <c r="V511" s="8" t="str">
        <f>IF($A511="","",TRIM(INDEX(FORM!$I:$I,ROW())&amp;""))</f>
        <v/>
      </c>
      <c r="W511" s="8" t="str">
        <f>IF($A511="","",TRIM(INDEX(FORM!$L:$L,ROW())&amp;""))</f>
        <v/>
      </c>
      <c r="X511" s="8" t="str">
        <f>IF($A511="","",TRIM(INDEX(FORM!$M:$M,ROW())&amp;""))</f>
        <v/>
      </c>
      <c r="Y511" s="8" t="str">
        <f>IF($A511="","",IFERROR(MATCH(F511,DATA!$AH$2:$AH$5,0),9)*10000+A511)</f>
        <v/>
      </c>
      <c r="Z511" s="8" t="str">
        <f t="shared" si="155"/>
        <v/>
      </c>
      <c r="AA511" s="8" t="str">
        <f t="shared" si="156"/>
        <v/>
      </c>
      <c r="AB511" s="8" t="str">
        <f t="shared" si="157"/>
        <v/>
      </c>
      <c r="AC511" s="8"/>
      <c r="AD511" s="8"/>
      <c r="AE511" s="8"/>
      <c r="AK511" s="5" t="str">
        <f t="shared" si="158"/>
        <v/>
      </c>
      <c r="AL511" s="5" t="str">
        <f t="shared" si="159"/>
        <v/>
      </c>
      <c r="AM511" s="5" t="str">
        <f t="shared" si="160"/>
        <v/>
      </c>
      <c r="AN511" s="5" t="str">
        <f t="shared" si="161"/>
        <v/>
      </c>
      <c r="AO511" s="5" t="str">
        <f t="shared" si="162"/>
        <v/>
      </c>
      <c r="AP511" s="5" t="str">
        <f t="shared" si="163"/>
        <v/>
      </c>
      <c r="AQ511" s="5" t="str">
        <f t="shared" si="164"/>
        <v/>
      </c>
      <c r="AR511" s="5" t="str">
        <f t="shared" si="165"/>
        <v/>
      </c>
      <c r="AS511" s="5" t="str">
        <f t="shared" si="166"/>
        <v/>
      </c>
      <c r="AT511" s="5" t="str">
        <f t="shared" si="167"/>
        <v/>
      </c>
      <c r="AU511" s="5" t="str">
        <f t="shared" si="168"/>
        <v/>
      </c>
      <c r="AV511" s="5" t="str">
        <f t="shared" si="169"/>
        <v/>
      </c>
      <c r="AW511" s="5" t="str">
        <f t="shared" si="170"/>
        <v/>
      </c>
      <c r="AX511" s="5" t="str">
        <f t="shared" si="171"/>
        <v/>
      </c>
      <c r="AY511" s="5" t="str">
        <f t="shared" si="172"/>
        <v/>
      </c>
      <c r="AZ511" s="5" t="str">
        <f t="shared" si="173"/>
        <v/>
      </c>
      <c r="BA511" s="5" t="str">
        <f t="shared" si="174"/>
        <v/>
      </c>
      <c r="BB511" s="5" t="str">
        <f t="shared" si="175"/>
        <v/>
      </c>
    </row>
    <row r="512" spans="1:54" s="5" customFormat="1" hidden="1">
      <c r="A512" s="8" t="str">
        <f>IF(INDEX(FORM!$A:$A,ROW())="","",ROW()-1)</f>
        <v/>
      </c>
      <c r="B512" s="41" t="str">
        <f>IF($A512="","",INDEX(FORM!$A:$A,ROW()))</f>
        <v/>
      </c>
      <c r="C512" s="8" t="str">
        <f>IF($A512="","",TRIM(INDEX(FORM!$B:$B,ROW())))</f>
        <v/>
      </c>
      <c r="D512" s="8" t="str">
        <f>IF($A512="","",TRIM(INDEX(FORM!$C:$C,ROW())&amp;""))</f>
        <v/>
      </c>
      <c r="E512" s="8" t="str">
        <f>IF($A512="","",UPPER(TRIM(INDEX(FORM!$D:$D,ROW()))))</f>
        <v/>
      </c>
      <c r="F512" s="8" t="str">
        <f>IF($A512="","",IFERROR(INDEX(PROGRES!$A$2:$A$92,MATCH(E512,PROGRES!$B$2:$B$92,0)),"-"))</f>
        <v/>
      </c>
      <c r="G512" s="8" t="str">
        <f>IF($A512="","",UPPER(TRIM(INDEX(FORM!$F:$F,ROW()))))</f>
        <v/>
      </c>
      <c r="H512" s="8" t="str">
        <f>IF($A512="","",UPPER(TRIM(INDEX(FORM!$E:$E,ROW()))))</f>
        <v/>
      </c>
      <c r="I512" s="8" t="str">
        <f>IF($A512="","",UPPER(TRIM(INDEX(FORM!$G:$G,ROW()))))</f>
        <v/>
      </c>
      <c r="J512" s="8" t="str">
        <f>IF($A512="","",IF(ISNUMBER(SEARCH("Ya,",INDEX(FORM!$H:$H,ROW()))),"YA",IF(ISNUMBER(SEARCH("Cukup,",INDEX(FORM!$H:$H,ROW()))),"CUKUP",IF(ISNUMBER(SEARCH("Kurang,",INDEX(FORM!$H:$H,ROW()))),"KURANG",""))))</f>
        <v/>
      </c>
      <c r="K512" s="8" t="str">
        <f>IF($A512="","",UPPER(TRIM(INDEX(FORM!$J:$J,ROW()))))</f>
        <v/>
      </c>
      <c r="L512" s="8" t="str">
        <f>IF($A512="","",IF(ISNUMBER(SEARCH("Aktivitas Harian",INDEX(FORM!$K:$K,ROW()))),1,0))</f>
        <v/>
      </c>
      <c r="M512" s="8" t="str">
        <f>IF($A512="","",IF(ISNUMBER(SEARCH("Aktivitas Mingguan",INDEX(FORM!$K:$K,ROW()))),1,0))</f>
        <v/>
      </c>
      <c r="N512" s="8" t="str">
        <f>IF($A512="","",IF(ISNUMBER(SEARCH("Aktivitas Bulanan",INDEX(FORM!$K:$K,ROW()))),1,0))</f>
        <v/>
      </c>
      <c r="O512" s="8" t="str">
        <f>IF($A512="","",IF(ISNUMBER(SEARCH("Overview Cabang",INDEX(FORM!$K:$K,ROW()))),1,0))</f>
        <v/>
      </c>
      <c r="P512" s="8" t="str">
        <f>IF($A512="","",IFERROR(VLOOKUP(I512,DATA!$AH$9:$AI$13,2,0),""))</f>
        <v/>
      </c>
      <c r="Q512" s="8" t="str">
        <f>IF($A512="","",IFERROR(VLOOKUP(J512,DATA!$AH$9:$AI$13,2,0),""))</f>
        <v/>
      </c>
      <c r="R512" s="8" t="str">
        <f>IF($A512="","",IFERROR(VLOOKUP(K512,DATA!$AH$9:$AI$13,2,0),""))</f>
        <v/>
      </c>
      <c r="S512" s="42" t="str">
        <f t="shared" si="154"/>
        <v/>
      </c>
      <c r="T512" s="8" t="str">
        <f>IF($A512="","",IF(COUNTIF($D$2:D512,D512)=1,1,0))</f>
        <v/>
      </c>
      <c r="U512" s="8" t="str">
        <f>IF($A512="","",IF(F512="-","Cabang tdk ada",IF(IFERROR(VLOOKUP(G512,#REF!,1,0),"")="","",IF(INDEX(DATA!$AH$2:$AH$5,MATCH(G512,DATA!$AI$2:$AI$5,0))&lt;&gt;F512,"Wilayah beda","OK"))))</f>
        <v/>
      </c>
      <c r="V512" s="8" t="str">
        <f>IF($A512="","",TRIM(INDEX(FORM!$I:$I,ROW())&amp;""))</f>
        <v/>
      </c>
      <c r="W512" s="8" t="str">
        <f>IF($A512="","",TRIM(INDEX(FORM!$L:$L,ROW())&amp;""))</f>
        <v/>
      </c>
      <c r="X512" s="8" t="str">
        <f>IF($A512="","",TRIM(INDEX(FORM!$M:$M,ROW())&amp;""))</f>
        <v/>
      </c>
      <c r="Y512" s="8" t="str">
        <f>IF($A512="","",IFERROR(MATCH(F512,DATA!$AH$2:$AH$5,0),9)*10000+A512)</f>
        <v/>
      </c>
      <c r="Z512" s="8" t="str">
        <f t="shared" si="155"/>
        <v/>
      </c>
      <c r="AA512" s="8" t="str">
        <f t="shared" si="156"/>
        <v/>
      </c>
      <c r="AB512" s="8" t="str">
        <f t="shared" si="157"/>
        <v/>
      </c>
      <c r="AC512" s="8"/>
      <c r="AD512" s="8"/>
      <c r="AE512" s="8"/>
      <c r="AK512" s="5" t="str">
        <f t="shared" si="158"/>
        <v/>
      </c>
      <c r="AL512" s="5" t="str">
        <f t="shared" si="159"/>
        <v/>
      </c>
      <c r="AM512" s="5" t="str">
        <f t="shared" si="160"/>
        <v/>
      </c>
      <c r="AN512" s="5" t="str">
        <f t="shared" si="161"/>
        <v/>
      </c>
      <c r="AO512" s="5" t="str">
        <f t="shared" si="162"/>
        <v/>
      </c>
      <c r="AP512" s="5" t="str">
        <f t="shared" si="163"/>
        <v/>
      </c>
      <c r="AQ512" s="5" t="str">
        <f t="shared" si="164"/>
        <v/>
      </c>
      <c r="AR512" s="5" t="str">
        <f t="shared" si="165"/>
        <v/>
      </c>
      <c r="AS512" s="5" t="str">
        <f t="shared" si="166"/>
        <v/>
      </c>
      <c r="AT512" s="5" t="str">
        <f t="shared" si="167"/>
        <v/>
      </c>
      <c r="AU512" s="5" t="str">
        <f t="shared" si="168"/>
        <v/>
      </c>
      <c r="AV512" s="5" t="str">
        <f t="shared" si="169"/>
        <v/>
      </c>
      <c r="AW512" s="5" t="str">
        <f t="shared" si="170"/>
        <v/>
      </c>
      <c r="AX512" s="5" t="str">
        <f t="shared" si="171"/>
        <v/>
      </c>
      <c r="AY512" s="5" t="str">
        <f t="shared" si="172"/>
        <v/>
      </c>
      <c r="AZ512" s="5" t="str">
        <f t="shared" si="173"/>
        <v/>
      </c>
      <c r="BA512" s="5" t="str">
        <f t="shared" si="174"/>
        <v/>
      </c>
      <c r="BB512" s="5" t="str">
        <f t="shared" si="175"/>
        <v/>
      </c>
    </row>
    <row r="513" spans="1:54" s="5" customFormat="1" hidden="1">
      <c r="A513" s="8" t="str">
        <f>IF(INDEX(FORM!$A:$A,ROW())="","",ROW()-1)</f>
        <v/>
      </c>
      <c r="B513" s="41" t="str">
        <f>IF($A513="","",INDEX(FORM!$A:$A,ROW()))</f>
        <v/>
      </c>
      <c r="C513" s="8" t="str">
        <f>IF($A513="","",TRIM(INDEX(FORM!$B:$B,ROW())))</f>
        <v/>
      </c>
      <c r="D513" s="8" t="str">
        <f>IF($A513="","",TRIM(INDEX(FORM!$C:$C,ROW())&amp;""))</f>
        <v/>
      </c>
      <c r="E513" s="8" t="str">
        <f>IF($A513="","",UPPER(TRIM(INDEX(FORM!$D:$D,ROW()))))</f>
        <v/>
      </c>
      <c r="F513" s="8" t="str">
        <f>IF($A513="","",IFERROR(INDEX(PROGRES!$A$2:$A$92,MATCH(E513,PROGRES!$B$2:$B$92,0)),"-"))</f>
        <v/>
      </c>
      <c r="G513" s="8" t="str">
        <f>IF($A513="","",UPPER(TRIM(INDEX(FORM!$F:$F,ROW()))))</f>
        <v/>
      </c>
      <c r="H513" s="8" t="str">
        <f>IF($A513="","",UPPER(TRIM(INDEX(FORM!$E:$E,ROW()))))</f>
        <v/>
      </c>
      <c r="I513" s="8" t="str">
        <f>IF($A513="","",UPPER(TRIM(INDEX(FORM!$G:$G,ROW()))))</f>
        <v/>
      </c>
      <c r="J513" s="8" t="str">
        <f>IF($A513="","",IF(ISNUMBER(SEARCH("Ya,",INDEX(FORM!$H:$H,ROW()))),"YA",IF(ISNUMBER(SEARCH("Cukup,",INDEX(FORM!$H:$H,ROW()))),"CUKUP",IF(ISNUMBER(SEARCH("Kurang,",INDEX(FORM!$H:$H,ROW()))),"KURANG",""))))</f>
        <v/>
      </c>
      <c r="K513" s="8" t="str">
        <f>IF($A513="","",UPPER(TRIM(INDEX(FORM!$J:$J,ROW()))))</f>
        <v/>
      </c>
      <c r="L513" s="8" t="str">
        <f>IF($A513="","",IF(ISNUMBER(SEARCH("Aktivitas Harian",INDEX(FORM!$K:$K,ROW()))),1,0))</f>
        <v/>
      </c>
      <c r="M513" s="8" t="str">
        <f>IF($A513="","",IF(ISNUMBER(SEARCH("Aktivitas Mingguan",INDEX(FORM!$K:$K,ROW()))),1,0))</f>
        <v/>
      </c>
      <c r="N513" s="8" t="str">
        <f>IF($A513="","",IF(ISNUMBER(SEARCH("Aktivitas Bulanan",INDEX(FORM!$K:$K,ROW()))),1,0))</f>
        <v/>
      </c>
      <c r="O513" s="8" t="str">
        <f>IF($A513="","",IF(ISNUMBER(SEARCH("Overview Cabang",INDEX(FORM!$K:$K,ROW()))),1,0))</f>
        <v/>
      </c>
      <c r="P513" s="8" t="str">
        <f>IF($A513="","",IFERROR(VLOOKUP(I513,DATA!$AH$9:$AI$13,2,0),""))</f>
        <v/>
      </c>
      <c r="Q513" s="8" t="str">
        <f>IF($A513="","",IFERROR(VLOOKUP(J513,DATA!$AH$9:$AI$13,2,0),""))</f>
        <v/>
      </c>
      <c r="R513" s="8" t="str">
        <f>IF($A513="","",IFERROR(VLOOKUP(K513,DATA!$AH$9:$AI$13,2,0),""))</f>
        <v/>
      </c>
      <c r="S513" s="42" t="str">
        <f t="shared" si="154"/>
        <v/>
      </c>
      <c r="T513" s="8" t="str">
        <f>IF($A513="","",IF(COUNTIF($D$2:D513,D513)=1,1,0))</f>
        <v/>
      </c>
      <c r="U513" s="8" t="str">
        <f>IF($A513="","",IF(F513="-","Cabang tdk ada",IF(IFERROR(VLOOKUP(G513,#REF!,1,0),"")="","",IF(INDEX(DATA!$AH$2:$AH$5,MATCH(G513,DATA!$AI$2:$AI$5,0))&lt;&gt;F513,"Wilayah beda","OK"))))</f>
        <v/>
      </c>
      <c r="V513" s="8" t="str">
        <f>IF($A513="","",TRIM(INDEX(FORM!$I:$I,ROW())&amp;""))</f>
        <v/>
      </c>
      <c r="W513" s="8" t="str">
        <f>IF($A513="","",TRIM(INDEX(FORM!$L:$L,ROW())&amp;""))</f>
        <v/>
      </c>
      <c r="X513" s="8" t="str">
        <f>IF($A513="","",TRIM(INDEX(FORM!$M:$M,ROW())&amp;""))</f>
        <v/>
      </c>
      <c r="Y513" s="8" t="str">
        <f>IF($A513="","",IFERROR(MATCH(F513,DATA!$AH$2:$AH$5,0),9)*10000+A513)</f>
        <v/>
      </c>
      <c r="Z513" s="8" t="str">
        <f t="shared" si="155"/>
        <v/>
      </c>
      <c r="AA513" s="8" t="str">
        <f t="shared" si="156"/>
        <v/>
      </c>
      <c r="AB513" s="8" t="str">
        <f t="shared" si="157"/>
        <v/>
      </c>
      <c r="AC513" s="8"/>
      <c r="AD513" s="8"/>
      <c r="AE513" s="8"/>
      <c r="AK513" s="5" t="str">
        <f t="shared" si="158"/>
        <v/>
      </c>
      <c r="AL513" s="5" t="str">
        <f t="shared" si="159"/>
        <v/>
      </c>
      <c r="AM513" s="5" t="str">
        <f t="shared" si="160"/>
        <v/>
      </c>
      <c r="AN513" s="5" t="str">
        <f t="shared" si="161"/>
        <v/>
      </c>
      <c r="AO513" s="5" t="str">
        <f t="shared" si="162"/>
        <v/>
      </c>
      <c r="AP513" s="5" t="str">
        <f t="shared" si="163"/>
        <v/>
      </c>
      <c r="AQ513" s="5" t="str">
        <f t="shared" si="164"/>
        <v/>
      </c>
      <c r="AR513" s="5" t="str">
        <f t="shared" si="165"/>
        <v/>
      </c>
      <c r="AS513" s="5" t="str">
        <f t="shared" si="166"/>
        <v/>
      </c>
      <c r="AT513" s="5" t="str">
        <f t="shared" si="167"/>
        <v/>
      </c>
      <c r="AU513" s="5" t="str">
        <f t="shared" si="168"/>
        <v/>
      </c>
      <c r="AV513" s="5" t="str">
        <f t="shared" si="169"/>
        <v/>
      </c>
      <c r="AW513" s="5" t="str">
        <f t="shared" si="170"/>
        <v/>
      </c>
      <c r="AX513" s="5" t="str">
        <f t="shared" si="171"/>
        <v/>
      </c>
      <c r="AY513" s="5" t="str">
        <f t="shared" si="172"/>
        <v/>
      </c>
      <c r="AZ513" s="5" t="str">
        <f t="shared" si="173"/>
        <v/>
      </c>
      <c r="BA513" s="5" t="str">
        <f t="shared" si="174"/>
        <v/>
      </c>
      <c r="BB513" s="5" t="str">
        <f t="shared" si="175"/>
        <v/>
      </c>
    </row>
    <row r="514" spans="1:54" s="5" customFormat="1" hidden="1">
      <c r="A514" s="8" t="str">
        <f>IF(INDEX(FORM!$A:$A,ROW())="","",ROW()-1)</f>
        <v/>
      </c>
      <c r="B514" s="41" t="str">
        <f>IF($A514="","",INDEX(FORM!$A:$A,ROW()))</f>
        <v/>
      </c>
      <c r="C514" s="8" t="str">
        <f>IF($A514="","",TRIM(INDEX(FORM!$B:$B,ROW())))</f>
        <v/>
      </c>
      <c r="D514" s="8" t="str">
        <f>IF($A514="","",TRIM(INDEX(FORM!$C:$C,ROW())&amp;""))</f>
        <v/>
      </c>
      <c r="E514" s="8" t="str">
        <f>IF($A514="","",UPPER(TRIM(INDEX(FORM!$D:$D,ROW()))))</f>
        <v/>
      </c>
      <c r="F514" s="8" t="str">
        <f>IF($A514="","",IFERROR(INDEX(PROGRES!$A$2:$A$92,MATCH(E514,PROGRES!$B$2:$B$92,0)),"-"))</f>
        <v/>
      </c>
      <c r="G514" s="8" t="str">
        <f>IF($A514="","",UPPER(TRIM(INDEX(FORM!$F:$F,ROW()))))</f>
        <v/>
      </c>
      <c r="H514" s="8" t="str">
        <f>IF($A514="","",UPPER(TRIM(INDEX(FORM!$E:$E,ROW()))))</f>
        <v/>
      </c>
      <c r="I514" s="8" t="str">
        <f>IF($A514="","",UPPER(TRIM(INDEX(FORM!$G:$G,ROW()))))</f>
        <v/>
      </c>
      <c r="J514" s="8" t="str">
        <f>IF($A514="","",IF(ISNUMBER(SEARCH("Ya,",INDEX(FORM!$H:$H,ROW()))),"YA",IF(ISNUMBER(SEARCH("Cukup,",INDEX(FORM!$H:$H,ROW()))),"CUKUP",IF(ISNUMBER(SEARCH("Kurang,",INDEX(FORM!$H:$H,ROW()))),"KURANG",""))))</f>
        <v/>
      </c>
      <c r="K514" s="8" t="str">
        <f>IF($A514="","",UPPER(TRIM(INDEX(FORM!$J:$J,ROW()))))</f>
        <v/>
      </c>
      <c r="L514" s="8" t="str">
        <f>IF($A514="","",IF(ISNUMBER(SEARCH("Aktivitas Harian",INDEX(FORM!$K:$K,ROW()))),1,0))</f>
        <v/>
      </c>
      <c r="M514" s="8" t="str">
        <f>IF($A514="","",IF(ISNUMBER(SEARCH("Aktivitas Mingguan",INDEX(FORM!$K:$K,ROW()))),1,0))</f>
        <v/>
      </c>
      <c r="N514" s="8" t="str">
        <f>IF($A514="","",IF(ISNUMBER(SEARCH("Aktivitas Bulanan",INDEX(FORM!$K:$K,ROW()))),1,0))</f>
        <v/>
      </c>
      <c r="O514" s="8" t="str">
        <f>IF($A514="","",IF(ISNUMBER(SEARCH("Overview Cabang",INDEX(FORM!$K:$K,ROW()))),1,0))</f>
        <v/>
      </c>
      <c r="P514" s="8" t="str">
        <f>IF($A514="","",IFERROR(VLOOKUP(I514,DATA!$AH$9:$AI$13,2,0),""))</f>
        <v/>
      </c>
      <c r="Q514" s="8" t="str">
        <f>IF($A514="","",IFERROR(VLOOKUP(J514,DATA!$AH$9:$AI$13,2,0),""))</f>
        <v/>
      </c>
      <c r="R514" s="8" t="str">
        <f>IF($A514="","",IFERROR(VLOOKUP(K514,DATA!$AH$9:$AI$13,2,0),""))</f>
        <v/>
      </c>
      <c r="S514" s="42" t="str">
        <f t="shared" ref="S514:S577" si="176">IF($A514="","",IFERROR(AVERAGE(P514:R514),""))</f>
        <v/>
      </c>
      <c r="T514" s="8" t="str">
        <f>IF($A514="","",IF(COUNTIF($D$2:D514,D514)=1,1,0))</f>
        <v/>
      </c>
      <c r="U514" s="8" t="str">
        <f>IF($A514="","",IF(F514="-","Cabang tdk ada",IF(IFERROR(VLOOKUP(G514,#REF!,1,0),"")="","",IF(INDEX(DATA!$AH$2:$AH$5,MATCH(G514,DATA!$AI$2:$AI$5,0))&lt;&gt;F514,"Wilayah beda","OK"))))</f>
        <v/>
      </c>
      <c r="V514" s="8" t="str">
        <f>IF($A514="","",TRIM(INDEX(FORM!$I:$I,ROW())&amp;""))</f>
        <v/>
      </c>
      <c r="W514" s="8" t="str">
        <f>IF($A514="","",TRIM(INDEX(FORM!$L:$L,ROW())&amp;""))</f>
        <v/>
      </c>
      <c r="X514" s="8" t="str">
        <f>IF($A514="","",TRIM(INDEX(FORM!$M:$M,ROW())&amp;""))</f>
        <v/>
      </c>
      <c r="Y514" s="8" t="str">
        <f>IF($A514="","",IFERROR(MATCH(F514,DATA!$AH$2:$AH$5,0),9)*10000+A514)</f>
        <v/>
      </c>
      <c r="Z514" s="8" t="str">
        <f t="shared" ref="Z514:Z577" si="177">IF($A514="","",IF(LEN(SUBSTITUTE(SUBSTITUTE(SUBSTITUTE(V514,"-",""),".",""),"?",""))&lt;2,"Tidak ada masukan / sudah baik",IF(OR(ISNUMBER(SEARCH("memang harus",V514&amp;" "))),"Tidak ada masukan / sudah baik",IF(OR(ISNUMBER(SEARCH("lemot",V514&amp;" ")),ISNUMBER(SEARCH("loading",V514&amp;" ")),ISNUMBER(SEARCH("lambat",V514&amp;" ")),ISNUMBER(SEARCH("kecepatan",V514&amp;" ")),ISNUMBER(SEARCH("koneksi",V514&amp;" ")),ISNUMBER(SEARCH("eroro",V514&amp;" ")),ISNUMBER(SEARCH("error",V514&amp;" ")),ISNUMBER(SEARCH("ketutup",V514&amp;" "))),"Kecepatan &amp; Loading Website",IF(OR(ISNUMBER(SEARCH("kontak",V514&amp;" ")),ISNUMBER(SEARCH("pic",V514&amp;" ")),ISNUMBER(SEARCH("darurat",V514&amp;" "))),"Kontak &amp; Informasi PIC",IF(OR(ISNUMBER(SEARCH("sacs",V514&amp;" ")),ISNUMBER(SEARCH("aplikasi",V514&amp;" ")),ISNUMBER(SEARCH("kinerja",V514&amp;" ")),ISNUMBER(SEARCH("seluruh cabang",V514&amp;" "))),"Integrasi dengan SACS / Aplikasi",IF(OR(ISNUMBER(SEARCH("mobile",V514&amp;" ")),ISNUMBER(SEARCH("lebih responsif",V514&amp;" ")),ISNUMBER(SEARCH("scroll",V514&amp;" ")),ISNUMBER(SEARCH("melebar",V514&amp;" "))),"Tampilan di HP (Responsif)",IF(OR(ISNUMBER(SEARCH("simpel",V514&amp;" ")),ISNUMBER(SEARCH("simple",V514&amp;" ")),ISNUMBER(SEARCH("sederhana",V514&amp;" ")),ISNUMBER(SEARCH("ringkas",V514&amp;" ")),ISNUMBER(SEARCH("intinya",V514&amp;" ")),ISNUMBER(SEARCH("panjang lebar",V514&amp;" ")),ISNUMBER(SEARCH("mudah dipahami lagi",V514&amp;" ")),ISNUMBER(SEARCH("tata letak",V514&amp;" ")),ISNUMBER(SEARCH("harus mencari",V514&amp;" "))),"Penyederhanaan &amp; Ringkas Isi",IF(OR(ISNUMBER(SEARCH("menu ",V514&amp;" ")),ISNUMBER(SEARCH("tiap posisi",V514&amp;" ")),ISNUMBER(SEARCH("pilihan antara",V514&amp;" "))),"Menu per Jabatan / Navigasi",IF(OR(ISNUMBER(SEARCH("video",V514&amp;" ")),ISNUMBER(SEARCH("vidio",V514&amp;" ")),ISNUMBER(SEARCH("bagan",V514&amp;" ")),ISNUMBER(SEARCH("gambar",V514&amp;" ")),ISNUMBER(SEARCH("qna",V514&amp;" "))),"Tambah Video / Bagan",IF(OR(ISNUMBER(SEARCH("menarik",V514&amp;" ")),ISNUMBER(SEARCH("design",V514&amp;" ")),ISNUMBER(SEARCH("desain",V514&amp;" ")),ISNUMBER(SEARCH("font",V514&amp;" ")),ISNUMBER(SEARCH("warna",V514&amp;" ")),ISNUMBER(SEARCH("soft",V514&amp;" ")),ISNUMBER(SEARCH("kaku",V514&amp;" ")),ISNUMBER(SEARCH("elegan",V514&amp;" ")),ISNUMBER(SEARCH("grafis",V514&amp;" ")),ISNUMBER(SEARCH("visual",V514&amp;" ")),ISNUMBER(SEARCH("logo",V514&amp;" ")),ISNUMBER(SEARCH("jenuh",V514&amp;" ")),ISNUMBER(SEARCH("abu",V514&amp;" ")),ISNUMBER(SEARCH("tampilannya",V514&amp;" ")),ISNUMBER(SEARCH("tampilan dibuat",V514&amp;" ")),ISNUMBER(SEARCH("tamoilan",V514&amp;" ")),ISNUMBER(SEARCH("lebih user friendly",V514&amp;" "))),"Desain, Warna &amp; Font",IF(OR(ISNUMBER(SEARCH("perbanyak",V514&amp;" ")),ISNUMBER(SEARCH("jabarkan",V514&amp;" ")),ISNUMBER(SEARCH("jobdesk",V514&amp;" ")),ISNUMBER(SEARCH("pengajuan",V514&amp;" ")),ISNUMBER(SEARCH("informasi",V514&amp;" "))),"Penambahan Isi / Penjelasan",IF(OR(ISNUMBER(SEARCH("tingkat",V514&amp;" ")),ISNUMBER(SEARCH("kembang",V514&amp;" ")),ISNUMBER(SEARCH("lebih baik lagi",V514&amp;" ")),ISNUMBER(SEARCH("maksimal",V514&amp;" ")),ISNUMBER(SEARCH("penikatan",V514&amp;" "))),"Saran Umum Peningkatan",IF(OR(ISNUMBER(SEARCH("tidak",V514&amp;" ")),ISNUMBER(SEARCH("tdk",V514&amp;" ")),ISNUMBER(SEARCH("sudah",V514&amp;" ")),ISNUMBER(SEARCH("sdh",V514&amp;" ")),ISNUMBER(SEARCH("cukup",V514&amp;" ")),ISNUMBER(SEARCH("baik",V514&amp;" ")),ISNUMBER(SEARCH("bagus",V514&amp;" ")),ISNUMBER(SEARCH("ok",V514&amp;" ")),ISNUMBER(SEARCH("good",V514&amp;" ")),ISNUMBER(SEARCH("aman",V514&amp;" ")),ISNUMBER(SEARCH("lanjut",V514&amp;" ")),ISNUMBER(SEARCH("mantap",V514&amp;" ")),ISNUMBER(SEARCH("josjis",V514&amp;" ")),ISNUMBER(SEARCH("lumayan",V514&amp;" ")),ISNUMBER(SEARCH("mudah",V514&amp;" ")),ISNUMBER(SEARCH("belum",V514&amp;" ")),ISNUMBER(SEARCH("membantu",V514&amp;" ")),ISNUMBER(SEARCH("comment",V514&amp;" ")),ISNUMBER(SEARCH("lengkap",V514&amp;" ")),ISNUMBER(SEARCH("tercakup",V514&amp;" ")),ISNUMBER(SEARCH("mencakup",V514&amp;" ")),ISNUMBER(SEARCH("semua",V514&amp;" ")),ISNUMBER(SEARCH("penting",V514&amp;" ")),ISNUMBER(SEARCH("terangkum",V514&amp;" ")),ISNUMBER(SEARCH("pas",V514&amp;" ")),ISNUMBER(SEARCH("berjalan",V514&amp;" ")),ISNUMBER(SEARCH("sesuai",V514&amp;" "))),"Tidak ada masukan / sudah baik","Lainnya (perlu dibaca manual)"))))))))))))))</f>
        <v/>
      </c>
      <c r="AA514" s="8" t="str">
        <f t="shared" ref="AA514:AA577" si="178">IF($A514="","",IF(LEN(SUBSTITUTE(SUBSTITUTE(SUBSTITUTE(W514,"-",""),".",""),"?",""))&lt;2,"Tidak ada masukan / sudah baik",IF(OR(ISNUMBER(SEARCH("tampilan",W514&amp;" ")),ISNUMBER(SEARCH("lemot",W514&amp;" "))),"Bukan Terkait SOP (Tampilan / Akses)",IF(OR(ISNUMBER(SEARCH("sanksi",W514&amp;" ")),ISNUMBER(SEARCH("pelanggaran",W514&amp;" ")),ISNUMBER(SEARCH("larangan",W514&amp;" ")),ISNUMBER(SEARCH("rekening pribadi",W514&amp;" "))),"Sanksi &amp; Pelanggaran SOP",IF(OR(ISNUMBER(SEARCH("npl",W514&amp;" ")),ISNUMBER(SEARCH("piutang",W514&amp;" ")),ISNUMBER(SEARCH("rekon",W514&amp;" ")),ISNUMBER(SEARCH("overdue",W514&amp;" ")),ISNUMBER(SEARCH("restruk",W514&amp;" ")),ISNUMBER(SEARCH("tempo",W514&amp;" "))),"Piutang &amp; Pelanggan Bermasalah",IF(OR(ISNUMBER(SEARCH("kiriman",W514&amp;" ")),ISNUMBER(SEARCH("pengiriman",W514&amp;" ")),ISNUMBER(SEARCH("retur",W514&amp;" ")),ISNUMBER(SEARCH("barang",W514&amp;" "))),"Pengiriman, Retur &amp; Logistik",IF(OR(ISNUMBER(SEARCH("contact",W514&amp;" ")),ISNUMBER(SEARCH("kontak",W514&amp;" ")),ISNUMBER(SEARCH("pic",W514&amp;" ")),ISNUMBER(SEARCH("berwenang",W514&amp;" ")),ISNUMBER(SEARCH("follow up",W514&amp;" ")),ISNUMBER(SEARCH("eskalasi",W514&amp;" "))),"Kontak PIC &amp; Eskalasi",IF(OR(ISNUMBER(SEARCH("laporan evaluasi",W514&amp;" ")),ISNUMBER(SEARCH("aplikasi cp",W514&amp;" ")),ISNUMBER(SEARCH("flowchart",W514&amp;" ")),ISNUMBER(SEARCH("acuan",W514&amp;" ")),ISNUMBER(SEARCH("poa",W514&amp;" ")),ISNUMBER(SEARCH("aktifitas",W514&amp;" ")),ISNUMBER(SEARCH("aktivitas",W514&amp;" "))),"Panduan Laporan &amp; Alur Kerja",IF(OR(ISNUMBER(SEARCH("notifikasi",W514&amp;" ")),ISNUMBER(SEARCH("pembaruan",W514&amp;" ")),ISNUMBER(SEARCH("perubahan",W514&amp;" ")),ISNUMBER(SEARCH("update",W514&amp;" "))),"Pembaruan &amp; Notifikasi SOP",IF(OR(ISNUMBER(SEARCH("tidak",W514&amp;" ")),ISNUMBER(SEARCH("tdk",W514&amp;" ")),ISNUMBER(SEARCH("sudah",W514&amp;" ")),ISNUMBER(SEARCH("sdh",W514&amp;" ")),ISNUMBER(SEARCH("cukup",W514&amp;" ")),ISNUMBER(SEARCH("baik",W514&amp;" ")),ISNUMBER(SEARCH("bagus",W514&amp;" ")),ISNUMBER(SEARCH("ok",W514&amp;" ")),ISNUMBER(SEARCH("good",W514&amp;" ")),ISNUMBER(SEARCH("aman",W514&amp;" ")),ISNUMBER(SEARCH("lanjut",W514&amp;" ")),ISNUMBER(SEARCH("mantap",W514&amp;" ")),ISNUMBER(SEARCH("josjis",W514&amp;" ")),ISNUMBER(SEARCH("lumayan",W514&amp;" ")),ISNUMBER(SEARCH("mudah",W514&amp;" ")),ISNUMBER(SEARCH("belum",W514&amp;" ")),ISNUMBER(SEARCH("membantu",W514&amp;" ")),ISNUMBER(SEARCH("comment",W514&amp;" ")),ISNUMBER(SEARCH("lengkap",W514&amp;" ")),ISNUMBER(SEARCH("tercakup",W514&amp;" ")),ISNUMBER(SEARCH("mencakup",W514&amp;" ")),ISNUMBER(SEARCH("semua",W514&amp;" ")),ISNUMBER(SEARCH("penting",W514&amp;" ")),ISNUMBER(SEARCH("terangkum",W514&amp;" ")),ISNUMBER(SEARCH("pas",W514&amp;" ")),ISNUMBER(SEARCH("berjalan",W514&amp;" ")),ISNUMBER(SEARCH("sesuai",W514&amp;" "))),"Tidak ada masukan / sudah baik","Lainnya (perlu dibaca manual)"))))))))))</f>
        <v/>
      </c>
      <c r="AB514" s="8" t="str">
        <f t="shared" ref="AB514:AB577" si="179">IF($A514="","",IF(LEN(SUBSTITUTE(SUBSTITUTE(SUBSTITUTE(X514,"-",""),".",""),"?",""))&lt;2,"Tidak ada masukan / sudah baik",IF(OR(ISNUMBER(SEARCH("urgent",X514&amp;" "))),"Lainnya (perlu dibaca manual)",IF(OR(ISNUMBER(SEARCH("struktur organisasi",X514&amp;" ")),ISNUMBER(SEARCH("pic",X514&amp;" ")),ISNUMBER(SEARCH("cp",X514&amp;" ")),ISNUMBER(SEARCH("personil",X514&amp;" ")),ISNUMBER(SEARCH("sales",X514&amp;" ")),ISNUMBER(SEARCH("muka",X514&amp;" ")),ISNUMBER(SEARCH("eskalasi",X514&amp;" "))),"Struktur Organisasi, PIC &amp; Tim",IF(OR(ISNUMBER(SEARCH("lemot",X514&amp;" ")),ISNUMBER(SEARCH("lambat",X514&amp;" ")),ISNUMBER(SEARCH("memuat",X514&amp;" ")),ISNUMBER(SEARCH("koneksi",X514&amp;" "))),"Kecepatan Akses Website",IF(OR(ISNUMBER(SEARCH("sacs",X514&amp;" ")),ISNUMBER(SEARCH("aplikasi",X514&amp;" "))),"Integrasi ke SACS / Aplikasi Kerja",IF(OR(ISNUMBER(SEARCH("dashboard",X514&amp;" ")),ISNUMBER(SEARCH("kpi",X514&amp;" ")),ISNUMBER(SEARCH("database",X514&amp;" ")),ISNUMBER(SEARCH("kinerja",X514&amp;" ")),ISNUMBER(SEARCH("seluruh cabang",X514&amp;" "))),"Fitur Baru (Dashboard / KPI / Database)",IF(OR(ISNUMBER(SEARCH("video",X514&amp;" ")),ISNUMBER(SEARCH("gambar",X514&amp;" ")),ISNUMBER(SEARCH("jpg",X514&amp;" ")),ISNUMBER(SEARCH("flowchart",X514&amp;" ")),ISNUMBER(SEARCH("tutorial",X514&amp;" "))),"Tambah Video / Gambar / Flowchart",IF(OR(ISNUMBER(SEARCH("template",X514&amp;" ")),ISNUMBER(SEARCH("surat",X514&amp;" ")),ISNUMBER(SEARCH("korin",X514&amp;" ")),ISNUMBER(SEARCH("overdue",X514&amp;" ")),ISNUMBER(SEARCH("restruk",X514&amp;" ")),ISNUMBER(SEARCH("tempo",X514&amp;" ")),ISNUMBER(SEARCH("larangan",X514&amp;" ")),ISNUMBER(SEARCH("posisi lain",X514&amp;" ")),ISNUMBER(SEARCH("jobdesk",X514&amp;" ")),ISNUMBER(SEARCH("jobdisk",X514&amp;" ")),ISNUMBER(SEARCH("langkah",X514&amp;" ")),ISNUMBER(SEARCH("detail",X514&amp;" ")),ISNUMBER(SEARCH("panduan",X514&amp;" ")),ISNUMBER(SEARCH("lengkap lagi",X514&amp;" ")),ISNUMBER(SEARCH("tips",X514&amp;" "))),"Penambahan Materi &amp; Template",IF(OR(ISNUMBER(SEARCH("simpel",X514&amp;" ")),ISNUMBER(SEARCH("simple",X514&amp;" ")),ISNUMBER(SEARCH("ringkas",X514&amp;" ")),ISNUMBER(SEARCH("monoton",X514&amp;" ")),ISNUMBER(SEARCH("penataan",X514&amp;" "))),"Penyederhanaan Isi",IF(OR(ISNUMBER(SEARCH("menarik",X514&amp;" ")),ISNUMBER(SEARCH("design",X514&amp;" ")),ISNUMBER(SEARCH("desain",X514&amp;" ")),ISNUMBER(SEARCH("tampilan",X514&amp;" ")),ISNUMBER(SEARCH("kaku",X514&amp;" ")),ISNUMBER(SEARCH("user friendly",X514&amp;" "))),"Desain Tampilan",IF(OR(ISNUMBER(SEARCH("update",X514&amp;" ")),ISNUMBER(SEARCH("terbaru",X514&amp;" ")),ISNUMBER(SEARCH("terkini",X514&amp;" ")),ISNUMBER(SEARCH("uptodate",X514&amp;" "))),"Update Informasi Berkala",IF(OR(ISNUMBER(SEARCH("tingkat",X514&amp;" ")),ISNUMBER(SEARCH("kembang",X514&amp;" ")),ISNUMBER(SEARCH("inovasi",X514&amp;" ")),ISNUMBER(SEARCH("maintenance",X514&amp;" "))),"Saran Umum Peningkatan",IF(OR(ISNUMBER(SEARCH("tidak",X514&amp;" ")),ISNUMBER(SEARCH("tdk",X514&amp;" ")),ISNUMBER(SEARCH("sudah",X514&amp;" ")),ISNUMBER(SEARCH("sdh",X514&amp;" ")),ISNUMBER(SEARCH("cukup",X514&amp;" ")),ISNUMBER(SEARCH("baik",X514&amp;" ")),ISNUMBER(SEARCH("bagus",X514&amp;" ")),ISNUMBER(SEARCH("ok",X514&amp;" ")),ISNUMBER(SEARCH("good",X514&amp;" ")),ISNUMBER(SEARCH("aman",X514&amp;" ")),ISNUMBER(SEARCH("lanjut",X514&amp;" ")),ISNUMBER(SEARCH("mantap",X514&amp;" ")),ISNUMBER(SEARCH("josjis",X514&amp;" ")),ISNUMBER(SEARCH("lumayan",X514&amp;" ")),ISNUMBER(SEARCH("mudah",X514&amp;" ")),ISNUMBER(SEARCH("belum",X514&amp;" ")),ISNUMBER(SEARCH("membantu",X514&amp;" ")),ISNUMBER(SEARCH("comment",X514&amp;" ")),ISNUMBER(SEARCH("lengkap",X514&amp;" ")),ISNUMBER(SEARCH("tercakup",X514&amp;" ")),ISNUMBER(SEARCH("mencakup",X514&amp;" ")),ISNUMBER(SEARCH("semua",X514&amp;" ")),ISNUMBER(SEARCH("penting",X514&amp;" ")),ISNUMBER(SEARCH("terangkum",X514&amp;" ")),ISNUMBER(SEARCH("pas",X514&amp;" ")),ISNUMBER(SEARCH("berjalan",X514&amp;" ")),ISNUMBER(SEARCH("sesuai",X514&amp;" "))),"Tidak ada masukan / sudah baik","Lainnya (perlu dibaca manual)"))))))))))))))</f>
        <v/>
      </c>
      <c r="AC514" s="8"/>
      <c r="AD514" s="8"/>
      <c r="AE514" s="8"/>
      <c r="AK514" s="5" t="str">
        <f t="shared" ref="AK514:AK577" si="180">IF($A514="","",IF(OR($Z514="Kecepatan &amp; Loading Website",$AB514="Kecepatan Akses Website",AND($AA514="Bukan Terkait SOP (Tampilan / Akses)",OR(ISNUMBER(SEARCH("lemot",$W514)),ISNUMBER(SEARCH("loading",$W514)),ISNUMBER(SEARCH("lambat",$W514))))),1,0))</f>
        <v/>
      </c>
      <c r="AL514" s="5" t="str">
        <f t="shared" ref="AL514:AL577" si="181">IF($A514="","",IF(OR($Z514="Tampilan di HP (Responsif)"),1,0))</f>
        <v/>
      </c>
      <c r="AM514" s="5" t="str">
        <f t="shared" ref="AM514:AM577" si="182">IF($A514="","",IF(OR($Z514="Desain, Warna &amp; Font",$AB514="Desain Tampilan",AND($AA514="Bukan Terkait SOP (Tampilan / Akses)",NOT(OR(ISNUMBER(SEARCH("lemot",$W514)),ISNUMBER(SEARCH("loading",$W514)),ISNUMBER(SEARCH("lambat",$W514)))))),1,0))</f>
        <v/>
      </c>
      <c r="AN514" s="5" t="str">
        <f t="shared" ref="AN514:AN577" si="183">IF($A514="","",IF(OR($Z514="Menu per Jabatan / Navigasi"),1,0))</f>
        <v/>
      </c>
      <c r="AO514" s="5" t="str">
        <f t="shared" ref="AO514:AO577" si="184">IF($A514="","",IF(OR($Z514="Integrasi dengan SACS / Aplikasi",$AB514="Integrasi ke SACS / Aplikasi Kerja"),1,0))</f>
        <v/>
      </c>
      <c r="AP514" s="5" t="str">
        <f t="shared" ref="AP514:AP577" si="185">IF($A514="","",IF(OR($AB514="Fitur Baru (Dashboard / KPI / Database)"),1,0))</f>
        <v/>
      </c>
      <c r="AQ514" s="5" t="str">
        <f t="shared" ref="AQ514:AQ577" si="186">IF($A514="","",IF(OR($Z514="Penyederhanaan &amp; Ringkas Isi",$AB514="Penyederhanaan Isi"),1,0))</f>
        <v/>
      </c>
      <c r="AR514" s="5" t="str">
        <f t="shared" ref="AR514:AR577" si="187">IF($A514="","",IF(OR($Z514="Penambahan Isi / Penjelasan",$AB514="Penambahan Materi &amp; Template"),1,0))</f>
        <v/>
      </c>
      <c r="AS514" s="5" t="str">
        <f t="shared" ref="AS514:AS577" si="188">IF($A514="","",IF(OR($Z514="Tambah Video / Bagan",$AB514="Tambah Video / Gambar / Flowchart"),1,0))</f>
        <v/>
      </c>
      <c r="AT514" s="5" t="str">
        <f t="shared" ref="AT514:AT577" si="189">IF($A514="","",IF(OR($Z514="Kontak &amp; Informasi PIC",$AA514="Kontak PIC &amp; Eskalasi",$AB514="Struktur Organisasi, PIC &amp; Tim"),1,0))</f>
        <v/>
      </c>
      <c r="AU514" s="5" t="str">
        <f t="shared" ref="AU514:AU577" si="190">IF($A514="","",IF(OR($AA514="Pembaruan &amp; Notifikasi SOP",$AB514="Update Informasi Berkala"),1,0))</f>
        <v/>
      </c>
      <c r="AV514" s="5" t="str">
        <f t="shared" ref="AV514:AV577" si="191">IF($A514="","",IF(OR($AA514="Sanksi &amp; Pelanggaran SOP"),1,0))</f>
        <v/>
      </c>
      <c r="AW514" s="5" t="str">
        <f t="shared" ref="AW514:AW577" si="192">IF($A514="","",IF(OR($AA514="Piutang &amp; Pelanggan Bermasalah"),1,0))</f>
        <v/>
      </c>
      <c r="AX514" s="5" t="str">
        <f t="shared" ref="AX514:AX577" si="193">IF($A514="","",IF(OR($AA514="Pengiriman, Retur &amp; Logistik"),1,0))</f>
        <v/>
      </c>
      <c r="AY514" s="5" t="str">
        <f t="shared" ref="AY514:AY577" si="194">IF($A514="","",IF(OR($AA514="Panduan Laporan &amp; Alur Kerja"),1,0))</f>
        <v/>
      </c>
      <c r="AZ514" s="5" t="str">
        <f t="shared" ref="AZ514:AZ577" si="195">IF($A514="","",IF(OR($Z514="Saran Umum Peningkatan",$AB514="Saran Umum Peningkatan"),1,0))</f>
        <v/>
      </c>
      <c r="BA514" s="5" t="str">
        <f t="shared" ref="BA514:BA577" si="196">IF($A514="","",IF(OR($Z514="Lainnya (perlu dibaca manual)",$AA514="Lainnya (perlu dibaca manual)",$AB514="Lainnya (perlu dibaca manual)"),1,0))</f>
        <v/>
      </c>
      <c r="BB514" s="5" t="str">
        <f t="shared" ref="BB514:BB577" si="197">IF($A514="","",IF(AND($Z514="Tidak ada masukan / sudah baik",$AA514="Tidak ada masukan / sudah baik",$AB514="Tidak ada masukan / sudah baik"),0,1))</f>
        <v/>
      </c>
    </row>
    <row r="515" spans="1:54" s="5" customFormat="1" hidden="1">
      <c r="A515" s="8" t="str">
        <f>IF(INDEX(FORM!$A:$A,ROW())="","",ROW()-1)</f>
        <v/>
      </c>
      <c r="B515" s="41" t="str">
        <f>IF($A515="","",INDEX(FORM!$A:$A,ROW()))</f>
        <v/>
      </c>
      <c r="C515" s="8" t="str">
        <f>IF($A515="","",TRIM(INDEX(FORM!$B:$B,ROW())))</f>
        <v/>
      </c>
      <c r="D515" s="8" t="str">
        <f>IF($A515="","",TRIM(INDEX(FORM!$C:$C,ROW())&amp;""))</f>
        <v/>
      </c>
      <c r="E515" s="8" t="str">
        <f>IF($A515="","",UPPER(TRIM(INDEX(FORM!$D:$D,ROW()))))</f>
        <v/>
      </c>
      <c r="F515" s="8" t="str">
        <f>IF($A515="","",IFERROR(INDEX(PROGRES!$A$2:$A$92,MATCH(E515,PROGRES!$B$2:$B$92,0)),"-"))</f>
        <v/>
      </c>
      <c r="G515" s="8" t="str">
        <f>IF($A515="","",UPPER(TRIM(INDEX(FORM!$F:$F,ROW()))))</f>
        <v/>
      </c>
      <c r="H515" s="8" t="str">
        <f>IF($A515="","",UPPER(TRIM(INDEX(FORM!$E:$E,ROW()))))</f>
        <v/>
      </c>
      <c r="I515" s="8" t="str">
        <f>IF($A515="","",UPPER(TRIM(INDEX(FORM!$G:$G,ROW()))))</f>
        <v/>
      </c>
      <c r="J515" s="8" t="str">
        <f>IF($A515="","",IF(ISNUMBER(SEARCH("Ya,",INDEX(FORM!$H:$H,ROW()))),"YA",IF(ISNUMBER(SEARCH("Cukup,",INDEX(FORM!$H:$H,ROW()))),"CUKUP",IF(ISNUMBER(SEARCH("Kurang,",INDEX(FORM!$H:$H,ROW()))),"KURANG",""))))</f>
        <v/>
      </c>
      <c r="K515" s="8" t="str">
        <f>IF($A515="","",UPPER(TRIM(INDEX(FORM!$J:$J,ROW()))))</f>
        <v/>
      </c>
      <c r="L515" s="8" t="str">
        <f>IF($A515="","",IF(ISNUMBER(SEARCH("Aktivitas Harian",INDEX(FORM!$K:$K,ROW()))),1,0))</f>
        <v/>
      </c>
      <c r="M515" s="8" t="str">
        <f>IF($A515="","",IF(ISNUMBER(SEARCH("Aktivitas Mingguan",INDEX(FORM!$K:$K,ROW()))),1,0))</f>
        <v/>
      </c>
      <c r="N515" s="8" t="str">
        <f>IF($A515="","",IF(ISNUMBER(SEARCH("Aktivitas Bulanan",INDEX(FORM!$K:$K,ROW()))),1,0))</f>
        <v/>
      </c>
      <c r="O515" s="8" t="str">
        <f>IF($A515="","",IF(ISNUMBER(SEARCH("Overview Cabang",INDEX(FORM!$K:$K,ROW()))),1,0))</f>
        <v/>
      </c>
      <c r="P515" s="8" t="str">
        <f>IF($A515="","",IFERROR(VLOOKUP(I515,DATA!$AH$9:$AI$13,2,0),""))</f>
        <v/>
      </c>
      <c r="Q515" s="8" t="str">
        <f>IF($A515="","",IFERROR(VLOOKUP(J515,DATA!$AH$9:$AI$13,2,0),""))</f>
        <v/>
      </c>
      <c r="R515" s="8" t="str">
        <f>IF($A515="","",IFERROR(VLOOKUP(K515,DATA!$AH$9:$AI$13,2,0),""))</f>
        <v/>
      </c>
      <c r="S515" s="42" t="str">
        <f t="shared" si="176"/>
        <v/>
      </c>
      <c r="T515" s="8" t="str">
        <f>IF($A515="","",IF(COUNTIF($D$2:D515,D515)=1,1,0))</f>
        <v/>
      </c>
      <c r="U515" s="8" t="str">
        <f>IF($A515="","",IF(F515="-","Cabang tdk ada",IF(IFERROR(VLOOKUP(G515,#REF!,1,0),"")="","",IF(INDEX(DATA!$AH$2:$AH$5,MATCH(G515,DATA!$AI$2:$AI$5,0))&lt;&gt;F515,"Wilayah beda","OK"))))</f>
        <v/>
      </c>
      <c r="V515" s="8" t="str">
        <f>IF($A515="","",TRIM(INDEX(FORM!$I:$I,ROW())&amp;""))</f>
        <v/>
      </c>
      <c r="W515" s="8" t="str">
        <f>IF($A515="","",TRIM(INDEX(FORM!$L:$L,ROW())&amp;""))</f>
        <v/>
      </c>
      <c r="X515" s="8" t="str">
        <f>IF($A515="","",TRIM(INDEX(FORM!$M:$M,ROW())&amp;""))</f>
        <v/>
      </c>
      <c r="Y515" s="8" t="str">
        <f>IF($A515="","",IFERROR(MATCH(F515,DATA!$AH$2:$AH$5,0),9)*10000+A515)</f>
        <v/>
      </c>
      <c r="Z515" s="8" t="str">
        <f t="shared" si="177"/>
        <v/>
      </c>
      <c r="AA515" s="8" t="str">
        <f t="shared" si="178"/>
        <v/>
      </c>
      <c r="AB515" s="8" t="str">
        <f t="shared" si="179"/>
        <v/>
      </c>
      <c r="AC515" s="8"/>
      <c r="AD515" s="8"/>
      <c r="AE515" s="8"/>
      <c r="AK515" s="5" t="str">
        <f t="shared" si="180"/>
        <v/>
      </c>
      <c r="AL515" s="5" t="str">
        <f t="shared" si="181"/>
        <v/>
      </c>
      <c r="AM515" s="5" t="str">
        <f t="shared" si="182"/>
        <v/>
      </c>
      <c r="AN515" s="5" t="str">
        <f t="shared" si="183"/>
        <v/>
      </c>
      <c r="AO515" s="5" t="str">
        <f t="shared" si="184"/>
        <v/>
      </c>
      <c r="AP515" s="5" t="str">
        <f t="shared" si="185"/>
        <v/>
      </c>
      <c r="AQ515" s="5" t="str">
        <f t="shared" si="186"/>
        <v/>
      </c>
      <c r="AR515" s="5" t="str">
        <f t="shared" si="187"/>
        <v/>
      </c>
      <c r="AS515" s="5" t="str">
        <f t="shared" si="188"/>
        <v/>
      </c>
      <c r="AT515" s="5" t="str">
        <f t="shared" si="189"/>
        <v/>
      </c>
      <c r="AU515" s="5" t="str">
        <f t="shared" si="190"/>
        <v/>
      </c>
      <c r="AV515" s="5" t="str">
        <f t="shared" si="191"/>
        <v/>
      </c>
      <c r="AW515" s="5" t="str">
        <f t="shared" si="192"/>
        <v/>
      </c>
      <c r="AX515" s="5" t="str">
        <f t="shared" si="193"/>
        <v/>
      </c>
      <c r="AY515" s="5" t="str">
        <f t="shared" si="194"/>
        <v/>
      </c>
      <c r="AZ515" s="5" t="str">
        <f t="shared" si="195"/>
        <v/>
      </c>
      <c r="BA515" s="5" t="str">
        <f t="shared" si="196"/>
        <v/>
      </c>
      <c r="BB515" s="5" t="str">
        <f t="shared" si="197"/>
        <v/>
      </c>
    </row>
    <row r="516" spans="1:54" s="5" customFormat="1" hidden="1">
      <c r="A516" s="8" t="str">
        <f>IF(INDEX(FORM!$A:$A,ROW())="","",ROW()-1)</f>
        <v/>
      </c>
      <c r="B516" s="41" t="str">
        <f>IF($A516="","",INDEX(FORM!$A:$A,ROW()))</f>
        <v/>
      </c>
      <c r="C516" s="8" t="str">
        <f>IF($A516="","",TRIM(INDEX(FORM!$B:$B,ROW())))</f>
        <v/>
      </c>
      <c r="D516" s="8" t="str">
        <f>IF($A516="","",TRIM(INDEX(FORM!$C:$C,ROW())&amp;""))</f>
        <v/>
      </c>
      <c r="E516" s="8" t="str">
        <f>IF($A516="","",UPPER(TRIM(INDEX(FORM!$D:$D,ROW()))))</f>
        <v/>
      </c>
      <c r="F516" s="8" t="str">
        <f>IF($A516="","",IFERROR(INDEX(PROGRES!$A$2:$A$92,MATCH(E516,PROGRES!$B$2:$B$92,0)),"-"))</f>
        <v/>
      </c>
      <c r="G516" s="8" t="str">
        <f>IF($A516="","",UPPER(TRIM(INDEX(FORM!$F:$F,ROW()))))</f>
        <v/>
      </c>
      <c r="H516" s="8" t="str">
        <f>IF($A516="","",UPPER(TRIM(INDEX(FORM!$E:$E,ROW()))))</f>
        <v/>
      </c>
      <c r="I516" s="8" t="str">
        <f>IF($A516="","",UPPER(TRIM(INDEX(FORM!$G:$G,ROW()))))</f>
        <v/>
      </c>
      <c r="J516" s="8" t="str">
        <f>IF($A516="","",IF(ISNUMBER(SEARCH("Ya,",INDEX(FORM!$H:$H,ROW()))),"YA",IF(ISNUMBER(SEARCH("Cukup,",INDEX(FORM!$H:$H,ROW()))),"CUKUP",IF(ISNUMBER(SEARCH("Kurang,",INDEX(FORM!$H:$H,ROW()))),"KURANG",""))))</f>
        <v/>
      </c>
      <c r="K516" s="8" t="str">
        <f>IF($A516="","",UPPER(TRIM(INDEX(FORM!$J:$J,ROW()))))</f>
        <v/>
      </c>
      <c r="L516" s="8" t="str">
        <f>IF($A516="","",IF(ISNUMBER(SEARCH("Aktivitas Harian",INDEX(FORM!$K:$K,ROW()))),1,0))</f>
        <v/>
      </c>
      <c r="M516" s="8" t="str">
        <f>IF($A516="","",IF(ISNUMBER(SEARCH("Aktivitas Mingguan",INDEX(FORM!$K:$K,ROW()))),1,0))</f>
        <v/>
      </c>
      <c r="N516" s="8" t="str">
        <f>IF($A516="","",IF(ISNUMBER(SEARCH("Aktivitas Bulanan",INDEX(FORM!$K:$K,ROW()))),1,0))</f>
        <v/>
      </c>
      <c r="O516" s="8" t="str">
        <f>IF($A516="","",IF(ISNUMBER(SEARCH("Overview Cabang",INDEX(FORM!$K:$K,ROW()))),1,0))</f>
        <v/>
      </c>
      <c r="P516" s="8" t="str">
        <f>IF($A516="","",IFERROR(VLOOKUP(I516,DATA!$AH$9:$AI$13,2,0),""))</f>
        <v/>
      </c>
      <c r="Q516" s="8" t="str">
        <f>IF($A516="","",IFERROR(VLOOKUP(J516,DATA!$AH$9:$AI$13,2,0),""))</f>
        <v/>
      </c>
      <c r="R516" s="8" t="str">
        <f>IF($A516="","",IFERROR(VLOOKUP(K516,DATA!$AH$9:$AI$13,2,0),""))</f>
        <v/>
      </c>
      <c r="S516" s="42" t="str">
        <f t="shared" si="176"/>
        <v/>
      </c>
      <c r="T516" s="8" t="str">
        <f>IF($A516="","",IF(COUNTIF($D$2:D516,D516)=1,1,0))</f>
        <v/>
      </c>
      <c r="U516" s="8" t="str">
        <f>IF($A516="","",IF(F516="-","Cabang tdk ada",IF(IFERROR(VLOOKUP(G516,#REF!,1,0),"")="","",IF(INDEX(DATA!$AH$2:$AH$5,MATCH(G516,DATA!$AI$2:$AI$5,0))&lt;&gt;F516,"Wilayah beda","OK"))))</f>
        <v/>
      </c>
      <c r="V516" s="8" t="str">
        <f>IF($A516="","",TRIM(INDEX(FORM!$I:$I,ROW())&amp;""))</f>
        <v/>
      </c>
      <c r="W516" s="8" t="str">
        <f>IF($A516="","",TRIM(INDEX(FORM!$L:$L,ROW())&amp;""))</f>
        <v/>
      </c>
      <c r="X516" s="8" t="str">
        <f>IF($A516="","",TRIM(INDEX(FORM!$M:$M,ROW())&amp;""))</f>
        <v/>
      </c>
      <c r="Y516" s="8" t="str">
        <f>IF($A516="","",IFERROR(MATCH(F516,DATA!$AH$2:$AH$5,0),9)*10000+A516)</f>
        <v/>
      </c>
      <c r="Z516" s="8" t="str">
        <f t="shared" si="177"/>
        <v/>
      </c>
      <c r="AA516" s="8" t="str">
        <f t="shared" si="178"/>
        <v/>
      </c>
      <c r="AB516" s="8" t="str">
        <f t="shared" si="179"/>
        <v/>
      </c>
      <c r="AC516" s="8"/>
      <c r="AD516" s="8"/>
      <c r="AE516" s="8"/>
      <c r="AK516" s="5" t="str">
        <f t="shared" si="180"/>
        <v/>
      </c>
      <c r="AL516" s="5" t="str">
        <f t="shared" si="181"/>
        <v/>
      </c>
      <c r="AM516" s="5" t="str">
        <f t="shared" si="182"/>
        <v/>
      </c>
      <c r="AN516" s="5" t="str">
        <f t="shared" si="183"/>
        <v/>
      </c>
      <c r="AO516" s="5" t="str">
        <f t="shared" si="184"/>
        <v/>
      </c>
      <c r="AP516" s="5" t="str">
        <f t="shared" si="185"/>
        <v/>
      </c>
      <c r="AQ516" s="5" t="str">
        <f t="shared" si="186"/>
        <v/>
      </c>
      <c r="AR516" s="5" t="str">
        <f t="shared" si="187"/>
        <v/>
      </c>
      <c r="AS516" s="5" t="str">
        <f t="shared" si="188"/>
        <v/>
      </c>
      <c r="AT516" s="5" t="str">
        <f t="shared" si="189"/>
        <v/>
      </c>
      <c r="AU516" s="5" t="str">
        <f t="shared" si="190"/>
        <v/>
      </c>
      <c r="AV516" s="5" t="str">
        <f t="shared" si="191"/>
        <v/>
      </c>
      <c r="AW516" s="5" t="str">
        <f t="shared" si="192"/>
        <v/>
      </c>
      <c r="AX516" s="5" t="str">
        <f t="shared" si="193"/>
        <v/>
      </c>
      <c r="AY516" s="5" t="str">
        <f t="shared" si="194"/>
        <v/>
      </c>
      <c r="AZ516" s="5" t="str">
        <f t="shared" si="195"/>
        <v/>
      </c>
      <c r="BA516" s="5" t="str">
        <f t="shared" si="196"/>
        <v/>
      </c>
      <c r="BB516" s="5" t="str">
        <f t="shared" si="197"/>
        <v/>
      </c>
    </row>
    <row r="517" spans="1:54" s="5" customFormat="1" hidden="1">
      <c r="A517" s="8" t="str">
        <f>IF(INDEX(FORM!$A:$A,ROW())="","",ROW()-1)</f>
        <v/>
      </c>
      <c r="B517" s="41" t="str">
        <f>IF($A517="","",INDEX(FORM!$A:$A,ROW()))</f>
        <v/>
      </c>
      <c r="C517" s="8" t="str">
        <f>IF($A517="","",TRIM(INDEX(FORM!$B:$B,ROW())))</f>
        <v/>
      </c>
      <c r="D517" s="8" t="str">
        <f>IF($A517="","",TRIM(INDEX(FORM!$C:$C,ROW())&amp;""))</f>
        <v/>
      </c>
      <c r="E517" s="8" t="str">
        <f>IF($A517="","",UPPER(TRIM(INDEX(FORM!$D:$D,ROW()))))</f>
        <v/>
      </c>
      <c r="F517" s="8" t="str">
        <f>IF($A517="","",IFERROR(INDEX(PROGRES!$A$2:$A$92,MATCH(E517,PROGRES!$B$2:$B$92,0)),"-"))</f>
        <v/>
      </c>
      <c r="G517" s="8" t="str">
        <f>IF($A517="","",UPPER(TRIM(INDEX(FORM!$F:$F,ROW()))))</f>
        <v/>
      </c>
      <c r="H517" s="8" t="str">
        <f>IF($A517="","",UPPER(TRIM(INDEX(FORM!$E:$E,ROW()))))</f>
        <v/>
      </c>
      <c r="I517" s="8" t="str">
        <f>IF($A517="","",UPPER(TRIM(INDEX(FORM!$G:$G,ROW()))))</f>
        <v/>
      </c>
      <c r="J517" s="8" t="str">
        <f>IF($A517="","",IF(ISNUMBER(SEARCH("Ya,",INDEX(FORM!$H:$H,ROW()))),"YA",IF(ISNUMBER(SEARCH("Cukup,",INDEX(FORM!$H:$H,ROW()))),"CUKUP",IF(ISNUMBER(SEARCH("Kurang,",INDEX(FORM!$H:$H,ROW()))),"KURANG",""))))</f>
        <v/>
      </c>
      <c r="K517" s="8" t="str">
        <f>IF($A517="","",UPPER(TRIM(INDEX(FORM!$J:$J,ROW()))))</f>
        <v/>
      </c>
      <c r="L517" s="8" t="str">
        <f>IF($A517="","",IF(ISNUMBER(SEARCH("Aktivitas Harian",INDEX(FORM!$K:$K,ROW()))),1,0))</f>
        <v/>
      </c>
      <c r="M517" s="8" t="str">
        <f>IF($A517="","",IF(ISNUMBER(SEARCH("Aktivitas Mingguan",INDEX(FORM!$K:$K,ROW()))),1,0))</f>
        <v/>
      </c>
      <c r="N517" s="8" t="str">
        <f>IF($A517="","",IF(ISNUMBER(SEARCH("Aktivitas Bulanan",INDEX(FORM!$K:$K,ROW()))),1,0))</f>
        <v/>
      </c>
      <c r="O517" s="8" t="str">
        <f>IF($A517="","",IF(ISNUMBER(SEARCH("Overview Cabang",INDEX(FORM!$K:$K,ROW()))),1,0))</f>
        <v/>
      </c>
      <c r="P517" s="8" t="str">
        <f>IF($A517="","",IFERROR(VLOOKUP(I517,DATA!$AH$9:$AI$13,2,0),""))</f>
        <v/>
      </c>
      <c r="Q517" s="8" t="str">
        <f>IF($A517="","",IFERROR(VLOOKUP(J517,DATA!$AH$9:$AI$13,2,0),""))</f>
        <v/>
      </c>
      <c r="R517" s="8" t="str">
        <f>IF($A517="","",IFERROR(VLOOKUP(K517,DATA!$AH$9:$AI$13,2,0),""))</f>
        <v/>
      </c>
      <c r="S517" s="42" t="str">
        <f t="shared" si="176"/>
        <v/>
      </c>
      <c r="T517" s="8" t="str">
        <f>IF($A517="","",IF(COUNTIF($D$2:D517,D517)=1,1,0))</f>
        <v/>
      </c>
      <c r="U517" s="8" t="str">
        <f>IF($A517="","",IF(F517="-","Cabang tdk ada",IF(IFERROR(VLOOKUP(G517,#REF!,1,0),"")="","",IF(INDEX(DATA!$AH$2:$AH$5,MATCH(G517,DATA!$AI$2:$AI$5,0))&lt;&gt;F517,"Wilayah beda","OK"))))</f>
        <v/>
      </c>
      <c r="V517" s="8" t="str">
        <f>IF($A517="","",TRIM(INDEX(FORM!$I:$I,ROW())&amp;""))</f>
        <v/>
      </c>
      <c r="W517" s="8" t="str">
        <f>IF($A517="","",TRIM(INDEX(FORM!$L:$L,ROW())&amp;""))</f>
        <v/>
      </c>
      <c r="X517" s="8" t="str">
        <f>IF($A517="","",TRIM(INDEX(FORM!$M:$M,ROW())&amp;""))</f>
        <v/>
      </c>
      <c r="Y517" s="8" t="str">
        <f>IF($A517="","",IFERROR(MATCH(F517,DATA!$AH$2:$AH$5,0),9)*10000+A517)</f>
        <v/>
      </c>
      <c r="Z517" s="8" t="str">
        <f t="shared" si="177"/>
        <v/>
      </c>
      <c r="AA517" s="8" t="str">
        <f t="shared" si="178"/>
        <v/>
      </c>
      <c r="AB517" s="8" t="str">
        <f t="shared" si="179"/>
        <v/>
      </c>
      <c r="AC517" s="8"/>
      <c r="AD517" s="8"/>
      <c r="AE517" s="8"/>
      <c r="AK517" s="5" t="str">
        <f t="shared" si="180"/>
        <v/>
      </c>
      <c r="AL517" s="5" t="str">
        <f t="shared" si="181"/>
        <v/>
      </c>
      <c r="AM517" s="5" t="str">
        <f t="shared" si="182"/>
        <v/>
      </c>
      <c r="AN517" s="5" t="str">
        <f t="shared" si="183"/>
        <v/>
      </c>
      <c r="AO517" s="5" t="str">
        <f t="shared" si="184"/>
        <v/>
      </c>
      <c r="AP517" s="5" t="str">
        <f t="shared" si="185"/>
        <v/>
      </c>
      <c r="AQ517" s="5" t="str">
        <f t="shared" si="186"/>
        <v/>
      </c>
      <c r="AR517" s="5" t="str">
        <f t="shared" si="187"/>
        <v/>
      </c>
      <c r="AS517" s="5" t="str">
        <f t="shared" si="188"/>
        <v/>
      </c>
      <c r="AT517" s="5" t="str">
        <f t="shared" si="189"/>
        <v/>
      </c>
      <c r="AU517" s="5" t="str">
        <f t="shared" si="190"/>
        <v/>
      </c>
      <c r="AV517" s="5" t="str">
        <f t="shared" si="191"/>
        <v/>
      </c>
      <c r="AW517" s="5" t="str">
        <f t="shared" si="192"/>
        <v/>
      </c>
      <c r="AX517" s="5" t="str">
        <f t="shared" si="193"/>
        <v/>
      </c>
      <c r="AY517" s="5" t="str">
        <f t="shared" si="194"/>
        <v/>
      </c>
      <c r="AZ517" s="5" t="str">
        <f t="shared" si="195"/>
        <v/>
      </c>
      <c r="BA517" s="5" t="str">
        <f t="shared" si="196"/>
        <v/>
      </c>
      <c r="BB517" s="5" t="str">
        <f t="shared" si="197"/>
        <v/>
      </c>
    </row>
    <row r="518" spans="1:54" s="5" customFormat="1" hidden="1">
      <c r="A518" s="8" t="str">
        <f>IF(INDEX(FORM!$A:$A,ROW())="","",ROW()-1)</f>
        <v/>
      </c>
      <c r="B518" s="41" t="str">
        <f>IF($A518="","",INDEX(FORM!$A:$A,ROW()))</f>
        <v/>
      </c>
      <c r="C518" s="8" t="str">
        <f>IF($A518="","",TRIM(INDEX(FORM!$B:$B,ROW())))</f>
        <v/>
      </c>
      <c r="D518" s="8" t="str">
        <f>IF($A518="","",TRIM(INDEX(FORM!$C:$C,ROW())&amp;""))</f>
        <v/>
      </c>
      <c r="E518" s="8" t="str">
        <f>IF($A518="","",UPPER(TRIM(INDEX(FORM!$D:$D,ROW()))))</f>
        <v/>
      </c>
      <c r="F518" s="8" t="str">
        <f>IF($A518="","",IFERROR(INDEX(PROGRES!$A$2:$A$92,MATCH(E518,PROGRES!$B$2:$B$92,0)),"-"))</f>
        <v/>
      </c>
      <c r="G518" s="8" t="str">
        <f>IF($A518="","",UPPER(TRIM(INDEX(FORM!$F:$F,ROW()))))</f>
        <v/>
      </c>
      <c r="H518" s="8" t="str">
        <f>IF($A518="","",UPPER(TRIM(INDEX(FORM!$E:$E,ROW()))))</f>
        <v/>
      </c>
      <c r="I518" s="8" t="str">
        <f>IF($A518="","",UPPER(TRIM(INDEX(FORM!$G:$G,ROW()))))</f>
        <v/>
      </c>
      <c r="J518" s="8" t="str">
        <f>IF($A518="","",IF(ISNUMBER(SEARCH("Ya,",INDEX(FORM!$H:$H,ROW()))),"YA",IF(ISNUMBER(SEARCH("Cukup,",INDEX(FORM!$H:$H,ROW()))),"CUKUP",IF(ISNUMBER(SEARCH("Kurang,",INDEX(FORM!$H:$H,ROW()))),"KURANG",""))))</f>
        <v/>
      </c>
      <c r="K518" s="8" t="str">
        <f>IF($A518="","",UPPER(TRIM(INDEX(FORM!$J:$J,ROW()))))</f>
        <v/>
      </c>
      <c r="L518" s="8" t="str">
        <f>IF($A518="","",IF(ISNUMBER(SEARCH("Aktivitas Harian",INDEX(FORM!$K:$K,ROW()))),1,0))</f>
        <v/>
      </c>
      <c r="M518" s="8" t="str">
        <f>IF($A518="","",IF(ISNUMBER(SEARCH("Aktivitas Mingguan",INDEX(FORM!$K:$K,ROW()))),1,0))</f>
        <v/>
      </c>
      <c r="N518" s="8" t="str">
        <f>IF($A518="","",IF(ISNUMBER(SEARCH("Aktivitas Bulanan",INDEX(FORM!$K:$K,ROW()))),1,0))</f>
        <v/>
      </c>
      <c r="O518" s="8" t="str">
        <f>IF($A518="","",IF(ISNUMBER(SEARCH("Overview Cabang",INDEX(FORM!$K:$K,ROW()))),1,0))</f>
        <v/>
      </c>
      <c r="P518" s="8" t="str">
        <f>IF($A518="","",IFERROR(VLOOKUP(I518,DATA!$AH$9:$AI$13,2,0),""))</f>
        <v/>
      </c>
      <c r="Q518" s="8" t="str">
        <f>IF($A518="","",IFERROR(VLOOKUP(J518,DATA!$AH$9:$AI$13,2,0),""))</f>
        <v/>
      </c>
      <c r="R518" s="8" t="str">
        <f>IF($A518="","",IFERROR(VLOOKUP(K518,DATA!$AH$9:$AI$13,2,0),""))</f>
        <v/>
      </c>
      <c r="S518" s="42" t="str">
        <f t="shared" si="176"/>
        <v/>
      </c>
      <c r="T518" s="8" t="str">
        <f>IF($A518="","",IF(COUNTIF($D$2:D518,D518)=1,1,0))</f>
        <v/>
      </c>
      <c r="U518" s="8" t="str">
        <f>IF($A518="","",IF(F518="-","Cabang tdk ada",IF(IFERROR(VLOOKUP(G518,#REF!,1,0),"")="","",IF(INDEX(DATA!$AH$2:$AH$5,MATCH(G518,DATA!$AI$2:$AI$5,0))&lt;&gt;F518,"Wilayah beda","OK"))))</f>
        <v/>
      </c>
      <c r="V518" s="8" t="str">
        <f>IF($A518="","",TRIM(INDEX(FORM!$I:$I,ROW())&amp;""))</f>
        <v/>
      </c>
      <c r="W518" s="8" t="str">
        <f>IF($A518="","",TRIM(INDEX(FORM!$L:$L,ROW())&amp;""))</f>
        <v/>
      </c>
      <c r="X518" s="8" t="str">
        <f>IF($A518="","",TRIM(INDEX(FORM!$M:$M,ROW())&amp;""))</f>
        <v/>
      </c>
      <c r="Y518" s="8" t="str">
        <f>IF($A518="","",IFERROR(MATCH(F518,DATA!$AH$2:$AH$5,0),9)*10000+A518)</f>
        <v/>
      </c>
      <c r="Z518" s="8" t="str">
        <f t="shared" si="177"/>
        <v/>
      </c>
      <c r="AA518" s="8" t="str">
        <f t="shared" si="178"/>
        <v/>
      </c>
      <c r="AB518" s="8" t="str">
        <f t="shared" si="179"/>
        <v/>
      </c>
      <c r="AC518" s="8"/>
      <c r="AD518" s="8"/>
      <c r="AE518" s="8"/>
      <c r="AK518" s="5" t="str">
        <f t="shared" si="180"/>
        <v/>
      </c>
      <c r="AL518" s="5" t="str">
        <f t="shared" si="181"/>
        <v/>
      </c>
      <c r="AM518" s="5" t="str">
        <f t="shared" si="182"/>
        <v/>
      </c>
      <c r="AN518" s="5" t="str">
        <f t="shared" si="183"/>
        <v/>
      </c>
      <c r="AO518" s="5" t="str">
        <f t="shared" si="184"/>
        <v/>
      </c>
      <c r="AP518" s="5" t="str">
        <f t="shared" si="185"/>
        <v/>
      </c>
      <c r="AQ518" s="5" t="str">
        <f t="shared" si="186"/>
        <v/>
      </c>
      <c r="AR518" s="5" t="str">
        <f t="shared" si="187"/>
        <v/>
      </c>
      <c r="AS518" s="5" t="str">
        <f t="shared" si="188"/>
        <v/>
      </c>
      <c r="AT518" s="5" t="str">
        <f t="shared" si="189"/>
        <v/>
      </c>
      <c r="AU518" s="5" t="str">
        <f t="shared" si="190"/>
        <v/>
      </c>
      <c r="AV518" s="5" t="str">
        <f t="shared" si="191"/>
        <v/>
      </c>
      <c r="AW518" s="5" t="str">
        <f t="shared" si="192"/>
        <v/>
      </c>
      <c r="AX518" s="5" t="str">
        <f t="shared" si="193"/>
        <v/>
      </c>
      <c r="AY518" s="5" t="str">
        <f t="shared" si="194"/>
        <v/>
      </c>
      <c r="AZ518" s="5" t="str">
        <f t="shared" si="195"/>
        <v/>
      </c>
      <c r="BA518" s="5" t="str">
        <f t="shared" si="196"/>
        <v/>
      </c>
      <c r="BB518" s="5" t="str">
        <f t="shared" si="197"/>
        <v/>
      </c>
    </row>
    <row r="519" spans="1:54" s="5" customFormat="1" hidden="1">
      <c r="A519" s="8" t="str">
        <f>IF(INDEX(FORM!$A:$A,ROW())="","",ROW()-1)</f>
        <v/>
      </c>
      <c r="B519" s="41" t="str">
        <f>IF($A519="","",INDEX(FORM!$A:$A,ROW()))</f>
        <v/>
      </c>
      <c r="C519" s="8" t="str">
        <f>IF($A519="","",TRIM(INDEX(FORM!$B:$B,ROW())))</f>
        <v/>
      </c>
      <c r="D519" s="8" t="str">
        <f>IF($A519="","",TRIM(INDEX(FORM!$C:$C,ROW())&amp;""))</f>
        <v/>
      </c>
      <c r="E519" s="8" t="str">
        <f>IF($A519="","",UPPER(TRIM(INDEX(FORM!$D:$D,ROW()))))</f>
        <v/>
      </c>
      <c r="F519" s="8" t="str">
        <f>IF($A519="","",IFERROR(INDEX(PROGRES!$A$2:$A$92,MATCH(E519,PROGRES!$B$2:$B$92,0)),"-"))</f>
        <v/>
      </c>
      <c r="G519" s="8" t="str">
        <f>IF($A519="","",UPPER(TRIM(INDEX(FORM!$F:$F,ROW()))))</f>
        <v/>
      </c>
      <c r="H519" s="8" t="str">
        <f>IF($A519="","",UPPER(TRIM(INDEX(FORM!$E:$E,ROW()))))</f>
        <v/>
      </c>
      <c r="I519" s="8" t="str">
        <f>IF($A519="","",UPPER(TRIM(INDEX(FORM!$G:$G,ROW()))))</f>
        <v/>
      </c>
      <c r="J519" s="8" t="str">
        <f>IF($A519="","",IF(ISNUMBER(SEARCH("Ya,",INDEX(FORM!$H:$H,ROW()))),"YA",IF(ISNUMBER(SEARCH("Cukup,",INDEX(FORM!$H:$H,ROW()))),"CUKUP",IF(ISNUMBER(SEARCH("Kurang,",INDEX(FORM!$H:$H,ROW()))),"KURANG",""))))</f>
        <v/>
      </c>
      <c r="K519" s="8" t="str">
        <f>IF($A519="","",UPPER(TRIM(INDEX(FORM!$J:$J,ROW()))))</f>
        <v/>
      </c>
      <c r="L519" s="8" t="str">
        <f>IF($A519="","",IF(ISNUMBER(SEARCH("Aktivitas Harian",INDEX(FORM!$K:$K,ROW()))),1,0))</f>
        <v/>
      </c>
      <c r="M519" s="8" t="str">
        <f>IF($A519="","",IF(ISNUMBER(SEARCH("Aktivitas Mingguan",INDEX(FORM!$K:$K,ROW()))),1,0))</f>
        <v/>
      </c>
      <c r="N519" s="8" t="str">
        <f>IF($A519="","",IF(ISNUMBER(SEARCH("Aktivitas Bulanan",INDEX(FORM!$K:$K,ROW()))),1,0))</f>
        <v/>
      </c>
      <c r="O519" s="8" t="str">
        <f>IF($A519="","",IF(ISNUMBER(SEARCH("Overview Cabang",INDEX(FORM!$K:$K,ROW()))),1,0))</f>
        <v/>
      </c>
      <c r="P519" s="8" t="str">
        <f>IF($A519="","",IFERROR(VLOOKUP(I519,DATA!$AH$9:$AI$13,2,0),""))</f>
        <v/>
      </c>
      <c r="Q519" s="8" t="str">
        <f>IF($A519="","",IFERROR(VLOOKUP(J519,DATA!$AH$9:$AI$13,2,0),""))</f>
        <v/>
      </c>
      <c r="R519" s="8" t="str">
        <f>IF($A519="","",IFERROR(VLOOKUP(K519,DATA!$AH$9:$AI$13,2,0),""))</f>
        <v/>
      </c>
      <c r="S519" s="42" t="str">
        <f t="shared" si="176"/>
        <v/>
      </c>
      <c r="T519" s="8" t="str">
        <f>IF($A519="","",IF(COUNTIF($D$2:D519,D519)=1,1,0))</f>
        <v/>
      </c>
      <c r="U519" s="8" t="str">
        <f>IF($A519="","",IF(F519="-","Cabang tdk ada",IF(IFERROR(VLOOKUP(G519,#REF!,1,0),"")="","",IF(INDEX(DATA!$AH$2:$AH$5,MATCH(G519,DATA!$AI$2:$AI$5,0))&lt;&gt;F519,"Wilayah beda","OK"))))</f>
        <v/>
      </c>
      <c r="V519" s="8" t="str">
        <f>IF($A519="","",TRIM(INDEX(FORM!$I:$I,ROW())&amp;""))</f>
        <v/>
      </c>
      <c r="W519" s="8" t="str">
        <f>IF($A519="","",TRIM(INDEX(FORM!$L:$L,ROW())&amp;""))</f>
        <v/>
      </c>
      <c r="X519" s="8" t="str">
        <f>IF($A519="","",TRIM(INDEX(FORM!$M:$M,ROW())&amp;""))</f>
        <v/>
      </c>
      <c r="Y519" s="8" t="str">
        <f>IF($A519="","",IFERROR(MATCH(F519,DATA!$AH$2:$AH$5,0),9)*10000+A519)</f>
        <v/>
      </c>
      <c r="Z519" s="8" t="str">
        <f t="shared" si="177"/>
        <v/>
      </c>
      <c r="AA519" s="8" t="str">
        <f t="shared" si="178"/>
        <v/>
      </c>
      <c r="AB519" s="8" t="str">
        <f t="shared" si="179"/>
        <v/>
      </c>
      <c r="AC519" s="8"/>
      <c r="AD519" s="8"/>
      <c r="AE519" s="8"/>
      <c r="AK519" s="5" t="str">
        <f t="shared" si="180"/>
        <v/>
      </c>
      <c r="AL519" s="5" t="str">
        <f t="shared" si="181"/>
        <v/>
      </c>
      <c r="AM519" s="5" t="str">
        <f t="shared" si="182"/>
        <v/>
      </c>
      <c r="AN519" s="5" t="str">
        <f t="shared" si="183"/>
        <v/>
      </c>
      <c r="AO519" s="5" t="str">
        <f t="shared" si="184"/>
        <v/>
      </c>
      <c r="AP519" s="5" t="str">
        <f t="shared" si="185"/>
        <v/>
      </c>
      <c r="AQ519" s="5" t="str">
        <f t="shared" si="186"/>
        <v/>
      </c>
      <c r="AR519" s="5" t="str">
        <f t="shared" si="187"/>
        <v/>
      </c>
      <c r="AS519" s="5" t="str">
        <f t="shared" si="188"/>
        <v/>
      </c>
      <c r="AT519" s="5" t="str">
        <f t="shared" si="189"/>
        <v/>
      </c>
      <c r="AU519" s="5" t="str">
        <f t="shared" si="190"/>
        <v/>
      </c>
      <c r="AV519" s="5" t="str">
        <f t="shared" si="191"/>
        <v/>
      </c>
      <c r="AW519" s="5" t="str">
        <f t="shared" si="192"/>
        <v/>
      </c>
      <c r="AX519" s="5" t="str">
        <f t="shared" si="193"/>
        <v/>
      </c>
      <c r="AY519" s="5" t="str">
        <f t="shared" si="194"/>
        <v/>
      </c>
      <c r="AZ519" s="5" t="str">
        <f t="shared" si="195"/>
        <v/>
      </c>
      <c r="BA519" s="5" t="str">
        <f t="shared" si="196"/>
        <v/>
      </c>
      <c r="BB519" s="5" t="str">
        <f t="shared" si="197"/>
        <v/>
      </c>
    </row>
    <row r="520" spans="1:54" s="5" customFormat="1" hidden="1">
      <c r="A520" s="8" t="str">
        <f>IF(INDEX(FORM!$A:$A,ROW())="","",ROW()-1)</f>
        <v/>
      </c>
      <c r="B520" s="41" t="str">
        <f>IF($A520="","",INDEX(FORM!$A:$A,ROW()))</f>
        <v/>
      </c>
      <c r="C520" s="8" t="str">
        <f>IF($A520="","",TRIM(INDEX(FORM!$B:$B,ROW())))</f>
        <v/>
      </c>
      <c r="D520" s="8" t="str">
        <f>IF($A520="","",TRIM(INDEX(FORM!$C:$C,ROW())&amp;""))</f>
        <v/>
      </c>
      <c r="E520" s="8" t="str">
        <f>IF($A520="","",UPPER(TRIM(INDEX(FORM!$D:$D,ROW()))))</f>
        <v/>
      </c>
      <c r="F520" s="8" t="str">
        <f>IF($A520="","",IFERROR(INDEX(PROGRES!$A$2:$A$92,MATCH(E520,PROGRES!$B$2:$B$92,0)),"-"))</f>
        <v/>
      </c>
      <c r="G520" s="8" t="str">
        <f>IF($A520="","",UPPER(TRIM(INDEX(FORM!$F:$F,ROW()))))</f>
        <v/>
      </c>
      <c r="H520" s="8" t="str">
        <f>IF($A520="","",UPPER(TRIM(INDEX(FORM!$E:$E,ROW()))))</f>
        <v/>
      </c>
      <c r="I520" s="8" t="str">
        <f>IF($A520="","",UPPER(TRIM(INDEX(FORM!$G:$G,ROW()))))</f>
        <v/>
      </c>
      <c r="J520" s="8" t="str">
        <f>IF($A520="","",IF(ISNUMBER(SEARCH("Ya,",INDEX(FORM!$H:$H,ROW()))),"YA",IF(ISNUMBER(SEARCH("Cukup,",INDEX(FORM!$H:$H,ROW()))),"CUKUP",IF(ISNUMBER(SEARCH("Kurang,",INDEX(FORM!$H:$H,ROW()))),"KURANG",""))))</f>
        <v/>
      </c>
      <c r="K520" s="8" t="str">
        <f>IF($A520="","",UPPER(TRIM(INDEX(FORM!$J:$J,ROW()))))</f>
        <v/>
      </c>
      <c r="L520" s="8" t="str">
        <f>IF($A520="","",IF(ISNUMBER(SEARCH("Aktivitas Harian",INDEX(FORM!$K:$K,ROW()))),1,0))</f>
        <v/>
      </c>
      <c r="M520" s="8" t="str">
        <f>IF($A520="","",IF(ISNUMBER(SEARCH("Aktivitas Mingguan",INDEX(FORM!$K:$K,ROW()))),1,0))</f>
        <v/>
      </c>
      <c r="N520" s="8" t="str">
        <f>IF($A520="","",IF(ISNUMBER(SEARCH("Aktivitas Bulanan",INDEX(FORM!$K:$K,ROW()))),1,0))</f>
        <v/>
      </c>
      <c r="O520" s="8" t="str">
        <f>IF($A520="","",IF(ISNUMBER(SEARCH("Overview Cabang",INDEX(FORM!$K:$K,ROW()))),1,0))</f>
        <v/>
      </c>
      <c r="P520" s="8" t="str">
        <f>IF($A520="","",IFERROR(VLOOKUP(I520,DATA!$AH$9:$AI$13,2,0),""))</f>
        <v/>
      </c>
      <c r="Q520" s="8" t="str">
        <f>IF($A520="","",IFERROR(VLOOKUP(J520,DATA!$AH$9:$AI$13,2,0),""))</f>
        <v/>
      </c>
      <c r="R520" s="8" t="str">
        <f>IF($A520="","",IFERROR(VLOOKUP(K520,DATA!$AH$9:$AI$13,2,0),""))</f>
        <v/>
      </c>
      <c r="S520" s="42" t="str">
        <f t="shared" si="176"/>
        <v/>
      </c>
      <c r="T520" s="8" t="str">
        <f>IF($A520="","",IF(COUNTIF($D$2:D520,D520)=1,1,0))</f>
        <v/>
      </c>
      <c r="U520" s="8" t="str">
        <f>IF($A520="","",IF(F520="-","Cabang tdk ada",IF(IFERROR(VLOOKUP(G520,#REF!,1,0),"")="","",IF(INDEX(DATA!$AH$2:$AH$5,MATCH(G520,DATA!$AI$2:$AI$5,0))&lt;&gt;F520,"Wilayah beda","OK"))))</f>
        <v/>
      </c>
      <c r="V520" s="8" t="str">
        <f>IF($A520="","",TRIM(INDEX(FORM!$I:$I,ROW())&amp;""))</f>
        <v/>
      </c>
      <c r="W520" s="8" t="str">
        <f>IF($A520="","",TRIM(INDEX(FORM!$L:$L,ROW())&amp;""))</f>
        <v/>
      </c>
      <c r="X520" s="8" t="str">
        <f>IF($A520="","",TRIM(INDEX(FORM!$M:$M,ROW())&amp;""))</f>
        <v/>
      </c>
      <c r="Y520" s="8" t="str">
        <f>IF($A520="","",IFERROR(MATCH(F520,DATA!$AH$2:$AH$5,0),9)*10000+A520)</f>
        <v/>
      </c>
      <c r="Z520" s="8" t="str">
        <f t="shared" si="177"/>
        <v/>
      </c>
      <c r="AA520" s="8" t="str">
        <f t="shared" si="178"/>
        <v/>
      </c>
      <c r="AB520" s="8" t="str">
        <f t="shared" si="179"/>
        <v/>
      </c>
      <c r="AC520" s="8"/>
      <c r="AD520" s="8"/>
      <c r="AE520" s="8"/>
      <c r="AK520" s="5" t="str">
        <f t="shared" si="180"/>
        <v/>
      </c>
      <c r="AL520" s="5" t="str">
        <f t="shared" si="181"/>
        <v/>
      </c>
      <c r="AM520" s="5" t="str">
        <f t="shared" si="182"/>
        <v/>
      </c>
      <c r="AN520" s="5" t="str">
        <f t="shared" si="183"/>
        <v/>
      </c>
      <c r="AO520" s="5" t="str">
        <f t="shared" si="184"/>
        <v/>
      </c>
      <c r="AP520" s="5" t="str">
        <f t="shared" si="185"/>
        <v/>
      </c>
      <c r="AQ520" s="5" t="str">
        <f t="shared" si="186"/>
        <v/>
      </c>
      <c r="AR520" s="5" t="str">
        <f t="shared" si="187"/>
        <v/>
      </c>
      <c r="AS520" s="5" t="str">
        <f t="shared" si="188"/>
        <v/>
      </c>
      <c r="AT520" s="5" t="str">
        <f t="shared" si="189"/>
        <v/>
      </c>
      <c r="AU520" s="5" t="str">
        <f t="shared" si="190"/>
        <v/>
      </c>
      <c r="AV520" s="5" t="str">
        <f t="shared" si="191"/>
        <v/>
      </c>
      <c r="AW520" s="5" t="str">
        <f t="shared" si="192"/>
        <v/>
      </c>
      <c r="AX520" s="5" t="str">
        <f t="shared" si="193"/>
        <v/>
      </c>
      <c r="AY520" s="5" t="str">
        <f t="shared" si="194"/>
        <v/>
      </c>
      <c r="AZ520" s="5" t="str">
        <f t="shared" si="195"/>
        <v/>
      </c>
      <c r="BA520" s="5" t="str">
        <f t="shared" si="196"/>
        <v/>
      </c>
      <c r="BB520" s="5" t="str">
        <f t="shared" si="197"/>
        <v/>
      </c>
    </row>
    <row r="521" spans="1:54" s="5" customFormat="1" hidden="1">
      <c r="A521" s="8" t="str">
        <f>IF(INDEX(FORM!$A:$A,ROW())="","",ROW()-1)</f>
        <v/>
      </c>
      <c r="B521" s="41" t="str">
        <f>IF($A521="","",INDEX(FORM!$A:$A,ROW()))</f>
        <v/>
      </c>
      <c r="C521" s="8" t="str">
        <f>IF($A521="","",TRIM(INDEX(FORM!$B:$B,ROW())))</f>
        <v/>
      </c>
      <c r="D521" s="8" t="str">
        <f>IF($A521="","",TRIM(INDEX(FORM!$C:$C,ROW())&amp;""))</f>
        <v/>
      </c>
      <c r="E521" s="8" t="str">
        <f>IF($A521="","",UPPER(TRIM(INDEX(FORM!$D:$D,ROW()))))</f>
        <v/>
      </c>
      <c r="F521" s="8" t="str">
        <f>IF($A521="","",IFERROR(INDEX(PROGRES!$A$2:$A$92,MATCH(E521,PROGRES!$B$2:$B$92,0)),"-"))</f>
        <v/>
      </c>
      <c r="G521" s="8" t="str">
        <f>IF($A521="","",UPPER(TRIM(INDEX(FORM!$F:$F,ROW()))))</f>
        <v/>
      </c>
      <c r="H521" s="8" t="str">
        <f>IF($A521="","",UPPER(TRIM(INDEX(FORM!$E:$E,ROW()))))</f>
        <v/>
      </c>
      <c r="I521" s="8" t="str">
        <f>IF($A521="","",UPPER(TRIM(INDEX(FORM!$G:$G,ROW()))))</f>
        <v/>
      </c>
      <c r="J521" s="8" t="str">
        <f>IF($A521="","",IF(ISNUMBER(SEARCH("Ya,",INDEX(FORM!$H:$H,ROW()))),"YA",IF(ISNUMBER(SEARCH("Cukup,",INDEX(FORM!$H:$H,ROW()))),"CUKUP",IF(ISNUMBER(SEARCH("Kurang,",INDEX(FORM!$H:$H,ROW()))),"KURANG",""))))</f>
        <v/>
      </c>
      <c r="K521" s="8" t="str">
        <f>IF($A521="","",UPPER(TRIM(INDEX(FORM!$J:$J,ROW()))))</f>
        <v/>
      </c>
      <c r="L521" s="8" t="str">
        <f>IF($A521="","",IF(ISNUMBER(SEARCH("Aktivitas Harian",INDEX(FORM!$K:$K,ROW()))),1,0))</f>
        <v/>
      </c>
      <c r="M521" s="8" t="str">
        <f>IF($A521="","",IF(ISNUMBER(SEARCH("Aktivitas Mingguan",INDEX(FORM!$K:$K,ROW()))),1,0))</f>
        <v/>
      </c>
      <c r="N521" s="8" t="str">
        <f>IF($A521="","",IF(ISNUMBER(SEARCH("Aktivitas Bulanan",INDEX(FORM!$K:$K,ROW()))),1,0))</f>
        <v/>
      </c>
      <c r="O521" s="8" t="str">
        <f>IF($A521="","",IF(ISNUMBER(SEARCH("Overview Cabang",INDEX(FORM!$K:$K,ROW()))),1,0))</f>
        <v/>
      </c>
      <c r="P521" s="8" t="str">
        <f>IF($A521="","",IFERROR(VLOOKUP(I521,DATA!$AH$9:$AI$13,2,0),""))</f>
        <v/>
      </c>
      <c r="Q521" s="8" t="str">
        <f>IF($A521="","",IFERROR(VLOOKUP(J521,DATA!$AH$9:$AI$13,2,0),""))</f>
        <v/>
      </c>
      <c r="R521" s="8" t="str">
        <f>IF($A521="","",IFERROR(VLOOKUP(K521,DATA!$AH$9:$AI$13,2,0),""))</f>
        <v/>
      </c>
      <c r="S521" s="42" t="str">
        <f t="shared" si="176"/>
        <v/>
      </c>
      <c r="T521" s="8" t="str">
        <f>IF($A521="","",IF(COUNTIF($D$2:D521,D521)=1,1,0))</f>
        <v/>
      </c>
      <c r="U521" s="8" t="str">
        <f>IF($A521="","",IF(F521="-","Cabang tdk ada",IF(IFERROR(VLOOKUP(G521,#REF!,1,0),"")="","",IF(INDEX(DATA!$AH$2:$AH$5,MATCH(G521,DATA!$AI$2:$AI$5,0))&lt;&gt;F521,"Wilayah beda","OK"))))</f>
        <v/>
      </c>
      <c r="V521" s="8" t="str">
        <f>IF($A521="","",TRIM(INDEX(FORM!$I:$I,ROW())&amp;""))</f>
        <v/>
      </c>
      <c r="W521" s="8" t="str">
        <f>IF($A521="","",TRIM(INDEX(FORM!$L:$L,ROW())&amp;""))</f>
        <v/>
      </c>
      <c r="X521" s="8" t="str">
        <f>IF($A521="","",TRIM(INDEX(FORM!$M:$M,ROW())&amp;""))</f>
        <v/>
      </c>
      <c r="Y521" s="8" t="str">
        <f>IF($A521="","",IFERROR(MATCH(F521,DATA!$AH$2:$AH$5,0),9)*10000+A521)</f>
        <v/>
      </c>
      <c r="Z521" s="8" t="str">
        <f t="shared" si="177"/>
        <v/>
      </c>
      <c r="AA521" s="8" t="str">
        <f t="shared" si="178"/>
        <v/>
      </c>
      <c r="AB521" s="8" t="str">
        <f t="shared" si="179"/>
        <v/>
      </c>
      <c r="AC521" s="8"/>
      <c r="AD521" s="8"/>
      <c r="AE521" s="8"/>
      <c r="AK521" s="5" t="str">
        <f t="shared" si="180"/>
        <v/>
      </c>
      <c r="AL521" s="5" t="str">
        <f t="shared" si="181"/>
        <v/>
      </c>
      <c r="AM521" s="5" t="str">
        <f t="shared" si="182"/>
        <v/>
      </c>
      <c r="AN521" s="5" t="str">
        <f t="shared" si="183"/>
        <v/>
      </c>
      <c r="AO521" s="5" t="str">
        <f t="shared" si="184"/>
        <v/>
      </c>
      <c r="AP521" s="5" t="str">
        <f t="shared" si="185"/>
        <v/>
      </c>
      <c r="AQ521" s="5" t="str">
        <f t="shared" si="186"/>
        <v/>
      </c>
      <c r="AR521" s="5" t="str">
        <f t="shared" si="187"/>
        <v/>
      </c>
      <c r="AS521" s="5" t="str">
        <f t="shared" si="188"/>
        <v/>
      </c>
      <c r="AT521" s="5" t="str">
        <f t="shared" si="189"/>
        <v/>
      </c>
      <c r="AU521" s="5" t="str">
        <f t="shared" si="190"/>
        <v/>
      </c>
      <c r="AV521" s="5" t="str">
        <f t="shared" si="191"/>
        <v/>
      </c>
      <c r="AW521" s="5" t="str">
        <f t="shared" si="192"/>
        <v/>
      </c>
      <c r="AX521" s="5" t="str">
        <f t="shared" si="193"/>
        <v/>
      </c>
      <c r="AY521" s="5" t="str">
        <f t="shared" si="194"/>
        <v/>
      </c>
      <c r="AZ521" s="5" t="str">
        <f t="shared" si="195"/>
        <v/>
      </c>
      <c r="BA521" s="5" t="str">
        <f t="shared" si="196"/>
        <v/>
      </c>
      <c r="BB521" s="5" t="str">
        <f t="shared" si="197"/>
        <v/>
      </c>
    </row>
    <row r="522" spans="1:54" s="5" customFormat="1" hidden="1">
      <c r="A522" s="8" t="str">
        <f>IF(INDEX(FORM!$A:$A,ROW())="","",ROW()-1)</f>
        <v/>
      </c>
      <c r="B522" s="41" t="str">
        <f>IF($A522="","",INDEX(FORM!$A:$A,ROW()))</f>
        <v/>
      </c>
      <c r="C522" s="8" t="str">
        <f>IF($A522="","",TRIM(INDEX(FORM!$B:$B,ROW())))</f>
        <v/>
      </c>
      <c r="D522" s="8" t="str">
        <f>IF($A522="","",TRIM(INDEX(FORM!$C:$C,ROW())&amp;""))</f>
        <v/>
      </c>
      <c r="E522" s="8" t="str">
        <f>IF($A522="","",UPPER(TRIM(INDEX(FORM!$D:$D,ROW()))))</f>
        <v/>
      </c>
      <c r="F522" s="8" t="str">
        <f>IF($A522="","",IFERROR(INDEX(PROGRES!$A$2:$A$92,MATCH(E522,PROGRES!$B$2:$B$92,0)),"-"))</f>
        <v/>
      </c>
      <c r="G522" s="8" t="str">
        <f>IF($A522="","",UPPER(TRIM(INDEX(FORM!$F:$F,ROW()))))</f>
        <v/>
      </c>
      <c r="H522" s="8" t="str">
        <f>IF($A522="","",UPPER(TRIM(INDEX(FORM!$E:$E,ROW()))))</f>
        <v/>
      </c>
      <c r="I522" s="8" t="str">
        <f>IF($A522="","",UPPER(TRIM(INDEX(FORM!$G:$G,ROW()))))</f>
        <v/>
      </c>
      <c r="J522" s="8" t="str">
        <f>IF($A522="","",IF(ISNUMBER(SEARCH("Ya,",INDEX(FORM!$H:$H,ROW()))),"YA",IF(ISNUMBER(SEARCH("Cukup,",INDEX(FORM!$H:$H,ROW()))),"CUKUP",IF(ISNUMBER(SEARCH("Kurang,",INDEX(FORM!$H:$H,ROW()))),"KURANG",""))))</f>
        <v/>
      </c>
      <c r="K522" s="8" t="str">
        <f>IF($A522="","",UPPER(TRIM(INDEX(FORM!$J:$J,ROW()))))</f>
        <v/>
      </c>
      <c r="L522" s="8" t="str">
        <f>IF($A522="","",IF(ISNUMBER(SEARCH("Aktivitas Harian",INDEX(FORM!$K:$K,ROW()))),1,0))</f>
        <v/>
      </c>
      <c r="M522" s="8" t="str">
        <f>IF($A522="","",IF(ISNUMBER(SEARCH("Aktivitas Mingguan",INDEX(FORM!$K:$K,ROW()))),1,0))</f>
        <v/>
      </c>
      <c r="N522" s="8" t="str">
        <f>IF($A522="","",IF(ISNUMBER(SEARCH("Aktivitas Bulanan",INDEX(FORM!$K:$K,ROW()))),1,0))</f>
        <v/>
      </c>
      <c r="O522" s="8" t="str">
        <f>IF($A522="","",IF(ISNUMBER(SEARCH("Overview Cabang",INDEX(FORM!$K:$K,ROW()))),1,0))</f>
        <v/>
      </c>
      <c r="P522" s="8" t="str">
        <f>IF($A522="","",IFERROR(VLOOKUP(I522,DATA!$AH$9:$AI$13,2,0),""))</f>
        <v/>
      </c>
      <c r="Q522" s="8" t="str">
        <f>IF($A522="","",IFERROR(VLOOKUP(J522,DATA!$AH$9:$AI$13,2,0),""))</f>
        <v/>
      </c>
      <c r="R522" s="8" t="str">
        <f>IF($A522="","",IFERROR(VLOOKUP(K522,DATA!$AH$9:$AI$13,2,0),""))</f>
        <v/>
      </c>
      <c r="S522" s="42" t="str">
        <f t="shared" si="176"/>
        <v/>
      </c>
      <c r="T522" s="8" t="str">
        <f>IF($A522="","",IF(COUNTIF($D$2:D522,D522)=1,1,0))</f>
        <v/>
      </c>
      <c r="U522" s="8" t="str">
        <f>IF($A522="","",IF(F522="-","Cabang tdk ada",IF(IFERROR(VLOOKUP(G522,#REF!,1,0),"")="","",IF(INDEX(DATA!$AH$2:$AH$5,MATCH(G522,DATA!$AI$2:$AI$5,0))&lt;&gt;F522,"Wilayah beda","OK"))))</f>
        <v/>
      </c>
      <c r="V522" s="8" t="str">
        <f>IF($A522="","",TRIM(INDEX(FORM!$I:$I,ROW())&amp;""))</f>
        <v/>
      </c>
      <c r="W522" s="8" t="str">
        <f>IF($A522="","",TRIM(INDEX(FORM!$L:$L,ROW())&amp;""))</f>
        <v/>
      </c>
      <c r="X522" s="8" t="str">
        <f>IF($A522="","",TRIM(INDEX(FORM!$M:$M,ROW())&amp;""))</f>
        <v/>
      </c>
      <c r="Y522" s="8" t="str">
        <f>IF($A522="","",IFERROR(MATCH(F522,DATA!$AH$2:$AH$5,0),9)*10000+A522)</f>
        <v/>
      </c>
      <c r="Z522" s="8" t="str">
        <f t="shared" si="177"/>
        <v/>
      </c>
      <c r="AA522" s="8" t="str">
        <f t="shared" si="178"/>
        <v/>
      </c>
      <c r="AB522" s="8" t="str">
        <f t="shared" si="179"/>
        <v/>
      </c>
      <c r="AC522" s="8"/>
      <c r="AD522" s="8"/>
      <c r="AE522" s="8"/>
      <c r="AK522" s="5" t="str">
        <f t="shared" si="180"/>
        <v/>
      </c>
      <c r="AL522" s="5" t="str">
        <f t="shared" si="181"/>
        <v/>
      </c>
      <c r="AM522" s="5" t="str">
        <f t="shared" si="182"/>
        <v/>
      </c>
      <c r="AN522" s="5" t="str">
        <f t="shared" si="183"/>
        <v/>
      </c>
      <c r="AO522" s="5" t="str">
        <f t="shared" si="184"/>
        <v/>
      </c>
      <c r="AP522" s="5" t="str">
        <f t="shared" si="185"/>
        <v/>
      </c>
      <c r="AQ522" s="5" t="str">
        <f t="shared" si="186"/>
        <v/>
      </c>
      <c r="AR522" s="5" t="str">
        <f t="shared" si="187"/>
        <v/>
      </c>
      <c r="AS522" s="5" t="str">
        <f t="shared" si="188"/>
        <v/>
      </c>
      <c r="AT522" s="5" t="str">
        <f t="shared" si="189"/>
        <v/>
      </c>
      <c r="AU522" s="5" t="str">
        <f t="shared" si="190"/>
        <v/>
      </c>
      <c r="AV522" s="5" t="str">
        <f t="shared" si="191"/>
        <v/>
      </c>
      <c r="AW522" s="5" t="str">
        <f t="shared" si="192"/>
        <v/>
      </c>
      <c r="AX522" s="5" t="str">
        <f t="shared" si="193"/>
        <v/>
      </c>
      <c r="AY522" s="5" t="str">
        <f t="shared" si="194"/>
        <v/>
      </c>
      <c r="AZ522" s="5" t="str">
        <f t="shared" si="195"/>
        <v/>
      </c>
      <c r="BA522" s="5" t="str">
        <f t="shared" si="196"/>
        <v/>
      </c>
      <c r="BB522" s="5" t="str">
        <f t="shared" si="197"/>
        <v/>
      </c>
    </row>
    <row r="523" spans="1:54" s="5" customFormat="1" hidden="1">
      <c r="A523" s="8" t="str">
        <f>IF(INDEX(FORM!$A:$A,ROW())="","",ROW()-1)</f>
        <v/>
      </c>
      <c r="B523" s="41" t="str">
        <f>IF($A523="","",INDEX(FORM!$A:$A,ROW()))</f>
        <v/>
      </c>
      <c r="C523" s="8" t="str">
        <f>IF($A523="","",TRIM(INDEX(FORM!$B:$B,ROW())))</f>
        <v/>
      </c>
      <c r="D523" s="8" t="str">
        <f>IF($A523="","",TRIM(INDEX(FORM!$C:$C,ROW())&amp;""))</f>
        <v/>
      </c>
      <c r="E523" s="8" t="str">
        <f>IF($A523="","",UPPER(TRIM(INDEX(FORM!$D:$D,ROW()))))</f>
        <v/>
      </c>
      <c r="F523" s="8" t="str">
        <f>IF($A523="","",IFERROR(INDEX(PROGRES!$A$2:$A$92,MATCH(E523,PROGRES!$B$2:$B$92,0)),"-"))</f>
        <v/>
      </c>
      <c r="G523" s="8" t="str">
        <f>IF($A523="","",UPPER(TRIM(INDEX(FORM!$F:$F,ROW()))))</f>
        <v/>
      </c>
      <c r="H523" s="8" t="str">
        <f>IF($A523="","",UPPER(TRIM(INDEX(FORM!$E:$E,ROW()))))</f>
        <v/>
      </c>
      <c r="I523" s="8" t="str">
        <f>IF($A523="","",UPPER(TRIM(INDEX(FORM!$G:$G,ROW()))))</f>
        <v/>
      </c>
      <c r="J523" s="8" t="str">
        <f>IF($A523="","",IF(ISNUMBER(SEARCH("Ya,",INDEX(FORM!$H:$H,ROW()))),"YA",IF(ISNUMBER(SEARCH("Cukup,",INDEX(FORM!$H:$H,ROW()))),"CUKUP",IF(ISNUMBER(SEARCH("Kurang,",INDEX(FORM!$H:$H,ROW()))),"KURANG",""))))</f>
        <v/>
      </c>
      <c r="K523" s="8" t="str">
        <f>IF($A523="","",UPPER(TRIM(INDEX(FORM!$J:$J,ROW()))))</f>
        <v/>
      </c>
      <c r="L523" s="8" t="str">
        <f>IF($A523="","",IF(ISNUMBER(SEARCH("Aktivitas Harian",INDEX(FORM!$K:$K,ROW()))),1,0))</f>
        <v/>
      </c>
      <c r="M523" s="8" t="str">
        <f>IF($A523="","",IF(ISNUMBER(SEARCH("Aktivitas Mingguan",INDEX(FORM!$K:$K,ROW()))),1,0))</f>
        <v/>
      </c>
      <c r="N523" s="8" t="str">
        <f>IF($A523="","",IF(ISNUMBER(SEARCH("Aktivitas Bulanan",INDEX(FORM!$K:$K,ROW()))),1,0))</f>
        <v/>
      </c>
      <c r="O523" s="8" t="str">
        <f>IF($A523="","",IF(ISNUMBER(SEARCH("Overview Cabang",INDEX(FORM!$K:$K,ROW()))),1,0))</f>
        <v/>
      </c>
      <c r="P523" s="8" t="str">
        <f>IF($A523="","",IFERROR(VLOOKUP(I523,DATA!$AH$9:$AI$13,2,0),""))</f>
        <v/>
      </c>
      <c r="Q523" s="8" t="str">
        <f>IF($A523="","",IFERROR(VLOOKUP(J523,DATA!$AH$9:$AI$13,2,0),""))</f>
        <v/>
      </c>
      <c r="R523" s="8" t="str">
        <f>IF($A523="","",IFERROR(VLOOKUP(K523,DATA!$AH$9:$AI$13,2,0),""))</f>
        <v/>
      </c>
      <c r="S523" s="42" t="str">
        <f t="shared" si="176"/>
        <v/>
      </c>
      <c r="T523" s="8" t="str">
        <f>IF($A523="","",IF(COUNTIF($D$2:D523,D523)=1,1,0))</f>
        <v/>
      </c>
      <c r="U523" s="8" t="str">
        <f>IF($A523="","",IF(F523="-","Cabang tdk ada",IF(IFERROR(VLOOKUP(G523,#REF!,1,0),"")="","",IF(INDEX(DATA!$AH$2:$AH$5,MATCH(G523,DATA!$AI$2:$AI$5,0))&lt;&gt;F523,"Wilayah beda","OK"))))</f>
        <v/>
      </c>
      <c r="V523" s="8" t="str">
        <f>IF($A523="","",TRIM(INDEX(FORM!$I:$I,ROW())&amp;""))</f>
        <v/>
      </c>
      <c r="W523" s="8" t="str">
        <f>IF($A523="","",TRIM(INDEX(FORM!$L:$L,ROW())&amp;""))</f>
        <v/>
      </c>
      <c r="X523" s="8" t="str">
        <f>IF($A523="","",TRIM(INDEX(FORM!$M:$M,ROW())&amp;""))</f>
        <v/>
      </c>
      <c r="Y523" s="8" t="str">
        <f>IF($A523="","",IFERROR(MATCH(F523,DATA!$AH$2:$AH$5,0),9)*10000+A523)</f>
        <v/>
      </c>
      <c r="Z523" s="8" t="str">
        <f t="shared" si="177"/>
        <v/>
      </c>
      <c r="AA523" s="8" t="str">
        <f t="shared" si="178"/>
        <v/>
      </c>
      <c r="AB523" s="8" t="str">
        <f t="shared" si="179"/>
        <v/>
      </c>
      <c r="AC523" s="8"/>
      <c r="AD523" s="8"/>
      <c r="AE523" s="8"/>
      <c r="AK523" s="5" t="str">
        <f t="shared" si="180"/>
        <v/>
      </c>
      <c r="AL523" s="5" t="str">
        <f t="shared" si="181"/>
        <v/>
      </c>
      <c r="AM523" s="5" t="str">
        <f t="shared" si="182"/>
        <v/>
      </c>
      <c r="AN523" s="5" t="str">
        <f t="shared" si="183"/>
        <v/>
      </c>
      <c r="AO523" s="5" t="str">
        <f t="shared" si="184"/>
        <v/>
      </c>
      <c r="AP523" s="5" t="str">
        <f t="shared" si="185"/>
        <v/>
      </c>
      <c r="AQ523" s="5" t="str">
        <f t="shared" si="186"/>
        <v/>
      </c>
      <c r="AR523" s="5" t="str">
        <f t="shared" si="187"/>
        <v/>
      </c>
      <c r="AS523" s="5" t="str">
        <f t="shared" si="188"/>
        <v/>
      </c>
      <c r="AT523" s="5" t="str">
        <f t="shared" si="189"/>
        <v/>
      </c>
      <c r="AU523" s="5" t="str">
        <f t="shared" si="190"/>
        <v/>
      </c>
      <c r="AV523" s="5" t="str">
        <f t="shared" si="191"/>
        <v/>
      </c>
      <c r="AW523" s="5" t="str">
        <f t="shared" si="192"/>
        <v/>
      </c>
      <c r="AX523" s="5" t="str">
        <f t="shared" si="193"/>
        <v/>
      </c>
      <c r="AY523" s="5" t="str">
        <f t="shared" si="194"/>
        <v/>
      </c>
      <c r="AZ523" s="5" t="str">
        <f t="shared" si="195"/>
        <v/>
      </c>
      <c r="BA523" s="5" t="str">
        <f t="shared" si="196"/>
        <v/>
      </c>
      <c r="BB523" s="5" t="str">
        <f t="shared" si="197"/>
        <v/>
      </c>
    </row>
    <row r="524" spans="1:54" s="5" customFormat="1" hidden="1">
      <c r="A524" s="8" t="str">
        <f>IF(INDEX(FORM!$A:$A,ROW())="","",ROW()-1)</f>
        <v/>
      </c>
      <c r="B524" s="41" t="str">
        <f>IF($A524="","",INDEX(FORM!$A:$A,ROW()))</f>
        <v/>
      </c>
      <c r="C524" s="8" t="str">
        <f>IF($A524="","",TRIM(INDEX(FORM!$B:$B,ROW())))</f>
        <v/>
      </c>
      <c r="D524" s="8" t="str">
        <f>IF($A524="","",TRIM(INDEX(FORM!$C:$C,ROW())&amp;""))</f>
        <v/>
      </c>
      <c r="E524" s="8" t="str">
        <f>IF($A524="","",UPPER(TRIM(INDEX(FORM!$D:$D,ROW()))))</f>
        <v/>
      </c>
      <c r="F524" s="8" t="str">
        <f>IF($A524="","",IFERROR(INDEX(PROGRES!$A$2:$A$92,MATCH(E524,PROGRES!$B$2:$B$92,0)),"-"))</f>
        <v/>
      </c>
      <c r="G524" s="8" t="str">
        <f>IF($A524="","",UPPER(TRIM(INDEX(FORM!$F:$F,ROW()))))</f>
        <v/>
      </c>
      <c r="H524" s="8" t="str">
        <f>IF($A524="","",UPPER(TRIM(INDEX(FORM!$E:$E,ROW()))))</f>
        <v/>
      </c>
      <c r="I524" s="8" t="str">
        <f>IF($A524="","",UPPER(TRIM(INDEX(FORM!$G:$G,ROW()))))</f>
        <v/>
      </c>
      <c r="J524" s="8" t="str">
        <f>IF($A524="","",IF(ISNUMBER(SEARCH("Ya,",INDEX(FORM!$H:$H,ROW()))),"YA",IF(ISNUMBER(SEARCH("Cukup,",INDEX(FORM!$H:$H,ROW()))),"CUKUP",IF(ISNUMBER(SEARCH("Kurang,",INDEX(FORM!$H:$H,ROW()))),"KURANG",""))))</f>
        <v/>
      </c>
      <c r="K524" s="8" t="str">
        <f>IF($A524="","",UPPER(TRIM(INDEX(FORM!$J:$J,ROW()))))</f>
        <v/>
      </c>
      <c r="L524" s="8" t="str">
        <f>IF($A524="","",IF(ISNUMBER(SEARCH("Aktivitas Harian",INDEX(FORM!$K:$K,ROW()))),1,0))</f>
        <v/>
      </c>
      <c r="M524" s="8" t="str">
        <f>IF($A524="","",IF(ISNUMBER(SEARCH("Aktivitas Mingguan",INDEX(FORM!$K:$K,ROW()))),1,0))</f>
        <v/>
      </c>
      <c r="N524" s="8" t="str">
        <f>IF($A524="","",IF(ISNUMBER(SEARCH("Aktivitas Bulanan",INDEX(FORM!$K:$K,ROW()))),1,0))</f>
        <v/>
      </c>
      <c r="O524" s="8" t="str">
        <f>IF($A524="","",IF(ISNUMBER(SEARCH("Overview Cabang",INDEX(FORM!$K:$K,ROW()))),1,0))</f>
        <v/>
      </c>
      <c r="P524" s="8" t="str">
        <f>IF($A524="","",IFERROR(VLOOKUP(I524,DATA!$AH$9:$AI$13,2,0),""))</f>
        <v/>
      </c>
      <c r="Q524" s="8" t="str">
        <f>IF($A524="","",IFERROR(VLOOKUP(J524,DATA!$AH$9:$AI$13,2,0),""))</f>
        <v/>
      </c>
      <c r="R524" s="8" t="str">
        <f>IF($A524="","",IFERROR(VLOOKUP(K524,DATA!$AH$9:$AI$13,2,0),""))</f>
        <v/>
      </c>
      <c r="S524" s="42" t="str">
        <f t="shared" si="176"/>
        <v/>
      </c>
      <c r="T524" s="8" t="str">
        <f>IF($A524="","",IF(COUNTIF($D$2:D524,D524)=1,1,0))</f>
        <v/>
      </c>
      <c r="U524" s="8" t="str">
        <f>IF($A524="","",IF(F524="-","Cabang tdk ada",IF(IFERROR(VLOOKUP(G524,#REF!,1,0),"")="","",IF(INDEX(DATA!$AH$2:$AH$5,MATCH(G524,DATA!$AI$2:$AI$5,0))&lt;&gt;F524,"Wilayah beda","OK"))))</f>
        <v/>
      </c>
      <c r="V524" s="8" t="str">
        <f>IF($A524="","",TRIM(INDEX(FORM!$I:$I,ROW())&amp;""))</f>
        <v/>
      </c>
      <c r="W524" s="8" t="str">
        <f>IF($A524="","",TRIM(INDEX(FORM!$L:$L,ROW())&amp;""))</f>
        <v/>
      </c>
      <c r="X524" s="8" t="str">
        <f>IF($A524="","",TRIM(INDEX(FORM!$M:$M,ROW())&amp;""))</f>
        <v/>
      </c>
      <c r="Y524" s="8" t="str">
        <f>IF($A524="","",IFERROR(MATCH(F524,DATA!$AH$2:$AH$5,0),9)*10000+A524)</f>
        <v/>
      </c>
      <c r="Z524" s="8" t="str">
        <f t="shared" si="177"/>
        <v/>
      </c>
      <c r="AA524" s="8" t="str">
        <f t="shared" si="178"/>
        <v/>
      </c>
      <c r="AB524" s="8" t="str">
        <f t="shared" si="179"/>
        <v/>
      </c>
      <c r="AC524" s="8"/>
      <c r="AD524" s="8"/>
      <c r="AE524" s="8"/>
      <c r="AK524" s="5" t="str">
        <f t="shared" si="180"/>
        <v/>
      </c>
      <c r="AL524" s="5" t="str">
        <f t="shared" si="181"/>
        <v/>
      </c>
      <c r="AM524" s="5" t="str">
        <f t="shared" si="182"/>
        <v/>
      </c>
      <c r="AN524" s="5" t="str">
        <f t="shared" si="183"/>
        <v/>
      </c>
      <c r="AO524" s="5" t="str">
        <f t="shared" si="184"/>
        <v/>
      </c>
      <c r="AP524" s="5" t="str">
        <f t="shared" si="185"/>
        <v/>
      </c>
      <c r="AQ524" s="5" t="str">
        <f t="shared" si="186"/>
        <v/>
      </c>
      <c r="AR524" s="5" t="str">
        <f t="shared" si="187"/>
        <v/>
      </c>
      <c r="AS524" s="5" t="str">
        <f t="shared" si="188"/>
        <v/>
      </c>
      <c r="AT524" s="5" t="str">
        <f t="shared" si="189"/>
        <v/>
      </c>
      <c r="AU524" s="5" t="str">
        <f t="shared" si="190"/>
        <v/>
      </c>
      <c r="AV524" s="5" t="str">
        <f t="shared" si="191"/>
        <v/>
      </c>
      <c r="AW524" s="5" t="str">
        <f t="shared" si="192"/>
        <v/>
      </c>
      <c r="AX524" s="5" t="str">
        <f t="shared" si="193"/>
        <v/>
      </c>
      <c r="AY524" s="5" t="str">
        <f t="shared" si="194"/>
        <v/>
      </c>
      <c r="AZ524" s="5" t="str">
        <f t="shared" si="195"/>
        <v/>
      </c>
      <c r="BA524" s="5" t="str">
        <f t="shared" si="196"/>
        <v/>
      </c>
      <c r="BB524" s="5" t="str">
        <f t="shared" si="197"/>
        <v/>
      </c>
    </row>
    <row r="525" spans="1:54" s="5" customFormat="1" hidden="1">
      <c r="A525" s="8" t="str">
        <f>IF(INDEX(FORM!$A:$A,ROW())="","",ROW()-1)</f>
        <v/>
      </c>
      <c r="B525" s="41" t="str">
        <f>IF($A525="","",INDEX(FORM!$A:$A,ROW()))</f>
        <v/>
      </c>
      <c r="C525" s="8" t="str">
        <f>IF($A525="","",TRIM(INDEX(FORM!$B:$B,ROW())))</f>
        <v/>
      </c>
      <c r="D525" s="8" t="str">
        <f>IF($A525="","",TRIM(INDEX(FORM!$C:$C,ROW())&amp;""))</f>
        <v/>
      </c>
      <c r="E525" s="8" t="str">
        <f>IF($A525="","",UPPER(TRIM(INDEX(FORM!$D:$D,ROW()))))</f>
        <v/>
      </c>
      <c r="F525" s="8" t="str">
        <f>IF($A525="","",IFERROR(INDEX(PROGRES!$A$2:$A$92,MATCH(E525,PROGRES!$B$2:$B$92,0)),"-"))</f>
        <v/>
      </c>
      <c r="G525" s="8" t="str">
        <f>IF($A525="","",UPPER(TRIM(INDEX(FORM!$F:$F,ROW()))))</f>
        <v/>
      </c>
      <c r="H525" s="8" t="str">
        <f>IF($A525="","",UPPER(TRIM(INDEX(FORM!$E:$E,ROW()))))</f>
        <v/>
      </c>
      <c r="I525" s="8" t="str">
        <f>IF($A525="","",UPPER(TRIM(INDEX(FORM!$G:$G,ROW()))))</f>
        <v/>
      </c>
      <c r="J525" s="8" t="str">
        <f>IF($A525="","",IF(ISNUMBER(SEARCH("Ya,",INDEX(FORM!$H:$H,ROW()))),"YA",IF(ISNUMBER(SEARCH("Cukup,",INDEX(FORM!$H:$H,ROW()))),"CUKUP",IF(ISNUMBER(SEARCH("Kurang,",INDEX(FORM!$H:$H,ROW()))),"KURANG",""))))</f>
        <v/>
      </c>
      <c r="K525" s="8" t="str">
        <f>IF($A525="","",UPPER(TRIM(INDEX(FORM!$J:$J,ROW()))))</f>
        <v/>
      </c>
      <c r="L525" s="8" t="str">
        <f>IF($A525="","",IF(ISNUMBER(SEARCH("Aktivitas Harian",INDEX(FORM!$K:$K,ROW()))),1,0))</f>
        <v/>
      </c>
      <c r="M525" s="8" t="str">
        <f>IF($A525="","",IF(ISNUMBER(SEARCH("Aktivitas Mingguan",INDEX(FORM!$K:$K,ROW()))),1,0))</f>
        <v/>
      </c>
      <c r="N525" s="8" t="str">
        <f>IF($A525="","",IF(ISNUMBER(SEARCH("Aktivitas Bulanan",INDEX(FORM!$K:$K,ROW()))),1,0))</f>
        <v/>
      </c>
      <c r="O525" s="8" t="str">
        <f>IF($A525="","",IF(ISNUMBER(SEARCH("Overview Cabang",INDEX(FORM!$K:$K,ROW()))),1,0))</f>
        <v/>
      </c>
      <c r="P525" s="8" t="str">
        <f>IF($A525="","",IFERROR(VLOOKUP(I525,DATA!$AH$9:$AI$13,2,0),""))</f>
        <v/>
      </c>
      <c r="Q525" s="8" t="str">
        <f>IF($A525="","",IFERROR(VLOOKUP(J525,DATA!$AH$9:$AI$13,2,0),""))</f>
        <v/>
      </c>
      <c r="R525" s="8" t="str">
        <f>IF($A525="","",IFERROR(VLOOKUP(K525,DATA!$AH$9:$AI$13,2,0),""))</f>
        <v/>
      </c>
      <c r="S525" s="42" t="str">
        <f t="shared" si="176"/>
        <v/>
      </c>
      <c r="T525" s="8" t="str">
        <f>IF($A525="","",IF(COUNTIF($D$2:D525,D525)=1,1,0))</f>
        <v/>
      </c>
      <c r="U525" s="8" t="str">
        <f>IF($A525="","",IF(F525="-","Cabang tdk ada",IF(IFERROR(VLOOKUP(G525,#REF!,1,0),"")="","",IF(INDEX(DATA!$AH$2:$AH$5,MATCH(G525,DATA!$AI$2:$AI$5,0))&lt;&gt;F525,"Wilayah beda","OK"))))</f>
        <v/>
      </c>
      <c r="V525" s="8" t="str">
        <f>IF($A525="","",TRIM(INDEX(FORM!$I:$I,ROW())&amp;""))</f>
        <v/>
      </c>
      <c r="W525" s="8" t="str">
        <f>IF($A525="","",TRIM(INDEX(FORM!$L:$L,ROW())&amp;""))</f>
        <v/>
      </c>
      <c r="X525" s="8" t="str">
        <f>IF($A525="","",TRIM(INDEX(FORM!$M:$M,ROW())&amp;""))</f>
        <v/>
      </c>
      <c r="Y525" s="8" t="str">
        <f>IF($A525="","",IFERROR(MATCH(F525,DATA!$AH$2:$AH$5,0),9)*10000+A525)</f>
        <v/>
      </c>
      <c r="Z525" s="8" t="str">
        <f t="shared" si="177"/>
        <v/>
      </c>
      <c r="AA525" s="8" t="str">
        <f t="shared" si="178"/>
        <v/>
      </c>
      <c r="AB525" s="8" t="str">
        <f t="shared" si="179"/>
        <v/>
      </c>
      <c r="AC525" s="8"/>
      <c r="AD525" s="8"/>
      <c r="AE525" s="8"/>
      <c r="AK525" s="5" t="str">
        <f t="shared" si="180"/>
        <v/>
      </c>
      <c r="AL525" s="5" t="str">
        <f t="shared" si="181"/>
        <v/>
      </c>
      <c r="AM525" s="5" t="str">
        <f t="shared" si="182"/>
        <v/>
      </c>
      <c r="AN525" s="5" t="str">
        <f t="shared" si="183"/>
        <v/>
      </c>
      <c r="AO525" s="5" t="str">
        <f t="shared" si="184"/>
        <v/>
      </c>
      <c r="AP525" s="5" t="str">
        <f t="shared" si="185"/>
        <v/>
      </c>
      <c r="AQ525" s="5" t="str">
        <f t="shared" si="186"/>
        <v/>
      </c>
      <c r="AR525" s="5" t="str">
        <f t="shared" si="187"/>
        <v/>
      </c>
      <c r="AS525" s="5" t="str">
        <f t="shared" si="188"/>
        <v/>
      </c>
      <c r="AT525" s="5" t="str">
        <f t="shared" si="189"/>
        <v/>
      </c>
      <c r="AU525" s="5" t="str">
        <f t="shared" si="190"/>
        <v/>
      </c>
      <c r="AV525" s="5" t="str">
        <f t="shared" si="191"/>
        <v/>
      </c>
      <c r="AW525" s="5" t="str">
        <f t="shared" si="192"/>
        <v/>
      </c>
      <c r="AX525" s="5" t="str">
        <f t="shared" si="193"/>
        <v/>
      </c>
      <c r="AY525" s="5" t="str">
        <f t="shared" si="194"/>
        <v/>
      </c>
      <c r="AZ525" s="5" t="str">
        <f t="shared" si="195"/>
        <v/>
      </c>
      <c r="BA525" s="5" t="str">
        <f t="shared" si="196"/>
        <v/>
      </c>
      <c r="BB525" s="5" t="str">
        <f t="shared" si="197"/>
        <v/>
      </c>
    </row>
    <row r="526" spans="1:54" s="5" customFormat="1" hidden="1">
      <c r="A526" s="8" t="str">
        <f>IF(INDEX(FORM!$A:$A,ROW())="","",ROW()-1)</f>
        <v/>
      </c>
      <c r="B526" s="41" t="str">
        <f>IF($A526="","",INDEX(FORM!$A:$A,ROW()))</f>
        <v/>
      </c>
      <c r="C526" s="8" t="str">
        <f>IF($A526="","",TRIM(INDEX(FORM!$B:$B,ROW())))</f>
        <v/>
      </c>
      <c r="D526" s="8" t="str">
        <f>IF($A526="","",TRIM(INDEX(FORM!$C:$C,ROW())&amp;""))</f>
        <v/>
      </c>
      <c r="E526" s="8" t="str">
        <f>IF($A526="","",UPPER(TRIM(INDEX(FORM!$D:$D,ROW()))))</f>
        <v/>
      </c>
      <c r="F526" s="8" t="str">
        <f>IF($A526="","",IFERROR(INDEX(PROGRES!$A$2:$A$92,MATCH(E526,PROGRES!$B$2:$B$92,0)),"-"))</f>
        <v/>
      </c>
      <c r="G526" s="8" t="str">
        <f>IF($A526="","",UPPER(TRIM(INDEX(FORM!$F:$F,ROW()))))</f>
        <v/>
      </c>
      <c r="H526" s="8" t="str">
        <f>IF($A526="","",UPPER(TRIM(INDEX(FORM!$E:$E,ROW()))))</f>
        <v/>
      </c>
      <c r="I526" s="8" t="str">
        <f>IF($A526="","",UPPER(TRIM(INDEX(FORM!$G:$G,ROW()))))</f>
        <v/>
      </c>
      <c r="J526" s="8" t="str">
        <f>IF($A526="","",IF(ISNUMBER(SEARCH("Ya,",INDEX(FORM!$H:$H,ROW()))),"YA",IF(ISNUMBER(SEARCH("Cukup,",INDEX(FORM!$H:$H,ROW()))),"CUKUP",IF(ISNUMBER(SEARCH("Kurang,",INDEX(FORM!$H:$H,ROW()))),"KURANG",""))))</f>
        <v/>
      </c>
      <c r="K526" s="8" t="str">
        <f>IF($A526="","",UPPER(TRIM(INDEX(FORM!$J:$J,ROW()))))</f>
        <v/>
      </c>
      <c r="L526" s="8" t="str">
        <f>IF($A526="","",IF(ISNUMBER(SEARCH("Aktivitas Harian",INDEX(FORM!$K:$K,ROW()))),1,0))</f>
        <v/>
      </c>
      <c r="M526" s="8" t="str">
        <f>IF($A526="","",IF(ISNUMBER(SEARCH("Aktivitas Mingguan",INDEX(FORM!$K:$K,ROW()))),1,0))</f>
        <v/>
      </c>
      <c r="N526" s="8" t="str">
        <f>IF($A526="","",IF(ISNUMBER(SEARCH("Aktivitas Bulanan",INDEX(FORM!$K:$K,ROW()))),1,0))</f>
        <v/>
      </c>
      <c r="O526" s="8" t="str">
        <f>IF($A526="","",IF(ISNUMBER(SEARCH("Overview Cabang",INDEX(FORM!$K:$K,ROW()))),1,0))</f>
        <v/>
      </c>
      <c r="P526" s="8" t="str">
        <f>IF($A526="","",IFERROR(VLOOKUP(I526,DATA!$AH$9:$AI$13,2,0),""))</f>
        <v/>
      </c>
      <c r="Q526" s="8" t="str">
        <f>IF($A526="","",IFERROR(VLOOKUP(J526,DATA!$AH$9:$AI$13,2,0),""))</f>
        <v/>
      </c>
      <c r="R526" s="8" t="str">
        <f>IF($A526="","",IFERROR(VLOOKUP(K526,DATA!$AH$9:$AI$13,2,0),""))</f>
        <v/>
      </c>
      <c r="S526" s="42" t="str">
        <f t="shared" si="176"/>
        <v/>
      </c>
      <c r="T526" s="8" t="str">
        <f>IF($A526="","",IF(COUNTIF($D$2:D526,D526)=1,1,0))</f>
        <v/>
      </c>
      <c r="U526" s="8" t="str">
        <f>IF($A526="","",IF(F526="-","Cabang tdk ada",IF(IFERROR(VLOOKUP(G526,#REF!,1,0),"")="","",IF(INDEX(DATA!$AH$2:$AH$5,MATCH(G526,DATA!$AI$2:$AI$5,0))&lt;&gt;F526,"Wilayah beda","OK"))))</f>
        <v/>
      </c>
      <c r="V526" s="8" t="str">
        <f>IF($A526="","",TRIM(INDEX(FORM!$I:$I,ROW())&amp;""))</f>
        <v/>
      </c>
      <c r="W526" s="8" t="str">
        <f>IF($A526="","",TRIM(INDEX(FORM!$L:$L,ROW())&amp;""))</f>
        <v/>
      </c>
      <c r="X526" s="8" t="str">
        <f>IF($A526="","",TRIM(INDEX(FORM!$M:$M,ROW())&amp;""))</f>
        <v/>
      </c>
      <c r="Y526" s="8" t="str">
        <f>IF($A526="","",IFERROR(MATCH(F526,DATA!$AH$2:$AH$5,0),9)*10000+A526)</f>
        <v/>
      </c>
      <c r="Z526" s="8" t="str">
        <f t="shared" si="177"/>
        <v/>
      </c>
      <c r="AA526" s="8" t="str">
        <f t="shared" si="178"/>
        <v/>
      </c>
      <c r="AB526" s="8" t="str">
        <f t="shared" si="179"/>
        <v/>
      </c>
      <c r="AC526" s="8"/>
      <c r="AD526" s="8"/>
      <c r="AE526" s="8"/>
      <c r="AK526" s="5" t="str">
        <f t="shared" si="180"/>
        <v/>
      </c>
      <c r="AL526" s="5" t="str">
        <f t="shared" si="181"/>
        <v/>
      </c>
      <c r="AM526" s="5" t="str">
        <f t="shared" si="182"/>
        <v/>
      </c>
      <c r="AN526" s="5" t="str">
        <f t="shared" si="183"/>
        <v/>
      </c>
      <c r="AO526" s="5" t="str">
        <f t="shared" si="184"/>
        <v/>
      </c>
      <c r="AP526" s="5" t="str">
        <f t="shared" si="185"/>
        <v/>
      </c>
      <c r="AQ526" s="5" t="str">
        <f t="shared" si="186"/>
        <v/>
      </c>
      <c r="AR526" s="5" t="str">
        <f t="shared" si="187"/>
        <v/>
      </c>
      <c r="AS526" s="5" t="str">
        <f t="shared" si="188"/>
        <v/>
      </c>
      <c r="AT526" s="5" t="str">
        <f t="shared" si="189"/>
        <v/>
      </c>
      <c r="AU526" s="5" t="str">
        <f t="shared" si="190"/>
        <v/>
      </c>
      <c r="AV526" s="5" t="str">
        <f t="shared" si="191"/>
        <v/>
      </c>
      <c r="AW526" s="5" t="str">
        <f t="shared" si="192"/>
        <v/>
      </c>
      <c r="AX526" s="5" t="str">
        <f t="shared" si="193"/>
        <v/>
      </c>
      <c r="AY526" s="5" t="str">
        <f t="shared" si="194"/>
        <v/>
      </c>
      <c r="AZ526" s="5" t="str">
        <f t="shared" si="195"/>
        <v/>
      </c>
      <c r="BA526" s="5" t="str">
        <f t="shared" si="196"/>
        <v/>
      </c>
      <c r="BB526" s="5" t="str">
        <f t="shared" si="197"/>
        <v/>
      </c>
    </row>
    <row r="527" spans="1:54" s="5" customFormat="1" hidden="1">
      <c r="A527" s="8" t="str">
        <f>IF(INDEX(FORM!$A:$A,ROW())="","",ROW()-1)</f>
        <v/>
      </c>
      <c r="B527" s="41" t="str">
        <f>IF($A527="","",INDEX(FORM!$A:$A,ROW()))</f>
        <v/>
      </c>
      <c r="C527" s="8" t="str">
        <f>IF($A527="","",TRIM(INDEX(FORM!$B:$B,ROW())))</f>
        <v/>
      </c>
      <c r="D527" s="8" t="str">
        <f>IF($A527="","",TRIM(INDEX(FORM!$C:$C,ROW())&amp;""))</f>
        <v/>
      </c>
      <c r="E527" s="8" t="str">
        <f>IF($A527="","",UPPER(TRIM(INDEX(FORM!$D:$D,ROW()))))</f>
        <v/>
      </c>
      <c r="F527" s="8" t="str">
        <f>IF($A527="","",IFERROR(INDEX(PROGRES!$A$2:$A$92,MATCH(E527,PROGRES!$B$2:$B$92,0)),"-"))</f>
        <v/>
      </c>
      <c r="G527" s="8" t="str">
        <f>IF($A527="","",UPPER(TRIM(INDEX(FORM!$F:$F,ROW()))))</f>
        <v/>
      </c>
      <c r="H527" s="8" t="str">
        <f>IF($A527="","",UPPER(TRIM(INDEX(FORM!$E:$E,ROW()))))</f>
        <v/>
      </c>
      <c r="I527" s="8" t="str">
        <f>IF($A527="","",UPPER(TRIM(INDEX(FORM!$G:$G,ROW()))))</f>
        <v/>
      </c>
      <c r="J527" s="8" t="str">
        <f>IF($A527="","",IF(ISNUMBER(SEARCH("Ya,",INDEX(FORM!$H:$H,ROW()))),"YA",IF(ISNUMBER(SEARCH("Cukup,",INDEX(FORM!$H:$H,ROW()))),"CUKUP",IF(ISNUMBER(SEARCH("Kurang,",INDEX(FORM!$H:$H,ROW()))),"KURANG",""))))</f>
        <v/>
      </c>
      <c r="K527" s="8" t="str">
        <f>IF($A527="","",UPPER(TRIM(INDEX(FORM!$J:$J,ROW()))))</f>
        <v/>
      </c>
      <c r="L527" s="8" t="str">
        <f>IF($A527="","",IF(ISNUMBER(SEARCH("Aktivitas Harian",INDEX(FORM!$K:$K,ROW()))),1,0))</f>
        <v/>
      </c>
      <c r="M527" s="8" t="str">
        <f>IF($A527="","",IF(ISNUMBER(SEARCH("Aktivitas Mingguan",INDEX(FORM!$K:$K,ROW()))),1,0))</f>
        <v/>
      </c>
      <c r="N527" s="8" t="str">
        <f>IF($A527="","",IF(ISNUMBER(SEARCH("Aktivitas Bulanan",INDEX(FORM!$K:$K,ROW()))),1,0))</f>
        <v/>
      </c>
      <c r="O527" s="8" t="str">
        <f>IF($A527="","",IF(ISNUMBER(SEARCH("Overview Cabang",INDEX(FORM!$K:$K,ROW()))),1,0))</f>
        <v/>
      </c>
      <c r="P527" s="8" t="str">
        <f>IF($A527="","",IFERROR(VLOOKUP(I527,DATA!$AH$9:$AI$13,2,0),""))</f>
        <v/>
      </c>
      <c r="Q527" s="8" t="str">
        <f>IF($A527="","",IFERROR(VLOOKUP(J527,DATA!$AH$9:$AI$13,2,0),""))</f>
        <v/>
      </c>
      <c r="R527" s="8" t="str">
        <f>IF($A527="","",IFERROR(VLOOKUP(K527,DATA!$AH$9:$AI$13,2,0),""))</f>
        <v/>
      </c>
      <c r="S527" s="42" t="str">
        <f t="shared" si="176"/>
        <v/>
      </c>
      <c r="T527" s="8" t="str">
        <f>IF($A527="","",IF(COUNTIF($D$2:D527,D527)=1,1,0))</f>
        <v/>
      </c>
      <c r="U527" s="8" t="str">
        <f>IF($A527="","",IF(F527="-","Cabang tdk ada",IF(IFERROR(VLOOKUP(G527,#REF!,1,0),"")="","",IF(INDEX(DATA!$AH$2:$AH$5,MATCH(G527,DATA!$AI$2:$AI$5,0))&lt;&gt;F527,"Wilayah beda","OK"))))</f>
        <v/>
      </c>
      <c r="V527" s="8" t="str">
        <f>IF($A527="","",TRIM(INDEX(FORM!$I:$I,ROW())&amp;""))</f>
        <v/>
      </c>
      <c r="W527" s="8" t="str">
        <f>IF($A527="","",TRIM(INDEX(FORM!$L:$L,ROW())&amp;""))</f>
        <v/>
      </c>
      <c r="X527" s="8" t="str">
        <f>IF($A527="","",TRIM(INDEX(FORM!$M:$M,ROW())&amp;""))</f>
        <v/>
      </c>
      <c r="Y527" s="8" t="str">
        <f>IF($A527="","",IFERROR(MATCH(F527,DATA!$AH$2:$AH$5,0),9)*10000+A527)</f>
        <v/>
      </c>
      <c r="Z527" s="8" t="str">
        <f t="shared" si="177"/>
        <v/>
      </c>
      <c r="AA527" s="8" t="str">
        <f t="shared" si="178"/>
        <v/>
      </c>
      <c r="AB527" s="8" t="str">
        <f t="shared" si="179"/>
        <v/>
      </c>
      <c r="AC527" s="8"/>
      <c r="AD527" s="8"/>
      <c r="AE527" s="8"/>
      <c r="AK527" s="5" t="str">
        <f t="shared" si="180"/>
        <v/>
      </c>
      <c r="AL527" s="5" t="str">
        <f t="shared" si="181"/>
        <v/>
      </c>
      <c r="AM527" s="5" t="str">
        <f t="shared" si="182"/>
        <v/>
      </c>
      <c r="AN527" s="5" t="str">
        <f t="shared" si="183"/>
        <v/>
      </c>
      <c r="AO527" s="5" t="str">
        <f t="shared" si="184"/>
        <v/>
      </c>
      <c r="AP527" s="5" t="str">
        <f t="shared" si="185"/>
        <v/>
      </c>
      <c r="AQ527" s="5" t="str">
        <f t="shared" si="186"/>
        <v/>
      </c>
      <c r="AR527" s="5" t="str">
        <f t="shared" si="187"/>
        <v/>
      </c>
      <c r="AS527" s="5" t="str">
        <f t="shared" si="188"/>
        <v/>
      </c>
      <c r="AT527" s="5" t="str">
        <f t="shared" si="189"/>
        <v/>
      </c>
      <c r="AU527" s="5" t="str">
        <f t="shared" si="190"/>
        <v/>
      </c>
      <c r="AV527" s="5" t="str">
        <f t="shared" si="191"/>
        <v/>
      </c>
      <c r="AW527" s="5" t="str">
        <f t="shared" si="192"/>
        <v/>
      </c>
      <c r="AX527" s="5" t="str">
        <f t="shared" si="193"/>
        <v/>
      </c>
      <c r="AY527" s="5" t="str">
        <f t="shared" si="194"/>
        <v/>
      </c>
      <c r="AZ527" s="5" t="str">
        <f t="shared" si="195"/>
        <v/>
      </c>
      <c r="BA527" s="5" t="str">
        <f t="shared" si="196"/>
        <v/>
      </c>
      <c r="BB527" s="5" t="str">
        <f t="shared" si="197"/>
        <v/>
      </c>
    </row>
    <row r="528" spans="1:54" s="5" customFormat="1" hidden="1">
      <c r="A528" s="8" t="str">
        <f>IF(INDEX(FORM!$A:$A,ROW())="","",ROW()-1)</f>
        <v/>
      </c>
      <c r="B528" s="41" t="str">
        <f>IF($A528="","",INDEX(FORM!$A:$A,ROW()))</f>
        <v/>
      </c>
      <c r="C528" s="8" t="str">
        <f>IF($A528="","",TRIM(INDEX(FORM!$B:$B,ROW())))</f>
        <v/>
      </c>
      <c r="D528" s="8" t="str">
        <f>IF($A528="","",TRIM(INDEX(FORM!$C:$C,ROW())&amp;""))</f>
        <v/>
      </c>
      <c r="E528" s="8" t="str">
        <f>IF($A528="","",UPPER(TRIM(INDEX(FORM!$D:$D,ROW()))))</f>
        <v/>
      </c>
      <c r="F528" s="8" t="str">
        <f>IF($A528="","",IFERROR(INDEX(PROGRES!$A$2:$A$92,MATCH(E528,PROGRES!$B$2:$B$92,0)),"-"))</f>
        <v/>
      </c>
      <c r="G528" s="8" t="str">
        <f>IF($A528="","",UPPER(TRIM(INDEX(FORM!$F:$F,ROW()))))</f>
        <v/>
      </c>
      <c r="H528" s="8" t="str">
        <f>IF($A528="","",UPPER(TRIM(INDEX(FORM!$E:$E,ROW()))))</f>
        <v/>
      </c>
      <c r="I528" s="8" t="str">
        <f>IF($A528="","",UPPER(TRIM(INDEX(FORM!$G:$G,ROW()))))</f>
        <v/>
      </c>
      <c r="J528" s="8" t="str">
        <f>IF($A528="","",IF(ISNUMBER(SEARCH("Ya,",INDEX(FORM!$H:$H,ROW()))),"YA",IF(ISNUMBER(SEARCH("Cukup,",INDEX(FORM!$H:$H,ROW()))),"CUKUP",IF(ISNUMBER(SEARCH("Kurang,",INDEX(FORM!$H:$H,ROW()))),"KURANG",""))))</f>
        <v/>
      </c>
      <c r="K528" s="8" t="str">
        <f>IF($A528="","",UPPER(TRIM(INDEX(FORM!$J:$J,ROW()))))</f>
        <v/>
      </c>
      <c r="L528" s="8" t="str">
        <f>IF($A528="","",IF(ISNUMBER(SEARCH("Aktivitas Harian",INDEX(FORM!$K:$K,ROW()))),1,0))</f>
        <v/>
      </c>
      <c r="M528" s="8" t="str">
        <f>IF($A528="","",IF(ISNUMBER(SEARCH("Aktivitas Mingguan",INDEX(FORM!$K:$K,ROW()))),1,0))</f>
        <v/>
      </c>
      <c r="N528" s="8" t="str">
        <f>IF($A528="","",IF(ISNUMBER(SEARCH("Aktivitas Bulanan",INDEX(FORM!$K:$K,ROW()))),1,0))</f>
        <v/>
      </c>
      <c r="O528" s="8" t="str">
        <f>IF($A528="","",IF(ISNUMBER(SEARCH("Overview Cabang",INDEX(FORM!$K:$K,ROW()))),1,0))</f>
        <v/>
      </c>
      <c r="P528" s="8" t="str">
        <f>IF($A528="","",IFERROR(VLOOKUP(I528,DATA!$AH$9:$AI$13,2,0),""))</f>
        <v/>
      </c>
      <c r="Q528" s="8" t="str">
        <f>IF($A528="","",IFERROR(VLOOKUP(J528,DATA!$AH$9:$AI$13,2,0),""))</f>
        <v/>
      </c>
      <c r="R528" s="8" t="str">
        <f>IF($A528="","",IFERROR(VLOOKUP(K528,DATA!$AH$9:$AI$13,2,0),""))</f>
        <v/>
      </c>
      <c r="S528" s="42" t="str">
        <f t="shared" si="176"/>
        <v/>
      </c>
      <c r="T528" s="8" t="str">
        <f>IF($A528="","",IF(COUNTIF($D$2:D528,D528)=1,1,0))</f>
        <v/>
      </c>
      <c r="U528" s="8" t="str">
        <f>IF($A528="","",IF(F528="-","Cabang tdk ada",IF(IFERROR(VLOOKUP(G528,#REF!,1,0),"")="","",IF(INDEX(DATA!$AH$2:$AH$5,MATCH(G528,DATA!$AI$2:$AI$5,0))&lt;&gt;F528,"Wilayah beda","OK"))))</f>
        <v/>
      </c>
      <c r="V528" s="8" t="str">
        <f>IF($A528="","",TRIM(INDEX(FORM!$I:$I,ROW())&amp;""))</f>
        <v/>
      </c>
      <c r="W528" s="8" t="str">
        <f>IF($A528="","",TRIM(INDEX(FORM!$L:$L,ROW())&amp;""))</f>
        <v/>
      </c>
      <c r="X528" s="8" t="str">
        <f>IF($A528="","",TRIM(INDEX(FORM!$M:$M,ROW())&amp;""))</f>
        <v/>
      </c>
      <c r="Y528" s="8" t="str">
        <f>IF($A528="","",IFERROR(MATCH(F528,DATA!$AH$2:$AH$5,0),9)*10000+A528)</f>
        <v/>
      </c>
      <c r="Z528" s="8" t="str">
        <f t="shared" si="177"/>
        <v/>
      </c>
      <c r="AA528" s="8" t="str">
        <f t="shared" si="178"/>
        <v/>
      </c>
      <c r="AB528" s="8" t="str">
        <f t="shared" si="179"/>
        <v/>
      </c>
      <c r="AC528" s="8"/>
      <c r="AD528" s="8"/>
      <c r="AE528" s="8"/>
      <c r="AK528" s="5" t="str">
        <f t="shared" si="180"/>
        <v/>
      </c>
      <c r="AL528" s="5" t="str">
        <f t="shared" si="181"/>
        <v/>
      </c>
      <c r="AM528" s="5" t="str">
        <f t="shared" si="182"/>
        <v/>
      </c>
      <c r="AN528" s="5" t="str">
        <f t="shared" si="183"/>
        <v/>
      </c>
      <c r="AO528" s="5" t="str">
        <f t="shared" si="184"/>
        <v/>
      </c>
      <c r="AP528" s="5" t="str">
        <f t="shared" si="185"/>
        <v/>
      </c>
      <c r="AQ528" s="5" t="str">
        <f t="shared" si="186"/>
        <v/>
      </c>
      <c r="AR528" s="5" t="str">
        <f t="shared" si="187"/>
        <v/>
      </c>
      <c r="AS528" s="5" t="str">
        <f t="shared" si="188"/>
        <v/>
      </c>
      <c r="AT528" s="5" t="str">
        <f t="shared" si="189"/>
        <v/>
      </c>
      <c r="AU528" s="5" t="str">
        <f t="shared" si="190"/>
        <v/>
      </c>
      <c r="AV528" s="5" t="str">
        <f t="shared" si="191"/>
        <v/>
      </c>
      <c r="AW528" s="5" t="str">
        <f t="shared" si="192"/>
        <v/>
      </c>
      <c r="AX528" s="5" t="str">
        <f t="shared" si="193"/>
        <v/>
      </c>
      <c r="AY528" s="5" t="str">
        <f t="shared" si="194"/>
        <v/>
      </c>
      <c r="AZ528" s="5" t="str">
        <f t="shared" si="195"/>
        <v/>
      </c>
      <c r="BA528" s="5" t="str">
        <f t="shared" si="196"/>
        <v/>
      </c>
      <c r="BB528" s="5" t="str">
        <f t="shared" si="197"/>
        <v/>
      </c>
    </row>
    <row r="529" spans="1:54" s="5" customFormat="1" hidden="1">
      <c r="A529" s="8" t="str">
        <f>IF(INDEX(FORM!$A:$A,ROW())="","",ROW()-1)</f>
        <v/>
      </c>
      <c r="B529" s="41" t="str">
        <f>IF($A529="","",INDEX(FORM!$A:$A,ROW()))</f>
        <v/>
      </c>
      <c r="C529" s="8" t="str">
        <f>IF($A529="","",TRIM(INDEX(FORM!$B:$B,ROW())))</f>
        <v/>
      </c>
      <c r="D529" s="8" t="str">
        <f>IF($A529="","",TRIM(INDEX(FORM!$C:$C,ROW())&amp;""))</f>
        <v/>
      </c>
      <c r="E529" s="8" t="str">
        <f>IF($A529="","",UPPER(TRIM(INDEX(FORM!$D:$D,ROW()))))</f>
        <v/>
      </c>
      <c r="F529" s="8" t="str">
        <f>IF($A529="","",IFERROR(INDEX(PROGRES!$A$2:$A$92,MATCH(E529,PROGRES!$B$2:$B$92,0)),"-"))</f>
        <v/>
      </c>
      <c r="G529" s="8" t="str">
        <f>IF($A529="","",UPPER(TRIM(INDEX(FORM!$F:$F,ROW()))))</f>
        <v/>
      </c>
      <c r="H529" s="8" t="str">
        <f>IF($A529="","",UPPER(TRIM(INDEX(FORM!$E:$E,ROW()))))</f>
        <v/>
      </c>
      <c r="I529" s="8" t="str">
        <f>IF($A529="","",UPPER(TRIM(INDEX(FORM!$G:$G,ROW()))))</f>
        <v/>
      </c>
      <c r="J529" s="8" t="str">
        <f>IF($A529="","",IF(ISNUMBER(SEARCH("Ya,",INDEX(FORM!$H:$H,ROW()))),"YA",IF(ISNUMBER(SEARCH("Cukup,",INDEX(FORM!$H:$H,ROW()))),"CUKUP",IF(ISNUMBER(SEARCH("Kurang,",INDEX(FORM!$H:$H,ROW()))),"KURANG",""))))</f>
        <v/>
      </c>
      <c r="K529" s="8" t="str">
        <f>IF($A529="","",UPPER(TRIM(INDEX(FORM!$J:$J,ROW()))))</f>
        <v/>
      </c>
      <c r="L529" s="8" t="str">
        <f>IF($A529="","",IF(ISNUMBER(SEARCH("Aktivitas Harian",INDEX(FORM!$K:$K,ROW()))),1,0))</f>
        <v/>
      </c>
      <c r="M529" s="8" t="str">
        <f>IF($A529="","",IF(ISNUMBER(SEARCH("Aktivitas Mingguan",INDEX(FORM!$K:$K,ROW()))),1,0))</f>
        <v/>
      </c>
      <c r="N529" s="8" t="str">
        <f>IF($A529="","",IF(ISNUMBER(SEARCH("Aktivitas Bulanan",INDEX(FORM!$K:$K,ROW()))),1,0))</f>
        <v/>
      </c>
      <c r="O529" s="8" t="str">
        <f>IF($A529="","",IF(ISNUMBER(SEARCH("Overview Cabang",INDEX(FORM!$K:$K,ROW()))),1,0))</f>
        <v/>
      </c>
      <c r="P529" s="8" t="str">
        <f>IF($A529="","",IFERROR(VLOOKUP(I529,DATA!$AH$9:$AI$13,2,0),""))</f>
        <v/>
      </c>
      <c r="Q529" s="8" t="str">
        <f>IF($A529="","",IFERROR(VLOOKUP(J529,DATA!$AH$9:$AI$13,2,0),""))</f>
        <v/>
      </c>
      <c r="R529" s="8" t="str">
        <f>IF($A529="","",IFERROR(VLOOKUP(K529,DATA!$AH$9:$AI$13,2,0),""))</f>
        <v/>
      </c>
      <c r="S529" s="42" t="str">
        <f t="shared" si="176"/>
        <v/>
      </c>
      <c r="T529" s="8" t="str">
        <f>IF($A529="","",IF(COUNTIF($D$2:D529,D529)=1,1,0))</f>
        <v/>
      </c>
      <c r="U529" s="8" t="str">
        <f>IF($A529="","",IF(F529="-","Cabang tdk ada",IF(IFERROR(VLOOKUP(G529,#REF!,1,0),"")="","",IF(INDEX(DATA!$AH$2:$AH$5,MATCH(G529,DATA!$AI$2:$AI$5,0))&lt;&gt;F529,"Wilayah beda","OK"))))</f>
        <v/>
      </c>
      <c r="V529" s="8" t="str">
        <f>IF($A529="","",TRIM(INDEX(FORM!$I:$I,ROW())&amp;""))</f>
        <v/>
      </c>
      <c r="W529" s="8" t="str">
        <f>IF($A529="","",TRIM(INDEX(FORM!$L:$L,ROW())&amp;""))</f>
        <v/>
      </c>
      <c r="X529" s="8" t="str">
        <f>IF($A529="","",TRIM(INDEX(FORM!$M:$M,ROW())&amp;""))</f>
        <v/>
      </c>
      <c r="Y529" s="8" t="str">
        <f>IF($A529="","",IFERROR(MATCH(F529,DATA!$AH$2:$AH$5,0),9)*10000+A529)</f>
        <v/>
      </c>
      <c r="Z529" s="8" t="str">
        <f t="shared" si="177"/>
        <v/>
      </c>
      <c r="AA529" s="8" t="str">
        <f t="shared" si="178"/>
        <v/>
      </c>
      <c r="AB529" s="8" t="str">
        <f t="shared" si="179"/>
        <v/>
      </c>
      <c r="AC529" s="8"/>
      <c r="AD529" s="8"/>
      <c r="AE529" s="8"/>
      <c r="AK529" s="5" t="str">
        <f t="shared" si="180"/>
        <v/>
      </c>
      <c r="AL529" s="5" t="str">
        <f t="shared" si="181"/>
        <v/>
      </c>
      <c r="AM529" s="5" t="str">
        <f t="shared" si="182"/>
        <v/>
      </c>
      <c r="AN529" s="5" t="str">
        <f t="shared" si="183"/>
        <v/>
      </c>
      <c r="AO529" s="5" t="str">
        <f t="shared" si="184"/>
        <v/>
      </c>
      <c r="AP529" s="5" t="str">
        <f t="shared" si="185"/>
        <v/>
      </c>
      <c r="AQ529" s="5" t="str">
        <f t="shared" si="186"/>
        <v/>
      </c>
      <c r="AR529" s="5" t="str">
        <f t="shared" si="187"/>
        <v/>
      </c>
      <c r="AS529" s="5" t="str">
        <f t="shared" si="188"/>
        <v/>
      </c>
      <c r="AT529" s="5" t="str">
        <f t="shared" si="189"/>
        <v/>
      </c>
      <c r="AU529" s="5" t="str">
        <f t="shared" si="190"/>
        <v/>
      </c>
      <c r="AV529" s="5" t="str">
        <f t="shared" si="191"/>
        <v/>
      </c>
      <c r="AW529" s="5" t="str">
        <f t="shared" si="192"/>
        <v/>
      </c>
      <c r="AX529" s="5" t="str">
        <f t="shared" si="193"/>
        <v/>
      </c>
      <c r="AY529" s="5" t="str">
        <f t="shared" si="194"/>
        <v/>
      </c>
      <c r="AZ529" s="5" t="str">
        <f t="shared" si="195"/>
        <v/>
      </c>
      <c r="BA529" s="5" t="str">
        <f t="shared" si="196"/>
        <v/>
      </c>
      <c r="BB529" s="5" t="str">
        <f t="shared" si="197"/>
        <v/>
      </c>
    </row>
    <row r="530" spans="1:54" s="5" customFormat="1" hidden="1">
      <c r="A530" s="8" t="str">
        <f>IF(INDEX(FORM!$A:$A,ROW())="","",ROW()-1)</f>
        <v/>
      </c>
      <c r="B530" s="41" t="str">
        <f>IF($A530="","",INDEX(FORM!$A:$A,ROW()))</f>
        <v/>
      </c>
      <c r="C530" s="8" t="str">
        <f>IF($A530="","",TRIM(INDEX(FORM!$B:$B,ROW())))</f>
        <v/>
      </c>
      <c r="D530" s="8" t="str">
        <f>IF($A530="","",TRIM(INDEX(FORM!$C:$C,ROW())&amp;""))</f>
        <v/>
      </c>
      <c r="E530" s="8" t="str">
        <f>IF($A530="","",UPPER(TRIM(INDEX(FORM!$D:$D,ROW()))))</f>
        <v/>
      </c>
      <c r="F530" s="8" t="str">
        <f>IF($A530="","",IFERROR(INDEX(PROGRES!$A$2:$A$92,MATCH(E530,PROGRES!$B$2:$B$92,0)),"-"))</f>
        <v/>
      </c>
      <c r="G530" s="8" t="str">
        <f>IF($A530="","",UPPER(TRIM(INDEX(FORM!$F:$F,ROW()))))</f>
        <v/>
      </c>
      <c r="H530" s="8" t="str">
        <f>IF($A530="","",UPPER(TRIM(INDEX(FORM!$E:$E,ROW()))))</f>
        <v/>
      </c>
      <c r="I530" s="8" t="str">
        <f>IF($A530="","",UPPER(TRIM(INDEX(FORM!$G:$G,ROW()))))</f>
        <v/>
      </c>
      <c r="J530" s="8" t="str">
        <f>IF($A530="","",IF(ISNUMBER(SEARCH("Ya,",INDEX(FORM!$H:$H,ROW()))),"YA",IF(ISNUMBER(SEARCH("Cukup,",INDEX(FORM!$H:$H,ROW()))),"CUKUP",IF(ISNUMBER(SEARCH("Kurang,",INDEX(FORM!$H:$H,ROW()))),"KURANG",""))))</f>
        <v/>
      </c>
      <c r="K530" s="8" t="str">
        <f>IF($A530="","",UPPER(TRIM(INDEX(FORM!$J:$J,ROW()))))</f>
        <v/>
      </c>
      <c r="L530" s="8" t="str">
        <f>IF($A530="","",IF(ISNUMBER(SEARCH("Aktivitas Harian",INDEX(FORM!$K:$K,ROW()))),1,0))</f>
        <v/>
      </c>
      <c r="M530" s="8" t="str">
        <f>IF($A530="","",IF(ISNUMBER(SEARCH("Aktivitas Mingguan",INDEX(FORM!$K:$K,ROW()))),1,0))</f>
        <v/>
      </c>
      <c r="N530" s="8" t="str">
        <f>IF($A530="","",IF(ISNUMBER(SEARCH("Aktivitas Bulanan",INDEX(FORM!$K:$K,ROW()))),1,0))</f>
        <v/>
      </c>
      <c r="O530" s="8" t="str">
        <f>IF($A530="","",IF(ISNUMBER(SEARCH("Overview Cabang",INDEX(FORM!$K:$K,ROW()))),1,0))</f>
        <v/>
      </c>
      <c r="P530" s="8" t="str">
        <f>IF($A530="","",IFERROR(VLOOKUP(I530,DATA!$AH$9:$AI$13,2,0),""))</f>
        <v/>
      </c>
      <c r="Q530" s="8" t="str">
        <f>IF($A530="","",IFERROR(VLOOKUP(J530,DATA!$AH$9:$AI$13,2,0),""))</f>
        <v/>
      </c>
      <c r="R530" s="8" t="str">
        <f>IF($A530="","",IFERROR(VLOOKUP(K530,DATA!$AH$9:$AI$13,2,0),""))</f>
        <v/>
      </c>
      <c r="S530" s="42" t="str">
        <f t="shared" si="176"/>
        <v/>
      </c>
      <c r="T530" s="8" t="str">
        <f>IF($A530="","",IF(COUNTIF($D$2:D530,D530)=1,1,0))</f>
        <v/>
      </c>
      <c r="U530" s="8" t="str">
        <f>IF($A530="","",IF(F530="-","Cabang tdk ada",IF(IFERROR(VLOOKUP(G530,#REF!,1,0),"")="","",IF(INDEX(DATA!$AH$2:$AH$5,MATCH(G530,DATA!$AI$2:$AI$5,0))&lt;&gt;F530,"Wilayah beda","OK"))))</f>
        <v/>
      </c>
      <c r="V530" s="8" t="str">
        <f>IF($A530="","",TRIM(INDEX(FORM!$I:$I,ROW())&amp;""))</f>
        <v/>
      </c>
      <c r="W530" s="8" t="str">
        <f>IF($A530="","",TRIM(INDEX(FORM!$L:$L,ROW())&amp;""))</f>
        <v/>
      </c>
      <c r="X530" s="8" t="str">
        <f>IF($A530="","",TRIM(INDEX(FORM!$M:$M,ROW())&amp;""))</f>
        <v/>
      </c>
      <c r="Y530" s="8" t="str">
        <f>IF($A530="","",IFERROR(MATCH(F530,DATA!$AH$2:$AH$5,0),9)*10000+A530)</f>
        <v/>
      </c>
      <c r="Z530" s="8" t="str">
        <f t="shared" si="177"/>
        <v/>
      </c>
      <c r="AA530" s="8" t="str">
        <f t="shared" si="178"/>
        <v/>
      </c>
      <c r="AB530" s="8" t="str">
        <f t="shared" si="179"/>
        <v/>
      </c>
      <c r="AC530" s="8"/>
      <c r="AD530" s="8"/>
      <c r="AE530" s="8"/>
      <c r="AK530" s="5" t="str">
        <f t="shared" si="180"/>
        <v/>
      </c>
      <c r="AL530" s="5" t="str">
        <f t="shared" si="181"/>
        <v/>
      </c>
      <c r="AM530" s="5" t="str">
        <f t="shared" si="182"/>
        <v/>
      </c>
      <c r="AN530" s="5" t="str">
        <f t="shared" si="183"/>
        <v/>
      </c>
      <c r="AO530" s="5" t="str">
        <f t="shared" si="184"/>
        <v/>
      </c>
      <c r="AP530" s="5" t="str">
        <f t="shared" si="185"/>
        <v/>
      </c>
      <c r="AQ530" s="5" t="str">
        <f t="shared" si="186"/>
        <v/>
      </c>
      <c r="AR530" s="5" t="str">
        <f t="shared" si="187"/>
        <v/>
      </c>
      <c r="AS530" s="5" t="str">
        <f t="shared" si="188"/>
        <v/>
      </c>
      <c r="AT530" s="5" t="str">
        <f t="shared" si="189"/>
        <v/>
      </c>
      <c r="AU530" s="5" t="str">
        <f t="shared" si="190"/>
        <v/>
      </c>
      <c r="AV530" s="5" t="str">
        <f t="shared" si="191"/>
        <v/>
      </c>
      <c r="AW530" s="5" t="str">
        <f t="shared" si="192"/>
        <v/>
      </c>
      <c r="AX530" s="5" t="str">
        <f t="shared" si="193"/>
        <v/>
      </c>
      <c r="AY530" s="5" t="str">
        <f t="shared" si="194"/>
        <v/>
      </c>
      <c r="AZ530" s="5" t="str">
        <f t="shared" si="195"/>
        <v/>
      </c>
      <c r="BA530" s="5" t="str">
        <f t="shared" si="196"/>
        <v/>
      </c>
      <c r="BB530" s="5" t="str">
        <f t="shared" si="197"/>
        <v/>
      </c>
    </row>
    <row r="531" spans="1:54" s="5" customFormat="1" hidden="1">
      <c r="A531" s="8" t="str">
        <f>IF(INDEX(FORM!$A:$A,ROW())="","",ROW()-1)</f>
        <v/>
      </c>
      <c r="B531" s="41" t="str">
        <f>IF($A531="","",INDEX(FORM!$A:$A,ROW()))</f>
        <v/>
      </c>
      <c r="C531" s="8" t="str">
        <f>IF($A531="","",TRIM(INDEX(FORM!$B:$B,ROW())))</f>
        <v/>
      </c>
      <c r="D531" s="8" t="str">
        <f>IF($A531="","",TRIM(INDEX(FORM!$C:$C,ROW())&amp;""))</f>
        <v/>
      </c>
      <c r="E531" s="8" t="str">
        <f>IF($A531="","",UPPER(TRIM(INDEX(FORM!$D:$D,ROW()))))</f>
        <v/>
      </c>
      <c r="F531" s="8" t="str">
        <f>IF($A531="","",IFERROR(INDEX(PROGRES!$A$2:$A$92,MATCH(E531,PROGRES!$B$2:$B$92,0)),"-"))</f>
        <v/>
      </c>
      <c r="G531" s="8" t="str">
        <f>IF($A531="","",UPPER(TRIM(INDEX(FORM!$F:$F,ROW()))))</f>
        <v/>
      </c>
      <c r="H531" s="8" t="str">
        <f>IF($A531="","",UPPER(TRIM(INDEX(FORM!$E:$E,ROW()))))</f>
        <v/>
      </c>
      <c r="I531" s="8" t="str">
        <f>IF($A531="","",UPPER(TRIM(INDEX(FORM!$G:$G,ROW()))))</f>
        <v/>
      </c>
      <c r="J531" s="8" t="str">
        <f>IF($A531="","",IF(ISNUMBER(SEARCH("Ya,",INDEX(FORM!$H:$H,ROW()))),"YA",IF(ISNUMBER(SEARCH("Cukup,",INDEX(FORM!$H:$H,ROW()))),"CUKUP",IF(ISNUMBER(SEARCH("Kurang,",INDEX(FORM!$H:$H,ROW()))),"KURANG",""))))</f>
        <v/>
      </c>
      <c r="K531" s="8" t="str">
        <f>IF($A531="","",UPPER(TRIM(INDEX(FORM!$J:$J,ROW()))))</f>
        <v/>
      </c>
      <c r="L531" s="8" t="str">
        <f>IF($A531="","",IF(ISNUMBER(SEARCH("Aktivitas Harian",INDEX(FORM!$K:$K,ROW()))),1,0))</f>
        <v/>
      </c>
      <c r="M531" s="8" t="str">
        <f>IF($A531="","",IF(ISNUMBER(SEARCH("Aktivitas Mingguan",INDEX(FORM!$K:$K,ROW()))),1,0))</f>
        <v/>
      </c>
      <c r="N531" s="8" t="str">
        <f>IF($A531="","",IF(ISNUMBER(SEARCH("Aktivitas Bulanan",INDEX(FORM!$K:$K,ROW()))),1,0))</f>
        <v/>
      </c>
      <c r="O531" s="8" t="str">
        <f>IF($A531="","",IF(ISNUMBER(SEARCH("Overview Cabang",INDEX(FORM!$K:$K,ROW()))),1,0))</f>
        <v/>
      </c>
      <c r="P531" s="8" t="str">
        <f>IF($A531="","",IFERROR(VLOOKUP(I531,DATA!$AH$9:$AI$13,2,0),""))</f>
        <v/>
      </c>
      <c r="Q531" s="8" t="str">
        <f>IF($A531="","",IFERROR(VLOOKUP(J531,DATA!$AH$9:$AI$13,2,0),""))</f>
        <v/>
      </c>
      <c r="R531" s="8" t="str">
        <f>IF($A531="","",IFERROR(VLOOKUP(K531,DATA!$AH$9:$AI$13,2,0),""))</f>
        <v/>
      </c>
      <c r="S531" s="42" t="str">
        <f t="shared" si="176"/>
        <v/>
      </c>
      <c r="T531" s="8" t="str">
        <f>IF($A531="","",IF(COUNTIF($D$2:D531,D531)=1,1,0))</f>
        <v/>
      </c>
      <c r="U531" s="8" t="str">
        <f>IF($A531="","",IF(F531="-","Cabang tdk ada",IF(IFERROR(VLOOKUP(G531,#REF!,1,0),"")="","",IF(INDEX(DATA!$AH$2:$AH$5,MATCH(G531,DATA!$AI$2:$AI$5,0))&lt;&gt;F531,"Wilayah beda","OK"))))</f>
        <v/>
      </c>
      <c r="V531" s="8" t="str">
        <f>IF($A531="","",TRIM(INDEX(FORM!$I:$I,ROW())&amp;""))</f>
        <v/>
      </c>
      <c r="W531" s="8" t="str">
        <f>IF($A531="","",TRIM(INDEX(FORM!$L:$L,ROW())&amp;""))</f>
        <v/>
      </c>
      <c r="X531" s="8" t="str">
        <f>IF($A531="","",TRIM(INDEX(FORM!$M:$M,ROW())&amp;""))</f>
        <v/>
      </c>
      <c r="Y531" s="8" t="str">
        <f>IF($A531="","",IFERROR(MATCH(F531,DATA!$AH$2:$AH$5,0),9)*10000+A531)</f>
        <v/>
      </c>
      <c r="Z531" s="8" t="str">
        <f t="shared" si="177"/>
        <v/>
      </c>
      <c r="AA531" s="8" t="str">
        <f t="shared" si="178"/>
        <v/>
      </c>
      <c r="AB531" s="8" t="str">
        <f t="shared" si="179"/>
        <v/>
      </c>
      <c r="AC531" s="8"/>
      <c r="AD531" s="8"/>
      <c r="AE531" s="8"/>
      <c r="AK531" s="5" t="str">
        <f t="shared" si="180"/>
        <v/>
      </c>
      <c r="AL531" s="5" t="str">
        <f t="shared" si="181"/>
        <v/>
      </c>
      <c r="AM531" s="5" t="str">
        <f t="shared" si="182"/>
        <v/>
      </c>
      <c r="AN531" s="5" t="str">
        <f t="shared" si="183"/>
        <v/>
      </c>
      <c r="AO531" s="5" t="str">
        <f t="shared" si="184"/>
        <v/>
      </c>
      <c r="AP531" s="5" t="str">
        <f t="shared" si="185"/>
        <v/>
      </c>
      <c r="AQ531" s="5" t="str">
        <f t="shared" si="186"/>
        <v/>
      </c>
      <c r="AR531" s="5" t="str">
        <f t="shared" si="187"/>
        <v/>
      </c>
      <c r="AS531" s="5" t="str">
        <f t="shared" si="188"/>
        <v/>
      </c>
      <c r="AT531" s="5" t="str">
        <f t="shared" si="189"/>
        <v/>
      </c>
      <c r="AU531" s="5" t="str">
        <f t="shared" si="190"/>
        <v/>
      </c>
      <c r="AV531" s="5" t="str">
        <f t="shared" si="191"/>
        <v/>
      </c>
      <c r="AW531" s="5" t="str">
        <f t="shared" si="192"/>
        <v/>
      </c>
      <c r="AX531" s="5" t="str">
        <f t="shared" si="193"/>
        <v/>
      </c>
      <c r="AY531" s="5" t="str">
        <f t="shared" si="194"/>
        <v/>
      </c>
      <c r="AZ531" s="5" t="str">
        <f t="shared" si="195"/>
        <v/>
      </c>
      <c r="BA531" s="5" t="str">
        <f t="shared" si="196"/>
        <v/>
      </c>
      <c r="BB531" s="5" t="str">
        <f t="shared" si="197"/>
        <v/>
      </c>
    </row>
    <row r="532" spans="1:54" s="5" customFormat="1" hidden="1">
      <c r="A532" s="8" t="str">
        <f>IF(INDEX(FORM!$A:$A,ROW())="","",ROW()-1)</f>
        <v/>
      </c>
      <c r="B532" s="41" t="str">
        <f>IF($A532="","",INDEX(FORM!$A:$A,ROW()))</f>
        <v/>
      </c>
      <c r="C532" s="8" t="str">
        <f>IF($A532="","",TRIM(INDEX(FORM!$B:$B,ROW())))</f>
        <v/>
      </c>
      <c r="D532" s="8" t="str">
        <f>IF($A532="","",TRIM(INDEX(FORM!$C:$C,ROW())&amp;""))</f>
        <v/>
      </c>
      <c r="E532" s="8" t="str">
        <f>IF($A532="","",UPPER(TRIM(INDEX(FORM!$D:$D,ROW()))))</f>
        <v/>
      </c>
      <c r="F532" s="8" t="str">
        <f>IF($A532="","",IFERROR(INDEX(PROGRES!$A$2:$A$92,MATCH(E532,PROGRES!$B$2:$B$92,0)),"-"))</f>
        <v/>
      </c>
      <c r="G532" s="8" t="str">
        <f>IF($A532="","",UPPER(TRIM(INDEX(FORM!$F:$F,ROW()))))</f>
        <v/>
      </c>
      <c r="H532" s="8" t="str">
        <f>IF($A532="","",UPPER(TRIM(INDEX(FORM!$E:$E,ROW()))))</f>
        <v/>
      </c>
      <c r="I532" s="8" t="str">
        <f>IF($A532="","",UPPER(TRIM(INDEX(FORM!$G:$G,ROW()))))</f>
        <v/>
      </c>
      <c r="J532" s="8" t="str">
        <f>IF($A532="","",IF(ISNUMBER(SEARCH("Ya,",INDEX(FORM!$H:$H,ROW()))),"YA",IF(ISNUMBER(SEARCH("Cukup,",INDEX(FORM!$H:$H,ROW()))),"CUKUP",IF(ISNUMBER(SEARCH("Kurang,",INDEX(FORM!$H:$H,ROW()))),"KURANG",""))))</f>
        <v/>
      </c>
      <c r="K532" s="8" t="str">
        <f>IF($A532="","",UPPER(TRIM(INDEX(FORM!$J:$J,ROW()))))</f>
        <v/>
      </c>
      <c r="L532" s="8" t="str">
        <f>IF($A532="","",IF(ISNUMBER(SEARCH("Aktivitas Harian",INDEX(FORM!$K:$K,ROW()))),1,0))</f>
        <v/>
      </c>
      <c r="M532" s="8" t="str">
        <f>IF($A532="","",IF(ISNUMBER(SEARCH("Aktivitas Mingguan",INDEX(FORM!$K:$K,ROW()))),1,0))</f>
        <v/>
      </c>
      <c r="N532" s="8" t="str">
        <f>IF($A532="","",IF(ISNUMBER(SEARCH("Aktivitas Bulanan",INDEX(FORM!$K:$K,ROW()))),1,0))</f>
        <v/>
      </c>
      <c r="O532" s="8" t="str">
        <f>IF($A532="","",IF(ISNUMBER(SEARCH("Overview Cabang",INDEX(FORM!$K:$K,ROW()))),1,0))</f>
        <v/>
      </c>
      <c r="P532" s="8" t="str">
        <f>IF($A532="","",IFERROR(VLOOKUP(I532,DATA!$AH$9:$AI$13,2,0),""))</f>
        <v/>
      </c>
      <c r="Q532" s="8" t="str">
        <f>IF($A532="","",IFERROR(VLOOKUP(J532,DATA!$AH$9:$AI$13,2,0),""))</f>
        <v/>
      </c>
      <c r="R532" s="8" t="str">
        <f>IF($A532="","",IFERROR(VLOOKUP(K532,DATA!$AH$9:$AI$13,2,0),""))</f>
        <v/>
      </c>
      <c r="S532" s="42" t="str">
        <f t="shared" si="176"/>
        <v/>
      </c>
      <c r="T532" s="8" t="str">
        <f>IF($A532="","",IF(COUNTIF($D$2:D532,D532)=1,1,0))</f>
        <v/>
      </c>
      <c r="U532" s="8" t="str">
        <f>IF($A532="","",IF(F532="-","Cabang tdk ada",IF(IFERROR(VLOOKUP(G532,#REF!,1,0),"")="","",IF(INDEX(DATA!$AH$2:$AH$5,MATCH(G532,DATA!$AI$2:$AI$5,0))&lt;&gt;F532,"Wilayah beda","OK"))))</f>
        <v/>
      </c>
      <c r="V532" s="8" t="str">
        <f>IF($A532="","",TRIM(INDEX(FORM!$I:$I,ROW())&amp;""))</f>
        <v/>
      </c>
      <c r="W532" s="8" t="str">
        <f>IF($A532="","",TRIM(INDEX(FORM!$L:$L,ROW())&amp;""))</f>
        <v/>
      </c>
      <c r="X532" s="8" t="str">
        <f>IF($A532="","",TRIM(INDEX(FORM!$M:$M,ROW())&amp;""))</f>
        <v/>
      </c>
      <c r="Y532" s="8" t="str">
        <f>IF($A532="","",IFERROR(MATCH(F532,DATA!$AH$2:$AH$5,0),9)*10000+A532)</f>
        <v/>
      </c>
      <c r="Z532" s="8" t="str">
        <f t="shared" si="177"/>
        <v/>
      </c>
      <c r="AA532" s="8" t="str">
        <f t="shared" si="178"/>
        <v/>
      </c>
      <c r="AB532" s="8" t="str">
        <f t="shared" si="179"/>
        <v/>
      </c>
      <c r="AC532" s="8"/>
      <c r="AD532" s="8"/>
      <c r="AE532" s="8"/>
      <c r="AK532" s="5" t="str">
        <f t="shared" si="180"/>
        <v/>
      </c>
      <c r="AL532" s="5" t="str">
        <f t="shared" si="181"/>
        <v/>
      </c>
      <c r="AM532" s="5" t="str">
        <f t="shared" si="182"/>
        <v/>
      </c>
      <c r="AN532" s="5" t="str">
        <f t="shared" si="183"/>
        <v/>
      </c>
      <c r="AO532" s="5" t="str">
        <f t="shared" si="184"/>
        <v/>
      </c>
      <c r="AP532" s="5" t="str">
        <f t="shared" si="185"/>
        <v/>
      </c>
      <c r="AQ532" s="5" t="str">
        <f t="shared" si="186"/>
        <v/>
      </c>
      <c r="AR532" s="5" t="str">
        <f t="shared" si="187"/>
        <v/>
      </c>
      <c r="AS532" s="5" t="str">
        <f t="shared" si="188"/>
        <v/>
      </c>
      <c r="AT532" s="5" t="str">
        <f t="shared" si="189"/>
        <v/>
      </c>
      <c r="AU532" s="5" t="str">
        <f t="shared" si="190"/>
        <v/>
      </c>
      <c r="AV532" s="5" t="str">
        <f t="shared" si="191"/>
        <v/>
      </c>
      <c r="AW532" s="5" t="str">
        <f t="shared" si="192"/>
        <v/>
      </c>
      <c r="AX532" s="5" t="str">
        <f t="shared" si="193"/>
        <v/>
      </c>
      <c r="AY532" s="5" t="str">
        <f t="shared" si="194"/>
        <v/>
      </c>
      <c r="AZ532" s="5" t="str">
        <f t="shared" si="195"/>
        <v/>
      </c>
      <c r="BA532" s="5" t="str">
        <f t="shared" si="196"/>
        <v/>
      </c>
      <c r="BB532" s="5" t="str">
        <f t="shared" si="197"/>
        <v/>
      </c>
    </row>
    <row r="533" spans="1:54" s="5" customFormat="1" hidden="1">
      <c r="A533" s="8" t="str">
        <f>IF(INDEX(FORM!$A:$A,ROW())="","",ROW()-1)</f>
        <v/>
      </c>
      <c r="B533" s="41" t="str">
        <f>IF($A533="","",INDEX(FORM!$A:$A,ROW()))</f>
        <v/>
      </c>
      <c r="C533" s="8" t="str">
        <f>IF($A533="","",TRIM(INDEX(FORM!$B:$B,ROW())))</f>
        <v/>
      </c>
      <c r="D533" s="8" t="str">
        <f>IF($A533="","",TRIM(INDEX(FORM!$C:$C,ROW())&amp;""))</f>
        <v/>
      </c>
      <c r="E533" s="8" t="str">
        <f>IF($A533="","",UPPER(TRIM(INDEX(FORM!$D:$D,ROW()))))</f>
        <v/>
      </c>
      <c r="F533" s="8" t="str">
        <f>IF($A533="","",IFERROR(INDEX(PROGRES!$A$2:$A$92,MATCH(E533,PROGRES!$B$2:$B$92,0)),"-"))</f>
        <v/>
      </c>
      <c r="G533" s="8" t="str">
        <f>IF($A533="","",UPPER(TRIM(INDEX(FORM!$F:$F,ROW()))))</f>
        <v/>
      </c>
      <c r="H533" s="8" t="str">
        <f>IF($A533="","",UPPER(TRIM(INDEX(FORM!$E:$E,ROW()))))</f>
        <v/>
      </c>
      <c r="I533" s="8" t="str">
        <f>IF($A533="","",UPPER(TRIM(INDEX(FORM!$G:$G,ROW()))))</f>
        <v/>
      </c>
      <c r="J533" s="8" t="str">
        <f>IF($A533="","",IF(ISNUMBER(SEARCH("Ya,",INDEX(FORM!$H:$H,ROW()))),"YA",IF(ISNUMBER(SEARCH("Cukup,",INDEX(FORM!$H:$H,ROW()))),"CUKUP",IF(ISNUMBER(SEARCH("Kurang,",INDEX(FORM!$H:$H,ROW()))),"KURANG",""))))</f>
        <v/>
      </c>
      <c r="K533" s="8" t="str">
        <f>IF($A533="","",UPPER(TRIM(INDEX(FORM!$J:$J,ROW()))))</f>
        <v/>
      </c>
      <c r="L533" s="8" t="str">
        <f>IF($A533="","",IF(ISNUMBER(SEARCH("Aktivitas Harian",INDEX(FORM!$K:$K,ROW()))),1,0))</f>
        <v/>
      </c>
      <c r="M533" s="8" t="str">
        <f>IF($A533="","",IF(ISNUMBER(SEARCH("Aktivitas Mingguan",INDEX(FORM!$K:$K,ROW()))),1,0))</f>
        <v/>
      </c>
      <c r="N533" s="8" t="str">
        <f>IF($A533="","",IF(ISNUMBER(SEARCH("Aktivitas Bulanan",INDEX(FORM!$K:$K,ROW()))),1,0))</f>
        <v/>
      </c>
      <c r="O533" s="8" t="str">
        <f>IF($A533="","",IF(ISNUMBER(SEARCH("Overview Cabang",INDEX(FORM!$K:$K,ROW()))),1,0))</f>
        <v/>
      </c>
      <c r="P533" s="8" t="str">
        <f>IF($A533="","",IFERROR(VLOOKUP(I533,DATA!$AH$9:$AI$13,2,0),""))</f>
        <v/>
      </c>
      <c r="Q533" s="8" t="str">
        <f>IF($A533="","",IFERROR(VLOOKUP(J533,DATA!$AH$9:$AI$13,2,0),""))</f>
        <v/>
      </c>
      <c r="R533" s="8" t="str">
        <f>IF($A533="","",IFERROR(VLOOKUP(K533,DATA!$AH$9:$AI$13,2,0),""))</f>
        <v/>
      </c>
      <c r="S533" s="42" t="str">
        <f t="shared" si="176"/>
        <v/>
      </c>
      <c r="T533" s="8" t="str">
        <f>IF($A533="","",IF(COUNTIF($D$2:D533,D533)=1,1,0))</f>
        <v/>
      </c>
      <c r="U533" s="8" t="str">
        <f>IF($A533="","",IF(F533="-","Cabang tdk ada",IF(IFERROR(VLOOKUP(G533,#REF!,1,0),"")="","",IF(INDEX(DATA!$AH$2:$AH$5,MATCH(G533,DATA!$AI$2:$AI$5,0))&lt;&gt;F533,"Wilayah beda","OK"))))</f>
        <v/>
      </c>
      <c r="V533" s="8" t="str">
        <f>IF($A533="","",TRIM(INDEX(FORM!$I:$I,ROW())&amp;""))</f>
        <v/>
      </c>
      <c r="W533" s="8" t="str">
        <f>IF($A533="","",TRIM(INDEX(FORM!$L:$L,ROW())&amp;""))</f>
        <v/>
      </c>
      <c r="X533" s="8" t="str">
        <f>IF($A533="","",TRIM(INDEX(FORM!$M:$M,ROW())&amp;""))</f>
        <v/>
      </c>
      <c r="Y533" s="8" t="str">
        <f>IF($A533="","",IFERROR(MATCH(F533,DATA!$AH$2:$AH$5,0),9)*10000+A533)</f>
        <v/>
      </c>
      <c r="Z533" s="8" t="str">
        <f t="shared" si="177"/>
        <v/>
      </c>
      <c r="AA533" s="8" t="str">
        <f t="shared" si="178"/>
        <v/>
      </c>
      <c r="AB533" s="8" t="str">
        <f t="shared" si="179"/>
        <v/>
      </c>
      <c r="AC533" s="8"/>
      <c r="AD533" s="8"/>
      <c r="AE533" s="8"/>
      <c r="AK533" s="5" t="str">
        <f t="shared" si="180"/>
        <v/>
      </c>
      <c r="AL533" s="5" t="str">
        <f t="shared" si="181"/>
        <v/>
      </c>
      <c r="AM533" s="5" t="str">
        <f t="shared" si="182"/>
        <v/>
      </c>
      <c r="AN533" s="5" t="str">
        <f t="shared" si="183"/>
        <v/>
      </c>
      <c r="AO533" s="5" t="str">
        <f t="shared" si="184"/>
        <v/>
      </c>
      <c r="AP533" s="5" t="str">
        <f t="shared" si="185"/>
        <v/>
      </c>
      <c r="AQ533" s="5" t="str">
        <f t="shared" si="186"/>
        <v/>
      </c>
      <c r="AR533" s="5" t="str">
        <f t="shared" si="187"/>
        <v/>
      </c>
      <c r="AS533" s="5" t="str">
        <f t="shared" si="188"/>
        <v/>
      </c>
      <c r="AT533" s="5" t="str">
        <f t="shared" si="189"/>
        <v/>
      </c>
      <c r="AU533" s="5" t="str">
        <f t="shared" si="190"/>
        <v/>
      </c>
      <c r="AV533" s="5" t="str">
        <f t="shared" si="191"/>
        <v/>
      </c>
      <c r="AW533" s="5" t="str">
        <f t="shared" si="192"/>
        <v/>
      </c>
      <c r="AX533" s="5" t="str">
        <f t="shared" si="193"/>
        <v/>
      </c>
      <c r="AY533" s="5" t="str">
        <f t="shared" si="194"/>
        <v/>
      </c>
      <c r="AZ533" s="5" t="str">
        <f t="shared" si="195"/>
        <v/>
      </c>
      <c r="BA533" s="5" t="str">
        <f t="shared" si="196"/>
        <v/>
      </c>
      <c r="BB533" s="5" t="str">
        <f t="shared" si="197"/>
        <v/>
      </c>
    </row>
    <row r="534" spans="1:54" s="5" customFormat="1" hidden="1">
      <c r="A534" s="8" t="str">
        <f>IF(INDEX(FORM!$A:$A,ROW())="","",ROW()-1)</f>
        <v/>
      </c>
      <c r="B534" s="41" t="str">
        <f>IF($A534="","",INDEX(FORM!$A:$A,ROW()))</f>
        <v/>
      </c>
      <c r="C534" s="8" t="str">
        <f>IF($A534="","",TRIM(INDEX(FORM!$B:$B,ROW())))</f>
        <v/>
      </c>
      <c r="D534" s="8" t="str">
        <f>IF($A534="","",TRIM(INDEX(FORM!$C:$C,ROW())&amp;""))</f>
        <v/>
      </c>
      <c r="E534" s="8" t="str">
        <f>IF($A534="","",UPPER(TRIM(INDEX(FORM!$D:$D,ROW()))))</f>
        <v/>
      </c>
      <c r="F534" s="8" t="str">
        <f>IF($A534="","",IFERROR(INDEX(PROGRES!$A$2:$A$92,MATCH(E534,PROGRES!$B$2:$B$92,0)),"-"))</f>
        <v/>
      </c>
      <c r="G534" s="8" t="str">
        <f>IF($A534="","",UPPER(TRIM(INDEX(FORM!$F:$F,ROW()))))</f>
        <v/>
      </c>
      <c r="H534" s="8" t="str">
        <f>IF($A534="","",UPPER(TRIM(INDEX(FORM!$E:$E,ROW()))))</f>
        <v/>
      </c>
      <c r="I534" s="8" t="str">
        <f>IF($A534="","",UPPER(TRIM(INDEX(FORM!$G:$G,ROW()))))</f>
        <v/>
      </c>
      <c r="J534" s="8" t="str">
        <f>IF($A534="","",IF(ISNUMBER(SEARCH("Ya,",INDEX(FORM!$H:$H,ROW()))),"YA",IF(ISNUMBER(SEARCH("Cukup,",INDEX(FORM!$H:$H,ROW()))),"CUKUP",IF(ISNUMBER(SEARCH("Kurang,",INDEX(FORM!$H:$H,ROW()))),"KURANG",""))))</f>
        <v/>
      </c>
      <c r="K534" s="8" t="str">
        <f>IF($A534="","",UPPER(TRIM(INDEX(FORM!$J:$J,ROW()))))</f>
        <v/>
      </c>
      <c r="L534" s="8" t="str">
        <f>IF($A534="","",IF(ISNUMBER(SEARCH("Aktivitas Harian",INDEX(FORM!$K:$K,ROW()))),1,0))</f>
        <v/>
      </c>
      <c r="M534" s="8" t="str">
        <f>IF($A534="","",IF(ISNUMBER(SEARCH("Aktivitas Mingguan",INDEX(FORM!$K:$K,ROW()))),1,0))</f>
        <v/>
      </c>
      <c r="N534" s="8" t="str">
        <f>IF($A534="","",IF(ISNUMBER(SEARCH("Aktivitas Bulanan",INDEX(FORM!$K:$K,ROW()))),1,0))</f>
        <v/>
      </c>
      <c r="O534" s="8" t="str">
        <f>IF($A534="","",IF(ISNUMBER(SEARCH("Overview Cabang",INDEX(FORM!$K:$K,ROW()))),1,0))</f>
        <v/>
      </c>
      <c r="P534" s="8" t="str">
        <f>IF($A534="","",IFERROR(VLOOKUP(I534,DATA!$AH$9:$AI$13,2,0),""))</f>
        <v/>
      </c>
      <c r="Q534" s="8" t="str">
        <f>IF($A534="","",IFERROR(VLOOKUP(J534,DATA!$AH$9:$AI$13,2,0),""))</f>
        <v/>
      </c>
      <c r="R534" s="8" t="str">
        <f>IF($A534="","",IFERROR(VLOOKUP(K534,DATA!$AH$9:$AI$13,2,0),""))</f>
        <v/>
      </c>
      <c r="S534" s="42" t="str">
        <f t="shared" si="176"/>
        <v/>
      </c>
      <c r="T534" s="8" t="str">
        <f>IF($A534="","",IF(COUNTIF($D$2:D534,D534)=1,1,0))</f>
        <v/>
      </c>
      <c r="U534" s="8" t="str">
        <f>IF($A534="","",IF(F534="-","Cabang tdk ada",IF(IFERROR(VLOOKUP(G534,#REF!,1,0),"")="","",IF(INDEX(DATA!$AH$2:$AH$5,MATCH(G534,DATA!$AI$2:$AI$5,0))&lt;&gt;F534,"Wilayah beda","OK"))))</f>
        <v/>
      </c>
      <c r="V534" s="8" t="str">
        <f>IF($A534="","",TRIM(INDEX(FORM!$I:$I,ROW())&amp;""))</f>
        <v/>
      </c>
      <c r="W534" s="8" t="str">
        <f>IF($A534="","",TRIM(INDEX(FORM!$L:$L,ROW())&amp;""))</f>
        <v/>
      </c>
      <c r="X534" s="8" t="str">
        <f>IF($A534="","",TRIM(INDEX(FORM!$M:$M,ROW())&amp;""))</f>
        <v/>
      </c>
      <c r="Y534" s="8" t="str">
        <f>IF($A534="","",IFERROR(MATCH(F534,DATA!$AH$2:$AH$5,0),9)*10000+A534)</f>
        <v/>
      </c>
      <c r="Z534" s="8" t="str">
        <f t="shared" si="177"/>
        <v/>
      </c>
      <c r="AA534" s="8" t="str">
        <f t="shared" si="178"/>
        <v/>
      </c>
      <c r="AB534" s="8" t="str">
        <f t="shared" si="179"/>
        <v/>
      </c>
      <c r="AC534" s="8"/>
      <c r="AD534" s="8"/>
      <c r="AE534" s="8"/>
      <c r="AK534" s="5" t="str">
        <f t="shared" si="180"/>
        <v/>
      </c>
      <c r="AL534" s="5" t="str">
        <f t="shared" si="181"/>
        <v/>
      </c>
      <c r="AM534" s="5" t="str">
        <f t="shared" si="182"/>
        <v/>
      </c>
      <c r="AN534" s="5" t="str">
        <f t="shared" si="183"/>
        <v/>
      </c>
      <c r="AO534" s="5" t="str">
        <f t="shared" si="184"/>
        <v/>
      </c>
      <c r="AP534" s="5" t="str">
        <f t="shared" si="185"/>
        <v/>
      </c>
      <c r="AQ534" s="5" t="str">
        <f t="shared" si="186"/>
        <v/>
      </c>
      <c r="AR534" s="5" t="str">
        <f t="shared" si="187"/>
        <v/>
      </c>
      <c r="AS534" s="5" t="str">
        <f t="shared" si="188"/>
        <v/>
      </c>
      <c r="AT534" s="5" t="str">
        <f t="shared" si="189"/>
        <v/>
      </c>
      <c r="AU534" s="5" t="str">
        <f t="shared" si="190"/>
        <v/>
      </c>
      <c r="AV534" s="5" t="str">
        <f t="shared" si="191"/>
        <v/>
      </c>
      <c r="AW534" s="5" t="str">
        <f t="shared" si="192"/>
        <v/>
      </c>
      <c r="AX534" s="5" t="str">
        <f t="shared" si="193"/>
        <v/>
      </c>
      <c r="AY534" s="5" t="str">
        <f t="shared" si="194"/>
        <v/>
      </c>
      <c r="AZ534" s="5" t="str">
        <f t="shared" si="195"/>
        <v/>
      </c>
      <c r="BA534" s="5" t="str">
        <f t="shared" si="196"/>
        <v/>
      </c>
      <c r="BB534" s="5" t="str">
        <f t="shared" si="197"/>
        <v/>
      </c>
    </row>
    <row r="535" spans="1:54" s="5" customFormat="1" hidden="1">
      <c r="A535" s="8" t="str">
        <f>IF(INDEX(FORM!$A:$A,ROW())="","",ROW()-1)</f>
        <v/>
      </c>
      <c r="B535" s="41" t="str">
        <f>IF($A535="","",INDEX(FORM!$A:$A,ROW()))</f>
        <v/>
      </c>
      <c r="C535" s="8" t="str">
        <f>IF($A535="","",TRIM(INDEX(FORM!$B:$B,ROW())))</f>
        <v/>
      </c>
      <c r="D535" s="8" t="str">
        <f>IF($A535="","",TRIM(INDEX(FORM!$C:$C,ROW())&amp;""))</f>
        <v/>
      </c>
      <c r="E535" s="8" t="str">
        <f>IF($A535="","",UPPER(TRIM(INDEX(FORM!$D:$D,ROW()))))</f>
        <v/>
      </c>
      <c r="F535" s="8" t="str">
        <f>IF($A535="","",IFERROR(INDEX(PROGRES!$A$2:$A$92,MATCH(E535,PROGRES!$B$2:$B$92,0)),"-"))</f>
        <v/>
      </c>
      <c r="G535" s="8" t="str">
        <f>IF($A535="","",UPPER(TRIM(INDEX(FORM!$F:$F,ROW()))))</f>
        <v/>
      </c>
      <c r="H535" s="8" t="str">
        <f>IF($A535="","",UPPER(TRIM(INDEX(FORM!$E:$E,ROW()))))</f>
        <v/>
      </c>
      <c r="I535" s="8" t="str">
        <f>IF($A535="","",UPPER(TRIM(INDEX(FORM!$G:$G,ROW()))))</f>
        <v/>
      </c>
      <c r="J535" s="8" t="str">
        <f>IF($A535="","",IF(ISNUMBER(SEARCH("Ya,",INDEX(FORM!$H:$H,ROW()))),"YA",IF(ISNUMBER(SEARCH("Cukup,",INDEX(FORM!$H:$H,ROW()))),"CUKUP",IF(ISNUMBER(SEARCH("Kurang,",INDEX(FORM!$H:$H,ROW()))),"KURANG",""))))</f>
        <v/>
      </c>
      <c r="K535" s="8" t="str">
        <f>IF($A535="","",UPPER(TRIM(INDEX(FORM!$J:$J,ROW()))))</f>
        <v/>
      </c>
      <c r="L535" s="8" t="str">
        <f>IF($A535="","",IF(ISNUMBER(SEARCH("Aktivitas Harian",INDEX(FORM!$K:$K,ROW()))),1,0))</f>
        <v/>
      </c>
      <c r="M535" s="8" t="str">
        <f>IF($A535="","",IF(ISNUMBER(SEARCH("Aktivitas Mingguan",INDEX(FORM!$K:$K,ROW()))),1,0))</f>
        <v/>
      </c>
      <c r="N535" s="8" t="str">
        <f>IF($A535="","",IF(ISNUMBER(SEARCH("Aktivitas Bulanan",INDEX(FORM!$K:$K,ROW()))),1,0))</f>
        <v/>
      </c>
      <c r="O535" s="8" t="str">
        <f>IF($A535="","",IF(ISNUMBER(SEARCH("Overview Cabang",INDEX(FORM!$K:$K,ROW()))),1,0))</f>
        <v/>
      </c>
      <c r="P535" s="8" t="str">
        <f>IF($A535="","",IFERROR(VLOOKUP(I535,DATA!$AH$9:$AI$13,2,0),""))</f>
        <v/>
      </c>
      <c r="Q535" s="8" t="str">
        <f>IF($A535="","",IFERROR(VLOOKUP(J535,DATA!$AH$9:$AI$13,2,0),""))</f>
        <v/>
      </c>
      <c r="R535" s="8" t="str">
        <f>IF($A535="","",IFERROR(VLOOKUP(K535,DATA!$AH$9:$AI$13,2,0),""))</f>
        <v/>
      </c>
      <c r="S535" s="42" t="str">
        <f t="shared" si="176"/>
        <v/>
      </c>
      <c r="T535" s="8" t="str">
        <f>IF($A535="","",IF(COUNTIF($D$2:D535,D535)=1,1,0))</f>
        <v/>
      </c>
      <c r="U535" s="8" t="str">
        <f>IF($A535="","",IF(F535="-","Cabang tdk ada",IF(IFERROR(VLOOKUP(G535,#REF!,1,0),"")="","",IF(INDEX(DATA!$AH$2:$AH$5,MATCH(G535,DATA!$AI$2:$AI$5,0))&lt;&gt;F535,"Wilayah beda","OK"))))</f>
        <v/>
      </c>
      <c r="V535" s="8" t="str">
        <f>IF($A535="","",TRIM(INDEX(FORM!$I:$I,ROW())&amp;""))</f>
        <v/>
      </c>
      <c r="W535" s="8" t="str">
        <f>IF($A535="","",TRIM(INDEX(FORM!$L:$L,ROW())&amp;""))</f>
        <v/>
      </c>
      <c r="X535" s="8" t="str">
        <f>IF($A535="","",TRIM(INDEX(FORM!$M:$M,ROW())&amp;""))</f>
        <v/>
      </c>
      <c r="Y535" s="8" t="str">
        <f>IF($A535="","",IFERROR(MATCH(F535,DATA!$AH$2:$AH$5,0),9)*10000+A535)</f>
        <v/>
      </c>
      <c r="Z535" s="8" t="str">
        <f t="shared" si="177"/>
        <v/>
      </c>
      <c r="AA535" s="8" t="str">
        <f t="shared" si="178"/>
        <v/>
      </c>
      <c r="AB535" s="8" t="str">
        <f t="shared" si="179"/>
        <v/>
      </c>
      <c r="AC535" s="8"/>
      <c r="AD535" s="8"/>
      <c r="AE535" s="8"/>
      <c r="AK535" s="5" t="str">
        <f t="shared" si="180"/>
        <v/>
      </c>
      <c r="AL535" s="5" t="str">
        <f t="shared" si="181"/>
        <v/>
      </c>
      <c r="AM535" s="5" t="str">
        <f t="shared" si="182"/>
        <v/>
      </c>
      <c r="AN535" s="5" t="str">
        <f t="shared" si="183"/>
        <v/>
      </c>
      <c r="AO535" s="5" t="str">
        <f t="shared" si="184"/>
        <v/>
      </c>
      <c r="AP535" s="5" t="str">
        <f t="shared" si="185"/>
        <v/>
      </c>
      <c r="AQ535" s="5" t="str">
        <f t="shared" si="186"/>
        <v/>
      </c>
      <c r="AR535" s="5" t="str">
        <f t="shared" si="187"/>
        <v/>
      </c>
      <c r="AS535" s="5" t="str">
        <f t="shared" si="188"/>
        <v/>
      </c>
      <c r="AT535" s="5" t="str">
        <f t="shared" si="189"/>
        <v/>
      </c>
      <c r="AU535" s="5" t="str">
        <f t="shared" si="190"/>
        <v/>
      </c>
      <c r="AV535" s="5" t="str">
        <f t="shared" si="191"/>
        <v/>
      </c>
      <c r="AW535" s="5" t="str">
        <f t="shared" si="192"/>
        <v/>
      </c>
      <c r="AX535" s="5" t="str">
        <f t="shared" si="193"/>
        <v/>
      </c>
      <c r="AY535" s="5" t="str">
        <f t="shared" si="194"/>
        <v/>
      </c>
      <c r="AZ535" s="5" t="str">
        <f t="shared" si="195"/>
        <v/>
      </c>
      <c r="BA535" s="5" t="str">
        <f t="shared" si="196"/>
        <v/>
      </c>
      <c r="BB535" s="5" t="str">
        <f t="shared" si="197"/>
        <v/>
      </c>
    </row>
    <row r="536" spans="1:54" s="5" customFormat="1" hidden="1">
      <c r="A536" s="8" t="str">
        <f>IF(INDEX(FORM!$A:$A,ROW())="","",ROW()-1)</f>
        <v/>
      </c>
      <c r="B536" s="41" t="str">
        <f>IF($A536="","",INDEX(FORM!$A:$A,ROW()))</f>
        <v/>
      </c>
      <c r="C536" s="8" t="str">
        <f>IF($A536="","",TRIM(INDEX(FORM!$B:$B,ROW())))</f>
        <v/>
      </c>
      <c r="D536" s="8" t="str">
        <f>IF($A536="","",TRIM(INDEX(FORM!$C:$C,ROW())&amp;""))</f>
        <v/>
      </c>
      <c r="E536" s="8" t="str">
        <f>IF($A536="","",UPPER(TRIM(INDEX(FORM!$D:$D,ROW()))))</f>
        <v/>
      </c>
      <c r="F536" s="8" t="str">
        <f>IF($A536="","",IFERROR(INDEX(PROGRES!$A$2:$A$92,MATCH(E536,PROGRES!$B$2:$B$92,0)),"-"))</f>
        <v/>
      </c>
      <c r="G536" s="8" t="str">
        <f>IF($A536="","",UPPER(TRIM(INDEX(FORM!$F:$F,ROW()))))</f>
        <v/>
      </c>
      <c r="H536" s="8" t="str">
        <f>IF($A536="","",UPPER(TRIM(INDEX(FORM!$E:$E,ROW()))))</f>
        <v/>
      </c>
      <c r="I536" s="8" t="str">
        <f>IF($A536="","",UPPER(TRIM(INDEX(FORM!$G:$G,ROW()))))</f>
        <v/>
      </c>
      <c r="J536" s="8" t="str">
        <f>IF($A536="","",IF(ISNUMBER(SEARCH("Ya,",INDEX(FORM!$H:$H,ROW()))),"YA",IF(ISNUMBER(SEARCH("Cukup,",INDEX(FORM!$H:$H,ROW()))),"CUKUP",IF(ISNUMBER(SEARCH("Kurang,",INDEX(FORM!$H:$H,ROW()))),"KURANG",""))))</f>
        <v/>
      </c>
      <c r="K536" s="8" t="str">
        <f>IF($A536="","",UPPER(TRIM(INDEX(FORM!$J:$J,ROW()))))</f>
        <v/>
      </c>
      <c r="L536" s="8" t="str">
        <f>IF($A536="","",IF(ISNUMBER(SEARCH("Aktivitas Harian",INDEX(FORM!$K:$K,ROW()))),1,0))</f>
        <v/>
      </c>
      <c r="M536" s="8" t="str">
        <f>IF($A536="","",IF(ISNUMBER(SEARCH("Aktivitas Mingguan",INDEX(FORM!$K:$K,ROW()))),1,0))</f>
        <v/>
      </c>
      <c r="N536" s="8" t="str">
        <f>IF($A536="","",IF(ISNUMBER(SEARCH("Aktivitas Bulanan",INDEX(FORM!$K:$K,ROW()))),1,0))</f>
        <v/>
      </c>
      <c r="O536" s="8" t="str">
        <f>IF($A536="","",IF(ISNUMBER(SEARCH("Overview Cabang",INDEX(FORM!$K:$K,ROW()))),1,0))</f>
        <v/>
      </c>
      <c r="P536" s="8" t="str">
        <f>IF($A536="","",IFERROR(VLOOKUP(I536,DATA!$AH$9:$AI$13,2,0),""))</f>
        <v/>
      </c>
      <c r="Q536" s="8" t="str">
        <f>IF($A536="","",IFERROR(VLOOKUP(J536,DATA!$AH$9:$AI$13,2,0),""))</f>
        <v/>
      </c>
      <c r="R536" s="8" t="str">
        <f>IF($A536="","",IFERROR(VLOOKUP(K536,DATA!$AH$9:$AI$13,2,0),""))</f>
        <v/>
      </c>
      <c r="S536" s="42" t="str">
        <f t="shared" si="176"/>
        <v/>
      </c>
      <c r="T536" s="8" t="str">
        <f>IF($A536="","",IF(COUNTIF($D$2:D536,D536)=1,1,0))</f>
        <v/>
      </c>
      <c r="U536" s="8" t="str">
        <f>IF($A536="","",IF(F536="-","Cabang tdk ada",IF(IFERROR(VLOOKUP(G536,#REF!,1,0),"")="","",IF(INDEX(DATA!$AH$2:$AH$5,MATCH(G536,DATA!$AI$2:$AI$5,0))&lt;&gt;F536,"Wilayah beda","OK"))))</f>
        <v/>
      </c>
      <c r="V536" s="8" t="str">
        <f>IF($A536="","",TRIM(INDEX(FORM!$I:$I,ROW())&amp;""))</f>
        <v/>
      </c>
      <c r="W536" s="8" t="str">
        <f>IF($A536="","",TRIM(INDEX(FORM!$L:$L,ROW())&amp;""))</f>
        <v/>
      </c>
      <c r="X536" s="8" t="str">
        <f>IF($A536="","",TRIM(INDEX(FORM!$M:$M,ROW())&amp;""))</f>
        <v/>
      </c>
      <c r="Y536" s="8" t="str">
        <f>IF($A536="","",IFERROR(MATCH(F536,DATA!$AH$2:$AH$5,0),9)*10000+A536)</f>
        <v/>
      </c>
      <c r="Z536" s="8" t="str">
        <f t="shared" si="177"/>
        <v/>
      </c>
      <c r="AA536" s="8" t="str">
        <f t="shared" si="178"/>
        <v/>
      </c>
      <c r="AB536" s="8" t="str">
        <f t="shared" si="179"/>
        <v/>
      </c>
      <c r="AC536" s="8"/>
      <c r="AD536" s="8"/>
      <c r="AE536" s="8"/>
      <c r="AK536" s="5" t="str">
        <f t="shared" si="180"/>
        <v/>
      </c>
      <c r="AL536" s="5" t="str">
        <f t="shared" si="181"/>
        <v/>
      </c>
      <c r="AM536" s="5" t="str">
        <f t="shared" si="182"/>
        <v/>
      </c>
      <c r="AN536" s="5" t="str">
        <f t="shared" si="183"/>
        <v/>
      </c>
      <c r="AO536" s="5" t="str">
        <f t="shared" si="184"/>
        <v/>
      </c>
      <c r="AP536" s="5" t="str">
        <f t="shared" si="185"/>
        <v/>
      </c>
      <c r="AQ536" s="5" t="str">
        <f t="shared" si="186"/>
        <v/>
      </c>
      <c r="AR536" s="5" t="str">
        <f t="shared" si="187"/>
        <v/>
      </c>
      <c r="AS536" s="5" t="str">
        <f t="shared" si="188"/>
        <v/>
      </c>
      <c r="AT536" s="5" t="str">
        <f t="shared" si="189"/>
        <v/>
      </c>
      <c r="AU536" s="5" t="str">
        <f t="shared" si="190"/>
        <v/>
      </c>
      <c r="AV536" s="5" t="str">
        <f t="shared" si="191"/>
        <v/>
      </c>
      <c r="AW536" s="5" t="str">
        <f t="shared" si="192"/>
        <v/>
      </c>
      <c r="AX536" s="5" t="str">
        <f t="shared" si="193"/>
        <v/>
      </c>
      <c r="AY536" s="5" t="str">
        <f t="shared" si="194"/>
        <v/>
      </c>
      <c r="AZ536" s="5" t="str">
        <f t="shared" si="195"/>
        <v/>
      </c>
      <c r="BA536" s="5" t="str">
        <f t="shared" si="196"/>
        <v/>
      </c>
      <c r="BB536" s="5" t="str">
        <f t="shared" si="197"/>
        <v/>
      </c>
    </row>
    <row r="537" spans="1:54" s="5" customFormat="1" hidden="1">
      <c r="A537" s="8" t="str">
        <f>IF(INDEX(FORM!$A:$A,ROW())="","",ROW()-1)</f>
        <v/>
      </c>
      <c r="B537" s="41" t="str">
        <f>IF($A537="","",INDEX(FORM!$A:$A,ROW()))</f>
        <v/>
      </c>
      <c r="C537" s="8" t="str">
        <f>IF($A537="","",TRIM(INDEX(FORM!$B:$B,ROW())))</f>
        <v/>
      </c>
      <c r="D537" s="8" t="str">
        <f>IF($A537="","",TRIM(INDEX(FORM!$C:$C,ROW())&amp;""))</f>
        <v/>
      </c>
      <c r="E537" s="8" t="str">
        <f>IF($A537="","",UPPER(TRIM(INDEX(FORM!$D:$D,ROW()))))</f>
        <v/>
      </c>
      <c r="F537" s="8" t="str">
        <f>IF($A537="","",IFERROR(INDEX(PROGRES!$A$2:$A$92,MATCH(E537,PROGRES!$B$2:$B$92,0)),"-"))</f>
        <v/>
      </c>
      <c r="G537" s="8" t="str">
        <f>IF($A537="","",UPPER(TRIM(INDEX(FORM!$F:$F,ROW()))))</f>
        <v/>
      </c>
      <c r="H537" s="8" t="str">
        <f>IF($A537="","",UPPER(TRIM(INDEX(FORM!$E:$E,ROW()))))</f>
        <v/>
      </c>
      <c r="I537" s="8" t="str">
        <f>IF($A537="","",UPPER(TRIM(INDEX(FORM!$G:$G,ROW()))))</f>
        <v/>
      </c>
      <c r="J537" s="8" t="str">
        <f>IF($A537="","",IF(ISNUMBER(SEARCH("Ya,",INDEX(FORM!$H:$H,ROW()))),"YA",IF(ISNUMBER(SEARCH("Cukup,",INDEX(FORM!$H:$H,ROW()))),"CUKUP",IF(ISNUMBER(SEARCH("Kurang,",INDEX(FORM!$H:$H,ROW()))),"KURANG",""))))</f>
        <v/>
      </c>
      <c r="K537" s="8" t="str">
        <f>IF($A537="","",UPPER(TRIM(INDEX(FORM!$J:$J,ROW()))))</f>
        <v/>
      </c>
      <c r="L537" s="8" t="str">
        <f>IF($A537="","",IF(ISNUMBER(SEARCH("Aktivitas Harian",INDEX(FORM!$K:$K,ROW()))),1,0))</f>
        <v/>
      </c>
      <c r="M537" s="8" t="str">
        <f>IF($A537="","",IF(ISNUMBER(SEARCH("Aktivitas Mingguan",INDEX(FORM!$K:$K,ROW()))),1,0))</f>
        <v/>
      </c>
      <c r="N537" s="8" t="str">
        <f>IF($A537="","",IF(ISNUMBER(SEARCH("Aktivitas Bulanan",INDEX(FORM!$K:$K,ROW()))),1,0))</f>
        <v/>
      </c>
      <c r="O537" s="8" t="str">
        <f>IF($A537="","",IF(ISNUMBER(SEARCH("Overview Cabang",INDEX(FORM!$K:$K,ROW()))),1,0))</f>
        <v/>
      </c>
      <c r="P537" s="8" t="str">
        <f>IF($A537="","",IFERROR(VLOOKUP(I537,DATA!$AH$9:$AI$13,2,0),""))</f>
        <v/>
      </c>
      <c r="Q537" s="8" t="str">
        <f>IF($A537="","",IFERROR(VLOOKUP(J537,DATA!$AH$9:$AI$13,2,0),""))</f>
        <v/>
      </c>
      <c r="R537" s="8" t="str">
        <f>IF($A537="","",IFERROR(VLOOKUP(K537,DATA!$AH$9:$AI$13,2,0),""))</f>
        <v/>
      </c>
      <c r="S537" s="42" t="str">
        <f t="shared" si="176"/>
        <v/>
      </c>
      <c r="T537" s="8" t="str">
        <f>IF($A537="","",IF(COUNTIF($D$2:D537,D537)=1,1,0))</f>
        <v/>
      </c>
      <c r="U537" s="8" t="str">
        <f>IF($A537="","",IF(F537="-","Cabang tdk ada",IF(IFERROR(VLOOKUP(G537,#REF!,1,0),"")="","",IF(INDEX(DATA!$AH$2:$AH$5,MATCH(G537,DATA!$AI$2:$AI$5,0))&lt;&gt;F537,"Wilayah beda","OK"))))</f>
        <v/>
      </c>
      <c r="V537" s="8" t="str">
        <f>IF($A537="","",TRIM(INDEX(FORM!$I:$I,ROW())&amp;""))</f>
        <v/>
      </c>
      <c r="W537" s="8" t="str">
        <f>IF($A537="","",TRIM(INDEX(FORM!$L:$L,ROW())&amp;""))</f>
        <v/>
      </c>
      <c r="X537" s="8" t="str">
        <f>IF($A537="","",TRIM(INDEX(FORM!$M:$M,ROW())&amp;""))</f>
        <v/>
      </c>
      <c r="Y537" s="8" t="str">
        <f>IF($A537="","",IFERROR(MATCH(F537,DATA!$AH$2:$AH$5,0),9)*10000+A537)</f>
        <v/>
      </c>
      <c r="Z537" s="8" t="str">
        <f t="shared" si="177"/>
        <v/>
      </c>
      <c r="AA537" s="8" t="str">
        <f t="shared" si="178"/>
        <v/>
      </c>
      <c r="AB537" s="8" t="str">
        <f t="shared" si="179"/>
        <v/>
      </c>
      <c r="AC537" s="8"/>
      <c r="AD537" s="8"/>
      <c r="AE537" s="8"/>
      <c r="AK537" s="5" t="str">
        <f t="shared" si="180"/>
        <v/>
      </c>
      <c r="AL537" s="5" t="str">
        <f t="shared" si="181"/>
        <v/>
      </c>
      <c r="AM537" s="5" t="str">
        <f t="shared" si="182"/>
        <v/>
      </c>
      <c r="AN537" s="5" t="str">
        <f t="shared" si="183"/>
        <v/>
      </c>
      <c r="AO537" s="5" t="str">
        <f t="shared" si="184"/>
        <v/>
      </c>
      <c r="AP537" s="5" t="str">
        <f t="shared" si="185"/>
        <v/>
      </c>
      <c r="AQ537" s="5" t="str">
        <f t="shared" si="186"/>
        <v/>
      </c>
      <c r="AR537" s="5" t="str">
        <f t="shared" si="187"/>
        <v/>
      </c>
      <c r="AS537" s="5" t="str">
        <f t="shared" si="188"/>
        <v/>
      </c>
      <c r="AT537" s="5" t="str">
        <f t="shared" si="189"/>
        <v/>
      </c>
      <c r="AU537" s="5" t="str">
        <f t="shared" si="190"/>
        <v/>
      </c>
      <c r="AV537" s="5" t="str">
        <f t="shared" si="191"/>
        <v/>
      </c>
      <c r="AW537" s="5" t="str">
        <f t="shared" si="192"/>
        <v/>
      </c>
      <c r="AX537" s="5" t="str">
        <f t="shared" si="193"/>
        <v/>
      </c>
      <c r="AY537" s="5" t="str">
        <f t="shared" si="194"/>
        <v/>
      </c>
      <c r="AZ537" s="5" t="str">
        <f t="shared" si="195"/>
        <v/>
      </c>
      <c r="BA537" s="5" t="str">
        <f t="shared" si="196"/>
        <v/>
      </c>
      <c r="BB537" s="5" t="str">
        <f t="shared" si="197"/>
        <v/>
      </c>
    </row>
    <row r="538" spans="1:54" s="5" customFormat="1" hidden="1">
      <c r="A538" s="8" t="str">
        <f>IF(INDEX(FORM!$A:$A,ROW())="","",ROW()-1)</f>
        <v/>
      </c>
      <c r="B538" s="41" t="str">
        <f>IF($A538="","",INDEX(FORM!$A:$A,ROW()))</f>
        <v/>
      </c>
      <c r="C538" s="8" t="str">
        <f>IF($A538="","",TRIM(INDEX(FORM!$B:$B,ROW())))</f>
        <v/>
      </c>
      <c r="D538" s="8" t="str">
        <f>IF($A538="","",TRIM(INDEX(FORM!$C:$C,ROW())&amp;""))</f>
        <v/>
      </c>
      <c r="E538" s="8" t="str">
        <f>IF($A538="","",UPPER(TRIM(INDEX(FORM!$D:$D,ROW()))))</f>
        <v/>
      </c>
      <c r="F538" s="8" t="str">
        <f>IF($A538="","",IFERROR(INDEX(PROGRES!$A$2:$A$92,MATCH(E538,PROGRES!$B$2:$B$92,0)),"-"))</f>
        <v/>
      </c>
      <c r="G538" s="8" t="str">
        <f>IF($A538="","",UPPER(TRIM(INDEX(FORM!$F:$F,ROW()))))</f>
        <v/>
      </c>
      <c r="H538" s="8" t="str">
        <f>IF($A538="","",UPPER(TRIM(INDEX(FORM!$E:$E,ROW()))))</f>
        <v/>
      </c>
      <c r="I538" s="8" t="str">
        <f>IF($A538="","",UPPER(TRIM(INDEX(FORM!$G:$G,ROW()))))</f>
        <v/>
      </c>
      <c r="J538" s="8" t="str">
        <f>IF($A538="","",IF(ISNUMBER(SEARCH("Ya,",INDEX(FORM!$H:$H,ROW()))),"YA",IF(ISNUMBER(SEARCH("Cukup,",INDEX(FORM!$H:$H,ROW()))),"CUKUP",IF(ISNUMBER(SEARCH("Kurang,",INDEX(FORM!$H:$H,ROW()))),"KURANG",""))))</f>
        <v/>
      </c>
      <c r="K538" s="8" t="str">
        <f>IF($A538="","",UPPER(TRIM(INDEX(FORM!$J:$J,ROW()))))</f>
        <v/>
      </c>
      <c r="L538" s="8" t="str">
        <f>IF($A538="","",IF(ISNUMBER(SEARCH("Aktivitas Harian",INDEX(FORM!$K:$K,ROW()))),1,0))</f>
        <v/>
      </c>
      <c r="M538" s="8" t="str">
        <f>IF($A538="","",IF(ISNUMBER(SEARCH("Aktivitas Mingguan",INDEX(FORM!$K:$K,ROW()))),1,0))</f>
        <v/>
      </c>
      <c r="N538" s="8" t="str">
        <f>IF($A538="","",IF(ISNUMBER(SEARCH("Aktivitas Bulanan",INDEX(FORM!$K:$K,ROW()))),1,0))</f>
        <v/>
      </c>
      <c r="O538" s="8" t="str">
        <f>IF($A538="","",IF(ISNUMBER(SEARCH("Overview Cabang",INDEX(FORM!$K:$K,ROW()))),1,0))</f>
        <v/>
      </c>
      <c r="P538" s="8" t="str">
        <f>IF($A538="","",IFERROR(VLOOKUP(I538,DATA!$AH$9:$AI$13,2,0),""))</f>
        <v/>
      </c>
      <c r="Q538" s="8" t="str">
        <f>IF($A538="","",IFERROR(VLOOKUP(J538,DATA!$AH$9:$AI$13,2,0),""))</f>
        <v/>
      </c>
      <c r="R538" s="8" t="str">
        <f>IF($A538="","",IFERROR(VLOOKUP(K538,DATA!$AH$9:$AI$13,2,0),""))</f>
        <v/>
      </c>
      <c r="S538" s="42" t="str">
        <f t="shared" si="176"/>
        <v/>
      </c>
      <c r="T538" s="8" t="str">
        <f>IF($A538="","",IF(COUNTIF($D$2:D538,D538)=1,1,0))</f>
        <v/>
      </c>
      <c r="U538" s="8" t="str">
        <f>IF($A538="","",IF(F538="-","Cabang tdk ada",IF(IFERROR(VLOOKUP(G538,#REF!,1,0),"")="","",IF(INDEX(DATA!$AH$2:$AH$5,MATCH(G538,DATA!$AI$2:$AI$5,0))&lt;&gt;F538,"Wilayah beda","OK"))))</f>
        <v/>
      </c>
      <c r="V538" s="8" t="str">
        <f>IF($A538="","",TRIM(INDEX(FORM!$I:$I,ROW())&amp;""))</f>
        <v/>
      </c>
      <c r="W538" s="8" t="str">
        <f>IF($A538="","",TRIM(INDEX(FORM!$L:$L,ROW())&amp;""))</f>
        <v/>
      </c>
      <c r="X538" s="8" t="str">
        <f>IF($A538="","",TRIM(INDEX(FORM!$M:$M,ROW())&amp;""))</f>
        <v/>
      </c>
      <c r="Y538" s="8" t="str">
        <f>IF($A538="","",IFERROR(MATCH(F538,DATA!$AH$2:$AH$5,0),9)*10000+A538)</f>
        <v/>
      </c>
      <c r="Z538" s="8" t="str">
        <f t="shared" si="177"/>
        <v/>
      </c>
      <c r="AA538" s="8" t="str">
        <f t="shared" si="178"/>
        <v/>
      </c>
      <c r="AB538" s="8" t="str">
        <f t="shared" si="179"/>
        <v/>
      </c>
      <c r="AC538" s="8"/>
      <c r="AD538" s="8"/>
      <c r="AE538" s="8"/>
      <c r="AK538" s="5" t="str">
        <f t="shared" si="180"/>
        <v/>
      </c>
      <c r="AL538" s="5" t="str">
        <f t="shared" si="181"/>
        <v/>
      </c>
      <c r="AM538" s="5" t="str">
        <f t="shared" si="182"/>
        <v/>
      </c>
      <c r="AN538" s="5" t="str">
        <f t="shared" si="183"/>
        <v/>
      </c>
      <c r="AO538" s="5" t="str">
        <f t="shared" si="184"/>
        <v/>
      </c>
      <c r="AP538" s="5" t="str">
        <f t="shared" si="185"/>
        <v/>
      </c>
      <c r="AQ538" s="5" t="str">
        <f t="shared" si="186"/>
        <v/>
      </c>
      <c r="AR538" s="5" t="str">
        <f t="shared" si="187"/>
        <v/>
      </c>
      <c r="AS538" s="5" t="str">
        <f t="shared" si="188"/>
        <v/>
      </c>
      <c r="AT538" s="5" t="str">
        <f t="shared" si="189"/>
        <v/>
      </c>
      <c r="AU538" s="5" t="str">
        <f t="shared" si="190"/>
        <v/>
      </c>
      <c r="AV538" s="5" t="str">
        <f t="shared" si="191"/>
        <v/>
      </c>
      <c r="AW538" s="5" t="str">
        <f t="shared" si="192"/>
        <v/>
      </c>
      <c r="AX538" s="5" t="str">
        <f t="shared" si="193"/>
        <v/>
      </c>
      <c r="AY538" s="5" t="str">
        <f t="shared" si="194"/>
        <v/>
      </c>
      <c r="AZ538" s="5" t="str">
        <f t="shared" si="195"/>
        <v/>
      </c>
      <c r="BA538" s="5" t="str">
        <f t="shared" si="196"/>
        <v/>
      </c>
      <c r="BB538" s="5" t="str">
        <f t="shared" si="197"/>
        <v/>
      </c>
    </row>
    <row r="539" spans="1:54" s="5" customFormat="1" hidden="1">
      <c r="A539" s="8" t="str">
        <f>IF(INDEX(FORM!$A:$A,ROW())="","",ROW()-1)</f>
        <v/>
      </c>
      <c r="B539" s="41" t="str">
        <f>IF($A539="","",INDEX(FORM!$A:$A,ROW()))</f>
        <v/>
      </c>
      <c r="C539" s="8" t="str">
        <f>IF($A539="","",TRIM(INDEX(FORM!$B:$B,ROW())))</f>
        <v/>
      </c>
      <c r="D539" s="8" t="str">
        <f>IF($A539="","",TRIM(INDEX(FORM!$C:$C,ROW())&amp;""))</f>
        <v/>
      </c>
      <c r="E539" s="8" t="str">
        <f>IF($A539="","",UPPER(TRIM(INDEX(FORM!$D:$D,ROW()))))</f>
        <v/>
      </c>
      <c r="F539" s="8" t="str">
        <f>IF($A539="","",IFERROR(INDEX(PROGRES!$A$2:$A$92,MATCH(E539,PROGRES!$B$2:$B$92,0)),"-"))</f>
        <v/>
      </c>
      <c r="G539" s="8" t="str">
        <f>IF($A539="","",UPPER(TRIM(INDEX(FORM!$F:$F,ROW()))))</f>
        <v/>
      </c>
      <c r="H539" s="8" t="str">
        <f>IF($A539="","",UPPER(TRIM(INDEX(FORM!$E:$E,ROW()))))</f>
        <v/>
      </c>
      <c r="I539" s="8" t="str">
        <f>IF($A539="","",UPPER(TRIM(INDEX(FORM!$G:$G,ROW()))))</f>
        <v/>
      </c>
      <c r="J539" s="8" t="str">
        <f>IF($A539="","",IF(ISNUMBER(SEARCH("Ya,",INDEX(FORM!$H:$H,ROW()))),"YA",IF(ISNUMBER(SEARCH("Cukup,",INDEX(FORM!$H:$H,ROW()))),"CUKUP",IF(ISNUMBER(SEARCH("Kurang,",INDEX(FORM!$H:$H,ROW()))),"KURANG",""))))</f>
        <v/>
      </c>
      <c r="K539" s="8" t="str">
        <f>IF($A539="","",UPPER(TRIM(INDEX(FORM!$J:$J,ROW()))))</f>
        <v/>
      </c>
      <c r="L539" s="8" t="str">
        <f>IF($A539="","",IF(ISNUMBER(SEARCH("Aktivitas Harian",INDEX(FORM!$K:$K,ROW()))),1,0))</f>
        <v/>
      </c>
      <c r="M539" s="8" t="str">
        <f>IF($A539="","",IF(ISNUMBER(SEARCH("Aktivitas Mingguan",INDEX(FORM!$K:$K,ROW()))),1,0))</f>
        <v/>
      </c>
      <c r="N539" s="8" t="str">
        <f>IF($A539="","",IF(ISNUMBER(SEARCH("Aktivitas Bulanan",INDEX(FORM!$K:$K,ROW()))),1,0))</f>
        <v/>
      </c>
      <c r="O539" s="8" t="str">
        <f>IF($A539="","",IF(ISNUMBER(SEARCH("Overview Cabang",INDEX(FORM!$K:$K,ROW()))),1,0))</f>
        <v/>
      </c>
      <c r="P539" s="8" t="str">
        <f>IF($A539="","",IFERROR(VLOOKUP(I539,DATA!$AH$9:$AI$13,2,0),""))</f>
        <v/>
      </c>
      <c r="Q539" s="8" t="str">
        <f>IF($A539="","",IFERROR(VLOOKUP(J539,DATA!$AH$9:$AI$13,2,0),""))</f>
        <v/>
      </c>
      <c r="R539" s="8" t="str">
        <f>IF($A539="","",IFERROR(VLOOKUP(K539,DATA!$AH$9:$AI$13,2,0),""))</f>
        <v/>
      </c>
      <c r="S539" s="42" t="str">
        <f t="shared" si="176"/>
        <v/>
      </c>
      <c r="T539" s="8" t="str">
        <f>IF($A539="","",IF(COUNTIF($D$2:D539,D539)=1,1,0))</f>
        <v/>
      </c>
      <c r="U539" s="8" t="str">
        <f>IF($A539="","",IF(F539="-","Cabang tdk ada",IF(IFERROR(VLOOKUP(G539,#REF!,1,0),"")="","",IF(INDEX(DATA!$AH$2:$AH$5,MATCH(G539,DATA!$AI$2:$AI$5,0))&lt;&gt;F539,"Wilayah beda","OK"))))</f>
        <v/>
      </c>
      <c r="V539" s="8" t="str">
        <f>IF($A539="","",TRIM(INDEX(FORM!$I:$I,ROW())&amp;""))</f>
        <v/>
      </c>
      <c r="W539" s="8" t="str">
        <f>IF($A539="","",TRIM(INDEX(FORM!$L:$L,ROW())&amp;""))</f>
        <v/>
      </c>
      <c r="X539" s="8" t="str">
        <f>IF($A539="","",TRIM(INDEX(FORM!$M:$M,ROW())&amp;""))</f>
        <v/>
      </c>
      <c r="Y539" s="8" t="str">
        <f>IF($A539="","",IFERROR(MATCH(F539,DATA!$AH$2:$AH$5,0),9)*10000+A539)</f>
        <v/>
      </c>
      <c r="Z539" s="8" t="str">
        <f t="shared" si="177"/>
        <v/>
      </c>
      <c r="AA539" s="8" t="str">
        <f t="shared" si="178"/>
        <v/>
      </c>
      <c r="AB539" s="8" t="str">
        <f t="shared" si="179"/>
        <v/>
      </c>
      <c r="AC539" s="8"/>
      <c r="AD539" s="8"/>
      <c r="AE539" s="8"/>
      <c r="AK539" s="5" t="str">
        <f t="shared" si="180"/>
        <v/>
      </c>
      <c r="AL539" s="5" t="str">
        <f t="shared" si="181"/>
        <v/>
      </c>
      <c r="AM539" s="5" t="str">
        <f t="shared" si="182"/>
        <v/>
      </c>
      <c r="AN539" s="5" t="str">
        <f t="shared" si="183"/>
        <v/>
      </c>
      <c r="AO539" s="5" t="str">
        <f t="shared" si="184"/>
        <v/>
      </c>
      <c r="AP539" s="5" t="str">
        <f t="shared" si="185"/>
        <v/>
      </c>
      <c r="AQ539" s="5" t="str">
        <f t="shared" si="186"/>
        <v/>
      </c>
      <c r="AR539" s="5" t="str">
        <f t="shared" si="187"/>
        <v/>
      </c>
      <c r="AS539" s="5" t="str">
        <f t="shared" si="188"/>
        <v/>
      </c>
      <c r="AT539" s="5" t="str">
        <f t="shared" si="189"/>
        <v/>
      </c>
      <c r="AU539" s="5" t="str">
        <f t="shared" si="190"/>
        <v/>
      </c>
      <c r="AV539" s="5" t="str">
        <f t="shared" si="191"/>
        <v/>
      </c>
      <c r="AW539" s="5" t="str">
        <f t="shared" si="192"/>
        <v/>
      </c>
      <c r="AX539" s="5" t="str">
        <f t="shared" si="193"/>
        <v/>
      </c>
      <c r="AY539" s="5" t="str">
        <f t="shared" si="194"/>
        <v/>
      </c>
      <c r="AZ539" s="5" t="str">
        <f t="shared" si="195"/>
        <v/>
      </c>
      <c r="BA539" s="5" t="str">
        <f t="shared" si="196"/>
        <v/>
      </c>
      <c r="BB539" s="5" t="str">
        <f t="shared" si="197"/>
        <v/>
      </c>
    </row>
    <row r="540" spans="1:54" s="5" customFormat="1" hidden="1">
      <c r="A540" s="8" t="str">
        <f>IF(INDEX(FORM!$A:$A,ROW())="","",ROW()-1)</f>
        <v/>
      </c>
      <c r="B540" s="41" t="str">
        <f>IF($A540="","",INDEX(FORM!$A:$A,ROW()))</f>
        <v/>
      </c>
      <c r="C540" s="8" t="str">
        <f>IF($A540="","",TRIM(INDEX(FORM!$B:$B,ROW())))</f>
        <v/>
      </c>
      <c r="D540" s="8" t="str">
        <f>IF($A540="","",TRIM(INDEX(FORM!$C:$C,ROW())&amp;""))</f>
        <v/>
      </c>
      <c r="E540" s="8" t="str">
        <f>IF($A540="","",UPPER(TRIM(INDEX(FORM!$D:$D,ROW()))))</f>
        <v/>
      </c>
      <c r="F540" s="8" t="str">
        <f>IF($A540="","",IFERROR(INDEX(PROGRES!$A$2:$A$92,MATCH(E540,PROGRES!$B$2:$B$92,0)),"-"))</f>
        <v/>
      </c>
      <c r="G540" s="8" t="str">
        <f>IF($A540="","",UPPER(TRIM(INDEX(FORM!$F:$F,ROW()))))</f>
        <v/>
      </c>
      <c r="H540" s="8" t="str">
        <f>IF($A540="","",UPPER(TRIM(INDEX(FORM!$E:$E,ROW()))))</f>
        <v/>
      </c>
      <c r="I540" s="8" t="str">
        <f>IF($A540="","",UPPER(TRIM(INDEX(FORM!$G:$G,ROW()))))</f>
        <v/>
      </c>
      <c r="J540" s="8" t="str">
        <f>IF($A540="","",IF(ISNUMBER(SEARCH("Ya,",INDEX(FORM!$H:$H,ROW()))),"YA",IF(ISNUMBER(SEARCH("Cukup,",INDEX(FORM!$H:$H,ROW()))),"CUKUP",IF(ISNUMBER(SEARCH("Kurang,",INDEX(FORM!$H:$H,ROW()))),"KURANG",""))))</f>
        <v/>
      </c>
      <c r="K540" s="8" t="str">
        <f>IF($A540="","",UPPER(TRIM(INDEX(FORM!$J:$J,ROW()))))</f>
        <v/>
      </c>
      <c r="L540" s="8" t="str">
        <f>IF($A540="","",IF(ISNUMBER(SEARCH("Aktivitas Harian",INDEX(FORM!$K:$K,ROW()))),1,0))</f>
        <v/>
      </c>
      <c r="M540" s="8" t="str">
        <f>IF($A540="","",IF(ISNUMBER(SEARCH("Aktivitas Mingguan",INDEX(FORM!$K:$K,ROW()))),1,0))</f>
        <v/>
      </c>
      <c r="N540" s="8" t="str">
        <f>IF($A540="","",IF(ISNUMBER(SEARCH("Aktivitas Bulanan",INDEX(FORM!$K:$K,ROW()))),1,0))</f>
        <v/>
      </c>
      <c r="O540" s="8" t="str">
        <f>IF($A540="","",IF(ISNUMBER(SEARCH("Overview Cabang",INDEX(FORM!$K:$K,ROW()))),1,0))</f>
        <v/>
      </c>
      <c r="P540" s="8" t="str">
        <f>IF($A540="","",IFERROR(VLOOKUP(I540,DATA!$AH$9:$AI$13,2,0),""))</f>
        <v/>
      </c>
      <c r="Q540" s="8" t="str">
        <f>IF($A540="","",IFERROR(VLOOKUP(J540,DATA!$AH$9:$AI$13,2,0),""))</f>
        <v/>
      </c>
      <c r="R540" s="8" t="str">
        <f>IF($A540="","",IFERROR(VLOOKUP(K540,DATA!$AH$9:$AI$13,2,0),""))</f>
        <v/>
      </c>
      <c r="S540" s="42" t="str">
        <f t="shared" si="176"/>
        <v/>
      </c>
      <c r="T540" s="8" t="str">
        <f>IF($A540="","",IF(COUNTIF($D$2:D540,D540)=1,1,0))</f>
        <v/>
      </c>
      <c r="U540" s="8" t="str">
        <f>IF($A540="","",IF(F540="-","Cabang tdk ada",IF(IFERROR(VLOOKUP(G540,#REF!,1,0),"")="","",IF(INDEX(DATA!$AH$2:$AH$5,MATCH(G540,DATA!$AI$2:$AI$5,0))&lt;&gt;F540,"Wilayah beda","OK"))))</f>
        <v/>
      </c>
      <c r="V540" s="8" t="str">
        <f>IF($A540="","",TRIM(INDEX(FORM!$I:$I,ROW())&amp;""))</f>
        <v/>
      </c>
      <c r="W540" s="8" t="str">
        <f>IF($A540="","",TRIM(INDEX(FORM!$L:$L,ROW())&amp;""))</f>
        <v/>
      </c>
      <c r="X540" s="8" t="str">
        <f>IF($A540="","",TRIM(INDEX(FORM!$M:$M,ROW())&amp;""))</f>
        <v/>
      </c>
      <c r="Y540" s="8" t="str">
        <f>IF($A540="","",IFERROR(MATCH(F540,DATA!$AH$2:$AH$5,0),9)*10000+A540)</f>
        <v/>
      </c>
      <c r="Z540" s="8" t="str">
        <f t="shared" si="177"/>
        <v/>
      </c>
      <c r="AA540" s="8" t="str">
        <f t="shared" si="178"/>
        <v/>
      </c>
      <c r="AB540" s="8" t="str">
        <f t="shared" si="179"/>
        <v/>
      </c>
      <c r="AC540" s="8"/>
      <c r="AD540" s="8"/>
      <c r="AE540" s="8"/>
      <c r="AK540" s="5" t="str">
        <f t="shared" si="180"/>
        <v/>
      </c>
      <c r="AL540" s="5" t="str">
        <f t="shared" si="181"/>
        <v/>
      </c>
      <c r="AM540" s="5" t="str">
        <f t="shared" si="182"/>
        <v/>
      </c>
      <c r="AN540" s="5" t="str">
        <f t="shared" si="183"/>
        <v/>
      </c>
      <c r="AO540" s="5" t="str">
        <f t="shared" si="184"/>
        <v/>
      </c>
      <c r="AP540" s="5" t="str">
        <f t="shared" si="185"/>
        <v/>
      </c>
      <c r="AQ540" s="5" t="str">
        <f t="shared" si="186"/>
        <v/>
      </c>
      <c r="AR540" s="5" t="str">
        <f t="shared" si="187"/>
        <v/>
      </c>
      <c r="AS540" s="5" t="str">
        <f t="shared" si="188"/>
        <v/>
      </c>
      <c r="AT540" s="5" t="str">
        <f t="shared" si="189"/>
        <v/>
      </c>
      <c r="AU540" s="5" t="str">
        <f t="shared" si="190"/>
        <v/>
      </c>
      <c r="AV540" s="5" t="str">
        <f t="shared" si="191"/>
        <v/>
      </c>
      <c r="AW540" s="5" t="str">
        <f t="shared" si="192"/>
        <v/>
      </c>
      <c r="AX540" s="5" t="str">
        <f t="shared" si="193"/>
        <v/>
      </c>
      <c r="AY540" s="5" t="str">
        <f t="shared" si="194"/>
        <v/>
      </c>
      <c r="AZ540" s="5" t="str">
        <f t="shared" si="195"/>
        <v/>
      </c>
      <c r="BA540" s="5" t="str">
        <f t="shared" si="196"/>
        <v/>
      </c>
      <c r="BB540" s="5" t="str">
        <f t="shared" si="197"/>
        <v/>
      </c>
    </row>
    <row r="541" spans="1:54" s="5" customFormat="1" hidden="1">
      <c r="A541" s="8" t="str">
        <f>IF(INDEX(FORM!$A:$A,ROW())="","",ROW()-1)</f>
        <v/>
      </c>
      <c r="B541" s="41" t="str">
        <f>IF($A541="","",INDEX(FORM!$A:$A,ROW()))</f>
        <v/>
      </c>
      <c r="C541" s="8" t="str">
        <f>IF($A541="","",TRIM(INDEX(FORM!$B:$B,ROW())))</f>
        <v/>
      </c>
      <c r="D541" s="8" t="str">
        <f>IF($A541="","",TRIM(INDEX(FORM!$C:$C,ROW())&amp;""))</f>
        <v/>
      </c>
      <c r="E541" s="8" t="str">
        <f>IF($A541="","",UPPER(TRIM(INDEX(FORM!$D:$D,ROW()))))</f>
        <v/>
      </c>
      <c r="F541" s="8" t="str">
        <f>IF($A541="","",IFERROR(INDEX(PROGRES!$A$2:$A$92,MATCH(E541,PROGRES!$B$2:$B$92,0)),"-"))</f>
        <v/>
      </c>
      <c r="G541" s="8" t="str">
        <f>IF($A541="","",UPPER(TRIM(INDEX(FORM!$F:$F,ROW()))))</f>
        <v/>
      </c>
      <c r="H541" s="8" t="str">
        <f>IF($A541="","",UPPER(TRIM(INDEX(FORM!$E:$E,ROW()))))</f>
        <v/>
      </c>
      <c r="I541" s="8" t="str">
        <f>IF($A541="","",UPPER(TRIM(INDEX(FORM!$G:$G,ROW()))))</f>
        <v/>
      </c>
      <c r="J541" s="8" t="str">
        <f>IF($A541="","",IF(ISNUMBER(SEARCH("Ya,",INDEX(FORM!$H:$H,ROW()))),"YA",IF(ISNUMBER(SEARCH("Cukup,",INDEX(FORM!$H:$H,ROW()))),"CUKUP",IF(ISNUMBER(SEARCH("Kurang,",INDEX(FORM!$H:$H,ROW()))),"KURANG",""))))</f>
        <v/>
      </c>
      <c r="K541" s="8" t="str">
        <f>IF($A541="","",UPPER(TRIM(INDEX(FORM!$J:$J,ROW()))))</f>
        <v/>
      </c>
      <c r="L541" s="8" t="str">
        <f>IF($A541="","",IF(ISNUMBER(SEARCH("Aktivitas Harian",INDEX(FORM!$K:$K,ROW()))),1,0))</f>
        <v/>
      </c>
      <c r="M541" s="8" t="str">
        <f>IF($A541="","",IF(ISNUMBER(SEARCH("Aktivitas Mingguan",INDEX(FORM!$K:$K,ROW()))),1,0))</f>
        <v/>
      </c>
      <c r="N541" s="8" t="str">
        <f>IF($A541="","",IF(ISNUMBER(SEARCH("Aktivitas Bulanan",INDEX(FORM!$K:$K,ROW()))),1,0))</f>
        <v/>
      </c>
      <c r="O541" s="8" t="str">
        <f>IF($A541="","",IF(ISNUMBER(SEARCH("Overview Cabang",INDEX(FORM!$K:$K,ROW()))),1,0))</f>
        <v/>
      </c>
      <c r="P541" s="8" t="str">
        <f>IF($A541="","",IFERROR(VLOOKUP(I541,DATA!$AH$9:$AI$13,2,0),""))</f>
        <v/>
      </c>
      <c r="Q541" s="8" t="str">
        <f>IF($A541="","",IFERROR(VLOOKUP(J541,DATA!$AH$9:$AI$13,2,0),""))</f>
        <v/>
      </c>
      <c r="R541" s="8" t="str">
        <f>IF($A541="","",IFERROR(VLOOKUP(K541,DATA!$AH$9:$AI$13,2,0),""))</f>
        <v/>
      </c>
      <c r="S541" s="42" t="str">
        <f t="shared" si="176"/>
        <v/>
      </c>
      <c r="T541" s="8" t="str">
        <f>IF($A541="","",IF(COUNTIF($D$2:D541,D541)=1,1,0))</f>
        <v/>
      </c>
      <c r="U541" s="8" t="str">
        <f>IF($A541="","",IF(F541="-","Cabang tdk ada",IF(IFERROR(VLOOKUP(G541,#REF!,1,0),"")="","",IF(INDEX(DATA!$AH$2:$AH$5,MATCH(G541,DATA!$AI$2:$AI$5,0))&lt;&gt;F541,"Wilayah beda","OK"))))</f>
        <v/>
      </c>
      <c r="V541" s="8" t="str">
        <f>IF($A541="","",TRIM(INDEX(FORM!$I:$I,ROW())&amp;""))</f>
        <v/>
      </c>
      <c r="W541" s="8" t="str">
        <f>IF($A541="","",TRIM(INDEX(FORM!$L:$L,ROW())&amp;""))</f>
        <v/>
      </c>
      <c r="X541" s="8" t="str">
        <f>IF($A541="","",TRIM(INDEX(FORM!$M:$M,ROW())&amp;""))</f>
        <v/>
      </c>
      <c r="Y541" s="8" t="str">
        <f>IF($A541="","",IFERROR(MATCH(F541,DATA!$AH$2:$AH$5,0),9)*10000+A541)</f>
        <v/>
      </c>
      <c r="Z541" s="8" t="str">
        <f t="shared" si="177"/>
        <v/>
      </c>
      <c r="AA541" s="8" t="str">
        <f t="shared" si="178"/>
        <v/>
      </c>
      <c r="AB541" s="8" t="str">
        <f t="shared" si="179"/>
        <v/>
      </c>
      <c r="AC541" s="8"/>
      <c r="AD541" s="8"/>
      <c r="AE541" s="8"/>
      <c r="AK541" s="5" t="str">
        <f t="shared" si="180"/>
        <v/>
      </c>
      <c r="AL541" s="5" t="str">
        <f t="shared" si="181"/>
        <v/>
      </c>
      <c r="AM541" s="5" t="str">
        <f t="shared" si="182"/>
        <v/>
      </c>
      <c r="AN541" s="5" t="str">
        <f t="shared" si="183"/>
        <v/>
      </c>
      <c r="AO541" s="5" t="str">
        <f t="shared" si="184"/>
        <v/>
      </c>
      <c r="AP541" s="5" t="str">
        <f t="shared" si="185"/>
        <v/>
      </c>
      <c r="AQ541" s="5" t="str">
        <f t="shared" si="186"/>
        <v/>
      </c>
      <c r="AR541" s="5" t="str">
        <f t="shared" si="187"/>
        <v/>
      </c>
      <c r="AS541" s="5" t="str">
        <f t="shared" si="188"/>
        <v/>
      </c>
      <c r="AT541" s="5" t="str">
        <f t="shared" si="189"/>
        <v/>
      </c>
      <c r="AU541" s="5" t="str">
        <f t="shared" si="190"/>
        <v/>
      </c>
      <c r="AV541" s="5" t="str">
        <f t="shared" si="191"/>
        <v/>
      </c>
      <c r="AW541" s="5" t="str">
        <f t="shared" si="192"/>
        <v/>
      </c>
      <c r="AX541" s="5" t="str">
        <f t="shared" si="193"/>
        <v/>
      </c>
      <c r="AY541" s="5" t="str">
        <f t="shared" si="194"/>
        <v/>
      </c>
      <c r="AZ541" s="5" t="str">
        <f t="shared" si="195"/>
        <v/>
      </c>
      <c r="BA541" s="5" t="str">
        <f t="shared" si="196"/>
        <v/>
      </c>
      <c r="BB541" s="5" t="str">
        <f t="shared" si="197"/>
        <v/>
      </c>
    </row>
    <row r="542" spans="1:54" s="5" customFormat="1" hidden="1">
      <c r="A542" s="8" t="str">
        <f>IF(INDEX(FORM!$A:$A,ROW())="","",ROW()-1)</f>
        <v/>
      </c>
      <c r="B542" s="41" t="str">
        <f>IF($A542="","",INDEX(FORM!$A:$A,ROW()))</f>
        <v/>
      </c>
      <c r="C542" s="8" t="str">
        <f>IF($A542="","",TRIM(INDEX(FORM!$B:$B,ROW())))</f>
        <v/>
      </c>
      <c r="D542" s="8" t="str">
        <f>IF($A542="","",TRIM(INDEX(FORM!$C:$C,ROW())&amp;""))</f>
        <v/>
      </c>
      <c r="E542" s="8" t="str">
        <f>IF($A542="","",UPPER(TRIM(INDEX(FORM!$D:$D,ROW()))))</f>
        <v/>
      </c>
      <c r="F542" s="8" t="str">
        <f>IF($A542="","",IFERROR(INDEX(PROGRES!$A$2:$A$92,MATCH(E542,PROGRES!$B$2:$B$92,0)),"-"))</f>
        <v/>
      </c>
      <c r="G542" s="8" t="str">
        <f>IF($A542="","",UPPER(TRIM(INDEX(FORM!$F:$F,ROW()))))</f>
        <v/>
      </c>
      <c r="H542" s="8" t="str">
        <f>IF($A542="","",UPPER(TRIM(INDEX(FORM!$E:$E,ROW()))))</f>
        <v/>
      </c>
      <c r="I542" s="8" t="str">
        <f>IF($A542="","",UPPER(TRIM(INDEX(FORM!$G:$G,ROW()))))</f>
        <v/>
      </c>
      <c r="J542" s="8" t="str">
        <f>IF($A542="","",IF(ISNUMBER(SEARCH("Ya,",INDEX(FORM!$H:$H,ROW()))),"YA",IF(ISNUMBER(SEARCH("Cukup,",INDEX(FORM!$H:$H,ROW()))),"CUKUP",IF(ISNUMBER(SEARCH("Kurang,",INDEX(FORM!$H:$H,ROW()))),"KURANG",""))))</f>
        <v/>
      </c>
      <c r="K542" s="8" t="str">
        <f>IF($A542="","",UPPER(TRIM(INDEX(FORM!$J:$J,ROW()))))</f>
        <v/>
      </c>
      <c r="L542" s="8" t="str">
        <f>IF($A542="","",IF(ISNUMBER(SEARCH("Aktivitas Harian",INDEX(FORM!$K:$K,ROW()))),1,0))</f>
        <v/>
      </c>
      <c r="M542" s="8" t="str">
        <f>IF($A542="","",IF(ISNUMBER(SEARCH("Aktivitas Mingguan",INDEX(FORM!$K:$K,ROW()))),1,0))</f>
        <v/>
      </c>
      <c r="N542" s="8" t="str">
        <f>IF($A542="","",IF(ISNUMBER(SEARCH("Aktivitas Bulanan",INDEX(FORM!$K:$K,ROW()))),1,0))</f>
        <v/>
      </c>
      <c r="O542" s="8" t="str">
        <f>IF($A542="","",IF(ISNUMBER(SEARCH("Overview Cabang",INDEX(FORM!$K:$K,ROW()))),1,0))</f>
        <v/>
      </c>
      <c r="P542" s="8" t="str">
        <f>IF($A542="","",IFERROR(VLOOKUP(I542,DATA!$AH$9:$AI$13,2,0),""))</f>
        <v/>
      </c>
      <c r="Q542" s="8" t="str">
        <f>IF($A542="","",IFERROR(VLOOKUP(J542,DATA!$AH$9:$AI$13,2,0),""))</f>
        <v/>
      </c>
      <c r="R542" s="8" t="str">
        <f>IF($A542="","",IFERROR(VLOOKUP(K542,DATA!$AH$9:$AI$13,2,0),""))</f>
        <v/>
      </c>
      <c r="S542" s="42" t="str">
        <f t="shared" si="176"/>
        <v/>
      </c>
      <c r="T542" s="8" t="str">
        <f>IF($A542="","",IF(COUNTIF($D$2:D542,D542)=1,1,0))</f>
        <v/>
      </c>
      <c r="U542" s="8" t="str">
        <f>IF($A542="","",IF(F542="-","Cabang tdk ada",IF(IFERROR(VLOOKUP(G542,#REF!,1,0),"")="","",IF(INDEX(DATA!$AH$2:$AH$5,MATCH(G542,DATA!$AI$2:$AI$5,0))&lt;&gt;F542,"Wilayah beda","OK"))))</f>
        <v/>
      </c>
      <c r="V542" s="8" t="str">
        <f>IF($A542="","",TRIM(INDEX(FORM!$I:$I,ROW())&amp;""))</f>
        <v/>
      </c>
      <c r="W542" s="8" t="str">
        <f>IF($A542="","",TRIM(INDEX(FORM!$L:$L,ROW())&amp;""))</f>
        <v/>
      </c>
      <c r="X542" s="8" t="str">
        <f>IF($A542="","",TRIM(INDEX(FORM!$M:$M,ROW())&amp;""))</f>
        <v/>
      </c>
      <c r="Y542" s="8" t="str">
        <f>IF($A542="","",IFERROR(MATCH(F542,DATA!$AH$2:$AH$5,0),9)*10000+A542)</f>
        <v/>
      </c>
      <c r="Z542" s="8" t="str">
        <f t="shared" si="177"/>
        <v/>
      </c>
      <c r="AA542" s="8" t="str">
        <f t="shared" si="178"/>
        <v/>
      </c>
      <c r="AB542" s="8" t="str">
        <f t="shared" si="179"/>
        <v/>
      </c>
      <c r="AC542" s="8"/>
      <c r="AD542" s="8"/>
      <c r="AE542" s="8"/>
      <c r="AK542" s="5" t="str">
        <f t="shared" si="180"/>
        <v/>
      </c>
      <c r="AL542" s="5" t="str">
        <f t="shared" si="181"/>
        <v/>
      </c>
      <c r="AM542" s="5" t="str">
        <f t="shared" si="182"/>
        <v/>
      </c>
      <c r="AN542" s="5" t="str">
        <f t="shared" si="183"/>
        <v/>
      </c>
      <c r="AO542" s="5" t="str">
        <f t="shared" si="184"/>
        <v/>
      </c>
      <c r="AP542" s="5" t="str">
        <f t="shared" si="185"/>
        <v/>
      </c>
      <c r="AQ542" s="5" t="str">
        <f t="shared" si="186"/>
        <v/>
      </c>
      <c r="AR542" s="5" t="str">
        <f t="shared" si="187"/>
        <v/>
      </c>
      <c r="AS542" s="5" t="str">
        <f t="shared" si="188"/>
        <v/>
      </c>
      <c r="AT542" s="5" t="str">
        <f t="shared" si="189"/>
        <v/>
      </c>
      <c r="AU542" s="5" t="str">
        <f t="shared" si="190"/>
        <v/>
      </c>
      <c r="AV542" s="5" t="str">
        <f t="shared" si="191"/>
        <v/>
      </c>
      <c r="AW542" s="5" t="str">
        <f t="shared" si="192"/>
        <v/>
      </c>
      <c r="AX542" s="5" t="str">
        <f t="shared" si="193"/>
        <v/>
      </c>
      <c r="AY542" s="5" t="str">
        <f t="shared" si="194"/>
        <v/>
      </c>
      <c r="AZ542" s="5" t="str">
        <f t="shared" si="195"/>
        <v/>
      </c>
      <c r="BA542" s="5" t="str">
        <f t="shared" si="196"/>
        <v/>
      </c>
      <c r="BB542" s="5" t="str">
        <f t="shared" si="197"/>
        <v/>
      </c>
    </row>
    <row r="543" spans="1:54" s="5" customFormat="1" hidden="1">
      <c r="A543" s="8" t="str">
        <f>IF(INDEX(FORM!$A:$A,ROW())="","",ROW()-1)</f>
        <v/>
      </c>
      <c r="B543" s="41" t="str">
        <f>IF($A543="","",INDEX(FORM!$A:$A,ROW()))</f>
        <v/>
      </c>
      <c r="C543" s="8" t="str">
        <f>IF($A543="","",TRIM(INDEX(FORM!$B:$B,ROW())))</f>
        <v/>
      </c>
      <c r="D543" s="8" t="str">
        <f>IF($A543="","",TRIM(INDEX(FORM!$C:$C,ROW())&amp;""))</f>
        <v/>
      </c>
      <c r="E543" s="8" t="str">
        <f>IF($A543="","",UPPER(TRIM(INDEX(FORM!$D:$D,ROW()))))</f>
        <v/>
      </c>
      <c r="F543" s="8" t="str">
        <f>IF($A543="","",IFERROR(INDEX(PROGRES!$A$2:$A$92,MATCH(E543,PROGRES!$B$2:$B$92,0)),"-"))</f>
        <v/>
      </c>
      <c r="G543" s="8" t="str">
        <f>IF($A543="","",UPPER(TRIM(INDEX(FORM!$F:$F,ROW()))))</f>
        <v/>
      </c>
      <c r="H543" s="8" t="str">
        <f>IF($A543="","",UPPER(TRIM(INDEX(FORM!$E:$E,ROW()))))</f>
        <v/>
      </c>
      <c r="I543" s="8" t="str">
        <f>IF($A543="","",UPPER(TRIM(INDEX(FORM!$G:$G,ROW()))))</f>
        <v/>
      </c>
      <c r="J543" s="8" t="str">
        <f>IF($A543="","",IF(ISNUMBER(SEARCH("Ya,",INDEX(FORM!$H:$H,ROW()))),"YA",IF(ISNUMBER(SEARCH("Cukup,",INDEX(FORM!$H:$H,ROW()))),"CUKUP",IF(ISNUMBER(SEARCH("Kurang,",INDEX(FORM!$H:$H,ROW()))),"KURANG",""))))</f>
        <v/>
      </c>
      <c r="K543" s="8" t="str">
        <f>IF($A543="","",UPPER(TRIM(INDEX(FORM!$J:$J,ROW()))))</f>
        <v/>
      </c>
      <c r="L543" s="8" t="str">
        <f>IF($A543="","",IF(ISNUMBER(SEARCH("Aktivitas Harian",INDEX(FORM!$K:$K,ROW()))),1,0))</f>
        <v/>
      </c>
      <c r="M543" s="8" t="str">
        <f>IF($A543="","",IF(ISNUMBER(SEARCH("Aktivitas Mingguan",INDEX(FORM!$K:$K,ROW()))),1,0))</f>
        <v/>
      </c>
      <c r="N543" s="8" t="str">
        <f>IF($A543="","",IF(ISNUMBER(SEARCH("Aktivitas Bulanan",INDEX(FORM!$K:$K,ROW()))),1,0))</f>
        <v/>
      </c>
      <c r="O543" s="8" t="str">
        <f>IF($A543="","",IF(ISNUMBER(SEARCH("Overview Cabang",INDEX(FORM!$K:$K,ROW()))),1,0))</f>
        <v/>
      </c>
      <c r="P543" s="8" t="str">
        <f>IF($A543="","",IFERROR(VLOOKUP(I543,DATA!$AH$9:$AI$13,2,0),""))</f>
        <v/>
      </c>
      <c r="Q543" s="8" t="str">
        <f>IF($A543="","",IFERROR(VLOOKUP(J543,DATA!$AH$9:$AI$13,2,0),""))</f>
        <v/>
      </c>
      <c r="R543" s="8" t="str">
        <f>IF($A543="","",IFERROR(VLOOKUP(K543,DATA!$AH$9:$AI$13,2,0),""))</f>
        <v/>
      </c>
      <c r="S543" s="42" t="str">
        <f t="shared" si="176"/>
        <v/>
      </c>
      <c r="T543" s="8" t="str">
        <f>IF($A543="","",IF(COUNTIF($D$2:D543,D543)=1,1,0))</f>
        <v/>
      </c>
      <c r="U543" s="8" t="str">
        <f>IF($A543="","",IF(F543="-","Cabang tdk ada",IF(IFERROR(VLOOKUP(G543,#REF!,1,0),"")="","",IF(INDEX(DATA!$AH$2:$AH$5,MATCH(G543,DATA!$AI$2:$AI$5,0))&lt;&gt;F543,"Wilayah beda","OK"))))</f>
        <v/>
      </c>
      <c r="V543" s="8" t="str">
        <f>IF($A543="","",TRIM(INDEX(FORM!$I:$I,ROW())&amp;""))</f>
        <v/>
      </c>
      <c r="W543" s="8" t="str">
        <f>IF($A543="","",TRIM(INDEX(FORM!$L:$L,ROW())&amp;""))</f>
        <v/>
      </c>
      <c r="X543" s="8" t="str">
        <f>IF($A543="","",TRIM(INDEX(FORM!$M:$M,ROW())&amp;""))</f>
        <v/>
      </c>
      <c r="Y543" s="8" t="str">
        <f>IF($A543="","",IFERROR(MATCH(F543,DATA!$AH$2:$AH$5,0),9)*10000+A543)</f>
        <v/>
      </c>
      <c r="Z543" s="8" t="str">
        <f t="shared" si="177"/>
        <v/>
      </c>
      <c r="AA543" s="8" t="str">
        <f t="shared" si="178"/>
        <v/>
      </c>
      <c r="AB543" s="8" t="str">
        <f t="shared" si="179"/>
        <v/>
      </c>
      <c r="AC543" s="8"/>
      <c r="AD543" s="8"/>
      <c r="AE543" s="8"/>
      <c r="AK543" s="5" t="str">
        <f t="shared" si="180"/>
        <v/>
      </c>
      <c r="AL543" s="5" t="str">
        <f t="shared" si="181"/>
        <v/>
      </c>
      <c r="AM543" s="5" t="str">
        <f t="shared" si="182"/>
        <v/>
      </c>
      <c r="AN543" s="5" t="str">
        <f t="shared" si="183"/>
        <v/>
      </c>
      <c r="AO543" s="5" t="str">
        <f t="shared" si="184"/>
        <v/>
      </c>
      <c r="AP543" s="5" t="str">
        <f t="shared" si="185"/>
        <v/>
      </c>
      <c r="AQ543" s="5" t="str">
        <f t="shared" si="186"/>
        <v/>
      </c>
      <c r="AR543" s="5" t="str">
        <f t="shared" si="187"/>
        <v/>
      </c>
      <c r="AS543" s="5" t="str">
        <f t="shared" si="188"/>
        <v/>
      </c>
      <c r="AT543" s="5" t="str">
        <f t="shared" si="189"/>
        <v/>
      </c>
      <c r="AU543" s="5" t="str">
        <f t="shared" si="190"/>
        <v/>
      </c>
      <c r="AV543" s="5" t="str">
        <f t="shared" si="191"/>
        <v/>
      </c>
      <c r="AW543" s="5" t="str">
        <f t="shared" si="192"/>
        <v/>
      </c>
      <c r="AX543" s="5" t="str">
        <f t="shared" si="193"/>
        <v/>
      </c>
      <c r="AY543" s="5" t="str">
        <f t="shared" si="194"/>
        <v/>
      </c>
      <c r="AZ543" s="5" t="str">
        <f t="shared" si="195"/>
        <v/>
      </c>
      <c r="BA543" s="5" t="str">
        <f t="shared" si="196"/>
        <v/>
      </c>
      <c r="BB543" s="5" t="str">
        <f t="shared" si="197"/>
        <v/>
      </c>
    </row>
    <row r="544" spans="1:54" s="5" customFormat="1" hidden="1">
      <c r="A544" s="8" t="str">
        <f>IF(INDEX(FORM!$A:$A,ROW())="","",ROW()-1)</f>
        <v/>
      </c>
      <c r="B544" s="41" t="str">
        <f>IF($A544="","",INDEX(FORM!$A:$A,ROW()))</f>
        <v/>
      </c>
      <c r="C544" s="8" t="str">
        <f>IF($A544="","",TRIM(INDEX(FORM!$B:$B,ROW())))</f>
        <v/>
      </c>
      <c r="D544" s="8" t="str">
        <f>IF($A544="","",TRIM(INDEX(FORM!$C:$C,ROW())&amp;""))</f>
        <v/>
      </c>
      <c r="E544" s="8" t="str">
        <f>IF($A544="","",UPPER(TRIM(INDEX(FORM!$D:$D,ROW()))))</f>
        <v/>
      </c>
      <c r="F544" s="8" t="str">
        <f>IF($A544="","",IFERROR(INDEX(PROGRES!$A$2:$A$92,MATCH(E544,PROGRES!$B$2:$B$92,0)),"-"))</f>
        <v/>
      </c>
      <c r="G544" s="8" t="str">
        <f>IF($A544="","",UPPER(TRIM(INDEX(FORM!$F:$F,ROW()))))</f>
        <v/>
      </c>
      <c r="H544" s="8" t="str">
        <f>IF($A544="","",UPPER(TRIM(INDEX(FORM!$E:$E,ROW()))))</f>
        <v/>
      </c>
      <c r="I544" s="8" t="str">
        <f>IF($A544="","",UPPER(TRIM(INDEX(FORM!$G:$G,ROW()))))</f>
        <v/>
      </c>
      <c r="J544" s="8" t="str">
        <f>IF($A544="","",IF(ISNUMBER(SEARCH("Ya,",INDEX(FORM!$H:$H,ROW()))),"YA",IF(ISNUMBER(SEARCH("Cukup,",INDEX(FORM!$H:$H,ROW()))),"CUKUP",IF(ISNUMBER(SEARCH("Kurang,",INDEX(FORM!$H:$H,ROW()))),"KURANG",""))))</f>
        <v/>
      </c>
      <c r="K544" s="8" t="str">
        <f>IF($A544="","",UPPER(TRIM(INDEX(FORM!$J:$J,ROW()))))</f>
        <v/>
      </c>
      <c r="L544" s="8" t="str">
        <f>IF($A544="","",IF(ISNUMBER(SEARCH("Aktivitas Harian",INDEX(FORM!$K:$K,ROW()))),1,0))</f>
        <v/>
      </c>
      <c r="M544" s="8" t="str">
        <f>IF($A544="","",IF(ISNUMBER(SEARCH("Aktivitas Mingguan",INDEX(FORM!$K:$K,ROW()))),1,0))</f>
        <v/>
      </c>
      <c r="N544" s="8" t="str">
        <f>IF($A544="","",IF(ISNUMBER(SEARCH("Aktivitas Bulanan",INDEX(FORM!$K:$K,ROW()))),1,0))</f>
        <v/>
      </c>
      <c r="O544" s="8" t="str">
        <f>IF($A544="","",IF(ISNUMBER(SEARCH("Overview Cabang",INDEX(FORM!$K:$K,ROW()))),1,0))</f>
        <v/>
      </c>
      <c r="P544" s="8" t="str">
        <f>IF($A544="","",IFERROR(VLOOKUP(I544,DATA!$AH$9:$AI$13,2,0),""))</f>
        <v/>
      </c>
      <c r="Q544" s="8" t="str">
        <f>IF($A544="","",IFERROR(VLOOKUP(J544,DATA!$AH$9:$AI$13,2,0),""))</f>
        <v/>
      </c>
      <c r="R544" s="8" t="str">
        <f>IF($A544="","",IFERROR(VLOOKUP(K544,DATA!$AH$9:$AI$13,2,0),""))</f>
        <v/>
      </c>
      <c r="S544" s="42" t="str">
        <f t="shared" si="176"/>
        <v/>
      </c>
      <c r="T544" s="8" t="str">
        <f>IF($A544="","",IF(COUNTIF($D$2:D544,D544)=1,1,0))</f>
        <v/>
      </c>
      <c r="U544" s="8" t="str">
        <f>IF($A544="","",IF(F544="-","Cabang tdk ada",IF(IFERROR(VLOOKUP(G544,#REF!,1,0),"")="","",IF(INDEX(DATA!$AH$2:$AH$5,MATCH(G544,DATA!$AI$2:$AI$5,0))&lt;&gt;F544,"Wilayah beda","OK"))))</f>
        <v/>
      </c>
      <c r="V544" s="8" t="str">
        <f>IF($A544="","",TRIM(INDEX(FORM!$I:$I,ROW())&amp;""))</f>
        <v/>
      </c>
      <c r="W544" s="8" t="str">
        <f>IF($A544="","",TRIM(INDEX(FORM!$L:$L,ROW())&amp;""))</f>
        <v/>
      </c>
      <c r="X544" s="8" t="str">
        <f>IF($A544="","",TRIM(INDEX(FORM!$M:$M,ROW())&amp;""))</f>
        <v/>
      </c>
      <c r="Y544" s="8" t="str">
        <f>IF($A544="","",IFERROR(MATCH(F544,DATA!$AH$2:$AH$5,0),9)*10000+A544)</f>
        <v/>
      </c>
      <c r="Z544" s="8" t="str">
        <f t="shared" si="177"/>
        <v/>
      </c>
      <c r="AA544" s="8" t="str">
        <f t="shared" si="178"/>
        <v/>
      </c>
      <c r="AB544" s="8" t="str">
        <f t="shared" si="179"/>
        <v/>
      </c>
      <c r="AC544" s="8"/>
      <c r="AD544" s="8"/>
      <c r="AE544" s="8"/>
      <c r="AK544" s="5" t="str">
        <f t="shared" si="180"/>
        <v/>
      </c>
      <c r="AL544" s="5" t="str">
        <f t="shared" si="181"/>
        <v/>
      </c>
      <c r="AM544" s="5" t="str">
        <f t="shared" si="182"/>
        <v/>
      </c>
      <c r="AN544" s="5" t="str">
        <f t="shared" si="183"/>
        <v/>
      </c>
      <c r="AO544" s="5" t="str">
        <f t="shared" si="184"/>
        <v/>
      </c>
      <c r="AP544" s="5" t="str">
        <f t="shared" si="185"/>
        <v/>
      </c>
      <c r="AQ544" s="5" t="str">
        <f t="shared" si="186"/>
        <v/>
      </c>
      <c r="AR544" s="5" t="str">
        <f t="shared" si="187"/>
        <v/>
      </c>
      <c r="AS544" s="5" t="str">
        <f t="shared" si="188"/>
        <v/>
      </c>
      <c r="AT544" s="5" t="str">
        <f t="shared" si="189"/>
        <v/>
      </c>
      <c r="AU544" s="5" t="str">
        <f t="shared" si="190"/>
        <v/>
      </c>
      <c r="AV544" s="5" t="str">
        <f t="shared" si="191"/>
        <v/>
      </c>
      <c r="AW544" s="5" t="str">
        <f t="shared" si="192"/>
        <v/>
      </c>
      <c r="AX544" s="5" t="str">
        <f t="shared" si="193"/>
        <v/>
      </c>
      <c r="AY544" s="5" t="str">
        <f t="shared" si="194"/>
        <v/>
      </c>
      <c r="AZ544" s="5" t="str">
        <f t="shared" si="195"/>
        <v/>
      </c>
      <c r="BA544" s="5" t="str">
        <f t="shared" si="196"/>
        <v/>
      </c>
      <c r="BB544" s="5" t="str">
        <f t="shared" si="197"/>
        <v/>
      </c>
    </row>
    <row r="545" spans="1:54" s="5" customFormat="1" hidden="1">
      <c r="A545" s="8" t="str">
        <f>IF(INDEX(FORM!$A:$A,ROW())="","",ROW()-1)</f>
        <v/>
      </c>
      <c r="B545" s="41" t="str">
        <f>IF($A545="","",INDEX(FORM!$A:$A,ROW()))</f>
        <v/>
      </c>
      <c r="C545" s="8" t="str">
        <f>IF($A545="","",TRIM(INDEX(FORM!$B:$B,ROW())))</f>
        <v/>
      </c>
      <c r="D545" s="8" t="str">
        <f>IF($A545="","",TRIM(INDEX(FORM!$C:$C,ROW())&amp;""))</f>
        <v/>
      </c>
      <c r="E545" s="8" t="str">
        <f>IF($A545="","",UPPER(TRIM(INDEX(FORM!$D:$D,ROW()))))</f>
        <v/>
      </c>
      <c r="F545" s="8" t="str">
        <f>IF($A545="","",IFERROR(INDEX(PROGRES!$A$2:$A$92,MATCH(E545,PROGRES!$B$2:$B$92,0)),"-"))</f>
        <v/>
      </c>
      <c r="G545" s="8" t="str">
        <f>IF($A545="","",UPPER(TRIM(INDEX(FORM!$F:$F,ROW()))))</f>
        <v/>
      </c>
      <c r="H545" s="8" t="str">
        <f>IF($A545="","",UPPER(TRIM(INDEX(FORM!$E:$E,ROW()))))</f>
        <v/>
      </c>
      <c r="I545" s="8" t="str">
        <f>IF($A545="","",UPPER(TRIM(INDEX(FORM!$G:$G,ROW()))))</f>
        <v/>
      </c>
      <c r="J545" s="8" t="str">
        <f>IF($A545="","",IF(ISNUMBER(SEARCH("Ya,",INDEX(FORM!$H:$H,ROW()))),"YA",IF(ISNUMBER(SEARCH("Cukup,",INDEX(FORM!$H:$H,ROW()))),"CUKUP",IF(ISNUMBER(SEARCH("Kurang,",INDEX(FORM!$H:$H,ROW()))),"KURANG",""))))</f>
        <v/>
      </c>
      <c r="K545" s="8" t="str">
        <f>IF($A545="","",UPPER(TRIM(INDEX(FORM!$J:$J,ROW()))))</f>
        <v/>
      </c>
      <c r="L545" s="8" t="str">
        <f>IF($A545="","",IF(ISNUMBER(SEARCH("Aktivitas Harian",INDEX(FORM!$K:$K,ROW()))),1,0))</f>
        <v/>
      </c>
      <c r="M545" s="8" t="str">
        <f>IF($A545="","",IF(ISNUMBER(SEARCH("Aktivitas Mingguan",INDEX(FORM!$K:$K,ROW()))),1,0))</f>
        <v/>
      </c>
      <c r="N545" s="8" t="str">
        <f>IF($A545="","",IF(ISNUMBER(SEARCH("Aktivitas Bulanan",INDEX(FORM!$K:$K,ROW()))),1,0))</f>
        <v/>
      </c>
      <c r="O545" s="8" t="str">
        <f>IF($A545="","",IF(ISNUMBER(SEARCH("Overview Cabang",INDEX(FORM!$K:$K,ROW()))),1,0))</f>
        <v/>
      </c>
      <c r="P545" s="8" t="str">
        <f>IF($A545="","",IFERROR(VLOOKUP(I545,DATA!$AH$9:$AI$13,2,0),""))</f>
        <v/>
      </c>
      <c r="Q545" s="8" t="str">
        <f>IF($A545="","",IFERROR(VLOOKUP(J545,DATA!$AH$9:$AI$13,2,0),""))</f>
        <v/>
      </c>
      <c r="R545" s="8" t="str">
        <f>IF($A545="","",IFERROR(VLOOKUP(K545,DATA!$AH$9:$AI$13,2,0),""))</f>
        <v/>
      </c>
      <c r="S545" s="42" t="str">
        <f t="shared" si="176"/>
        <v/>
      </c>
      <c r="T545" s="8" t="str">
        <f>IF($A545="","",IF(COUNTIF($D$2:D545,D545)=1,1,0))</f>
        <v/>
      </c>
      <c r="U545" s="8" t="str">
        <f>IF($A545="","",IF(F545="-","Cabang tdk ada",IF(IFERROR(VLOOKUP(G545,#REF!,1,0),"")="","",IF(INDEX(DATA!$AH$2:$AH$5,MATCH(G545,DATA!$AI$2:$AI$5,0))&lt;&gt;F545,"Wilayah beda","OK"))))</f>
        <v/>
      </c>
      <c r="V545" s="8" t="str">
        <f>IF($A545="","",TRIM(INDEX(FORM!$I:$I,ROW())&amp;""))</f>
        <v/>
      </c>
      <c r="W545" s="8" t="str">
        <f>IF($A545="","",TRIM(INDEX(FORM!$L:$L,ROW())&amp;""))</f>
        <v/>
      </c>
      <c r="X545" s="8" t="str">
        <f>IF($A545="","",TRIM(INDEX(FORM!$M:$M,ROW())&amp;""))</f>
        <v/>
      </c>
      <c r="Y545" s="8" t="str">
        <f>IF($A545="","",IFERROR(MATCH(F545,DATA!$AH$2:$AH$5,0),9)*10000+A545)</f>
        <v/>
      </c>
      <c r="Z545" s="8" t="str">
        <f t="shared" si="177"/>
        <v/>
      </c>
      <c r="AA545" s="8" t="str">
        <f t="shared" si="178"/>
        <v/>
      </c>
      <c r="AB545" s="8" t="str">
        <f t="shared" si="179"/>
        <v/>
      </c>
      <c r="AC545" s="8"/>
      <c r="AD545" s="8"/>
      <c r="AE545" s="8"/>
      <c r="AK545" s="5" t="str">
        <f t="shared" si="180"/>
        <v/>
      </c>
      <c r="AL545" s="5" t="str">
        <f t="shared" si="181"/>
        <v/>
      </c>
      <c r="AM545" s="5" t="str">
        <f t="shared" si="182"/>
        <v/>
      </c>
      <c r="AN545" s="5" t="str">
        <f t="shared" si="183"/>
        <v/>
      </c>
      <c r="AO545" s="5" t="str">
        <f t="shared" si="184"/>
        <v/>
      </c>
      <c r="AP545" s="5" t="str">
        <f t="shared" si="185"/>
        <v/>
      </c>
      <c r="AQ545" s="5" t="str">
        <f t="shared" si="186"/>
        <v/>
      </c>
      <c r="AR545" s="5" t="str">
        <f t="shared" si="187"/>
        <v/>
      </c>
      <c r="AS545" s="5" t="str">
        <f t="shared" si="188"/>
        <v/>
      </c>
      <c r="AT545" s="5" t="str">
        <f t="shared" si="189"/>
        <v/>
      </c>
      <c r="AU545" s="5" t="str">
        <f t="shared" si="190"/>
        <v/>
      </c>
      <c r="AV545" s="5" t="str">
        <f t="shared" si="191"/>
        <v/>
      </c>
      <c r="AW545" s="5" t="str">
        <f t="shared" si="192"/>
        <v/>
      </c>
      <c r="AX545" s="5" t="str">
        <f t="shared" si="193"/>
        <v/>
      </c>
      <c r="AY545" s="5" t="str">
        <f t="shared" si="194"/>
        <v/>
      </c>
      <c r="AZ545" s="5" t="str">
        <f t="shared" si="195"/>
        <v/>
      </c>
      <c r="BA545" s="5" t="str">
        <f t="shared" si="196"/>
        <v/>
      </c>
      <c r="BB545" s="5" t="str">
        <f t="shared" si="197"/>
        <v/>
      </c>
    </row>
    <row r="546" spans="1:54" s="5" customFormat="1" hidden="1">
      <c r="A546" s="8" t="str">
        <f>IF(INDEX(FORM!$A:$A,ROW())="","",ROW()-1)</f>
        <v/>
      </c>
      <c r="B546" s="41" t="str">
        <f>IF($A546="","",INDEX(FORM!$A:$A,ROW()))</f>
        <v/>
      </c>
      <c r="C546" s="8" t="str">
        <f>IF($A546="","",TRIM(INDEX(FORM!$B:$B,ROW())))</f>
        <v/>
      </c>
      <c r="D546" s="8" t="str">
        <f>IF($A546="","",TRIM(INDEX(FORM!$C:$C,ROW())&amp;""))</f>
        <v/>
      </c>
      <c r="E546" s="8" t="str">
        <f>IF($A546="","",UPPER(TRIM(INDEX(FORM!$D:$D,ROW()))))</f>
        <v/>
      </c>
      <c r="F546" s="8" t="str">
        <f>IF($A546="","",IFERROR(INDEX(PROGRES!$A$2:$A$92,MATCH(E546,PROGRES!$B$2:$B$92,0)),"-"))</f>
        <v/>
      </c>
      <c r="G546" s="8" t="str">
        <f>IF($A546="","",UPPER(TRIM(INDEX(FORM!$F:$F,ROW()))))</f>
        <v/>
      </c>
      <c r="H546" s="8" t="str">
        <f>IF($A546="","",UPPER(TRIM(INDEX(FORM!$E:$E,ROW()))))</f>
        <v/>
      </c>
      <c r="I546" s="8" t="str">
        <f>IF($A546="","",UPPER(TRIM(INDEX(FORM!$G:$G,ROW()))))</f>
        <v/>
      </c>
      <c r="J546" s="8" t="str">
        <f>IF($A546="","",IF(ISNUMBER(SEARCH("Ya,",INDEX(FORM!$H:$H,ROW()))),"YA",IF(ISNUMBER(SEARCH("Cukup,",INDEX(FORM!$H:$H,ROW()))),"CUKUP",IF(ISNUMBER(SEARCH("Kurang,",INDEX(FORM!$H:$H,ROW()))),"KURANG",""))))</f>
        <v/>
      </c>
      <c r="K546" s="8" t="str">
        <f>IF($A546="","",UPPER(TRIM(INDEX(FORM!$J:$J,ROW()))))</f>
        <v/>
      </c>
      <c r="L546" s="8" t="str">
        <f>IF($A546="","",IF(ISNUMBER(SEARCH("Aktivitas Harian",INDEX(FORM!$K:$K,ROW()))),1,0))</f>
        <v/>
      </c>
      <c r="M546" s="8" t="str">
        <f>IF($A546="","",IF(ISNUMBER(SEARCH("Aktivitas Mingguan",INDEX(FORM!$K:$K,ROW()))),1,0))</f>
        <v/>
      </c>
      <c r="N546" s="8" t="str">
        <f>IF($A546="","",IF(ISNUMBER(SEARCH("Aktivitas Bulanan",INDEX(FORM!$K:$K,ROW()))),1,0))</f>
        <v/>
      </c>
      <c r="O546" s="8" t="str">
        <f>IF($A546="","",IF(ISNUMBER(SEARCH("Overview Cabang",INDEX(FORM!$K:$K,ROW()))),1,0))</f>
        <v/>
      </c>
      <c r="P546" s="8" t="str">
        <f>IF($A546="","",IFERROR(VLOOKUP(I546,DATA!$AH$9:$AI$13,2,0),""))</f>
        <v/>
      </c>
      <c r="Q546" s="8" t="str">
        <f>IF($A546="","",IFERROR(VLOOKUP(J546,DATA!$AH$9:$AI$13,2,0),""))</f>
        <v/>
      </c>
      <c r="R546" s="8" t="str">
        <f>IF($A546="","",IFERROR(VLOOKUP(K546,DATA!$AH$9:$AI$13,2,0),""))</f>
        <v/>
      </c>
      <c r="S546" s="42" t="str">
        <f t="shared" si="176"/>
        <v/>
      </c>
      <c r="T546" s="8" t="str">
        <f>IF($A546="","",IF(COUNTIF($D$2:D546,D546)=1,1,0))</f>
        <v/>
      </c>
      <c r="U546" s="8" t="str">
        <f>IF($A546="","",IF(F546="-","Cabang tdk ada",IF(IFERROR(VLOOKUP(G546,#REF!,1,0),"")="","",IF(INDEX(DATA!$AH$2:$AH$5,MATCH(G546,DATA!$AI$2:$AI$5,0))&lt;&gt;F546,"Wilayah beda","OK"))))</f>
        <v/>
      </c>
      <c r="V546" s="8" t="str">
        <f>IF($A546="","",TRIM(INDEX(FORM!$I:$I,ROW())&amp;""))</f>
        <v/>
      </c>
      <c r="W546" s="8" t="str">
        <f>IF($A546="","",TRIM(INDEX(FORM!$L:$L,ROW())&amp;""))</f>
        <v/>
      </c>
      <c r="X546" s="8" t="str">
        <f>IF($A546="","",TRIM(INDEX(FORM!$M:$M,ROW())&amp;""))</f>
        <v/>
      </c>
      <c r="Y546" s="8" t="str">
        <f>IF($A546="","",IFERROR(MATCH(F546,DATA!$AH$2:$AH$5,0),9)*10000+A546)</f>
        <v/>
      </c>
      <c r="Z546" s="8" t="str">
        <f t="shared" si="177"/>
        <v/>
      </c>
      <c r="AA546" s="8" t="str">
        <f t="shared" si="178"/>
        <v/>
      </c>
      <c r="AB546" s="8" t="str">
        <f t="shared" si="179"/>
        <v/>
      </c>
      <c r="AC546" s="8"/>
      <c r="AD546" s="8"/>
      <c r="AE546" s="8"/>
      <c r="AK546" s="5" t="str">
        <f t="shared" si="180"/>
        <v/>
      </c>
      <c r="AL546" s="5" t="str">
        <f t="shared" si="181"/>
        <v/>
      </c>
      <c r="AM546" s="5" t="str">
        <f t="shared" si="182"/>
        <v/>
      </c>
      <c r="AN546" s="5" t="str">
        <f t="shared" si="183"/>
        <v/>
      </c>
      <c r="AO546" s="5" t="str">
        <f t="shared" si="184"/>
        <v/>
      </c>
      <c r="AP546" s="5" t="str">
        <f t="shared" si="185"/>
        <v/>
      </c>
      <c r="AQ546" s="5" t="str">
        <f t="shared" si="186"/>
        <v/>
      </c>
      <c r="AR546" s="5" t="str">
        <f t="shared" si="187"/>
        <v/>
      </c>
      <c r="AS546" s="5" t="str">
        <f t="shared" si="188"/>
        <v/>
      </c>
      <c r="AT546" s="5" t="str">
        <f t="shared" si="189"/>
        <v/>
      </c>
      <c r="AU546" s="5" t="str">
        <f t="shared" si="190"/>
        <v/>
      </c>
      <c r="AV546" s="5" t="str">
        <f t="shared" si="191"/>
        <v/>
      </c>
      <c r="AW546" s="5" t="str">
        <f t="shared" si="192"/>
        <v/>
      </c>
      <c r="AX546" s="5" t="str">
        <f t="shared" si="193"/>
        <v/>
      </c>
      <c r="AY546" s="5" t="str">
        <f t="shared" si="194"/>
        <v/>
      </c>
      <c r="AZ546" s="5" t="str">
        <f t="shared" si="195"/>
        <v/>
      </c>
      <c r="BA546" s="5" t="str">
        <f t="shared" si="196"/>
        <v/>
      </c>
      <c r="BB546" s="5" t="str">
        <f t="shared" si="197"/>
        <v/>
      </c>
    </row>
    <row r="547" spans="1:54" s="5" customFormat="1" hidden="1">
      <c r="A547" s="8" t="str">
        <f>IF(INDEX(FORM!$A:$A,ROW())="","",ROW()-1)</f>
        <v/>
      </c>
      <c r="B547" s="41" t="str">
        <f>IF($A547="","",INDEX(FORM!$A:$A,ROW()))</f>
        <v/>
      </c>
      <c r="C547" s="8" t="str">
        <f>IF($A547="","",TRIM(INDEX(FORM!$B:$B,ROW())))</f>
        <v/>
      </c>
      <c r="D547" s="8" t="str">
        <f>IF($A547="","",TRIM(INDEX(FORM!$C:$C,ROW())&amp;""))</f>
        <v/>
      </c>
      <c r="E547" s="8" t="str">
        <f>IF($A547="","",UPPER(TRIM(INDEX(FORM!$D:$D,ROW()))))</f>
        <v/>
      </c>
      <c r="F547" s="8" t="str">
        <f>IF($A547="","",IFERROR(INDEX(PROGRES!$A$2:$A$92,MATCH(E547,PROGRES!$B$2:$B$92,0)),"-"))</f>
        <v/>
      </c>
      <c r="G547" s="8" t="str">
        <f>IF($A547="","",UPPER(TRIM(INDEX(FORM!$F:$F,ROW()))))</f>
        <v/>
      </c>
      <c r="H547" s="8" t="str">
        <f>IF($A547="","",UPPER(TRIM(INDEX(FORM!$E:$E,ROW()))))</f>
        <v/>
      </c>
      <c r="I547" s="8" t="str">
        <f>IF($A547="","",UPPER(TRIM(INDEX(FORM!$G:$G,ROW()))))</f>
        <v/>
      </c>
      <c r="J547" s="8" t="str">
        <f>IF($A547="","",IF(ISNUMBER(SEARCH("Ya,",INDEX(FORM!$H:$H,ROW()))),"YA",IF(ISNUMBER(SEARCH("Cukup,",INDEX(FORM!$H:$H,ROW()))),"CUKUP",IF(ISNUMBER(SEARCH("Kurang,",INDEX(FORM!$H:$H,ROW()))),"KURANG",""))))</f>
        <v/>
      </c>
      <c r="K547" s="8" t="str">
        <f>IF($A547="","",UPPER(TRIM(INDEX(FORM!$J:$J,ROW()))))</f>
        <v/>
      </c>
      <c r="L547" s="8" t="str">
        <f>IF($A547="","",IF(ISNUMBER(SEARCH("Aktivitas Harian",INDEX(FORM!$K:$K,ROW()))),1,0))</f>
        <v/>
      </c>
      <c r="M547" s="8" t="str">
        <f>IF($A547="","",IF(ISNUMBER(SEARCH("Aktivitas Mingguan",INDEX(FORM!$K:$K,ROW()))),1,0))</f>
        <v/>
      </c>
      <c r="N547" s="8" t="str">
        <f>IF($A547="","",IF(ISNUMBER(SEARCH("Aktivitas Bulanan",INDEX(FORM!$K:$K,ROW()))),1,0))</f>
        <v/>
      </c>
      <c r="O547" s="8" t="str">
        <f>IF($A547="","",IF(ISNUMBER(SEARCH("Overview Cabang",INDEX(FORM!$K:$K,ROW()))),1,0))</f>
        <v/>
      </c>
      <c r="P547" s="8" t="str">
        <f>IF($A547="","",IFERROR(VLOOKUP(I547,DATA!$AH$9:$AI$13,2,0),""))</f>
        <v/>
      </c>
      <c r="Q547" s="8" t="str">
        <f>IF($A547="","",IFERROR(VLOOKUP(J547,DATA!$AH$9:$AI$13,2,0),""))</f>
        <v/>
      </c>
      <c r="R547" s="8" t="str">
        <f>IF($A547="","",IFERROR(VLOOKUP(K547,DATA!$AH$9:$AI$13,2,0),""))</f>
        <v/>
      </c>
      <c r="S547" s="42" t="str">
        <f t="shared" si="176"/>
        <v/>
      </c>
      <c r="T547" s="8" t="str">
        <f>IF($A547="","",IF(COUNTIF($D$2:D547,D547)=1,1,0))</f>
        <v/>
      </c>
      <c r="U547" s="8" t="str">
        <f>IF($A547="","",IF(F547="-","Cabang tdk ada",IF(IFERROR(VLOOKUP(G547,#REF!,1,0),"")="","",IF(INDEX(DATA!$AH$2:$AH$5,MATCH(G547,DATA!$AI$2:$AI$5,0))&lt;&gt;F547,"Wilayah beda","OK"))))</f>
        <v/>
      </c>
      <c r="V547" s="8" t="str">
        <f>IF($A547="","",TRIM(INDEX(FORM!$I:$I,ROW())&amp;""))</f>
        <v/>
      </c>
      <c r="W547" s="8" t="str">
        <f>IF($A547="","",TRIM(INDEX(FORM!$L:$L,ROW())&amp;""))</f>
        <v/>
      </c>
      <c r="X547" s="8" t="str">
        <f>IF($A547="","",TRIM(INDEX(FORM!$M:$M,ROW())&amp;""))</f>
        <v/>
      </c>
      <c r="Y547" s="8" t="str">
        <f>IF($A547="","",IFERROR(MATCH(F547,DATA!$AH$2:$AH$5,0),9)*10000+A547)</f>
        <v/>
      </c>
      <c r="Z547" s="8" t="str">
        <f t="shared" si="177"/>
        <v/>
      </c>
      <c r="AA547" s="8" t="str">
        <f t="shared" si="178"/>
        <v/>
      </c>
      <c r="AB547" s="8" t="str">
        <f t="shared" si="179"/>
        <v/>
      </c>
      <c r="AC547" s="8"/>
      <c r="AD547" s="8"/>
      <c r="AE547" s="8"/>
      <c r="AK547" s="5" t="str">
        <f t="shared" si="180"/>
        <v/>
      </c>
      <c r="AL547" s="5" t="str">
        <f t="shared" si="181"/>
        <v/>
      </c>
      <c r="AM547" s="5" t="str">
        <f t="shared" si="182"/>
        <v/>
      </c>
      <c r="AN547" s="5" t="str">
        <f t="shared" si="183"/>
        <v/>
      </c>
      <c r="AO547" s="5" t="str">
        <f t="shared" si="184"/>
        <v/>
      </c>
      <c r="AP547" s="5" t="str">
        <f t="shared" si="185"/>
        <v/>
      </c>
      <c r="AQ547" s="5" t="str">
        <f t="shared" si="186"/>
        <v/>
      </c>
      <c r="AR547" s="5" t="str">
        <f t="shared" si="187"/>
        <v/>
      </c>
      <c r="AS547" s="5" t="str">
        <f t="shared" si="188"/>
        <v/>
      </c>
      <c r="AT547" s="5" t="str">
        <f t="shared" si="189"/>
        <v/>
      </c>
      <c r="AU547" s="5" t="str">
        <f t="shared" si="190"/>
        <v/>
      </c>
      <c r="AV547" s="5" t="str">
        <f t="shared" si="191"/>
        <v/>
      </c>
      <c r="AW547" s="5" t="str">
        <f t="shared" si="192"/>
        <v/>
      </c>
      <c r="AX547" s="5" t="str">
        <f t="shared" si="193"/>
        <v/>
      </c>
      <c r="AY547" s="5" t="str">
        <f t="shared" si="194"/>
        <v/>
      </c>
      <c r="AZ547" s="5" t="str">
        <f t="shared" si="195"/>
        <v/>
      </c>
      <c r="BA547" s="5" t="str">
        <f t="shared" si="196"/>
        <v/>
      </c>
      <c r="BB547" s="5" t="str">
        <f t="shared" si="197"/>
        <v/>
      </c>
    </row>
    <row r="548" spans="1:54" s="5" customFormat="1" hidden="1">
      <c r="A548" s="8" t="str">
        <f>IF(INDEX(FORM!$A:$A,ROW())="","",ROW()-1)</f>
        <v/>
      </c>
      <c r="B548" s="41" t="str">
        <f>IF($A548="","",INDEX(FORM!$A:$A,ROW()))</f>
        <v/>
      </c>
      <c r="C548" s="8" t="str">
        <f>IF($A548="","",TRIM(INDEX(FORM!$B:$B,ROW())))</f>
        <v/>
      </c>
      <c r="D548" s="8" t="str">
        <f>IF($A548="","",TRIM(INDEX(FORM!$C:$C,ROW())&amp;""))</f>
        <v/>
      </c>
      <c r="E548" s="8" t="str">
        <f>IF($A548="","",UPPER(TRIM(INDEX(FORM!$D:$D,ROW()))))</f>
        <v/>
      </c>
      <c r="F548" s="8" t="str">
        <f>IF($A548="","",IFERROR(INDEX(PROGRES!$A$2:$A$92,MATCH(E548,PROGRES!$B$2:$B$92,0)),"-"))</f>
        <v/>
      </c>
      <c r="G548" s="8" t="str">
        <f>IF($A548="","",UPPER(TRIM(INDEX(FORM!$F:$F,ROW()))))</f>
        <v/>
      </c>
      <c r="H548" s="8" t="str">
        <f>IF($A548="","",UPPER(TRIM(INDEX(FORM!$E:$E,ROW()))))</f>
        <v/>
      </c>
      <c r="I548" s="8" t="str">
        <f>IF($A548="","",UPPER(TRIM(INDEX(FORM!$G:$G,ROW()))))</f>
        <v/>
      </c>
      <c r="J548" s="8" t="str">
        <f>IF($A548="","",IF(ISNUMBER(SEARCH("Ya,",INDEX(FORM!$H:$H,ROW()))),"YA",IF(ISNUMBER(SEARCH("Cukup,",INDEX(FORM!$H:$H,ROW()))),"CUKUP",IF(ISNUMBER(SEARCH("Kurang,",INDEX(FORM!$H:$H,ROW()))),"KURANG",""))))</f>
        <v/>
      </c>
      <c r="K548" s="8" t="str">
        <f>IF($A548="","",UPPER(TRIM(INDEX(FORM!$J:$J,ROW()))))</f>
        <v/>
      </c>
      <c r="L548" s="8" t="str">
        <f>IF($A548="","",IF(ISNUMBER(SEARCH("Aktivitas Harian",INDEX(FORM!$K:$K,ROW()))),1,0))</f>
        <v/>
      </c>
      <c r="M548" s="8" t="str">
        <f>IF($A548="","",IF(ISNUMBER(SEARCH("Aktivitas Mingguan",INDEX(FORM!$K:$K,ROW()))),1,0))</f>
        <v/>
      </c>
      <c r="N548" s="8" t="str">
        <f>IF($A548="","",IF(ISNUMBER(SEARCH("Aktivitas Bulanan",INDEX(FORM!$K:$K,ROW()))),1,0))</f>
        <v/>
      </c>
      <c r="O548" s="8" t="str">
        <f>IF($A548="","",IF(ISNUMBER(SEARCH("Overview Cabang",INDEX(FORM!$K:$K,ROW()))),1,0))</f>
        <v/>
      </c>
      <c r="P548" s="8" t="str">
        <f>IF($A548="","",IFERROR(VLOOKUP(I548,DATA!$AH$9:$AI$13,2,0),""))</f>
        <v/>
      </c>
      <c r="Q548" s="8" t="str">
        <f>IF($A548="","",IFERROR(VLOOKUP(J548,DATA!$AH$9:$AI$13,2,0),""))</f>
        <v/>
      </c>
      <c r="R548" s="8" t="str">
        <f>IF($A548="","",IFERROR(VLOOKUP(K548,DATA!$AH$9:$AI$13,2,0),""))</f>
        <v/>
      </c>
      <c r="S548" s="42" t="str">
        <f t="shared" si="176"/>
        <v/>
      </c>
      <c r="T548" s="8" t="str">
        <f>IF($A548="","",IF(COUNTIF($D$2:D548,D548)=1,1,0))</f>
        <v/>
      </c>
      <c r="U548" s="8" t="str">
        <f>IF($A548="","",IF(F548="-","Cabang tdk ada",IF(IFERROR(VLOOKUP(G548,#REF!,1,0),"")="","",IF(INDEX(DATA!$AH$2:$AH$5,MATCH(G548,DATA!$AI$2:$AI$5,0))&lt;&gt;F548,"Wilayah beda","OK"))))</f>
        <v/>
      </c>
      <c r="V548" s="8" t="str">
        <f>IF($A548="","",TRIM(INDEX(FORM!$I:$I,ROW())&amp;""))</f>
        <v/>
      </c>
      <c r="W548" s="8" t="str">
        <f>IF($A548="","",TRIM(INDEX(FORM!$L:$L,ROW())&amp;""))</f>
        <v/>
      </c>
      <c r="X548" s="8" t="str">
        <f>IF($A548="","",TRIM(INDEX(FORM!$M:$M,ROW())&amp;""))</f>
        <v/>
      </c>
      <c r="Y548" s="8" t="str">
        <f>IF($A548="","",IFERROR(MATCH(F548,DATA!$AH$2:$AH$5,0),9)*10000+A548)</f>
        <v/>
      </c>
      <c r="Z548" s="8" t="str">
        <f t="shared" si="177"/>
        <v/>
      </c>
      <c r="AA548" s="8" t="str">
        <f t="shared" si="178"/>
        <v/>
      </c>
      <c r="AB548" s="8" t="str">
        <f t="shared" si="179"/>
        <v/>
      </c>
      <c r="AC548" s="8"/>
      <c r="AD548" s="8"/>
      <c r="AE548" s="8"/>
      <c r="AK548" s="5" t="str">
        <f t="shared" si="180"/>
        <v/>
      </c>
      <c r="AL548" s="5" t="str">
        <f t="shared" si="181"/>
        <v/>
      </c>
      <c r="AM548" s="5" t="str">
        <f t="shared" si="182"/>
        <v/>
      </c>
      <c r="AN548" s="5" t="str">
        <f t="shared" si="183"/>
        <v/>
      </c>
      <c r="AO548" s="5" t="str">
        <f t="shared" si="184"/>
        <v/>
      </c>
      <c r="AP548" s="5" t="str">
        <f t="shared" si="185"/>
        <v/>
      </c>
      <c r="AQ548" s="5" t="str">
        <f t="shared" si="186"/>
        <v/>
      </c>
      <c r="AR548" s="5" t="str">
        <f t="shared" si="187"/>
        <v/>
      </c>
      <c r="AS548" s="5" t="str">
        <f t="shared" si="188"/>
        <v/>
      </c>
      <c r="AT548" s="5" t="str">
        <f t="shared" si="189"/>
        <v/>
      </c>
      <c r="AU548" s="5" t="str">
        <f t="shared" si="190"/>
        <v/>
      </c>
      <c r="AV548" s="5" t="str">
        <f t="shared" si="191"/>
        <v/>
      </c>
      <c r="AW548" s="5" t="str">
        <f t="shared" si="192"/>
        <v/>
      </c>
      <c r="AX548" s="5" t="str">
        <f t="shared" si="193"/>
        <v/>
      </c>
      <c r="AY548" s="5" t="str">
        <f t="shared" si="194"/>
        <v/>
      </c>
      <c r="AZ548" s="5" t="str">
        <f t="shared" si="195"/>
        <v/>
      </c>
      <c r="BA548" s="5" t="str">
        <f t="shared" si="196"/>
        <v/>
      </c>
      <c r="BB548" s="5" t="str">
        <f t="shared" si="197"/>
        <v/>
      </c>
    </row>
    <row r="549" spans="1:54" s="5" customFormat="1" hidden="1">
      <c r="A549" s="8" t="str">
        <f>IF(INDEX(FORM!$A:$A,ROW())="","",ROW()-1)</f>
        <v/>
      </c>
      <c r="B549" s="41" t="str">
        <f>IF($A549="","",INDEX(FORM!$A:$A,ROW()))</f>
        <v/>
      </c>
      <c r="C549" s="8" t="str">
        <f>IF($A549="","",TRIM(INDEX(FORM!$B:$B,ROW())))</f>
        <v/>
      </c>
      <c r="D549" s="8" t="str">
        <f>IF($A549="","",TRIM(INDEX(FORM!$C:$C,ROW())&amp;""))</f>
        <v/>
      </c>
      <c r="E549" s="8" t="str">
        <f>IF($A549="","",UPPER(TRIM(INDEX(FORM!$D:$D,ROW()))))</f>
        <v/>
      </c>
      <c r="F549" s="8" t="str">
        <f>IF($A549="","",IFERROR(INDEX(PROGRES!$A$2:$A$92,MATCH(E549,PROGRES!$B$2:$B$92,0)),"-"))</f>
        <v/>
      </c>
      <c r="G549" s="8" t="str">
        <f>IF($A549="","",UPPER(TRIM(INDEX(FORM!$F:$F,ROW()))))</f>
        <v/>
      </c>
      <c r="H549" s="8" t="str">
        <f>IF($A549="","",UPPER(TRIM(INDEX(FORM!$E:$E,ROW()))))</f>
        <v/>
      </c>
      <c r="I549" s="8" t="str">
        <f>IF($A549="","",UPPER(TRIM(INDEX(FORM!$G:$G,ROW()))))</f>
        <v/>
      </c>
      <c r="J549" s="8" t="str">
        <f>IF($A549="","",IF(ISNUMBER(SEARCH("Ya,",INDEX(FORM!$H:$H,ROW()))),"YA",IF(ISNUMBER(SEARCH("Cukup,",INDEX(FORM!$H:$H,ROW()))),"CUKUP",IF(ISNUMBER(SEARCH("Kurang,",INDEX(FORM!$H:$H,ROW()))),"KURANG",""))))</f>
        <v/>
      </c>
      <c r="K549" s="8" t="str">
        <f>IF($A549="","",UPPER(TRIM(INDEX(FORM!$J:$J,ROW()))))</f>
        <v/>
      </c>
      <c r="L549" s="8" t="str">
        <f>IF($A549="","",IF(ISNUMBER(SEARCH("Aktivitas Harian",INDEX(FORM!$K:$K,ROW()))),1,0))</f>
        <v/>
      </c>
      <c r="M549" s="8" t="str">
        <f>IF($A549="","",IF(ISNUMBER(SEARCH("Aktivitas Mingguan",INDEX(FORM!$K:$K,ROW()))),1,0))</f>
        <v/>
      </c>
      <c r="N549" s="8" t="str">
        <f>IF($A549="","",IF(ISNUMBER(SEARCH("Aktivitas Bulanan",INDEX(FORM!$K:$K,ROW()))),1,0))</f>
        <v/>
      </c>
      <c r="O549" s="8" t="str">
        <f>IF($A549="","",IF(ISNUMBER(SEARCH("Overview Cabang",INDEX(FORM!$K:$K,ROW()))),1,0))</f>
        <v/>
      </c>
      <c r="P549" s="8" t="str">
        <f>IF($A549="","",IFERROR(VLOOKUP(I549,DATA!$AH$9:$AI$13,2,0),""))</f>
        <v/>
      </c>
      <c r="Q549" s="8" t="str">
        <f>IF($A549="","",IFERROR(VLOOKUP(J549,DATA!$AH$9:$AI$13,2,0),""))</f>
        <v/>
      </c>
      <c r="R549" s="8" t="str">
        <f>IF($A549="","",IFERROR(VLOOKUP(K549,DATA!$AH$9:$AI$13,2,0),""))</f>
        <v/>
      </c>
      <c r="S549" s="42" t="str">
        <f t="shared" si="176"/>
        <v/>
      </c>
      <c r="T549" s="8" t="str">
        <f>IF($A549="","",IF(COUNTIF($D$2:D549,D549)=1,1,0))</f>
        <v/>
      </c>
      <c r="U549" s="8" t="str">
        <f>IF($A549="","",IF(F549="-","Cabang tdk ada",IF(IFERROR(VLOOKUP(G549,#REF!,1,0),"")="","",IF(INDEX(DATA!$AH$2:$AH$5,MATCH(G549,DATA!$AI$2:$AI$5,0))&lt;&gt;F549,"Wilayah beda","OK"))))</f>
        <v/>
      </c>
      <c r="V549" s="8" t="str">
        <f>IF($A549="","",TRIM(INDEX(FORM!$I:$I,ROW())&amp;""))</f>
        <v/>
      </c>
      <c r="W549" s="8" t="str">
        <f>IF($A549="","",TRIM(INDEX(FORM!$L:$L,ROW())&amp;""))</f>
        <v/>
      </c>
      <c r="X549" s="8" t="str">
        <f>IF($A549="","",TRIM(INDEX(FORM!$M:$M,ROW())&amp;""))</f>
        <v/>
      </c>
      <c r="Y549" s="8" t="str">
        <f>IF($A549="","",IFERROR(MATCH(F549,DATA!$AH$2:$AH$5,0),9)*10000+A549)</f>
        <v/>
      </c>
      <c r="Z549" s="8" t="str">
        <f t="shared" si="177"/>
        <v/>
      </c>
      <c r="AA549" s="8" t="str">
        <f t="shared" si="178"/>
        <v/>
      </c>
      <c r="AB549" s="8" t="str">
        <f t="shared" si="179"/>
        <v/>
      </c>
      <c r="AC549" s="8"/>
      <c r="AD549" s="8"/>
      <c r="AE549" s="8"/>
      <c r="AK549" s="5" t="str">
        <f t="shared" si="180"/>
        <v/>
      </c>
      <c r="AL549" s="5" t="str">
        <f t="shared" si="181"/>
        <v/>
      </c>
      <c r="AM549" s="5" t="str">
        <f t="shared" si="182"/>
        <v/>
      </c>
      <c r="AN549" s="5" t="str">
        <f t="shared" si="183"/>
        <v/>
      </c>
      <c r="AO549" s="5" t="str">
        <f t="shared" si="184"/>
        <v/>
      </c>
      <c r="AP549" s="5" t="str">
        <f t="shared" si="185"/>
        <v/>
      </c>
      <c r="AQ549" s="5" t="str">
        <f t="shared" si="186"/>
        <v/>
      </c>
      <c r="AR549" s="5" t="str">
        <f t="shared" si="187"/>
        <v/>
      </c>
      <c r="AS549" s="5" t="str">
        <f t="shared" si="188"/>
        <v/>
      </c>
      <c r="AT549" s="5" t="str">
        <f t="shared" si="189"/>
        <v/>
      </c>
      <c r="AU549" s="5" t="str">
        <f t="shared" si="190"/>
        <v/>
      </c>
      <c r="AV549" s="5" t="str">
        <f t="shared" si="191"/>
        <v/>
      </c>
      <c r="AW549" s="5" t="str">
        <f t="shared" si="192"/>
        <v/>
      </c>
      <c r="AX549" s="5" t="str">
        <f t="shared" si="193"/>
        <v/>
      </c>
      <c r="AY549" s="5" t="str">
        <f t="shared" si="194"/>
        <v/>
      </c>
      <c r="AZ549" s="5" t="str">
        <f t="shared" si="195"/>
        <v/>
      </c>
      <c r="BA549" s="5" t="str">
        <f t="shared" si="196"/>
        <v/>
      </c>
      <c r="BB549" s="5" t="str">
        <f t="shared" si="197"/>
        <v/>
      </c>
    </row>
    <row r="550" spans="1:54" s="5" customFormat="1" hidden="1">
      <c r="A550" s="8" t="str">
        <f>IF(INDEX(FORM!$A:$A,ROW())="","",ROW()-1)</f>
        <v/>
      </c>
      <c r="B550" s="41" t="str">
        <f>IF($A550="","",INDEX(FORM!$A:$A,ROW()))</f>
        <v/>
      </c>
      <c r="C550" s="8" t="str">
        <f>IF($A550="","",TRIM(INDEX(FORM!$B:$B,ROW())))</f>
        <v/>
      </c>
      <c r="D550" s="8" t="str">
        <f>IF($A550="","",TRIM(INDEX(FORM!$C:$C,ROW())&amp;""))</f>
        <v/>
      </c>
      <c r="E550" s="8" t="str">
        <f>IF($A550="","",UPPER(TRIM(INDEX(FORM!$D:$D,ROW()))))</f>
        <v/>
      </c>
      <c r="F550" s="8" t="str">
        <f>IF($A550="","",IFERROR(INDEX(PROGRES!$A$2:$A$92,MATCH(E550,PROGRES!$B$2:$B$92,0)),"-"))</f>
        <v/>
      </c>
      <c r="G550" s="8" t="str">
        <f>IF($A550="","",UPPER(TRIM(INDEX(FORM!$F:$F,ROW()))))</f>
        <v/>
      </c>
      <c r="H550" s="8" t="str">
        <f>IF($A550="","",UPPER(TRIM(INDEX(FORM!$E:$E,ROW()))))</f>
        <v/>
      </c>
      <c r="I550" s="8" t="str">
        <f>IF($A550="","",UPPER(TRIM(INDEX(FORM!$G:$G,ROW()))))</f>
        <v/>
      </c>
      <c r="J550" s="8" t="str">
        <f>IF($A550="","",IF(ISNUMBER(SEARCH("Ya,",INDEX(FORM!$H:$H,ROW()))),"YA",IF(ISNUMBER(SEARCH("Cukup,",INDEX(FORM!$H:$H,ROW()))),"CUKUP",IF(ISNUMBER(SEARCH("Kurang,",INDEX(FORM!$H:$H,ROW()))),"KURANG",""))))</f>
        <v/>
      </c>
      <c r="K550" s="8" t="str">
        <f>IF($A550="","",UPPER(TRIM(INDEX(FORM!$J:$J,ROW()))))</f>
        <v/>
      </c>
      <c r="L550" s="8" t="str">
        <f>IF($A550="","",IF(ISNUMBER(SEARCH("Aktivitas Harian",INDEX(FORM!$K:$K,ROW()))),1,0))</f>
        <v/>
      </c>
      <c r="M550" s="8" t="str">
        <f>IF($A550="","",IF(ISNUMBER(SEARCH("Aktivitas Mingguan",INDEX(FORM!$K:$K,ROW()))),1,0))</f>
        <v/>
      </c>
      <c r="N550" s="8" t="str">
        <f>IF($A550="","",IF(ISNUMBER(SEARCH("Aktivitas Bulanan",INDEX(FORM!$K:$K,ROW()))),1,0))</f>
        <v/>
      </c>
      <c r="O550" s="8" t="str">
        <f>IF($A550="","",IF(ISNUMBER(SEARCH("Overview Cabang",INDEX(FORM!$K:$K,ROW()))),1,0))</f>
        <v/>
      </c>
      <c r="P550" s="8" t="str">
        <f>IF($A550="","",IFERROR(VLOOKUP(I550,DATA!$AH$9:$AI$13,2,0),""))</f>
        <v/>
      </c>
      <c r="Q550" s="8" t="str">
        <f>IF($A550="","",IFERROR(VLOOKUP(J550,DATA!$AH$9:$AI$13,2,0),""))</f>
        <v/>
      </c>
      <c r="R550" s="8" t="str">
        <f>IF($A550="","",IFERROR(VLOOKUP(K550,DATA!$AH$9:$AI$13,2,0),""))</f>
        <v/>
      </c>
      <c r="S550" s="42" t="str">
        <f t="shared" si="176"/>
        <v/>
      </c>
      <c r="T550" s="8" t="str">
        <f>IF($A550="","",IF(COUNTIF($D$2:D550,D550)=1,1,0))</f>
        <v/>
      </c>
      <c r="U550" s="8" t="str">
        <f>IF($A550="","",IF(F550="-","Cabang tdk ada",IF(IFERROR(VLOOKUP(G550,#REF!,1,0),"")="","",IF(INDEX(DATA!$AH$2:$AH$5,MATCH(G550,DATA!$AI$2:$AI$5,0))&lt;&gt;F550,"Wilayah beda","OK"))))</f>
        <v/>
      </c>
      <c r="V550" s="8" t="str">
        <f>IF($A550="","",TRIM(INDEX(FORM!$I:$I,ROW())&amp;""))</f>
        <v/>
      </c>
      <c r="W550" s="8" t="str">
        <f>IF($A550="","",TRIM(INDEX(FORM!$L:$L,ROW())&amp;""))</f>
        <v/>
      </c>
      <c r="X550" s="8" t="str">
        <f>IF($A550="","",TRIM(INDEX(FORM!$M:$M,ROW())&amp;""))</f>
        <v/>
      </c>
      <c r="Y550" s="8" t="str">
        <f>IF($A550="","",IFERROR(MATCH(F550,DATA!$AH$2:$AH$5,0),9)*10000+A550)</f>
        <v/>
      </c>
      <c r="Z550" s="8" t="str">
        <f t="shared" si="177"/>
        <v/>
      </c>
      <c r="AA550" s="8" t="str">
        <f t="shared" si="178"/>
        <v/>
      </c>
      <c r="AB550" s="8" t="str">
        <f t="shared" si="179"/>
        <v/>
      </c>
      <c r="AC550" s="8"/>
      <c r="AD550" s="8"/>
      <c r="AE550" s="8"/>
      <c r="AK550" s="5" t="str">
        <f t="shared" si="180"/>
        <v/>
      </c>
      <c r="AL550" s="5" t="str">
        <f t="shared" si="181"/>
        <v/>
      </c>
      <c r="AM550" s="5" t="str">
        <f t="shared" si="182"/>
        <v/>
      </c>
      <c r="AN550" s="5" t="str">
        <f t="shared" si="183"/>
        <v/>
      </c>
      <c r="AO550" s="5" t="str">
        <f t="shared" si="184"/>
        <v/>
      </c>
      <c r="AP550" s="5" t="str">
        <f t="shared" si="185"/>
        <v/>
      </c>
      <c r="AQ550" s="5" t="str">
        <f t="shared" si="186"/>
        <v/>
      </c>
      <c r="AR550" s="5" t="str">
        <f t="shared" si="187"/>
        <v/>
      </c>
      <c r="AS550" s="5" t="str">
        <f t="shared" si="188"/>
        <v/>
      </c>
      <c r="AT550" s="5" t="str">
        <f t="shared" si="189"/>
        <v/>
      </c>
      <c r="AU550" s="5" t="str">
        <f t="shared" si="190"/>
        <v/>
      </c>
      <c r="AV550" s="5" t="str">
        <f t="shared" si="191"/>
        <v/>
      </c>
      <c r="AW550" s="5" t="str">
        <f t="shared" si="192"/>
        <v/>
      </c>
      <c r="AX550" s="5" t="str">
        <f t="shared" si="193"/>
        <v/>
      </c>
      <c r="AY550" s="5" t="str">
        <f t="shared" si="194"/>
        <v/>
      </c>
      <c r="AZ550" s="5" t="str">
        <f t="shared" si="195"/>
        <v/>
      </c>
      <c r="BA550" s="5" t="str">
        <f t="shared" si="196"/>
        <v/>
      </c>
      <c r="BB550" s="5" t="str">
        <f t="shared" si="197"/>
        <v/>
      </c>
    </row>
    <row r="551" spans="1:54" s="5" customFormat="1" hidden="1">
      <c r="A551" s="8" t="str">
        <f>IF(INDEX(FORM!$A:$A,ROW())="","",ROW()-1)</f>
        <v/>
      </c>
      <c r="B551" s="41" t="str">
        <f>IF($A551="","",INDEX(FORM!$A:$A,ROW()))</f>
        <v/>
      </c>
      <c r="C551" s="8" t="str">
        <f>IF($A551="","",TRIM(INDEX(FORM!$B:$B,ROW())))</f>
        <v/>
      </c>
      <c r="D551" s="8" t="str">
        <f>IF($A551="","",TRIM(INDEX(FORM!$C:$C,ROW())&amp;""))</f>
        <v/>
      </c>
      <c r="E551" s="8" t="str">
        <f>IF($A551="","",UPPER(TRIM(INDEX(FORM!$D:$D,ROW()))))</f>
        <v/>
      </c>
      <c r="F551" s="8" t="str">
        <f>IF($A551="","",IFERROR(INDEX(PROGRES!$A$2:$A$92,MATCH(E551,PROGRES!$B$2:$B$92,0)),"-"))</f>
        <v/>
      </c>
      <c r="G551" s="8" t="str">
        <f>IF($A551="","",UPPER(TRIM(INDEX(FORM!$F:$F,ROW()))))</f>
        <v/>
      </c>
      <c r="H551" s="8" t="str">
        <f>IF($A551="","",UPPER(TRIM(INDEX(FORM!$E:$E,ROW()))))</f>
        <v/>
      </c>
      <c r="I551" s="8" t="str">
        <f>IF($A551="","",UPPER(TRIM(INDEX(FORM!$G:$G,ROW()))))</f>
        <v/>
      </c>
      <c r="J551" s="8" t="str">
        <f>IF($A551="","",IF(ISNUMBER(SEARCH("Ya,",INDEX(FORM!$H:$H,ROW()))),"YA",IF(ISNUMBER(SEARCH("Cukup,",INDEX(FORM!$H:$H,ROW()))),"CUKUP",IF(ISNUMBER(SEARCH("Kurang,",INDEX(FORM!$H:$H,ROW()))),"KURANG",""))))</f>
        <v/>
      </c>
      <c r="K551" s="8" t="str">
        <f>IF($A551="","",UPPER(TRIM(INDEX(FORM!$J:$J,ROW()))))</f>
        <v/>
      </c>
      <c r="L551" s="8" t="str">
        <f>IF($A551="","",IF(ISNUMBER(SEARCH("Aktivitas Harian",INDEX(FORM!$K:$K,ROW()))),1,0))</f>
        <v/>
      </c>
      <c r="M551" s="8" t="str">
        <f>IF($A551="","",IF(ISNUMBER(SEARCH("Aktivitas Mingguan",INDEX(FORM!$K:$K,ROW()))),1,0))</f>
        <v/>
      </c>
      <c r="N551" s="8" t="str">
        <f>IF($A551="","",IF(ISNUMBER(SEARCH("Aktivitas Bulanan",INDEX(FORM!$K:$K,ROW()))),1,0))</f>
        <v/>
      </c>
      <c r="O551" s="8" t="str">
        <f>IF($A551="","",IF(ISNUMBER(SEARCH("Overview Cabang",INDEX(FORM!$K:$K,ROW()))),1,0))</f>
        <v/>
      </c>
      <c r="P551" s="8" t="str">
        <f>IF($A551="","",IFERROR(VLOOKUP(I551,DATA!$AH$9:$AI$13,2,0),""))</f>
        <v/>
      </c>
      <c r="Q551" s="8" t="str">
        <f>IF($A551="","",IFERROR(VLOOKUP(J551,DATA!$AH$9:$AI$13,2,0),""))</f>
        <v/>
      </c>
      <c r="R551" s="8" t="str">
        <f>IF($A551="","",IFERROR(VLOOKUP(K551,DATA!$AH$9:$AI$13,2,0),""))</f>
        <v/>
      </c>
      <c r="S551" s="42" t="str">
        <f t="shared" si="176"/>
        <v/>
      </c>
      <c r="T551" s="8" t="str">
        <f>IF($A551="","",IF(COUNTIF($D$2:D551,D551)=1,1,0))</f>
        <v/>
      </c>
      <c r="U551" s="8" t="str">
        <f>IF($A551="","",IF(F551="-","Cabang tdk ada",IF(IFERROR(VLOOKUP(G551,#REF!,1,0),"")="","",IF(INDEX(DATA!$AH$2:$AH$5,MATCH(G551,DATA!$AI$2:$AI$5,0))&lt;&gt;F551,"Wilayah beda","OK"))))</f>
        <v/>
      </c>
      <c r="V551" s="8" t="str">
        <f>IF($A551="","",TRIM(INDEX(FORM!$I:$I,ROW())&amp;""))</f>
        <v/>
      </c>
      <c r="W551" s="8" t="str">
        <f>IF($A551="","",TRIM(INDEX(FORM!$L:$L,ROW())&amp;""))</f>
        <v/>
      </c>
      <c r="X551" s="8" t="str">
        <f>IF($A551="","",TRIM(INDEX(FORM!$M:$M,ROW())&amp;""))</f>
        <v/>
      </c>
      <c r="Y551" s="8" t="str">
        <f>IF($A551="","",IFERROR(MATCH(F551,DATA!$AH$2:$AH$5,0),9)*10000+A551)</f>
        <v/>
      </c>
      <c r="Z551" s="8" t="str">
        <f t="shared" si="177"/>
        <v/>
      </c>
      <c r="AA551" s="8" t="str">
        <f t="shared" si="178"/>
        <v/>
      </c>
      <c r="AB551" s="8" t="str">
        <f t="shared" si="179"/>
        <v/>
      </c>
      <c r="AC551" s="8"/>
      <c r="AD551" s="8"/>
      <c r="AE551" s="8"/>
      <c r="AK551" s="5" t="str">
        <f t="shared" si="180"/>
        <v/>
      </c>
      <c r="AL551" s="5" t="str">
        <f t="shared" si="181"/>
        <v/>
      </c>
      <c r="AM551" s="5" t="str">
        <f t="shared" si="182"/>
        <v/>
      </c>
      <c r="AN551" s="5" t="str">
        <f t="shared" si="183"/>
        <v/>
      </c>
      <c r="AO551" s="5" t="str">
        <f t="shared" si="184"/>
        <v/>
      </c>
      <c r="AP551" s="5" t="str">
        <f t="shared" si="185"/>
        <v/>
      </c>
      <c r="AQ551" s="5" t="str">
        <f t="shared" si="186"/>
        <v/>
      </c>
      <c r="AR551" s="5" t="str">
        <f t="shared" si="187"/>
        <v/>
      </c>
      <c r="AS551" s="5" t="str">
        <f t="shared" si="188"/>
        <v/>
      </c>
      <c r="AT551" s="5" t="str">
        <f t="shared" si="189"/>
        <v/>
      </c>
      <c r="AU551" s="5" t="str">
        <f t="shared" si="190"/>
        <v/>
      </c>
      <c r="AV551" s="5" t="str">
        <f t="shared" si="191"/>
        <v/>
      </c>
      <c r="AW551" s="5" t="str">
        <f t="shared" si="192"/>
        <v/>
      </c>
      <c r="AX551" s="5" t="str">
        <f t="shared" si="193"/>
        <v/>
      </c>
      <c r="AY551" s="5" t="str">
        <f t="shared" si="194"/>
        <v/>
      </c>
      <c r="AZ551" s="5" t="str">
        <f t="shared" si="195"/>
        <v/>
      </c>
      <c r="BA551" s="5" t="str">
        <f t="shared" si="196"/>
        <v/>
      </c>
      <c r="BB551" s="5" t="str">
        <f t="shared" si="197"/>
        <v/>
      </c>
    </row>
    <row r="552" spans="1:54" s="5" customFormat="1" hidden="1">
      <c r="A552" s="8" t="str">
        <f>IF(INDEX(FORM!$A:$A,ROW())="","",ROW()-1)</f>
        <v/>
      </c>
      <c r="B552" s="41" t="str">
        <f>IF($A552="","",INDEX(FORM!$A:$A,ROW()))</f>
        <v/>
      </c>
      <c r="C552" s="8" t="str">
        <f>IF($A552="","",TRIM(INDEX(FORM!$B:$B,ROW())))</f>
        <v/>
      </c>
      <c r="D552" s="8" t="str">
        <f>IF($A552="","",TRIM(INDEX(FORM!$C:$C,ROW())&amp;""))</f>
        <v/>
      </c>
      <c r="E552" s="8" t="str">
        <f>IF($A552="","",UPPER(TRIM(INDEX(FORM!$D:$D,ROW()))))</f>
        <v/>
      </c>
      <c r="F552" s="8" t="str">
        <f>IF($A552="","",IFERROR(INDEX(PROGRES!$A$2:$A$92,MATCH(E552,PROGRES!$B$2:$B$92,0)),"-"))</f>
        <v/>
      </c>
      <c r="G552" s="8" t="str">
        <f>IF($A552="","",UPPER(TRIM(INDEX(FORM!$F:$F,ROW()))))</f>
        <v/>
      </c>
      <c r="H552" s="8" t="str">
        <f>IF($A552="","",UPPER(TRIM(INDEX(FORM!$E:$E,ROW()))))</f>
        <v/>
      </c>
      <c r="I552" s="8" t="str">
        <f>IF($A552="","",UPPER(TRIM(INDEX(FORM!$G:$G,ROW()))))</f>
        <v/>
      </c>
      <c r="J552" s="8" t="str">
        <f>IF($A552="","",IF(ISNUMBER(SEARCH("Ya,",INDEX(FORM!$H:$H,ROW()))),"YA",IF(ISNUMBER(SEARCH("Cukup,",INDEX(FORM!$H:$H,ROW()))),"CUKUP",IF(ISNUMBER(SEARCH("Kurang,",INDEX(FORM!$H:$H,ROW()))),"KURANG",""))))</f>
        <v/>
      </c>
      <c r="K552" s="8" t="str">
        <f>IF($A552="","",UPPER(TRIM(INDEX(FORM!$J:$J,ROW()))))</f>
        <v/>
      </c>
      <c r="L552" s="8" t="str">
        <f>IF($A552="","",IF(ISNUMBER(SEARCH("Aktivitas Harian",INDEX(FORM!$K:$K,ROW()))),1,0))</f>
        <v/>
      </c>
      <c r="M552" s="8" t="str">
        <f>IF($A552="","",IF(ISNUMBER(SEARCH("Aktivitas Mingguan",INDEX(FORM!$K:$K,ROW()))),1,0))</f>
        <v/>
      </c>
      <c r="N552" s="8" t="str">
        <f>IF($A552="","",IF(ISNUMBER(SEARCH("Aktivitas Bulanan",INDEX(FORM!$K:$K,ROW()))),1,0))</f>
        <v/>
      </c>
      <c r="O552" s="8" t="str">
        <f>IF($A552="","",IF(ISNUMBER(SEARCH("Overview Cabang",INDEX(FORM!$K:$K,ROW()))),1,0))</f>
        <v/>
      </c>
      <c r="P552" s="8" t="str">
        <f>IF($A552="","",IFERROR(VLOOKUP(I552,DATA!$AH$9:$AI$13,2,0),""))</f>
        <v/>
      </c>
      <c r="Q552" s="8" t="str">
        <f>IF($A552="","",IFERROR(VLOOKUP(J552,DATA!$AH$9:$AI$13,2,0),""))</f>
        <v/>
      </c>
      <c r="R552" s="8" t="str">
        <f>IF($A552="","",IFERROR(VLOOKUP(K552,DATA!$AH$9:$AI$13,2,0),""))</f>
        <v/>
      </c>
      <c r="S552" s="42" t="str">
        <f t="shared" si="176"/>
        <v/>
      </c>
      <c r="T552" s="8" t="str">
        <f>IF($A552="","",IF(COUNTIF($D$2:D552,D552)=1,1,0))</f>
        <v/>
      </c>
      <c r="U552" s="8" t="str">
        <f>IF($A552="","",IF(F552="-","Cabang tdk ada",IF(IFERROR(VLOOKUP(G552,#REF!,1,0),"")="","",IF(INDEX(DATA!$AH$2:$AH$5,MATCH(G552,DATA!$AI$2:$AI$5,0))&lt;&gt;F552,"Wilayah beda","OK"))))</f>
        <v/>
      </c>
      <c r="V552" s="8" t="str">
        <f>IF($A552="","",TRIM(INDEX(FORM!$I:$I,ROW())&amp;""))</f>
        <v/>
      </c>
      <c r="W552" s="8" t="str">
        <f>IF($A552="","",TRIM(INDEX(FORM!$L:$L,ROW())&amp;""))</f>
        <v/>
      </c>
      <c r="X552" s="8" t="str">
        <f>IF($A552="","",TRIM(INDEX(FORM!$M:$M,ROW())&amp;""))</f>
        <v/>
      </c>
      <c r="Y552" s="8" t="str">
        <f>IF($A552="","",IFERROR(MATCH(F552,DATA!$AH$2:$AH$5,0),9)*10000+A552)</f>
        <v/>
      </c>
      <c r="Z552" s="8" t="str">
        <f t="shared" si="177"/>
        <v/>
      </c>
      <c r="AA552" s="8" t="str">
        <f t="shared" si="178"/>
        <v/>
      </c>
      <c r="AB552" s="8" t="str">
        <f t="shared" si="179"/>
        <v/>
      </c>
      <c r="AC552" s="8"/>
      <c r="AD552" s="8"/>
      <c r="AE552" s="8"/>
      <c r="AK552" s="5" t="str">
        <f t="shared" si="180"/>
        <v/>
      </c>
      <c r="AL552" s="5" t="str">
        <f t="shared" si="181"/>
        <v/>
      </c>
      <c r="AM552" s="5" t="str">
        <f t="shared" si="182"/>
        <v/>
      </c>
      <c r="AN552" s="5" t="str">
        <f t="shared" si="183"/>
        <v/>
      </c>
      <c r="AO552" s="5" t="str">
        <f t="shared" si="184"/>
        <v/>
      </c>
      <c r="AP552" s="5" t="str">
        <f t="shared" si="185"/>
        <v/>
      </c>
      <c r="AQ552" s="5" t="str">
        <f t="shared" si="186"/>
        <v/>
      </c>
      <c r="AR552" s="5" t="str">
        <f t="shared" si="187"/>
        <v/>
      </c>
      <c r="AS552" s="5" t="str">
        <f t="shared" si="188"/>
        <v/>
      </c>
      <c r="AT552" s="5" t="str">
        <f t="shared" si="189"/>
        <v/>
      </c>
      <c r="AU552" s="5" t="str">
        <f t="shared" si="190"/>
        <v/>
      </c>
      <c r="AV552" s="5" t="str">
        <f t="shared" si="191"/>
        <v/>
      </c>
      <c r="AW552" s="5" t="str">
        <f t="shared" si="192"/>
        <v/>
      </c>
      <c r="AX552" s="5" t="str">
        <f t="shared" si="193"/>
        <v/>
      </c>
      <c r="AY552" s="5" t="str">
        <f t="shared" si="194"/>
        <v/>
      </c>
      <c r="AZ552" s="5" t="str">
        <f t="shared" si="195"/>
        <v/>
      </c>
      <c r="BA552" s="5" t="str">
        <f t="shared" si="196"/>
        <v/>
      </c>
      <c r="BB552" s="5" t="str">
        <f t="shared" si="197"/>
        <v/>
      </c>
    </row>
    <row r="553" spans="1:54" s="5" customFormat="1" hidden="1">
      <c r="A553" s="8" t="str">
        <f>IF(INDEX(FORM!$A:$A,ROW())="","",ROW()-1)</f>
        <v/>
      </c>
      <c r="B553" s="41" t="str">
        <f>IF($A553="","",INDEX(FORM!$A:$A,ROW()))</f>
        <v/>
      </c>
      <c r="C553" s="8" t="str">
        <f>IF($A553="","",TRIM(INDEX(FORM!$B:$B,ROW())))</f>
        <v/>
      </c>
      <c r="D553" s="8" t="str">
        <f>IF($A553="","",TRIM(INDEX(FORM!$C:$C,ROW())&amp;""))</f>
        <v/>
      </c>
      <c r="E553" s="8" t="str">
        <f>IF($A553="","",UPPER(TRIM(INDEX(FORM!$D:$D,ROW()))))</f>
        <v/>
      </c>
      <c r="F553" s="8" t="str">
        <f>IF($A553="","",IFERROR(INDEX(PROGRES!$A$2:$A$92,MATCH(E553,PROGRES!$B$2:$B$92,0)),"-"))</f>
        <v/>
      </c>
      <c r="G553" s="8" t="str">
        <f>IF($A553="","",UPPER(TRIM(INDEX(FORM!$F:$F,ROW()))))</f>
        <v/>
      </c>
      <c r="H553" s="8" t="str">
        <f>IF($A553="","",UPPER(TRIM(INDEX(FORM!$E:$E,ROW()))))</f>
        <v/>
      </c>
      <c r="I553" s="8" t="str">
        <f>IF($A553="","",UPPER(TRIM(INDEX(FORM!$G:$G,ROW()))))</f>
        <v/>
      </c>
      <c r="J553" s="8" t="str">
        <f>IF($A553="","",IF(ISNUMBER(SEARCH("Ya,",INDEX(FORM!$H:$H,ROW()))),"YA",IF(ISNUMBER(SEARCH("Cukup,",INDEX(FORM!$H:$H,ROW()))),"CUKUP",IF(ISNUMBER(SEARCH("Kurang,",INDEX(FORM!$H:$H,ROW()))),"KURANG",""))))</f>
        <v/>
      </c>
      <c r="K553" s="8" t="str">
        <f>IF($A553="","",UPPER(TRIM(INDEX(FORM!$J:$J,ROW()))))</f>
        <v/>
      </c>
      <c r="L553" s="8" t="str">
        <f>IF($A553="","",IF(ISNUMBER(SEARCH("Aktivitas Harian",INDEX(FORM!$K:$K,ROW()))),1,0))</f>
        <v/>
      </c>
      <c r="M553" s="8" t="str">
        <f>IF($A553="","",IF(ISNUMBER(SEARCH("Aktivitas Mingguan",INDEX(FORM!$K:$K,ROW()))),1,0))</f>
        <v/>
      </c>
      <c r="N553" s="8" t="str">
        <f>IF($A553="","",IF(ISNUMBER(SEARCH("Aktivitas Bulanan",INDEX(FORM!$K:$K,ROW()))),1,0))</f>
        <v/>
      </c>
      <c r="O553" s="8" t="str">
        <f>IF($A553="","",IF(ISNUMBER(SEARCH("Overview Cabang",INDEX(FORM!$K:$K,ROW()))),1,0))</f>
        <v/>
      </c>
      <c r="P553" s="8" t="str">
        <f>IF($A553="","",IFERROR(VLOOKUP(I553,DATA!$AH$9:$AI$13,2,0),""))</f>
        <v/>
      </c>
      <c r="Q553" s="8" t="str">
        <f>IF($A553="","",IFERROR(VLOOKUP(J553,DATA!$AH$9:$AI$13,2,0),""))</f>
        <v/>
      </c>
      <c r="R553" s="8" t="str">
        <f>IF($A553="","",IFERROR(VLOOKUP(K553,DATA!$AH$9:$AI$13,2,0),""))</f>
        <v/>
      </c>
      <c r="S553" s="42" t="str">
        <f t="shared" si="176"/>
        <v/>
      </c>
      <c r="T553" s="8" t="str">
        <f>IF($A553="","",IF(COUNTIF($D$2:D553,D553)=1,1,0))</f>
        <v/>
      </c>
      <c r="U553" s="8" t="str">
        <f>IF($A553="","",IF(F553="-","Cabang tdk ada",IF(IFERROR(VLOOKUP(G553,#REF!,1,0),"")="","",IF(INDEX(DATA!$AH$2:$AH$5,MATCH(G553,DATA!$AI$2:$AI$5,0))&lt;&gt;F553,"Wilayah beda","OK"))))</f>
        <v/>
      </c>
      <c r="V553" s="8" t="str">
        <f>IF($A553="","",TRIM(INDEX(FORM!$I:$I,ROW())&amp;""))</f>
        <v/>
      </c>
      <c r="W553" s="8" t="str">
        <f>IF($A553="","",TRIM(INDEX(FORM!$L:$L,ROW())&amp;""))</f>
        <v/>
      </c>
      <c r="X553" s="8" t="str">
        <f>IF($A553="","",TRIM(INDEX(FORM!$M:$M,ROW())&amp;""))</f>
        <v/>
      </c>
      <c r="Y553" s="8" t="str">
        <f>IF($A553="","",IFERROR(MATCH(F553,DATA!$AH$2:$AH$5,0),9)*10000+A553)</f>
        <v/>
      </c>
      <c r="Z553" s="8" t="str">
        <f t="shared" si="177"/>
        <v/>
      </c>
      <c r="AA553" s="8" t="str">
        <f t="shared" si="178"/>
        <v/>
      </c>
      <c r="AB553" s="8" t="str">
        <f t="shared" si="179"/>
        <v/>
      </c>
      <c r="AC553" s="8"/>
      <c r="AD553" s="8"/>
      <c r="AE553" s="8"/>
      <c r="AK553" s="5" t="str">
        <f t="shared" si="180"/>
        <v/>
      </c>
      <c r="AL553" s="5" t="str">
        <f t="shared" si="181"/>
        <v/>
      </c>
      <c r="AM553" s="5" t="str">
        <f t="shared" si="182"/>
        <v/>
      </c>
      <c r="AN553" s="5" t="str">
        <f t="shared" si="183"/>
        <v/>
      </c>
      <c r="AO553" s="5" t="str">
        <f t="shared" si="184"/>
        <v/>
      </c>
      <c r="AP553" s="5" t="str">
        <f t="shared" si="185"/>
        <v/>
      </c>
      <c r="AQ553" s="5" t="str">
        <f t="shared" si="186"/>
        <v/>
      </c>
      <c r="AR553" s="5" t="str">
        <f t="shared" si="187"/>
        <v/>
      </c>
      <c r="AS553" s="5" t="str">
        <f t="shared" si="188"/>
        <v/>
      </c>
      <c r="AT553" s="5" t="str">
        <f t="shared" si="189"/>
        <v/>
      </c>
      <c r="AU553" s="5" t="str">
        <f t="shared" si="190"/>
        <v/>
      </c>
      <c r="AV553" s="5" t="str">
        <f t="shared" si="191"/>
        <v/>
      </c>
      <c r="AW553" s="5" t="str">
        <f t="shared" si="192"/>
        <v/>
      </c>
      <c r="AX553" s="5" t="str">
        <f t="shared" si="193"/>
        <v/>
      </c>
      <c r="AY553" s="5" t="str">
        <f t="shared" si="194"/>
        <v/>
      </c>
      <c r="AZ553" s="5" t="str">
        <f t="shared" si="195"/>
        <v/>
      </c>
      <c r="BA553" s="5" t="str">
        <f t="shared" si="196"/>
        <v/>
      </c>
      <c r="BB553" s="5" t="str">
        <f t="shared" si="197"/>
        <v/>
      </c>
    </row>
    <row r="554" spans="1:54" s="5" customFormat="1" hidden="1">
      <c r="A554" s="8" t="str">
        <f>IF(INDEX(FORM!$A:$A,ROW())="","",ROW()-1)</f>
        <v/>
      </c>
      <c r="B554" s="41" t="str">
        <f>IF($A554="","",INDEX(FORM!$A:$A,ROW()))</f>
        <v/>
      </c>
      <c r="C554" s="8" t="str">
        <f>IF($A554="","",TRIM(INDEX(FORM!$B:$B,ROW())))</f>
        <v/>
      </c>
      <c r="D554" s="8" t="str">
        <f>IF($A554="","",TRIM(INDEX(FORM!$C:$C,ROW())&amp;""))</f>
        <v/>
      </c>
      <c r="E554" s="8" t="str">
        <f>IF($A554="","",UPPER(TRIM(INDEX(FORM!$D:$D,ROW()))))</f>
        <v/>
      </c>
      <c r="F554" s="8" t="str">
        <f>IF($A554="","",IFERROR(INDEX(PROGRES!$A$2:$A$92,MATCH(E554,PROGRES!$B$2:$B$92,0)),"-"))</f>
        <v/>
      </c>
      <c r="G554" s="8" t="str">
        <f>IF($A554="","",UPPER(TRIM(INDEX(FORM!$F:$F,ROW()))))</f>
        <v/>
      </c>
      <c r="H554" s="8" t="str">
        <f>IF($A554="","",UPPER(TRIM(INDEX(FORM!$E:$E,ROW()))))</f>
        <v/>
      </c>
      <c r="I554" s="8" t="str">
        <f>IF($A554="","",UPPER(TRIM(INDEX(FORM!$G:$G,ROW()))))</f>
        <v/>
      </c>
      <c r="J554" s="8" t="str">
        <f>IF($A554="","",IF(ISNUMBER(SEARCH("Ya,",INDEX(FORM!$H:$H,ROW()))),"YA",IF(ISNUMBER(SEARCH("Cukup,",INDEX(FORM!$H:$H,ROW()))),"CUKUP",IF(ISNUMBER(SEARCH("Kurang,",INDEX(FORM!$H:$H,ROW()))),"KURANG",""))))</f>
        <v/>
      </c>
      <c r="K554" s="8" t="str">
        <f>IF($A554="","",UPPER(TRIM(INDEX(FORM!$J:$J,ROW()))))</f>
        <v/>
      </c>
      <c r="L554" s="8" t="str">
        <f>IF($A554="","",IF(ISNUMBER(SEARCH("Aktivitas Harian",INDEX(FORM!$K:$K,ROW()))),1,0))</f>
        <v/>
      </c>
      <c r="M554" s="8" t="str">
        <f>IF($A554="","",IF(ISNUMBER(SEARCH("Aktivitas Mingguan",INDEX(FORM!$K:$K,ROW()))),1,0))</f>
        <v/>
      </c>
      <c r="N554" s="8" t="str">
        <f>IF($A554="","",IF(ISNUMBER(SEARCH("Aktivitas Bulanan",INDEX(FORM!$K:$K,ROW()))),1,0))</f>
        <v/>
      </c>
      <c r="O554" s="8" t="str">
        <f>IF($A554="","",IF(ISNUMBER(SEARCH("Overview Cabang",INDEX(FORM!$K:$K,ROW()))),1,0))</f>
        <v/>
      </c>
      <c r="P554" s="8" t="str">
        <f>IF($A554="","",IFERROR(VLOOKUP(I554,DATA!$AH$9:$AI$13,2,0),""))</f>
        <v/>
      </c>
      <c r="Q554" s="8" t="str">
        <f>IF($A554="","",IFERROR(VLOOKUP(J554,DATA!$AH$9:$AI$13,2,0),""))</f>
        <v/>
      </c>
      <c r="R554" s="8" t="str">
        <f>IF($A554="","",IFERROR(VLOOKUP(K554,DATA!$AH$9:$AI$13,2,0),""))</f>
        <v/>
      </c>
      <c r="S554" s="42" t="str">
        <f t="shared" si="176"/>
        <v/>
      </c>
      <c r="T554" s="8" t="str">
        <f>IF($A554="","",IF(COUNTIF($D$2:D554,D554)=1,1,0))</f>
        <v/>
      </c>
      <c r="U554" s="8" t="str">
        <f>IF($A554="","",IF(F554="-","Cabang tdk ada",IF(IFERROR(VLOOKUP(G554,#REF!,1,0),"")="","",IF(INDEX(DATA!$AH$2:$AH$5,MATCH(G554,DATA!$AI$2:$AI$5,0))&lt;&gt;F554,"Wilayah beda","OK"))))</f>
        <v/>
      </c>
      <c r="V554" s="8" t="str">
        <f>IF($A554="","",TRIM(INDEX(FORM!$I:$I,ROW())&amp;""))</f>
        <v/>
      </c>
      <c r="W554" s="8" t="str">
        <f>IF($A554="","",TRIM(INDEX(FORM!$L:$L,ROW())&amp;""))</f>
        <v/>
      </c>
      <c r="X554" s="8" t="str">
        <f>IF($A554="","",TRIM(INDEX(FORM!$M:$M,ROW())&amp;""))</f>
        <v/>
      </c>
      <c r="Y554" s="8" t="str">
        <f>IF($A554="","",IFERROR(MATCH(F554,DATA!$AH$2:$AH$5,0),9)*10000+A554)</f>
        <v/>
      </c>
      <c r="Z554" s="8" t="str">
        <f t="shared" si="177"/>
        <v/>
      </c>
      <c r="AA554" s="8" t="str">
        <f t="shared" si="178"/>
        <v/>
      </c>
      <c r="AB554" s="8" t="str">
        <f t="shared" si="179"/>
        <v/>
      </c>
      <c r="AC554" s="8"/>
      <c r="AD554" s="8"/>
      <c r="AE554" s="8"/>
      <c r="AK554" s="5" t="str">
        <f t="shared" si="180"/>
        <v/>
      </c>
      <c r="AL554" s="5" t="str">
        <f t="shared" si="181"/>
        <v/>
      </c>
      <c r="AM554" s="5" t="str">
        <f t="shared" si="182"/>
        <v/>
      </c>
      <c r="AN554" s="5" t="str">
        <f t="shared" si="183"/>
        <v/>
      </c>
      <c r="AO554" s="5" t="str">
        <f t="shared" si="184"/>
        <v/>
      </c>
      <c r="AP554" s="5" t="str">
        <f t="shared" si="185"/>
        <v/>
      </c>
      <c r="AQ554" s="5" t="str">
        <f t="shared" si="186"/>
        <v/>
      </c>
      <c r="AR554" s="5" t="str">
        <f t="shared" si="187"/>
        <v/>
      </c>
      <c r="AS554" s="5" t="str">
        <f t="shared" si="188"/>
        <v/>
      </c>
      <c r="AT554" s="5" t="str">
        <f t="shared" si="189"/>
        <v/>
      </c>
      <c r="AU554" s="5" t="str">
        <f t="shared" si="190"/>
        <v/>
      </c>
      <c r="AV554" s="5" t="str">
        <f t="shared" si="191"/>
        <v/>
      </c>
      <c r="AW554" s="5" t="str">
        <f t="shared" si="192"/>
        <v/>
      </c>
      <c r="AX554" s="5" t="str">
        <f t="shared" si="193"/>
        <v/>
      </c>
      <c r="AY554" s="5" t="str">
        <f t="shared" si="194"/>
        <v/>
      </c>
      <c r="AZ554" s="5" t="str">
        <f t="shared" si="195"/>
        <v/>
      </c>
      <c r="BA554" s="5" t="str">
        <f t="shared" si="196"/>
        <v/>
      </c>
      <c r="BB554" s="5" t="str">
        <f t="shared" si="197"/>
        <v/>
      </c>
    </row>
    <row r="555" spans="1:54" s="5" customFormat="1" hidden="1">
      <c r="A555" s="8" t="str">
        <f>IF(INDEX(FORM!$A:$A,ROW())="","",ROW()-1)</f>
        <v/>
      </c>
      <c r="B555" s="41" t="str">
        <f>IF($A555="","",INDEX(FORM!$A:$A,ROW()))</f>
        <v/>
      </c>
      <c r="C555" s="8" t="str">
        <f>IF($A555="","",TRIM(INDEX(FORM!$B:$B,ROW())))</f>
        <v/>
      </c>
      <c r="D555" s="8" t="str">
        <f>IF($A555="","",TRIM(INDEX(FORM!$C:$C,ROW())&amp;""))</f>
        <v/>
      </c>
      <c r="E555" s="8" t="str">
        <f>IF($A555="","",UPPER(TRIM(INDEX(FORM!$D:$D,ROW()))))</f>
        <v/>
      </c>
      <c r="F555" s="8" t="str">
        <f>IF($A555="","",IFERROR(INDEX(PROGRES!$A$2:$A$92,MATCH(E555,PROGRES!$B$2:$B$92,0)),"-"))</f>
        <v/>
      </c>
      <c r="G555" s="8" t="str">
        <f>IF($A555="","",UPPER(TRIM(INDEX(FORM!$F:$F,ROW()))))</f>
        <v/>
      </c>
      <c r="H555" s="8" t="str">
        <f>IF($A555="","",UPPER(TRIM(INDEX(FORM!$E:$E,ROW()))))</f>
        <v/>
      </c>
      <c r="I555" s="8" t="str">
        <f>IF($A555="","",UPPER(TRIM(INDEX(FORM!$G:$G,ROW()))))</f>
        <v/>
      </c>
      <c r="J555" s="8" t="str">
        <f>IF($A555="","",IF(ISNUMBER(SEARCH("Ya,",INDEX(FORM!$H:$H,ROW()))),"YA",IF(ISNUMBER(SEARCH("Cukup,",INDEX(FORM!$H:$H,ROW()))),"CUKUP",IF(ISNUMBER(SEARCH("Kurang,",INDEX(FORM!$H:$H,ROW()))),"KURANG",""))))</f>
        <v/>
      </c>
      <c r="K555" s="8" t="str">
        <f>IF($A555="","",UPPER(TRIM(INDEX(FORM!$J:$J,ROW()))))</f>
        <v/>
      </c>
      <c r="L555" s="8" t="str">
        <f>IF($A555="","",IF(ISNUMBER(SEARCH("Aktivitas Harian",INDEX(FORM!$K:$K,ROW()))),1,0))</f>
        <v/>
      </c>
      <c r="M555" s="8" t="str">
        <f>IF($A555="","",IF(ISNUMBER(SEARCH("Aktivitas Mingguan",INDEX(FORM!$K:$K,ROW()))),1,0))</f>
        <v/>
      </c>
      <c r="N555" s="8" t="str">
        <f>IF($A555="","",IF(ISNUMBER(SEARCH("Aktivitas Bulanan",INDEX(FORM!$K:$K,ROW()))),1,0))</f>
        <v/>
      </c>
      <c r="O555" s="8" t="str">
        <f>IF($A555="","",IF(ISNUMBER(SEARCH("Overview Cabang",INDEX(FORM!$K:$K,ROW()))),1,0))</f>
        <v/>
      </c>
      <c r="P555" s="8" t="str">
        <f>IF($A555="","",IFERROR(VLOOKUP(I555,DATA!$AH$9:$AI$13,2,0),""))</f>
        <v/>
      </c>
      <c r="Q555" s="8" t="str">
        <f>IF($A555="","",IFERROR(VLOOKUP(J555,DATA!$AH$9:$AI$13,2,0),""))</f>
        <v/>
      </c>
      <c r="R555" s="8" t="str">
        <f>IF($A555="","",IFERROR(VLOOKUP(K555,DATA!$AH$9:$AI$13,2,0),""))</f>
        <v/>
      </c>
      <c r="S555" s="42" t="str">
        <f t="shared" si="176"/>
        <v/>
      </c>
      <c r="T555" s="8" t="str">
        <f>IF($A555="","",IF(COUNTIF($D$2:D555,D555)=1,1,0))</f>
        <v/>
      </c>
      <c r="U555" s="8" t="str">
        <f>IF($A555="","",IF(F555="-","Cabang tdk ada",IF(IFERROR(VLOOKUP(G555,#REF!,1,0),"")="","",IF(INDEX(DATA!$AH$2:$AH$5,MATCH(G555,DATA!$AI$2:$AI$5,0))&lt;&gt;F555,"Wilayah beda","OK"))))</f>
        <v/>
      </c>
      <c r="V555" s="8" t="str">
        <f>IF($A555="","",TRIM(INDEX(FORM!$I:$I,ROW())&amp;""))</f>
        <v/>
      </c>
      <c r="W555" s="8" t="str">
        <f>IF($A555="","",TRIM(INDEX(FORM!$L:$L,ROW())&amp;""))</f>
        <v/>
      </c>
      <c r="X555" s="8" t="str">
        <f>IF($A555="","",TRIM(INDEX(FORM!$M:$M,ROW())&amp;""))</f>
        <v/>
      </c>
      <c r="Y555" s="8" t="str">
        <f>IF($A555="","",IFERROR(MATCH(F555,DATA!$AH$2:$AH$5,0),9)*10000+A555)</f>
        <v/>
      </c>
      <c r="Z555" s="8" t="str">
        <f t="shared" si="177"/>
        <v/>
      </c>
      <c r="AA555" s="8" t="str">
        <f t="shared" si="178"/>
        <v/>
      </c>
      <c r="AB555" s="8" t="str">
        <f t="shared" si="179"/>
        <v/>
      </c>
      <c r="AC555" s="8"/>
      <c r="AD555" s="8"/>
      <c r="AE555" s="8"/>
      <c r="AK555" s="5" t="str">
        <f t="shared" si="180"/>
        <v/>
      </c>
      <c r="AL555" s="5" t="str">
        <f t="shared" si="181"/>
        <v/>
      </c>
      <c r="AM555" s="5" t="str">
        <f t="shared" si="182"/>
        <v/>
      </c>
      <c r="AN555" s="5" t="str">
        <f t="shared" si="183"/>
        <v/>
      </c>
      <c r="AO555" s="5" t="str">
        <f t="shared" si="184"/>
        <v/>
      </c>
      <c r="AP555" s="5" t="str">
        <f t="shared" si="185"/>
        <v/>
      </c>
      <c r="AQ555" s="5" t="str">
        <f t="shared" si="186"/>
        <v/>
      </c>
      <c r="AR555" s="5" t="str">
        <f t="shared" si="187"/>
        <v/>
      </c>
      <c r="AS555" s="5" t="str">
        <f t="shared" si="188"/>
        <v/>
      </c>
      <c r="AT555" s="5" t="str">
        <f t="shared" si="189"/>
        <v/>
      </c>
      <c r="AU555" s="5" t="str">
        <f t="shared" si="190"/>
        <v/>
      </c>
      <c r="AV555" s="5" t="str">
        <f t="shared" si="191"/>
        <v/>
      </c>
      <c r="AW555" s="5" t="str">
        <f t="shared" si="192"/>
        <v/>
      </c>
      <c r="AX555" s="5" t="str">
        <f t="shared" si="193"/>
        <v/>
      </c>
      <c r="AY555" s="5" t="str">
        <f t="shared" si="194"/>
        <v/>
      </c>
      <c r="AZ555" s="5" t="str">
        <f t="shared" si="195"/>
        <v/>
      </c>
      <c r="BA555" s="5" t="str">
        <f t="shared" si="196"/>
        <v/>
      </c>
      <c r="BB555" s="5" t="str">
        <f t="shared" si="197"/>
        <v/>
      </c>
    </row>
    <row r="556" spans="1:54" s="5" customFormat="1" hidden="1">
      <c r="A556" s="8" t="str">
        <f>IF(INDEX(FORM!$A:$A,ROW())="","",ROW()-1)</f>
        <v/>
      </c>
      <c r="B556" s="41" t="str">
        <f>IF($A556="","",INDEX(FORM!$A:$A,ROW()))</f>
        <v/>
      </c>
      <c r="C556" s="8" t="str">
        <f>IF($A556="","",TRIM(INDEX(FORM!$B:$B,ROW())))</f>
        <v/>
      </c>
      <c r="D556" s="8" t="str">
        <f>IF($A556="","",TRIM(INDEX(FORM!$C:$C,ROW())&amp;""))</f>
        <v/>
      </c>
      <c r="E556" s="8" t="str">
        <f>IF($A556="","",UPPER(TRIM(INDEX(FORM!$D:$D,ROW()))))</f>
        <v/>
      </c>
      <c r="F556" s="8" t="str">
        <f>IF($A556="","",IFERROR(INDEX(PROGRES!$A$2:$A$92,MATCH(E556,PROGRES!$B$2:$B$92,0)),"-"))</f>
        <v/>
      </c>
      <c r="G556" s="8" t="str">
        <f>IF($A556="","",UPPER(TRIM(INDEX(FORM!$F:$F,ROW()))))</f>
        <v/>
      </c>
      <c r="H556" s="8" t="str">
        <f>IF($A556="","",UPPER(TRIM(INDEX(FORM!$E:$E,ROW()))))</f>
        <v/>
      </c>
      <c r="I556" s="8" t="str">
        <f>IF($A556="","",UPPER(TRIM(INDEX(FORM!$G:$G,ROW()))))</f>
        <v/>
      </c>
      <c r="J556" s="8" t="str">
        <f>IF($A556="","",IF(ISNUMBER(SEARCH("Ya,",INDEX(FORM!$H:$H,ROW()))),"YA",IF(ISNUMBER(SEARCH("Cukup,",INDEX(FORM!$H:$H,ROW()))),"CUKUP",IF(ISNUMBER(SEARCH("Kurang,",INDEX(FORM!$H:$H,ROW()))),"KURANG",""))))</f>
        <v/>
      </c>
      <c r="K556" s="8" t="str">
        <f>IF($A556="","",UPPER(TRIM(INDEX(FORM!$J:$J,ROW()))))</f>
        <v/>
      </c>
      <c r="L556" s="8" t="str">
        <f>IF($A556="","",IF(ISNUMBER(SEARCH("Aktivitas Harian",INDEX(FORM!$K:$K,ROW()))),1,0))</f>
        <v/>
      </c>
      <c r="M556" s="8" t="str">
        <f>IF($A556="","",IF(ISNUMBER(SEARCH("Aktivitas Mingguan",INDEX(FORM!$K:$K,ROW()))),1,0))</f>
        <v/>
      </c>
      <c r="N556" s="8" t="str">
        <f>IF($A556="","",IF(ISNUMBER(SEARCH("Aktivitas Bulanan",INDEX(FORM!$K:$K,ROW()))),1,0))</f>
        <v/>
      </c>
      <c r="O556" s="8" t="str">
        <f>IF($A556="","",IF(ISNUMBER(SEARCH("Overview Cabang",INDEX(FORM!$K:$K,ROW()))),1,0))</f>
        <v/>
      </c>
      <c r="P556" s="8" t="str">
        <f>IF($A556="","",IFERROR(VLOOKUP(I556,DATA!$AH$9:$AI$13,2,0),""))</f>
        <v/>
      </c>
      <c r="Q556" s="8" t="str">
        <f>IF($A556="","",IFERROR(VLOOKUP(J556,DATA!$AH$9:$AI$13,2,0),""))</f>
        <v/>
      </c>
      <c r="R556" s="8" t="str">
        <f>IF($A556="","",IFERROR(VLOOKUP(K556,DATA!$AH$9:$AI$13,2,0),""))</f>
        <v/>
      </c>
      <c r="S556" s="42" t="str">
        <f t="shared" si="176"/>
        <v/>
      </c>
      <c r="T556" s="8" t="str">
        <f>IF($A556="","",IF(COUNTIF($D$2:D556,D556)=1,1,0))</f>
        <v/>
      </c>
      <c r="U556" s="8" t="str">
        <f>IF($A556="","",IF(F556="-","Cabang tdk ada",IF(IFERROR(VLOOKUP(G556,#REF!,1,0),"")="","",IF(INDEX(DATA!$AH$2:$AH$5,MATCH(G556,DATA!$AI$2:$AI$5,0))&lt;&gt;F556,"Wilayah beda","OK"))))</f>
        <v/>
      </c>
      <c r="V556" s="8" t="str">
        <f>IF($A556="","",TRIM(INDEX(FORM!$I:$I,ROW())&amp;""))</f>
        <v/>
      </c>
      <c r="W556" s="8" t="str">
        <f>IF($A556="","",TRIM(INDEX(FORM!$L:$L,ROW())&amp;""))</f>
        <v/>
      </c>
      <c r="X556" s="8" t="str">
        <f>IF($A556="","",TRIM(INDEX(FORM!$M:$M,ROW())&amp;""))</f>
        <v/>
      </c>
      <c r="Y556" s="8" t="str">
        <f>IF($A556="","",IFERROR(MATCH(F556,DATA!$AH$2:$AH$5,0),9)*10000+A556)</f>
        <v/>
      </c>
      <c r="Z556" s="8" t="str">
        <f t="shared" si="177"/>
        <v/>
      </c>
      <c r="AA556" s="8" t="str">
        <f t="shared" si="178"/>
        <v/>
      </c>
      <c r="AB556" s="8" t="str">
        <f t="shared" si="179"/>
        <v/>
      </c>
      <c r="AC556" s="8"/>
      <c r="AD556" s="8"/>
      <c r="AE556" s="8"/>
      <c r="AK556" s="5" t="str">
        <f t="shared" si="180"/>
        <v/>
      </c>
      <c r="AL556" s="5" t="str">
        <f t="shared" si="181"/>
        <v/>
      </c>
      <c r="AM556" s="5" t="str">
        <f t="shared" si="182"/>
        <v/>
      </c>
      <c r="AN556" s="5" t="str">
        <f t="shared" si="183"/>
        <v/>
      </c>
      <c r="AO556" s="5" t="str">
        <f t="shared" si="184"/>
        <v/>
      </c>
      <c r="AP556" s="5" t="str">
        <f t="shared" si="185"/>
        <v/>
      </c>
      <c r="AQ556" s="5" t="str">
        <f t="shared" si="186"/>
        <v/>
      </c>
      <c r="AR556" s="5" t="str">
        <f t="shared" si="187"/>
        <v/>
      </c>
      <c r="AS556" s="5" t="str">
        <f t="shared" si="188"/>
        <v/>
      </c>
      <c r="AT556" s="5" t="str">
        <f t="shared" si="189"/>
        <v/>
      </c>
      <c r="AU556" s="5" t="str">
        <f t="shared" si="190"/>
        <v/>
      </c>
      <c r="AV556" s="5" t="str">
        <f t="shared" si="191"/>
        <v/>
      </c>
      <c r="AW556" s="5" t="str">
        <f t="shared" si="192"/>
        <v/>
      </c>
      <c r="AX556" s="5" t="str">
        <f t="shared" si="193"/>
        <v/>
      </c>
      <c r="AY556" s="5" t="str">
        <f t="shared" si="194"/>
        <v/>
      </c>
      <c r="AZ556" s="5" t="str">
        <f t="shared" si="195"/>
        <v/>
      </c>
      <c r="BA556" s="5" t="str">
        <f t="shared" si="196"/>
        <v/>
      </c>
      <c r="BB556" s="5" t="str">
        <f t="shared" si="197"/>
        <v/>
      </c>
    </row>
    <row r="557" spans="1:54" s="5" customFormat="1" hidden="1">
      <c r="A557" s="8" t="str">
        <f>IF(INDEX(FORM!$A:$A,ROW())="","",ROW()-1)</f>
        <v/>
      </c>
      <c r="B557" s="41" t="str">
        <f>IF($A557="","",INDEX(FORM!$A:$A,ROW()))</f>
        <v/>
      </c>
      <c r="C557" s="8" t="str">
        <f>IF($A557="","",TRIM(INDEX(FORM!$B:$B,ROW())))</f>
        <v/>
      </c>
      <c r="D557" s="8" t="str">
        <f>IF($A557="","",TRIM(INDEX(FORM!$C:$C,ROW())&amp;""))</f>
        <v/>
      </c>
      <c r="E557" s="8" t="str">
        <f>IF($A557="","",UPPER(TRIM(INDEX(FORM!$D:$D,ROW()))))</f>
        <v/>
      </c>
      <c r="F557" s="8" t="str">
        <f>IF($A557="","",IFERROR(INDEX(PROGRES!$A$2:$A$92,MATCH(E557,PROGRES!$B$2:$B$92,0)),"-"))</f>
        <v/>
      </c>
      <c r="G557" s="8" t="str">
        <f>IF($A557="","",UPPER(TRIM(INDEX(FORM!$F:$F,ROW()))))</f>
        <v/>
      </c>
      <c r="H557" s="8" t="str">
        <f>IF($A557="","",UPPER(TRIM(INDEX(FORM!$E:$E,ROW()))))</f>
        <v/>
      </c>
      <c r="I557" s="8" t="str">
        <f>IF($A557="","",UPPER(TRIM(INDEX(FORM!$G:$G,ROW()))))</f>
        <v/>
      </c>
      <c r="J557" s="8" t="str">
        <f>IF($A557="","",IF(ISNUMBER(SEARCH("Ya,",INDEX(FORM!$H:$H,ROW()))),"YA",IF(ISNUMBER(SEARCH("Cukup,",INDEX(FORM!$H:$H,ROW()))),"CUKUP",IF(ISNUMBER(SEARCH("Kurang,",INDEX(FORM!$H:$H,ROW()))),"KURANG",""))))</f>
        <v/>
      </c>
      <c r="K557" s="8" t="str">
        <f>IF($A557="","",UPPER(TRIM(INDEX(FORM!$J:$J,ROW()))))</f>
        <v/>
      </c>
      <c r="L557" s="8" t="str">
        <f>IF($A557="","",IF(ISNUMBER(SEARCH("Aktivitas Harian",INDEX(FORM!$K:$K,ROW()))),1,0))</f>
        <v/>
      </c>
      <c r="M557" s="8" t="str">
        <f>IF($A557="","",IF(ISNUMBER(SEARCH("Aktivitas Mingguan",INDEX(FORM!$K:$K,ROW()))),1,0))</f>
        <v/>
      </c>
      <c r="N557" s="8" t="str">
        <f>IF($A557="","",IF(ISNUMBER(SEARCH("Aktivitas Bulanan",INDEX(FORM!$K:$K,ROW()))),1,0))</f>
        <v/>
      </c>
      <c r="O557" s="8" t="str">
        <f>IF($A557="","",IF(ISNUMBER(SEARCH("Overview Cabang",INDEX(FORM!$K:$K,ROW()))),1,0))</f>
        <v/>
      </c>
      <c r="P557" s="8" t="str">
        <f>IF($A557="","",IFERROR(VLOOKUP(I557,DATA!$AH$9:$AI$13,2,0),""))</f>
        <v/>
      </c>
      <c r="Q557" s="8" t="str">
        <f>IF($A557="","",IFERROR(VLOOKUP(J557,DATA!$AH$9:$AI$13,2,0),""))</f>
        <v/>
      </c>
      <c r="R557" s="8" t="str">
        <f>IF($A557="","",IFERROR(VLOOKUP(K557,DATA!$AH$9:$AI$13,2,0),""))</f>
        <v/>
      </c>
      <c r="S557" s="42" t="str">
        <f t="shared" si="176"/>
        <v/>
      </c>
      <c r="T557" s="8" t="str">
        <f>IF($A557="","",IF(COUNTIF($D$2:D557,D557)=1,1,0))</f>
        <v/>
      </c>
      <c r="U557" s="8" t="str">
        <f>IF($A557="","",IF(F557="-","Cabang tdk ada",IF(IFERROR(VLOOKUP(G557,#REF!,1,0),"")="","",IF(INDEX(DATA!$AH$2:$AH$5,MATCH(G557,DATA!$AI$2:$AI$5,0))&lt;&gt;F557,"Wilayah beda","OK"))))</f>
        <v/>
      </c>
      <c r="V557" s="8" t="str">
        <f>IF($A557="","",TRIM(INDEX(FORM!$I:$I,ROW())&amp;""))</f>
        <v/>
      </c>
      <c r="W557" s="8" t="str">
        <f>IF($A557="","",TRIM(INDEX(FORM!$L:$L,ROW())&amp;""))</f>
        <v/>
      </c>
      <c r="X557" s="8" t="str">
        <f>IF($A557="","",TRIM(INDEX(FORM!$M:$M,ROW())&amp;""))</f>
        <v/>
      </c>
      <c r="Y557" s="8" t="str">
        <f>IF($A557="","",IFERROR(MATCH(F557,DATA!$AH$2:$AH$5,0),9)*10000+A557)</f>
        <v/>
      </c>
      <c r="Z557" s="8" t="str">
        <f t="shared" si="177"/>
        <v/>
      </c>
      <c r="AA557" s="8" t="str">
        <f t="shared" si="178"/>
        <v/>
      </c>
      <c r="AB557" s="8" t="str">
        <f t="shared" si="179"/>
        <v/>
      </c>
      <c r="AC557" s="8"/>
      <c r="AD557" s="8"/>
      <c r="AE557" s="8"/>
      <c r="AK557" s="5" t="str">
        <f t="shared" si="180"/>
        <v/>
      </c>
      <c r="AL557" s="5" t="str">
        <f t="shared" si="181"/>
        <v/>
      </c>
      <c r="AM557" s="5" t="str">
        <f t="shared" si="182"/>
        <v/>
      </c>
      <c r="AN557" s="5" t="str">
        <f t="shared" si="183"/>
        <v/>
      </c>
      <c r="AO557" s="5" t="str">
        <f t="shared" si="184"/>
        <v/>
      </c>
      <c r="AP557" s="5" t="str">
        <f t="shared" si="185"/>
        <v/>
      </c>
      <c r="AQ557" s="5" t="str">
        <f t="shared" si="186"/>
        <v/>
      </c>
      <c r="AR557" s="5" t="str">
        <f t="shared" si="187"/>
        <v/>
      </c>
      <c r="AS557" s="5" t="str">
        <f t="shared" si="188"/>
        <v/>
      </c>
      <c r="AT557" s="5" t="str">
        <f t="shared" si="189"/>
        <v/>
      </c>
      <c r="AU557" s="5" t="str">
        <f t="shared" si="190"/>
        <v/>
      </c>
      <c r="AV557" s="5" t="str">
        <f t="shared" si="191"/>
        <v/>
      </c>
      <c r="AW557" s="5" t="str">
        <f t="shared" si="192"/>
        <v/>
      </c>
      <c r="AX557" s="5" t="str">
        <f t="shared" si="193"/>
        <v/>
      </c>
      <c r="AY557" s="5" t="str">
        <f t="shared" si="194"/>
        <v/>
      </c>
      <c r="AZ557" s="5" t="str">
        <f t="shared" si="195"/>
        <v/>
      </c>
      <c r="BA557" s="5" t="str">
        <f t="shared" si="196"/>
        <v/>
      </c>
      <c r="BB557" s="5" t="str">
        <f t="shared" si="197"/>
        <v/>
      </c>
    </row>
    <row r="558" spans="1:54" s="5" customFormat="1" hidden="1">
      <c r="A558" s="8" t="str">
        <f>IF(INDEX(FORM!$A:$A,ROW())="","",ROW()-1)</f>
        <v/>
      </c>
      <c r="B558" s="41" t="str">
        <f>IF($A558="","",INDEX(FORM!$A:$A,ROW()))</f>
        <v/>
      </c>
      <c r="C558" s="8" t="str">
        <f>IF($A558="","",TRIM(INDEX(FORM!$B:$B,ROW())))</f>
        <v/>
      </c>
      <c r="D558" s="8" t="str">
        <f>IF($A558="","",TRIM(INDEX(FORM!$C:$C,ROW())&amp;""))</f>
        <v/>
      </c>
      <c r="E558" s="8" t="str">
        <f>IF($A558="","",UPPER(TRIM(INDEX(FORM!$D:$D,ROW()))))</f>
        <v/>
      </c>
      <c r="F558" s="8" t="str">
        <f>IF($A558="","",IFERROR(INDEX(PROGRES!$A$2:$A$92,MATCH(E558,PROGRES!$B$2:$B$92,0)),"-"))</f>
        <v/>
      </c>
      <c r="G558" s="8" t="str">
        <f>IF($A558="","",UPPER(TRIM(INDEX(FORM!$F:$F,ROW()))))</f>
        <v/>
      </c>
      <c r="H558" s="8" t="str">
        <f>IF($A558="","",UPPER(TRIM(INDEX(FORM!$E:$E,ROW()))))</f>
        <v/>
      </c>
      <c r="I558" s="8" t="str">
        <f>IF($A558="","",UPPER(TRIM(INDEX(FORM!$G:$G,ROW()))))</f>
        <v/>
      </c>
      <c r="J558" s="8" t="str">
        <f>IF($A558="","",IF(ISNUMBER(SEARCH("Ya,",INDEX(FORM!$H:$H,ROW()))),"YA",IF(ISNUMBER(SEARCH("Cukup,",INDEX(FORM!$H:$H,ROW()))),"CUKUP",IF(ISNUMBER(SEARCH("Kurang,",INDEX(FORM!$H:$H,ROW()))),"KURANG",""))))</f>
        <v/>
      </c>
      <c r="K558" s="8" t="str">
        <f>IF($A558="","",UPPER(TRIM(INDEX(FORM!$J:$J,ROW()))))</f>
        <v/>
      </c>
      <c r="L558" s="8" t="str">
        <f>IF($A558="","",IF(ISNUMBER(SEARCH("Aktivitas Harian",INDEX(FORM!$K:$K,ROW()))),1,0))</f>
        <v/>
      </c>
      <c r="M558" s="8" t="str">
        <f>IF($A558="","",IF(ISNUMBER(SEARCH("Aktivitas Mingguan",INDEX(FORM!$K:$K,ROW()))),1,0))</f>
        <v/>
      </c>
      <c r="N558" s="8" t="str">
        <f>IF($A558="","",IF(ISNUMBER(SEARCH("Aktivitas Bulanan",INDEX(FORM!$K:$K,ROW()))),1,0))</f>
        <v/>
      </c>
      <c r="O558" s="8" t="str">
        <f>IF($A558="","",IF(ISNUMBER(SEARCH("Overview Cabang",INDEX(FORM!$K:$K,ROW()))),1,0))</f>
        <v/>
      </c>
      <c r="P558" s="8" t="str">
        <f>IF($A558="","",IFERROR(VLOOKUP(I558,DATA!$AH$9:$AI$13,2,0),""))</f>
        <v/>
      </c>
      <c r="Q558" s="8" t="str">
        <f>IF($A558="","",IFERROR(VLOOKUP(J558,DATA!$AH$9:$AI$13,2,0),""))</f>
        <v/>
      </c>
      <c r="R558" s="8" t="str">
        <f>IF($A558="","",IFERROR(VLOOKUP(K558,DATA!$AH$9:$AI$13,2,0),""))</f>
        <v/>
      </c>
      <c r="S558" s="42" t="str">
        <f t="shared" si="176"/>
        <v/>
      </c>
      <c r="T558" s="8" t="str">
        <f>IF($A558="","",IF(COUNTIF($D$2:D558,D558)=1,1,0))</f>
        <v/>
      </c>
      <c r="U558" s="8" t="str">
        <f>IF($A558="","",IF(F558="-","Cabang tdk ada",IF(IFERROR(VLOOKUP(G558,#REF!,1,0),"")="","",IF(INDEX(DATA!$AH$2:$AH$5,MATCH(G558,DATA!$AI$2:$AI$5,0))&lt;&gt;F558,"Wilayah beda","OK"))))</f>
        <v/>
      </c>
      <c r="V558" s="8" t="str">
        <f>IF($A558="","",TRIM(INDEX(FORM!$I:$I,ROW())&amp;""))</f>
        <v/>
      </c>
      <c r="W558" s="8" t="str">
        <f>IF($A558="","",TRIM(INDEX(FORM!$L:$L,ROW())&amp;""))</f>
        <v/>
      </c>
      <c r="X558" s="8" t="str">
        <f>IF($A558="","",TRIM(INDEX(FORM!$M:$M,ROW())&amp;""))</f>
        <v/>
      </c>
      <c r="Y558" s="8" t="str">
        <f>IF($A558="","",IFERROR(MATCH(F558,DATA!$AH$2:$AH$5,0),9)*10000+A558)</f>
        <v/>
      </c>
      <c r="Z558" s="8" t="str">
        <f t="shared" si="177"/>
        <v/>
      </c>
      <c r="AA558" s="8" t="str">
        <f t="shared" si="178"/>
        <v/>
      </c>
      <c r="AB558" s="8" t="str">
        <f t="shared" si="179"/>
        <v/>
      </c>
      <c r="AC558" s="8"/>
      <c r="AD558" s="8"/>
      <c r="AE558" s="8"/>
      <c r="AK558" s="5" t="str">
        <f t="shared" si="180"/>
        <v/>
      </c>
      <c r="AL558" s="5" t="str">
        <f t="shared" si="181"/>
        <v/>
      </c>
      <c r="AM558" s="5" t="str">
        <f t="shared" si="182"/>
        <v/>
      </c>
      <c r="AN558" s="5" t="str">
        <f t="shared" si="183"/>
        <v/>
      </c>
      <c r="AO558" s="5" t="str">
        <f t="shared" si="184"/>
        <v/>
      </c>
      <c r="AP558" s="5" t="str">
        <f t="shared" si="185"/>
        <v/>
      </c>
      <c r="AQ558" s="5" t="str">
        <f t="shared" si="186"/>
        <v/>
      </c>
      <c r="AR558" s="5" t="str">
        <f t="shared" si="187"/>
        <v/>
      </c>
      <c r="AS558" s="5" t="str">
        <f t="shared" si="188"/>
        <v/>
      </c>
      <c r="AT558" s="5" t="str">
        <f t="shared" si="189"/>
        <v/>
      </c>
      <c r="AU558" s="5" t="str">
        <f t="shared" si="190"/>
        <v/>
      </c>
      <c r="AV558" s="5" t="str">
        <f t="shared" si="191"/>
        <v/>
      </c>
      <c r="AW558" s="5" t="str">
        <f t="shared" si="192"/>
        <v/>
      </c>
      <c r="AX558" s="5" t="str">
        <f t="shared" si="193"/>
        <v/>
      </c>
      <c r="AY558" s="5" t="str">
        <f t="shared" si="194"/>
        <v/>
      </c>
      <c r="AZ558" s="5" t="str">
        <f t="shared" si="195"/>
        <v/>
      </c>
      <c r="BA558" s="5" t="str">
        <f t="shared" si="196"/>
        <v/>
      </c>
      <c r="BB558" s="5" t="str">
        <f t="shared" si="197"/>
        <v/>
      </c>
    </row>
    <row r="559" spans="1:54" s="5" customFormat="1" hidden="1">
      <c r="A559" s="8" t="str">
        <f>IF(INDEX(FORM!$A:$A,ROW())="","",ROW()-1)</f>
        <v/>
      </c>
      <c r="B559" s="41" t="str">
        <f>IF($A559="","",INDEX(FORM!$A:$A,ROW()))</f>
        <v/>
      </c>
      <c r="C559" s="8" t="str">
        <f>IF($A559="","",TRIM(INDEX(FORM!$B:$B,ROW())))</f>
        <v/>
      </c>
      <c r="D559" s="8" t="str">
        <f>IF($A559="","",TRIM(INDEX(FORM!$C:$C,ROW())&amp;""))</f>
        <v/>
      </c>
      <c r="E559" s="8" t="str">
        <f>IF($A559="","",UPPER(TRIM(INDEX(FORM!$D:$D,ROW()))))</f>
        <v/>
      </c>
      <c r="F559" s="8" t="str">
        <f>IF($A559="","",IFERROR(INDEX(PROGRES!$A$2:$A$92,MATCH(E559,PROGRES!$B$2:$B$92,0)),"-"))</f>
        <v/>
      </c>
      <c r="G559" s="8" t="str">
        <f>IF($A559="","",UPPER(TRIM(INDEX(FORM!$F:$F,ROW()))))</f>
        <v/>
      </c>
      <c r="H559" s="8" t="str">
        <f>IF($A559="","",UPPER(TRIM(INDEX(FORM!$E:$E,ROW()))))</f>
        <v/>
      </c>
      <c r="I559" s="8" t="str">
        <f>IF($A559="","",UPPER(TRIM(INDEX(FORM!$G:$G,ROW()))))</f>
        <v/>
      </c>
      <c r="J559" s="8" t="str">
        <f>IF($A559="","",IF(ISNUMBER(SEARCH("Ya,",INDEX(FORM!$H:$H,ROW()))),"YA",IF(ISNUMBER(SEARCH("Cukup,",INDEX(FORM!$H:$H,ROW()))),"CUKUP",IF(ISNUMBER(SEARCH("Kurang,",INDEX(FORM!$H:$H,ROW()))),"KURANG",""))))</f>
        <v/>
      </c>
      <c r="K559" s="8" t="str">
        <f>IF($A559="","",UPPER(TRIM(INDEX(FORM!$J:$J,ROW()))))</f>
        <v/>
      </c>
      <c r="L559" s="8" t="str">
        <f>IF($A559="","",IF(ISNUMBER(SEARCH("Aktivitas Harian",INDEX(FORM!$K:$K,ROW()))),1,0))</f>
        <v/>
      </c>
      <c r="M559" s="8" t="str">
        <f>IF($A559="","",IF(ISNUMBER(SEARCH("Aktivitas Mingguan",INDEX(FORM!$K:$K,ROW()))),1,0))</f>
        <v/>
      </c>
      <c r="N559" s="8" t="str">
        <f>IF($A559="","",IF(ISNUMBER(SEARCH("Aktivitas Bulanan",INDEX(FORM!$K:$K,ROW()))),1,0))</f>
        <v/>
      </c>
      <c r="O559" s="8" t="str">
        <f>IF($A559="","",IF(ISNUMBER(SEARCH("Overview Cabang",INDEX(FORM!$K:$K,ROW()))),1,0))</f>
        <v/>
      </c>
      <c r="P559" s="8" t="str">
        <f>IF($A559="","",IFERROR(VLOOKUP(I559,DATA!$AH$9:$AI$13,2,0),""))</f>
        <v/>
      </c>
      <c r="Q559" s="8" t="str">
        <f>IF($A559="","",IFERROR(VLOOKUP(J559,DATA!$AH$9:$AI$13,2,0),""))</f>
        <v/>
      </c>
      <c r="R559" s="8" t="str">
        <f>IF($A559="","",IFERROR(VLOOKUP(K559,DATA!$AH$9:$AI$13,2,0),""))</f>
        <v/>
      </c>
      <c r="S559" s="42" t="str">
        <f t="shared" si="176"/>
        <v/>
      </c>
      <c r="T559" s="8" t="str">
        <f>IF($A559="","",IF(COUNTIF($D$2:D559,D559)=1,1,0))</f>
        <v/>
      </c>
      <c r="U559" s="8" t="str">
        <f>IF($A559="","",IF(F559="-","Cabang tdk ada",IF(IFERROR(VLOOKUP(G559,#REF!,1,0),"")="","",IF(INDEX(DATA!$AH$2:$AH$5,MATCH(G559,DATA!$AI$2:$AI$5,0))&lt;&gt;F559,"Wilayah beda","OK"))))</f>
        <v/>
      </c>
      <c r="V559" s="8" t="str">
        <f>IF($A559="","",TRIM(INDEX(FORM!$I:$I,ROW())&amp;""))</f>
        <v/>
      </c>
      <c r="W559" s="8" t="str">
        <f>IF($A559="","",TRIM(INDEX(FORM!$L:$L,ROW())&amp;""))</f>
        <v/>
      </c>
      <c r="X559" s="8" t="str">
        <f>IF($A559="","",TRIM(INDEX(FORM!$M:$M,ROW())&amp;""))</f>
        <v/>
      </c>
      <c r="Y559" s="8" t="str">
        <f>IF($A559="","",IFERROR(MATCH(F559,DATA!$AH$2:$AH$5,0),9)*10000+A559)</f>
        <v/>
      </c>
      <c r="Z559" s="8" t="str">
        <f t="shared" si="177"/>
        <v/>
      </c>
      <c r="AA559" s="8" t="str">
        <f t="shared" si="178"/>
        <v/>
      </c>
      <c r="AB559" s="8" t="str">
        <f t="shared" si="179"/>
        <v/>
      </c>
      <c r="AC559" s="8"/>
      <c r="AD559" s="8"/>
      <c r="AE559" s="8"/>
      <c r="AK559" s="5" t="str">
        <f t="shared" si="180"/>
        <v/>
      </c>
      <c r="AL559" s="5" t="str">
        <f t="shared" si="181"/>
        <v/>
      </c>
      <c r="AM559" s="5" t="str">
        <f t="shared" si="182"/>
        <v/>
      </c>
      <c r="AN559" s="5" t="str">
        <f t="shared" si="183"/>
        <v/>
      </c>
      <c r="AO559" s="5" t="str">
        <f t="shared" si="184"/>
        <v/>
      </c>
      <c r="AP559" s="5" t="str">
        <f t="shared" si="185"/>
        <v/>
      </c>
      <c r="AQ559" s="5" t="str">
        <f t="shared" si="186"/>
        <v/>
      </c>
      <c r="AR559" s="5" t="str">
        <f t="shared" si="187"/>
        <v/>
      </c>
      <c r="AS559" s="5" t="str">
        <f t="shared" si="188"/>
        <v/>
      </c>
      <c r="AT559" s="5" t="str">
        <f t="shared" si="189"/>
        <v/>
      </c>
      <c r="AU559" s="5" t="str">
        <f t="shared" si="190"/>
        <v/>
      </c>
      <c r="AV559" s="5" t="str">
        <f t="shared" si="191"/>
        <v/>
      </c>
      <c r="AW559" s="5" t="str">
        <f t="shared" si="192"/>
        <v/>
      </c>
      <c r="AX559" s="5" t="str">
        <f t="shared" si="193"/>
        <v/>
      </c>
      <c r="AY559" s="5" t="str">
        <f t="shared" si="194"/>
        <v/>
      </c>
      <c r="AZ559" s="5" t="str">
        <f t="shared" si="195"/>
        <v/>
      </c>
      <c r="BA559" s="5" t="str">
        <f t="shared" si="196"/>
        <v/>
      </c>
      <c r="BB559" s="5" t="str">
        <f t="shared" si="197"/>
        <v/>
      </c>
    </row>
    <row r="560" spans="1:54" s="5" customFormat="1" hidden="1">
      <c r="A560" s="8" t="str">
        <f>IF(INDEX(FORM!$A:$A,ROW())="","",ROW()-1)</f>
        <v/>
      </c>
      <c r="B560" s="41" t="str">
        <f>IF($A560="","",INDEX(FORM!$A:$A,ROW()))</f>
        <v/>
      </c>
      <c r="C560" s="8" t="str">
        <f>IF($A560="","",TRIM(INDEX(FORM!$B:$B,ROW())))</f>
        <v/>
      </c>
      <c r="D560" s="8" t="str">
        <f>IF($A560="","",TRIM(INDEX(FORM!$C:$C,ROW())&amp;""))</f>
        <v/>
      </c>
      <c r="E560" s="8" t="str">
        <f>IF($A560="","",UPPER(TRIM(INDEX(FORM!$D:$D,ROW()))))</f>
        <v/>
      </c>
      <c r="F560" s="8" t="str">
        <f>IF($A560="","",IFERROR(INDEX(PROGRES!$A$2:$A$92,MATCH(E560,PROGRES!$B$2:$B$92,0)),"-"))</f>
        <v/>
      </c>
      <c r="G560" s="8" t="str">
        <f>IF($A560="","",UPPER(TRIM(INDEX(FORM!$F:$F,ROW()))))</f>
        <v/>
      </c>
      <c r="H560" s="8" t="str">
        <f>IF($A560="","",UPPER(TRIM(INDEX(FORM!$E:$E,ROW()))))</f>
        <v/>
      </c>
      <c r="I560" s="8" t="str">
        <f>IF($A560="","",UPPER(TRIM(INDEX(FORM!$G:$G,ROW()))))</f>
        <v/>
      </c>
      <c r="J560" s="8" t="str">
        <f>IF($A560="","",IF(ISNUMBER(SEARCH("Ya,",INDEX(FORM!$H:$H,ROW()))),"YA",IF(ISNUMBER(SEARCH("Cukup,",INDEX(FORM!$H:$H,ROW()))),"CUKUP",IF(ISNUMBER(SEARCH("Kurang,",INDEX(FORM!$H:$H,ROW()))),"KURANG",""))))</f>
        <v/>
      </c>
      <c r="K560" s="8" t="str">
        <f>IF($A560="","",UPPER(TRIM(INDEX(FORM!$J:$J,ROW()))))</f>
        <v/>
      </c>
      <c r="L560" s="8" t="str">
        <f>IF($A560="","",IF(ISNUMBER(SEARCH("Aktivitas Harian",INDEX(FORM!$K:$K,ROW()))),1,0))</f>
        <v/>
      </c>
      <c r="M560" s="8" t="str">
        <f>IF($A560="","",IF(ISNUMBER(SEARCH("Aktivitas Mingguan",INDEX(FORM!$K:$K,ROW()))),1,0))</f>
        <v/>
      </c>
      <c r="N560" s="8" t="str">
        <f>IF($A560="","",IF(ISNUMBER(SEARCH("Aktivitas Bulanan",INDEX(FORM!$K:$K,ROW()))),1,0))</f>
        <v/>
      </c>
      <c r="O560" s="8" t="str">
        <f>IF($A560="","",IF(ISNUMBER(SEARCH("Overview Cabang",INDEX(FORM!$K:$K,ROW()))),1,0))</f>
        <v/>
      </c>
      <c r="P560" s="8" t="str">
        <f>IF($A560="","",IFERROR(VLOOKUP(I560,DATA!$AH$9:$AI$13,2,0),""))</f>
        <v/>
      </c>
      <c r="Q560" s="8" t="str">
        <f>IF($A560="","",IFERROR(VLOOKUP(J560,DATA!$AH$9:$AI$13,2,0),""))</f>
        <v/>
      </c>
      <c r="R560" s="8" t="str">
        <f>IF($A560="","",IFERROR(VLOOKUP(K560,DATA!$AH$9:$AI$13,2,0),""))</f>
        <v/>
      </c>
      <c r="S560" s="42" t="str">
        <f t="shared" si="176"/>
        <v/>
      </c>
      <c r="T560" s="8" t="str">
        <f>IF($A560="","",IF(COUNTIF($D$2:D560,D560)=1,1,0))</f>
        <v/>
      </c>
      <c r="U560" s="8" t="str">
        <f>IF($A560="","",IF(F560="-","Cabang tdk ada",IF(IFERROR(VLOOKUP(G560,#REF!,1,0),"")="","",IF(INDEX(DATA!$AH$2:$AH$5,MATCH(G560,DATA!$AI$2:$AI$5,0))&lt;&gt;F560,"Wilayah beda","OK"))))</f>
        <v/>
      </c>
      <c r="V560" s="8" t="str">
        <f>IF($A560="","",TRIM(INDEX(FORM!$I:$I,ROW())&amp;""))</f>
        <v/>
      </c>
      <c r="W560" s="8" t="str">
        <f>IF($A560="","",TRIM(INDEX(FORM!$L:$L,ROW())&amp;""))</f>
        <v/>
      </c>
      <c r="X560" s="8" t="str">
        <f>IF($A560="","",TRIM(INDEX(FORM!$M:$M,ROW())&amp;""))</f>
        <v/>
      </c>
      <c r="Y560" s="8" t="str">
        <f>IF($A560="","",IFERROR(MATCH(F560,DATA!$AH$2:$AH$5,0),9)*10000+A560)</f>
        <v/>
      </c>
      <c r="Z560" s="8" t="str">
        <f t="shared" si="177"/>
        <v/>
      </c>
      <c r="AA560" s="8" t="str">
        <f t="shared" si="178"/>
        <v/>
      </c>
      <c r="AB560" s="8" t="str">
        <f t="shared" si="179"/>
        <v/>
      </c>
      <c r="AC560" s="8"/>
      <c r="AD560" s="8"/>
      <c r="AE560" s="8"/>
      <c r="AK560" s="5" t="str">
        <f t="shared" si="180"/>
        <v/>
      </c>
      <c r="AL560" s="5" t="str">
        <f t="shared" si="181"/>
        <v/>
      </c>
      <c r="AM560" s="5" t="str">
        <f t="shared" si="182"/>
        <v/>
      </c>
      <c r="AN560" s="5" t="str">
        <f t="shared" si="183"/>
        <v/>
      </c>
      <c r="AO560" s="5" t="str">
        <f t="shared" si="184"/>
        <v/>
      </c>
      <c r="AP560" s="5" t="str">
        <f t="shared" si="185"/>
        <v/>
      </c>
      <c r="AQ560" s="5" t="str">
        <f t="shared" si="186"/>
        <v/>
      </c>
      <c r="AR560" s="5" t="str">
        <f t="shared" si="187"/>
        <v/>
      </c>
      <c r="AS560" s="5" t="str">
        <f t="shared" si="188"/>
        <v/>
      </c>
      <c r="AT560" s="5" t="str">
        <f t="shared" si="189"/>
        <v/>
      </c>
      <c r="AU560" s="5" t="str">
        <f t="shared" si="190"/>
        <v/>
      </c>
      <c r="AV560" s="5" t="str">
        <f t="shared" si="191"/>
        <v/>
      </c>
      <c r="AW560" s="5" t="str">
        <f t="shared" si="192"/>
        <v/>
      </c>
      <c r="AX560" s="5" t="str">
        <f t="shared" si="193"/>
        <v/>
      </c>
      <c r="AY560" s="5" t="str">
        <f t="shared" si="194"/>
        <v/>
      </c>
      <c r="AZ560" s="5" t="str">
        <f t="shared" si="195"/>
        <v/>
      </c>
      <c r="BA560" s="5" t="str">
        <f t="shared" si="196"/>
        <v/>
      </c>
      <c r="BB560" s="5" t="str">
        <f t="shared" si="197"/>
        <v/>
      </c>
    </row>
    <row r="561" spans="1:54" s="5" customFormat="1" hidden="1">
      <c r="A561" s="8" t="str">
        <f>IF(INDEX(FORM!$A:$A,ROW())="","",ROW()-1)</f>
        <v/>
      </c>
      <c r="B561" s="41" t="str">
        <f>IF($A561="","",INDEX(FORM!$A:$A,ROW()))</f>
        <v/>
      </c>
      <c r="C561" s="8" t="str">
        <f>IF($A561="","",TRIM(INDEX(FORM!$B:$B,ROW())))</f>
        <v/>
      </c>
      <c r="D561" s="8" t="str">
        <f>IF($A561="","",TRIM(INDEX(FORM!$C:$C,ROW())&amp;""))</f>
        <v/>
      </c>
      <c r="E561" s="8" t="str">
        <f>IF($A561="","",UPPER(TRIM(INDEX(FORM!$D:$D,ROW()))))</f>
        <v/>
      </c>
      <c r="F561" s="8" t="str">
        <f>IF($A561="","",IFERROR(INDEX(PROGRES!$A$2:$A$92,MATCH(E561,PROGRES!$B$2:$B$92,0)),"-"))</f>
        <v/>
      </c>
      <c r="G561" s="8" t="str">
        <f>IF($A561="","",UPPER(TRIM(INDEX(FORM!$F:$F,ROW()))))</f>
        <v/>
      </c>
      <c r="H561" s="8" t="str">
        <f>IF($A561="","",UPPER(TRIM(INDEX(FORM!$E:$E,ROW()))))</f>
        <v/>
      </c>
      <c r="I561" s="8" t="str">
        <f>IF($A561="","",UPPER(TRIM(INDEX(FORM!$G:$G,ROW()))))</f>
        <v/>
      </c>
      <c r="J561" s="8" t="str">
        <f>IF($A561="","",IF(ISNUMBER(SEARCH("Ya,",INDEX(FORM!$H:$H,ROW()))),"YA",IF(ISNUMBER(SEARCH("Cukup,",INDEX(FORM!$H:$H,ROW()))),"CUKUP",IF(ISNUMBER(SEARCH("Kurang,",INDEX(FORM!$H:$H,ROW()))),"KURANG",""))))</f>
        <v/>
      </c>
      <c r="K561" s="8" t="str">
        <f>IF($A561="","",UPPER(TRIM(INDEX(FORM!$J:$J,ROW()))))</f>
        <v/>
      </c>
      <c r="L561" s="8" t="str">
        <f>IF($A561="","",IF(ISNUMBER(SEARCH("Aktivitas Harian",INDEX(FORM!$K:$K,ROW()))),1,0))</f>
        <v/>
      </c>
      <c r="M561" s="8" t="str">
        <f>IF($A561="","",IF(ISNUMBER(SEARCH("Aktivitas Mingguan",INDEX(FORM!$K:$K,ROW()))),1,0))</f>
        <v/>
      </c>
      <c r="N561" s="8" t="str">
        <f>IF($A561="","",IF(ISNUMBER(SEARCH("Aktivitas Bulanan",INDEX(FORM!$K:$K,ROW()))),1,0))</f>
        <v/>
      </c>
      <c r="O561" s="8" t="str">
        <f>IF($A561="","",IF(ISNUMBER(SEARCH("Overview Cabang",INDEX(FORM!$K:$K,ROW()))),1,0))</f>
        <v/>
      </c>
      <c r="P561" s="8" t="str">
        <f>IF($A561="","",IFERROR(VLOOKUP(I561,DATA!$AH$9:$AI$13,2,0),""))</f>
        <v/>
      </c>
      <c r="Q561" s="8" t="str">
        <f>IF($A561="","",IFERROR(VLOOKUP(J561,DATA!$AH$9:$AI$13,2,0),""))</f>
        <v/>
      </c>
      <c r="R561" s="8" t="str">
        <f>IF($A561="","",IFERROR(VLOOKUP(K561,DATA!$AH$9:$AI$13,2,0),""))</f>
        <v/>
      </c>
      <c r="S561" s="42" t="str">
        <f t="shared" si="176"/>
        <v/>
      </c>
      <c r="T561" s="8" t="str">
        <f>IF($A561="","",IF(COUNTIF($D$2:D561,D561)=1,1,0))</f>
        <v/>
      </c>
      <c r="U561" s="8" t="str">
        <f>IF($A561="","",IF(F561="-","Cabang tdk ada",IF(IFERROR(VLOOKUP(G561,#REF!,1,0),"")="","",IF(INDEX(DATA!$AH$2:$AH$5,MATCH(G561,DATA!$AI$2:$AI$5,0))&lt;&gt;F561,"Wilayah beda","OK"))))</f>
        <v/>
      </c>
      <c r="V561" s="8" t="str">
        <f>IF($A561="","",TRIM(INDEX(FORM!$I:$I,ROW())&amp;""))</f>
        <v/>
      </c>
      <c r="W561" s="8" t="str">
        <f>IF($A561="","",TRIM(INDEX(FORM!$L:$L,ROW())&amp;""))</f>
        <v/>
      </c>
      <c r="X561" s="8" t="str">
        <f>IF($A561="","",TRIM(INDEX(FORM!$M:$M,ROW())&amp;""))</f>
        <v/>
      </c>
      <c r="Y561" s="8" t="str">
        <f>IF($A561="","",IFERROR(MATCH(F561,DATA!$AH$2:$AH$5,0),9)*10000+A561)</f>
        <v/>
      </c>
      <c r="Z561" s="8" t="str">
        <f t="shared" si="177"/>
        <v/>
      </c>
      <c r="AA561" s="8" t="str">
        <f t="shared" si="178"/>
        <v/>
      </c>
      <c r="AB561" s="8" t="str">
        <f t="shared" si="179"/>
        <v/>
      </c>
      <c r="AC561" s="8"/>
      <c r="AD561" s="8"/>
      <c r="AE561" s="8"/>
      <c r="AK561" s="5" t="str">
        <f t="shared" si="180"/>
        <v/>
      </c>
      <c r="AL561" s="5" t="str">
        <f t="shared" si="181"/>
        <v/>
      </c>
      <c r="AM561" s="5" t="str">
        <f t="shared" si="182"/>
        <v/>
      </c>
      <c r="AN561" s="5" t="str">
        <f t="shared" si="183"/>
        <v/>
      </c>
      <c r="AO561" s="5" t="str">
        <f t="shared" si="184"/>
        <v/>
      </c>
      <c r="AP561" s="5" t="str">
        <f t="shared" si="185"/>
        <v/>
      </c>
      <c r="AQ561" s="5" t="str">
        <f t="shared" si="186"/>
        <v/>
      </c>
      <c r="AR561" s="5" t="str">
        <f t="shared" si="187"/>
        <v/>
      </c>
      <c r="AS561" s="5" t="str">
        <f t="shared" si="188"/>
        <v/>
      </c>
      <c r="AT561" s="5" t="str">
        <f t="shared" si="189"/>
        <v/>
      </c>
      <c r="AU561" s="5" t="str">
        <f t="shared" si="190"/>
        <v/>
      </c>
      <c r="AV561" s="5" t="str">
        <f t="shared" si="191"/>
        <v/>
      </c>
      <c r="AW561" s="5" t="str">
        <f t="shared" si="192"/>
        <v/>
      </c>
      <c r="AX561" s="5" t="str">
        <f t="shared" si="193"/>
        <v/>
      </c>
      <c r="AY561" s="5" t="str">
        <f t="shared" si="194"/>
        <v/>
      </c>
      <c r="AZ561" s="5" t="str">
        <f t="shared" si="195"/>
        <v/>
      </c>
      <c r="BA561" s="5" t="str">
        <f t="shared" si="196"/>
        <v/>
      </c>
      <c r="BB561" s="5" t="str">
        <f t="shared" si="197"/>
        <v/>
      </c>
    </row>
    <row r="562" spans="1:54" s="5" customFormat="1" hidden="1">
      <c r="A562" s="8" t="str">
        <f>IF(INDEX(FORM!$A:$A,ROW())="","",ROW()-1)</f>
        <v/>
      </c>
      <c r="B562" s="41" t="str">
        <f>IF($A562="","",INDEX(FORM!$A:$A,ROW()))</f>
        <v/>
      </c>
      <c r="C562" s="8" t="str">
        <f>IF($A562="","",TRIM(INDEX(FORM!$B:$B,ROW())))</f>
        <v/>
      </c>
      <c r="D562" s="8" t="str">
        <f>IF($A562="","",TRIM(INDEX(FORM!$C:$C,ROW())&amp;""))</f>
        <v/>
      </c>
      <c r="E562" s="8" t="str">
        <f>IF($A562="","",UPPER(TRIM(INDEX(FORM!$D:$D,ROW()))))</f>
        <v/>
      </c>
      <c r="F562" s="8" t="str">
        <f>IF($A562="","",IFERROR(INDEX(PROGRES!$A$2:$A$92,MATCH(E562,PROGRES!$B$2:$B$92,0)),"-"))</f>
        <v/>
      </c>
      <c r="G562" s="8" t="str">
        <f>IF($A562="","",UPPER(TRIM(INDEX(FORM!$F:$F,ROW()))))</f>
        <v/>
      </c>
      <c r="H562" s="8" t="str">
        <f>IF($A562="","",UPPER(TRIM(INDEX(FORM!$E:$E,ROW()))))</f>
        <v/>
      </c>
      <c r="I562" s="8" t="str">
        <f>IF($A562="","",UPPER(TRIM(INDEX(FORM!$G:$G,ROW()))))</f>
        <v/>
      </c>
      <c r="J562" s="8" t="str">
        <f>IF($A562="","",IF(ISNUMBER(SEARCH("Ya,",INDEX(FORM!$H:$H,ROW()))),"YA",IF(ISNUMBER(SEARCH("Cukup,",INDEX(FORM!$H:$H,ROW()))),"CUKUP",IF(ISNUMBER(SEARCH("Kurang,",INDEX(FORM!$H:$H,ROW()))),"KURANG",""))))</f>
        <v/>
      </c>
      <c r="K562" s="8" t="str">
        <f>IF($A562="","",UPPER(TRIM(INDEX(FORM!$J:$J,ROW()))))</f>
        <v/>
      </c>
      <c r="L562" s="8" t="str">
        <f>IF($A562="","",IF(ISNUMBER(SEARCH("Aktivitas Harian",INDEX(FORM!$K:$K,ROW()))),1,0))</f>
        <v/>
      </c>
      <c r="M562" s="8" t="str">
        <f>IF($A562="","",IF(ISNUMBER(SEARCH("Aktivitas Mingguan",INDEX(FORM!$K:$K,ROW()))),1,0))</f>
        <v/>
      </c>
      <c r="N562" s="8" t="str">
        <f>IF($A562="","",IF(ISNUMBER(SEARCH("Aktivitas Bulanan",INDEX(FORM!$K:$K,ROW()))),1,0))</f>
        <v/>
      </c>
      <c r="O562" s="8" t="str">
        <f>IF($A562="","",IF(ISNUMBER(SEARCH("Overview Cabang",INDEX(FORM!$K:$K,ROW()))),1,0))</f>
        <v/>
      </c>
      <c r="P562" s="8" t="str">
        <f>IF($A562="","",IFERROR(VLOOKUP(I562,DATA!$AH$9:$AI$13,2,0),""))</f>
        <v/>
      </c>
      <c r="Q562" s="8" t="str">
        <f>IF($A562="","",IFERROR(VLOOKUP(J562,DATA!$AH$9:$AI$13,2,0),""))</f>
        <v/>
      </c>
      <c r="R562" s="8" t="str">
        <f>IF($A562="","",IFERROR(VLOOKUP(K562,DATA!$AH$9:$AI$13,2,0),""))</f>
        <v/>
      </c>
      <c r="S562" s="42" t="str">
        <f t="shared" si="176"/>
        <v/>
      </c>
      <c r="T562" s="8" t="str">
        <f>IF($A562="","",IF(COUNTIF($D$2:D562,D562)=1,1,0))</f>
        <v/>
      </c>
      <c r="U562" s="8" t="str">
        <f>IF($A562="","",IF(F562="-","Cabang tdk ada",IF(IFERROR(VLOOKUP(G562,#REF!,1,0),"")="","",IF(INDEX(DATA!$AH$2:$AH$5,MATCH(G562,DATA!$AI$2:$AI$5,0))&lt;&gt;F562,"Wilayah beda","OK"))))</f>
        <v/>
      </c>
      <c r="V562" s="8" t="str">
        <f>IF($A562="","",TRIM(INDEX(FORM!$I:$I,ROW())&amp;""))</f>
        <v/>
      </c>
      <c r="W562" s="8" t="str">
        <f>IF($A562="","",TRIM(INDEX(FORM!$L:$L,ROW())&amp;""))</f>
        <v/>
      </c>
      <c r="X562" s="8" t="str">
        <f>IF($A562="","",TRIM(INDEX(FORM!$M:$M,ROW())&amp;""))</f>
        <v/>
      </c>
      <c r="Y562" s="8" t="str">
        <f>IF($A562="","",IFERROR(MATCH(F562,DATA!$AH$2:$AH$5,0),9)*10000+A562)</f>
        <v/>
      </c>
      <c r="Z562" s="8" t="str">
        <f t="shared" si="177"/>
        <v/>
      </c>
      <c r="AA562" s="8" t="str">
        <f t="shared" si="178"/>
        <v/>
      </c>
      <c r="AB562" s="8" t="str">
        <f t="shared" si="179"/>
        <v/>
      </c>
      <c r="AC562" s="8"/>
      <c r="AD562" s="8"/>
      <c r="AE562" s="8"/>
      <c r="AK562" s="5" t="str">
        <f t="shared" si="180"/>
        <v/>
      </c>
      <c r="AL562" s="5" t="str">
        <f t="shared" si="181"/>
        <v/>
      </c>
      <c r="AM562" s="5" t="str">
        <f t="shared" si="182"/>
        <v/>
      </c>
      <c r="AN562" s="5" t="str">
        <f t="shared" si="183"/>
        <v/>
      </c>
      <c r="AO562" s="5" t="str">
        <f t="shared" si="184"/>
        <v/>
      </c>
      <c r="AP562" s="5" t="str">
        <f t="shared" si="185"/>
        <v/>
      </c>
      <c r="AQ562" s="5" t="str">
        <f t="shared" si="186"/>
        <v/>
      </c>
      <c r="AR562" s="5" t="str">
        <f t="shared" si="187"/>
        <v/>
      </c>
      <c r="AS562" s="5" t="str">
        <f t="shared" si="188"/>
        <v/>
      </c>
      <c r="AT562" s="5" t="str">
        <f t="shared" si="189"/>
        <v/>
      </c>
      <c r="AU562" s="5" t="str">
        <f t="shared" si="190"/>
        <v/>
      </c>
      <c r="AV562" s="5" t="str">
        <f t="shared" si="191"/>
        <v/>
      </c>
      <c r="AW562" s="5" t="str">
        <f t="shared" si="192"/>
        <v/>
      </c>
      <c r="AX562" s="5" t="str">
        <f t="shared" si="193"/>
        <v/>
      </c>
      <c r="AY562" s="5" t="str">
        <f t="shared" si="194"/>
        <v/>
      </c>
      <c r="AZ562" s="5" t="str">
        <f t="shared" si="195"/>
        <v/>
      </c>
      <c r="BA562" s="5" t="str">
        <f t="shared" si="196"/>
        <v/>
      </c>
      <c r="BB562" s="5" t="str">
        <f t="shared" si="197"/>
        <v/>
      </c>
    </row>
    <row r="563" spans="1:54" s="5" customFormat="1" hidden="1">
      <c r="A563" s="8" t="str">
        <f>IF(INDEX(FORM!$A:$A,ROW())="","",ROW()-1)</f>
        <v/>
      </c>
      <c r="B563" s="41" t="str">
        <f>IF($A563="","",INDEX(FORM!$A:$A,ROW()))</f>
        <v/>
      </c>
      <c r="C563" s="8" t="str">
        <f>IF($A563="","",TRIM(INDEX(FORM!$B:$B,ROW())))</f>
        <v/>
      </c>
      <c r="D563" s="8" t="str">
        <f>IF($A563="","",TRIM(INDEX(FORM!$C:$C,ROW())&amp;""))</f>
        <v/>
      </c>
      <c r="E563" s="8" t="str">
        <f>IF($A563="","",UPPER(TRIM(INDEX(FORM!$D:$D,ROW()))))</f>
        <v/>
      </c>
      <c r="F563" s="8" t="str">
        <f>IF($A563="","",IFERROR(INDEX(PROGRES!$A$2:$A$92,MATCH(E563,PROGRES!$B$2:$B$92,0)),"-"))</f>
        <v/>
      </c>
      <c r="G563" s="8" t="str">
        <f>IF($A563="","",UPPER(TRIM(INDEX(FORM!$F:$F,ROW()))))</f>
        <v/>
      </c>
      <c r="H563" s="8" t="str">
        <f>IF($A563="","",UPPER(TRIM(INDEX(FORM!$E:$E,ROW()))))</f>
        <v/>
      </c>
      <c r="I563" s="8" t="str">
        <f>IF($A563="","",UPPER(TRIM(INDEX(FORM!$G:$G,ROW()))))</f>
        <v/>
      </c>
      <c r="J563" s="8" t="str">
        <f>IF($A563="","",IF(ISNUMBER(SEARCH("Ya,",INDEX(FORM!$H:$H,ROW()))),"YA",IF(ISNUMBER(SEARCH("Cukup,",INDEX(FORM!$H:$H,ROW()))),"CUKUP",IF(ISNUMBER(SEARCH("Kurang,",INDEX(FORM!$H:$H,ROW()))),"KURANG",""))))</f>
        <v/>
      </c>
      <c r="K563" s="8" t="str">
        <f>IF($A563="","",UPPER(TRIM(INDEX(FORM!$J:$J,ROW()))))</f>
        <v/>
      </c>
      <c r="L563" s="8" t="str">
        <f>IF($A563="","",IF(ISNUMBER(SEARCH("Aktivitas Harian",INDEX(FORM!$K:$K,ROW()))),1,0))</f>
        <v/>
      </c>
      <c r="M563" s="8" t="str">
        <f>IF($A563="","",IF(ISNUMBER(SEARCH("Aktivitas Mingguan",INDEX(FORM!$K:$K,ROW()))),1,0))</f>
        <v/>
      </c>
      <c r="N563" s="8" t="str">
        <f>IF($A563="","",IF(ISNUMBER(SEARCH("Aktivitas Bulanan",INDEX(FORM!$K:$K,ROW()))),1,0))</f>
        <v/>
      </c>
      <c r="O563" s="8" t="str">
        <f>IF($A563="","",IF(ISNUMBER(SEARCH("Overview Cabang",INDEX(FORM!$K:$K,ROW()))),1,0))</f>
        <v/>
      </c>
      <c r="P563" s="8" t="str">
        <f>IF($A563="","",IFERROR(VLOOKUP(I563,DATA!$AH$9:$AI$13,2,0),""))</f>
        <v/>
      </c>
      <c r="Q563" s="8" t="str">
        <f>IF($A563="","",IFERROR(VLOOKUP(J563,DATA!$AH$9:$AI$13,2,0),""))</f>
        <v/>
      </c>
      <c r="R563" s="8" t="str">
        <f>IF($A563="","",IFERROR(VLOOKUP(K563,DATA!$AH$9:$AI$13,2,0),""))</f>
        <v/>
      </c>
      <c r="S563" s="42" t="str">
        <f t="shared" si="176"/>
        <v/>
      </c>
      <c r="T563" s="8" t="str">
        <f>IF($A563="","",IF(COUNTIF($D$2:D563,D563)=1,1,0))</f>
        <v/>
      </c>
      <c r="U563" s="8" t="str">
        <f>IF($A563="","",IF(F563="-","Cabang tdk ada",IF(IFERROR(VLOOKUP(G563,#REF!,1,0),"")="","",IF(INDEX(DATA!$AH$2:$AH$5,MATCH(G563,DATA!$AI$2:$AI$5,0))&lt;&gt;F563,"Wilayah beda","OK"))))</f>
        <v/>
      </c>
      <c r="V563" s="8" t="str">
        <f>IF($A563="","",TRIM(INDEX(FORM!$I:$I,ROW())&amp;""))</f>
        <v/>
      </c>
      <c r="W563" s="8" t="str">
        <f>IF($A563="","",TRIM(INDEX(FORM!$L:$L,ROW())&amp;""))</f>
        <v/>
      </c>
      <c r="X563" s="8" t="str">
        <f>IF($A563="","",TRIM(INDEX(FORM!$M:$M,ROW())&amp;""))</f>
        <v/>
      </c>
      <c r="Y563" s="8" t="str">
        <f>IF($A563="","",IFERROR(MATCH(F563,DATA!$AH$2:$AH$5,0),9)*10000+A563)</f>
        <v/>
      </c>
      <c r="Z563" s="8" t="str">
        <f t="shared" si="177"/>
        <v/>
      </c>
      <c r="AA563" s="8" t="str">
        <f t="shared" si="178"/>
        <v/>
      </c>
      <c r="AB563" s="8" t="str">
        <f t="shared" si="179"/>
        <v/>
      </c>
      <c r="AC563" s="8"/>
      <c r="AD563" s="8"/>
      <c r="AE563" s="8"/>
      <c r="AK563" s="5" t="str">
        <f t="shared" si="180"/>
        <v/>
      </c>
      <c r="AL563" s="5" t="str">
        <f t="shared" si="181"/>
        <v/>
      </c>
      <c r="AM563" s="5" t="str">
        <f t="shared" si="182"/>
        <v/>
      </c>
      <c r="AN563" s="5" t="str">
        <f t="shared" si="183"/>
        <v/>
      </c>
      <c r="AO563" s="5" t="str">
        <f t="shared" si="184"/>
        <v/>
      </c>
      <c r="AP563" s="5" t="str">
        <f t="shared" si="185"/>
        <v/>
      </c>
      <c r="AQ563" s="5" t="str">
        <f t="shared" si="186"/>
        <v/>
      </c>
      <c r="AR563" s="5" t="str">
        <f t="shared" si="187"/>
        <v/>
      </c>
      <c r="AS563" s="5" t="str">
        <f t="shared" si="188"/>
        <v/>
      </c>
      <c r="AT563" s="5" t="str">
        <f t="shared" si="189"/>
        <v/>
      </c>
      <c r="AU563" s="5" t="str">
        <f t="shared" si="190"/>
        <v/>
      </c>
      <c r="AV563" s="5" t="str">
        <f t="shared" si="191"/>
        <v/>
      </c>
      <c r="AW563" s="5" t="str">
        <f t="shared" si="192"/>
        <v/>
      </c>
      <c r="AX563" s="5" t="str">
        <f t="shared" si="193"/>
        <v/>
      </c>
      <c r="AY563" s="5" t="str">
        <f t="shared" si="194"/>
        <v/>
      </c>
      <c r="AZ563" s="5" t="str">
        <f t="shared" si="195"/>
        <v/>
      </c>
      <c r="BA563" s="5" t="str">
        <f t="shared" si="196"/>
        <v/>
      </c>
      <c r="BB563" s="5" t="str">
        <f t="shared" si="197"/>
        <v/>
      </c>
    </row>
    <row r="564" spans="1:54" s="5" customFormat="1" hidden="1">
      <c r="A564" s="8" t="str">
        <f>IF(INDEX(FORM!$A:$A,ROW())="","",ROW()-1)</f>
        <v/>
      </c>
      <c r="B564" s="41" t="str">
        <f>IF($A564="","",INDEX(FORM!$A:$A,ROW()))</f>
        <v/>
      </c>
      <c r="C564" s="8" t="str">
        <f>IF($A564="","",TRIM(INDEX(FORM!$B:$B,ROW())))</f>
        <v/>
      </c>
      <c r="D564" s="8" t="str">
        <f>IF($A564="","",TRIM(INDEX(FORM!$C:$C,ROW())&amp;""))</f>
        <v/>
      </c>
      <c r="E564" s="8" t="str">
        <f>IF($A564="","",UPPER(TRIM(INDEX(FORM!$D:$D,ROW()))))</f>
        <v/>
      </c>
      <c r="F564" s="8" t="str">
        <f>IF($A564="","",IFERROR(INDEX(PROGRES!$A$2:$A$92,MATCH(E564,PROGRES!$B$2:$B$92,0)),"-"))</f>
        <v/>
      </c>
      <c r="G564" s="8" t="str">
        <f>IF($A564="","",UPPER(TRIM(INDEX(FORM!$F:$F,ROW()))))</f>
        <v/>
      </c>
      <c r="H564" s="8" t="str">
        <f>IF($A564="","",UPPER(TRIM(INDEX(FORM!$E:$E,ROW()))))</f>
        <v/>
      </c>
      <c r="I564" s="8" t="str">
        <f>IF($A564="","",UPPER(TRIM(INDEX(FORM!$G:$G,ROW()))))</f>
        <v/>
      </c>
      <c r="J564" s="8" t="str">
        <f>IF($A564="","",IF(ISNUMBER(SEARCH("Ya,",INDEX(FORM!$H:$H,ROW()))),"YA",IF(ISNUMBER(SEARCH("Cukup,",INDEX(FORM!$H:$H,ROW()))),"CUKUP",IF(ISNUMBER(SEARCH("Kurang,",INDEX(FORM!$H:$H,ROW()))),"KURANG",""))))</f>
        <v/>
      </c>
      <c r="K564" s="8" t="str">
        <f>IF($A564="","",UPPER(TRIM(INDEX(FORM!$J:$J,ROW()))))</f>
        <v/>
      </c>
      <c r="L564" s="8" t="str">
        <f>IF($A564="","",IF(ISNUMBER(SEARCH("Aktivitas Harian",INDEX(FORM!$K:$K,ROW()))),1,0))</f>
        <v/>
      </c>
      <c r="M564" s="8" t="str">
        <f>IF($A564="","",IF(ISNUMBER(SEARCH("Aktivitas Mingguan",INDEX(FORM!$K:$K,ROW()))),1,0))</f>
        <v/>
      </c>
      <c r="N564" s="8" t="str">
        <f>IF($A564="","",IF(ISNUMBER(SEARCH("Aktivitas Bulanan",INDEX(FORM!$K:$K,ROW()))),1,0))</f>
        <v/>
      </c>
      <c r="O564" s="8" t="str">
        <f>IF($A564="","",IF(ISNUMBER(SEARCH("Overview Cabang",INDEX(FORM!$K:$K,ROW()))),1,0))</f>
        <v/>
      </c>
      <c r="P564" s="8" t="str">
        <f>IF($A564="","",IFERROR(VLOOKUP(I564,DATA!$AH$9:$AI$13,2,0),""))</f>
        <v/>
      </c>
      <c r="Q564" s="8" t="str">
        <f>IF($A564="","",IFERROR(VLOOKUP(J564,DATA!$AH$9:$AI$13,2,0),""))</f>
        <v/>
      </c>
      <c r="R564" s="8" t="str">
        <f>IF($A564="","",IFERROR(VLOOKUP(K564,DATA!$AH$9:$AI$13,2,0),""))</f>
        <v/>
      </c>
      <c r="S564" s="42" t="str">
        <f t="shared" si="176"/>
        <v/>
      </c>
      <c r="T564" s="8" t="str">
        <f>IF($A564="","",IF(COUNTIF($D$2:D564,D564)=1,1,0))</f>
        <v/>
      </c>
      <c r="U564" s="8" t="str">
        <f>IF($A564="","",IF(F564="-","Cabang tdk ada",IF(IFERROR(VLOOKUP(G564,#REF!,1,0),"")="","",IF(INDEX(DATA!$AH$2:$AH$5,MATCH(G564,DATA!$AI$2:$AI$5,0))&lt;&gt;F564,"Wilayah beda","OK"))))</f>
        <v/>
      </c>
      <c r="V564" s="8" t="str">
        <f>IF($A564="","",TRIM(INDEX(FORM!$I:$I,ROW())&amp;""))</f>
        <v/>
      </c>
      <c r="W564" s="8" t="str">
        <f>IF($A564="","",TRIM(INDEX(FORM!$L:$L,ROW())&amp;""))</f>
        <v/>
      </c>
      <c r="X564" s="8" t="str">
        <f>IF($A564="","",TRIM(INDEX(FORM!$M:$M,ROW())&amp;""))</f>
        <v/>
      </c>
      <c r="Y564" s="8" t="str">
        <f>IF($A564="","",IFERROR(MATCH(F564,DATA!$AH$2:$AH$5,0),9)*10000+A564)</f>
        <v/>
      </c>
      <c r="Z564" s="8" t="str">
        <f t="shared" si="177"/>
        <v/>
      </c>
      <c r="AA564" s="8" t="str">
        <f t="shared" si="178"/>
        <v/>
      </c>
      <c r="AB564" s="8" t="str">
        <f t="shared" si="179"/>
        <v/>
      </c>
      <c r="AC564" s="8"/>
      <c r="AD564" s="8"/>
      <c r="AE564" s="8"/>
      <c r="AK564" s="5" t="str">
        <f t="shared" si="180"/>
        <v/>
      </c>
      <c r="AL564" s="5" t="str">
        <f t="shared" si="181"/>
        <v/>
      </c>
      <c r="AM564" s="5" t="str">
        <f t="shared" si="182"/>
        <v/>
      </c>
      <c r="AN564" s="5" t="str">
        <f t="shared" si="183"/>
        <v/>
      </c>
      <c r="AO564" s="5" t="str">
        <f t="shared" si="184"/>
        <v/>
      </c>
      <c r="AP564" s="5" t="str">
        <f t="shared" si="185"/>
        <v/>
      </c>
      <c r="AQ564" s="5" t="str">
        <f t="shared" si="186"/>
        <v/>
      </c>
      <c r="AR564" s="5" t="str">
        <f t="shared" si="187"/>
        <v/>
      </c>
      <c r="AS564" s="5" t="str">
        <f t="shared" si="188"/>
        <v/>
      </c>
      <c r="AT564" s="5" t="str">
        <f t="shared" si="189"/>
        <v/>
      </c>
      <c r="AU564" s="5" t="str">
        <f t="shared" si="190"/>
        <v/>
      </c>
      <c r="AV564" s="5" t="str">
        <f t="shared" si="191"/>
        <v/>
      </c>
      <c r="AW564" s="5" t="str">
        <f t="shared" si="192"/>
        <v/>
      </c>
      <c r="AX564" s="5" t="str">
        <f t="shared" si="193"/>
        <v/>
      </c>
      <c r="AY564" s="5" t="str">
        <f t="shared" si="194"/>
        <v/>
      </c>
      <c r="AZ564" s="5" t="str">
        <f t="shared" si="195"/>
        <v/>
      </c>
      <c r="BA564" s="5" t="str">
        <f t="shared" si="196"/>
        <v/>
      </c>
      <c r="BB564" s="5" t="str">
        <f t="shared" si="197"/>
        <v/>
      </c>
    </row>
    <row r="565" spans="1:54" s="5" customFormat="1" hidden="1">
      <c r="A565" s="8" t="str">
        <f>IF(INDEX(FORM!$A:$A,ROW())="","",ROW()-1)</f>
        <v/>
      </c>
      <c r="B565" s="41" t="str">
        <f>IF($A565="","",INDEX(FORM!$A:$A,ROW()))</f>
        <v/>
      </c>
      <c r="C565" s="8" t="str">
        <f>IF($A565="","",TRIM(INDEX(FORM!$B:$B,ROW())))</f>
        <v/>
      </c>
      <c r="D565" s="8" t="str">
        <f>IF($A565="","",TRIM(INDEX(FORM!$C:$C,ROW())&amp;""))</f>
        <v/>
      </c>
      <c r="E565" s="8" t="str">
        <f>IF($A565="","",UPPER(TRIM(INDEX(FORM!$D:$D,ROW()))))</f>
        <v/>
      </c>
      <c r="F565" s="8" t="str">
        <f>IF($A565="","",IFERROR(INDEX(PROGRES!$A$2:$A$92,MATCH(E565,PROGRES!$B$2:$B$92,0)),"-"))</f>
        <v/>
      </c>
      <c r="G565" s="8" t="str">
        <f>IF($A565="","",UPPER(TRIM(INDEX(FORM!$F:$F,ROW()))))</f>
        <v/>
      </c>
      <c r="H565" s="8" t="str">
        <f>IF($A565="","",UPPER(TRIM(INDEX(FORM!$E:$E,ROW()))))</f>
        <v/>
      </c>
      <c r="I565" s="8" t="str">
        <f>IF($A565="","",UPPER(TRIM(INDEX(FORM!$G:$G,ROW()))))</f>
        <v/>
      </c>
      <c r="J565" s="8" t="str">
        <f>IF($A565="","",IF(ISNUMBER(SEARCH("Ya,",INDEX(FORM!$H:$H,ROW()))),"YA",IF(ISNUMBER(SEARCH("Cukup,",INDEX(FORM!$H:$H,ROW()))),"CUKUP",IF(ISNUMBER(SEARCH("Kurang,",INDEX(FORM!$H:$H,ROW()))),"KURANG",""))))</f>
        <v/>
      </c>
      <c r="K565" s="8" t="str">
        <f>IF($A565="","",UPPER(TRIM(INDEX(FORM!$J:$J,ROW()))))</f>
        <v/>
      </c>
      <c r="L565" s="8" t="str">
        <f>IF($A565="","",IF(ISNUMBER(SEARCH("Aktivitas Harian",INDEX(FORM!$K:$K,ROW()))),1,0))</f>
        <v/>
      </c>
      <c r="M565" s="8" t="str">
        <f>IF($A565="","",IF(ISNUMBER(SEARCH("Aktivitas Mingguan",INDEX(FORM!$K:$K,ROW()))),1,0))</f>
        <v/>
      </c>
      <c r="N565" s="8" t="str">
        <f>IF($A565="","",IF(ISNUMBER(SEARCH("Aktivitas Bulanan",INDEX(FORM!$K:$K,ROW()))),1,0))</f>
        <v/>
      </c>
      <c r="O565" s="8" t="str">
        <f>IF($A565="","",IF(ISNUMBER(SEARCH("Overview Cabang",INDEX(FORM!$K:$K,ROW()))),1,0))</f>
        <v/>
      </c>
      <c r="P565" s="8" t="str">
        <f>IF($A565="","",IFERROR(VLOOKUP(I565,DATA!$AH$9:$AI$13,2,0),""))</f>
        <v/>
      </c>
      <c r="Q565" s="8" t="str">
        <f>IF($A565="","",IFERROR(VLOOKUP(J565,DATA!$AH$9:$AI$13,2,0),""))</f>
        <v/>
      </c>
      <c r="R565" s="8" t="str">
        <f>IF($A565="","",IFERROR(VLOOKUP(K565,DATA!$AH$9:$AI$13,2,0),""))</f>
        <v/>
      </c>
      <c r="S565" s="42" t="str">
        <f t="shared" si="176"/>
        <v/>
      </c>
      <c r="T565" s="8" t="str">
        <f>IF($A565="","",IF(COUNTIF($D$2:D565,D565)=1,1,0))</f>
        <v/>
      </c>
      <c r="U565" s="8" t="str">
        <f>IF($A565="","",IF(F565="-","Cabang tdk ada",IF(IFERROR(VLOOKUP(G565,#REF!,1,0),"")="","",IF(INDEX(DATA!$AH$2:$AH$5,MATCH(G565,DATA!$AI$2:$AI$5,0))&lt;&gt;F565,"Wilayah beda","OK"))))</f>
        <v/>
      </c>
      <c r="V565" s="8" t="str">
        <f>IF($A565="","",TRIM(INDEX(FORM!$I:$I,ROW())&amp;""))</f>
        <v/>
      </c>
      <c r="W565" s="8" t="str">
        <f>IF($A565="","",TRIM(INDEX(FORM!$L:$L,ROW())&amp;""))</f>
        <v/>
      </c>
      <c r="X565" s="8" t="str">
        <f>IF($A565="","",TRIM(INDEX(FORM!$M:$M,ROW())&amp;""))</f>
        <v/>
      </c>
      <c r="Y565" s="8" t="str">
        <f>IF($A565="","",IFERROR(MATCH(F565,DATA!$AH$2:$AH$5,0),9)*10000+A565)</f>
        <v/>
      </c>
      <c r="Z565" s="8" t="str">
        <f t="shared" si="177"/>
        <v/>
      </c>
      <c r="AA565" s="8" t="str">
        <f t="shared" si="178"/>
        <v/>
      </c>
      <c r="AB565" s="8" t="str">
        <f t="shared" si="179"/>
        <v/>
      </c>
      <c r="AC565" s="8"/>
      <c r="AD565" s="8"/>
      <c r="AE565" s="8"/>
      <c r="AK565" s="5" t="str">
        <f t="shared" si="180"/>
        <v/>
      </c>
      <c r="AL565" s="5" t="str">
        <f t="shared" si="181"/>
        <v/>
      </c>
      <c r="AM565" s="5" t="str">
        <f t="shared" si="182"/>
        <v/>
      </c>
      <c r="AN565" s="5" t="str">
        <f t="shared" si="183"/>
        <v/>
      </c>
      <c r="AO565" s="5" t="str">
        <f t="shared" si="184"/>
        <v/>
      </c>
      <c r="AP565" s="5" t="str">
        <f t="shared" si="185"/>
        <v/>
      </c>
      <c r="AQ565" s="5" t="str">
        <f t="shared" si="186"/>
        <v/>
      </c>
      <c r="AR565" s="5" t="str">
        <f t="shared" si="187"/>
        <v/>
      </c>
      <c r="AS565" s="5" t="str">
        <f t="shared" si="188"/>
        <v/>
      </c>
      <c r="AT565" s="5" t="str">
        <f t="shared" si="189"/>
        <v/>
      </c>
      <c r="AU565" s="5" t="str">
        <f t="shared" si="190"/>
        <v/>
      </c>
      <c r="AV565" s="5" t="str">
        <f t="shared" si="191"/>
        <v/>
      </c>
      <c r="AW565" s="5" t="str">
        <f t="shared" si="192"/>
        <v/>
      </c>
      <c r="AX565" s="5" t="str">
        <f t="shared" si="193"/>
        <v/>
      </c>
      <c r="AY565" s="5" t="str">
        <f t="shared" si="194"/>
        <v/>
      </c>
      <c r="AZ565" s="5" t="str">
        <f t="shared" si="195"/>
        <v/>
      </c>
      <c r="BA565" s="5" t="str">
        <f t="shared" si="196"/>
        <v/>
      </c>
      <c r="BB565" s="5" t="str">
        <f t="shared" si="197"/>
        <v/>
      </c>
    </row>
    <row r="566" spans="1:54" s="5" customFormat="1" hidden="1">
      <c r="A566" s="8" t="str">
        <f>IF(INDEX(FORM!$A:$A,ROW())="","",ROW()-1)</f>
        <v/>
      </c>
      <c r="B566" s="41" t="str">
        <f>IF($A566="","",INDEX(FORM!$A:$A,ROW()))</f>
        <v/>
      </c>
      <c r="C566" s="8" t="str">
        <f>IF($A566="","",TRIM(INDEX(FORM!$B:$B,ROW())))</f>
        <v/>
      </c>
      <c r="D566" s="8" t="str">
        <f>IF($A566="","",TRIM(INDEX(FORM!$C:$C,ROW())&amp;""))</f>
        <v/>
      </c>
      <c r="E566" s="8" t="str">
        <f>IF($A566="","",UPPER(TRIM(INDEX(FORM!$D:$D,ROW()))))</f>
        <v/>
      </c>
      <c r="F566" s="8" t="str">
        <f>IF($A566="","",IFERROR(INDEX(PROGRES!$A$2:$A$92,MATCH(E566,PROGRES!$B$2:$B$92,0)),"-"))</f>
        <v/>
      </c>
      <c r="G566" s="8" t="str">
        <f>IF($A566="","",UPPER(TRIM(INDEX(FORM!$F:$F,ROW()))))</f>
        <v/>
      </c>
      <c r="H566" s="8" t="str">
        <f>IF($A566="","",UPPER(TRIM(INDEX(FORM!$E:$E,ROW()))))</f>
        <v/>
      </c>
      <c r="I566" s="8" t="str">
        <f>IF($A566="","",UPPER(TRIM(INDEX(FORM!$G:$G,ROW()))))</f>
        <v/>
      </c>
      <c r="J566" s="8" t="str">
        <f>IF($A566="","",IF(ISNUMBER(SEARCH("Ya,",INDEX(FORM!$H:$H,ROW()))),"YA",IF(ISNUMBER(SEARCH("Cukup,",INDEX(FORM!$H:$H,ROW()))),"CUKUP",IF(ISNUMBER(SEARCH("Kurang,",INDEX(FORM!$H:$H,ROW()))),"KURANG",""))))</f>
        <v/>
      </c>
      <c r="K566" s="8" t="str">
        <f>IF($A566="","",UPPER(TRIM(INDEX(FORM!$J:$J,ROW()))))</f>
        <v/>
      </c>
      <c r="L566" s="8" t="str">
        <f>IF($A566="","",IF(ISNUMBER(SEARCH("Aktivitas Harian",INDEX(FORM!$K:$K,ROW()))),1,0))</f>
        <v/>
      </c>
      <c r="M566" s="8" t="str">
        <f>IF($A566="","",IF(ISNUMBER(SEARCH("Aktivitas Mingguan",INDEX(FORM!$K:$K,ROW()))),1,0))</f>
        <v/>
      </c>
      <c r="N566" s="8" t="str">
        <f>IF($A566="","",IF(ISNUMBER(SEARCH("Aktivitas Bulanan",INDEX(FORM!$K:$K,ROW()))),1,0))</f>
        <v/>
      </c>
      <c r="O566" s="8" t="str">
        <f>IF($A566="","",IF(ISNUMBER(SEARCH("Overview Cabang",INDEX(FORM!$K:$K,ROW()))),1,0))</f>
        <v/>
      </c>
      <c r="P566" s="8" t="str">
        <f>IF($A566="","",IFERROR(VLOOKUP(I566,DATA!$AH$9:$AI$13,2,0),""))</f>
        <v/>
      </c>
      <c r="Q566" s="8" t="str">
        <f>IF($A566="","",IFERROR(VLOOKUP(J566,DATA!$AH$9:$AI$13,2,0),""))</f>
        <v/>
      </c>
      <c r="R566" s="8" t="str">
        <f>IF($A566="","",IFERROR(VLOOKUP(K566,DATA!$AH$9:$AI$13,2,0),""))</f>
        <v/>
      </c>
      <c r="S566" s="42" t="str">
        <f t="shared" si="176"/>
        <v/>
      </c>
      <c r="T566" s="8" t="str">
        <f>IF($A566="","",IF(COUNTIF($D$2:D566,D566)=1,1,0))</f>
        <v/>
      </c>
      <c r="U566" s="8" t="str">
        <f>IF($A566="","",IF(F566="-","Cabang tdk ada",IF(IFERROR(VLOOKUP(G566,#REF!,1,0),"")="","",IF(INDEX(DATA!$AH$2:$AH$5,MATCH(G566,DATA!$AI$2:$AI$5,0))&lt;&gt;F566,"Wilayah beda","OK"))))</f>
        <v/>
      </c>
      <c r="V566" s="8" t="str">
        <f>IF($A566="","",TRIM(INDEX(FORM!$I:$I,ROW())&amp;""))</f>
        <v/>
      </c>
      <c r="W566" s="8" t="str">
        <f>IF($A566="","",TRIM(INDEX(FORM!$L:$L,ROW())&amp;""))</f>
        <v/>
      </c>
      <c r="X566" s="8" t="str">
        <f>IF($A566="","",TRIM(INDEX(FORM!$M:$M,ROW())&amp;""))</f>
        <v/>
      </c>
      <c r="Y566" s="8" t="str">
        <f>IF($A566="","",IFERROR(MATCH(F566,DATA!$AH$2:$AH$5,0),9)*10000+A566)</f>
        <v/>
      </c>
      <c r="Z566" s="8" t="str">
        <f t="shared" si="177"/>
        <v/>
      </c>
      <c r="AA566" s="8" t="str">
        <f t="shared" si="178"/>
        <v/>
      </c>
      <c r="AB566" s="8" t="str">
        <f t="shared" si="179"/>
        <v/>
      </c>
      <c r="AC566" s="8"/>
      <c r="AD566" s="8"/>
      <c r="AE566" s="8"/>
      <c r="AK566" s="5" t="str">
        <f t="shared" si="180"/>
        <v/>
      </c>
      <c r="AL566" s="5" t="str">
        <f t="shared" si="181"/>
        <v/>
      </c>
      <c r="AM566" s="5" t="str">
        <f t="shared" si="182"/>
        <v/>
      </c>
      <c r="AN566" s="5" t="str">
        <f t="shared" si="183"/>
        <v/>
      </c>
      <c r="AO566" s="5" t="str">
        <f t="shared" si="184"/>
        <v/>
      </c>
      <c r="AP566" s="5" t="str">
        <f t="shared" si="185"/>
        <v/>
      </c>
      <c r="AQ566" s="5" t="str">
        <f t="shared" si="186"/>
        <v/>
      </c>
      <c r="AR566" s="5" t="str">
        <f t="shared" si="187"/>
        <v/>
      </c>
      <c r="AS566" s="5" t="str">
        <f t="shared" si="188"/>
        <v/>
      </c>
      <c r="AT566" s="5" t="str">
        <f t="shared" si="189"/>
        <v/>
      </c>
      <c r="AU566" s="5" t="str">
        <f t="shared" si="190"/>
        <v/>
      </c>
      <c r="AV566" s="5" t="str">
        <f t="shared" si="191"/>
        <v/>
      </c>
      <c r="AW566" s="5" t="str">
        <f t="shared" si="192"/>
        <v/>
      </c>
      <c r="AX566" s="5" t="str">
        <f t="shared" si="193"/>
        <v/>
      </c>
      <c r="AY566" s="5" t="str">
        <f t="shared" si="194"/>
        <v/>
      </c>
      <c r="AZ566" s="5" t="str">
        <f t="shared" si="195"/>
        <v/>
      </c>
      <c r="BA566" s="5" t="str">
        <f t="shared" si="196"/>
        <v/>
      </c>
      <c r="BB566" s="5" t="str">
        <f t="shared" si="197"/>
        <v/>
      </c>
    </row>
    <row r="567" spans="1:54" s="5" customFormat="1" hidden="1">
      <c r="A567" s="8" t="str">
        <f>IF(INDEX(FORM!$A:$A,ROW())="","",ROW()-1)</f>
        <v/>
      </c>
      <c r="B567" s="41" t="str">
        <f>IF($A567="","",INDEX(FORM!$A:$A,ROW()))</f>
        <v/>
      </c>
      <c r="C567" s="8" t="str">
        <f>IF($A567="","",TRIM(INDEX(FORM!$B:$B,ROW())))</f>
        <v/>
      </c>
      <c r="D567" s="8" t="str">
        <f>IF($A567="","",TRIM(INDEX(FORM!$C:$C,ROW())&amp;""))</f>
        <v/>
      </c>
      <c r="E567" s="8" t="str">
        <f>IF($A567="","",UPPER(TRIM(INDEX(FORM!$D:$D,ROW()))))</f>
        <v/>
      </c>
      <c r="F567" s="8" t="str">
        <f>IF($A567="","",IFERROR(INDEX(PROGRES!$A$2:$A$92,MATCH(E567,PROGRES!$B$2:$B$92,0)),"-"))</f>
        <v/>
      </c>
      <c r="G567" s="8" t="str">
        <f>IF($A567="","",UPPER(TRIM(INDEX(FORM!$F:$F,ROW()))))</f>
        <v/>
      </c>
      <c r="H567" s="8" t="str">
        <f>IF($A567="","",UPPER(TRIM(INDEX(FORM!$E:$E,ROW()))))</f>
        <v/>
      </c>
      <c r="I567" s="8" t="str">
        <f>IF($A567="","",UPPER(TRIM(INDEX(FORM!$G:$G,ROW()))))</f>
        <v/>
      </c>
      <c r="J567" s="8" t="str">
        <f>IF($A567="","",IF(ISNUMBER(SEARCH("Ya,",INDEX(FORM!$H:$H,ROW()))),"YA",IF(ISNUMBER(SEARCH("Cukup,",INDEX(FORM!$H:$H,ROW()))),"CUKUP",IF(ISNUMBER(SEARCH("Kurang,",INDEX(FORM!$H:$H,ROW()))),"KURANG",""))))</f>
        <v/>
      </c>
      <c r="K567" s="8" t="str">
        <f>IF($A567="","",UPPER(TRIM(INDEX(FORM!$J:$J,ROW()))))</f>
        <v/>
      </c>
      <c r="L567" s="8" t="str">
        <f>IF($A567="","",IF(ISNUMBER(SEARCH("Aktivitas Harian",INDEX(FORM!$K:$K,ROW()))),1,0))</f>
        <v/>
      </c>
      <c r="M567" s="8" t="str">
        <f>IF($A567="","",IF(ISNUMBER(SEARCH("Aktivitas Mingguan",INDEX(FORM!$K:$K,ROW()))),1,0))</f>
        <v/>
      </c>
      <c r="N567" s="8" t="str">
        <f>IF($A567="","",IF(ISNUMBER(SEARCH("Aktivitas Bulanan",INDEX(FORM!$K:$K,ROW()))),1,0))</f>
        <v/>
      </c>
      <c r="O567" s="8" t="str">
        <f>IF($A567="","",IF(ISNUMBER(SEARCH("Overview Cabang",INDEX(FORM!$K:$K,ROW()))),1,0))</f>
        <v/>
      </c>
      <c r="P567" s="8" t="str">
        <f>IF($A567="","",IFERROR(VLOOKUP(I567,DATA!$AH$9:$AI$13,2,0),""))</f>
        <v/>
      </c>
      <c r="Q567" s="8" t="str">
        <f>IF($A567="","",IFERROR(VLOOKUP(J567,DATA!$AH$9:$AI$13,2,0),""))</f>
        <v/>
      </c>
      <c r="R567" s="8" t="str">
        <f>IF($A567="","",IFERROR(VLOOKUP(K567,DATA!$AH$9:$AI$13,2,0),""))</f>
        <v/>
      </c>
      <c r="S567" s="42" t="str">
        <f t="shared" si="176"/>
        <v/>
      </c>
      <c r="T567" s="8" t="str">
        <f>IF($A567="","",IF(COUNTIF($D$2:D567,D567)=1,1,0))</f>
        <v/>
      </c>
      <c r="U567" s="8" t="str">
        <f>IF($A567="","",IF(F567="-","Cabang tdk ada",IF(IFERROR(VLOOKUP(G567,#REF!,1,0),"")="","",IF(INDEX(DATA!$AH$2:$AH$5,MATCH(G567,DATA!$AI$2:$AI$5,0))&lt;&gt;F567,"Wilayah beda","OK"))))</f>
        <v/>
      </c>
      <c r="V567" s="8" t="str">
        <f>IF($A567="","",TRIM(INDEX(FORM!$I:$I,ROW())&amp;""))</f>
        <v/>
      </c>
      <c r="W567" s="8" t="str">
        <f>IF($A567="","",TRIM(INDEX(FORM!$L:$L,ROW())&amp;""))</f>
        <v/>
      </c>
      <c r="X567" s="8" t="str">
        <f>IF($A567="","",TRIM(INDEX(FORM!$M:$M,ROW())&amp;""))</f>
        <v/>
      </c>
      <c r="Y567" s="8" t="str">
        <f>IF($A567="","",IFERROR(MATCH(F567,DATA!$AH$2:$AH$5,0),9)*10000+A567)</f>
        <v/>
      </c>
      <c r="Z567" s="8" t="str">
        <f t="shared" si="177"/>
        <v/>
      </c>
      <c r="AA567" s="8" t="str">
        <f t="shared" si="178"/>
        <v/>
      </c>
      <c r="AB567" s="8" t="str">
        <f t="shared" si="179"/>
        <v/>
      </c>
      <c r="AC567" s="8"/>
      <c r="AD567" s="8"/>
      <c r="AE567" s="8"/>
      <c r="AK567" s="5" t="str">
        <f t="shared" si="180"/>
        <v/>
      </c>
      <c r="AL567" s="5" t="str">
        <f t="shared" si="181"/>
        <v/>
      </c>
      <c r="AM567" s="5" t="str">
        <f t="shared" si="182"/>
        <v/>
      </c>
      <c r="AN567" s="5" t="str">
        <f t="shared" si="183"/>
        <v/>
      </c>
      <c r="AO567" s="5" t="str">
        <f t="shared" si="184"/>
        <v/>
      </c>
      <c r="AP567" s="5" t="str">
        <f t="shared" si="185"/>
        <v/>
      </c>
      <c r="AQ567" s="5" t="str">
        <f t="shared" si="186"/>
        <v/>
      </c>
      <c r="AR567" s="5" t="str">
        <f t="shared" si="187"/>
        <v/>
      </c>
      <c r="AS567" s="5" t="str">
        <f t="shared" si="188"/>
        <v/>
      </c>
      <c r="AT567" s="5" t="str">
        <f t="shared" si="189"/>
        <v/>
      </c>
      <c r="AU567" s="5" t="str">
        <f t="shared" si="190"/>
        <v/>
      </c>
      <c r="AV567" s="5" t="str">
        <f t="shared" si="191"/>
        <v/>
      </c>
      <c r="AW567" s="5" t="str">
        <f t="shared" si="192"/>
        <v/>
      </c>
      <c r="AX567" s="5" t="str">
        <f t="shared" si="193"/>
        <v/>
      </c>
      <c r="AY567" s="5" t="str">
        <f t="shared" si="194"/>
        <v/>
      </c>
      <c r="AZ567" s="5" t="str">
        <f t="shared" si="195"/>
        <v/>
      </c>
      <c r="BA567" s="5" t="str">
        <f t="shared" si="196"/>
        <v/>
      </c>
      <c r="BB567" s="5" t="str">
        <f t="shared" si="197"/>
        <v/>
      </c>
    </row>
    <row r="568" spans="1:54" s="5" customFormat="1" hidden="1">
      <c r="A568" s="8" t="str">
        <f>IF(INDEX(FORM!$A:$A,ROW())="","",ROW()-1)</f>
        <v/>
      </c>
      <c r="B568" s="41" t="str">
        <f>IF($A568="","",INDEX(FORM!$A:$A,ROW()))</f>
        <v/>
      </c>
      <c r="C568" s="8" t="str">
        <f>IF($A568="","",TRIM(INDEX(FORM!$B:$B,ROW())))</f>
        <v/>
      </c>
      <c r="D568" s="8" t="str">
        <f>IF($A568="","",TRIM(INDEX(FORM!$C:$C,ROW())&amp;""))</f>
        <v/>
      </c>
      <c r="E568" s="8" t="str">
        <f>IF($A568="","",UPPER(TRIM(INDEX(FORM!$D:$D,ROW()))))</f>
        <v/>
      </c>
      <c r="F568" s="8" t="str">
        <f>IF($A568="","",IFERROR(INDEX(PROGRES!$A$2:$A$92,MATCH(E568,PROGRES!$B$2:$B$92,0)),"-"))</f>
        <v/>
      </c>
      <c r="G568" s="8" t="str">
        <f>IF($A568="","",UPPER(TRIM(INDEX(FORM!$F:$F,ROW()))))</f>
        <v/>
      </c>
      <c r="H568" s="8" t="str">
        <f>IF($A568="","",UPPER(TRIM(INDEX(FORM!$E:$E,ROW()))))</f>
        <v/>
      </c>
      <c r="I568" s="8" t="str">
        <f>IF($A568="","",UPPER(TRIM(INDEX(FORM!$G:$G,ROW()))))</f>
        <v/>
      </c>
      <c r="J568" s="8" t="str">
        <f>IF($A568="","",IF(ISNUMBER(SEARCH("Ya,",INDEX(FORM!$H:$H,ROW()))),"YA",IF(ISNUMBER(SEARCH("Cukup,",INDEX(FORM!$H:$H,ROW()))),"CUKUP",IF(ISNUMBER(SEARCH("Kurang,",INDEX(FORM!$H:$H,ROW()))),"KURANG",""))))</f>
        <v/>
      </c>
      <c r="K568" s="8" t="str">
        <f>IF($A568="","",UPPER(TRIM(INDEX(FORM!$J:$J,ROW()))))</f>
        <v/>
      </c>
      <c r="L568" s="8" t="str">
        <f>IF($A568="","",IF(ISNUMBER(SEARCH("Aktivitas Harian",INDEX(FORM!$K:$K,ROW()))),1,0))</f>
        <v/>
      </c>
      <c r="M568" s="8" t="str">
        <f>IF($A568="","",IF(ISNUMBER(SEARCH("Aktivitas Mingguan",INDEX(FORM!$K:$K,ROW()))),1,0))</f>
        <v/>
      </c>
      <c r="N568" s="8" t="str">
        <f>IF($A568="","",IF(ISNUMBER(SEARCH("Aktivitas Bulanan",INDEX(FORM!$K:$K,ROW()))),1,0))</f>
        <v/>
      </c>
      <c r="O568" s="8" t="str">
        <f>IF($A568="","",IF(ISNUMBER(SEARCH("Overview Cabang",INDEX(FORM!$K:$K,ROW()))),1,0))</f>
        <v/>
      </c>
      <c r="P568" s="8" t="str">
        <f>IF($A568="","",IFERROR(VLOOKUP(I568,DATA!$AH$9:$AI$13,2,0),""))</f>
        <v/>
      </c>
      <c r="Q568" s="8" t="str">
        <f>IF($A568="","",IFERROR(VLOOKUP(J568,DATA!$AH$9:$AI$13,2,0),""))</f>
        <v/>
      </c>
      <c r="R568" s="8" t="str">
        <f>IF($A568="","",IFERROR(VLOOKUP(K568,DATA!$AH$9:$AI$13,2,0),""))</f>
        <v/>
      </c>
      <c r="S568" s="42" t="str">
        <f t="shared" si="176"/>
        <v/>
      </c>
      <c r="T568" s="8" t="str">
        <f>IF($A568="","",IF(COUNTIF($D$2:D568,D568)=1,1,0))</f>
        <v/>
      </c>
      <c r="U568" s="8" t="str">
        <f>IF($A568="","",IF(F568="-","Cabang tdk ada",IF(IFERROR(VLOOKUP(G568,#REF!,1,0),"")="","",IF(INDEX(DATA!$AH$2:$AH$5,MATCH(G568,DATA!$AI$2:$AI$5,0))&lt;&gt;F568,"Wilayah beda","OK"))))</f>
        <v/>
      </c>
      <c r="V568" s="8" t="str">
        <f>IF($A568="","",TRIM(INDEX(FORM!$I:$I,ROW())&amp;""))</f>
        <v/>
      </c>
      <c r="W568" s="8" t="str">
        <f>IF($A568="","",TRIM(INDEX(FORM!$L:$L,ROW())&amp;""))</f>
        <v/>
      </c>
      <c r="X568" s="8" t="str">
        <f>IF($A568="","",TRIM(INDEX(FORM!$M:$M,ROW())&amp;""))</f>
        <v/>
      </c>
      <c r="Y568" s="8" t="str">
        <f>IF($A568="","",IFERROR(MATCH(F568,DATA!$AH$2:$AH$5,0),9)*10000+A568)</f>
        <v/>
      </c>
      <c r="Z568" s="8" t="str">
        <f t="shared" si="177"/>
        <v/>
      </c>
      <c r="AA568" s="8" t="str">
        <f t="shared" si="178"/>
        <v/>
      </c>
      <c r="AB568" s="8" t="str">
        <f t="shared" si="179"/>
        <v/>
      </c>
      <c r="AC568" s="8"/>
      <c r="AD568" s="8"/>
      <c r="AE568" s="8"/>
      <c r="AK568" s="5" t="str">
        <f t="shared" si="180"/>
        <v/>
      </c>
      <c r="AL568" s="5" t="str">
        <f t="shared" si="181"/>
        <v/>
      </c>
      <c r="AM568" s="5" t="str">
        <f t="shared" si="182"/>
        <v/>
      </c>
      <c r="AN568" s="5" t="str">
        <f t="shared" si="183"/>
        <v/>
      </c>
      <c r="AO568" s="5" t="str">
        <f t="shared" si="184"/>
        <v/>
      </c>
      <c r="AP568" s="5" t="str">
        <f t="shared" si="185"/>
        <v/>
      </c>
      <c r="AQ568" s="5" t="str">
        <f t="shared" si="186"/>
        <v/>
      </c>
      <c r="AR568" s="5" t="str">
        <f t="shared" si="187"/>
        <v/>
      </c>
      <c r="AS568" s="5" t="str">
        <f t="shared" si="188"/>
        <v/>
      </c>
      <c r="AT568" s="5" t="str">
        <f t="shared" si="189"/>
        <v/>
      </c>
      <c r="AU568" s="5" t="str">
        <f t="shared" si="190"/>
        <v/>
      </c>
      <c r="AV568" s="5" t="str">
        <f t="shared" si="191"/>
        <v/>
      </c>
      <c r="AW568" s="5" t="str">
        <f t="shared" si="192"/>
        <v/>
      </c>
      <c r="AX568" s="5" t="str">
        <f t="shared" si="193"/>
        <v/>
      </c>
      <c r="AY568" s="5" t="str">
        <f t="shared" si="194"/>
        <v/>
      </c>
      <c r="AZ568" s="5" t="str">
        <f t="shared" si="195"/>
        <v/>
      </c>
      <c r="BA568" s="5" t="str">
        <f t="shared" si="196"/>
        <v/>
      </c>
      <c r="BB568" s="5" t="str">
        <f t="shared" si="197"/>
        <v/>
      </c>
    </row>
    <row r="569" spans="1:54" s="5" customFormat="1" hidden="1">
      <c r="A569" s="8" t="str">
        <f>IF(INDEX(FORM!$A:$A,ROW())="","",ROW()-1)</f>
        <v/>
      </c>
      <c r="B569" s="41" t="str">
        <f>IF($A569="","",INDEX(FORM!$A:$A,ROW()))</f>
        <v/>
      </c>
      <c r="C569" s="8" t="str">
        <f>IF($A569="","",TRIM(INDEX(FORM!$B:$B,ROW())))</f>
        <v/>
      </c>
      <c r="D569" s="8" t="str">
        <f>IF($A569="","",TRIM(INDEX(FORM!$C:$C,ROW())&amp;""))</f>
        <v/>
      </c>
      <c r="E569" s="8" t="str">
        <f>IF($A569="","",UPPER(TRIM(INDEX(FORM!$D:$D,ROW()))))</f>
        <v/>
      </c>
      <c r="F569" s="8" t="str">
        <f>IF($A569="","",IFERROR(INDEX(PROGRES!$A$2:$A$92,MATCH(E569,PROGRES!$B$2:$B$92,0)),"-"))</f>
        <v/>
      </c>
      <c r="G569" s="8" t="str">
        <f>IF($A569="","",UPPER(TRIM(INDEX(FORM!$F:$F,ROW()))))</f>
        <v/>
      </c>
      <c r="H569" s="8" t="str">
        <f>IF($A569="","",UPPER(TRIM(INDEX(FORM!$E:$E,ROW()))))</f>
        <v/>
      </c>
      <c r="I569" s="8" t="str">
        <f>IF($A569="","",UPPER(TRIM(INDEX(FORM!$G:$G,ROW()))))</f>
        <v/>
      </c>
      <c r="J569" s="8" t="str">
        <f>IF($A569="","",IF(ISNUMBER(SEARCH("Ya,",INDEX(FORM!$H:$H,ROW()))),"YA",IF(ISNUMBER(SEARCH("Cukup,",INDEX(FORM!$H:$H,ROW()))),"CUKUP",IF(ISNUMBER(SEARCH("Kurang,",INDEX(FORM!$H:$H,ROW()))),"KURANG",""))))</f>
        <v/>
      </c>
      <c r="K569" s="8" t="str">
        <f>IF($A569="","",UPPER(TRIM(INDEX(FORM!$J:$J,ROW()))))</f>
        <v/>
      </c>
      <c r="L569" s="8" t="str">
        <f>IF($A569="","",IF(ISNUMBER(SEARCH("Aktivitas Harian",INDEX(FORM!$K:$K,ROW()))),1,0))</f>
        <v/>
      </c>
      <c r="M569" s="8" t="str">
        <f>IF($A569="","",IF(ISNUMBER(SEARCH("Aktivitas Mingguan",INDEX(FORM!$K:$K,ROW()))),1,0))</f>
        <v/>
      </c>
      <c r="N569" s="8" t="str">
        <f>IF($A569="","",IF(ISNUMBER(SEARCH("Aktivitas Bulanan",INDEX(FORM!$K:$K,ROW()))),1,0))</f>
        <v/>
      </c>
      <c r="O569" s="8" t="str">
        <f>IF($A569="","",IF(ISNUMBER(SEARCH("Overview Cabang",INDEX(FORM!$K:$K,ROW()))),1,0))</f>
        <v/>
      </c>
      <c r="P569" s="8" t="str">
        <f>IF($A569="","",IFERROR(VLOOKUP(I569,DATA!$AH$9:$AI$13,2,0),""))</f>
        <v/>
      </c>
      <c r="Q569" s="8" t="str">
        <f>IF($A569="","",IFERROR(VLOOKUP(J569,DATA!$AH$9:$AI$13,2,0),""))</f>
        <v/>
      </c>
      <c r="R569" s="8" t="str">
        <f>IF($A569="","",IFERROR(VLOOKUP(K569,DATA!$AH$9:$AI$13,2,0),""))</f>
        <v/>
      </c>
      <c r="S569" s="42" t="str">
        <f t="shared" si="176"/>
        <v/>
      </c>
      <c r="T569" s="8" t="str">
        <f>IF($A569="","",IF(COUNTIF($D$2:D569,D569)=1,1,0))</f>
        <v/>
      </c>
      <c r="U569" s="8" t="str">
        <f>IF($A569="","",IF(F569="-","Cabang tdk ada",IF(IFERROR(VLOOKUP(G569,#REF!,1,0),"")="","",IF(INDEX(DATA!$AH$2:$AH$5,MATCH(G569,DATA!$AI$2:$AI$5,0))&lt;&gt;F569,"Wilayah beda","OK"))))</f>
        <v/>
      </c>
      <c r="V569" s="8" t="str">
        <f>IF($A569="","",TRIM(INDEX(FORM!$I:$I,ROW())&amp;""))</f>
        <v/>
      </c>
      <c r="W569" s="8" t="str">
        <f>IF($A569="","",TRIM(INDEX(FORM!$L:$L,ROW())&amp;""))</f>
        <v/>
      </c>
      <c r="X569" s="8" t="str">
        <f>IF($A569="","",TRIM(INDEX(FORM!$M:$M,ROW())&amp;""))</f>
        <v/>
      </c>
      <c r="Y569" s="8" t="str">
        <f>IF($A569="","",IFERROR(MATCH(F569,DATA!$AH$2:$AH$5,0),9)*10000+A569)</f>
        <v/>
      </c>
      <c r="Z569" s="8" t="str">
        <f t="shared" si="177"/>
        <v/>
      </c>
      <c r="AA569" s="8" t="str">
        <f t="shared" si="178"/>
        <v/>
      </c>
      <c r="AB569" s="8" t="str">
        <f t="shared" si="179"/>
        <v/>
      </c>
      <c r="AC569" s="8"/>
      <c r="AD569" s="8"/>
      <c r="AE569" s="8"/>
      <c r="AK569" s="5" t="str">
        <f t="shared" si="180"/>
        <v/>
      </c>
      <c r="AL569" s="5" t="str">
        <f t="shared" si="181"/>
        <v/>
      </c>
      <c r="AM569" s="5" t="str">
        <f t="shared" si="182"/>
        <v/>
      </c>
      <c r="AN569" s="5" t="str">
        <f t="shared" si="183"/>
        <v/>
      </c>
      <c r="AO569" s="5" t="str">
        <f t="shared" si="184"/>
        <v/>
      </c>
      <c r="AP569" s="5" t="str">
        <f t="shared" si="185"/>
        <v/>
      </c>
      <c r="AQ569" s="5" t="str">
        <f t="shared" si="186"/>
        <v/>
      </c>
      <c r="AR569" s="5" t="str">
        <f t="shared" si="187"/>
        <v/>
      </c>
      <c r="AS569" s="5" t="str">
        <f t="shared" si="188"/>
        <v/>
      </c>
      <c r="AT569" s="5" t="str">
        <f t="shared" si="189"/>
        <v/>
      </c>
      <c r="AU569" s="5" t="str">
        <f t="shared" si="190"/>
        <v/>
      </c>
      <c r="AV569" s="5" t="str">
        <f t="shared" si="191"/>
        <v/>
      </c>
      <c r="AW569" s="5" t="str">
        <f t="shared" si="192"/>
        <v/>
      </c>
      <c r="AX569" s="5" t="str">
        <f t="shared" si="193"/>
        <v/>
      </c>
      <c r="AY569" s="5" t="str">
        <f t="shared" si="194"/>
        <v/>
      </c>
      <c r="AZ569" s="5" t="str">
        <f t="shared" si="195"/>
        <v/>
      </c>
      <c r="BA569" s="5" t="str">
        <f t="shared" si="196"/>
        <v/>
      </c>
      <c r="BB569" s="5" t="str">
        <f t="shared" si="197"/>
        <v/>
      </c>
    </row>
    <row r="570" spans="1:54" s="5" customFormat="1" hidden="1">
      <c r="A570" s="8" t="str">
        <f>IF(INDEX(FORM!$A:$A,ROW())="","",ROW()-1)</f>
        <v/>
      </c>
      <c r="B570" s="41" t="str">
        <f>IF($A570="","",INDEX(FORM!$A:$A,ROW()))</f>
        <v/>
      </c>
      <c r="C570" s="8" t="str">
        <f>IF($A570="","",TRIM(INDEX(FORM!$B:$B,ROW())))</f>
        <v/>
      </c>
      <c r="D570" s="8" t="str">
        <f>IF($A570="","",TRIM(INDEX(FORM!$C:$C,ROW())&amp;""))</f>
        <v/>
      </c>
      <c r="E570" s="8" t="str">
        <f>IF($A570="","",UPPER(TRIM(INDEX(FORM!$D:$D,ROW()))))</f>
        <v/>
      </c>
      <c r="F570" s="8" t="str">
        <f>IF($A570="","",IFERROR(INDEX(PROGRES!$A$2:$A$92,MATCH(E570,PROGRES!$B$2:$B$92,0)),"-"))</f>
        <v/>
      </c>
      <c r="G570" s="8" t="str">
        <f>IF($A570="","",UPPER(TRIM(INDEX(FORM!$F:$F,ROW()))))</f>
        <v/>
      </c>
      <c r="H570" s="8" t="str">
        <f>IF($A570="","",UPPER(TRIM(INDEX(FORM!$E:$E,ROW()))))</f>
        <v/>
      </c>
      <c r="I570" s="8" t="str">
        <f>IF($A570="","",UPPER(TRIM(INDEX(FORM!$G:$G,ROW()))))</f>
        <v/>
      </c>
      <c r="J570" s="8" t="str">
        <f>IF($A570="","",IF(ISNUMBER(SEARCH("Ya,",INDEX(FORM!$H:$H,ROW()))),"YA",IF(ISNUMBER(SEARCH("Cukup,",INDEX(FORM!$H:$H,ROW()))),"CUKUP",IF(ISNUMBER(SEARCH("Kurang,",INDEX(FORM!$H:$H,ROW()))),"KURANG",""))))</f>
        <v/>
      </c>
      <c r="K570" s="8" t="str">
        <f>IF($A570="","",UPPER(TRIM(INDEX(FORM!$J:$J,ROW()))))</f>
        <v/>
      </c>
      <c r="L570" s="8" t="str">
        <f>IF($A570="","",IF(ISNUMBER(SEARCH("Aktivitas Harian",INDEX(FORM!$K:$K,ROW()))),1,0))</f>
        <v/>
      </c>
      <c r="M570" s="8" t="str">
        <f>IF($A570="","",IF(ISNUMBER(SEARCH("Aktivitas Mingguan",INDEX(FORM!$K:$K,ROW()))),1,0))</f>
        <v/>
      </c>
      <c r="N570" s="8" t="str">
        <f>IF($A570="","",IF(ISNUMBER(SEARCH("Aktivitas Bulanan",INDEX(FORM!$K:$K,ROW()))),1,0))</f>
        <v/>
      </c>
      <c r="O570" s="8" t="str">
        <f>IF($A570="","",IF(ISNUMBER(SEARCH("Overview Cabang",INDEX(FORM!$K:$K,ROW()))),1,0))</f>
        <v/>
      </c>
      <c r="P570" s="8" t="str">
        <f>IF($A570="","",IFERROR(VLOOKUP(I570,DATA!$AH$9:$AI$13,2,0),""))</f>
        <v/>
      </c>
      <c r="Q570" s="8" t="str">
        <f>IF($A570="","",IFERROR(VLOOKUP(J570,DATA!$AH$9:$AI$13,2,0),""))</f>
        <v/>
      </c>
      <c r="R570" s="8" t="str">
        <f>IF($A570="","",IFERROR(VLOOKUP(K570,DATA!$AH$9:$AI$13,2,0),""))</f>
        <v/>
      </c>
      <c r="S570" s="42" t="str">
        <f t="shared" si="176"/>
        <v/>
      </c>
      <c r="T570" s="8" t="str">
        <f>IF($A570="","",IF(COUNTIF($D$2:D570,D570)=1,1,0))</f>
        <v/>
      </c>
      <c r="U570" s="8" t="str">
        <f>IF($A570="","",IF(F570="-","Cabang tdk ada",IF(IFERROR(VLOOKUP(G570,#REF!,1,0),"")="","",IF(INDEX(DATA!$AH$2:$AH$5,MATCH(G570,DATA!$AI$2:$AI$5,0))&lt;&gt;F570,"Wilayah beda","OK"))))</f>
        <v/>
      </c>
      <c r="V570" s="8" t="str">
        <f>IF($A570="","",TRIM(INDEX(FORM!$I:$I,ROW())&amp;""))</f>
        <v/>
      </c>
      <c r="W570" s="8" t="str">
        <f>IF($A570="","",TRIM(INDEX(FORM!$L:$L,ROW())&amp;""))</f>
        <v/>
      </c>
      <c r="X570" s="8" t="str">
        <f>IF($A570="","",TRIM(INDEX(FORM!$M:$M,ROW())&amp;""))</f>
        <v/>
      </c>
      <c r="Y570" s="8" t="str">
        <f>IF($A570="","",IFERROR(MATCH(F570,DATA!$AH$2:$AH$5,0),9)*10000+A570)</f>
        <v/>
      </c>
      <c r="Z570" s="8" t="str">
        <f t="shared" si="177"/>
        <v/>
      </c>
      <c r="AA570" s="8" t="str">
        <f t="shared" si="178"/>
        <v/>
      </c>
      <c r="AB570" s="8" t="str">
        <f t="shared" si="179"/>
        <v/>
      </c>
      <c r="AC570" s="8"/>
      <c r="AD570" s="8"/>
      <c r="AE570" s="8"/>
      <c r="AK570" s="5" t="str">
        <f t="shared" si="180"/>
        <v/>
      </c>
      <c r="AL570" s="5" t="str">
        <f t="shared" si="181"/>
        <v/>
      </c>
      <c r="AM570" s="5" t="str">
        <f t="shared" si="182"/>
        <v/>
      </c>
      <c r="AN570" s="5" t="str">
        <f t="shared" si="183"/>
        <v/>
      </c>
      <c r="AO570" s="5" t="str">
        <f t="shared" si="184"/>
        <v/>
      </c>
      <c r="AP570" s="5" t="str">
        <f t="shared" si="185"/>
        <v/>
      </c>
      <c r="AQ570" s="5" t="str">
        <f t="shared" si="186"/>
        <v/>
      </c>
      <c r="AR570" s="5" t="str">
        <f t="shared" si="187"/>
        <v/>
      </c>
      <c r="AS570" s="5" t="str">
        <f t="shared" si="188"/>
        <v/>
      </c>
      <c r="AT570" s="5" t="str">
        <f t="shared" si="189"/>
        <v/>
      </c>
      <c r="AU570" s="5" t="str">
        <f t="shared" si="190"/>
        <v/>
      </c>
      <c r="AV570" s="5" t="str">
        <f t="shared" si="191"/>
        <v/>
      </c>
      <c r="AW570" s="5" t="str">
        <f t="shared" si="192"/>
        <v/>
      </c>
      <c r="AX570" s="5" t="str">
        <f t="shared" si="193"/>
        <v/>
      </c>
      <c r="AY570" s="5" t="str">
        <f t="shared" si="194"/>
        <v/>
      </c>
      <c r="AZ570" s="5" t="str">
        <f t="shared" si="195"/>
        <v/>
      </c>
      <c r="BA570" s="5" t="str">
        <f t="shared" si="196"/>
        <v/>
      </c>
      <c r="BB570" s="5" t="str">
        <f t="shared" si="197"/>
        <v/>
      </c>
    </row>
    <row r="571" spans="1:54" s="5" customFormat="1" hidden="1">
      <c r="A571" s="8" t="str">
        <f>IF(INDEX(FORM!$A:$A,ROW())="","",ROW()-1)</f>
        <v/>
      </c>
      <c r="B571" s="41" t="str">
        <f>IF($A571="","",INDEX(FORM!$A:$A,ROW()))</f>
        <v/>
      </c>
      <c r="C571" s="8" t="str">
        <f>IF($A571="","",TRIM(INDEX(FORM!$B:$B,ROW())))</f>
        <v/>
      </c>
      <c r="D571" s="8" t="str">
        <f>IF($A571="","",TRIM(INDEX(FORM!$C:$C,ROW())&amp;""))</f>
        <v/>
      </c>
      <c r="E571" s="8" t="str">
        <f>IF($A571="","",UPPER(TRIM(INDEX(FORM!$D:$D,ROW()))))</f>
        <v/>
      </c>
      <c r="F571" s="8" t="str">
        <f>IF($A571="","",IFERROR(INDEX(PROGRES!$A$2:$A$92,MATCH(E571,PROGRES!$B$2:$B$92,0)),"-"))</f>
        <v/>
      </c>
      <c r="G571" s="8" t="str">
        <f>IF($A571="","",UPPER(TRIM(INDEX(FORM!$F:$F,ROW()))))</f>
        <v/>
      </c>
      <c r="H571" s="8" t="str">
        <f>IF($A571="","",UPPER(TRIM(INDEX(FORM!$E:$E,ROW()))))</f>
        <v/>
      </c>
      <c r="I571" s="8" t="str">
        <f>IF($A571="","",UPPER(TRIM(INDEX(FORM!$G:$G,ROW()))))</f>
        <v/>
      </c>
      <c r="J571" s="8" t="str">
        <f>IF($A571="","",IF(ISNUMBER(SEARCH("Ya,",INDEX(FORM!$H:$H,ROW()))),"YA",IF(ISNUMBER(SEARCH("Cukup,",INDEX(FORM!$H:$H,ROW()))),"CUKUP",IF(ISNUMBER(SEARCH("Kurang,",INDEX(FORM!$H:$H,ROW()))),"KURANG",""))))</f>
        <v/>
      </c>
      <c r="K571" s="8" t="str">
        <f>IF($A571="","",UPPER(TRIM(INDEX(FORM!$J:$J,ROW()))))</f>
        <v/>
      </c>
      <c r="L571" s="8" t="str">
        <f>IF($A571="","",IF(ISNUMBER(SEARCH("Aktivitas Harian",INDEX(FORM!$K:$K,ROW()))),1,0))</f>
        <v/>
      </c>
      <c r="M571" s="8" t="str">
        <f>IF($A571="","",IF(ISNUMBER(SEARCH("Aktivitas Mingguan",INDEX(FORM!$K:$K,ROW()))),1,0))</f>
        <v/>
      </c>
      <c r="N571" s="8" t="str">
        <f>IF($A571="","",IF(ISNUMBER(SEARCH("Aktivitas Bulanan",INDEX(FORM!$K:$K,ROW()))),1,0))</f>
        <v/>
      </c>
      <c r="O571" s="8" t="str">
        <f>IF($A571="","",IF(ISNUMBER(SEARCH("Overview Cabang",INDEX(FORM!$K:$K,ROW()))),1,0))</f>
        <v/>
      </c>
      <c r="P571" s="8" t="str">
        <f>IF($A571="","",IFERROR(VLOOKUP(I571,DATA!$AH$9:$AI$13,2,0),""))</f>
        <v/>
      </c>
      <c r="Q571" s="8" t="str">
        <f>IF($A571="","",IFERROR(VLOOKUP(J571,DATA!$AH$9:$AI$13,2,0),""))</f>
        <v/>
      </c>
      <c r="R571" s="8" t="str">
        <f>IF($A571="","",IFERROR(VLOOKUP(K571,DATA!$AH$9:$AI$13,2,0),""))</f>
        <v/>
      </c>
      <c r="S571" s="42" t="str">
        <f t="shared" si="176"/>
        <v/>
      </c>
      <c r="T571" s="8" t="str">
        <f>IF($A571="","",IF(COUNTIF($D$2:D571,D571)=1,1,0))</f>
        <v/>
      </c>
      <c r="U571" s="8" t="str">
        <f>IF($A571="","",IF(F571="-","Cabang tdk ada",IF(IFERROR(VLOOKUP(G571,#REF!,1,0),"")="","",IF(INDEX(DATA!$AH$2:$AH$5,MATCH(G571,DATA!$AI$2:$AI$5,0))&lt;&gt;F571,"Wilayah beda","OK"))))</f>
        <v/>
      </c>
      <c r="V571" s="8" t="str">
        <f>IF($A571="","",TRIM(INDEX(FORM!$I:$I,ROW())&amp;""))</f>
        <v/>
      </c>
      <c r="W571" s="8" t="str">
        <f>IF($A571="","",TRIM(INDEX(FORM!$L:$L,ROW())&amp;""))</f>
        <v/>
      </c>
      <c r="X571" s="8" t="str">
        <f>IF($A571="","",TRIM(INDEX(FORM!$M:$M,ROW())&amp;""))</f>
        <v/>
      </c>
      <c r="Y571" s="8" t="str">
        <f>IF($A571="","",IFERROR(MATCH(F571,DATA!$AH$2:$AH$5,0),9)*10000+A571)</f>
        <v/>
      </c>
      <c r="Z571" s="8" t="str">
        <f t="shared" si="177"/>
        <v/>
      </c>
      <c r="AA571" s="8" t="str">
        <f t="shared" si="178"/>
        <v/>
      </c>
      <c r="AB571" s="8" t="str">
        <f t="shared" si="179"/>
        <v/>
      </c>
      <c r="AC571" s="8"/>
      <c r="AD571" s="8"/>
      <c r="AE571" s="8"/>
      <c r="AK571" s="5" t="str">
        <f t="shared" si="180"/>
        <v/>
      </c>
      <c r="AL571" s="5" t="str">
        <f t="shared" si="181"/>
        <v/>
      </c>
      <c r="AM571" s="5" t="str">
        <f t="shared" si="182"/>
        <v/>
      </c>
      <c r="AN571" s="5" t="str">
        <f t="shared" si="183"/>
        <v/>
      </c>
      <c r="AO571" s="5" t="str">
        <f t="shared" si="184"/>
        <v/>
      </c>
      <c r="AP571" s="5" t="str">
        <f t="shared" si="185"/>
        <v/>
      </c>
      <c r="AQ571" s="5" t="str">
        <f t="shared" si="186"/>
        <v/>
      </c>
      <c r="AR571" s="5" t="str">
        <f t="shared" si="187"/>
        <v/>
      </c>
      <c r="AS571" s="5" t="str">
        <f t="shared" si="188"/>
        <v/>
      </c>
      <c r="AT571" s="5" t="str">
        <f t="shared" si="189"/>
        <v/>
      </c>
      <c r="AU571" s="5" t="str">
        <f t="shared" si="190"/>
        <v/>
      </c>
      <c r="AV571" s="5" t="str">
        <f t="shared" si="191"/>
        <v/>
      </c>
      <c r="AW571" s="5" t="str">
        <f t="shared" si="192"/>
        <v/>
      </c>
      <c r="AX571" s="5" t="str">
        <f t="shared" si="193"/>
        <v/>
      </c>
      <c r="AY571" s="5" t="str">
        <f t="shared" si="194"/>
        <v/>
      </c>
      <c r="AZ571" s="5" t="str">
        <f t="shared" si="195"/>
        <v/>
      </c>
      <c r="BA571" s="5" t="str">
        <f t="shared" si="196"/>
        <v/>
      </c>
      <c r="BB571" s="5" t="str">
        <f t="shared" si="197"/>
        <v/>
      </c>
    </row>
    <row r="572" spans="1:54" s="5" customFormat="1" hidden="1">
      <c r="A572" s="8" t="str">
        <f>IF(INDEX(FORM!$A:$A,ROW())="","",ROW()-1)</f>
        <v/>
      </c>
      <c r="B572" s="41" t="str">
        <f>IF($A572="","",INDEX(FORM!$A:$A,ROW()))</f>
        <v/>
      </c>
      <c r="C572" s="8" t="str">
        <f>IF($A572="","",TRIM(INDEX(FORM!$B:$B,ROW())))</f>
        <v/>
      </c>
      <c r="D572" s="8" t="str">
        <f>IF($A572="","",TRIM(INDEX(FORM!$C:$C,ROW())&amp;""))</f>
        <v/>
      </c>
      <c r="E572" s="8" t="str">
        <f>IF($A572="","",UPPER(TRIM(INDEX(FORM!$D:$D,ROW()))))</f>
        <v/>
      </c>
      <c r="F572" s="8" t="str">
        <f>IF($A572="","",IFERROR(INDEX(PROGRES!$A$2:$A$92,MATCH(E572,PROGRES!$B$2:$B$92,0)),"-"))</f>
        <v/>
      </c>
      <c r="G572" s="8" t="str">
        <f>IF($A572="","",UPPER(TRIM(INDEX(FORM!$F:$F,ROW()))))</f>
        <v/>
      </c>
      <c r="H572" s="8" t="str">
        <f>IF($A572="","",UPPER(TRIM(INDEX(FORM!$E:$E,ROW()))))</f>
        <v/>
      </c>
      <c r="I572" s="8" t="str">
        <f>IF($A572="","",UPPER(TRIM(INDEX(FORM!$G:$G,ROW()))))</f>
        <v/>
      </c>
      <c r="J572" s="8" t="str">
        <f>IF($A572="","",IF(ISNUMBER(SEARCH("Ya,",INDEX(FORM!$H:$H,ROW()))),"YA",IF(ISNUMBER(SEARCH("Cukup,",INDEX(FORM!$H:$H,ROW()))),"CUKUP",IF(ISNUMBER(SEARCH("Kurang,",INDEX(FORM!$H:$H,ROW()))),"KURANG",""))))</f>
        <v/>
      </c>
      <c r="K572" s="8" t="str">
        <f>IF($A572="","",UPPER(TRIM(INDEX(FORM!$J:$J,ROW()))))</f>
        <v/>
      </c>
      <c r="L572" s="8" t="str">
        <f>IF($A572="","",IF(ISNUMBER(SEARCH("Aktivitas Harian",INDEX(FORM!$K:$K,ROW()))),1,0))</f>
        <v/>
      </c>
      <c r="M572" s="8" t="str">
        <f>IF($A572="","",IF(ISNUMBER(SEARCH("Aktivitas Mingguan",INDEX(FORM!$K:$K,ROW()))),1,0))</f>
        <v/>
      </c>
      <c r="N572" s="8" t="str">
        <f>IF($A572="","",IF(ISNUMBER(SEARCH("Aktivitas Bulanan",INDEX(FORM!$K:$K,ROW()))),1,0))</f>
        <v/>
      </c>
      <c r="O572" s="8" t="str">
        <f>IF($A572="","",IF(ISNUMBER(SEARCH("Overview Cabang",INDEX(FORM!$K:$K,ROW()))),1,0))</f>
        <v/>
      </c>
      <c r="P572" s="8" t="str">
        <f>IF($A572="","",IFERROR(VLOOKUP(I572,DATA!$AH$9:$AI$13,2,0),""))</f>
        <v/>
      </c>
      <c r="Q572" s="8" t="str">
        <f>IF($A572="","",IFERROR(VLOOKUP(J572,DATA!$AH$9:$AI$13,2,0),""))</f>
        <v/>
      </c>
      <c r="R572" s="8" t="str">
        <f>IF($A572="","",IFERROR(VLOOKUP(K572,DATA!$AH$9:$AI$13,2,0),""))</f>
        <v/>
      </c>
      <c r="S572" s="42" t="str">
        <f t="shared" si="176"/>
        <v/>
      </c>
      <c r="T572" s="8" t="str">
        <f>IF($A572="","",IF(COUNTIF($D$2:D572,D572)=1,1,0))</f>
        <v/>
      </c>
      <c r="U572" s="8" t="str">
        <f>IF($A572="","",IF(F572="-","Cabang tdk ada",IF(IFERROR(VLOOKUP(G572,#REF!,1,0),"")="","",IF(INDEX(DATA!$AH$2:$AH$5,MATCH(G572,DATA!$AI$2:$AI$5,0))&lt;&gt;F572,"Wilayah beda","OK"))))</f>
        <v/>
      </c>
      <c r="V572" s="8" t="str">
        <f>IF($A572="","",TRIM(INDEX(FORM!$I:$I,ROW())&amp;""))</f>
        <v/>
      </c>
      <c r="W572" s="8" t="str">
        <f>IF($A572="","",TRIM(INDEX(FORM!$L:$L,ROW())&amp;""))</f>
        <v/>
      </c>
      <c r="X572" s="8" t="str">
        <f>IF($A572="","",TRIM(INDEX(FORM!$M:$M,ROW())&amp;""))</f>
        <v/>
      </c>
      <c r="Y572" s="8" t="str">
        <f>IF($A572="","",IFERROR(MATCH(F572,DATA!$AH$2:$AH$5,0),9)*10000+A572)</f>
        <v/>
      </c>
      <c r="Z572" s="8" t="str">
        <f t="shared" si="177"/>
        <v/>
      </c>
      <c r="AA572" s="8" t="str">
        <f t="shared" si="178"/>
        <v/>
      </c>
      <c r="AB572" s="8" t="str">
        <f t="shared" si="179"/>
        <v/>
      </c>
      <c r="AC572" s="8"/>
      <c r="AD572" s="8"/>
      <c r="AE572" s="8"/>
      <c r="AK572" s="5" t="str">
        <f t="shared" si="180"/>
        <v/>
      </c>
      <c r="AL572" s="5" t="str">
        <f t="shared" si="181"/>
        <v/>
      </c>
      <c r="AM572" s="5" t="str">
        <f t="shared" si="182"/>
        <v/>
      </c>
      <c r="AN572" s="5" t="str">
        <f t="shared" si="183"/>
        <v/>
      </c>
      <c r="AO572" s="5" t="str">
        <f t="shared" si="184"/>
        <v/>
      </c>
      <c r="AP572" s="5" t="str">
        <f t="shared" si="185"/>
        <v/>
      </c>
      <c r="AQ572" s="5" t="str">
        <f t="shared" si="186"/>
        <v/>
      </c>
      <c r="AR572" s="5" t="str">
        <f t="shared" si="187"/>
        <v/>
      </c>
      <c r="AS572" s="5" t="str">
        <f t="shared" si="188"/>
        <v/>
      </c>
      <c r="AT572" s="5" t="str">
        <f t="shared" si="189"/>
        <v/>
      </c>
      <c r="AU572" s="5" t="str">
        <f t="shared" si="190"/>
        <v/>
      </c>
      <c r="AV572" s="5" t="str">
        <f t="shared" si="191"/>
        <v/>
      </c>
      <c r="AW572" s="5" t="str">
        <f t="shared" si="192"/>
        <v/>
      </c>
      <c r="AX572" s="5" t="str">
        <f t="shared" si="193"/>
        <v/>
      </c>
      <c r="AY572" s="5" t="str">
        <f t="shared" si="194"/>
        <v/>
      </c>
      <c r="AZ572" s="5" t="str">
        <f t="shared" si="195"/>
        <v/>
      </c>
      <c r="BA572" s="5" t="str">
        <f t="shared" si="196"/>
        <v/>
      </c>
      <c r="BB572" s="5" t="str">
        <f t="shared" si="197"/>
        <v/>
      </c>
    </row>
    <row r="573" spans="1:54" s="5" customFormat="1" hidden="1">
      <c r="A573" s="8" t="str">
        <f>IF(INDEX(FORM!$A:$A,ROW())="","",ROW()-1)</f>
        <v/>
      </c>
      <c r="B573" s="41" t="str">
        <f>IF($A573="","",INDEX(FORM!$A:$A,ROW()))</f>
        <v/>
      </c>
      <c r="C573" s="8" t="str">
        <f>IF($A573="","",TRIM(INDEX(FORM!$B:$B,ROW())))</f>
        <v/>
      </c>
      <c r="D573" s="8" t="str">
        <f>IF($A573="","",TRIM(INDEX(FORM!$C:$C,ROW())&amp;""))</f>
        <v/>
      </c>
      <c r="E573" s="8" t="str">
        <f>IF($A573="","",UPPER(TRIM(INDEX(FORM!$D:$D,ROW()))))</f>
        <v/>
      </c>
      <c r="F573" s="8" t="str">
        <f>IF($A573="","",IFERROR(INDEX(PROGRES!$A$2:$A$92,MATCH(E573,PROGRES!$B$2:$B$92,0)),"-"))</f>
        <v/>
      </c>
      <c r="G573" s="8" t="str">
        <f>IF($A573="","",UPPER(TRIM(INDEX(FORM!$F:$F,ROW()))))</f>
        <v/>
      </c>
      <c r="H573" s="8" t="str">
        <f>IF($A573="","",UPPER(TRIM(INDEX(FORM!$E:$E,ROW()))))</f>
        <v/>
      </c>
      <c r="I573" s="8" t="str">
        <f>IF($A573="","",UPPER(TRIM(INDEX(FORM!$G:$G,ROW()))))</f>
        <v/>
      </c>
      <c r="J573" s="8" t="str">
        <f>IF($A573="","",IF(ISNUMBER(SEARCH("Ya,",INDEX(FORM!$H:$H,ROW()))),"YA",IF(ISNUMBER(SEARCH("Cukup,",INDEX(FORM!$H:$H,ROW()))),"CUKUP",IF(ISNUMBER(SEARCH("Kurang,",INDEX(FORM!$H:$H,ROW()))),"KURANG",""))))</f>
        <v/>
      </c>
      <c r="K573" s="8" t="str">
        <f>IF($A573="","",UPPER(TRIM(INDEX(FORM!$J:$J,ROW()))))</f>
        <v/>
      </c>
      <c r="L573" s="8" t="str">
        <f>IF($A573="","",IF(ISNUMBER(SEARCH("Aktivitas Harian",INDEX(FORM!$K:$K,ROW()))),1,0))</f>
        <v/>
      </c>
      <c r="M573" s="8" t="str">
        <f>IF($A573="","",IF(ISNUMBER(SEARCH("Aktivitas Mingguan",INDEX(FORM!$K:$K,ROW()))),1,0))</f>
        <v/>
      </c>
      <c r="N573" s="8" t="str">
        <f>IF($A573="","",IF(ISNUMBER(SEARCH("Aktivitas Bulanan",INDEX(FORM!$K:$K,ROW()))),1,0))</f>
        <v/>
      </c>
      <c r="O573" s="8" t="str">
        <f>IF($A573="","",IF(ISNUMBER(SEARCH("Overview Cabang",INDEX(FORM!$K:$K,ROW()))),1,0))</f>
        <v/>
      </c>
      <c r="P573" s="8" t="str">
        <f>IF($A573="","",IFERROR(VLOOKUP(I573,DATA!$AH$9:$AI$13,2,0),""))</f>
        <v/>
      </c>
      <c r="Q573" s="8" t="str">
        <f>IF($A573="","",IFERROR(VLOOKUP(J573,DATA!$AH$9:$AI$13,2,0),""))</f>
        <v/>
      </c>
      <c r="R573" s="8" t="str">
        <f>IF($A573="","",IFERROR(VLOOKUP(K573,DATA!$AH$9:$AI$13,2,0),""))</f>
        <v/>
      </c>
      <c r="S573" s="42" t="str">
        <f t="shared" si="176"/>
        <v/>
      </c>
      <c r="T573" s="8" t="str">
        <f>IF($A573="","",IF(COUNTIF($D$2:D573,D573)=1,1,0))</f>
        <v/>
      </c>
      <c r="U573" s="8" t="str">
        <f>IF($A573="","",IF(F573="-","Cabang tdk ada",IF(IFERROR(VLOOKUP(G573,#REF!,1,0),"")="","",IF(INDEX(DATA!$AH$2:$AH$5,MATCH(G573,DATA!$AI$2:$AI$5,0))&lt;&gt;F573,"Wilayah beda","OK"))))</f>
        <v/>
      </c>
      <c r="V573" s="8" t="str">
        <f>IF($A573="","",TRIM(INDEX(FORM!$I:$I,ROW())&amp;""))</f>
        <v/>
      </c>
      <c r="W573" s="8" t="str">
        <f>IF($A573="","",TRIM(INDEX(FORM!$L:$L,ROW())&amp;""))</f>
        <v/>
      </c>
      <c r="X573" s="8" t="str">
        <f>IF($A573="","",TRIM(INDEX(FORM!$M:$M,ROW())&amp;""))</f>
        <v/>
      </c>
      <c r="Y573" s="8" t="str">
        <f>IF($A573="","",IFERROR(MATCH(F573,DATA!$AH$2:$AH$5,0),9)*10000+A573)</f>
        <v/>
      </c>
      <c r="Z573" s="8" t="str">
        <f t="shared" si="177"/>
        <v/>
      </c>
      <c r="AA573" s="8" t="str">
        <f t="shared" si="178"/>
        <v/>
      </c>
      <c r="AB573" s="8" t="str">
        <f t="shared" si="179"/>
        <v/>
      </c>
      <c r="AC573" s="8"/>
      <c r="AD573" s="8"/>
      <c r="AE573" s="8"/>
      <c r="AK573" s="5" t="str">
        <f t="shared" si="180"/>
        <v/>
      </c>
      <c r="AL573" s="5" t="str">
        <f t="shared" si="181"/>
        <v/>
      </c>
      <c r="AM573" s="5" t="str">
        <f t="shared" si="182"/>
        <v/>
      </c>
      <c r="AN573" s="5" t="str">
        <f t="shared" si="183"/>
        <v/>
      </c>
      <c r="AO573" s="5" t="str">
        <f t="shared" si="184"/>
        <v/>
      </c>
      <c r="AP573" s="5" t="str">
        <f t="shared" si="185"/>
        <v/>
      </c>
      <c r="AQ573" s="5" t="str">
        <f t="shared" si="186"/>
        <v/>
      </c>
      <c r="AR573" s="5" t="str">
        <f t="shared" si="187"/>
        <v/>
      </c>
      <c r="AS573" s="5" t="str">
        <f t="shared" si="188"/>
        <v/>
      </c>
      <c r="AT573" s="5" t="str">
        <f t="shared" si="189"/>
        <v/>
      </c>
      <c r="AU573" s="5" t="str">
        <f t="shared" si="190"/>
        <v/>
      </c>
      <c r="AV573" s="5" t="str">
        <f t="shared" si="191"/>
        <v/>
      </c>
      <c r="AW573" s="5" t="str">
        <f t="shared" si="192"/>
        <v/>
      </c>
      <c r="AX573" s="5" t="str">
        <f t="shared" si="193"/>
        <v/>
      </c>
      <c r="AY573" s="5" t="str">
        <f t="shared" si="194"/>
        <v/>
      </c>
      <c r="AZ573" s="5" t="str">
        <f t="shared" si="195"/>
        <v/>
      </c>
      <c r="BA573" s="5" t="str">
        <f t="shared" si="196"/>
        <v/>
      </c>
      <c r="BB573" s="5" t="str">
        <f t="shared" si="197"/>
        <v/>
      </c>
    </row>
    <row r="574" spans="1:54" s="5" customFormat="1" hidden="1">
      <c r="A574" s="8" t="str">
        <f>IF(INDEX(FORM!$A:$A,ROW())="","",ROW()-1)</f>
        <v/>
      </c>
      <c r="B574" s="41" t="str">
        <f>IF($A574="","",INDEX(FORM!$A:$A,ROW()))</f>
        <v/>
      </c>
      <c r="C574" s="8" t="str">
        <f>IF($A574="","",TRIM(INDEX(FORM!$B:$B,ROW())))</f>
        <v/>
      </c>
      <c r="D574" s="8" t="str">
        <f>IF($A574="","",TRIM(INDEX(FORM!$C:$C,ROW())&amp;""))</f>
        <v/>
      </c>
      <c r="E574" s="8" t="str">
        <f>IF($A574="","",UPPER(TRIM(INDEX(FORM!$D:$D,ROW()))))</f>
        <v/>
      </c>
      <c r="F574" s="8" t="str">
        <f>IF($A574="","",IFERROR(INDEX(PROGRES!$A$2:$A$92,MATCH(E574,PROGRES!$B$2:$B$92,0)),"-"))</f>
        <v/>
      </c>
      <c r="G574" s="8" t="str">
        <f>IF($A574="","",UPPER(TRIM(INDEX(FORM!$F:$F,ROW()))))</f>
        <v/>
      </c>
      <c r="H574" s="8" t="str">
        <f>IF($A574="","",UPPER(TRIM(INDEX(FORM!$E:$E,ROW()))))</f>
        <v/>
      </c>
      <c r="I574" s="8" t="str">
        <f>IF($A574="","",UPPER(TRIM(INDEX(FORM!$G:$G,ROW()))))</f>
        <v/>
      </c>
      <c r="J574" s="8" t="str">
        <f>IF($A574="","",IF(ISNUMBER(SEARCH("Ya,",INDEX(FORM!$H:$H,ROW()))),"YA",IF(ISNUMBER(SEARCH("Cukup,",INDEX(FORM!$H:$H,ROW()))),"CUKUP",IF(ISNUMBER(SEARCH("Kurang,",INDEX(FORM!$H:$H,ROW()))),"KURANG",""))))</f>
        <v/>
      </c>
      <c r="K574" s="8" t="str">
        <f>IF($A574="","",UPPER(TRIM(INDEX(FORM!$J:$J,ROW()))))</f>
        <v/>
      </c>
      <c r="L574" s="8" t="str">
        <f>IF($A574="","",IF(ISNUMBER(SEARCH("Aktivitas Harian",INDEX(FORM!$K:$K,ROW()))),1,0))</f>
        <v/>
      </c>
      <c r="M574" s="8" t="str">
        <f>IF($A574="","",IF(ISNUMBER(SEARCH("Aktivitas Mingguan",INDEX(FORM!$K:$K,ROW()))),1,0))</f>
        <v/>
      </c>
      <c r="N574" s="8" t="str">
        <f>IF($A574="","",IF(ISNUMBER(SEARCH("Aktivitas Bulanan",INDEX(FORM!$K:$K,ROW()))),1,0))</f>
        <v/>
      </c>
      <c r="O574" s="8" t="str">
        <f>IF($A574="","",IF(ISNUMBER(SEARCH("Overview Cabang",INDEX(FORM!$K:$K,ROW()))),1,0))</f>
        <v/>
      </c>
      <c r="P574" s="8" t="str">
        <f>IF($A574="","",IFERROR(VLOOKUP(I574,DATA!$AH$9:$AI$13,2,0),""))</f>
        <v/>
      </c>
      <c r="Q574" s="8" t="str">
        <f>IF($A574="","",IFERROR(VLOOKUP(J574,DATA!$AH$9:$AI$13,2,0),""))</f>
        <v/>
      </c>
      <c r="R574" s="8" t="str">
        <f>IF($A574="","",IFERROR(VLOOKUP(K574,DATA!$AH$9:$AI$13,2,0),""))</f>
        <v/>
      </c>
      <c r="S574" s="42" t="str">
        <f t="shared" si="176"/>
        <v/>
      </c>
      <c r="T574" s="8" t="str">
        <f>IF($A574="","",IF(COUNTIF($D$2:D574,D574)=1,1,0))</f>
        <v/>
      </c>
      <c r="U574" s="8" t="str">
        <f>IF($A574="","",IF(F574="-","Cabang tdk ada",IF(IFERROR(VLOOKUP(G574,#REF!,1,0),"")="","",IF(INDEX(DATA!$AH$2:$AH$5,MATCH(G574,DATA!$AI$2:$AI$5,0))&lt;&gt;F574,"Wilayah beda","OK"))))</f>
        <v/>
      </c>
      <c r="V574" s="8" t="str">
        <f>IF($A574="","",TRIM(INDEX(FORM!$I:$I,ROW())&amp;""))</f>
        <v/>
      </c>
      <c r="W574" s="8" t="str">
        <f>IF($A574="","",TRIM(INDEX(FORM!$L:$L,ROW())&amp;""))</f>
        <v/>
      </c>
      <c r="X574" s="8" t="str">
        <f>IF($A574="","",TRIM(INDEX(FORM!$M:$M,ROW())&amp;""))</f>
        <v/>
      </c>
      <c r="Y574" s="8" t="str">
        <f>IF($A574="","",IFERROR(MATCH(F574,DATA!$AH$2:$AH$5,0),9)*10000+A574)</f>
        <v/>
      </c>
      <c r="Z574" s="8" t="str">
        <f t="shared" si="177"/>
        <v/>
      </c>
      <c r="AA574" s="8" t="str">
        <f t="shared" si="178"/>
        <v/>
      </c>
      <c r="AB574" s="8" t="str">
        <f t="shared" si="179"/>
        <v/>
      </c>
      <c r="AC574" s="8"/>
      <c r="AD574" s="8"/>
      <c r="AE574" s="8"/>
      <c r="AK574" s="5" t="str">
        <f t="shared" si="180"/>
        <v/>
      </c>
      <c r="AL574" s="5" t="str">
        <f t="shared" si="181"/>
        <v/>
      </c>
      <c r="AM574" s="5" t="str">
        <f t="shared" si="182"/>
        <v/>
      </c>
      <c r="AN574" s="5" t="str">
        <f t="shared" si="183"/>
        <v/>
      </c>
      <c r="AO574" s="5" t="str">
        <f t="shared" si="184"/>
        <v/>
      </c>
      <c r="AP574" s="5" t="str">
        <f t="shared" si="185"/>
        <v/>
      </c>
      <c r="AQ574" s="5" t="str">
        <f t="shared" si="186"/>
        <v/>
      </c>
      <c r="AR574" s="5" t="str">
        <f t="shared" si="187"/>
        <v/>
      </c>
      <c r="AS574" s="5" t="str">
        <f t="shared" si="188"/>
        <v/>
      </c>
      <c r="AT574" s="5" t="str">
        <f t="shared" si="189"/>
        <v/>
      </c>
      <c r="AU574" s="5" t="str">
        <f t="shared" si="190"/>
        <v/>
      </c>
      <c r="AV574" s="5" t="str">
        <f t="shared" si="191"/>
        <v/>
      </c>
      <c r="AW574" s="5" t="str">
        <f t="shared" si="192"/>
        <v/>
      </c>
      <c r="AX574" s="5" t="str">
        <f t="shared" si="193"/>
        <v/>
      </c>
      <c r="AY574" s="5" t="str">
        <f t="shared" si="194"/>
        <v/>
      </c>
      <c r="AZ574" s="5" t="str">
        <f t="shared" si="195"/>
        <v/>
      </c>
      <c r="BA574" s="5" t="str">
        <f t="shared" si="196"/>
        <v/>
      </c>
      <c r="BB574" s="5" t="str">
        <f t="shared" si="197"/>
        <v/>
      </c>
    </row>
    <row r="575" spans="1:54" s="5" customFormat="1" hidden="1">
      <c r="A575" s="8" t="str">
        <f>IF(INDEX(FORM!$A:$A,ROW())="","",ROW()-1)</f>
        <v/>
      </c>
      <c r="B575" s="41" t="str">
        <f>IF($A575="","",INDEX(FORM!$A:$A,ROW()))</f>
        <v/>
      </c>
      <c r="C575" s="8" t="str">
        <f>IF($A575="","",TRIM(INDEX(FORM!$B:$B,ROW())))</f>
        <v/>
      </c>
      <c r="D575" s="8" t="str">
        <f>IF($A575="","",TRIM(INDEX(FORM!$C:$C,ROW())&amp;""))</f>
        <v/>
      </c>
      <c r="E575" s="8" t="str">
        <f>IF($A575="","",UPPER(TRIM(INDEX(FORM!$D:$D,ROW()))))</f>
        <v/>
      </c>
      <c r="F575" s="8" t="str">
        <f>IF($A575="","",IFERROR(INDEX(PROGRES!$A$2:$A$92,MATCH(E575,PROGRES!$B$2:$B$92,0)),"-"))</f>
        <v/>
      </c>
      <c r="G575" s="8" t="str">
        <f>IF($A575="","",UPPER(TRIM(INDEX(FORM!$F:$F,ROW()))))</f>
        <v/>
      </c>
      <c r="H575" s="8" t="str">
        <f>IF($A575="","",UPPER(TRIM(INDEX(FORM!$E:$E,ROW()))))</f>
        <v/>
      </c>
      <c r="I575" s="8" t="str">
        <f>IF($A575="","",UPPER(TRIM(INDEX(FORM!$G:$G,ROW()))))</f>
        <v/>
      </c>
      <c r="J575" s="8" t="str">
        <f>IF($A575="","",IF(ISNUMBER(SEARCH("Ya,",INDEX(FORM!$H:$H,ROW()))),"YA",IF(ISNUMBER(SEARCH("Cukup,",INDEX(FORM!$H:$H,ROW()))),"CUKUP",IF(ISNUMBER(SEARCH("Kurang,",INDEX(FORM!$H:$H,ROW()))),"KURANG",""))))</f>
        <v/>
      </c>
      <c r="K575" s="8" t="str">
        <f>IF($A575="","",UPPER(TRIM(INDEX(FORM!$J:$J,ROW()))))</f>
        <v/>
      </c>
      <c r="L575" s="8" t="str">
        <f>IF($A575="","",IF(ISNUMBER(SEARCH("Aktivitas Harian",INDEX(FORM!$K:$K,ROW()))),1,0))</f>
        <v/>
      </c>
      <c r="M575" s="8" t="str">
        <f>IF($A575="","",IF(ISNUMBER(SEARCH("Aktivitas Mingguan",INDEX(FORM!$K:$K,ROW()))),1,0))</f>
        <v/>
      </c>
      <c r="N575" s="8" t="str">
        <f>IF($A575="","",IF(ISNUMBER(SEARCH("Aktivitas Bulanan",INDEX(FORM!$K:$K,ROW()))),1,0))</f>
        <v/>
      </c>
      <c r="O575" s="8" t="str">
        <f>IF($A575="","",IF(ISNUMBER(SEARCH("Overview Cabang",INDEX(FORM!$K:$K,ROW()))),1,0))</f>
        <v/>
      </c>
      <c r="P575" s="8" t="str">
        <f>IF($A575="","",IFERROR(VLOOKUP(I575,DATA!$AH$9:$AI$13,2,0),""))</f>
        <v/>
      </c>
      <c r="Q575" s="8" t="str">
        <f>IF($A575="","",IFERROR(VLOOKUP(J575,DATA!$AH$9:$AI$13,2,0),""))</f>
        <v/>
      </c>
      <c r="R575" s="8" t="str">
        <f>IF($A575="","",IFERROR(VLOOKUP(K575,DATA!$AH$9:$AI$13,2,0),""))</f>
        <v/>
      </c>
      <c r="S575" s="42" t="str">
        <f t="shared" si="176"/>
        <v/>
      </c>
      <c r="T575" s="8" t="str">
        <f>IF($A575="","",IF(COUNTIF($D$2:D575,D575)=1,1,0))</f>
        <v/>
      </c>
      <c r="U575" s="8" t="str">
        <f>IF($A575="","",IF(F575="-","Cabang tdk ada",IF(IFERROR(VLOOKUP(G575,#REF!,1,0),"")="","",IF(INDEX(DATA!$AH$2:$AH$5,MATCH(G575,DATA!$AI$2:$AI$5,0))&lt;&gt;F575,"Wilayah beda","OK"))))</f>
        <v/>
      </c>
      <c r="V575" s="8" t="str">
        <f>IF($A575="","",TRIM(INDEX(FORM!$I:$I,ROW())&amp;""))</f>
        <v/>
      </c>
      <c r="W575" s="8" t="str">
        <f>IF($A575="","",TRIM(INDEX(FORM!$L:$L,ROW())&amp;""))</f>
        <v/>
      </c>
      <c r="X575" s="8" t="str">
        <f>IF($A575="","",TRIM(INDEX(FORM!$M:$M,ROW())&amp;""))</f>
        <v/>
      </c>
      <c r="Y575" s="8" t="str">
        <f>IF($A575="","",IFERROR(MATCH(F575,DATA!$AH$2:$AH$5,0),9)*10000+A575)</f>
        <v/>
      </c>
      <c r="Z575" s="8" t="str">
        <f t="shared" si="177"/>
        <v/>
      </c>
      <c r="AA575" s="8" t="str">
        <f t="shared" si="178"/>
        <v/>
      </c>
      <c r="AB575" s="8" t="str">
        <f t="shared" si="179"/>
        <v/>
      </c>
      <c r="AC575" s="8"/>
      <c r="AD575" s="8"/>
      <c r="AE575" s="8"/>
      <c r="AK575" s="5" t="str">
        <f t="shared" si="180"/>
        <v/>
      </c>
      <c r="AL575" s="5" t="str">
        <f t="shared" si="181"/>
        <v/>
      </c>
      <c r="AM575" s="5" t="str">
        <f t="shared" si="182"/>
        <v/>
      </c>
      <c r="AN575" s="5" t="str">
        <f t="shared" si="183"/>
        <v/>
      </c>
      <c r="AO575" s="5" t="str">
        <f t="shared" si="184"/>
        <v/>
      </c>
      <c r="AP575" s="5" t="str">
        <f t="shared" si="185"/>
        <v/>
      </c>
      <c r="AQ575" s="5" t="str">
        <f t="shared" si="186"/>
        <v/>
      </c>
      <c r="AR575" s="5" t="str">
        <f t="shared" si="187"/>
        <v/>
      </c>
      <c r="AS575" s="5" t="str">
        <f t="shared" si="188"/>
        <v/>
      </c>
      <c r="AT575" s="5" t="str">
        <f t="shared" si="189"/>
        <v/>
      </c>
      <c r="AU575" s="5" t="str">
        <f t="shared" si="190"/>
        <v/>
      </c>
      <c r="AV575" s="5" t="str">
        <f t="shared" si="191"/>
        <v/>
      </c>
      <c r="AW575" s="5" t="str">
        <f t="shared" si="192"/>
        <v/>
      </c>
      <c r="AX575" s="5" t="str">
        <f t="shared" si="193"/>
        <v/>
      </c>
      <c r="AY575" s="5" t="str">
        <f t="shared" si="194"/>
        <v/>
      </c>
      <c r="AZ575" s="5" t="str">
        <f t="shared" si="195"/>
        <v/>
      </c>
      <c r="BA575" s="5" t="str">
        <f t="shared" si="196"/>
        <v/>
      </c>
      <c r="BB575" s="5" t="str">
        <f t="shared" si="197"/>
        <v/>
      </c>
    </row>
    <row r="576" spans="1:54" s="5" customFormat="1" hidden="1">
      <c r="A576" s="8" t="str">
        <f>IF(INDEX(FORM!$A:$A,ROW())="","",ROW()-1)</f>
        <v/>
      </c>
      <c r="B576" s="41" t="str">
        <f>IF($A576="","",INDEX(FORM!$A:$A,ROW()))</f>
        <v/>
      </c>
      <c r="C576" s="8" t="str">
        <f>IF($A576="","",TRIM(INDEX(FORM!$B:$B,ROW())))</f>
        <v/>
      </c>
      <c r="D576" s="8" t="str">
        <f>IF($A576="","",TRIM(INDEX(FORM!$C:$C,ROW())&amp;""))</f>
        <v/>
      </c>
      <c r="E576" s="8" t="str">
        <f>IF($A576="","",UPPER(TRIM(INDEX(FORM!$D:$D,ROW()))))</f>
        <v/>
      </c>
      <c r="F576" s="8" t="str">
        <f>IF($A576="","",IFERROR(INDEX(PROGRES!$A$2:$A$92,MATCH(E576,PROGRES!$B$2:$B$92,0)),"-"))</f>
        <v/>
      </c>
      <c r="G576" s="8" t="str">
        <f>IF($A576="","",UPPER(TRIM(INDEX(FORM!$F:$F,ROW()))))</f>
        <v/>
      </c>
      <c r="H576" s="8" t="str">
        <f>IF($A576="","",UPPER(TRIM(INDEX(FORM!$E:$E,ROW()))))</f>
        <v/>
      </c>
      <c r="I576" s="8" t="str">
        <f>IF($A576="","",UPPER(TRIM(INDEX(FORM!$G:$G,ROW()))))</f>
        <v/>
      </c>
      <c r="J576" s="8" t="str">
        <f>IF($A576="","",IF(ISNUMBER(SEARCH("Ya,",INDEX(FORM!$H:$H,ROW()))),"YA",IF(ISNUMBER(SEARCH("Cukup,",INDEX(FORM!$H:$H,ROW()))),"CUKUP",IF(ISNUMBER(SEARCH("Kurang,",INDEX(FORM!$H:$H,ROW()))),"KURANG",""))))</f>
        <v/>
      </c>
      <c r="K576" s="8" t="str">
        <f>IF($A576="","",UPPER(TRIM(INDEX(FORM!$J:$J,ROW()))))</f>
        <v/>
      </c>
      <c r="L576" s="8" t="str">
        <f>IF($A576="","",IF(ISNUMBER(SEARCH("Aktivitas Harian",INDEX(FORM!$K:$K,ROW()))),1,0))</f>
        <v/>
      </c>
      <c r="M576" s="8" t="str">
        <f>IF($A576="","",IF(ISNUMBER(SEARCH("Aktivitas Mingguan",INDEX(FORM!$K:$K,ROW()))),1,0))</f>
        <v/>
      </c>
      <c r="N576" s="8" t="str">
        <f>IF($A576="","",IF(ISNUMBER(SEARCH("Aktivitas Bulanan",INDEX(FORM!$K:$K,ROW()))),1,0))</f>
        <v/>
      </c>
      <c r="O576" s="8" t="str">
        <f>IF($A576="","",IF(ISNUMBER(SEARCH("Overview Cabang",INDEX(FORM!$K:$K,ROW()))),1,0))</f>
        <v/>
      </c>
      <c r="P576" s="8" t="str">
        <f>IF($A576="","",IFERROR(VLOOKUP(I576,DATA!$AH$9:$AI$13,2,0),""))</f>
        <v/>
      </c>
      <c r="Q576" s="8" t="str">
        <f>IF($A576="","",IFERROR(VLOOKUP(J576,DATA!$AH$9:$AI$13,2,0),""))</f>
        <v/>
      </c>
      <c r="R576" s="8" t="str">
        <f>IF($A576="","",IFERROR(VLOOKUP(K576,DATA!$AH$9:$AI$13,2,0),""))</f>
        <v/>
      </c>
      <c r="S576" s="42" t="str">
        <f t="shared" si="176"/>
        <v/>
      </c>
      <c r="T576" s="8" t="str">
        <f>IF($A576="","",IF(COUNTIF($D$2:D576,D576)=1,1,0))</f>
        <v/>
      </c>
      <c r="U576" s="8" t="str">
        <f>IF($A576="","",IF(F576="-","Cabang tdk ada",IF(IFERROR(VLOOKUP(G576,#REF!,1,0),"")="","",IF(INDEX(DATA!$AH$2:$AH$5,MATCH(G576,DATA!$AI$2:$AI$5,0))&lt;&gt;F576,"Wilayah beda","OK"))))</f>
        <v/>
      </c>
      <c r="V576" s="8" t="str">
        <f>IF($A576="","",TRIM(INDEX(FORM!$I:$I,ROW())&amp;""))</f>
        <v/>
      </c>
      <c r="W576" s="8" t="str">
        <f>IF($A576="","",TRIM(INDEX(FORM!$L:$L,ROW())&amp;""))</f>
        <v/>
      </c>
      <c r="X576" s="8" t="str">
        <f>IF($A576="","",TRIM(INDEX(FORM!$M:$M,ROW())&amp;""))</f>
        <v/>
      </c>
      <c r="Y576" s="8" t="str">
        <f>IF($A576="","",IFERROR(MATCH(F576,DATA!$AH$2:$AH$5,0),9)*10000+A576)</f>
        <v/>
      </c>
      <c r="Z576" s="8" t="str">
        <f t="shared" si="177"/>
        <v/>
      </c>
      <c r="AA576" s="8" t="str">
        <f t="shared" si="178"/>
        <v/>
      </c>
      <c r="AB576" s="8" t="str">
        <f t="shared" si="179"/>
        <v/>
      </c>
      <c r="AC576" s="8"/>
      <c r="AD576" s="8"/>
      <c r="AE576" s="8"/>
      <c r="AK576" s="5" t="str">
        <f t="shared" si="180"/>
        <v/>
      </c>
      <c r="AL576" s="5" t="str">
        <f t="shared" si="181"/>
        <v/>
      </c>
      <c r="AM576" s="5" t="str">
        <f t="shared" si="182"/>
        <v/>
      </c>
      <c r="AN576" s="5" t="str">
        <f t="shared" si="183"/>
        <v/>
      </c>
      <c r="AO576" s="5" t="str">
        <f t="shared" si="184"/>
        <v/>
      </c>
      <c r="AP576" s="5" t="str">
        <f t="shared" si="185"/>
        <v/>
      </c>
      <c r="AQ576" s="5" t="str">
        <f t="shared" si="186"/>
        <v/>
      </c>
      <c r="AR576" s="5" t="str">
        <f t="shared" si="187"/>
        <v/>
      </c>
      <c r="AS576" s="5" t="str">
        <f t="shared" si="188"/>
        <v/>
      </c>
      <c r="AT576" s="5" t="str">
        <f t="shared" si="189"/>
        <v/>
      </c>
      <c r="AU576" s="5" t="str">
        <f t="shared" si="190"/>
        <v/>
      </c>
      <c r="AV576" s="5" t="str">
        <f t="shared" si="191"/>
        <v/>
      </c>
      <c r="AW576" s="5" t="str">
        <f t="shared" si="192"/>
        <v/>
      </c>
      <c r="AX576" s="5" t="str">
        <f t="shared" si="193"/>
        <v/>
      </c>
      <c r="AY576" s="5" t="str">
        <f t="shared" si="194"/>
        <v/>
      </c>
      <c r="AZ576" s="5" t="str">
        <f t="shared" si="195"/>
        <v/>
      </c>
      <c r="BA576" s="5" t="str">
        <f t="shared" si="196"/>
        <v/>
      </c>
      <c r="BB576" s="5" t="str">
        <f t="shared" si="197"/>
        <v/>
      </c>
    </row>
    <row r="577" spans="1:54" s="5" customFormat="1" hidden="1">
      <c r="A577" s="8" t="str">
        <f>IF(INDEX(FORM!$A:$A,ROW())="","",ROW()-1)</f>
        <v/>
      </c>
      <c r="B577" s="41" t="str">
        <f>IF($A577="","",INDEX(FORM!$A:$A,ROW()))</f>
        <v/>
      </c>
      <c r="C577" s="8" t="str">
        <f>IF($A577="","",TRIM(INDEX(FORM!$B:$B,ROW())))</f>
        <v/>
      </c>
      <c r="D577" s="8" t="str">
        <f>IF($A577="","",TRIM(INDEX(FORM!$C:$C,ROW())&amp;""))</f>
        <v/>
      </c>
      <c r="E577" s="8" t="str">
        <f>IF($A577="","",UPPER(TRIM(INDEX(FORM!$D:$D,ROW()))))</f>
        <v/>
      </c>
      <c r="F577" s="8" t="str">
        <f>IF($A577="","",IFERROR(INDEX(PROGRES!$A$2:$A$92,MATCH(E577,PROGRES!$B$2:$B$92,0)),"-"))</f>
        <v/>
      </c>
      <c r="G577" s="8" t="str">
        <f>IF($A577="","",UPPER(TRIM(INDEX(FORM!$F:$F,ROW()))))</f>
        <v/>
      </c>
      <c r="H577" s="8" t="str">
        <f>IF($A577="","",UPPER(TRIM(INDEX(FORM!$E:$E,ROW()))))</f>
        <v/>
      </c>
      <c r="I577" s="8" t="str">
        <f>IF($A577="","",UPPER(TRIM(INDEX(FORM!$G:$G,ROW()))))</f>
        <v/>
      </c>
      <c r="J577" s="8" t="str">
        <f>IF($A577="","",IF(ISNUMBER(SEARCH("Ya,",INDEX(FORM!$H:$H,ROW()))),"YA",IF(ISNUMBER(SEARCH("Cukup,",INDEX(FORM!$H:$H,ROW()))),"CUKUP",IF(ISNUMBER(SEARCH("Kurang,",INDEX(FORM!$H:$H,ROW()))),"KURANG",""))))</f>
        <v/>
      </c>
      <c r="K577" s="8" t="str">
        <f>IF($A577="","",UPPER(TRIM(INDEX(FORM!$J:$J,ROW()))))</f>
        <v/>
      </c>
      <c r="L577" s="8" t="str">
        <f>IF($A577="","",IF(ISNUMBER(SEARCH("Aktivitas Harian",INDEX(FORM!$K:$K,ROW()))),1,0))</f>
        <v/>
      </c>
      <c r="M577" s="8" t="str">
        <f>IF($A577="","",IF(ISNUMBER(SEARCH("Aktivitas Mingguan",INDEX(FORM!$K:$K,ROW()))),1,0))</f>
        <v/>
      </c>
      <c r="N577" s="8" t="str">
        <f>IF($A577="","",IF(ISNUMBER(SEARCH("Aktivitas Bulanan",INDEX(FORM!$K:$K,ROW()))),1,0))</f>
        <v/>
      </c>
      <c r="O577" s="8" t="str">
        <f>IF($A577="","",IF(ISNUMBER(SEARCH("Overview Cabang",INDEX(FORM!$K:$K,ROW()))),1,0))</f>
        <v/>
      </c>
      <c r="P577" s="8" t="str">
        <f>IF($A577="","",IFERROR(VLOOKUP(I577,DATA!$AH$9:$AI$13,2,0),""))</f>
        <v/>
      </c>
      <c r="Q577" s="8" t="str">
        <f>IF($A577="","",IFERROR(VLOOKUP(J577,DATA!$AH$9:$AI$13,2,0),""))</f>
        <v/>
      </c>
      <c r="R577" s="8" t="str">
        <f>IF($A577="","",IFERROR(VLOOKUP(K577,DATA!$AH$9:$AI$13,2,0),""))</f>
        <v/>
      </c>
      <c r="S577" s="42" t="str">
        <f t="shared" si="176"/>
        <v/>
      </c>
      <c r="T577" s="8" t="str">
        <f>IF($A577="","",IF(COUNTIF($D$2:D577,D577)=1,1,0))</f>
        <v/>
      </c>
      <c r="U577" s="8" t="str">
        <f>IF($A577="","",IF(F577="-","Cabang tdk ada",IF(IFERROR(VLOOKUP(G577,#REF!,1,0),"")="","",IF(INDEX(DATA!$AH$2:$AH$5,MATCH(G577,DATA!$AI$2:$AI$5,0))&lt;&gt;F577,"Wilayah beda","OK"))))</f>
        <v/>
      </c>
      <c r="V577" s="8" t="str">
        <f>IF($A577="","",TRIM(INDEX(FORM!$I:$I,ROW())&amp;""))</f>
        <v/>
      </c>
      <c r="W577" s="8" t="str">
        <f>IF($A577="","",TRIM(INDEX(FORM!$L:$L,ROW())&amp;""))</f>
        <v/>
      </c>
      <c r="X577" s="8" t="str">
        <f>IF($A577="","",TRIM(INDEX(FORM!$M:$M,ROW())&amp;""))</f>
        <v/>
      </c>
      <c r="Y577" s="8" t="str">
        <f>IF($A577="","",IFERROR(MATCH(F577,DATA!$AH$2:$AH$5,0),9)*10000+A577)</f>
        <v/>
      </c>
      <c r="Z577" s="8" t="str">
        <f t="shared" si="177"/>
        <v/>
      </c>
      <c r="AA577" s="8" t="str">
        <f t="shared" si="178"/>
        <v/>
      </c>
      <c r="AB577" s="8" t="str">
        <f t="shared" si="179"/>
        <v/>
      </c>
      <c r="AC577" s="8"/>
      <c r="AD577" s="8"/>
      <c r="AE577" s="8"/>
      <c r="AK577" s="5" t="str">
        <f t="shared" si="180"/>
        <v/>
      </c>
      <c r="AL577" s="5" t="str">
        <f t="shared" si="181"/>
        <v/>
      </c>
      <c r="AM577" s="5" t="str">
        <f t="shared" si="182"/>
        <v/>
      </c>
      <c r="AN577" s="5" t="str">
        <f t="shared" si="183"/>
        <v/>
      </c>
      <c r="AO577" s="5" t="str">
        <f t="shared" si="184"/>
        <v/>
      </c>
      <c r="AP577" s="5" t="str">
        <f t="shared" si="185"/>
        <v/>
      </c>
      <c r="AQ577" s="5" t="str">
        <f t="shared" si="186"/>
        <v/>
      </c>
      <c r="AR577" s="5" t="str">
        <f t="shared" si="187"/>
        <v/>
      </c>
      <c r="AS577" s="5" t="str">
        <f t="shared" si="188"/>
        <v/>
      </c>
      <c r="AT577" s="5" t="str">
        <f t="shared" si="189"/>
        <v/>
      </c>
      <c r="AU577" s="5" t="str">
        <f t="shared" si="190"/>
        <v/>
      </c>
      <c r="AV577" s="5" t="str">
        <f t="shared" si="191"/>
        <v/>
      </c>
      <c r="AW577" s="5" t="str">
        <f t="shared" si="192"/>
        <v/>
      </c>
      <c r="AX577" s="5" t="str">
        <f t="shared" si="193"/>
        <v/>
      </c>
      <c r="AY577" s="5" t="str">
        <f t="shared" si="194"/>
        <v/>
      </c>
      <c r="AZ577" s="5" t="str">
        <f t="shared" si="195"/>
        <v/>
      </c>
      <c r="BA577" s="5" t="str">
        <f t="shared" si="196"/>
        <v/>
      </c>
      <c r="BB577" s="5" t="str">
        <f t="shared" si="197"/>
        <v/>
      </c>
    </row>
    <row r="578" spans="1:54" s="5" customFormat="1" hidden="1">
      <c r="A578" s="8" t="str">
        <f>IF(INDEX(FORM!$A:$A,ROW())="","",ROW()-1)</f>
        <v/>
      </c>
      <c r="B578" s="41" t="str">
        <f>IF($A578="","",INDEX(FORM!$A:$A,ROW()))</f>
        <v/>
      </c>
      <c r="C578" s="8" t="str">
        <f>IF($A578="","",TRIM(INDEX(FORM!$B:$B,ROW())))</f>
        <v/>
      </c>
      <c r="D578" s="8" t="str">
        <f>IF($A578="","",TRIM(INDEX(FORM!$C:$C,ROW())&amp;""))</f>
        <v/>
      </c>
      <c r="E578" s="8" t="str">
        <f>IF($A578="","",UPPER(TRIM(INDEX(FORM!$D:$D,ROW()))))</f>
        <v/>
      </c>
      <c r="F578" s="8" t="str">
        <f>IF($A578="","",IFERROR(INDEX(PROGRES!$A$2:$A$92,MATCH(E578,PROGRES!$B$2:$B$92,0)),"-"))</f>
        <v/>
      </c>
      <c r="G578" s="8" t="str">
        <f>IF($A578="","",UPPER(TRIM(INDEX(FORM!$F:$F,ROW()))))</f>
        <v/>
      </c>
      <c r="H578" s="8" t="str">
        <f>IF($A578="","",UPPER(TRIM(INDEX(FORM!$E:$E,ROW()))))</f>
        <v/>
      </c>
      <c r="I578" s="8" t="str">
        <f>IF($A578="","",UPPER(TRIM(INDEX(FORM!$G:$G,ROW()))))</f>
        <v/>
      </c>
      <c r="J578" s="8" t="str">
        <f>IF($A578="","",IF(ISNUMBER(SEARCH("Ya,",INDEX(FORM!$H:$H,ROW()))),"YA",IF(ISNUMBER(SEARCH("Cukup,",INDEX(FORM!$H:$H,ROW()))),"CUKUP",IF(ISNUMBER(SEARCH("Kurang,",INDEX(FORM!$H:$H,ROW()))),"KURANG",""))))</f>
        <v/>
      </c>
      <c r="K578" s="8" t="str">
        <f>IF($A578="","",UPPER(TRIM(INDEX(FORM!$J:$J,ROW()))))</f>
        <v/>
      </c>
      <c r="L578" s="8" t="str">
        <f>IF($A578="","",IF(ISNUMBER(SEARCH("Aktivitas Harian",INDEX(FORM!$K:$K,ROW()))),1,0))</f>
        <v/>
      </c>
      <c r="M578" s="8" t="str">
        <f>IF($A578="","",IF(ISNUMBER(SEARCH("Aktivitas Mingguan",INDEX(FORM!$K:$K,ROW()))),1,0))</f>
        <v/>
      </c>
      <c r="N578" s="8" t="str">
        <f>IF($A578="","",IF(ISNUMBER(SEARCH("Aktivitas Bulanan",INDEX(FORM!$K:$K,ROW()))),1,0))</f>
        <v/>
      </c>
      <c r="O578" s="8" t="str">
        <f>IF($A578="","",IF(ISNUMBER(SEARCH("Overview Cabang",INDEX(FORM!$K:$K,ROW()))),1,0))</f>
        <v/>
      </c>
      <c r="P578" s="8" t="str">
        <f>IF($A578="","",IFERROR(VLOOKUP(I578,DATA!$AH$9:$AI$13,2,0),""))</f>
        <v/>
      </c>
      <c r="Q578" s="8" t="str">
        <f>IF($A578="","",IFERROR(VLOOKUP(J578,DATA!$AH$9:$AI$13,2,0),""))</f>
        <v/>
      </c>
      <c r="R578" s="8" t="str">
        <f>IF($A578="","",IFERROR(VLOOKUP(K578,DATA!$AH$9:$AI$13,2,0),""))</f>
        <v/>
      </c>
      <c r="S578" s="42" t="str">
        <f t="shared" ref="S578:S641" si="198">IF($A578="","",IFERROR(AVERAGE(P578:R578),""))</f>
        <v/>
      </c>
      <c r="T578" s="8" t="str">
        <f>IF($A578="","",IF(COUNTIF($D$2:D578,D578)=1,1,0))</f>
        <v/>
      </c>
      <c r="U578" s="8" t="str">
        <f>IF($A578="","",IF(F578="-","Cabang tdk ada",IF(IFERROR(VLOOKUP(G578,#REF!,1,0),"")="","",IF(INDEX(DATA!$AH$2:$AH$5,MATCH(G578,DATA!$AI$2:$AI$5,0))&lt;&gt;F578,"Wilayah beda","OK"))))</f>
        <v/>
      </c>
      <c r="V578" s="8" t="str">
        <f>IF($A578="","",TRIM(INDEX(FORM!$I:$I,ROW())&amp;""))</f>
        <v/>
      </c>
      <c r="W578" s="8" t="str">
        <f>IF($A578="","",TRIM(INDEX(FORM!$L:$L,ROW())&amp;""))</f>
        <v/>
      </c>
      <c r="X578" s="8" t="str">
        <f>IF($A578="","",TRIM(INDEX(FORM!$M:$M,ROW())&amp;""))</f>
        <v/>
      </c>
      <c r="Y578" s="8" t="str">
        <f>IF($A578="","",IFERROR(MATCH(F578,DATA!$AH$2:$AH$5,0),9)*10000+A578)</f>
        <v/>
      </c>
      <c r="Z578" s="8" t="str">
        <f t="shared" ref="Z578:Z641" si="199">IF($A578="","",IF(LEN(SUBSTITUTE(SUBSTITUTE(SUBSTITUTE(V578,"-",""),".",""),"?",""))&lt;2,"Tidak ada masukan / sudah baik",IF(OR(ISNUMBER(SEARCH("memang harus",V578&amp;" "))),"Tidak ada masukan / sudah baik",IF(OR(ISNUMBER(SEARCH("lemot",V578&amp;" ")),ISNUMBER(SEARCH("loading",V578&amp;" ")),ISNUMBER(SEARCH("lambat",V578&amp;" ")),ISNUMBER(SEARCH("kecepatan",V578&amp;" ")),ISNUMBER(SEARCH("koneksi",V578&amp;" ")),ISNUMBER(SEARCH("eroro",V578&amp;" ")),ISNUMBER(SEARCH("error",V578&amp;" ")),ISNUMBER(SEARCH("ketutup",V578&amp;" "))),"Kecepatan &amp; Loading Website",IF(OR(ISNUMBER(SEARCH("kontak",V578&amp;" ")),ISNUMBER(SEARCH("pic",V578&amp;" ")),ISNUMBER(SEARCH("darurat",V578&amp;" "))),"Kontak &amp; Informasi PIC",IF(OR(ISNUMBER(SEARCH("sacs",V578&amp;" ")),ISNUMBER(SEARCH("aplikasi",V578&amp;" ")),ISNUMBER(SEARCH("kinerja",V578&amp;" ")),ISNUMBER(SEARCH("seluruh cabang",V578&amp;" "))),"Integrasi dengan SACS / Aplikasi",IF(OR(ISNUMBER(SEARCH("mobile",V578&amp;" ")),ISNUMBER(SEARCH("lebih responsif",V578&amp;" ")),ISNUMBER(SEARCH("scroll",V578&amp;" ")),ISNUMBER(SEARCH("melebar",V578&amp;" "))),"Tampilan di HP (Responsif)",IF(OR(ISNUMBER(SEARCH("simpel",V578&amp;" ")),ISNUMBER(SEARCH("simple",V578&amp;" ")),ISNUMBER(SEARCH("sederhana",V578&amp;" ")),ISNUMBER(SEARCH("ringkas",V578&amp;" ")),ISNUMBER(SEARCH("intinya",V578&amp;" ")),ISNUMBER(SEARCH("panjang lebar",V578&amp;" ")),ISNUMBER(SEARCH("mudah dipahami lagi",V578&amp;" ")),ISNUMBER(SEARCH("tata letak",V578&amp;" ")),ISNUMBER(SEARCH("harus mencari",V578&amp;" "))),"Penyederhanaan &amp; Ringkas Isi",IF(OR(ISNUMBER(SEARCH("menu ",V578&amp;" ")),ISNUMBER(SEARCH("tiap posisi",V578&amp;" ")),ISNUMBER(SEARCH("pilihan antara",V578&amp;" "))),"Menu per Jabatan / Navigasi",IF(OR(ISNUMBER(SEARCH("video",V578&amp;" ")),ISNUMBER(SEARCH("vidio",V578&amp;" ")),ISNUMBER(SEARCH("bagan",V578&amp;" ")),ISNUMBER(SEARCH("gambar",V578&amp;" ")),ISNUMBER(SEARCH("qna",V578&amp;" "))),"Tambah Video / Bagan",IF(OR(ISNUMBER(SEARCH("menarik",V578&amp;" ")),ISNUMBER(SEARCH("design",V578&amp;" ")),ISNUMBER(SEARCH("desain",V578&amp;" ")),ISNUMBER(SEARCH("font",V578&amp;" ")),ISNUMBER(SEARCH("warna",V578&amp;" ")),ISNUMBER(SEARCH("soft",V578&amp;" ")),ISNUMBER(SEARCH("kaku",V578&amp;" ")),ISNUMBER(SEARCH("elegan",V578&amp;" ")),ISNUMBER(SEARCH("grafis",V578&amp;" ")),ISNUMBER(SEARCH("visual",V578&amp;" ")),ISNUMBER(SEARCH("logo",V578&amp;" ")),ISNUMBER(SEARCH("jenuh",V578&amp;" ")),ISNUMBER(SEARCH("abu",V578&amp;" ")),ISNUMBER(SEARCH("tampilannya",V578&amp;" ")),ISNUMBER(SEARCH("tampilan dibuat",V578&amp;" ")),ISNUMBER(SEARCH("tamoilan",V578&amp;" ")),ISNUMBER(SEARCH("lebih user friendly",V578&amp;" "))),"Desain, Warna &amp; Font",IF(OR(ISNUMBER(SEARCH("perbanyak",V578&amp;" ")),ISNUMBER(SEARCH("jabarkan",V578&amp;" ")),ISNUMBER(SEARCH("jobdesk",V578&amp;" ")),ISNUMBER(SEARCH("pengajuan",V578&amp;" ")),ISNUMBER(SEARCH("informasi",V578&amp;" "))),"Penambahan Isi / Penjelasan",IF(OR(ISNUMBER(SEARCH("tingkat",V578&amp;" ")),ISNUMBER(SEARCH("kembang",V578&amp;" ")),ISNUMBER(SEARCH("lebih baik lagi",V578&amp;" ")),ISNUMBER(SEARCH("maksimal",V578&amp;" ")),ISNUMBER(SEARCH("penikatan",V578&amp;" "))),"Saran Umum Peningkatan",IF(OR(ISNUMBER(SEARCH("tidak",V578&amp;" ")),ISNUMBER(SEARCH("tdk",V578&amp;" ")),ISNUMBER(SEARCH("sudah",V578&amp;" ")),ISNUMBER(SEARCH("sdh",V578&amp;" ")),ISNUMBER(SEARCH("cukup",V578&amp;" ")),ISNUMBER(SEARCH("baik",V578&amp;" ")),ISNUMBER(SEARCH("bagus",V578&amp;" ")),ISNUMBER(SEARCH("ok",V578&amp;" ")),ISNUMBER(SEARCH("good",V578&amp;" ")),ISNUMBER(SEARCH("aman",V578&amp;" ")),ISNUMBER(SEARCH("lanjut",V578&amp;" ")),ISNUMBER(SEARCH("mantap",V578&amp;" ")),ISNUMBER(SEARCH("josjis",V578&amp;" ")),ISNUMBER(SEARCH("lumayan",V578&amp;" ")),ISNUMBER(SEARCH("mudah",V578&amp;" ")),ISNUMBER(SEARCH("belum",V578&amp;" ")),ISNUMBER(SEARCH("membantu",V578&amp;" ")),ISNUMBER(SEARCH("comment",V578&amp;" ")),ISNUMBER(SEARCH("lengkap",V578&amp;" ")),ISNUMBER(SEARCH("tercakup",V578&amp;" ")),ISNUMBER(SEARCH("mencakup",V578&amp;" ")),ISNUMBER(SEARCH("semua",V578&amp;" ")),ISNUMBER(SEARCH("penting",V578&amp;" ")),ISNUMBER(SEARCH("terangkum",V578&amp;" ")),ISNUMBER(SEARCH("pas",V578&amp;" ")),ISNUMBER(SEARCH("berjalan",V578&amp;" ")),ISNUMBER(SEARCH("sesuai",V578&amp;" "))),"Tidak ada masukan / sudah baik","Lainnya (perlu dibaca manual)"))))))))))))))</f>
        <v/>
      </c>
      <c r="AA578" s="8" t="str">
        <f t="shared" ref="AA578:AA641" si="200">IF($A578="","",IF(LEN(SUBSTITUTE(SUBSTITUTE(SUBSTITUTE(W578,"-",""),".",""),"?",""))&lt;2,"Tidak ada masukan / sudah baik",IF(OR(ISNUMBER(SEARCH("tampilan",W578&amp;" ")),ISNUMBER(SEARCH("lemot",W578&amp;" "))),"Bukan Terkait SOP (Tampilan / Akses)",IF(OR(ISNUMBER(SEARCH("sanksi",W578&amp;" ")),ISNUMBER(SEARCH("pelanggaran",W578&amp;" ")),ISNUMBER(SEARCH("larangan",W578&amp;" ")),ISNUMBER(SEARCH("rekening pribadi",W578&amp;" "))),"Sanksi &amp; Pelanggaran SOP",IF(OR(ISNUMBER(SEARCH("npl",W578&amp;" ")),ISNUMBER(SEARCH("piutang",W578&amp;" ")),ISNUMBER(SEARCH("rekon",W578&amp;" ")),ISNUMBER(SEARCH("overdue",W578&amp;" ")),ISNUMBER(SEARCH("restruk",W578&amp;" ")),ISNUMBER(SEARCH("tempo",W578&amp;" "))),"Piutang &amp; Pelanggan Bermasalah",IF(OR(ISNUMBER(SEARCH("kiriman",W578&amp;" ")),ISNUMBER(SEARCH("pengiriman",W578&amp;" ")),ISNUMBER(SEARCH("retur",W578&amp;" ")),ISNUMBER(SEARCH("barang",W578&amp;" "))),"Pengiriman, Retur &amp; Logistik",IF(OR(ISNUMBER(SEARCH("contact",W578&amp;" ")),ISNUMBER(SEARCH("kontak",W578&amp;" ")),ISNUMBER(SEARCH("pic",W578&amp;" ")),ISNUMBER(SEARCH("berwenang",W578&amp;" ")),ISNUMBER(SEARCH("follow up",W578&amp;" ")),ISNUMBER(SEARCH("eskalasi",W578&amp;" "))),"Kontak PIC &amp; Eskalasi",IF(OR(ISNUMBER(SEARCH("laporan evaluasi",W578&amp;" ")),ISNUMBER(SEARCH("aplikasi cp",W578&amp;" ")),ISNUMBER(SEARCH("flowchart",W578&amp;" ")),ISNUMBER(SEARCH("acuan",W578&amp;" ")),ISNUMBER(SEARCH("poa",W578&amp;" ")),ISNUMBER(SEARCH("aktifitas",W578&amp;" ")),ISNUMBER(SEARCH("aktivitas",W578&amp;" "))),"Panduan Laporan &amp; Alur Kerja",IF(OR(ISNUMBER(SEARCH("notifikasi",W578&amp;" ")),ISNUMBER(SEARCH("pembaruan",W578&amp;" ")),ISNUMBER(SEARCH("perubahan",W578&amp;" ")),ISNUMBER(SEARCH("update",W578&amp;" "))),"Pembaruan &amp; Notifikasi SOP",IF(OR(ISNUMBER(SEARCH("tidak",W578&amp;" ")),ISNUMBER(SEARCH("tdk",W578&amp;" ")),ISNUMBER(SEARCH("sudah",W578&amp;" ")),ISNUMBER(SEARCH("sdh",W578&amp;" ")),ISNUMBER(SEARCH("cukup",W578&amp;" ")),ISNUMBER(SEARCH("baik",W578&amp;" ")),ISNUMBER(SEARCH("bagus",W578&amp;" ")),ISNUMBER(SEARCH("ok",W578&amp;" ")),ISNUMBER(SEARCH("good",W578&amp;" ")),ISNUMBER(SEARCH("aman",W578&amp;" ")),ISNUMBER(SEARCH("lanjut",W578&amp;" ")),ISNUMBER(SEARCH("mantap",W578&amp;" ")),ISNUMBER(SEARCH("josjis",W578&amp;" ")),ISNUMBER(SEARCH("lumayan",W578&amp;" ")),ISNUMBER(SEARCH("mudah",W578&amp;" ")),ISNUMBER(SEARCH("belum",W578&amp;" ")),ISNUMBER(SEARCH("membantu",W578&amp;" ")),ISNUMBER(SEARCH("comment",W578&amp;" ")),ISNUMBER(SEARCH("lengkap",W578&amp;" ")),ISNUMBER(SEARCH("tercakup",W578&amp;" ")),ISNUMBER(SEARCH("mencakup",W578&amp;" ")),ISNUMBER(SEARCH("semua",W578&amp;" ")),ISNUMBER(SEARCH("penting",W578&amp;" ")),ISNUMBER(SEARCH("terangkum",W578&amp;" ")),ISNUMBER(SEARCH("pas",W578&amp;" ")),ISNUMBER(SEARCH("berjalan",W578&amp;" ")),ISNUMBER(SEARCH("sesuai",W578&amp;" "))),"Tidak ada masukan / sudah baik","Lainnya (perlu dibaca manual)"))))))))))</f>
        <v/>
      </c>
      <c r="AB578" s="8" t="str">
        <f t="shared" ref="AB578:AB641" si="201">IF($A578="","",IF(LEN(SUBSTITUTE(SUBSTITUTE(SUBSTITUTE(X578,"-",""),".",""),"?",""))&lt;2,"Tidak ada masukan / sudah baik",IF(OR(ISNUMBER(SEARCH("urgent",X578&amp;" "))),"Lainnya (perlu dibaca manual)",IF(OR(ISNUMBER(SEARCH("struktur organisasi",X578&amp;" ")),ISNUMBER(SEARCH("pic",X578&amp;" ")),ISNUMBER(SEARCH("cp",X578&amp;" ")),ISNUMBER(SEARCH("personil",X578&amp;" ")),ISNUMBER(SEARCH("sales",X578&amp;" ")),ISNUMBER(SEARCH("muka",X578&amp;" ")),ISNUMBER(SEARCH("eskalasi",X578&amp;" "))),"Struktur Organisasi, PIC &amp; Tim",IF(OR(ISNUMBER(SEARCH("lemot",X578&amp;" ")),ISNUMBER(SEARCH("lambat",X578&amp;" ")),ISNUMBER(SEARCH("memuat",X578&amp;" ")),ISNUMBER(SEARCH("koneksi",X578&amp;" "))),"Kecepatan Akses Website",IF(OR(ISNUMBER(SEARCH("sacs",X578&amp;" ")),ISNUMBER(SEARCH("aplikasi",X578&amp;" "))),"Integrasi ke SACS / Aplikasi Kerja",IF(OR(ISNUMBER(SEARCH("dashboard",X578&amp;" ")),ISNUMBER(SEARCH("kpi",X578&amp;" ")),ISNUMBER(SEARCH("database",X578&amp;" ")),ISNUMBER(SEARCH("kinerja",X578&amp;" ")),ISNUMBER(SEARCH("seluruh cabang",X578&amp;" "))),"Fitur Baru (Dashboard / KPI / Database)",IF(OR(ISNUMBER(SEARCH("video",X578&amp;" ")),ISNUMBER(SEARCH("gambar",X578&amp;" ")),ISNUMBER(SEARCH("jpg",X578&amp;" ")),ISNUMBER(SEARCH("flowchart",X578&amp;" ")),ISNUMBER(SEARCH("tutorial",X578&amp;" "))),"Tambah Video / Gambar / Flowchart",IF(OR(ISNUMBER(SEARCH("template",X578&amp;" ")),ISNUMBER(SEARCH("surat",X578&amp;" ")),ISNUMBER(SEARCH("korin",X578&amp;" ")),ISNUMBER(SEARCH("overdue",X578&amp;" ")),ISNUMBER(SEARCH("restruk",X578&amp;" ")),ISNUMBER(SEARCH("tempo",X578&amp;" ")),ISNUMBER(SEARCH("larangan",X578&amp;" ")),ISNUMBER(SEARCH("posisi lain",X578&amp;" ")),ISNUMBER(SEARCH("jobdesk",X578&amp;" ")),ISNUMBER(SEARCH("jobdisk",X578&amp;" ")),ISNUMBER(SEARCH("langkah",X578&amp;" ")),ISNUMBER(SEARCH("detail",X578&amp;" ")),ISNUMBER(SEARCH("panduan",X578&amp;" ")),ISNUMBER(SEARCH("lengkap lagi",X578&amp;" ")),ISNUMBER(SEARCH("tips",X578&amp;" "))),"Penambahan Materi &amp; Template",IF(OR(ISNUMBER(SEARCH("simpel",X578&amp;" ")),ISNUMBER(SEARCH("simple",X578&amp;" ")),ISNUMBER(SEARCH("ringkas",X578&amp;" ")),ISNUMBER(SEARCH("monoton",X578&amp;" ")),ISNUMBER(SEARCH("penataan",X578&amp;" "))),"Penyederhanaan Isi",IF(OR(ISNUMBER(SEARCH("menarik",X578&amp;" ")),ISNUMBER(SEARCH("design",X578&amp;" ")),ISNUMBER(SEARCH("desain",X578&amp;" ")),ISNUMBER(SEARCH("tampilan",X578&amp;" ")),ISNUMBER(SEARCH("kaku",X578&amp;" ")),ISNUMBER(SEARCH("user friendly",X578&amp;" "))),"Desain Tampilan",IF(OR(ISNUMBER(SEARCH("update",X578&amp;" ")),ISNUMBER(SEARCH("terbaru",X578&amp;" ")),ISNUMBER(SEARCH("terkini",X578&amp;" ")),ISNUMBER(SEARCH("uptodate",X578&amp;" "))),"Update Informasi Berkala",IF(OR(ISNUMBER(SEARCH("tingkat",X578&amp;" ")),ISNUMBER(SEARCH("kembang",X578&amp;" ")),ISNUMBER(SEARCH("inovasi",X578&amp;" ")),ISNUMBER(SEARCH("maintenance",X578&amp;" "))),"Saran Umum Peningkatan",IF(OR(ISNUMBER(SEARCH("tidak",X578&amp;" ")),ISNUMBER(SEARCH("tdk",X578&amp;" ")),ISNUMBER(SEARCH("sudah",X578&amp;" ")),ISNUMBER(SEARCH("sdh",X578&amp;" ")),ISNUMBER(SEARCH("cukup",X578&amp;" ")),ISNUMBER(SEARCH("baik",X578&amp;" ")),ISNUMBER(SEARCH("bagus",X578&amp;" ")),ISNUMBER(SEARCH("ok",X578&amp;" ")),ISNUMBER(SEARCH("good",X578&amp;" ")),ISNUMBER(SEARCH("aman",X578&amp;" ")),ISNUMBER(SEARCH("lanjut",X578&amp;" ")),ISNUMBER(SEARCH("mantap",X578&amp;" ")),ISNUMBER(SEARCH("josjis",X578&amp;" ")),ISNUMBER(SEARCH("lumayan",X578&amp;" ")),ISNUMBER(SEARCH("mudah",X578&amp;" ")),ISNUMBER(SEARCH("belum",X578&amp;" ")),ISNUMBER(SEARCH("membantu",X578&amp;" ")),ISNUMBER(SEARCH("comment",X578&amp;" ")),ISNUMBER(SEARCH("lengkap",X578&amp;" ")),ISNUMBER(SEARCH("tercakup",X578&amp;" ")),ISNUMBER(SEARCH("mencakup",X578&amp;" ")),ISNUMBER(SEARCH("semua",X578&amp;" ")),ISNUMBER(SEARCH("penting",X578&amp;" ")),ISNUMBER(SEARCH("terangkum",X578&amp;" ")),ISNUMBER(SEARCH("pas",X578&amp;" ")),ISNUMBER(SEARCH("berjalan",X578&amp;" ")),ISNUMBER(SEARCH("sesuai",X578&amp;" "))),"Tidak ada masukan / sudah baik","Lainnya (perlu dibaca manual)"))))))))))))))</f>
        <v/>
      </c>
      <c r="AC578" s="8"/>
      <c r="AD578" s="8"/>
      <c r="AE578" s="8"/>
      <c r="AK578" s="5" t="str">
        <f t="shared" ref="AK578:AK641" si="202">IF($A578="","",IF(OR($Z578="Kecepatan &amp; Loading Website",$AB578="Kecepatan Akses Website",AND($AA578="Bukan Terkait SOP (Tampilan / Akses)",OR(ISNUMBER(SEARCH("lemot",$W578)),ISNUMBER(SEARCH("loading",$W578)),ISNUMBER(SEARCH("lambat",$W578))))),1,0))</f>
        <v/>
      </c>
      <c r="AL578" s="5" t="str">
        <f t="shared" ref="AL578:AL641" si="203">IF($A578="","",IF(OR($Z578="Tampilan di HP (Responsif)"),1,0))</f>
        <v/>
      </c>
      <c r="AM578" s="5" t="str">
        <f t="shared" ref="AM578:AM641" si="204">IF($A578="","",IF(OR($Z578="Desain, Warna &amp; Font",$AB578="Desain Tampilan",AND($AA578="Bukan Terkait SOP (Tampilan / Akses)",NOT(OR(ISNUMBER(SEARCH("lemot",$W578)),ISNUMBER(SEARCH("loading",$W578)),ISNUMBER(SEARCH("lambat",$W578)))))),1,0))</f>
        <v/>
      </c>
      <c r="AN578" s="5" t="str">
        <f t="shared" ref="AN578:AN641" si="205">IF($A578="","",IF(OR($Z578="Menu per Jabatan / Navigasi"),1,0))</f>
        <v/>
      </c>
      <c r="AO578" s="5" t="str">
        <f t="shared" ref="AO578:AO641" si="206">IF($A578="","",IF(OR($Z578="Integrasi dengan SACS / Aplikasi",$AB578="Integrasi ke SACS / Aplikasi Kerja"),1,0))</f>
        <v/>
      </c>
      <c r="AP578" s="5" t="str">
        <f t="shared" ref="AP578:AP641" si="207">IF($A578="","",IF(OR($AB578="Fitur Baru (Dashboard / KPI / Database)"),1,0))</f>
        <v/>
      </c>
      <c r="AQ578" s="5" t="str">
        <f t="shared" ref="AQ578:AQ641" si="208">IF($A578="","",IF(OR($Z578="Penyederhanaan &amp; Ringkas Isi",$AB578="Penyederhanaan Isi"),1,0))</f>
        <v/>
      </c>
      <c r="AR578" s="5" t="str">
        <f t="shared" ref="AR578:AR641" si="209">IF($A578="","",IF(OR($Z578="Penambahan Isi / Penjelasan",$AB578="Penambahan Materi &amp; Template"),1,0))</f>
        <v/>
      </c>
      <c r="AS578" s="5" t="str">
        <f t="shared" ref="AS578:AS641" si="210">IF($A578="","",IF(OR($Z578="Tambah Video / Bagan",$AB578="Tambah Video / Gambar / Flowchart"),1,0))</f>
        <v/>
      </c>
      <c r="AT578" s="5" t="str">
        <f t="shared" ref="AT578:AT641" si="211">IF($A578="","",IF(OR($Z578="Kontak &amp; Informasi PIC",$AA578="Kontak PIC &amp; Eskalasi",$AB578="Struktur Organisasi, PIC &amp; Tim"),1,0))</f>
        <v/>
      </c>
      <c r="AU578" s="5" t="str">
        <f t="shared" ref="AU578:AU641" si="212">IF($A578="","",IF(OR($AA578="Pembaruan &amp; Notifikasi SOP",$AB578="Update Informasi Berkala"),1,0))</f>
        <v/>
      </c>
      <c r="AV578" s="5" t="str">
        <f t="shared" ref="AV578:AV641" si="213">IF($A578="","",IF(OR($AA578="Sanksi &amp; Pelanggaran SOP"),1,0))</f>
        <v/>
      </c>
      <c r="AW578" s="5" t="str">
        <f t="shared" ref="AW578:AW641" si="214">IF($A578="","",IF(OR($AA578="Piutang &amp; Pelanggan Bermasalah"),1,0))</f>
        <v/>
      </c>
      <c r="AX578" s="5" t="str">
        <f t="shared" ref="AX578:AX641" si="215">IF($A578="","",IF(OR($AA578="Pengiriman, Retur &amp; Logistik"),1,0))</f>
        <v/>
      </c>
      <c r="AY578" s="5" t="str">
        <f t="shared" ref="AY578:AY641" si="216">IF($A578="","",IF(OR($AA578="Panduan Laporan &amp; Alur Kerja"),1,0))</f>
        <v/>
      </c>
      <c r="AZ578" s="5" t="str">
        <f t="shared" ref="AZ578:AZ641" si="217">IF($A578="","",IF(OR($Z578="Saran Umum Peningkatan",$AB578="Saran Umum Peningkatan"),1,0))</f>
        <v/>
      </c>
      <c r="BA578" s="5" t="str">
        <f t="shared" ref="BA578:BA641" si="218">IF($A578="","",IF(OR($Z578="Lainnya (perlu dibaca manual)",$AA578="Lainnya (perlu dibaca manual)",$AB578="Lainnya (perlu dibaca manual)"),1,0))</f>
        <v/>
      </c>
      <c r="BB578" s="5" t="str">
        <f t="shared" ref="BB578:BB641" si="219">IF($A578="","",IF(AND($Z578="Tidak ada masukan / sudah baik",$AA578="Tidak ada masukan / sudah baik",$AB578="Tidak ada masukan / sudah baik"),0,1))</f>
        <v/>
      </c>
    </row>
    <row r="579" spans="1:54" s="5" customFormat="1" hidden="1">
      <c r="A579" s="8" t="str">
        <f>IF(INDEX(FORM!$A:$A,ROW())="","",ROW()-1)</f>
        <v/>
      </c>
      <c r="B579" s="41" t="str">
        <f>IF($A579="","",INDEX(FORM!$A:$A,ROW()))</f>
        <v/>
      </c>
      <c r="C579" s="8" t="str">
        <f>IF($A579="","",TRIM(INDEX(FORM!$B:$B,ROW())))</f>
        <v/>
      </c>
      <c r="D579" s="8" t="str">
        <f>IF($A579="","",TRIM(INDEX(FORM!$C:$C,ROW())&amp;""))</f>
        <v/>
      </c>
      <c r="E579" s="8" t="str">
        <f>IF($A579="","",UPPER(TRIM(INDEX(FORM!$D:$D,ROW()))))</f>
        <v/>
      </c>
      <c r="F579" s="8" t="str">
        <f>IF($A579="","",IFERROR(INDEX(PROGRES!$A$2:$A$92,MATCH(E579,PROGRES!$B$2:$B$92,0)),"-"))</f>
        <v/>
      </c>
      <c r="G579" s="8" t="str">
        <f>IF($A579="","",UPPER(TRIM(INDEX(FORM!$F:$F,ROW()))))</f>
        <v/>
      </c>
      <c r="H579" s="8" t="str">
        <f>IF($A579="","",UPPER(TRIM(INDEX(FORM!$E:$E,ROW()))))</f>
        <v/>
      </c>
      <c r="I579" s="8" t="str">
        <f>IF($A579="","",UPPER(TRIM(INDEX(FORM!$G:$G,ROW()))))</f>
        <v/>
      </c>
      <c r="J579" s="8" t="str">
        <f>IF($A579="","",IF(ISNUMBER(SEARCH("Ya,",INDEX(FORM!$H:$H,ROW()))),"YA",IF(ISNUMBER(SEARCH("Cukup,",INDEX(FORM!$H:$H,ROW()))),"CUKUP",IF(ISNUMBER(SEARCH("Kurang,",INDEX(FORM!$H:$H,ROW()))),"KURANG",""))))</f>
        <v/>
      </c>
      <c r="K579" s="8" t="str">
        <f>IF($A579="","",UPPER(TRIM(INDEX(FORM!$J:$J,ROW()))))</f>
        <v/>
      </c>
      <c r="L579" s="8" t="str">
        <f>IF($A579="","",IF(ISNUMBER(SEARCH("Aktivitas Harian",INDEX(FORM!$K:$K,ROW()))),1,0))</f>
        <v/>
      </c>
      <c r="M579" s="8" t="str">
        <f>IF($A579="","",IF(ISNUMBER(SEARCH("Aktivitas Mingguan",INDEX(FORM!$K:$K,ROW()))),1,0))</f>
        <v/>
      </c>
      <c r="N579" s="8" t="str">
        <f>IF($A579="","",IF(ISNUMBER(SEARCH("Aktivitas Bulanan",INDEX(FORM!$K:$K,ROW()))),1,0))</f>
        <v/>
      </c>
      <c r="O579" s="8" t="str">
        <f>IF($A579="","",IF(ISNUMBER(SEARCH("Overview Cabang",INDEX(FORM!$K:$K,ROW()))),1,0))</f>
        <v/>
      </c>
      <c r="P579" s="8" t="str">
        <f>IF($A579="","",IFERROR(VLOOKUP(I579,DATA!$AH$9:$AI$13,2,0),""))</f>
        <v/>
      </c>
      <c r="Q579" s="8" t="str">
        <f>IF($A579="","",IFERROR(VLOOKUP(J579,DATA!$AH$9:$AI$13,2,0),""))</f>
        <v/>
      </c>
      <c r="R579" s="8" t="str">
        <f>IF($A579="","",IFERROR(VLOOKUP(K579,DATA!$AH$9:$AI$13,2,0),""))</f>
        <v/>
      </c>
      <c r="S579" s="42" t="str">
        <f t="shared" si="198"/>
        <v/>
      </c>
      <c r="T579" s="8" t="str">
        <f>IF($A579="","",IF(COUNTIF($D$2:D579,D579)=1,1,0))</f>
        <v/>
      </c>
      <c r="U579" s="8" t="str">
        <f>IF($A579="","",IF(F579="-","Cabang tdk ada",IF(IFERROR(VLOOKUP(G579,#REF!,1,0),"")="","",IF(INDEX(DATA!$AH$2:$AH$5,MATCH(G579,DATA!$AI$2:$AI$5,0))&lt;&gt;F579,"Wilayah beda","OK"))))</f>
        <v/>
      </c>
      <c r="V579" s="8" t="str">
        <f>IF($A579="","",TRIM(INDEX(FORM!$I:$I,ROW())&amp;""))</f>
        <v/>
      </c>
      <c r="W579" s="8" t="str">
        <f>IF($A579="","",TRIM(INDEX(FORM!$L:$L,ROW())&amp;""))</f>
        <v/>
      </c>
      <c r="X579" s="8" t="str">
        <f>IF($A579="","",TRIM(INDEX(FORM!$M:$M,ROW())&amp;""))</f>
        <v/>
      </c>
      <c r="Y579" s="8" t="str">
        <f>IF($A579="","",IFERROR(MATCH(F579,DATA!$AH$2:$AH$5,0),9)*10000+A579)</f>
        <v/>
      </c>
      <c r="Z579" s="8" t="str">
        <f t="shared" si="199"/>
        <v/>
      </c>
      <c r="AA579" s="8" t="str">
        <f t="shared" si="200"/>
        <v/>
      </c>
      <c r="AB579" s="8" t="str">
        <f t="shared" si="201"/>
        <v/>
      </c>
      <c r="AC579" s="8"/>
      <c r="AD579" s="8"/>
      <c r="AE579" s="8"/>
      <c r="AK579" s="5" t="str">
        <f t="shared" si="202"/>
        <v/>
      </c>
      <c r="AL579" s="5" t="str">
        <f t="shared" si="203"/>
        <v/>
      </c>
      <c r="AM579" s="5" t="str">
        <f t="shared" si="204"/>
        <v/>
      </c>
      <c r="AN579" s="5" t="str">
        <f t="shared" si="205"/>
        <v/>
      </c>
      <c r="AO579" s="5" t="str">
        <f t="shared" si="206"/>
        <v/>
      </c>
      <c r="AP579" s="5" t="str">
        <f t="shared" si="207"/>
        <v/>
      </c>
      <c r="AQ579" s="5" t="str">
        <f t="shared" si="208"/>
        <v/>
      </c>
      <c r="AR579" s="5" t="str">
        <f t="shared" si="209"/>
        <v/>
      </c>
      <c r="AS579" s="5" t="str">
        <f t="shared" si="210"/>
        <v/>
      </c>
      <c r="AT579" s="5" t="str">
        <f t="shared" si="211"/>
        <v/>
      </c>
      <c r="AU579" s="5" t="str">
        <f t="shared" si="212"/>
        <v/>
      </c>
      <c r="AV579" s="5" t="str">
        <f t="shared" si="213"/>
        <v/>
      </c>
      <c r="AW579" s="5" t="str">
        <f t="shared" si="214"/>
        <v/>
      </c>
      <c r="AX579" s="5" t="str">
        <f t="shared" si="215"/>
        <v/>
      </c>
      <c r="AY579" s="5" t="str">
        <f t="shared" si="216"/>
        <v/>
      </c>
      <c r="AZ579" s="5" t="str">
        <f t="shared" si="217"/>
        <v/>
      </c>
      <c r="BA579" s="5" t="str">
        <f t="shared" si="218"/>
        <v/>
      </c>
      <c r="BB579" s="5" t="str">
        <f t="shared" si="219"/>
        <v/>
      </c>
    </row>
    <row r="580" spans="1:54" s="5" customFormat="1" hidden="1">
      <c r="A580" s="8" t="str">
        <f>IF(INDEX(FORM!$A:$A,ROW())="","",ROW()-1)</f>
        <v/>
      </c>
      <c r="B580" s="41" t="str">
        <f>IF($A580="","",INDEX(FORM!$A:$A,ROW()))</f>
        <v/>
      </c>
      <c r="C580" s="8" t="str">
        <f>IF($A580="","",TRIM(INDEX(FORM!$B:$B,ROW())))</f>
        <v/>
      </c>
      <c r="D580" s="8" t="str">
        <f>IF($A580="","",TRIM(INDEX(FORM!$C:$C,ROW())&amp;""))</f>
        <v/>
      </c>
      <c r="E580" s="8" t="str">
        <f>IF($A580="","",UPPER(TRIM(INDEX(FORM!$D:$D,ROW()))))</f>
        <v/>
      </c>
      <c r="F580" s="8" t="str">
        <f>IF($A580="","",IFERROR(INDEX(PROGRES!$A$2:$A$92,MATCH(E580,PROGRES!$B$2:$B$92,0)),"-"))</f>
        <v/>
      </c>
      <c r="G580" s="8" t="str">
        <f>IF($A580="","",UPPER(TRIM(INDEX(FORM!$F:$F,ROW()))))</f>
        <v/>
      </c>
      <c r="H580" s="8" t="str">
        <f>IF($A580="","",UPPER(TRIM(INDEX(FORM!$E:$E,ROW()))))</f>
        <v/>
      </c>
      <c r="I580" s="8" t="str">
        <f>IF($A580="","",UPPER(TRIM(INDEX(FORM!$G:$G,ROW()))))</f>
        <v/>
      </c>
      <c r="J580" s="8" t="str">
        <f>IF($A580="","",IF(ISNUMBER(SEARCH("Ya,",INDEX(FORM!$H:$H,ROW()))),"YA",IF(ISNUMBER(SEARCH("Cukup,",INDEX(FORM!$H:$H,ROW()))),"CUKUP",IF(ISNUMBER(SEARCH("Kurang,",INDEX(FORM!$H:$H,ROW()))),"KURANG",""))))</f>
        <v/>
      </c>
      <c r="K580" s="8" t="str">
        <f>IF($A580="","",UPPER(TRIM(INDEX(FORM!$J:$J,ROW()))))</f>
        <v/>
      </c>
      <c r="L580" s="8" t="str">
        <f>IF($A580="","",IF(ISNUMBER(SEARCH("Aktivitas Harian",INDEX(FORM!$K:$K,ROW()))),1,0))</f>
        <v/>
      </c>
      <c r="M580" s="8" t="str">
        <f>IF($A580="","",IF(ISNUMBER(SEARCH("Aktivitas Mingguan",INDEX(FORM!$K:$K,ROW()))),1,0))</f>
        <v/>
      </c>
      <c r="N580" s="8" t="str">
        <f>IF($A580="","",IF(ISNUMBER(SEARCH("Aktivitas Bulanan",INDEX(FORM!$K:$K,ROW()))),1,0))</f>
        <v/>
      </c>
      <c r="O580" s="8" t="str">
        <f>IF($A580="","",IF(ISNUMBER(SEARCH("Overview Cabang",INDEX(FORM!$K:$K,ROW()))),1,0))</f>
        <v/>
      </c>
      <c r="P580" s="8" t="str">
        <f>IF($A580="","",IFERROR(VLOOKUP(I580,DATA!$AH$9:$AI$13,2,0),""))</f>
        <v/>
      </c>
      <c r="Q580" s="8" t="str">
        <f>IF($A580="","",IFERROR(VLOOKUP(J580,DATA!$AH$9:$AI$13,2,0),""))</f>
        <v/>
      </c>
      <c r="R580" s="8" t="str">
        <f>IF($A580="","",IFERROR(VLOOKUP(K580,DATA!$AH$9:$AI$13,2,0),""))</f>
        <v/>
      </c>
      <c r="S580" s="42" t="str">
        <f t="shared" si="198"/>
        <v/>
      </c>
      <c r="T580" s="8" t="str">
        <f>IF($A580="","",IF(COUNTIF($D$2:D580,D580)=1,1,0))</f>
        <v/>
      </c>
      <c r="U580" s="8" t="str">
        <f>IF($A580="","",IF(F580="-","Cabang tdk ada",IF(IFERROR(VLOOKUP(G580,#REF!,1,0),"")="","",IF(INDEX(DATA!$AH$2:$AH$5,MATCH(G580,DATA!$AI$2:$AI$5,0))&lt;&gt;F580,"Wilayah beda","OK"))))</f>
        <v/>
      </c>
      <c r="V580" s="8" t="str">
        <f>IF($A580="","",TRIM(INDEX(FORM!$I:$I,ROW())&amp;""))</f>
        <v/>
      </c>
      <c r="W580" s="8" t="str">
        <f>IF($A580="","",TRIM(INDEX(FORM!$L:$L,ROW())&amp;""))</f>
        <v/>
      </c>
      <c r="X580" s="8" t="str">
        <f>IF($A580="","",TRIM(INDEX(FORM!$M:$M,ROW())&amp;""))</f>
        <v/>
      </c>
      <c r="Y580" s="8" t="str">
        <f>IF($A580="","",IFERROR(MATCH(F580,DATA!$AH$2:$AH$5,0),9)*10000+A580)</f>
        <v/>
      </c>
      <c r="Z580" s="8" t="str">
        <f t="shared" si="199"/>
        <v/>
      </c>
      <c r="AA580" s="8" t="str">
        <f t="shared" si="200"/>
        <v/>
      </c>
      <c r="AB580" s="8" t="str">
        <f t="shared" si="201"/>
        <v/>
      </c>
      <c r="AC580" s="8"/>
      <c r="AD580" s="8"/>
      <c r="AE580" s="8"/>
      <c r="AK580" s="5" t="str">
        <f t="shared" si="202"/>
        <v/>
      </c>
      <c r="AL580" s="5" t="str">
        <f t="shared" si="203"/>
        <v/>
      </c>
      <c r="AM580" s="5" t="str">
        <f t="shared" si="204"/>
        <v/>
      </c>
      <c r="AN580" s="5" t="str">
        <f t="shared" si="205"/>
        <v/>
      </c>
      <c r="AO580" s="5" t="str">
        <f t="shared" si="206"/>
        <v/>
      </c>
      <c r="AP580" s="5" t="str">
        <f t="shared" si="207"/>
        <v/>
      </c>
      <c r="AQ580" s="5" t="str">
        <f t="shared" si="208"/>
        <v/>
      </c>
      <c r="AR580" s="5" t="str">
        <f t="shared" si="209"/>
        <v/>
      </c>
      <c r="AS580" s="5" t="str">
        <f t="shared" si="210"/>
        <v/>
      </c>
      <c r="AT580" s="5" t="str">
        <f t="shared" si="211"/>
        <v/>
      </c>
      <c r="AU580" s="5" t="str">
        <f t="shared" si="212"/>
        <v/>
      </c>
      <c r="AV580" s="5" t="str">
        <f t="shared" si="213"/>
        <v/>
      </c>
      <c r="AW580" s="5" t="str">
        <f t="shared" si="214"/>
        <v/>
      </c>
      <c r="AX580" s="5" t="str">
        <f t="shared" si="215"/>
        <v/>
      </c>
      <c r="AY580" s="5" t="str">
        <f t="shared" si="216"/>
        <v/>
      </c>
      <c r="AZ580" s="5" t="str">
        <f t="shared" si="217"/>
        <v/>
      </c>
      <c r="BA580" s="5" t="str">
        <f t="shared" si="218"/>
        <v/>
      </c>
      <c r="BB580" s="5" t="str">
        <f t="shared" si="219"/>
        <v/>
      </c>
    </row>
    <row r="581" spans="1:54" s="5" customFormat="1" hidden="1">
      <c r="A581" s="8" t="str">
        <f>IF(INDEX(FORM!$A:$A,ROW())="","",ROW()-1)</f>
        <v/>
      </c>
      <c r="B581" s="41" t="str">
        <f>IF($A581="","",INDEX(FORM!$A:$A,ROW()))</f>
        <v/>
      </c>
      <c r="C581" s="8" t="str">
        <f>IF($A581="","",TRIM(INDEX(FORM!$B:$B,ROW())))</f>
        <v/>
      </c>
      <c r="D581" s="8" t="str">
        <f>IF($A581="","",TRIM(INDEX(FORM!$C:$C,ROW())&amp;""))</f>
        <v/>
      </c>
      <c r="E581" s="8" t="str">
        <f>IF($A581="","",UPPER(TRIM(INDEX(FORM!$D:$D,ROW()))))</f>
        <v/>
      </c>
      <c r="F581" s="8" t="str">
        <f>IF($A581="","",IFERROR(INDEX(PROGRES!$A$2:$A$92,MATCH(E581,PROGRES!$B$2:$B$92,0)),"-"))</f>
        <v/>
      </c>
      <c r="G581" s="8" t="str">
        <f>IF($A581="","",UPPER(TRIM(INDEX(FORM!$F:$F,ROW()))))</f>
        <v/>
      </c>
      <c r="H581" s="8" t="str">
        <f>IF($A581="","",UPPER(TRIM(INDEX(FORM!$E:$E,ROW()))))</f>
        <v/>
      </c>
      <c r="I581" s="8" t="str">
        <f>IF($A581="","",UPPER(TRIM(INDEX(FORM!$G:$G,ROW()))))</f>
        <v/>
      </c>
      <c r="J581" s="8" t="str">
        <f>IF($A581="","",IF(ISNUMBER(SEARCH("Ya,",INDEX(FORM!$H:$H,ROW()))),"YA",IF(ISNUMBER(SEARCH("Cukup,",INDEX(FORM!$H:$H,ROW()))),"CUKUP",IF(ISNUMBER(SEARCH("Kurang,",INDEX(FORM!$H:$H,ROW()))),"KURANG",""))))</f>
        <v/>
      </c>
      <c r="K581" s="8" t="str">
        <f>IF($A581="","",UPPER(TRIM(INDEX(FORM!$J:$J,ROW()))))</f>
        <v/>
      </c>
      <c r="L581" s="8" t="str">
        <f>IF($A581="","",IF(ISNUMBER(SEARCH("Aktivitas Harian",INDEX(FORM!$K:$K,ROW()))),1,0))</f>
        <v/>
      </c>
      <c r="M581" s="8" t="str">
        <f>IF($A581="","",IF(ISNUMBER(SEARCH("Aktivitas Mingguan",INDEX(FORM!$K:$K,ROW()))),1,0))</f>
        <v/>
      </c>
      <c r="N581" s="8" t="str">
        <f>IF($A581="","",IF(ISNUMBER(SEARCH("Aktivitas Bulanan",INDEX(FORM!$K:$K,ROW()))),1,0))</f>
        <v/>
      </c>
      <c r="O581" s="8" t="str">
        <f>IF($A581="","",IF(ISNUMBER(SEARCH("Overview Cabang",INDEX(FORM!$K:$K,ROW()))),1,0))</f>
        <v/>
      </c>
      <c r="P581" s="8" t="str">
        <f>IF($A581="","",IFERROR(VLOOKUP(I581,DATA!$AH$9:$AI$13,2,0),""))</f>
        <v/>
      </c>
      <c r="Q581" s="8" t="str">
        <f>IF($A581="","",IFERROR(VLOOKUP(J581,DATA!$AH$9:$AI$13,2,0),""))</f>
        <v/>
      </c>
      <c r="R581" s="8" t="str">
        <f>IF($A581="","",IFERROR(VLOOKUP(K581,DATA!$AH$9:$AI$13,2,0),""))</f>
        <v/>
      </c>
      <c r="S581" s="42" t="str">
        <f t="shared" si="198"/>
        <v/>
      </c>
      <c r="T581" s="8" t="str">
        <f>IF($A581="","",IF(COUNTIF($D$2:D581,D581)=1,1,0))</f>
        <v/>
      </c>
      <c r="U581" s="8" t="str">
        <f>IF($A581="","",IF(F581="-","Cabang tdk ada",IF(IFERROR(VLOOKUP(G581,#REF!,1,0),"")="","",IF(INDEX(DATA!$AH$2:$AH$5,MATCH(G581,DATA!$AI$2:$AI$5,0))&lt;&gt;F581,"Wilayah beda","OK"))))</f>
        <v/>
      </c>
      <c r="V581" s="8" t="str">
        <f>IF($A581="","",TRIM(INDEX(FORM!$I:$I,ROW())&amp;""))</f>
        <v/>
      </c>
      <c r="W581" s="8" t="str">
        <f>IF($A581="","",TRIM(INDEX(FORM!$L:$L,ROW())&amp;""))</f>
        <v/>
      </c>
      <c r="X581" s="8" t="str">
        <f>IF($A581="","",TRIM(INDEX(FORM!$M:$M,ROW())&amp;""))</f>
        <v/>
      </c>
      <c r="Y581" s="8" t="str">
        <f>IF($A581="","",IFERROR(MATCH(F581,DATA!$AH$2:$AH$5,0),9)*10000+A581)</f>
        <v/>
      </c>
      <c r="Z581" s="8" t="str">
        <f t="shared" si="199"/>
        <v/>
      </c>
      <c r="AA581" s="8" t="str">
        <f t="shared" si="200"/>
        <v/>
      </c>
      <c r="AB581" s="8" t="str">
        <f t="shared" si="201"/>
        <v/>
      </c>
      <c r="AC581" s="8"/>
      <c r="AD581" s="8"/>
      <c r="AE581" s="8"/>
      <c r="AK581" s="5" t="str">
        <f t="shared" si="202"/>
        <v/>
      </c>
      <c r="AL581" s="5" t="str">
        <f t="shared" si="203"/>
        <v/>
      </c>
      <c r="AM581" s="5" t="str">
        <f t="shared" si="204"/>
        <v/>
      </c>
      <c r="AN581" s="5" t="str">
        <f t="shared" si="205"/>
        <v/>
      </c>
      <c r="AO581" s="5" t="str">
        <f t="shared" si="206"/>
        <v/>
      </c>
      <c r="AP581" s="5" t="str">
        <f t="shared" si="207"/>
        <v/>
      </c>
      <c r="AQ581" s="5" t="str">
        <f t="shared" si="208"/>
        <v/>
      </c>
      <c r="AR581" s="5" t="str">
        <f t="shared" si="209"/>
        <v/>
      </c>
      <c r="AS581" s="5" t="str">
        <f t="shared" si="210"/>
        <v/>
      </c>
      <c r="AT581" s="5" t="str">
        <f t="shared" si="211"/>
        <v/>
      </c>
      <c r="AU581" s="5" t="str">
        <f t="shared" si="212"/>
        <v/>
      </c>
      <c r="AV581" s="5" t="str">
        <f t="shared" si="213"/>
        <v/>
      </c>
      <c r="AW581" s="5" t="str">
        <f t="shared" si="214"/>
        <v/>
      </c>
      <c r="AX581" s="5" t="str">
        <f t="shared" si="215"/>
        <v/>
      </c>
      <c r="AY581" s="5" t="str">
        <f t="shared" si="216"/>
        <v/>
      </c>
      <c r="AZ581" s="5" t="str">
        <f t="shared" si="217"/>
        <v/>
      </c>
      <c r="BA581" s="5" t="str">
        <f t="shared" si="218"/>
        <v/>
      </c>
      <c r="BB581" s="5" t="str">
        <f t="shared" si="219"/>
        <v/>
      </c>
    </row>
    <row r="582" spans="1:54" s="5" customFormat="1" hidden="1">
      <c r="A582" s="8" t="str">
        <f>IF(INDEX(FORM!$A:$A,ROW())="","",ROW()-1)</f>
        <v/>
      </c>
      <c r="B582" s="41" t="str">
        <f>IF($A582="","",INDEX(FORM!$A:$A,ROW()))</f>
        <v/>
      </c>
      <c r="C582" s="8" t="str">
        <f>IF($A582="","",TRIM(INDEX(FORM!$B:$B,ROW())))</f>
        <v/>
      </c>
      <c r="D582" s="8" t="str">
        <f>IF($A582="","",TRIM(INDEX(FORM!$C:$C,ROW())&amp;""))</f>
        <v/>
      </c>
      <c r="E582" s="8" t="str">
        <f>IF($A582="","",UPPER(TRIM(INDEX(FORM!$D:$D,ROW()))))</f>
        <v/>
      </c>
      <c r="F582" s="8" t="str">
        <f>IF($A582="","",IFERROR(INDEX(PROGRES!$A$2:$A$92,MATCH(E582,PROGRES!$B$2:$B$92,0)),"-"))</f>
        <v/>
      </c>
      <c r="G582" s="8" t="str">
        <f>IF($A582="","",UPPER(TRIM(INDEX(FORM!$F:$F,ROW()))))</f>
        <v/>
      </c>
      <c r="H582" s="8" t="str">
        <f>IF($A582="","",UPPER(TRIM(INDEX(FORM!$E:$E,ROW()))))</f>
        <v/>
      </c>
      <c r="I582" s="8" t="str">
        <f>IF($A582="","",UPPER(TRIM(INDEX(FORM!$G:$G,ROW()))))</f>
        <v/>
      </c>
      <c r="J582" s="8" t="str">
        <f>IF($A582="","",IF(ISNUMBER(SEARCH("Ya,",INDEX(FORM!$H:$H,ROW()))),"YA",IF(ISNUMBER(SEARCH("Cukup,",INDEX(FORM!$H:$H,ROW()))),"CUKUP",IF(ISNUMBER(SEARCH("Kurang,",INDEX(FORM!$H:$H,ROW()))),"KURANG",""))))</f>
        <v/>
      </c>
      <c r="K582" s="8" t="str">
        <f>IF($A582="","",UPPER(TRIM(INDEX(FORM!$J:$J,ROW()))))</f>
        <v/>
      </c>
      <c r="L582" s="8" t="str">
        <f>IF($A582="","",IF(ISNUMBER(SEARCH("Aktivitas Harian",INDEX(FORM!$K:$K,ROW()))),1,0))</f>
        <v/>
      </c>
      <c r="M582" s="8" t="str">
        <f>IF($A582="","",IF(ISNUMBER(SEARCH("Aktivitas Mingguan",INDEX(FORM!$K:$K,ROW()))),1,0))</f>
        <v/>
      </c>
      <c r="N582" s="8" t="str">
        <f>IF($A582="","",IF(ISNUMBER(SEARCH("Aktivitas Bulanan",INDEX(FORM!$K:$K,ROW()))),1,0))</f>
        <v/>
      </c>
      <c r="O582" s="8" t="str">
        <f>IF($A582="","",IF(ISNUMBER(SEARCH("Overview Cabang",INDEX(FORM!$K:$K,ROW()))),1,0))</f>
        <v/>
      </c>
      <c r="P582" s="8" t="str">
        <f>IF($A582="","",IFERROR(VLOOKUP(I582,DATA!$AH$9:$AI$13,2,0),""))</f>
        <v/>
      </c>
      <c r="Q582" s="8" t="str">
        <f>IF($A582="","",IFERROR(VLOOKUP(J582,DATA!$AH$9:$AI$13,2,0),""))</f>
        <v/>
      </c>
      <c r="R582" s="8" t="str">
        <f>IF($A582="","",IFERROR(VLOOKUP(K582,DATA!$AH$9:$AI$13,2,0),""))</f>
        <v/>
      </c>
      <c r="S582" s="42" t="str">
        <f t="shared" si="198"/>
        <v/>
      </c>
      <c r="T582" s="8" t="str">
        <f>IF($A582="","",IF(COUNTIF($D$2:D582,D582)=1,1,0))</f>
        <v/>
      </c>
      <c r="U582" s="8" t="str">
        <f>IF($A582="","",IF(F582="-","Cabang tdk ada",IF(IFERROR(VLOOKUP(G582,#REF!,1,0),"")="","",IF(INDEX(DATA!$AH$2:$AH$5,MATCH(G582,DATA!$AI$2:$AI$5,0))&lt;&gt;F582,"Wilayah beda","OK"))))</f>
        <v/>
      </c>
      <c r="V582" s="8" t="str">
        <f>IF($A582="","",TRIM(INDEX(FORM!$I:$I,ROW())&amp;""))</f>
        <v/>
      </c>
      <c r="W582" s="8" t="str">
        <f>IF($A582="","",TRIM(INDEX(FORM!$L:$L,ROW())&amp;""))</f>
        <v/>
      </c>
      <c r="X582" s="8" t="str">
        <f>IF($A582="","",TRIM(INDEX(FORM!$M:$M,ROW())&amp;""))</f>
        <v/>
      </c>
      <c r="Y582" s="8" t="str">
        <f>IF($A582="","",IFERROR(MATCH(F582,DATA!$AH$2:$AH$5,0),9)*10000+A582)</f>
        <v/>
      </c>
      <c r="Z582" s="8" t="str">
        <f t="shared" si="199"/>
        <v/>
      </c>
      <c r="AA582" s="8" t="str">
        <f t="shared" si="200"/>
        <v/>
      </c>
      <c r="AB582" s="8" t="str">
        <f t="shared" si="201"/>
        <v/>
      </c>
      <c r="AC582" s="8"/>
      <c r="AD582" s="8"/>
      <c r="AE582" s="8"/>
      <c r="AK582" s="5" t="str">
        <f t="shared" si="202"/>
        <v/>
      </c>
      <c r="AL582" s="5" t="str">
        <f t="shared" si="203"/>
        <v/>
      </c>
      <c r="AM582" s="5" t="str">
        <f t="shared" si="204"/>
        <v/>
      </c>
      <c r="AN582" s="5" t="str">
        <f t="shared" si="205"/>
        <v/>
      </c>
      <c r="AO582" s="5" t="str">
        <f t="shared" si="206"/>
        <v/>
      </c>
      <c r="AP582" s="5" t="str">
        <f t="shared" si="207"/>
        <v/>
      </c>
      <c r="AQ582" s="5" t="str">
        <f t="shared" si="208"/>
        <v/>
      </c>
      <c r="AR582" s="5" t="str">
        <f t="shared" si="209"/>
        <v/>
      </c>
      <c r="AS582" s="5" t="str">
        <f t="shared" si="210"/>
        <v/>
      </c>
      <c r="AT582" s="5" t="str">
        <f t="shared" si="211"/>
        <v/>
      </c>
      <c r="AU582" s="5" t="str">
        <f t="shared" si="212"/>
        <v/>
      </c>
      <c r="AV582" s="5" t="str">
        <f t="shared" si="213"/>
        <v/>
      </c>
      <c r="AW582" s="5" t="str">
        <f t="shared" si="214"/>
        <v/>
      </c>
      <c r="AX582" s="5" t="str">
        <f t="shared" si="215"/>
        <v/>
      </c>
      <c r="AY582" s="5" t="str">
        <f t="shared" si="216"/>
        <v/>
      </c>
      <c r="AZ582" s="5" t="str">
        <f t="shared" si="217"/>
        <v/>
      </c>
      <c r="BA582" s="5" t="str">
        <f t="shared" si="218"/>
        <v/>
      </c>
      <c r="BB582" s="5" t="str">
        <f t="shared" si="219"/>
        <v/>
      </c>
    </row>
    <row r="583" spans="1:54" s="5" customFormat="1" hidden="1">
      <c r="A583" s="8" t="str">
        <f>IF(INDEX(FORM!$A:$A,ROW())="","",ROW()-1)</f>
        <v/>
      </c>
      <c r="B583" s="41" t="str">
        <f>IF($A583="","",INDEX(FORM!$A:$A,ROW()))</f>
        <v/>
      </c>
      <c r="C583" s="8" t="str">
        <f>IF($A583="","",TRIM(INDEX(FORM!$B:$B,ROW())))</f>
        <v/>
      </c>
      <c r="D583" s="8" t="str">
        <f>IF($A583="","",TRIM(INDEX(FORM!$C:$C,ROW())&amp;""))</f>
        <v/>
      </c>
      <c r="E583" s="8" t="str">
        <f>IF($A583="","",UPPER(TRIM(INDEX(FORM!$D:$D,ROW()))))</f>
        <v/>
      </c>
      <c r="F583" s="8" t="str">
        <f>IF($A583="","",IFERROR(INDEX(PROGRES!$A$2:$A$92,MATCH(E583,PROGRES!$B$2:$B$92,0)),"-"))</f>
        <v/>
      </c>
      <c r="G583" s="8" t="str">
        <f>IF($A583="","",UPPER(TRIM(INDEX(FORM!$F:$F,ROW()))))</f>
        <v/>
      </c>
      <c r="H583" s="8" t="str">
        <f>IF($A583="","",UPPER(TRIM(INDEX(FORM!$E:$E,ROW()))))</f>
        <v/>
      </c>
      <c r="I583" s="8" t="str">
        <f>IF($A583="","",UPPER(TRIM(INDEX(FORM!$G:$G,ROW()))))</f>
        <v/>
      </c>
      <c r="J583" s="8" t="str">
        <f>IF($A583="","",IF(ISNUMBER(SEARCH("Ya,",INDEX(FORM!$H:$H,ROW()))),"YA",IF(ISNUMBER(SEARCH("Cukup,",INDEX(FORM!$H:$H,ROW()))),"CUKUP",IF(ISNUMBER(SEARCH("Kurang,",INDEX(FORM!$H:$H,ROW()))),"KURANG",""))))</f>
        <v/>
      </c>
      <c r="K583" s="8" t="str">
        <f>IF($A583="","",UPPER(TRIM(INDEX(FORM!$J:$J,ROW()))))</f>
        <v/>
      </c>
      <c r="L583" s="8" t="str">
        <f>IF($A583="","",IF(ISNUMBER(SEARCH("Aktivitas Harian",INDEX(FORM!$K:$K,ROW()))),1,0))</f>
        <v/>
      </c>
      <c r="M583" s="8" t="str">
        <f>IF($A583="","",IF(ISNUMBER(SEARCH("Aktivitas Mingguan",INDEX(FORM!$K:$K,ROW()))),1,0))</f>
        <v/>
      </c>
      <c r="N583" s="8" t="str">
        <f>IF($A583="","",IF(ISNUMBER(SEARCH("Aktivitas Bulanan",INDEX(FORM!$K:$K,ROW()))),1,0))</f>
        <v/>
      </c>
      <c r="O583" s="8" t="str">
        <f>IF($A583="","",IF(ISNUMBER(SEARCH("Overview Cabang",INDEX(FORM!$K:$K,ROW()))),1,0))</f>
        <v/>
      </c>
      <c r="P583" s="8" t="str">
        <f>IF($A583="","",IFERROR(VLOOKUP(I583,DATA!$AH$9:$AI$13,2,0),""))</f>
        <v/>
      </c>
      <c r="Q583" s="8" t="str">
        <f>IF($A583="","",IFERROR(VLOOKUP(J583,DATA!$AH$9:$AI$13,2,0),""))</f>
        <v/>
      </c>
      <c r="R583" s="8" t="str">
        <f>IF($A583="","",IFERROR(VLOOKUP(K583,DATA!$AH$9:$AI$13,2,0),""))</f>
        <v/>
      </c>
      <c r="S583" s="42" t="str">
        <f t="shared" si="198"/>
        <v/>
      </c>
      <c r="T583" s="8" t="str">
        <f>IF($A583="","",IF(COUNTIF($D$2:D583,D583)=1,1,0))</f>
        <v/>
      </c>
      <c r="U583" s="8" t="str">
        <f>IF($A583="","",IF(F583="-","Cabang tdk ada",IF(IFERROR(VLOOKUP(G583,#REF!,1,0),"")="","",IF(INDEX(DATA!$AH$2:$AH$5,MATCH(G583,DATA!$AI$2:$AI$5,0))&lt;&gt;F583,"Wilayah beda","OK"))))</f>
        <v/>
      </c>
      <c r="V583" s="8" t="str">
        <f>IF($A583="","",TRIM(INDEX(FORM!$I:$I,ROW())&amp;""))</f>
        <v/>
      </c>
      <c r="W583" s="8" t="str">
        <f>IF($A583="","",TRIM(INDEX(FORM!$L:$L,ROW())&amp;""))</f>
        <v/>
      </c>
      <c r="X583" s="8" t="str">
        <f>IF($A583="","",TRIM(INDEX(FORM!$M:$M,ROW())&amp;""))</f>
        <v/>
      </c>
      <c r="Y583" s="8" t="str">
        <f>IF($A583="","",IFERROR(MATCH(F583,DATA!$AH$2:$AH$5,0),9)*10000+A583)</f>
        <v/>
      </c>
      <c r="Z583" s="8" t="str">
        <f t="shared" si="199"/>
        <v/>
      </c>
      <c r="AA583" s="8" t="str">
        <f t="shared" si="200"/>
        <v/>
      </c>
      <c r="AB583" s="8" t="str">
        <f t="shared" si="201"/>
        <v/>
      </c>
      <c r="AC583" s="8"/>
      <c r="AD583" s="8"/>
      <c r="AE583" s="8"/>
      <c r="AK583" s="5" t="str">
        <f t="shared" si="202"/>
        <v/>
      </c>
      <c r="AL583" s="5" t="str">
        <f t="shared" si="203"/>
        <v/>
      </c>
      <c r="AM583" s="5" t="str">
        <f t="shared" si="204"/>
        <v/>
      </c>
      <c r="AN583" s="5" t="str">
        <f t="shared" si="205"/>
        <v/>
      </c>
      <c r="AO583" s="5" t="str">
        <f t="shared" si="206"/>
        <v/>
      </c>
      <c r="AP583" s="5" t="str">
        <f t="shared" si="207"/>
        <v/>
      </c>
      <c r="AQ583" s="5" t="str">
        <f t="shared" si="208"/>
        <v/>
      </c>
      <c r="AR583" s="5" t="str">
        <f t="shared" si="209"/>
        <v/>
      </c>
      <c r="AS583" s="5" t="str">
        <f t="shared" si="210"/>
        <v/>
      </c>
      <c r="AT583" s="5" t="str">
        <f t="shared" si="211"/>
        <v/>
      </c>
      <c r="AU583" s="5" t="str">
        <f t="shared" si="212"/>
        <v/>
      </c>
      <c r="AV583" s="5" t="str">
        <f t="shared" si="213"/>
        <v/>
      </c>
      <c r="AW583" s="5" t="str">
        <f t="shared" si="214"/>
        <v/>
      </c>
      <c r="AX583" s="5" t="str">
        <f t="shared" si="215"/>
        <v/>
      </c>
      <c r="AY583" s="5" t="str">
        <f t="shared" si="216"/>
        <v/>
      </c>
      <c r="AZ583" s="5" t="str">
        <f t="shared" si="217"/>
        <v/>
      </c>
      <c r="BA583" s="5" t="str">
        <f t="shared" si="218"/>
        <v/>
      </c>
      <c r="BB583" s="5" t="str">
        <f t="shared" si="219"/>
        <v/>
      </c>
    </row>
    <row r="584" spans="1:54" s="5" customFormat="1" hidden="1">
      <c r="A584" s="8" t="str">
        <f>IF(INDEX(FORM!$A:$A,ROW())="","",ROW()-1)</f>
        <v/>
      </c>
      <c r="B584" s="41" t="str">
        <f>IF($A584="","",INDEX(FORM!$A:$A,ROW()))</f>
        <v/>
      </c>
      <c r="C584" s="8" t="str">
        <f>IF($A584="","",TRIM(INDEX(FORM!$B:$B,ROW())))</f>
        <v/>
      </c>
      <c r="D584" s="8" t="str">
        <f>IF($A584="","",TRIM(INDEX(FORM!$C:$C,ROW())&amp;""))</f>
        <v/>
      </c>
      <c r="E584" s="8" t="str">
        <f>IF($A584="","",UPPER(TRIM(INDEX(FORM!$D:$D,ROW()))))</f>
        <v/>
      </c>
      <c r="F584" s="8" t="str">
        <f>IF($A584="","",IFERROR(INDEX(PROGRES!$A$2:$A$92,MATCH(E584,PROGRES!$B$2:$B$92,0)),"-"))</f>
        <v/>
      </c>
      <c r="G584" s="8" t="str">
        <f>IF($A584="","",UPPER(TRIM(INDEX(FORM!$F:$F,ROW()))))</f>
        <v/>
      </c>
      <c r="H584" s="8" t="str">
        <f>IF($A584="","",UPPER(TRIM(INDEX(FORM!$E:$E,ROW()))))</f>
        <v/>
      </c>
      <c r="I584" s="8" t="str">
        <f>IF($A584="","",UPPER(TRIM(INDEX(FORM!$G:$G,ROW()))))</f>
        <v/>
      </c>
      <c r="J584" s="8" t="str">
        <f>IF($A584="","",IF(ISNUMBER(SEARCH("Ya,",INDEX(FORM!$H:$H,ROW()))),"YA",IF(ISNUMBER(SEARCH("Cukup,",INDEX(FORM!$H:$H,ROW()))),"CUKUP",IF(ISNUMBER(SEARCH("Kurang,",INDEX(FORM!$H:$H,ROW()))),"KURANG",""))))</f>
        <v/>
      </c>
      <c r="K584" s="8" t="str">
        <f>IF($A584="","",UPPER(TRIM(INDEX(FORM!$J:$J,ROW()))))</f>
        <v/>
      </c>
      <c r="L584" s="8" t="str">
        <f>IF($A584="","",IF(ISNUMBER(SEARCH("Aktivitas Harian",INDEX(FORM!$K:$K,ROW()))),1,0))</f>
        <v/>
      </c>
      <c r="M584" s="8" t="str">
        <f>IF($A584="","",IF(ISNUMBER(SEARCH("Aktivitas Mingguan",INDEX(FORM!$K:$K,ROW()))),1,0))</f>
        <v/>
      </c>
      <c r="N584" s="8" t="str">
        <f>IF($A584="","",IF(ISNUMBER(SEARCH("Aktivitas Bulanan",INDEX(FORM!$K:$K,ROW()))),1,0))</f>
        <v/>
      </c>
      <c r="O584" s="8" t="str">
        <f>IF($A584="","",IF(ISNUMBER(SEARCH("Overview Cabang",INDEX(FORM!$K:$K,ROW()))),1,0))</f>
        <v/>
      </c>
      <c r="P584" s="8" t="str">
        <f>IF($A584="","",IFERROR(VLOOKUP(I584,DATA!$AH$9:$AI$13,2,0),""))</f>
        <v/>
      </c>
      <c r="Q584" s="8" t="str">
        <f>IF($A584="","",IFERROR(VLOOKUP(J584,DATA!$AH$9:$AI$13,2,0),""))</f>
        <v/>
      </c>
      <c r="R584" s="8" t="str">
        <f>IF($A584="","",IFERROR(VLOOKUP(K584,DATA!$AH$9:$AI$13,2,0),""))</f>
        <v/>
      </c>
      <c r="S584" s="42" t="str">
        <f t="shared" si="198"/>
        <v/>
      </c>
      <c r="T584" s="8" t="str">
        <f>IF($A584="","",IF(COUNTIF($D$2:D584,D584)=1,1,0))</f>
        <v/>
      </c>
      <c r="U584" s="8" t="str">
        <f>IF($A584="","",IF(F584="-","Cabang tdk ada",IF(IFERROR(VLOOKUP(G584,#REF!,1,0),"")="","",IF(INDEX(DATA!$AH$2:$AH$5,MATCH(G584,DATA!$AI$2:$AI$5,0))&lt;&gt;F584,"Wilayah beda","OK"))))</f>
        <v/>
      </c>
      <c r="V584" s="8" t="str">
        <f>IF($A584="","",TRIM(INDEX(FORM!$I:$I,ROW())&amp;""))</f>
        <v/>
      </c>
      <c r="W584" s="8" t="str">
        <f>IF($A584="","",TRIM(INDEX(FORM!$L:$L,ROW())&amp;""))</f>
        <v/>
      </c>
      <c r="X584" s="8" t="str">
        <f>IF($A584="","",TRIM(INDEX(FORM!$M:$M,ROW())&amp;""))</f>
        <v/>
      </c>
      <c r="Y584" s="8" t="str">
        <f>IF($A584="","",IFERROR(MATCH(F584,DATA!$AH$2:$AH$5,0),9)*10000+A584)</f>
        <v/>
      </c>
      <c r="Z584" s="8" t="str">
        <f t="shared" si="199"/>
        <v/>
      </c>
      <c r="AA584" s="8" t="str">
        <f t="shared" si="200"/>
        <v/>
      </c>
      <c r="AB584" s="8" t="str">
        <f t="shared" si="201"/>
        <v/>
      </c>
      <c r="AC584" s="8"/>
      <c r="AD584" s="8"/>
      <c r="AE584" s="8"/>
      <c r="AK584" s="5" t="str">
        <f t="shared" si="202"/>
        <v/>
      </c>
      <c r="AL584" s="5" t="str">
        <f t="shared" si="203"/>
        <v/>
      </c>
      <c r="AM584" s="5" t="str">
        <f t="shared" si="204"/>
        <v/>
      </c>
      <c r="AN584" s="5" t="str">
        <f t="shared" si="205"/>
        <v/>
      </c>
      <c r="AO584" s="5" t="str">
        <f t="shared" si="206"/>
        <v/>
      </c>
      <c r="AP584" s="5" t="str">
        <f t="shared" si="207"/>
        <v/>
      </c>
      <c r="AQ584" s="5" t="str">
        <f t="shared" si="208"/>
        <v/>
      </c>
      <c r="AR584" s="5" t="str">
        <f t="shared" si="209"/>
        <v/>
      </c>
      <c r="AS584" s="5" t="str">
        <f t="shared" si="210"/>
        <v/>
      </c>
      <c r="AT584" s="5" t="str">
        <f t="shared" si="211"/>
        <v/>
      </c>
      <c r="AU584" s="5" t="str">
        <f t="shared" si="212"/>
        <v/>
      </c>
      <c r="AV584" s="5" t="str">
        <f t="shared" si="213"/>
        <v/>
      </c>
      <c r="AW584" s="5" t="str">
        <f t="shared" si="214"/>
        <v/>
      </c>
      <c r="AX584" s="5" t="str">
        <f t="shared" si="215"/>
        <v/>
      </c>
      <c r="AY584" s="5" t="str">
        <f t="shared" si="216"/>
        <v/>
      </c>
      <c r="AZ584" s="5" t="str">
        <f t="shared" si="217"/>
        <v/>
      </c>
      <c r="BA584" s="5" t="str">
        <f t="shared" si="218"/>
        <v/>
      </c>
      <c r="BB584" s="5" t="str">
        <f t="shared" si="219"/>
        <v/>
      </c>
    </row>
    <row r="585" spans="1:54" s="5" customFormat="1" hidden="1">
      <c r="A585" s="8" t="str">
        <f>IF(INDEX(FORM!$A:$A,ROW())="","",ROW()-1)</f>
        <v/>
      </c>
      <c r="B585" s="41" t="str">
        <f>IF($A585="","",INDEX(FORM!$A:$A,ROW()))</f>
        <v/>
      </c>
      <c r="C585" s="8" t="str">
        <f>IF($A585="","",TRIM(INDEX(FORM!$B:$B,ROW())))</f>
        <v/>
      </c>
      <c r="D585" s="8" t="str">
        <f>IF($A585="","",TRIM(INDEX(FORM!$C:$C,ROW())&amp;""))</f>
        <v/>
      </c>
      <c r="E585" s="8" t="str">
        <f>IF($A585="","",UPPER(TRIM(INDEX(FORM!$D:$D,ROW()))))</f>
        <v/>
      </c>
      <c r="F585" s="8" t="str">
        <f>IF($A585="","",IFERROR(INDEX(PROGRES!$A$2:$A$92,MATCH(E585,PROGRES!$B$2:$B$92,0)),"-"))</f>
        <v/>
      </c>
      <c r="G585" s="8" t="str">
        <f>IF($A585="","",UPPER(TRIM(INDEX(FORM!$F:$F,ROW()))))</f>
        <v/>
      </c>
      <c r="H585" s="8" t="str">
        <f>IF($A585="","",UPPER(TRIM(INDEX(FORM!$E:$E,ROW()))))</f>
        <v/>
      </c>
      <c r="I585" s="8" t="str">
        <f>IF($A585="","",UPPER(TRIM(INDEX(FORM!$G:$G,ROW()))))</f>
        <v/>
      </c>
      <c r="J585" s="8" t="str">
        <f>IF($A585="","",IF(ISNUMBER(SEARCH("Ya,",INDEX(FORM!$H:$H,ROW()))),"YA",IF(ISNUMBER(SEARCH("Cukup,",INDEX(FORM!$H:$H,ROW()))),"CUKUP",IF(ISNUMBER(SEARCH("Kurang,",INDEX(FORM!$H:$H,ROW()))),"KURANG",""))))</f>
        <v/>
      </c>
      <c r="K585" s="8" t="str">
        <f>IF($A585="","",UPPER(TRIM(INDEX(FORM!$J:$J,ROW()))))</f>
        <v/>
      </c>
      <c r="L585" s="8" t="str">
        <f>IF($A585="","",IF(ISNUMBER(SEARCH("Aktivitas Harian",INDEX(FORM!$K:$K,ROW()))),1,0))</f>
        <v/>
      </c>
      <c r="M585" s="8" t="str">
        <f>IF($A585="","",IF(ISNUMBER(SEARCH("Aktivitas Mingguan",INDEX(FORM!$K:$K,ROW()))),1,0))</f>
        <v/>
      </c>
      <c r="N585" s="8" t="str">
        <f>IF($A585="","",IF(ISNUMBER(SEARCH("Aktivitas Bulanan",INDEX(FORM!$K:$K,ROW()))),1,0))</f>
        <v/>
      </c>
      <c r="O585" s="8" t="str">
        <f>IF($A585="","",IF(ISNUMBER(SEARCH("Overview Cabang",INDEX(FORM!$K:$K,ROW()))),1,0))</f>
        <v/>
      </c>
      <c r="P585" s="8" t="str">
        <f>IF($A585="","",IFERROR(VLOOKUP(I585,DATA!$AH$9:$AI$13,2,0),""))</f>
        <v/>
      </c>
      <c r="Q585" s="8" t="str">
        <f>IF($A585="","",IFERROR(VLOOKUP(J585,DATA!$AH$9:$AI$13,2,0),""))</f>
        <v/>
      </c>
      <c r="R585" s="8" t="str">
        <f>IF($A585="","",IFERROR(VLOOKUP(K585,DATA!$AH$9:$AI$13,2,0),""))</f>
        <v/>
      </c>
      <c r="S585" s="42" t="str">
        <f t="shared" si="198"/>
        <v/>
      </c>
      <c r="T585" s="8" t="str">
        <f>IF($A585="","",IF(COUNTIF($D$2:D585,D585)=1,1,0))</f>
        <v/>
      </c>
      <c r="U585" s="8" t="str">
        <f>IF($A585="","",IF(F585="-","Cabang tdk ada",IF(IFERROR(VLOOKUP(G585,#REF!,1,0),"")="","",IF(INDEX(DATA!$AH$2:$AH$5,MATCH(G585,DATA!$AI$2:$AI$5,0))&lt;&gt;F585,"Wilayah beda","OK"))))</f>
        <v/>
      </c>
      <c r="V585" s="8" t="str">
        <f>IF($A585="","",TRIM(INDEX(FORM!$I:$I,ROW())&amp;""))</f>
        <v/>
      </c>
      <c r="W585" s="8" t="str">
        <f>IF($A585="","",TRIM(INDEX(FORM!$L:$L,ROW())&amp;""))</f>
        <v/>
      </c>
      <c r="X585" s="8" t="str">
        <f>IF($A585="","",TRIM(INDEX(FORM!$M:$M,ROW())&amp;""))</f>
        <v/>
      </c>
      <c r="Y585" s="8" t="str">
        <f>IF($A585="","",IFERROR(MATCH(F585,DATA!$AH$2:$AH$5,0),9)*10000+A585)</f>
        <v/>
      </c>
      <c r="Z585" s="8" t="str">
        <f t="shared" si="199"/>
        <v/>
      </c>
      <c r="AA585" s="8" t="str">
        <f t="shared" si="200"/>
        <v/>
      </c>
      <c r="AB585" s="8" t="str">
        <f t="shared" si="201"/>
        <v/>
      </c>
      <c r="AC585" s="8"/>
      <c r="AD585" s="8"/>
      <c r="AE585" s="8"/>
      <c r="AK585" s="5" t="str">
        <f t="shared" si="202"/>
        <v/>
      </c>
      <c r="AL585" s="5" t="str">
        <f t="shared" si="203"/>
        <v/>
      </c>
      <c r="AM585" s="5" t="str">
        <f t="shared" si="204"/>
        <v/>
      </c>
      <c r="AN585" s="5" t="str">
        <f t="shared" si="205"/>
        <v/>
      </c>
      <c r="AO585" s="5" t="str">
        <f t="shared" si="206"/>
        <v/>
      </c>
      <c r="AP585" s="5" t="str">
        <f t="shared" si="207"/>
        <v/>
      </c>
      <c r="AQ585" s="5" t="str">
        <f t="shared" si="208"/>
        <v/>
      </c>
      <c r="AR585" s="5" t="str">
        <f t="shared" si="209"/>
        <v/>
      </c>
      <c r="AS585" s="5" t="str">
        <f t="shared" si="210"/>
        <v/>
      </c>
      <c r="AT585" s="5" t="str">
        <f t="shared" si="211"/>
        <v/>
      </c>
      <c r="AU585" s="5" t="str">
        <f t="shared" si="212"/>
        <v/>
      </c>
      <c r="AV585" s="5" t="str">
        <f t="shared" si="213"/>
        <v/>
      </c>
      <c r="AW585" s="5" t="str">
        <f t="shared" si="214"/>
        <v/>
      </c>
      <c r="AX585" s="5" t="str">
        <f t="shared" si="215"/>
        <v/>
      </c>
      <c r="AY585" s="5" t="str">
        <f t="shared" si="216"/>
        <v/>
      </c>
      <c r="AZ585" s="5" t="str">
        <f t="shared" si="217"/>
        <v/>
      </c>
      <c r="BA585" s="5" t="str">
        <f t="shared" si="218"/>
        <v/>
      </c>
      <c r="BB585" s="5" t="str">
        <f t="shared" si="219"/>
        <v/>
      </c>
    </row>
    <row r="586" spans="1:54" s="5" customFormat="1" hidden="1">
      <c r="A586" s="8" t="str">
        <f>IF(INDEX(FORM!$A:$A,ROW())="","",ROW()-1)</f>
        <v/>
      </c>
      <c r="B586" s="41" t="str">
        <f>IF($A586="","",INDEX(FORM!$A:$A,ROW()))</f>
        <v/>
      </c>
      <c r="C586" s="8" t="str">
        <f>IF($A586="","",TRIM(INDEX(FORM!$B:$B,ROW())))</f>
        <v/>
      </c>
      <c r="D586" s="8" t="str">
        <f>IF($A586="","",TRIM(INDEX(FORM!$C:$C,ROW())&amp;""))</f>
        <v/>
      </c>
      <c r="E586" s="8" t="str">
        <f>IF($A586="","",UPPER(TRIM(INDEX(FORM!$D:$D,ROW()))))</f>
        <v/>
      </c>
      <c r="F586" s="8" t="str">
        <f>IF($A586="","",IFERROR(INDEX(PROGRES!$A$2:$A$92,MATCH(E586,PROGRES!$B$2:$B$92,0)),"-"))</f>
        <v/>
      </c>
      <c r="G586" s="8" t="str">
        <f>IF($A586="","",UPPER(TRIM(INDEX(FORM!$F:$F,ROW()))))</f>
        <v/>
      </c>
      <c r="H586" s="8" t="str">
        <f>IF($A586="","",UPPER(TRIM(INDEX(FORM!$E:$E,ROW()))))</f>
        <v/>
      </c>
      <c r="I586" s="8" t="str">
        <f>IF($A586="","",UPPER(TRIM(INDEX(FORM!$G:$G,ROW()))))</f>
        <v/>
      </c>
      <c r="J586" s="8" t="str">
        <f>IF($A586="","",IF(ISNUMBER(SEARCH("Ya,",INDEX(FORM!$H:$H,ROW()))),"YA",IF(ISNUMBER(SEARCH("Cukup,",INDEX(FORM!$H:$H,ROW()))),"CUKUP",IF(ISNUMBER(SEARCH("Kurang,",INDEX(FORM!$H:$H,ROW()))),"KURANG",""))))</f>
        <v/>
      </c>
      <c r="K586" s="8" t="str">
        <f>IF($A586="","",UPPER(TRIM(INDEX(FORM!$J:$J,ROW()))))</f>
        <v/>
      </c>
      <c r="L586" s="8" t="str">
        <f>IF($A586="","",IF(ISNUMBER(SEARCH("Aktivitas Harian",INDEX(FORM!$K:$K,ROW()))),1,0))</f>
        <v/>
      </c>
      <c r="M586" s="8" t="str">
        <f>IF($A586="","",IF(ISNUMBER(SEARCH("Aktivitas Mingguan",INDEX(FORM!$K:$K,ROW()))),1,0))</f>
        <v/>
      </c>
      <c r="N586" s="8" t="str">
        <f>IF($A586="","",IF(ISNUMBER(SEARCH("Aktivitas Bulanan",INDEX(FORM!$K:$K,ROW()))),1,0))</f>
        <v/>
      </c>
      <c r="O586" s="8" t="str">
        <f>IF($A586="","",IF(ISNUMBER(SEARCH("Overview Cabang",INDEX(FORM!$K:$K,ROW()))),1,0))</f>
        <v/>
      </c>
      <c r="P586" s="8" t="str">
        <f>IF($A586="","",IFERROR(VLOOKUP(I586,DATA!$AH$9:$AI$13,2,0),""))</f>
        <v/>
      </c>
      <c r="Q586" s="8" t="str">
        <f>IF($A586="","",IFERROR(VLOOKUP(J586,DATA!$AH$9:$AI$13,2,0),""))</f>
        <v/>
      </c>
      <c r="R586" s="8" t="str">
        <f>IF($A586="","",IFERROR(VLOOKUP(K586,DATA!$AH$9:$AI$13,2,0),""))</f>
        <v/>
      </c>
      <c r="S586" s="42" t="str">
        <f t="shared" si="198"/>
        <v/>
      </c>
      <c r="T586" s="8" t="str">
        <f>IF($A586="","",IF(COUNTIF($D$2:D586,D586)=1,1,0))</f>
        <v/>
      </c>
      <c r="U586" s="8" t="str">
        <f>IF($A586="","",IF(F586="-","Cabang tdk ada",IF(IFERROR(VLOOKUP(G586,#REF!,1,0),"")="","",IF(INDEX(DATA!$AH$2:$AH$5,MATCH(G586,DATA!$AI$2:$AI$5,0))&lt;&gt;F586,"Wilayah beda","OK"))))</f>
        <v/>
      </c>
      <c r="V586" s="8" t="str">
        <f>IF($A586="","",TRIM(INDEX(FORM!$I:$I,ROW())&amp;""))</f>
        <v/>
      </c>
      <c r="W586" s="8" t="str">
        <f>IF($A586="","",TRIM(INDEX(FORM!$L:$L,ROW())&amp;""))</f>
        <v/>
      </c>
      <c r="X586" s="8" t="str">
        <f>IF($A586="","",TRIM(INDEX(FORM!$M:$M,ROW())&amp;""))</f>
        <v/>
      </c>
      <c r="Y586" s="8" t="str">
        <f>IF($A586="","",IFERROR(MATCH(F586,DATA!$AH$2:$AH$5,0),9)*10000+A586)</f>
        <v/>
      </c>
      <c r="Z586" s="8" t="str">
        <f t="shared" si="199"/>
        <v/>
      </c>
      <c r="AA586" s="8" t="str">
        <f t="shared" si="200"/>
        <v/>
      </c>
      <c r="AB586" s="8" t="str">
        <f t="shared" si="201"/>
        <v/>
      </c>
      <c r="AC586" s="8"/>
      <c r="AD586" s="8"/>
      <c r="AE586" s="8"/>
      <c r="AK586" s="5" t="str">
        <f t="shared" si="202"/>
        <v/>
      </c>
      <c r="AL586" s="5" t="str">
        <f t="shared" si="203"/>
        <v/>
      </c>
      <c r="AM586" s="5" t="str">
        <f t="shared" si="204"/>
        <v/>
      </c>
      <c r="AN586" s="5" t="str">
        <f t="shared" si="205"/>
        <v/>
      </c>
      <c r="AO586" s="5" t="str">
        <f t="shared" si="206"/>
        <v/>
      </c>
      <c r="AP586" s="5" t="str">
        <f t="shared" si="207"/>
        <v/>
      </c>
      <c r="AQ586" s="5" t="str">
        <f t="shared" si="208"/>
        <v/>
      </c>
      <c r="AR586" s="5" t="str">
        <f t="shared" si="209"/>
        <v/>
      </c>
      <c r="AS586" s="5" t="str">
        <f t="shared" si="210"/>
        <v/>
      </c>
      <c r="AT586" s="5" t="str">
        <f t="shared" si="211"/>
        <v/>
      </c>
      <c r="AU586" s="5" t="str">
        <f t="shared" si="212"/>
        <v/>
      </c>
      <c r="AV586" s="5" t="str">
        <f t="shared" si="213"/>
        <v/>
      </c>
      <c r="AW586" s="5" t="str">
        <f t="shared" si="214"/>
        <v/>
      </c>
      <c r="AX586" s="5" t="str">
        <f t="shared" si="215"/>
        <v/>
      </c>
      <c r="AY586" s="5" t="str">
        <f t="shared" si="216"/>
        <v/>
      </c>
      <c r="AZ586" s="5" t="str">
        <f t="shared" si="217"/>
        <v/>
      </c>
      <c r="BA586" s="5" t="str">
        <f t="shared" si="218"/>
        <v/>
      </c>
      <c r="BB586" s="5" t="str">
        <f t="shared" si="219"/>
        <v/>
      </c>
    </row>
    <row r="587" spans="1:54" s="5" customFormat="1" hidden="1">
      <c r="A587" s="8" t="str">
        <f>IF(INDEX(FORM!$A:$A,ROW())="","",ROW()-1)</f>
        <v/>
      </c>
      <c r="B587" s="41" t="str">
        <f>IF($A587="","",INDEX(FORM!$A:$A,ROW()))</f>
        <v/>
      </c>
      <c r="C587" s="8" t="str">
        <f>IF($A587="","",TRIM(INDEX(FORM!$B:$B,ROW())))</f>
        <v/>
      </c>
      <c r="D587" s="8" t="str">
        <f>IF($A587="","",TRIM(INDEX(FORM!$C:$C,ROW())&amp;""))</f>
        <v/>
      </c>
      <c r="E587" s="8" t="str">
        <f>IF($A587="","",UPPER(TRIM(INDEX(FORM!$D:$D,ROW()))))</f>
        <v/>
      </c>
      <c r="F587" s="8" t="str">
        <f>IF($A587="","",IFERROR(INDEX(PROGRES!$A$2:$A$92,MATCH(E587,PROGRES!$B$2:$B$92,0)),"-"))</f>
        <v/>
      </c>
      <c r="G587" s="8" t="str">
        <f>IF($A587="","",UPPER(TRIM(INDEX(FORM!$F:$F,ROW()))))</f>
        <v/>
      </c>
      <c r="H587" s="8" t="str">
        <f>IF($A587="","",UPPER(TRIM(INDEX(FORM!$E:$E,ROW()))))</f>
        <v/>
      </c>
      <c r="I587" s="8" t="str">
        <f>IF($A587="","",UPPER(TRIM(INDEX(FORM!$G:$G,ROW()))))</f>
        <v/>
      </c>
      <c r="J587" s="8" t="str">
        <f>IF($A587="","",IF(ISNUMBER(SEARCH("Ya,",INDEX(FORM!$H:$H,ROW()))),"YA",IF(ISNUMBER(SEARCH("Cukup,",INDEX(FORM!$H:$H,ROW()))),"CUKUP",IF(ISNUMBER(SEARCH("Kurang,",INDEX(FORM!$H:$H,ROW()))),"KURANG",""))))</f>
        <v/>
      </c>
      <c r="K587" s="8" t="str">
        <f>IF($A587="","",UPPER(TRIM(INDEX(FORM!$J:$J,ROW()))))</f>
        <v/>
      </c>
      <c r="L587" s="8" t="str">
        <f>IF($A587="","",IF(ISNUMBER(SEARCH("Aktivitas Harian",INDEX(FORM!$K:$K,ROW()))),1,0))</f>
        <v/>
      </c>
      <c r="M587" s="8" t="str">
        <f>IF($A587="","",IF(ISNUMBER(SEARCH("Aktivitas Mingguan",INDEX(FORM!$K:$K,ROW()))),1,0))</f>
        <v/>
      </c>
      <c r="N587" s="8" t="str">
        <f>IF($A587="","",IF(ISNUMBER(SEARCH("Aktivitas Bulanan",INDEX(FORM!$K:$K,ROW()))),1,0))</f>
        <v/>
      </c>
      <c r="O587" s="8" t="str">
        <f>IF($A587="","",IF(ISNUMBER(SEARCH("Overview Cabang",INDEX(FORM!$K:$K,ROW()))),1,0))</f>
        <v/>
      </c>
      <c r="P587" s="8" t="str">
        <f>IF($A587="","",IFERROR(VLOOKUP(I587,DATA!$AH$9:$AI$13,2,0),""))</f>
        <v/>
      </c>
      <c r="Q587" s="8" t="str">
        <f>IF($A587="","",IFERROR(VLOOKUP(J587,DATA!$AH$9:$AI$13,2,0),""))</f>
        <v/>
      </c>
      <c r="R587" s="8" t="str">
        <f>IF($A587="","",IFERROR(VLOOKUP(K587,DATA!$AH$9:$AI$13,2,0),""))</f>
        <v/>
      </c>
      <c r="S587" s="42" t="str">
        <f t="shared" si="198"/>
        <v/>
      </c>
      <c r="T587" s="8" t="str">
        <f>IF($A587="","",IF(COUNTIF($D$2:D587,D587)=1,1,0))</f>
        <v/>
      </c>
      <c r="U587" s="8" t="str">
        <f>IF($A587="","",IF(F587="-","Cabang tdk ada",IF(IFERROR(VLOOKUP(G587,#REF!,1,0),"")="","",IF(INDEX(DATA!$AH$2:$AH$5,MATCH(G587,DATA!$AI$2:$AI$5,0))&lt;&gt;F587,"Wilayah beda","OK"))))</f>
        <v/>
      </c>
      <c r="V587" s="8" t="str">
        <f>IF($A587="","",TRIM(INDEX(FORM!$I:$I,ROW())&amp;""))</f>
        <v/>
      </c>
      <c r="W587" s="8" t="str">
        <f>IF($A587="","",TRIM(INDEX(FORM!$L:$L,ROW())&amp;""))</f>
        <v/>
      </c>
      <c r="X587" s="8" t="str">
        <f>IF($A587="","",TRIM(INDEX(FORM!$M:$M,ROW())&amp;""))</f>
        <v/>
      </c>
      <c r="Y587" s="8" t="str">
        <f>IF($A587="","",IFERROR(MATCH(F587,DATA!$AH$2:$AH$5,0),9)*10000+A587)</f>
        <v/>
      </c>
      <c r="Z587" s="8" t="str">
        <f t="shared" si="199"/>
        <v/>
      </c>
      <c r="AA587" s="8" t="str">
        <f t="shared" si="200"/>
        <v/>
      </c>
      <c r="AB587" s="8" t="str">
        <f t="shared" si="201"/>
        <v/>
      </c>
      <c r="AC587" s="8"/>
      <c r="AD587" s="8"/>
      <c r="AE587" s="8"/>
      <c r="AK587" s="5" t="str">
        <f t="shared" si="202"/>
        <v/>
      </c>
      <c r="AL587" s="5" t="str">
        <f t="shared" si="203"/>
        <v/>
      </c>
      <c r="AM587" s="5" t="str">
        <f t="shared" si="204"/>
        <v/>
      </c>
      <c r="AN587" s="5" t="str">
        <f t="shared" si="205"/>
        <v/>
      </c>
      <c r="AO587" s="5" t="str">
        <f t="shared" si="206"/>
        <v/>
      </c>
      <c r="AP587" s="5" t="str">
        <f t="shared" si="207"/>
        <v/>
      </c>
      <c r="AQ587" s="5" t="str">
        <f t="shared" si="208"/>
        <v/>
      </c>
      <c r="AR587" s="5" t="str">
        <f t="shared" si="209"/>
        <v/>
      </c>
      <c r="AS587" s="5" t="str">
        <f t="shared" si="210"/>
        <v/>
      </c>
      <c r="AT587" s="5" t="str">
        <f t="shared" si="211"/>
        <v/>
      </c>
      <c r="AU587" s="5" t="str">
        <f t="shared" si="212"/>
        <v/>
      </c>
      <c r="AV587" s="5" t="str">
        <f t="shared" si="213"/>
        <v/>
      </c>
      <c r="AW587" s="5" t="str">
        <f t="shared" si="214"/>
        <v/>
      </c>
      <c r="AX587" s="5" t="str">
        <f t="shared" si="215"/>
        <v/>
      </c>
      <c r="AY587" s="5" t="str">
        <f t="shared" si="216"/>
        <v/>
      </c>
      <c r="AZ587" s="5" t="str">
        <f t="shared" si="217"/>
        <v/>
      </c>
      <c r="BA587" s="5" t="str">
        <f t="shared" si="218"/>
        <v/>
      </c>
      <c r="BB587" s="5" t="str">
        <f t="shared" si="219"/>
        <v/>
      </c>
    </row>
    <row r="588" spans="1:54" s="5" customFormat="1" hidden="1">
      <c r="A588" s="8" t="str">
        <f>IF(INDEX(FORM!$A:$A,ROW())="","",ROW()-1)</f>
        <v/>
      </c>
      <c r="B588" s="41" t="str">
        <f>IF($A588="","",INDEX(FORM!$A:$A,ROW()))</f>
        <v/>
      </c>
      <c r="C588" s="8" t="str">
        <f>IF($A588="","",TRIM(INDEX(FORM!$B:$B,ROW())))</f>
        <v/>
      </c>
      <c r="D588" s="8" t="str">
        <f>IF($A588="","",TRIM(INDEX(FORM!$C:$C,ROW())&amp;""))</f>
        <v/>
      </c>
      <c r="E588" s="8" t="str">
        <f>IF($A588="","",UPPER(TRIM(INDEX(FORM!$D:$D,ROW()))))</f>
        <v/>
      </c>
      <c r="F588" s="8" t="str">
        <f>IF($A588="","",IFERROR(INDEX(PROGRES!$A$2:$A$92,MATCH(E588,PROGRES!$B$2:$B$92,0)),"-"))</f>
        <v/>
      </c>
      <c r="G588" s="8" t="str">
        <f>IF($A588="","",UPPER(TRIM(INDEX(FORM!$F:$F,ROW()))))</f>
        <v/>
      </c>
      <c r="H588" s="8" t="str">
        <f>IF($A588="","",UPPER(TRIM(INDEX(FORM!$E:$E,ROW()))))</f>
        <v/>
      </c>
      <c r="I588" s="8" t="str">
        <f>IF($A588="","",UPPER(TRIM(INDEX(FORM!$G:$G,ROW()))))</f>
        <v/>
      </c>
      <c r="J588" s="8" t="str">
        <f>IF($A588="","",IF(ISNUMBER(SEARCH("Ya,",INDEX(FORM!$H:$H,ROW()))),"YA",IF(ISNUMBER(SEARCH("Cukup,",INDEX(FORM!$H:$H,ROW()))),"CUKUP",IF(ISNUMBER(SEARCH("Kurang,",INDEX(FORM!$H:$H,ROW()))),"KURANG",""))))</f>
        <v/>
      </c>
      <c r="K588" s="8" t="str">
        <f>IF($A588="","",UPPER(TRIM(INDEX(FORM!$J:$J,ROW()))))</f>
        <v/>
      </c>
      <c r="L588" s="8" t="str">
        <f>IF($A588="","",IF(ISNUMBER(SEARCH("Aktivitas Harian",INDEX(FORM!$K:$K,ROW()))),1,0))</f>
        <v/>
      </c>
      <c r="M588" s="8" t="str">
        <f>IF($A588="","",IF(ISNUMBER(SEARCH("Aktivitas Mingguan",INDEX(FORM!$K:$K,ROW()))),1,0))</f>
        <v/>
      </c>
      <c r="N588" s="8" t="str">
        <f>IF($A588="","",IF(ISNUMBER(SEARCH("Aktivitas Bulanan",INDEX(FORM!$K:$K,ROW()))),1,0))</f>
        <v/>
      </c>
      <c r="O588" s="8" t="str">
        <f>IF($A588="","",IF(ISNUMBER(SEARCH("Overview Cabang",INDEX(FORM!$K:$K,ROW()))),1,0))</f>
        <v/>
      </c>
      <c r="P588" s="8" t="str">
        <f>IF($A588="","",IFERROR(VLOOKUP(I588,DATA!$AH$9:$AI$13,2,0),""))</f>
        <v/>
      </c>
      <c r="Q588" s="8" t="str">
        <f>IF($A588="","",IFERROR(VLOOKUP(J588,DATA!$AH$9:$AI$13,2,0),""))</f>
        <v/>
      </c>
      <c r="R588" s="8" t="str">
        <f>IF($A588="","",IFERROR(VLOOKUP(K588,DATA!$AH$9:$AI$13,2,0),""))</f>
        <v/>
      </c>
      <c r="S588" s="42" t="str">
        <f t="shared" si="198"/>
        <v/>
      </c>
      <c r="T588" s="8" t="str">
        <f>IF($A588="","",IF(COUNTIF($D$2:D588,D588)=1,1,0))</f>
        <v/>
      </c>
      <c r="U588" s="8" t="str">
        <f>IF($A588="","",IF(F588="-","Cabang tdk ada",IF(IFERROR(VLOOKUP(G588,#REF!,1,0),"")="","",IF(INDEX(DATA!$AH$2:$AH$5,MATCH(G588,DATA!$AI$2:$AI$5,0))&lt;&gt;F588,"Wilayah beda","OK"))))</f>
        <v/>
      </c>
      <c r="V588" s="8" t="str">
        <f>IF($A588="","",TRIM(INDEX(FORM!$I:$I,ROW())&amp;""))</f>
        <v/>
      </c>
      <c r="W588" s="8" t="str">
        <f>IF($A588="","",TRIM(INDEX(FORM!$L:$L,ROW())&amp;""))</f>
        <v/>
      </c>
      <c r="X588" s="8" t="str">
        <f>IF($A588="","",TRIM(INDEX(FORM!$M:$M,ROW())&amp;""))</f>
        <v/>
      </c>
      <c r="Y588" s="8" t="str">
        <f>IF($A588="","",IFERROR(MATCH(F588,DATA!$AH$2:$AH$5,0),9)*10000+A588)</f>
        <v/>
      </c>
      <c r="Z588" s="8" t="str">
        <f t="shared" si="199"/>
        <v/>
      </c>
      <c r="AA588" s="8" t="str">
        <f t="shared" si="200"/>
        <v/>
      </c>
      <c r="AB588" s="8" t="str">
        <f t="shared" si="201"/>
        <v/>
      </c>
      <c r="AC588" s="8"/>
      <c r="AD588" s="8"/>
      <c r="AE588" s="8"/>
      <c r="AK588" s="5" t="str">
        <f t="shared" si="202"/>
        <v/>
      </c>
      <c r="AL588" s="5" t="str">
        <f t="shared" si="203"/>
        <v/>
      </c>
      <c r="AM588" s="5" t="str">
        <f t="shared" si="204"/>
        <v/>
      </c>
      <c r="AN588" s="5" t="str">
        <f t="shared" si="205"/>
        <v/>
      </c>
      <c r="AO588" s="5" t="str">
        <f t="shared" si="206"/>
        <v/>
      </c>
      <c r="AP588" s="5" t="str">
        <f t="shared" si="207"/>
        <v/>
      </c>
      <c r="AQ588" s="5" t="str">
        <f t="shared" si="208"/>
        <v/>
      </c>
      <c r="AR588" s="5" t="str">
        <f t="shared" si="209"/>
        <v/>
      </c>
      <c r="AS588" s="5" t="str">
        <f t="shared" si="210"/>
        <v/>
      </c>
      <c r="AT588" s="5" t="str">
        <f t="shared" si="211"/>
        <v/>
      </c>
      <c r="AU588" s="5" t="str">
        <f t="shared" si="212"/>
        <v/>
      </c>
      <c r="AV588" s="5" t="str">
        <f t="shared" si="213"/>
        <v/>
      </c>
      <c r="AW588" s="5" t="str">
        <f t="shared" si="214"/>
        <v/>
      </c>
      <c r="AX588" s="5" t="str">
        <f t="shared" si="215"/>
        <v/>
      </c>
      <c r="AY588" s="5" t="str">
        <f t="shared" si="216"/>
        <v/>
      </c>
      <c r="AZ588" s="5" t="str">
        <f t="shared" si="217"/>
        <v/>
      </c>
      <c r="BA588" s="5" t="str">
        <f t="shared" si="218"/>
        <v/>
      </c>
      <c r="BB588" s="5" t="str">
        <f t="shared" si="219"/>
        <v/>
      </c>
    </row>
    <row r="589" spans="1:54" s="5" customFormat="1" hidden="1">
      <c r="A589" s="8" t="str">
        <f>IF(INDEX(FORM!$A:$A,ROW())="","",ROW()-1)</f>
        <v/>
      </c>
      <c r="B589" s="41" t="str">
        <f>IF($A589="","",INDEX(FORM!$A:$A,ROW()))</f>
        <v/>
      </c>
      <c r="C589" s="8" t="str">
        <f>IF($A589="","",TRIM(INDEX(FORM!$B:$B,ROW())))</f>
        <v/>
      </c>
      <c r="D589" s="8" t="str">
        <f>IF($A589="","",TRIM(INDEX(FORM!$C:$C,ROW())&amp;""))</f>
        <v/>
      </c>
      <c r="E589" s="8" t="str">
        <f>IF($A589="","",UPPER(TRIM(INDEX(FORM!$D:$D,ROW()))))</f>
        <v/>
      </c>
      <c r="F589" s="8" t="str">
        <f>IF($A589="","",IFERROR(INDEX(PROGRES!$A$2:$A$92,MATCH(E589,PROGRES!$B$2:$B$92,0)),"-"))</f>
        <v/>
      </c>
      <c r="G589" s="8" t="str">
        <f>IF($A589="","",UPPER(TRIM(INDEX(FORM!$F:$F,ROW()))))</f>
        <v/>
      </c>
      <c r="H589" s="8" t="str">
        <f>IF($A589="","",UPPER(TRIM(INDEX(FORM!$E:$E,ROW()))))</f>
        <v/>
      </c>
      <c r="I589" s="8" t="str">
        <f>IF($A589="","",UPPER(TRIM(INDEX(FORM!$G:$G,ROW()))))</f>
        <v/>
      </c>
      <c r="J589" s="8" t="str">
        <f>IF($A589="","",IF(ISNUMBER(SEARCH("Ya,",INDEX(FORM!$H:$H,ROW()))),"YA",IF(ISNUMBER(SEARCH("Cukup,",INDEX(FORM!$H:$H,ROW()))),"CUKUP",IF(ISNUMBER(SEARCH("Kurang,",INDEX(FORM!$H:$H,ROW()))),"KURANG",""))))</f>
        <v/>
      </c>
      <c r="K589" s="8" t="str">
        <f>IF($A589="","",UPPER(TRIM(INDEX(FORM!$J:$J,ROW()))))</f>
        <v/>
      </c>
      <c r="L589" s="8" t="str">
        <f>IF($A589="","",IF(ISNUMBER(SEARCH("Aktivitas Harian",INDEX(FORM!$K:$K,ROW()))),1,0))</f>
        <v/>
      </c>
      <c r="M589" s="8" t="str">
        <f>IF($A589="","",IF(ISNUMBER(SEARCH("Aktivitas Mingguan",INDEX(FORM!$K:$K,ROW()))),1,0))</f>
        <v/>
      </c>
      <c r="N589" s="8" t="str">
        <f>IF($A589="","",IF(ISNUMBER(SEARCH("Aktivitas Bulanan",INDEX(FORM!$K:$K,ROW()))),1,0))</f>
        <v/>
      </c>
      <c r="O589" s="8" t="str">
        <f>IF($A589="","",IF(ISNUMBER(SEARCH("Overview Cabang",INDEX(FORM!$K:$K,ROW()))),1,0))</f>
        <v/>
      </c>
      <c r="P589" s="8" t="str">
        <f>IF($A589="","",IFERROR(VLOOKUP(I589,DATA!$AH$9:$AI$13,2,0),""))</f>
        <v/>
      </c>
      <c r="Q589" s="8" t="str">
        <f>IF($A589="","",IFERROR(VLOOKUP(J589,DATA!$AH$9:$AI$13,2,0),""))</f>
        <v/>
      </c>
      <c r="R589" s="8" t="str">
        <f>IF($A589="","",IFERROR(VLOOKUP(K589,DATA!$AH$9:$AI$13,2,0),""))</f>
        <v/>
      </c>
      <c r="S589" s="42" t="str">
        <f t="shared" si="198"/>
        <v/>
      </c>
      <c r="T589" s="8" t="str">
        <f>IF($A589="","",IF(COUNTIF($D$2:D589,D589)=1,1,0))</f>
        <v/>
      </c>
      <c r="U589" s="8" t="str">
        <f>IF($A589="","",IF(F589="-","Cabang tdk ada",IF(IFERROR(VLOOKUP(G589,#REF!,1,0),"")="","",IF(INDEX(DATA!$AH$2:$AH$5,MATCH(G589,DATA!$AI$2:$AI$5,0))&lt;&gt;F589,"Wilayah beda","OK"))))</f>
        <v/>
      </c>
      <c r="V589" s="8" t="str">
        <f>IF($A589="","",TRIM(INDEX(FORM!$I:$I,ROW())&amp;""))</f>
        <v/>
      </c>
      <c r="W589" s="8" t="str">
        <f>IF($A589="","",TRIM(INDEX(FORM!$L:$L,ROW())&amp;""))</f>
        <v/>
      </c>
      <c r="X589" s="8" t="str">
        <f>IF($A589="","",TRIM(INDEX(FORM!$M:$M,ROW())&amp;""))</f>
        <v/>
      </c>
      <c r="Y589" s="8" t="str">
        <f>IF($A589="","",IFERROR(MATCH(F589,DATA!$AH$2:$AH$5,0),9)*10000+A589)</f>
        <v/>
      </c>
      <c r="Z589" s="8" t="str">
        <f t="shared" si="199"/>
        <v/>
      </c>
      <c r="AA589" s="8" t="str">
        <f t="shared" si="200"/>
        <v/>
      </c>
      <c r="AB589" s="8" t="str">
        <f t="shared" si="201"/>
        <v/>
      </c>
      <c r="AC589" s="8"/>
      <c r="AD589" s="8"/>
      <c r="AE589" s="8"/>
      <c r="AK589" s="5" t="str">
        <f t="shared" si="202"/>
        <v/>
      </c>
      <c r="AL589" s="5" t="str">
        <f t="shared" si="203"/>
        <v/>
      </c>
      <c r="AM589" s="5" t="str">
        <f t="shared" si="204"/>
        <v/>
      </c>
      <c r="AN589" s="5" t="str">
        <f t="shared" si="205"/>
        <v/>
      </c>
      <c r="AO589" s="5" t="str">
        <f t="shared" si="206"/>
        <v/>
      </c>
      <c r="AP589" s="5" t="str">
        <f t="shared" si="207"/>
        <v/>
      </c>
      <c r="AQ589" s="5" t="str">
        <f t="shared" si="208"/>
        <v/>
      </c>
      <c r="AR589" s="5" t="str">
        <f t="shared" si="209"/>
        <v/>
      </c>
      <c r="AS589" s="5" t="str">
        <f t="shared" si="210"/>
        <v/>
      </c>
      <c r="AT589" s="5" t="str">
        <f t="shared" si="211"/>
        <v/>
      </c>
      <c r="AU589" s="5" t="str">
        <f t="shared" si="212"/>
        <v/>
      </c>
      <c r="AV589" s="5" t="str">
        <f t="shared" si="213"/>
        <v/>
      </c>
      <c r="AW589" s="5" t="str">
        <f t="shared" si="214"/>
        <v/>
      </c>
      <c r="AX589" s="5" t="str">
        <f t="shared" si="215"/>
        <v/>
      </c>
      <c r="AY589" s="5" t="str">
        <f t="shared" si="216"/>
        <v/>
      </c>
      <c r="AZ589" s="5" t="str">
        <f t="shared" si="217"/>
        <v/>
      </c>
      <c r="BA589" s="5" t="str">
        <f t="shared" si="218"/>
        <v/>
      </c>
      <c r="BB589" s="5" t="str">
        <f t="shared" si="219"/>
        <v/>
      </c>
    </row>
    <row r="590" spans="1:54" s="5" customFormat="1" hidden="1">
      <c r="A590" s="8" t="str">
        <f>IF(INDEX(FORM!$A:$A,ROW())="","",ROW()-1)</f>
        <v/>
      </c>
      <c r="B590" s="41" t="str">
        <f>IF($A590="","",INDEX(FORM!$A:$A,ROW()))</f>
        <v/>
      </c>
      <c r="C590" s="8" t="str">
        <f>IF($A590="","",TRIM(INDEX(FORM!$B:$B,ROW())))</f>
        <v/>
      </c>
      <c r="D590" s="8" t="str">
        <f>IF($A590="","",TRIM(INDEX(FORM!$C:$C,ROW())&amp;""))</f>
        <v/>
      </c>
      <c r="E590" s="8" t="str">
        <f>IF($A590="","",UPPER(TRIM(INDEX(FORM!$D:$D,ROW()))))</f>
        <v/>
      </c>
      <c r="F590" s="8" t="str">
        <f>IF($A590="","",IFERROR(INDEX(PROGRES!$A$2:$A$92,MATCH(E590,PROGRES!$B$2:$B$92,0)),"-"))</f>
        <v/>
      </c>
      <c r="G590" s="8" t="str">
        <f>IF($A590="","",UPPER(TRIM(INDEX(FORM!$F:$F,ROW()))))</f>
        <v/>
      </c>
      <c r="H590" s="8" t="str">
        <f>IF($A590="","",UPPER(TRIM(INDEX(FORM!$E:$E,ROW()))))</f>
        <v/>
      </c>
      <c r="I590" s="8" t="str">
        <f>IF($A590="","",UPPER(TRIM(INDEX(FORM!$G:$G,ROW()))))</f>
        <v/>
      </c>
      <c r="J590" s="8" t="str">
        <f>IF($A590="","",IF(ISNUMBER(SEARCH("Ya,",INDEX(FORM!$H:$H,ROW()))),"YA",IF(ISNUMBER(SEARCH("Cukup,",INDEX(FORM!$H:$H,ROW()))),"CUKUP",IF(ISNUMBER(SEARCH("Kurang,",INDEX(FORM!$H:$H,ROW()))),"KURANG",""))))</f>
        <v/>
      </c>
      <c r="K590" s="8" t="str">
        <f>IF($A590="","",UPPER(TRIM(INDEX(FORM!$J:$J,ROW()))))</f>
        <v/>
      </c>
      <c r="L590" s="8" t="str">
        <f>IF($A590="","",IF(ISNUMBER(SEARCH("Aktivitas Harian",INDEX(FORM!$K:$K,ROW()))),1,0))</f>
        <v/>
      </c>
      <c r="M590" s="8" t="str">
        <f>IF($A590="","",IF(ISNUMBER(SEARCH("Aktivitas Mingguan",INDEX(FORM!$K:$K,ROW()))),1,0))</f>
        <v/>
      </c>
      <c r="N590" s="8" t="str">
        <f>IF($A590="","",IF(ISNUMBER(SEARCH("Aktivitas Bulanan",INDEX(FORM!$K:$K,ROW()))),1,0))</f>
        <v/>
      </c>
      <c r="O590" s="8" t="str">
        <f>IF($A590="","",IF(ISNUMBER(SEARCH("Overview Cabang",INDEX(FORM!$K:$K,ROW()))),1,0))</f>
        <v/>
      </c>
      <c r="P590" s="8" t="str">
        <f>IF($A590="","",IFERROR(VLOOKUP(I590,DATA!$AH$9:$AI$13,2,0),""))</f>
        <v/>
      </c>
      <c r="Q590" s="8" t="str">
        <f>IF($A590="","",IFERROR(VLOOKUP(J590,DATA!$AH$9:$AI$13,2,0),""))</f>
        <v/>
      </c>
      <c r="R590" s="8" t="str">
        <f>IF($A590="","",IFERROR(VLOOKUP(K590,DATA!$AH$9:$AI$13,2,0),""))</f>
        <v/>
      </c>
      <c r="S590" s="42" t="str">
        <f t="shared" si="198"/>
        <v/>
      </c>
      <c r="T590" s="8" t="str">
        <f>IF($A590="","",IF(COUNTIF($D$2:D590,D590)=1,1,0))</f>
        <v/>
      </c>
      <c r="U590" s="8" t="str">
        <f>IF($A590="","",IF(F590="-","Cabang tdk ada",IF(IFERROR(VLOOKUP(G590,#REF!,1,0),"")="","",IF(INDEX(DATA!$AH$2:$AH$5,MATCH(G590,DATA!$AI$2:$AI$5,0))&lt;&gt;F590,"Wilayah beda","OK"))))</f>
        <v/>
      </c>
      <c r="V590" s="8" t="str">
        <f>IF($A590="","",TRIM(INDEX(FORM!$I:$I,ROW())&amp;""))</f>
        <v/>
      </c>
      <c r="W590" s="8" t="str">
        <f>IF($A590="","",TRIM(INDEX(FORM!$L:$L,ROW())&amp;""))</f>
        <v/>
      </c>
      <c r="X590" s="8" t="str">
        <f>IF($A590="","",TRIM(INDEX(FORM!$M:$M,ROW())&amp;""))</f>
        <v/>
      </c>
      <c r="Y590" s="8" t="str">
        <f>IF($A590="","",IFERROR(MATCH(F590,DATA!$AH$2:$AH$5,0),9)*10000+A590)</f>
        <v/>
      </c>
      <c r="Z590" s="8" t="str">
        <f t="shared" si="199"/>
        <v/>
      </c>
      <c r="AA590" s="8" t="str">
        <f t="shared" si="200"/>
        <v/>
      </c>
      <c r="AB590" s="8" t="str">
        <f t="shared" si="201"/>
        <v/>
      </c>
      <c r="AC590" s="8"/>
      <c r="AD590" s="8"/>
      <c r="AE590" s="8"/>
      <c r="AK590" s="5" t="str">
        <f t="shared" si="202"/>
        <v/>
      </c>
      <c r="AL590" s="5" t="str">
        <f t="shared" si="203"/>
        <v/>
      </c>
      <c r="AM590" s="5" t="str">
        <f t="shared" si="204"/>
        <v/>
      </c>
      <c r="AN590" s="5" t="str">
        <f t="shared" si="205"/>
        <v/>
      </c>
      <c r="AO590" s="5" t="str">
        <f t="shared" si="206"/>
        <v/>
      </c>
      <c r="AP590" s="5" t="str">
        <f t="shared" si="207"/>
        <v/>
      </c>
      <c r="AQ590" s="5" t="str">
        <f t="shared" si="208"/>
        <v/>
      </c>
      <c r="AR590" s="5" t="str">
        <f t="shared" si="209"/>
        <v/>
      </c>
      <c r="AS590" s="5" t="str">
        <f t="shared" si="210"/>
        <v/>
      </c>
      <c r="AT590" s="5" t="str">
        <f t="shared" si="211"/>
        <v/>
      </c>
      <c r="AU590" s="5" t="str">
        <f t="shared" si="212"/>
        <v/>
      </c>
      <c r="AV590" s="5" t="str">
        <f t="shared" si="213"/>
        <v/>
      </c>
      <c r="AW590" s="5" t="str">
        <f t="shared" si="214"/>
        <v/>
      </c>
      <c r="AX590" s="5" t="str">
        <f t="shared" si="215"/>
        <v/>
      </c>
      <c r="AY590" s="5" t="str">
        <f t="shared" si="216"/>
        <v/>
      </c>
      <c r="AZ590" s="5" t="str">
        <f t="shared" si="217"/>
        <v/>
      </c>
      <c r="BA590" s="5" t="str">
        <f t="shared" si="218"/>
        <v/>
      </c>
      <c r="BB590" s="5" t="str">
        <f t="shared" si="219"/>
        <v/>
      </c>
    </row>
    <row r="591" spans="1:54" s="5" customFormat="1" hidden="1">
      <c r="A591" s="8" t="str">
        <f>IF(INDEX(FORM!$A:$A,ROW())="","",ROW()-1)</f>
        <v/>
      </c>
      <c r="B591" s="41" t="str">
        <f>IF($A591="","",INDEX(FORM!$A:$A,ROW()))</f>
        <v/>
      </c>
      <c r="C591" s="8" t="str">
        <f>IF($A591="","",TRIM(INDEX(FORM!$B:$B,ROW())))</f>
        <v/>
      </c>
      <c r="D591" s="8" t="str">
        <f>IF($A591="","",TRIM(INDEX(FORM!$C:$C,ROW())&amp;""))</f>
        <v/>
      </c>
      <c r="E591" s="8" t="str">
        <f>IF($A591="","",UPPER(TRIM(INDEX(FORM!$D:$D,ROW()))))</f>
        <v/>
      </c>
      <c r="F591" s="8" t="str">
        <f>IF($A591="","",IFERROR(INDEX(PROGRES!$A$2:$A$92,MATCH(E591,PROGRES!$B$2:$B$92,0)),"-"))</f>
        <v/>
      </c>
      <c r="G591" s="8" t="str">
        <f>IF($A591="","",UPPER(TRIM(INDEX(FORM!$F:$F,ROW()))))</f>
        <v/>
      </c>
      <c r="H591" s="8" t="str">
        <f>IF($A591="","",UPPER(TRIM(INDEX(FORM!$E:$E,ROW()))))</f>
        <v/>
      </c>
      <c r="I591" s="8" t="str">
        <f>IF($A591="","",UPPER(TRIM(INDEX(FORM!$G:$G,ROW()))))</f>
        <v/>
      </c>
      <c r="J591" s="8" t="str">
        <f>IF($A591="","",IF(ISNUMBER(SEARCH("Ya,",INDEX(FORM!$H:$H,ROW()))),"YA",IF(ISNUMBER(SEARCH("Cukup,",INDEX(FORM!$H:$H,ROW()))),"CUKUP",IF(ISNUMBER(SEARCH("Kurang,",INDEX(FORM!$H:$H,ROW()))),"KURANG",""))))</f>
        <v/>
      </c>
      <c r="K591" s="8" t="str">
        <f>IF($A591="","",UPPER(TRIM(INDEX(FORM!$J:$J,ROW()))))</f>
        <v/>
      </c>
      <c r="L591" s="8" t="str">
        <f>IF($A591="","",IF(ISNUMBER(SEARCH("Aktivitas Harian",INDEX(FORM!$K:$K,ROW()))),1,0))</f>
        <v/>
      </c>
      <c r="M591" s="8" t="str">
        <f>IF($A591="","",IF(ISNUMBER(SEARCH("Aktivitas Mingguan",INDEX(FORM!$K:$K,ROW()))),1,0))</f>
        <v/>
      </c>
      <c r="N591" s="8" t="str">
        <f>IF($A591="","",IF(ISNUMBER(SEARCH("Aktivitas Bulanan",INDEX(FORM!$K:$K,ROW()))),1,0))</f>
        <v/>
      </c>
      <c r="O591" s="8" t="str">
        <f>IF($A591="","",IF(ISNUMBER(SEARCH("Overview Cabang",INDEX(FORM!$K:$K,ROW()))),1,0))</f>
        <v/>
      </c>
      <c r="P591" s="8" t="str">
        <f>IF($A591="","",IFERROR(VLOOKUP(I591,DATA!$AH$9:$AI$13,2,0),""))</f>
        <v/>
      </c>
      <c r="Q591" s="8" t="str">
        <f>IF($A591="","",IFERROR(VLOOKUP(J591,DATA!$AH$9:$AI$13,2,0),""))</f>
        <v/>
      </c>
      <c r="R591" s="8" t="str">
        <f>IF($A591="","",IFERROR(VLOOKUP(K591,DATA!$AH$9:$AI$13,2,0),""))</f>
        <v/>
      </c>
      <c r="S591" s="42" t="str">
        <f t="shared" si="198"/>
        <v/>
      </c>
      <c r="T591" s="8" t="str">
        <f>IF($A591="","",IF(COUNTIF($D$2:D591,D591)=1,1,0))</f>
        <v/>
      </c>
      <c r="U591" s="8" t="str">
        <f>IF($A591="","",IF(F591="-","Cabang tdk ada",IF(IFERROR(VLOOKUP(G591,#REF!,1,0),"")="","",IF(INDEX(DATA!$AH$2:$AH$5,MATCH(G591,DATA!$AI$2:$AI$5,0))&lt;&gt;F591,"Wilayah beda","OK"))))</f>
        <v/>
      </c>
      <c r="V591" s="8" t="str">
        <f>IF($A591="","",TRIM(INDEX(FORM!$I:$I,ROW())&amp;""))</f>
        <v/>
      </c>
      <c r="W591" s="8" t="str">
        <f>IF($A591="","",TRIM(INDEX(FORM!$L:$L,ROW())&amp;""))</f>
        <v/>
      </c>
      <c r="X591" s="8" t="str">
        <f>IF($A591="","",TRIM(INDEX(FORM!$M:$M,ROW())&amp;""))</f>
        <v/>
      </c>
      <c r="Y591" s="8" t="str">
        <f>IF($A591="","",IFERROR(MATCH(F591,DATA!$AH$2:$AH$5,0),9)*10000+A591)</f>
        <v/>
      </c>
      <c r="Z591" s="8" t="str">
        <f t="shared" si="199"/>
        <v/>
      </c>
      <c r="AA591" s="8" t="str">
        <f t="shared" si="200"/>
        <v/>
      </c>
      <c r="AB591" s="8" t="str">
        <f t="shared" si="201"/>
        <v/>
      </c>
      <c r="AC591" s="8"/>
      <c r="AD591" s="8"/>
      <c r="AE591" s="8"/>
      <c r="AK591" s="5" t="str">
        <f t="shared" si="202"/>
        <v/>
      </c>
      <c r="AL591" s="5" t="str">
        <f t="shared" si="203"/>
        <v/>
      </c>
      <c r="AM591" s="5" t="str">
        <f t="shared" si="204"/>
        <v/>
      </c>
      <c r="AN591" s="5" t="str">
        <f t="shared" si="205"/>
        <v/>
      </c>
      <c r="AO591" s="5" t="str">
        <f t="shared" si="206"/>
        <v/>
      </c>
      <c r="AP591" s="5" t="str">
        <f t="shared" si="207"/>
        <v/>
      </c>
      <c r="AQ591" s="5" t="str">
        <f t="shared" si="208"/>
        <v/>
      </c>
      <c r="AR591" s="5" t="str">
        <f t="shared" si="209"/>
        <v/>
      </c>
      <c r="AS591" s="5" t="str">
        <f t="shared" si="210"/>
        <v/>
      </c>
      <c r="AT591" s="5" t="str">
        <f t="shared" si="211"/>
        <v/>
      </c>
      <c r="AU591" s="5" t="str">
        <f t="shared" si="212"/>
        <v/>
      </c>
      <c r="AV591" s="5" t="str">
        <f t="shared" si="213"/>
        <v/>
      </c>
      <c r="AW591" s="5" t="str">
        <f t="shared" si="214"/>
        <v/>
      </c>
      <c r="AX591" s="5" t="str">
        <f t="shared" si="215"/>
        <v/>
      </c>
      <c r="AY591" s="5" t="str">
        <f t="shared" si="216"/>
        <v/>
      </c>
      <c r="AZ591" s="5" t="str">
        <f t="shared" si="217"/>
        <v/>
      </c>
      <c r="BA591" s="5" t="str">
        <f t="shared" si="218"/>
        <v/>
      </c>
      <c r="BB591" s="5" t="str">
        <f t="shared" si="219"/>
        <v/>
      </c>
    </row>
    <row r="592" spans="1:54" s="5" customFormat="1" hidden="1">
      <c r="A592" s="8" t="str">
        <f>IF(INDEX(FORM!$A:$A,ROW())="","",ROW()-1)</f>
        <v/>
      </c>
      <c r="B592" s="41" t="str">
        <f>IF($A592="","",INDEX(FORM!$A:$A,ROW()))</f>
        <v/>
      </c>
      <c r="C592" s="8" t="str">
        <f>IF($A592="","",TRIM(INDEX(FORM!$B:$B,ROW())))</f>
        <v/>
      </c>
      <c r="D592" s="8" t="str">
        <f>IF($A592="","",TRIM(INDEX(FORM!$C:$C,ROW())&amp;""))</f>
        <v/>
      </c>
      <c r="E592" s="8" t="str">
        <f>IF($A592="","",UPPER(TRIM(INDEX(FORM!$D:$D,ROW()))))</f>
        <v/>
      </c>
      <c r="F592" s="8" t="str">
        <f>IF($A592="","",IFERROR(INDEX(PROGRES!$A$2:$A$92,MATCH(E592,PROGRES!$B$2:$B$92,0)),"-"))</f>
        <v/>
      </c>
      <c r="G592" s="8" t="str">
        <f>IF($A592="","",UPPER(TRIM(INDEX(FORM!$F:$F,ROW()))))</f>
        <v/>
      </c>
      <c r="H592" s="8" t="str">
        <f>IF($A592="","",UPPER(TRIM(INDEX(FORM!$E:$E,ROW()))))</f>
        <v/>
      </c>
      <c r="I592" s="8" t="str">
        <f>IF($A592="","",UPPER(TRIM(INDEX(FORM!$G:$G,ROW()))))</f>
        <v/>
      </c>
      <c r="J592" s="8" t="str">
        <f>IF($A592="","",IF(ISNUMBER(SEARCH("Ya,",INDEX(FORM!$H:$H,ROW()))),"YA",IF(ISNUMBER(SEARCH("Cukup,",INDEX(FORM!$H:$H,ROW()))),"CUKUP",IF(ISNUMBER(SEARCH("Kurang,",INDEX(FORM!$H:$H,ROW()))),"KURANG",""))))</f>
        <v/>
      </c>
      <c r="K592" s="8" t="str">
        <f>IF($A592="","",UPPER(TRIM(INDEX(FORM!$J:$J,ROW()))))</f>
        <v/>
      </c>
      <c r="L592" s="8" t="str">
        <f>IF($A592="","",IF(ISNUMBER(SEARCH("Aktivitas Harian",INDEX(FORM!$K:$K,ROW()))),1,0))</f>
        <v/>
      </c>
      <c r="M592" s="8" t="str">
        <f>IF($A592="","",IF(ISNUMBER(SEARCH("Aktivitas Mingguan",INDEX(FORM!$K:$K,ROW()))),1,0))</f>
        <v/>
      </c>
      <c r="N592" s="8" t="str">
        <f>IF($A592="","",IF(ISNUMBER(SEARCH("Aktivitas Bulanan",INDEX(FORM!$K:$K,ROW()))),1,0))</f>
        <v/>
      </c>
      <c r="O592" s="8" t="str">
        <f>IF($A592="","",IF(ISNUMBER(SEARCH("Overview Cabang",INDEX(FORM!$K:$K,ROW()))),1,0))</f>
        <v/>
      </c>
      <c r="P592" s="8" t="str">
        <f>IF($A592="","",IFERROR(VLOOKUP(I592,DATA!$AH$9:$AI$13,2,0),""))</f>
        <v/>
      </c>
      <c r="Q592" s="8" t="str">
        <f>IF($A592="","",IFERROR(VLOOKUP(J592,DATA!$AH$9:$AI$13,2,0),""))</f>
        <v/>
      </c>
      <c r="R592" s="8" t="str">
        <f>IF($A592="","",IFERROR(VLOOKUP(K592,DATA!$AH$9:$AI$13,2,0),""))</f>
        <v/>
      </c>
      <c r="S592" s="42" t="str">
        <f t="shared" si="198"/>
        <v/>
      </c>
      <c r="T592" s="8" t="str">
        <f>IF($A592="","",IF(COUNTIF($D$2:D592,D592)=1,1,0))</f>
        <v/>
      </c>
      <c r="U592" s="8" t="str">
        <f>IF($A592="","",IF(F592="-","Cabang tdk ada",IF(IFERROR(VLOOKUP(G592,#REF!,1,0),"")="","",IF(INDEX(DATA!$AH$2:$AH$5,MATCH(G592,DATA!$AI$2:$AI$5,0))&lt;&gt;F592,"Wilayah beda","OK"))))</f>
        <v/>
      </c>
      <c r="V592" s="8" t="str">
        <f>IF($A592="","",TRIM(INDEX(FORM!$I:$I,ROW())&amp;""))</f>
        <v/>
      </c>
      <c r="W592" s="8" t="str">
        <f>IF($A592="","",TRIM(INDEX(FORM!$L:$L,ROW())&amp;""))</f>
        <v/>
      </c>
      <c r="X592" s="8" t="str">
        <f>IF($A592="","",TRIM(INDEX(FORM!$M:$M,ROW())&amp;""))</f>
        <v/>
      </c>
      <c r="Y592" s="8" t="str">
        <f>IF($A592="","",IFERROR(MATCH(F592,DATA!$AH$2:$AH$5,0),9)*10000+A592)</f>
        <v/>
      </c>
      <c r="Z592" s="8" t="str">
        <f t="shared" si="199"/>
        <v/>
      </c>
      <c r="AA592" s="8" t="str">
        <f t="shared" si="200"/>
        <v/>
      </c>
      <c r="AB592" s="8" t="str">
        <f t="shared" si="201"/>
        <v/>
      </c>
      <c r="AC592" s="8"/>
      <c r="AD592" s="8"/>
      <c r="AE592" s="8"/>
      <c r="AK592" s="5" t="str">
        <f t="shared" si="202"/>
        <v/>
      </c>
      <c r="AL592" s="5" t="str">
        <f t="shared" si="203"/>
        <v/>
      </c>
      <c r="AM592" s="5" t="str">
        <f t="shared" si="204"/>
        <v/>
      </c>
      <c r="AN592" s="5" t="str">
        <f t="shared" si="205"/>
        <v/>
      </c>
      <c r="AO592" s="5" t="str">
        <f t="shared" si="206"/>
        <v/>
      </c>
      <c r="AP592" s="5" t="str">
        <f t="shared" si="207"/>
        <v/>
      </c>
      <c r="AQ592" s="5" t="str">
        <f t="shared" si="208"/>
        <v/>
      </c>
      <c r="AR592" s="5" t="str">
        <f t="shared" si="209"/>
        <v/>
      </c>
      <c r="AS592" s="5" t="str">
        <f t="shared" si="210"/>
        <v/>
      </c>
      <c r="AT592" s="5" t="str">
        <f t="shared" si="211"/>
        <v/>
      </c>
      <c r="AU592" s="5" t="str">
        <f t="shared" si="212"/>
        <v/>
      </c>
      <c r="AV592" s="5" t="str">
        <f t="shared" si="213"/>
        <v/>
      </c>
      <c r="AW592" s="5" t="str">
        <f t="shared" si="214"/>
        <v/>
      </c>
      <c r="AX592" s="5" t="str">
        <f t="shared" si="215"/>
        <v/>
      </c>
      <c r="AY592" s="5" t="str">
        <f t="shared" si="216"/>
        <v/>
      </c>
      <c r="AZ592" s="5" t="str">
        <f t="shared" si="217"/>
        <v/>
      </c>
      <c r="BA592" s="5" t="str">
        <f t="shared" si="218"/>
        <v/>
      </c>
      <c r="BB592" s="5" t="str">
        <f t="shared" si="219"/>
        <v/>
      </c>
    </row>
    <row r="593" spans="1:54" s="5" customFormat="1" hidden="1">
      <c r="A593" s="8" t="str">
        <f>IF(INDEX(FORM!$A:$A,ROW())="","",ROW()-1)</f>
        <v/>
      </c>
      <c r="B593" s="41" t="str">
        <f>IF($A593="","",INDEX(FORM!$A:$A,ROW()))</f>
        <v/>
      </c>
      <c r="C593" s="8" t="str">
        <f>IF($A593="","",TRIM(INDEX(FORM!$B:$B,ROW())))</f>
        <v/>
      </c>
      <c r="D593" s="8" t="str">
        <f>IF($A593="","",TRIM(INDEX(FORM!$C:$C,ROW())&amp;""))</f>
        <v/>
      </c>
      <c r="E593" s="8" t="str">
        <f>IF($A593="","",UPPER(TRIM(INDEX(FORM!$D:$D,ROW()))))</f>
        <v/>
      </c>
      <c r="F593" s="8" t="str">
        <f>IF($A593="","",IFERROR(INDEX(PROGRES!$A$2:$A$92,MATCH(E593,PROGRES!$B$2:$B$92,0)),"-"))</f>
        <v/>
      </c>
      <c r="G593" s="8" t="str">
        <f>IF($A593="","",UPPER(TRIM(INDEX(FORM!$F:$F,ROW()))))</f>
        <v/>
      </c>
      <c r="H593" s="8" t="str">
        <f>IF($A593="","",UPPER(TRIM(INDEX(FORM!$E:$E,ROW()))))</f>
        <v/>
      </c>
      <c r="I593" s="8" t="str">
        <f>IF($A593="","",UPPER(TRIM(INDEX(FORM!$G:$G,ROW()))))</f>
        <v/>
      </c>
      <c r="J593" s="8" t="str">
        <f>IF($A593="","",IF(ISNUMBER(SEARCH("Ya,",INDEX(FORM!$H:$H,ROW()))),"YA",IF(ISNUMBER(SEARCH("Cukup,",INDEX(FORM!$H:$H,ROW()))),"CUKUP",IF(ISNUMBER(SEARCH("Kurang,",INDEX(FORM!$H:$H,ROW()))),"KURANG",""))))</f>
        <v/>
      </c>
      <c r="K593" s="8" t="str">
        <f>IF($A593="","",UPPER(TRIM(INDEX(FORM!$J:$J,ROW()))))</f>
        <v/>
      </c>
      <c r="L593" s="8" t="str">
        <f>IF($A593="","",IF(ISNUMBER(SEARCH("Aktivitas Harian",INDEX(FORM!$K:$K,ROW()))),1,0))</f>
        <v/>
      </c>
      <c r="M593" s="8" t="str">
        <f>IF($A593="","",IF(ISNUMBER(SEARCH("Aktivitas Mingguan",INDEX(FORM!$K:$K,ROW()))),1,0))</f>
        <v/>
      </c>
      <c r="N593" s="8" t="str">
        <f>IF($A593="","",IF(ISNUMBER(SEARCH("Aktivitas Bulanan",INDEX(FORM!$K:$K,ROW()))),1,0))</f>
        <v/>
      </c>
      <c r="O593" s="8" t="str">
        <f>IF($A593="","",IF(ISNUMBER(SEARCH("Overview Cabang",INDEX(FORM!$K:$K,ROW()))),1,0))</f>
        <v/>
      </c>
      <c r="P593" s="8" t="str">
        <f>IF($A593="","",IFERROR(VLOOKUP(I593,DATA!$AH$9:$AI$13,2,0),""))</f>
        <v/>
      </c>
      <c r="Q593" s="8" t="str">
        <f>IF($A593="","",IFERROR(VLOOKUP(J593,DATA!$AH$9:$AI$13,2,0),""))</f>
        <v/>
      </c>
      <c r="R593" s="8" t="str">
        <f>IF($A593="","",IFERROR(VLOOKUP(K593,DATA!$AH$9:$AI$13,2,0),""))</f>
        <v/>
      </c>
      <c r="S593" s="42" t="str">
        <f t="shared" si="198"/>
        <v/>
      </c>
      <c r="T593" s="8" t="str">
        <f>IF($A593="","",IF(COUNTIF($D$2:D593,D593)=1,1,0))</f>
        <v/>
      </c>
      <c r="U593" s="8" t="str">
        <f>IF($A593="","",IF(F593="-","Cabang tdk ada",IF(IFERROR(VLOOKUP(G593,#REF!,1,0),"")="","",IF(INDEX(DATA!$AH$2:$AH$5,MATCH(G593,DATA!$AI$2:$AI$5,0))&lt;&gt;F593,"Wilayah beda","OK"))))</f>
        <v/>
      </c>
      <c r="V593" s="8" t="str">
        <f>IF($A593="","",TRIM(INDEX(FORM!$I:$I,ROW())&amp;""))</f>
        <v/>
      </c>
      <c r="W593" s="8" t="str">
        <f>IF($A593="","",TRIM(INDEX(FORM!$L:$L,ROW())&amp;""))</f>
        <v/>
      </c>
      <c r="X593" s="8" t="str">
        <f>IF($A593="","",TRIM(INDEX(FORM!$M:$M,ROW())&amp;""))</f>
        <v/>
      </c>
      <c r="Y593" s="8" t="str">
        <f>IF($A593="","",IFERROR(MATCH(F593,DATA!$AH$2:$AH$5,0),9)*10000+A593)</f>
        <v/>
      </c>
      <c r="Z593" s="8" t="str">
        <f t="shared" si="199"/>
        <v/>
      </c>
      <c r="AA593" s="8" t="str">
        <f t="shared" si="200"/>
        <v/>
      </c>
      <c r="AB593" s="8" t="str">
        <f t="shared" si="201"/>
        <v/>
      </c>
      <c r="AC593" s="8"/>
      <c r="AD593" s="8"/>
      <c r="AE593" s="8"/>
      <c r="AK593" s="5" t="str">
        <f t="shared" si="202"/>
        <v/>
      </c>
      <c r="AL593" s="5" t="str">
        <f t="shared" si="203"/>
        <v/>
      </c>
      <c r="AM593" s="5" t="str">
        <f t="shared" si="204"/>
        <v/>
      </c>
      <c r="AN593" s="5" t="str">
        <f t="shared" si="205"/>
        <v/>
      </c>
      <c r="AO593" s="5" t="str">
        <f t="shared" si="206"/>
        <v/>
      </c>
      <c r="AP593" s="5" t="str">
        <f t="shared" si="207"/>
        <v/>
      </c>
      <c r="AQ593" s="5" t="str">
        <f t="shared" si="208"/>
        <v/>
      </c>
      <c r="AR593" s="5" t="str">
        <f t="shared" si="209"/>
        <v/>
      </c>
      <c r="AS593" s="5" t="str">
        <f t="shared" si="210"/>
        <v/>
      </c>
      <c r="AT593" s="5" t="str">
        <f t="shared" si="211"/>
        <v/>
      </c>
      <c r="AU593" s="5" t="str">
        <f t="shared" si="212"/>
        <v/>
      </c>
      <c r="AV593" s="5" t="str">
        <f t="shared" si="213"/>
        <v/>
      </c>
      <c r="AW593" s="5" t="str">
        <f t="shared" si="214"/>
        <v/>
      </c>
      <c r="AX593" s="5" t="str">
        <f t="shared" si="215"/>
        <v/>
      </c>
      <c r="AY593" s="5" t="str">
        <f t="shared" si="216"/>
        <v/>
      </c>
      <c r="AZ593" s="5" t="str">
        <f t="shared" si="217"/>
        <v/>
      </c>
      <c r="BA593" s="5" t="str">
        <f t="shared" si="218"/>
        <v/>
      </c>
      <c r="BB593" s="5" t="str">
        <f t="shared" si="219"/>
        <v/>
      </c>
    </row>
    <row r="594" spans="1:54" s="5" customFormat="1" hidden="1">
      <c r="A594" s="8" t="str">
        <f>IF(INDEX(FORM!$A:$A,ROW())="","",ROW()-1)</f>
        <v/>
      </c>
      <c r="B594" s="41" t="str">
        <f>IF($A594="","",INDEX(FORM!$A:$A,ROW()))</f>
        <v/>
      </c>
      <c r="C594" s="8" t="str">
        <f>IF($A594="","",TRIM(INDEX(FORM!$B:$B,ROW())))</f>
        <v/>
      </c>
      <c r="D594" s="8" t="str">
        <f>IF($A594="","",TRIM(INDEX(FORM!$C:$C,ROW())&amp;""))</f>
        <v/>
      </c>
      <c r="E594" s="8" t="str">
        <f>IF($A594="","",UPPER(TRIM(INDEX(FORM!$D:$D,ROW()))))</f>
        <v/>
      </c>
      <c r="F594" s="8" t="str">
        <f>IF($A594="","",IFERROR(INDEX(PROGRES!$A$2:$A$92,MATCH(E594,PROGRES!$B$2:$B$92,0)),"-"))</f>
        <v/>
      </c>
      <c r="G594" s="8" t="str">
        <f>IF($A594="","",UPPER(TRIM(INDEX(FORM!$F:$F,ROW()))))</f>
        <v/>
      </c>
      <c r="H594" s="8" t="str">
        <f>IF($A594="","",UPPER(TRIM(INDEX(FORM!$E:$E,ROW()))))</f>
        <v/>
      </c>
      <c r="I594" s="8" t="str">
        <f>IF($A594="","",UPPER(TRIM(INDEX(FORM!$G:$G,ROW()))))</f>
        <v/>
      </c>
      <c r="J594" s="8" t="str">
        <f>IF($A594="","",IF(ISNUMBER(SEARCH("Ya,",INDEX(FORM!$H:$H,ROW()))),"YA",IF(ISNUMBER(SEARCH("Cukup,",INDEX(FORM!$H:$H,ROW()))),"CUKUP",IF(ISNUMBER(SEARCH("Kurang,",INDEX(FORM!$H:$H,ROW()))),"KURANG",""))))</f>
        <v/>
      </c>
      <c r="K594" s="8" t="str">
        <f>IF($A594="","",UPPER(TRIM(INDEX(FORM!$J:$J,ROW()))))</f>
        <v/>
      </c>
      <c r="L594" s="8" t="str">
        <f>IF($A594="","",IF(ISNUMBER(SEARCH("Aktivitas Harian",INDEX(FORM!$K:$K,ROW()))),1,0))</f>
        <v/>
      </c>
      <c r="M594" s="8" t="str">
        <f>IF($A594="","",IF(ISNUMBER(SEARCH("Aktivitas Mingguan",INDEX(FORM!$K:$K,ROW()))),1,0))</f>
        <v/>
      </c>
      <c r="N594" s="8" t="str">
        <f>IF($A594="","",IF(ISNUMBER(SEARCH("Aktivitas Bulanan",INDEX(FORM!$K:$K,ROW()))),1,0))</f>
        <v/>
      </c>
      <c r="O594" s="8" t="str">
        <f>IF($A594="","",IF(ISNUMBER(SEARCH("Overview Cabang",INDEX(FORM!$K:$K,ROW()))),1,0))</f>
        <v/>
      </c>
      <c r="P594" s="8" t="str">
        <f>IF($A594="","",IFERROR(VLOOKUP(I594,DATA!$AH$9:$AI$13,2,0),""))</f>
        <v/>
      </c>
      <c r="Q594" s="8" t="str">
        <f>IF($A594="","",IFERROR(VLOOKUP(J594,DATA!$AH$9:$AI$13,2,0),""))</f>
        <v/>
      </c>
      <c r="R594" s="8" t="str">
        <f>IF($A594="","",IFERROR(VLOOKUP(K594,DATA!$AH$9:$AI$13,2,0),""))</f>
        <v/>
      </c>
      <c r="S594" s="42" t="str">
        <f t="shared" si="198"/>
        <v/>
      </c>
      <c r="T594" s="8" t="str">
        <f>IF($A594="","",IF(COUNTIF($D$2:D594,D594)=1,1,0))</f>
        <v/>
      </c>
      <c r="U594" s="8" t="str">
        <f>IF($A594="","",IF(F594="-","Cabang tdk ada",IF(IFERROR(VLOOKUP(G594,#REF!,1,0),"")="","",IF(INDEX(DATA!$AH$2:$AH$5,MATCH(G594,DATA!$AI$2:$AI$5,0))&lt;&gt;F594,"Wilayah beda","OK"))))</f>
        <v/>
      </c>
      <c r="V594" s="8" t="str">
        <f>IF($A594="","",TRIM(INDEX(FORM!$I:$I,ROW())&amp;""))</f>
        <v/>
      </c>
      <c r="W594" s="8" t="str">
        <f>IF($A594="","",TRIM(INDEX(FORM!$L:$L,ROW())&amp;""))</f>
        <v/>
      </c>
      <c r="X594" s="8" t="str">
        <f>IF($A594="","",TRIM(INDEX(FORM!$M:$M,ROW())&amp;""))</f>
        <v/>
      </c>
      <c r="Y594" s="8" t="str">
        <f>IF($A594="","",IFERROR(MATCH(F594,DATA!$AH$2:$AH$5,0),9)*10000+A594)</f>
        <v/>
      </c>
      <c r="Z594" s="8" t="str">
        <f t="shared" si="199"/>
        <v/>
      </c>
      <c r="AA594" s="8" t="str">
        <f t="shared" si="200"/>
        <v/>
      </c>
      <c r="AB594" s="8" t="str">
        <f t="shared" si="201"/>
        <v/>
      </c>
      <c r="AC594" s="8"/>
      <c r="AD594" s="8"/>
      <c r="AE594" s="8"/>
      <c r="AK594" s="5" t="str">
        <f t="shared" si="202"/>
        <v/>
      </c>
      <c r="AL594" s="5" t="str">
        <f t="shared" si="203"/>
        <v/>
      </c>
      <c r="AM594" s="5" t="str">
        <f t="shared" si="204"/>
        <v/>
      </c>
      <c r="AN594" s="5" t="str">
        <f t="shared" si="205"/>
        <v/>
      </c>
      <c r="AO594" s="5" t="str">
        <f t="shared" si="206"/>
        <v/>
      </c>
      <c r="AP594" s="5" t="str">
        <f t="shared" si="207"/>
        <v/>
      </c>
      <c r="AQ594" s="5" t="str">
        <f t="shared" si="208"/>
        <v/>
      </c>
      <c r="AR594" s="5" t="str">
        <f t="shared" si="209"/>
        <v/>
      </c>
      <c r="AS594" s="5" t="str">
        <f t="shared" si="210"/>
        <v/>
      </c>
      <c r="AT594" s="5" t="str">
        <f t="shared" si="211"/>
        <v/>
      </c>
      <c r="AU594" s="5" t="str">
        <f t="shared" si="212"/>
        <v/>
      </c>
      <c r="AV594" s="5" t="str">
        <f t="shared" si="213"/>
        <v/>
      </c>
      <c r="AW594" s="5" t="str">
        <f t="shared" si="214"/>
        <v/>
      </c>
      <c r="AX594" s="5" t="str">
        <f t="shared" si="215"/>
        <v/>
      </c>
      <c r="AY594" s="5" t="str">
        <f t="shared" si="216"/>
        <v/>
      </c>
      <c r="AZ594" s="5" t="str">
        <f t="shared" si="217"/>
        <v/>
      </c>
      <c r="BA594" s="5" t="str">
        <f t="shared" si="218"/>
        <v/>
      </c>
      <c r="BB594" s="5" t="str">
        <f t="shared" si="219"/>
        <v/>
      </c>
    </row>
    <row r="595" spans="1:54" s="5" customFormat="1" hidden="1">
      <c r="A595" s="8" t="str">
        <f>IF(INDEX(FORM!$A:$A,ROW())="","",ROW()-1)</f>
        <v/>
      </c>
      <c r="B595" s="41" t="str">
        <f>IF($A595="","",INDEX(FORM!$A:$A,ROW()))</f>
        <v/>
      </c>
      <c r="C595" s="8" t="str">
        <f>IF($A595="","",TRIM(INDEX(FORM!$B:$B,ROW())))</f>
        <v/>
      </c>
      <c r="D595" s="8" t="str">
        <f>IF($A595="","",TRIM(INDEX(FORM!$C:$C,ROW())&amp;""))</f>
        <v/>
      </c>
      <c r="E595" s="8" t="str">
        <f>IF($A595="","",UPPER(TRIM(INDEX(FORM!$D:$D,ROW()))))</f>
        <v/>
      </c>
      <c r="F595" s="8" t="str">
        <f>IF($A595="","",IFERROR(INDEX(PROGRES!$A$2:$A$92,MATCH(E595,PROGRES!$B$2:$B$92,0)),"-"))</f>
        <v/>
      </c>
      <c r="G595" s="8" t="str">
        <f>IF($A595="","",UPPER(TRIM(INDEX(FORM!$F:$F,ROW()))))</f>
        <v/>
      </c>
      <c r="H595" s="8" t="str">
        <f>IF($A595="","",UPPER(TRIM(INDEX(FORM!$E:$E,ROW()))))</f>
        <v/>
      </c>
      <c r="I595" s="8" t="str">
        <f>IF($A595="","",UPPER(TRIM(INDEX(FORM!$G:$G,ROW()))))</f>
        <v/>
      </c>
      <c r="J595" s="8" t="str">
        <f>IF($A595="","",IF(ISNUMBER(SEARCH("Ya,",INDEX(FORM!$H:$H,ROW()))),"YA",IF(ISNUMBER(SEARCH("Cukup,",INDEX(FORM!$H:$H,ROW()))),"CUKUP",IF(ISNUMBER(SEARCH("Kurang,",INDEX(FORM!$H:$H,ROW()))),"KURANG",""))))</f>
        <v/>
      </c>
      <c r="K595" s="8" t="str">
        <f>IF($A595="","",UPPER(TRIM(INDEX(FORM!$J:$J,ROW()))))</f>
        <v/>
      </c>
      <c r="L595" s="8" t="str">
        <f>IF($A595="","",IF(ISNUMBER(SEARCH("Aktivitas Harian",INDEX(FORM!$K:$K,ROW()))),1,0))</f>
        <v/>
      </c>
      <c r="M595" s="8" t="str">
        <f>IF($A595="","",IF(ISNUMBER(SEARCH("Aktivitas Mingguan",INDEX(FORM!$K:$K,ROW()))),1,0))</f>
        <v/>
      </c>
      <c r="N595" s="8" t="str">
        <f>IF($A595="","",IF(ISNUMBER(SEARCH("Aktivitas Bulanan",INDEX(FORM!$K:$K,ROW()))),1,0))</f>
        <v/>
      </c>
      <c r="O595" s="8" t="str">
        <f>IF($A595="","",IF(ISNUMBER(SEARCH("Overview Cabang",INDEX(FORM!$K:$K,ROW()))),1,0))</f>
        <v/>
      </c>
      <c r="P595" s="8" t="str">
        <f>IF($A595="","",IFERROR(VLOOKUP(I595,DATA!$AH$9:$AI$13,2,0),""))</f>
        <v/>
      </c>
      <c r="Q595" s="8" t="str">
        <f>IF($A595="","",IFERROR(VLOOKUP(J595,DATA!$AH$9:$AI$13,2,0),""))</f>
        <v/>
      </c>
      <c r="R595" s="8" t="str">
        <f>IF($A595="","",IFERROR(VLOOKUP(K595,DATA!$AH$9:$AI$13,2,0),""))</f>
        <v/>
      </c>
      <c r="S595" s="42" t="str">
        <f t="shared" si="198"/>
        <v/>
      </c>
      <c r="T595" s="8" t="str">
        <f>IF($A595="","",IF(COUNTIF($D$2:D595,D595)=1,1,0))</f>
        <v/>
      </c>
      <c r="U595" s="8" t="str">
        <f>IF($A595="","",IF(F595="-","Cabang tdk ada",IF(IFERROR(VLOOKUP(G595,#REF!,1,0),"")="","",IF(INDEX(DATA!$AH$2:$AH$5,MATCH(G595,DATA!$AI$2:$AI$5,0))&lt;&gt;F595,"Wilayah beda","OK"))))</f>
        <v/>
      </c>
      <c r="V595" s="8" t="str">
        <f>IF($A595="","",TRIM(INDEX(FORM!$I:$I,ROW())&amp;""))</f>
        <v/>
      </c>
      <c r="W595" s="8" t="str">
        <f>IF($A595="","",TRIM(INDEX(FORM!$L:$L,ROW())&amp;""))</f>
        <v/>
      </c>
      <c r="X595" s="8" t="str">
        <f>IF($A595="","",TRIM(INDEX(FORM!$M:$M,ROW())&amp;""))</f>
        <v/>
      </c>
      <c r="Y595" s="8" t="str">
        <f>IF($A595="","",IFERROR(MATCH(F595,DATA!$AH$2:$AH$5,0),9)*10000+A595)</f>
        <v/>
      </c>
      <c r="Z595" s="8" t="str">
        <f t="shared" si="199"/>
        <v/>
      </c>
      <c r="AA595" s="8" t="str">
        <f t="shared" si="200"/>
        <v/>
      </c>
      <c r="AB595" s="8" t="str">
        <f t="shared" si="201"/>
        <v/>
      </c>
      <c r="AC595" s="8"/>
      <c r="AD595" s="8"/>
      <c r="AE595" s="8"/>
      <c r="AK595" s="5" t="str">
        <f t="shared" si="202"/>
        <v/>
      </c>
      <c r="AL595" s="5" t="str">
        <f t="shared" si="203"/>
        <v/>
      </c>
      <c r="AM595" s="5" t="str">
        <f t="shared" si="204"/>
        <v/>
      </c>
      <c r="AN595" s="5" t="str">
        <f t="shared" si="205"/>
        <v/>
      </c>
      <c r="AO595" s="5" t="str">
        <f t="shared" si="206"/>
        <v/>
      </c>
      <c r="AP595" s="5" t="str">
        <f t="shared" si="207"/>
        <v/>
      </c>
      <c r="AQ595" s="5" t="str">
        <f t="shared" si="208"/>
        <v/>
      </c>
      <c r="AR595" s="5" t="str">
        <f t="shared" si="209"/>
        <v/>
      </c>
      <c r="AS595" s="5" t="str">
        <f t="shared" si="210"/>
        <v/>
      </c>
      <c r="AT595" s="5" t="str">
        <f t="shared" si="211"/>
        <v/>
      </c>
      <c r="AU595" s="5" t="str">
        <f t="shared" si="212"/>
        <v/>
      </c>
      <c r="AV595" s="5" t="str">
        <f t="shared" si="213"/>
        <v/>
      </c>
      <c r="AW595" s="5" t="str">
        <f t="shared" si="214"/>
        <v/>
      </c>
      <c r="AX595" s="5" t="str">
        <f t="shared" si="215"/>
        <v/>
      </c>
      <c r="AY595" s="5" t="str">
        <f t="shared" si="216"/>
        <v/>
      </c>
      <c r="AZ595" s="5" t="str">
        <f t="shared" si="217"/>
        <v/>
      </c>
      <c r="BA595" s="5" t="str">
        <f t="shared" si="218"/>
        <v/>
      </c>
      <c r="BB595" s="5" t="str">
        <f t="shared" si="219"/>
        <v/>
      </c>
    </row>
    <row r="596" spans="1:54" s="5" customFormat="1" hidden="1">
      <c r="A596" s="8" t="str">
        <f>IF(INDEX(FORM!$A:$A,ROW())="","",ROW()-1)</f>
        <v/>
      </c>
      <c r="B596" s="41" t="str">
        <f>IF($A596="","",INDEX(FORM!$A:$A,ROW()))</f>
        <v/>
      </c>
      <c r="C596" s="8" t="str">
        <f>IF($A596="","",TRIM(INDEX(FORM!$B:$B,ROW())))</f>
        <v/>
      </c>
      <c r="D596" s="8" t="str">
        <f>IF($A596="","",TRIM(INDEX(FORM!$C:$C,ROW())&amp;""))</f>
        <v/>
      </c>
      <c r="E596" s="8" t="str">
        <f>IF($A596="","",UPPER(TRIM(INDEX(FORM!$D:$D,ROW()))))</f>
        <v/>
      </c>
      <c r="F596" s="8" t="str">
        <f>IF($A596="","",IFERROR(INDEX(PROGRES!$A$2:$A$92,MATCH(E596,PROGRES!$B$2:$B$92,0)),"-"))</f>
        <v/>
      </c>
      <c r="G596" s="8" t="str">
        <f>IF($A596="","",UPPER(TRIM(INDEX(FORM!$F:$F,ROW()))))</f>
        <v/>
      </c>
      <c r="H596" s="8" t="str">
        <f>IF($A596="","",UPPER(TRIM(INDEX(FORM!$E:$E,ROW()))))</f>
        <v/>
      </c>
      <c r="I596" s="8" t="str">
        <f>IF($A596="","",UPPER(TRIM(INDEX(FORM!$G:$G,ROW()))))</f>
        <v/>
      </c>
      <c r="J596" s="8" t="str">
        <f>IF($A596="","",IF(ISNUMBER(SEARCH("Ya,",INDEX(FORM!$H:$H,ROW()))),"YA",IF(ISNUMBER(SEARCH("Cukup,",INDEX(FORM!$H:$H,ROW()))),"CUKUP",IF(ISNUMBER(SEARCH("Kurang,",INDEX(FORM!$H:$H,ROW()))),"KURANG",""))))</f>
        <v/>
      </c>
      <c r="K596" s="8" t="str">
        <f>IF($A596="","",UPPER(TRIM(INDEX(FORM!$J:$J,ROW()))))</f>
        <v/>
      </c>
      <c r="L596" s="8" t="str">
        <f>IF($A596="","",IF(ISNUMBER(SEARCH("Aktivitas Harian",INDEX(FORM!$K:$K,ROW()))),1,0))</f>
        <v/>
      </c>
      <c r="M596" s="8" t="str">
        <f>IF($A596="","",IF(ISNUMBER(SEARCH("Aktivitas Mingguan",INDEX(FORM!$K:$K,ROW()))),1,0))</f>
        <v/>
      </c>
      <c r="N596" s="8" t="str">
        <f>IF($A596="","",IF(ISNUMBER(SEARCH("Aktivitas Bulanan",INDEX(FORM!$K:$K,ROW()))),1,0))</f>
        <v/>
      </c>
      <c r="O596" s="8" t="str">
        <f>IF($A596="","",IF(ISNUMBER(SEARCH("Overview Cabang",INDEX(FORM!$K:$K,ROW()))),1,0))</f>
        <v/>
      </c>
      <c r="P596" s="8" t="str">
        <f>IF($A596="","",IFERROR(VLOOKUP(I596,DATA!$AH$9:$AI$13,2,0),""))</f>
        <v/>
      </c>
      <c r="Q596" s="8" t="str">
        <f>IF($A596="","",IFERROR(VLOOKUP(J596,DATA!$AH$9:$AI$13,2,0),""))</f>
        <v/>
      </c>
      <c r="R596" s="8" t="str">
        <f>IF($A596="","",IFERROR(VLOOKUP(K596,DATA!$AH$9:$AI$13,2,0),""))</f>
        <v/>
      </c>
      <c r="S596" s="42" t="str">
        <f t="shared" si="198"/>
        <v/>
      </c>
      <c r="T596" s="8" t="str">
        <f>IF($A596="","",IF(COUNTIF($D$2:D596,D596)=1,1,0))</f>
        <v/>
      </c>
      <c r="U596" s="8" t="str">
        <f>IF($A596="","",IF(F596="-","Cabang tdk ada",IF(IFERROR(VLOOKUP(G596,#REF!,1,0),"")="","",IF(INDEX(DATA!$AH$2:$AH$5,MATCH(G596,DATA!$AI$2:$AI$5,0))&lt;&gt;F596,"Wilayah beda","OK"))))</f>
        <v/>
      </c>
      <c r="V596" s="8" t="str">
        <f>IF($A596="","",TRIM(INDEX(FORM!$I:$I,ROW())&amp;""))</f>
        <v/>
      </c>
      <c r="W596" s="8" t="str">
        <f>IF($A596="","",TRIM(INDEX(FORM!$L:$L,ROW())&amp;""))</f>
        <v/>
      </c>
      <c r="X596" s="8" t="str">
        <f>IF($A596="","",TRIM(INDEX(FORM!$M:$M,ROW())&amp;""))</f>
        <v/>
      </c>
      <c r="Y596" s="8" t="str">
        <f>IF($A596="","",IFERROR(MATCH(F596,DATA!$AH$2:$AH$5,0),9)*10000+A596)</f>
        <v/>
      </c>
      <c r="Z596" s="8" t="str">
        <f t="shared" si="199"/>
        <v/>
      </c>
      <c r="AA596" s="8" t="str">
        <f t="shared" si="200"/>
        <v/>
      </c>
      <c r="AB596" s="8" t="str">
        <f t="shared" si="201"/>
        <v/>
      </c>
      <c r="AC596" s="8"/>
      <c r="AD596" s="8"/>
      <c r="AE596" s="8"/>
      <c r="AK596" s="5" t="str">
        <f t="shared" si="202"/>
        <v/>
      </c>
      <c r="AL596" s="5" t="str">
        <f t="shared" si="203"/>
        <v/>
      </c>
      <c r="AM596" s="5" t="str">
        <f t="shared" si="204"/>
        <v/>
      </c>
      <c r="AN596" s="5" t="str">
        <f t="shared" si="205"/>
        <v/>
      </c>
      <c r="AO596" s="5" t="str">
        <f t="shared" si="206"/>
        <v/>
      </c>
      <c r="AP596" s="5" t="str">
        <f t="shared" si="207"/>
        <v/>
      </c>
      <c r="AQ596" s="5" t="str">
        <f t="shared" si="208"/>
        <v/>
      </c>
      <c r="AR596" s="5" t="str">
        <f t="shared" si="209"/>
        <v/>
      </c>
      <c r="AS596" s="5" t="str">
        <f t="shared" si="210"/>
        <v/>
      </c>
      <c r="AT596" s="5" t="str">
        <f t="shared" si="211"/>
        <v/>
      </c>
      <c r="AU596" s="5" t="str">
        <f t="shared" si="212"/>
        <v/>
      </c>
      <c r="AV596" s="5" t="str">
        <f t="shared" si="213"/>
        <v/>
      </c>
      <c r="AW596" s="5" t="str">
        <f t="shared" si="214"/>
        <v/>
      </c>
      <c r="AX596" s="5" t="str">
        <f t="shared" si="215"/>
        <v/>
      </c>
      <c r="AY596" s="5" t="str">
        <f t="shared" si="216"/>
        <v/>
      </c>
      <c r="AZ596" s="5" t="str">
        <f t="shared" si="217"/>
        <v/>
      </c>
      <c r="BA596" s="5" t="str">
        <f t="shared" si="218"/>
        <v/>
      </c>
      <c r="BB596" s="5" t="str">
        <f t="shared" si="219"/>
        <v/>
      </c>
    </row>
    <row r="597" spans="1:54" s="5" customFormat="1" hidden="1">
      <c r="A597" s="8" t="str">
        <f>IF(INDEX(FORM!$A:$A,ROW())="","",ROW()-1)</f>
        <v/>
      </c>
      <c r="B597" s="41" t="str">
        <f>IF($A597="","",INDEX(FORM!$A:$A,ROW()))</f>
        <v/>
      </c>
      <c r="C597" s="8" t="str">
        <f>IF($A597="","",TRIM(INDEX(FORM!$B:$B,ROW())))</f>
        <v/>
      </c>
      <c r="D597" s="8" t="str">
        <f>IF($A597="","",TRIM(INDEX(FORM!$C:$C,ROW())&amp;""))</f>
        <v/>
      </c>
      <c r="E597" s="8" t="str">
        <f>IF($A597="","",UPPER(TRIM(INDEX(FORM!$D:$D,ROW()))))</f>
        <v/>
      </c>
      <c r="F597" s="8" t="str">
        <f>IF($A597="","",IFERROR(INDEX(PROGRES!$A$2:$A$92,MATCH(E597,PROGRES!$B$2:$B$92,0)),"-"))</f>
        <v/>
      </c>
      <c r="G597" s="8" t="str">
        <f>IF($A597="","",UPPER(TRIM(INDEX(FORM!$F:$F,ROW()))))</f>
        <v/>
      </c>
      <c r="H597" s="8" t="str">
        <f>IF($A597="","",UPPER(TRIM(INDEX(FORM!$E:$E,ROW()))))</f>
        <v/>
      </c>
      <c r="I597" s="8" t="str">
        <f>IF($A597="","",UPPER(TRIM(INDEX(FORM!$G:$G,ROW()))))</f>
        <v/>
      </c>
      <c r="J597" s="8" t="str">
        <f>IF($A597="","",IF(ISNUMBER(SEARCH("Ya,",INDEX(FORM!$H:$H,ROW()))),"YA",IF(ISNUMBER(SEARCH("Cukup,",INDEX(FORM!$H:$H,ROW()))),"CUKUP",IF(ISNUMBER(SEARCH("Kurang,",INDEX(FORM!$H:$H,ROW()))),"KURANG",""))))</f>
        <v/>
      </c>
      <c r="K597" s="8" t="str">
        <f>IF($A597="","",UPPER(TRIM(INDEX(FORM!$J:$J,ROW()))))</f>
        <v/>
      </c>
      <c r="L597" s="8" t="str">
        <f>IF($A597="","",IF(ISNUMBER(SEARCH("Aktivitas Harian",INDEX(FORM!$K:$K,ROW()))),1,0))</f>
        <v/>
      </c>
      <c r="M597" s="8" t="str">
        <f>IF($A597="","",IF(ISNUMBER(SEARCH("Aktivitas Mingguan",INDEX(FORM!$K:$K,ROW()))),1,0))</f>
        <v/>
      </c>
      <c r="N597" s="8" t="str">
        <f>IF($A597="","",IF(ISNUMBER(SEARCH("Aktivitas Bulanan",INDEX(FORM!$K:$K,ROW()))),1,0))</f>
        <v/>
      </c>
      <c r="O597" s="8" t="str">
        <f>IF($A597="","",IF(ISNUMBER(SEARCH("Overview Cabang",INDEX(FORM!$K:$K,ROW()))),1,0))</f>
        <v/>
      </c>
      <c r="P597" s="8" t="str">
        <f>IF($A597="","",IFERROR(VLOOKUP(I597,DATA!$AH$9:$AI$13,2,0),""))</f>
        <v/>
      </c>
      <c r="Q597" s="8" t="str">
        <f>IF($A597="","",IFERROR(VLOOKUP(J597,DATA!$AH$9:$AI$13,2,0),""))</f>
        <v/>
      </c>
      <c r="R597" s="8" t="str">
        <f>IF($A597="","",IFERROR(VLOOKUP(K597,DATA!$AH$9:$AI$13,2,0),""))</f>
        <v/>
      </c>
      <c r="S597" s="42" t="str">
        <f t="shared" si="198"/>
        <v/>
      </c>
      <c r="T597" s="8" t="str">
        <f>IF($A597="","",IF(COUNTIF($D$2:D597,D597)=1,1,0))</f>
        <v/>
      </c>
      <c r="U597" s="8" t="str">
        <f>IF($A597="","",IF(F597="-","Cabang tdk ada",IF(IFERROR(VLOOKUP(G597,#REF!,1,0),"")="","",IF(INDEX(DATA!$AH$2:$AH$5,MATCH(G597,DATA!$AI$2:$AI$5,0))&lt;&gt;F597,"Wilayah beda","OK"))))</f>
        <v/>
      </c>
      <c r="V597" s="8" t="str">
        <f>IF($A597="","",TRIM(INDEX(FORM!$I:$I,ROW())&amp;""))</f>
        <v/>
      </c>
      <c r="W597" s="8" t="str">
        <f>IF($A597="","",TRIM(INDEX(FORM!$L:$L,ROW())&amp;""))</f>
        <v/>
      </c>
      <c r="X597" s="8" t="str">
        <f>IF($A597="","",TRIM(INDEX(FORM!$M:$M,ROW())&amp;""))</f>
        <v/>
      </c>
      <c r="Y597" s="8" t="str">
        <f>IF($A597="","",IFERROR(MATCH(F597,DATA!$AH$2:$AH$5,0),9)*10000+A597)</f>
        <v/>
      </c>
      <c r="Z597" s="8" t="str">
        <f t="shared" si="199"/>
        <v/>
      </c>
      <c r="AA597" s="8" t="str">
        <f t="shared" si="200"/>
        <v/>
      </c>
      <c r="AB597" s="8" t="str">
        <f t="shared" si="201"/>
        <v/>
      </c>
      <c r="AC597" s="8"/>
      <c r="AD597" s="8"/>
      <c r="AE597" s="8"/>
      <c r="AK597" s="5" t="str">
        <f t="shared" si="202"/>
        <v/>
      </c>
      <c r="AL597" s="5" t="str">
        <f t="shared" si="203"/>
        <v/>
      </c>
      <c r="AM597" s="5" t="str">
        <f t="shared" si="204"/>
        <v/>
      </c>
      <c r="AN597" s="5" t="str">
        <f t="shared" si="205"/>
        <v/>
      </c>
      <c r="AO597" s="5" t="str">
        <f t="shared" si="206"/>
        <v/>
      </c>
      <c r="AP597" s="5" t="str">
        <f t="shared" si="207"/>
        <v/>
      </c>
      <c r="AQ597" s="5" t="str">
        <f t="shared" si="208"/>
        <v/>
      </c>
      <c r="AR597" s="5" t="str">
        <f t="shared" si="209"/>
        <v/>
      </c>
      <c r="AS597" s="5" t="str">
        <f t="shared" si="210"/>
        <v/>
      </c>
      <c r="AT597" s="5" t="str">
        <f t="shared" si="211"/>
        <v/>
      </c>
      <c r="AU597" s="5" t="str">
        <f t="shared" si="212"/>
        <v/>
      </c>
      <c r="AV597" s="5" t="str">
        <f t="shared" si="213"/>
        <v/>
      </c>
      <c r="AW597" s="5" t="str">
        <f t="shared" si="214"/>
        <v/>
      </c>
      <c r="AX597" s="5" t="str">
        <f t="shared" si="215"/>
        <v/>
      </c>
      <c r="AY597" s="5" t="str">
        <f t="shared" si="216"/>
        <v/>
      </c>
      <c r="AZ597" s="5" t="str">
        <f t="shared" si="217"/>
        <v/>
      </c>
      <c r="BA597" s="5" t="str">
        <f t="shared" si="218"/>
        <v/>
      </c>
      <c r="BB597" s="5" t="str">
        <f t="shared" si="219"/>
        <v/>
      </c>
    </row>
    <row r="598" spans="1:54" s="5" customFormat="1" hidden="1">
      <c r="A598" s="8" t="str">
        <f>IF(INDEX(FORM!$A:$A,ROW())="","",ROW()-1)</f>
        <v/>
      </c>
      <c r="B598" s="41" t="str">
        <f>IF($A598="","",INDEX(FORM!$A:$A,ROW()))</f>
        <v/>
      </c>
      <c r="C598" s="8" t="str">
        <f>IF($A598="","",TRIM(INDEX(FORM!$B:$B,ROW())))</f>
        <v/>
      </c>
      <c r="D598" s="8" t="str">
        <f>IF($A598="","",TRIM(INDEX(FORM!$C:$C,ROW())&amp;""))</f>
        <v/>
      </c>
      <c r="E598" s="8" t="str">
        <f>IF($A598="","",UPPER(TRIM(INDEX(FORM!$D:$D,ROW()))))</f>
        <v/>
      </c>
      <c r="F598" s="8" t="str">
        <f>IF($A598="","",IFERROR(INDEX(PROGRES!$A$2:$A$92,MATCH(E598,PROGRES!$B$2:$B$92,0)),"-"))</f>
        <v/>
      </c>
      <c r="G598" s="8" t="str">
        <f>IF($A598="","",UPPER(TRIM(INDEX(FORM!$F:$F,ROW()))))</f>
        <v/>
      </c>
      <c r="H598" s="8" t="str">
        <f>IF($A598="","",UPPER(TRIM(INDEX(FORM!$E:$E,ROW()))))</f>
        <v/>
      </c>
      <c r="I598" s="8" t="str">
        <f>IF($A598="","",UPPER(TRIM(INDEX(FORM!$G:$G,ROW()))))</f>
        <v/>
      </c>
      <c r="J598" s="8" t="str">
        <f>IF($A598="","",IF(ISNUMBER(SEARCH("Ya,",INDEX(FORM!$H:$H,ROW()))),"YA",IF(ISNUMBER(SEARCH("Cukup,",INDEX(FORM!$H:$H,ROW()))),"CUKUP",IF(ISNUMBER(SEARCH("Kurang,",INDEX(FORM!$H:$H,ROW()))),"KURANG",""))))</f>
        <v/>
      </c>
      <c r="K598" s="8" t="str">
        <f>IF($A598="","",UPPER(TRIM(INDEX(FORM!$J:$J,ROW()))))</f>
        <v/>
      </c>
      <c r="L598" s="8" t="str">
        <f>IF($A598="","",IF(ISNUMBER(SEARCH("Aktivitas Harian",INDEX(FORM!$K:$K,ROW()))),1,0))</f>
        <v/>
      </c>
      <c r="M598" s="8" t="str">
        <f>IF($A598="","",IF(ISNUMBER(SEARCH("Aktivitas Mingguan",INDEX(FORM!$K:$K,ROW()))),1,0))</f>
        <v/>
      </c>
      <c r="N598" s="8" t="str">
        <f>IF($A598="","",IF(ISNUMBER(SEARCH("Aktivitas Bulanan",INDEX(FORM!$K:$K,ROW()))),1,0))</f>
        <v/>
      </c>
      <c r="O598" s="8" t="str">
        <f>IF($A598="","",IF(ISNUMBER(SEARCH("Overview Cabang",INDEX(FORM!$K:$K,ROW()))),1,0))</f>
        <v/>
      </c>
      <c r="P598" s="8" t="str">
        <f>IF($A598="","",IFERROR(VLOOKUP(I598,DATA!$AH$9:$AI$13,2,0),""))</f>
        <v/>
      </c>
      <c r="Q598" s="8" t="str">
        <f>IF($A598="","",IFERROR(VLOOKUP(J598,DATA!$AH$9:$AI$13,2,0),""))</f>
        <v/>
      </c>
      <c r="R598" s="8" t="str">
        <f>IF($A598="","",IFERROR(VLOOKUP(K598,DATA!$AH$9:$AI$13,2,0),""))</f>
        <v/>
      </c>
      <c r="S598" s="42" t="str">
        <f t="shared" si="198"/>
        <v/>
      </c>
      <c r="T598" s="8" t="str">
        <f>IF($A598="","",IF(COUNTIF($D$2:D598,D598)=1,1,0))</f>
        <v/>
      </c>
      <c r="U598" s="8" t="str">
        <f>IF($A598="","",IF(F598="-","Cabang tdk ada",IF(IFERROR(VLOOKUP(G598,#REF!,1,0),"")="","",IF(INDEX(DATA!$AH$2:$AH$5,MATCH(G598,DATA!$AI$2:$AI$5,0))&lt;&gt;F598,"Wilayah beda","OK"))))</f>
        <v/>
      </c>
      <c r="V598" s="8" t="str">
        <f>IF($A598="","",TRIM(INDEX(FORM!$I:$I,ROW())&amp;""))</f>
        <v/>
      </c>
      <c r="W598" s="8" t="str">
        <f>IF($A598="","",TRIM(INDEX(FORM!$L:$L,ROW())&amp;""))</f>
        <v/>
      </c>
      <c r="X598" s="8" t="str">
        <f>IF($A598="","",TRIM(INDEX(FORM!$M:$M,ROW())&amp;""))</f>
        <v/>
      </c>
      <c r="Y598" s="8" t="str">
        <f>IF($A598="","",IFERROR(MATCH(F598,DATA!$AH$2:$AH$5,0),9)*10000+A598)</f>
        <v/>
      </c>
      <c r="Z598" s="8" t="str">
        <f t="shared" si="199"/>
        <v/>
      </c>
      <c r="AA598" s="8" t="str">
        <f t="shared" si="200"/>
        <v/>
      </c>
      <c r="AB598" s="8" t="str">
        <f t="shared" si="201"/>
        <v/>
      </c>
      <c r="AC598" s="8"/>
      <c r="AD598" s="8"/>
      <c r="AE598" s="8"/>
      <c r="AK598" s="5" t="str">
        <f t="shared" si="202"/>
        <v/>
      </c>
      <c r="AL598" s="5" t="str">
        <f t="shared" si="203"/>
        <v/>
      </c>
      <c r="AM598" s="5" t="str">
        <f t="shared" si="204"/>
        <v/>
      </c>
      <c r="AN598" s="5" t="str">
        <f t="shared" si="205"/>
        <v/>
      </c>
      <c r="AO598" s="5" t="str">
        <f t="shared" si="206"/>
        <v/>
      </c>
      <c r="AP598" s="5" t="str">
        <f t="shared" si="207"/>
        <v/>
      </c>
      <c r="AQ598" s="5" t="str">
        <f t="shared" si="208"/>
        <v/>
      </c>
      <c r="AR598" s="5" t="str">
        <f t="shared" si="209"/>
        <v/>
      </c>
      <c r="AS598" s="5" t="str">
        <f t="shared" si="210"/>
        <v/>
      </c>
      <c r="AT598" s="5" t="str">
        <f t="shared" si="211"/>
        <v/>
      </c>
      <c r="AU598" s="5" t="str">
        <f t="shared" si="212"/>
        <v/>
      </c>
      <c r="AV598" s="5" t="str">
        <f t="shared" si="213"/>
        <v/>
      </c>
      <c r="AW598" s="5" t="str">
        <f t="shared" si="214"/>
        <v/>
      </c>
      <c r="AX598" s="5" t="str">
        <f t="shared" si="215"/>
        <v/>
      </c>
      <c r="AY598" s="5" t="str">
        <f t="shared" si="216"/>
        <v/>
      </c>
      <c r="AZ598" s="5" t="str">
        <f t="shared" si="217"/>
        <v/>
      </c>
      <c r="BA598" s="5" t="str">
        <f t="shared" si="218"/>
        <v/>
      </c>
      <c r="BB598" s="5" t="str">
        <f t="shared" si="219"/>
        <v/>
      </c>
    </row>
    <row r="599" spans="1:54" s="5" customFormat="1" hidden="1">
      <c r="A599" s="8" t="str">
        <f>IF(INDEX(FORM!$A:$A,ROW())="","",ROW()-1)</f>
        <v/>
      </c>
      <c r="B599" s="41" t="str">
        <f>IF($A599="","",INDEX(FORM!$A:$A,ROW()))</f>
        <v/>
      </c>
      <c r="C599" s="8" t="str">
        <f>IF($A599="","",TRIM(INDEX(FORM!$B:$B,ROW())))</f>
        <v/>
      </c>
      <c r="D599" s="8" t="str">
        <f>IF($A599="","",TRIM(INDEX(FORM!$C:$C,ROW())&amp;""))</f>
        <v/>
      </c>
      <c r="E599" s="8" t="str">
        <f>IF($A599="","",UPPER(TRIM(INDEX(FORM!$D:$D,ROW()))))</f>
        <v/>
      </c>
      <c r="F599" s="8" t="str">
        <f>IF($A599="","",IFERROR(INDEX(PROGRES!$A$2:$A$92,MATCH(E599,PROGRES!$B$2:$B$92,0)),"-"))</f>
        <v/>
      </c>
      <c r="G599" s="8" t="str">
        <f>IF($A599="","",UPPER(TRIM(INDEX(FORM!$F:$F,ROW()))))</f>
        <v/>
      </c>
      <c r="H599" s="8" t="str">
        <f>IF($A599="","",UPPER(TRIM(INDEX(FORM!$E:$E,ROW()))))</f>
        <v/>
      </c>
      <c r="I599" s="8" t="str">
        <f>IF($A599="","",UPPER(TRIM(INDEX(FORM!$G:$G,ROW()))))</f>
        <v/>
      </c>
      <c r="J599" s="8" t="str">
        <f>IF($A599="","",IF(ISNUMBER(SEARCH("Ya,",INDEX(FORM!$H:$H,ROW()))),"YA",IF(ISNUMBER(SEARCH("Cukup,",INDEX(FORM!$H:$H,ROW()))),"CUKUP",IF(ISNUMBER(SEARCH("Kurang,",INDEX(FORM!$H:$H,ROW()))),"KURANG",""))))</f>
        <v/>
      </c>
      <c r="K599" s="8" t="str">
        <f>IF($A599="","",UPPER(TRIM(INDEX(FORM!$J:$J,ROW()))))</f>
        <v/>
      </c>
      <c r="L599" s="8" t="str">
        <f>IF($A599="","",IF(ISNUMBER(SEARCH("Aktivitas Harian",INDEX(FORM!$K:$K,ROW()))),1,0))</f>
        <v/>
      </c>
      <c r="M599" s="8" t="str">
        <f>IF($A599="","",IF(ISNUMBER(SEARCH("Aktivitas Mingguan",INDEX(FORM!$K:$K,ROW()))),1,0))</f>
        <v/>
      </c>
      <c r="N599" s="8" t="str">
        <f>IF($A599="","",IF(ISNUMBER(SEARCH("Aktivitas Bulanan",INDEX(FORM!$K:$K,ROW()))),1,0))</f>
        <v/>
      </c>
      <c r="O599" s="8" t="str">
        <f>IF($A599="","",IF(ISNUMBER(SEARCH("Overview Cabang",INDEX(FORM!$K:$K,ROW()))),1,0))</f>
        <v/>
      </c>
      <c r="P599" s="8" t="str">
        <f>IF($A599="","",IFERROR(VLOOKUP(I599,DATA!$AH$9:$AI$13,2,0),""))</f>
        <v/>
      </c>
      <c r="Q599" s="8" t="str">
        <f>IF($A599="","",IFERROR(VLOOKUP(J599,DATA!$AH$9:$AI$13,2,0),""))</f>
        <v/>
      </c>
      <c r="R599" s="8" t="str">
        <f>IF($A599="","",IFERROR(VLOOKUP(K599,DATA!$AH$9:$AI$13,2,0),""))</f>
        <v/>
      </c>
      <c r="S599" s="42" t="str">
        <f t="shared" si="198"/>
        <v/>
      </c>
      <c r="T599" s="8" t="str">
        <f>IF($A599="","",IF(COUNTIF($D$2:D599,D599)=1,1,0))</f>
        <v/>
      </c>
      <c r="U599" s="8" t="str">
        <f>IF($A599="","",IF(F599="-","Cabang tdk ada",IF(IFERROR(VLOOKUP(G599,#REF!,1,0),"")="","",IF(INDEX(DATA!$AH$2:$AH$5,MATCH(G599,DATA!$AI$2:$AI$5,0))&lt;&gt;F599,"Wilayah beda","OK"))))</f>
        <v/>
      </c>
      <c r="V599" s="8" t="str">
        <f>IF($A599="","",TRIM(INDEX(FORM!$I:$I,ROW())&amp;""))</f>
        <v/>
      </c>
      <c r="W599" s="8" t="str">
        <f>IF($A599="","",TRIM(INDEX(FORM!$L:$L,ROW())&amp;""))</f>
        <v/>
      </c>
      <c r="X599" s="8" t="str">
        <f>IF($A599="","",TRIM(INDEX(FORM!$M:$M,ROW())&amp;""))</f>
        <v/>
      </c>
      <c r="Y599" s="8" t="str">
        <f>IF($A599="","",IFERROR(MATCH(F599,DATA!$AH$2:$AH$5,0),9)*10000+A599)</f>
        <v/>
      </c>
      <c r="Z599" s="8" t="str">
        <f t="shared" si="199"/>
        <v/>
      </c>
      <c r="AA599" s="8" t="str">
        <f t="shared" si="200"/>
        <v/>
      </c>
      <c r="AB599" s="8" t="str">
        <f t="shared" si="201"/>
        <v/>
      </c>
      <c r="AC599" s="8"/>
      <c r="AD599" s="8"/>
      <c r="AE599" s="8"/>
      <c r="AK599" s="5" t="str">
        <f t="shared" si="202"/>
        <v/>
      </c>
      <c r="AL599" s="5" t="str">
        <f t="shared" si="203"/>
        <v/>
      </c>
      <c r="AM599" s="5" t="str">
        <f t="shared" si="204"/>
        <v/>
      </c>
      <c r="AN599" s="5" t="str">
        <f t="shared" si="205"/>
        <v/>
      </c>
      <c r="AO599" s="5" t="str">
        <f t="shared" si="206"/>
        <v/>
      </c>
      <c r="AP599" s="5" t="str">
        <f t="shared" si="207"/>
        <v/>
      </c>
      <c r="AQ599" s="5" t="str">
        <f t="shared" si="208"/>
        <v/>
      </c>
      <c r="AR599" s="5" t="str">
        <f t="shared" si="209"/>
        <v/>
      </c>
      <c r="AS599" s="5" t="str">
        <f t="shared" si="210"/>
        <v/>
      </c>
      <c r="AT599" s="5" t="str">
        <f t="shared" si="211"/>
        <v/>
      </c>
      <c r="AU599" s="5" t="str">
        <f t="shared" si="212"/>
        <v/>
      </c>
      <c r="AV599" s="5" t="str">
        <f t="shared" si="213"/>
        <v/>
      </c>
      <c r="AW599" s="5" t="str">
        <f t="shared" si="214"/>
        <v/>
      </c>
      <c r="AX599" s="5" t="str">
        <f t="shared" si="215"/>
        <v/>
      </c>
      <c r="AY599" s="5" t="str">
        <f t="shared" si="216"/>
        <v/>
      </c>
      <c r="AZ599" s="5" t="str">
        <f t="shared" si="217"/>
        <v/>
      </c>
      <c r="BA599" s="5" t="str">
        <f t="shared" si="218"/>
        <v/>
      </c>
      <c r="BB599" s="5" t="str">
        <f t="shared" si="219"/>
        <v/>
      </c>
    </row>
    <row r="600" spans="1:54" s="5" customFormat="1" hidden="1">
      <c r="A600" s="8" t="str">
        <f>IF(INDEX(FORM!$A:$A,ROW())="","",ROW()-1)</f>
        <v/>
      </c>
      <c r="B600" s="41" t="str">
        <f>IF($A600="","",INDEX(FORM!$A:$A,ROW()))</f>
        <v/>
      </c>
      <c r="C600" s="8" t="str">
        <f>IF($A600="","",TRIM(INDEX(FORM!$B:$B,ROW())))</f>
        <v/>
      </c>
      <c r="D600" s="8" t="str">
        <f>IF($A600="","",TRIM(INDEX(FORM!$C:$C,ROW())&amp;""))</f>
        <v/>
      </c>
      <c r="E600" s="8" t="str">
        <f>IF($A600="","",UPPER(TRIM(INDEX(FORM!$D:$D,ROW()))))</f>
        <v/>
      </c>
      <c r="F600" s="8" t="str">
        <f>IF($A600="","",IFERROR(INDEX(PROGRES!$A$2:$A$92,MATCH(E600,PROGRES!$B$2:$B$92,0)),"-"))</f>
        <v/>
      </c>
      <c r="G600" s="8" t="str">
        <f>IF($A600="","",UPPER(TRIM(INDEX(FORM!$F:$F,ROW()))))</f>
        <v/>
      </c>
      <c r="H600" s="8" t="str">
        <f>IF($A600="","",UPPER(TRIM(INDEX(FORM!$E:$E,ROW()))))</f>
        <v/>
      </c>
      <c r="I600" s="8" t="str">
        <f>IF($A600="","",UPPER(TRIM(INDEX(FORM!$G:$G,ROW()))))</f>
        <v/>
      </c>
      <c r="J600" s="8" t="str">
        <f>IF($A600="","",IF(ISNUMBER(SEARCH("Ya,",INDEX(FORM!$H:$H,ROW()))),"YA",IF(ISNUMBER(SEARCH("Cukup,",INDEX(FORM!$H:$H,ROW()))),"CUKUP",IF(ISNUMBER(SEARCH("Kurang,",INDEX(FORM!$H:$H,ROW()))),"KURANG",""))))</f>
        <v/>
      </c>
      <c r="K600" s="8" t="str">
        <f>IF($A600="","",UPPER(TRIM(INDEX(FORM!$J:$J,ROW()))))</f>
        <v/>
      </c>
      <c r="L600" s="8" t="str">
        <f>IF($A600="","",IF(ISNUMBER(SEARCH("Aktivitas Harian",INDEX(FORM!$K:$K,ROW()))),1,0))</f>
        <v/>
      </c>
      <c r="M600" s="8" t="str">
        <f>IF($A600="","",IF(ISNUMBER(SEARCH("Aktivitas Mingguan",INDEX(FORM!$K:$K,ROW()))),1,0))</f>
        <v/>
      </c>
      <c r="N600" s="8" t="str">
        <f>IF($A600="","",IF(ISNUMBER(SEARCH("Aktivitas Bulanan",INDEX(FORM!$K:$K,ROW()))),1,0))</f>
        <v/>
      </c>
      <c r="O600" s="8" t="str">
        <f>IF($A600="","",IF(ISNUMBER(SEARCH("Overview Cabang",INDEX(FORM!$K:$K,ROW()))),1,0))</f>
        <v/>
      </c>
      <c r="P600" s="8" t="str">
        <f>IF($A600="","",IFERROR(VLOOKUP(I600,DATA!$AH$9:$AI$13,2,0),""))</f>
        <v/>
      </c>
      <c r="Q600" s="8" t="str">
        <f>IF($A600="","",IFERROR(VLOOKUP(J600,DATA!$AH$9:$AI$13,2,0),""))</f>
        <v/>
      </c>
      <c r="R600" s="8" t="str">
        <f>IF($A600="","",IFERROR(VLOOKUP(K600,DATA!$AH$9:$AI$13,2,0),""))</f>
        <v/>
      </c>
      <c r="S600" s="42" t="str">
        <f t="shared" si="198"/>
        <v/>
      </c>
      <c r="T600" s="8" t="str">
        <f>IF($A600="","",IF(COUNTIF($D$2:D600,D600)=1,1,0))</f>
        <v/>
      </c>
      <c r="U600" s="8" t="str">
        <f>IF($A600="","",IF(F600="-","Cabang tdk ada",IF(IFERROR(VLOOKUP(G600,#REF!,1,0),"")="","",IF(INDEX(DATA!$AH$2:$AH$5,MATCH(G600,DATA!$AI$2:$AI$5,0))&lt;&gt;F600,"Wilayah beda","OK"))))</f>
        <v/>
      </c>
      <c r="V600" s="8" t="str">
        <f>IF($A600="","",TRIM(INDEX(FORM!$I:$I,ROW())&amp;""))</f>
        <v/>
      </c>
      <c r="W600" s="8" t="str">
        <f>IF($A600="","",TRIM(INDEX(FORM!$L:$L,ROW())&amp;""))</f>
        <v/>
      </c>
      <c r="X600" s="8" t="str">
        <f>IF($A600="","",TRIM(INDEX(FORM!$M:$M,ROW())&amp;""))</f>
        <v/>
      </c>
      <c r="Y600" s="8" t="str">
        <f>IF($A600="","",IFERROR(MATCH(F600,DATA!$AH$2:$AH$5,0),9)*10000+A600)</f>
        <v/>
      </c>
      <c r="Z600" s="8" t="str">
        <f t="shared" si="199"/>
        <v/>
      </c>
      <c r="AA600" s="8" t="str">
        <f t="shared" si="200"/>
        <v/>
      </c>
      <c r="AB600" s="8" t="str">
        <f t="shared" si="201"/>
        <v/>
      </c>
      <c r="AC600" s="8"/>
      <c r="AD600" s="8"/>
      <c r="AE600" s="8"/>
      <c r="AK600" s="5" t="str">
        <f t="shared" si="202"/>
        <v/>
      </c>
      <c r="AL600" s="5" t="str">
        <f t="shared" si="203"/>
        <v/>
      </c>
      <c r="AM600" s="5" t="str">
        <f t="shared" si="204"/>
        <v/>
      </c>
      <c r="AN600" s="5" t="str">
        <f t="shared" si="205"/>
        <v/>
      </c>
      <c r="AO600" s="5" t="str">
        <f t="shared" si="206"/>
        <v/>
      </c>
      <c r="AP600" s="5" t="str">
        <f t="shared" si="207"/>
        <v/>
      </c>
      <c r="AQ600" s="5" t="str">
        <f t="shared" si="208"/>
        <v/>
      </c>
      <c r="AR600" s="5" t="str">
        <f t="shared" si="209"/>
        <v/>
      </c>
      <c r="AS600" s="5" t="str">
        <f t="shared" si="210"/>
        <v/>
      </c>
      <c r="AT600" s="5" t="str">
        <f t="shared" si="211"/>
        <v/>
      </c>
      <c r="AU600" s="5" t="str">
        <f t="shared" si="212"/>
        <v/>
      </c>
      <c r="AV600" s="5" t="str">
        <f t="shared" si="213"/>
        <v/>
      </c>
      <c r="AW600" s="5" t="str">
        <f t="shared" si="214"/>
        <v/>
      </c>
      <c r="AX600" s="5" t="str">
        <f t="shared" si="215"/>
        <v/>
      </c>
      <c r="AY600" s="5" t="str">
        <f t="shared" si="216"/>
        <v/>
      </c>
      <c r="AZ600" s="5" t="str">
        <f t="shared" si="217"/>
        <v/>
      </c>
      <c r="BA600" s="5" t="str">
        <f t="shared" si="218"/>
        <v/>
      </c>
      <c r="BB600" s="5" t="str">
        <f t="shared" si="219"/>
        <v/>
      </c>
    </row>
    <row r="601" spans="1:54" s="5" customFormat="1" hidden="1">
      <c r="A601" s="8" t="str">
        <f>IF(INDEX(FORM!$A:$A,ROW())="","",ROW()-1)</f>
        <v/>
      </c>
      <c r="B601" s="41" t="str">
        <f>IF($A601="","",INDEX(FORM!$A:$A,ROW()))</f>
        <v/>
      </c>
      <c r="C601" s="8" t="str">
        <f>IF($A601="","",TRIM(INDEX(FORM!$B:$B,ROW())))</f>
        <v/>
      </c>
      <c r="D601" s="8" t="str">
        <f>IF($A601="","",TRIM(INDEX(FORM!$C:$C,ROW())&amp;""))</f>
        <v/>
      </c>
      <c r="E601" s="8" t="str">
        <f>IF($A601="","",UPPER(TRIM(INDEX(FORM!$D:$D,ROW()))))</f>
        <v/>
      </c>
      <c r="F601" s="8" t="str">
        <f>IF($A601="","",IFERROR(INDEX(PROGRES!$A$2:$A$92,MATCH(E601,PROGRES!$B$2:$B$92,0)),"-"))</f>
        <v/>
      </c>
      <c r="G601" s="8" t="str">
        <f>IF($A601="","",UPPER(TRIM(INDEX(FORM!$F:$F,ROW()))))</f>
        <v/>
      </c>
      <c r="H601" s="8" t="str">
        <f>IF($A601="","",UPPER(TRIM(INDEX(FORM!$E:$E,ROW()))))</f>
        <v/>
      </c>
      <c r="I601" s="8" t="str">
        <f>IF($A601="","",UPPER(TRIM(INDEX(FORM!$G:$G,ROW()))))</f>
        <v/>
      </c>
      <c r="J601" s="8" t="str">
        <f>IF($A601="","",IF(ISNUMBER(SEARCH("Ya,",INDEX(FORM!$H:$H,ROW()))),"YA",IF(ISNUMBER(SEARCH("Cukup,",INDEX(FORM!$H:$H,ROW()))),"CUKUP",IF(ISNUMBER(SEARCH("Kurang,",INDEX(FORM!$H:$H,ROW()))),"KURANG",""))))</f>
        <v/>
      </c>
      <c r="K601" s="8" t="str">
        <f>IF($A601="","",UPPER(TRIM(INDEX(FORM!$J:$J,ROW()))))</f>
        <v/>
      </c>
      <c r="L601" s="8" t="str">
        <f>IF($A601="","",IF(ISNUMBER(SEARCH("Aktivitas Harian",INDEX(FORM!$K:$K,ROW()))),1,0))</f>
        <v/>
      </c>
      <c r="M601" s="8" t="str">
        <f>IF($A601="","",IF(ISNUMBER(SEARCH("Aktivitas Mingguan",INDEX(FORM!$K:$K,ROW()))),1,0))</f>
        <v/>
      </c>
      <c r="N601" s="8" t="str">
        <f>IF($A601="","",IF(ISNUMBER(SEARCH("Aktivitas Bulanan",INDEX(FORM!$K:$K,ROW()))),1,0))</f>
        <v/>
      </c>
      <c r="O601" s="8" t="str">
        <f>IF($A601="","",IF(ISNUMBER(SEARCH("Overview Cabang",INDEX(FORM!$K:$K,ROW()))),1,0))</f>
        <v/>
      </c>
      <c r="P601" s="8" t="str">
        <f>IF($A601="","",IFERROR(VLOOKUP(I601,DATA!$AH$9:$AI$13,2,0),""))</f>
        <v/>
      </c>
      <c r="Q601" s="8" t="str">
        <f>IF($A601="","",IFERROR(VLOOKUP(J601,DATA!$AH$9:$AI$13,2,0),""))</f>
        <v/>
      </c>
      <c r="R601" s="8" t="str">
        <f>IF($A601="","",IFERROR(VLOOKUP(K601,DATA!$AH$9:$AI$13,2,0),""))</f>
        <v/>
      </c>
      <c r="S601" s="42" t="str">
        <f t="shared" si="198"/>
        <v/>
      </c>
      <c r="T601" s="8" t="str">
        <f>IF($A601="","",IF(COUNTIF($D$2:D601,D601)=1,1,0))</f>
        <v/>
      </c>
      <c r="U601" s="8" t="str">
        <f>IF($A601="","",IF(F601="-","Cabang tdk ada",IF(IFERROR(VLOOKUP(G601,#REF!,1,0),"")="","",IF(INDEX(DATA!$AH$2:$AH$5,MATCH(G601,DATA!$AI$2:$AI$5,0))&lt;&gt;F601,"Wilayah beda","OK"))))</f>
        <v/>
      </c>
      <c r="V601" s="8" t="str">
        <f>IF($A601="","",TRIM(INDEX(FORM!$I:$I,ROW())&amp;""))</f>
        <v/>
      </c>
      <c r="W601" s="8" t="str">
        <f>IF($A601="","",TRIM(INDEX(FORM!$L:$L,ROW())&amp;""))</f>
        <v/>
      </c>
      <c r="X601" s="8" t="str">
        <f>IF($A601="","",TRIM(INDEX(FORM!$M:$M,ROW())&amp;""))</f>
        <v/>
      </c>
      <c r="Y601" s="8" t="str">
        <f>IF($A601="","",IFERROR(MATCH(F601,DATA!$AH$2:$AH$5,0),9)*10000+A601)</f>
        <v/>
      </c>
      <c r="Z601" s="8" t="str">
        <f t="shared" si="199"/>
        <v/>
      </c>
      <c r="AA601" s="8" t="str">
        <f t="shared" si="200"/>
        <v/>
      </c>
      <c r="AB601" s="8" t="str">
        <f t="shared" si="201"/>
        <v/>
      </c>
      <c r="AC601" s="8"/>
      <c r="AD601" s="8"/>
      <c r="AE601" s="8"/>
      <c r="AK601" s="5" t="str">
        <f t="shared" si="202"/>
        <v/>
      </c>
      <c r="AL601" s="5" t="str">
        <f t="shared" si="203"/>
        <v/>
      </c>
      <c r="AM601" s="5" t="str">
        <f t="shared" si="204"/>
        <v/>
      </c>
      <c r="AN601" s="5" t="str">
        <f t="shared" si="205"/>
        <v/>
      </c>
      <c r="AO601" s="5" t="str">
        <f t="shared" si="206"/>
        <v/>
      </c>
      <c r="AP601" s="5" t="str">
        <f t="shared" si="207"/>
        <v/>
      </c>
      <c r="AQ601" s="5" t="str">
        <f t="shared" si="208"/>
        <v/>
      </c>
      <c r="AR601" s="5" t="str">
        <f t="shared" si="209"/>
        <v/>
      </c>
      <c r="AS601" s="5" t="str">
        <f t="shared" si="210"/>
        <v/>
      </c>
      <c r="AT601" s="5" t="str">
        <f t="shared" si="211"/>
        <v/>
      </c>
      <c r="AU601" s="5" t="str">
        <f t="shared" si="212"/>
        <v/>
      </c>
      <c r="AV601" s="5" t="str">
        <f t="shared" si="213"/>
        <v/>
      </c>
      <c r="AW601" s="5" t="str">
        <f t="shared" si="214"/>
        <v/>
      </c>
      <c r="AX601" s="5" t="str">
        <f t="shared" si="215"/>
        <v/>
      </c>
      <c r="AY601" s="5" t="str">
        <f t="shared" si="216"/>
        <v/>
      </c>
      <c r="AZ601" s="5" t="str">
        <f t="shared" si="217"/>
        <v/>
      </c>
      <c r="BA601" s="5" t="str">
        <f t="shared" si="218"/>
        <v/>
      </c>
      <c r="BB601" s="5" t="str">
        <f t="shared" si="219"/>
        <v/>
      </c>
    </row>
    <row r="602" spans="1:54" s="5" customFormat="1" hidden="1">
      <c r="A602" s="8" t="str">
        <f>IF(INDEX(FORM!$A:$A,ROW())="","",ROW()-1)</f>
        <v/>
      </c>
      <c r="B602" s="41" t="str">
        <f>IF($A602="","",INDEX(FORM!$A:$A,ROW()))</f>
        <v/>
      </c>
      <c r="C602" s="8" t="str">
        <f>IF($A602="","",TRIM(INDEX(FORM!$B:$B,ROW())))</f>
        <v/>
      </c>
      <c r="D602" s="8" t="str">
        <f>IF($A602="","",TRIM(INDEX(FORM!$C:$C,ROW())&amp;""))</f>
        <v/>
      </c>
      <c r="E602" s="8" t="str">
        <f>IF($A602="","",UPPER(TRIM(INDEX(FORM!$D:$D,ROW()))))</f>
        <v/>
      </c>
      <c r="F602" s="8" t="str">
        <f>IF($A602="","",IFERROR(INDEX(PROGRES!$A$2:$A$92,MATCH(E602,PROGRES!$B$2:$B$92,0)),"-"))</f>
        <v/>
      </c>
      <c r="G602" s="8" t="str">
        <f>IF($A602="","",UPPER(TRIM(INDEX(FORM!$F:$F,ROW()))))</f>
        <v/>
      </c>
      <c r="H602" s="8" t="str">
        <f>IF($A602="","",UPPER(TRIM(INDEX(FORM!$E:$E,ROW()))))</f>
        <v/>
      </c>
      <c r="I602" s="8" t="str">
        <f>IF($A602="","",UPPER(TRIM(INDEX(FORM!$G:$G,ROW()))))</f>
        <v/>
      </c>
      <c r="J602" s="8" t="str">
        <f>IF($A602="","",IF(ISNUMBER(SEARCH("Ya,",INDEX(FORM!$H:$H,ROW()))),"YA",IF(ISNUMBER(SEARCH("Cukup,",INDEX(FORM!$H:$H,ROW()))),"CUKUP",IF(ISNUMBER(SEARCH("Kurang,",INDEX(FORM!$H:$H,ROW()))),"KURANG",""))))</f>
        <v/>
      </c>
      <c r="K602" s="8" t="str">
        <f>IF($A602="","",UPPER(TRIM(INDEX(FORM!$J:$J,ROW()))))</f>
        <v/>
      </c>
      <c r="L602" s="8" t="str">
        <f>IF($A602="","",IF(ISNUMBER(SEARCH("Aktivitas Harian",INDEX(FORM!$K:$K,ROW()))),1,0))</f>
        <v/>
      </c>
      <c r="M602" s="8" t="str">
        <f>IF($A602="","",IF(ISNUMBER(SEARCH("Aktivitas Mingguan",INDEX(FORM!$K:$K,ROW()))),1,0))</f>
        <v/>
      </c>
      <c r="N602" s="8" t="str">
        <f>IF($A602="","",IF(ISNUMBER(SEARCH("Aktivitas Bulanan",INDEX(FORM!$K:$K,ROW()))),1,0))</f>
        <v/>
      </c>
      <c r="O602" s="8" t="str">
        <f>IF($A602="","",IF(ISNUMBER(SEARCH("Overview Cabang",INDEX(FORM!$K:$K,ROW()))),1,0))</f>
        <v/>
      </c>
      <c r="P602" s="8" t="str">
        <f>IF($A602="","",IFERROR(VLOOKUP(I602,DATA!$AH$9:$AI$13,2,0),""))</f>
        <v/>
      </c>
      <c r="Q602" s="8" t="str">
        <f>IF($A602="","",IFERROR(VLOOKUP(J602,DATA!$AH$9:$AI$13,2,0),""))</f>
        <v/>
      </c>
      <c r="R602" s="8" t="str">
        <f>IF($A602="","",IFERROR(VLOOKUP(K602,DATA!$AH$9:$AI$13,2,0),""))</f>
        <v/>
      </c>
      <c r="S602" s="42" t="str">
        <f t="shared" si="198"/>
        <v/>
      </c>
      <c r="T602" s="8" t="str">
        <f>IF($A602="","",IF(COUNTIF($D$2:D602,D602)=1,1,0))</f>
        <v/>
      </c>
      <c r="U602" s="8" t="str">
        <f>IF($A602="","",IF(F602="-","Cabang tdk ada",IF(IFERROR(VLOOKUP(G602,#REF!,1,0),"")="","",IF(INDEX(DATA!$AH$2:$AH$5,MATCH(G602,DATA!$AI$2:$AI$5,0))&lt;&gt;F602,"Wilayah beda","OK"))))</f>
        <v/>
      </c>
      <c r="V602" s="8" t="str">
        <f>IF($A602="","",TRIM(INDEX(FORM!$I:$I,ROW())&amp;""))</f>
        <v/>
      </c>
      <c r="W602" s="8" t="str">
        <f>IF($A602="","",TRIM(INDEX(FORM!$L:$L,ROW())&amp;""))</f>
        <v/>
      </c>
      <c r="X602" s="8" t="str">
        <f>IF($A602="","",TRIM(INDEX(FORM!$M:$M,ROW())&amp;""))</f>
        <v/>
      </c>
      <c r="Y602" s="8" t="str">
        <f>IF($A602="","",IFERROR(MATCH(F602,DATA!$AH$2:$AH$5,0),9)*10000+A602)</f>
        <v/>
      </c>
      <c r="Z602" s="8" t="str">
        <f t="shared" si="199"/>
        <v/>
      </c>
      <c r="AA602" s="8" t="str">
        <f t="shared" si="200"/>
        <v/>
      </c>
      <c r="AB602" s="8" t="str">
        <f t="shared" si="201"/>
        <v/>
      </c>
      <c r="AC602" s="8"/>
      <c r="AD602" s="8"/>
      <c r="AE602" s="8"/>
      <c r="AK602" s="5" t="str">
        <f t="shared" si="202"/>
        <v/>
      </c>
      <c r="AL602" s="5" t="str">
        <f t="shared" si="203"/>
        <v/>
      </c>
      <c r="AM602" s="5" t="str">
        <f t="shared" si="204"/>
        <v/>
      </c>
      <c r="AN602" s="5" t="str">
        <f t="shared" si="205"/>
        <v/>
      </c>
      <c r="AO602" s="5" t="str">
        <f t="shared" si="206"/>
        <v/>
      </c>
      <c r="AP602" s="5" t="str">
        <f t="shared" si="207"/>
        <v/>
      </c>
      <c r="AQ602" s="5" t="str">
        <f t="shared" si="208"/>
        <v/>
      </c>
      <c r="AR602" s="5" t="str">
        <f t="shared" si="209"/>
        <v/>
      </c>
      <c r="AS602" s="5" t="str">
        <f t="shared" si="210"/>
        <v/>
      </c>
      <c r="AT602" s="5" t="str">
        <f t="shared" si="211"/>
        <v/>
      </c>
      <c r="AU602" s="5" t="str">
        <f t="shared" si="212"/>
        <v/>
      </c>
      <c r="AV602" s="5" t="str">
        <f t="shared" si="213"/>
        <v/>
      </c>
      <c r="AW602" s="5" t="str">
        <f t="shared" si="214"/>
        <v/>
      </c>
      <c r="AX602" s="5" t="str">
        <f t="shared" si="215"/>
        <v/>
      </c>
      <c r="AY602" s="5" t="str">
        <f t="shared" si="216"/>
        <v/>
      </c>
      <c r="AZ602" s="5" t="str">
        <f t="shared" si="217"/>
        <v/>
      </c>
      <c r="BA602" s="5" t="str">
        <f t="shared" si="218"/>
        <v/>
      </c>
      <c r="BB602" s="5" t="str">
        <f t="shared" si="219"/>
        <v/>
      </c>
    </row>
    <row r="603" spans="1:54" s="5" customFormat="1" hidden="1">
      <c r="A603" s="8" t="str">
        <f>IF(INDEX(FORM!$A:$A,ROW())="","",ROW()-1)</f>
        <v/>
      </c>
      <c r="B603" s="41" t="str">
        <f>IF($A603="","",INDEX(FORM!$A:$A,ROW()))</f>
        <v/>
      </c>
      <c r="C603" s="8" t="str">
        <f>IF($A603="","",TRIM(INDEX(FORM!$B:$B,ROW())))</f>
        <v/>
      </c>
      <c r="D603" s="8" t="str">
        <f>IF($A603="","",TRIM(INDEX(FORM!$C:$C,ROW())&amp;""))</f>
        <v/>
      </c>
      <c r="E603" s="8" t="str">
        <f>IF($A603="","",UPPER(TRIM(INDEX(FORM!$D:$D,ROW()))))</f>
        <v/>
      </c>
      <c r="F603" s="8" t="str">
        <f>IF($A603="","",IFERROR(INDEX(PROGRES!$A$2:$A$92,MATCH(E603,PROGRES!$B$2:$B$92,0)),"-"))</f>
        <v/>
      </c>
      <c r="G603" s="8" t="str">
        <f>IF($A603="","",UPPER(TRIM(INDEX(FORM!$F:$F,ROW()))))</f>
        <v/>
      </c>
      <c r="H603" s="8" t="str">
        <f>IF($A603="","",UPPER(TRIM(INDEX(FORM!$E:$E,ROW()))))</f>
        <v/>
      </c>
      <c r="I603" s="8" t="str">
        <f>IF($A603="","",UPPER(TRIM(INDEX(FORM!$G:$G,ROW()))))</f>
        <v/>
      </c>
      <c r="J603" s="8" t="str">
        <f>IF($A603="","",IF(ISNUMBER(SEARCH("Ya,",INDEX(FORM!$H:$H,ROW()))),"YA",IF(ISNUMBER(SEARCH("Cukup,",INDEX(FORM!$H:$H,ROW()))),"CUKUP",IF(ISNUMBER(SEARCH("Kurang,",INDEX(FORM!$H:$H,ROW()))),"KURANG",""))))</f>
        <v/>
      </c>
      <c r="K603" s="8" t="str">
        <f>IF($A603="","",UPPER(TRIM(INDEX(FORM!$J:$J,ROW()))))</f>
        <v/>
      </c>
      <c r="L603" s="8" t="str">
        <f>IF($A603="","",IF(ISNUMBER(SEARCH("Aktivitas Harian",INDEX(FORM!$K:$K,ROW()))),1,0))</f>
        <v/>
      </c>
      <c r="M603" s="8" t="str">
        <f>IF($A603="","",IF(ISNUMBER(SEARCH("Aktivitas Mingguan",INDEX(FORM!$K:$K,ROW()))),1,0))</f>
        <v/>
      </c>
      <c r="N603" s="8" t="str">
        <f>IF($A603="","",IF(ISNUMBER(SEARCH("Aktivitas Bulanan",INDEX(FORM!$K:$K,ROW()))),1,0))</f>
        <v/>
      </c>
      <c r="O603" s="8" t="str">
        <f>IF($A603="","",IF(ISNUMBER(SEARCH("Overview Cabang",INDEX(FORM!$K:$K,ROW()))),1,0))</f>
        <v/>
      </c>
      <c r="P603" s="8" t="str">
        <f>IF($A603="","",IFERROR(VLOOKUP(I603,DATA!$AH$9:$AI$13,2,0),""))</f>
        <v/>
      </c>
      <c r="Q603" s="8" t="str">
        <f>IF($A603="","",IFERROR(VLOOKUP(J603,DATA!$AH$9:$AI$13,2,0),""))</f>
        <v/>
      </c>
      <c r="R603" s="8" t="str">
        <f>IF($A603="","",IFERROR(VLOOKUP(K603,DATA!$AH$9:$AI$13,2,0),""))</f>
        <v/>
      </c>
      <c r="S603" s="42" t="str">
        <f t="shared" si="198"/>
        <v/>
      </c>
      <c r="T603" s="8" t="str">
        <f>IF($A603="","",IF(COUNTIF($D$2:D603,D603)=1,1,0))</f>
        <v/>
      </c>
      <c r="U603" s="8" t="str">
        <f>IF($A603="","",IF(F603="-","Cabang tdk ada",IF(IFERROR(VLOOKUP(G603,#REF!,1,0),"")="","",IF(INDEX(DATA!$AH$2:$AH$5,MATCH(G603,DATA!$AI$2:$AI$5,0))&lt;&gt;F603,"Wilayah beda","OK"))))</f>
        <v/>
      </c>
      <c r="V603" s="8" t="str">
        <f>IF($A603="","",TRIM(INDEX(FORM!$I:$I,ROW())&amp;""))</f>
        <v/>
      </c>
      <c r="W603" s="8" t="str">
        <f>IF($A603="","",TRIM(INDEX(FORM!$L:$L,ROW())&amp;""))</f>
        <v/>
      </c>
      <c r="X603" s="8" t="str">
        <f>IF($A603="","",TRIM(INDEX(FORM!$M:$M,ROW())&amp;""))</f>
        <v/>
      </c>
      <c r="Y603" s="8" t="str">
        <f>IF($A603="","",IFERROR(MATCH(F603,DATA!$AH$2:$AH$5,0),9)*10000+A603)</f>
        <v/>
      </c>
      <c r="Z603" s="8" t="str">
        <f t="shared" si="199"/>
        <v/>
      </c>
      <c r="AA603" s="8" t="str">
        <f t="shared" si="200"/>
        <v/>
      </c>
      <c r="AB603" s="8" t="str">
        <f t="shared" si="201"/>
        <v/>
      </c>
      <c r="AC603" s="8"/>
      <c r="AD603" s="8"/>
      <c r="AE603" s="8"/>
      <c r="AK603" s="5" t="str">
        <f t="shared" si="202"/>
        <v/>
      </c>
      <c r="AL603" s="5" t="str">
        <f t="shared" si="203"/>
        <v/>
      </c>
      <c r="AM603" s="5" t="str">
        <f t="shared" si="204"/>
        <v/>
      </c>
      <c r="AN603" s="5" t="str">
        <f t="shared" si="205"/>
        <v/>
      </c>
      <c r="AO603" s="5" t="str">
        <f t="shared" si="206"/>
        <v/>
      </c>
      <c r="AP603" s="5" t="str">
        <f t="shared" si="207"/>
        <v/>
      </c>
      <c r="AQ603" s="5" t="str">
        <f t="shared" si="208"/>
        <v/>
      </c>
      <c r="AR603" s="5" t="str">
        <f t="shared" si="209"/>
        <v/>
      </c>
      <c r="AS603" s="5" t="str">
        <f t="shared" si="210"/>
        <v/>
      </c>
      <c r="AT603" s="5" t="str">
        <f t="shared" si="211"/>
        <v/>
      </c>
      <c r="AU603" s="5" t="str">
        <f t="shared" si="212"/>
        <v/>
      </c>
      <c r="AV603" s="5" t="str">
        <f t="shared" si="213"/>
        <v/>
      </c>
      <c r="AW603" s="5" t="str">
        <f t="shared" si="214"/>
        <v/>
      </c>
      <c r="AX603" s="5" t="str">
        <f t="shared" si="215"/>
        <v/>
      </c>
      <c r="AY603" s="5" t="str">
        <f t="shared" si="216"/>
        <v/>
      </c>
      <c r="AZ603" s="5" t="str">
        <f t="shared" si="217"/>
        <v/>
      </c>
      <c r="BA603" s="5" t="str">
        <f t="shared" si="218"/>
        <v/>
      </c>
      <c r="BB603" s="5" t="str">
        <f t="shared" si="219"/>
        <v/>
      </c>
    </row>
    <row r="604" spans="1:54" s="5" customFormat="1" hidden="1">
      <c r="A604" s="8" t="str">
        <f>IF(INDEX(FORM!$A:$A,ROW())="","",ROW()-1)</f>
        <v/>
      </c>
      <c r="B604" s="41" t="str">
        <f>IF($A604="","",INDEX(FORM!$A:$A,ROW()))</f>
        <v/>
      </c>
      <c r="C604" s="8" t="str">
        <f>IF($A604="","",TRIM(INDEX(FORM!$B:$B,ROW())))</f>
        <v/>
      </c>
      <c r="D604" s="8" t="str">
        <f>IF($A604="","",TRIM(INDEX(FORM!$C:$C,ROW())&amp;""))</f>
        <v/>
      </c>
      <c r="E604" s="8" t="str">
        <f>IF($A604="","",UPPER(TRIM(INDEX(FORM!$D:$D,ROW()))))</f>
        <v/>
      </c>
      <c r="F604" s="8" t="str">
        <f>IF($A604="","",IFERROR(INDEX(PROGRES!$A$2:$A$92,MATCH(E604,PROGRES!$B$2:$B$92,0)),"-"))</f>
        <v/>
      </c>
      <c r="G604" s="8" t="str">
        <f>IF($A604="","",UPPER(TRIM(INDEX(FORM!$F:$F,ROW()))))</f>
        <v/>
      </c>
      <c r="H604" s="8" t="str">
        <f>IF($A604="","",UPPER(TRIM(INDEX(FORM!$E:$E,ROW()))))</f>
        <v/>
      </c>
      <c r="I604" s="8" t="str">
        <f>IF($A604="","",UPPER(TRIM(INDEX(FORM!$G:$G,ROW()))))</f>
        <v/>
      </c>
      <c r="J604" s="8" t="str">
        <f>IF($A604="","",IF(ISNUMBER(SEARCH("Ya,",INDEX(FORM!$H:$H,ROW()))),"YA",IF(ISNUMBER(SEARCH("Cukup,",INDEX(FORM!$H:$H,ROW()))),"CUKUP",IF(ISNUMBER(SEARCH("Kurang,",INDEX(FORM!$H:$H,ROW()))),"KURANG",""))))</f>
        <v/>
      </c>
      <c r="K604" s="8" t="str">
        <f>IF($A604="","",UPPER(TRIM(INDEX(FORM!$J:$J,ROW()))))</f>
        <v/>
      </c>
      <c r="L604" s="8" t="str">
        <f>IF($A604="","",IF(ISNUMBER(SEARCH("Aktivitas Harian",INDEX(FORM!$K:$K,ROW()))),1,0))</f>
        <v/>
      </c>
      <c r="M604" s="8" t="str">
        <f>IF($A604="","",IF(ISNUMBER(SEARCH("Aktivitas Mingguan",INDEX(FORM!$K:$K,ROW()))),1,0))</f>
        <v/>
      </c>
      <c r="N604" s="8" t="str">
        <f>IF($A604="","",IF(ISNUMBER(SEARCH("Aktivitas Bulanan",INDEX(FORM!$K:$K,ROW()))),1,0))</f>
        <v/>
      </c>
      <c r="O604" s="8" t="str">
        <f>IF($A604="","",IF(ISNUMBER(SEARCH("Overview Cabang",INDEX(FORM!$K:$K,ROW()))),1,0))</f>
        <v/>
      </c>
      <c r="P604" s="8" t="str">
        <f>IF($A604="","",IFERROR(VLOOKUP(I604,DATA!$AH$9:$AI$13,2,0),""))</f>
        <v/>
      </c>
      <c r="Q604" s="8" t="str">
        <f>IF($A604="","",IFERROR(VLOOKUP(J604,DATA!$AH$9:$AI$13,2,0),""))</f>
        <v/>
      </c>
      <c r="R604" s="8" t="str">
        <f>IF($A604="","",IFERROR(VLOOKUP(K604,DATA!$AH$9:$AI$13,2,0),""))</f>
        <v/>
      </c>
      <c r="S604" s="42" t="str">
        <f t="shared" si="198"/>
        <v/>
      </c>
      <c r="T604" s="8" t="str">
        <f>IF($A604="","",IF(COUNTIF($D$2:D604,D604)=1,1,0))</f>
        <v/>
      </c>
      <c r="U604" s="8" t="str">
        <f>IF($A604="","",IF(F604="-","Cabang tdk ada",IF(IFERROR(VLOOKUP(G604,#REF!,1,0),"")="","",IF(INDEX(DATA!$AH$2:$AH$5,MATCH(G604,DATA!$AI$2:$AI$5,0))&lt;&gt;F604,"Wilayah beda","OK"))))</f>
        <v/>
      </c>
      <c r="V604" s="8" t="str">
        <f>IF($A604="","",TRIM(INDEX(FORM!$I:$I,ROW())&amp;""))</f>
        <v/>
      </c>
      <c r="W604" s="8" t="str">
        <f>IF($A604="","",TRIM(INDEX(FORM!$L:$L,ROW())&amp;""))</f>
        <v/>
      </c>
      <c r="X604" s="8" t="str">
        <f>IF($A604="","",TRIM(INDEX(FORM!$M:$M,ROW())&amp;""))</f>
        <v/>
      </c>
      <c r="Y604" s="8" t="str">
        <f>IF($A604="","",IFERROR(MATCH(F604,DATA!$AH$2:$AH$5,0),9)*10000+A604)</f>
        <v/>
      </c>
      <c r="Z604" s="8" t="str">
        <f t="shared" si="199"/>
        <v/>
      </c>
      <c r="AA604" s="8" t="str">
        <f t="shared" si="200"/>
        <v/>
      </c>
      <c r="AB604" s="8" t="str">
        <f t="shared" si="201"/>
        <v/>
      </c>
      <c r="AC604" s="8"/>
      <c r="AD604" s="8"/>
      <c r="AE604" s="8"/>
      <c r="AK604" s="5" t="str">
        <f t="shared" si="202"/>
        <v/>
      </c>
      <c r="AL604" s="5" t="str">
        <f t="shared" si="203"/>
        <v/>
      </c>
      <c r="AM604" s="5" t="str">
        <f t="shared" si="204"/>
        <v/>
      </c>
      <c r="AN604" s="5" t="str">
        <f t="shared" si="205"/>
        <v/>
      </c>
      <c r="AO604" s="5" t="str">
        <f t="shared" si="206"/>
        <v/>
      </c>
      <c r="AP604" s="5" t="str">
        <f t="shared" si="207"/>
        <v/>
      </c>
      <c r="AQ604" s="5" t="str">
        <f t="shared" si="208"/>
        <v/>
      </c>
      <c r="AR604" s="5" t="str">
        <f t="shared" si="209"/>
        <v/>
      </c>
      <c r="AS604" s="5" t="str">
        <f t="shared" si="210"/>
        <v/>
      </c>
      <c r="AT604" s="5" t="str">
        <f t="shared" si="211"/>
        <v/>
      </c>
      <c r="AU604" s="5" t="str">
        <f t="shared" si="212"/>
        <v/>
      </c>
      <c r="AV604" s="5" t="str">
        <f t="shared" si="213"/>
        <v/>
      </c>
      <c r="AW604" s="5" t="str">
        <f t="shared" si="214"/>
        <v/>
      </c>
      <c r="AX604" s="5" t="str">
        <f t="shared" si="215"/>
        <v/>
      </c>
      <c r="AY604" s="5" t="str">
        <f t="shared" si="216"/>
        <v/>
      </c>
      <c r="AZ604" s="5" t="str">
        <f t="shared" si="217"/>
        <v/>
      </c>
      <c r="BA604" s="5" t="str">
        <f t="shared" si="218"/>
        <v/>
      </c>
      <c r="BB604" s="5" t="str">
        <f t="shared" si="219"/>
        <v/>
      </c>
    </row>
    <row r="605" spans="1:54" s="5" customFormat="1" hidden="1">
      <c r="A605" s="8" t="str">
        <f>IF(INDEX(FORM!$A:$A,ROW())="","",ROW()-1)</f>
        <v/>
      </c>
      <c r="B605" s="41" t="str">
        <f>IF($A605="","",INDEX(FORM!$A:$A,ROW()))</f>
        <v/>
      </c>
      <c r="C605" s="8" t="str">
        <f>IF($A605="","",TRIM(INDEX(FORM!$B:$B,ROW())))</f>
        <v/>
      </c>
      <c r="D605" s="8" t="str">
        <f>IF($A605="","",TRIM(INDEX(FORM!$C:$C,ROW())&amp;""))</f>
        <v/>
      </c>
      <c r="E605" s="8" t="str">
        <f>IF($A605="","",UPPER(TRIM(INDEX(FORM!$D:$D,ROW()))))</f>
        <v/>
      </c>
      <c r="F605" s="8" t="str">
        <f>IF($A605="","",IFERROR(INDEX(PROGRES!$A$2:$A$92,MATCH(E605,PROGRES!$B$2:$B$92,0)),"-"))</f>
        <v/>
      </c>
      <c r="G605" s="8" t="str">
        <f>IF($A605="","",UPPER(TRIM(INDEX(FORM!$F:$F,ROW()))))</f>
        <v/>
      </c>
      <c r="H605" s="8" t="str">
        <f>IF($A605="","",UPPER(TRIM(INDEX(FORM!$E:$E,ROW()))))</f>
        <v/>
      </c>
      <c r="I605" s="8" t="str">
        <f>IF($A605="","",UPPER(TRIM(INDEX(FORM!$G:$G,ROW()))))</f>
        <v/>
      </c>
      <c r="J605" s="8" t="str">
        <f>IF($A605="","",IF(ISNUMBER(SEARCH("Ya,",INDEX(FORM!$H:$H,ROW()))),"YA",IF(ISNUMBER(SEARCH("Cukup,",INDEX(FORM!$H:$H,ROW()))),"CUKUP",IF(ISNUMBER(SEARCH("Kurang,",INDEX(FORM!$H:$H,ROW()))),"KURANG",""))))</f>
        <v/>
      </c>
      <c r="K605" s="8" t="str">
        <f>IF($A605="","",UPPER(TRIM(INDEX(FORM!$J:$J,ROW()))))</f>
        <v/>
      </c>
      <c r="L605" s="8" t="str">
        <f>IF($A605="","",IF(ISNUMBER(SEARCH("Aktivitas Harian",INDEX(FORM!$K:$K,ROW()))),1,0))</f>
        <v/>
      </c>
      <c r="M605" s="8" t="str">
        <f>IF($A605="","",IF(ISNUMBER(SEARCH("Aktivitas Mingguan",INDEX(FORM!$K:$K,ROW()))),1,0))</f>
        <v/>
      </c>
      <c r="N605" s="8" t="str">
        <f>IF($A605="","",IF(ISNUMBER(SEARCH("Aktivitas Bulanan",INDEX(FORM!$K:$K,ROW()))),1,0))</f>
        <v/>
      </c>
      <c r="O605" s="8" t="str">
        <f>IF($A605="","",IF(ISNUMBER(SEARCH("Overview Cabang",INDEX(FORM!$K:$K,ROW()))),1,0))</f>
        <v/>
      </c>
      <c r="P605" s="8" t="str">
        <f>IF($A605="","",IFERROR(VLOOKUP(I605,DATA!$AH$9:$AI$13,2,0),""))</f>
        <v/>
      </c>
      <c r="Q605" s="8" t="str">
        <f>IF($A605="","",IFERROR(VLOOKUP(J605,DATA!$AH$9:$AI$13,2,0),""))</f>
        <v/>
      </c>
      <c r="R605" s="8" t="str">
        <f>IF($A605="","",IFERROR(VLOOKUP(K605,DATA!$AH$9:$AI$13,2,0),""))</f>
        <v/>
      </c>
      <c r="S605" s="42" t="str">
        <f t="shared" si="198"/>
        <v/>
      </c>
      <c r="T605" s="8" t="str">
        <f>IF($A605="","",IF(COUNTIF($D$2:D605,D605)=1,1,0))</f>
        <v/>
      </c>
      <c r="U605" s="8" t="str">
        <f>IF($A605="","",IF(F605="-","Cabang tdk ada",IF(IFERROR(VLOOKUP(G605,#REF!,1,0),"")="","",IF(INDEX(DATA!$AH$2:$AH$5,MATCH(G605,DATA!$AI$2:$AI$5,0))&lt;&gt;F605,"Wilayah beda","OK"))))</f>
        <v/>
      </c>
      <c r="V605" s="8" t="str">
        <f>IF($A605="","",TRIM(INDEX(FORM!$I:$I,ROW())&amp;""))</f>
        <v/>
      </c>
      <c r="W605" s="8" t="str">
        <f>IF($A605="","",TRIM(INDEX(FORM!$L:$L,ROW())&amp;""))</f>
        <v/>
      </c>
      <c r="X605" s="8" t="str">
        <f>IF($A605="","",TRIM(INDEX(FORM!$M:$M,ROW())&amp;""))</f>
        <v/>
      </c>
      <c r="Y605" s="8" t="str">
        <f>IF($A605="","",IFERROR(MATCH(F605,DATA!$AH$2:$AH$5,0),9)*10000+A605)</f>
        <v/>
      </c>
      <c r="Z605" s="8" t="str">
        <f t="shared" si="199"/>
        <v/>
      </c>
      <c r="AA605" s="8" t="str">
        <f t="shared" si="200"/>
        <v/>
      </c>
      <c r="AB605" s="8" t="str">
        <f t="shared" si="201"/>
        <v/>
      </c>
      <c r="AC605" s="8"/>
      <c r="AD605" s="8"/>
      <c r="AE605" s="8"/>
      <c r="AK605" s="5" t="str">
        <f t="shared" si="202"/>
        <v/>
      </c>
      <c r="AL605" s="5" t="str">
        <f t="shared" si="203"/>
        <v/>
      </c>
      <c r="AM605" s="5" t="str">
        <f t="shared" si="204"/>
        <v/>
      </c>
      <c r="AN605" s="5" t="str">
        <f t="shared" si="205"/>
        <v/>
      </c>
      <c r="AO605" s="5" t="str">
        <f t="shared" si="206"/>
        <v/>
      </c>
      <c r="AP605" s="5" t="str">
        <f t="shared" si="207"/>
        <v/>
      </c>
      <c r="AQ605" s="5" t="str">
        <f t="shared" si="208"/>
        <v/>
      </c>
      <c r="AR605" s="5" t="str">
        <f t="shared" si="209"/>
        <v/>
      </c>
      <c r="AS605" s="5" t="str">
        <f t="shared" si="210"/>
        <v/>
      </c>
      <c r="AT605" s="5" t="str">
        <f t="shared" si="211"/>
        <v/>
      </c>
      <c r="AU605" s="5" t="str">
        <f t="shared" si="212"/>
        <v/>
      </c>
      <c r="AV605" s="5" t="str">
        <f t="shared" si="213"/>
        <v/>
      </c>
      <c r="AW605" s="5" t="str">
        <f t="shared" si="214"/>
        <v/>
      </c>
      <c r="AX605" s="5" t="str">
        <f t="shared" si="215"/>
        <v/>
      </c>
      <c r="AY605" s="5" t="str">
        <f t="shared" si="216"/>
        <v/>
      </c>
      <c r="AZ605" s="5" t="str">
        <f t="shared" si="217"/>
        <v/>
      </c>
      <c r="BA605" s="5" t="str">
        <f t="shared" si="218"/>
        <v/>
      </c>
      <c r="BB605" s="5" t="str">
        <f t="shared" si="219"/>
        <v/>
      </c>
    </row>
    <row r="606" spans="1:54" s="5" customFormat="1" hidden="1">
      <c r="A606" s="8" t="str">
        <f>IF(INDEX(FORM!$A:$A,ROW())="","",ROW()-1)</f>
        <v/>
      </c>
      <c r="B606" s="41" t="str">
        <f>IF($A606="","",INDEX(FORM!$A:$A,ROW()))</f>
        <v/>
      </c>
      <c r="C606" s="8" t="str">
        <f>IF($A606="","",TRIM(INDEX(FORM!$B:$B,ROW())))</f>
        <v/>
      </c>
      <c r="D606" s="8" t="str">
        <f>IF($A606="","",TRIM(INDEX(FORM!$C:$C,ROW())&amp;""))</f>
        <v/>
      </c>
      <c r="E606" s="8" t="str">
        <f>IF($A606="","",UPPER(TRIM(INDEX(FORM!$D:$D,ROW()))))</f>
        <v/>
      </c>
      <c r="F606" s="8" t="str">
        <f>IF($A606="","",IFERROR(INDEX(PROGRES!$A$2:$A$92,MATCH(E606,PROGRES!$B$2:$B$92,0)),"-"))</f>
        <v/>
      </c>
      <c r="G606" s="8" t="str">
        <f>IF($A606="","",UPPER(TRIM(INDEX(FORM!$F:$F,ROW()))))</f>
        <v/>
      </c>
      <c r="H606" s="8" t="str">
        <f>IF($A606="","",UPPER(TRIM(INDEX(FORM!$E:$E,ROW()))))</f>
        <v/>
      </c>
      <c r="I606" s="8" t="str">
        <f>IF($A606="","",UPPER(TRIM(INDEX(FORM!$G:$G,ROW()))))</f>
        <v/>
      </c>
      <c r="J606" s="8" t="str">
        <f>IF($A606="","",IF(ISNUMBER(SEARCH("Ya,",INDEX(FORM!$H:$H,ROW()))),"YA",IF(ISNUMBER(SEARCH("Cukup,",INDEX(FORM!$H:$H,ROW()))),"CUKUP",IF(ISNUMBER(SEARCH("Kurang,",INDEX(FORM!$H:$H,ROW()))),"KURANG",""))))</f>
        <v/>
      </c>
      <c r="K606" s="8" t="str">
        <f>IF($A606="","",UPPER(TRIM(INDEX(FORM!$J:$J,ROW()))))</f>
        <v/>
      </c>
      <c r="L606" s="8" t="str">
        <f>IF($A606="","",IF(ISNUMBER(SEARCH("Aktivitas Harian",INDEX(FORM!$K:$K,ROW()))),1,0))</f>
        <v/>
      </c>
      <c r="M606" s="8" t="str">
        <f>IF($A606="","",IF(ISNUMBER(SEARCH("Aktivitas Mingguan",INDEX(FORM!$K:$K,ROW()))),1,0))</f>
        <v/>
      </c>
      <c r="N606" s="8" t="str">
        <f>IF($A606="","",IF(ISNUMBER(SEARCH("Aktivitas Bulanan",INDEX(FORM!$K:$K,ROW()))),1,0))</f>
        <v/>
      </c>
      <c r="O606" s="8" t="str">
        <f>IF($A606="","",IF(ISNUMBER(SEARCH("Overview Cabang",INDEX(FORM!$K:$K,ROW()))),1,0))</f>
        <v/>
      </c>
      <c r="P606" s="8" t="str">
        <f>IF($A606="","",IFERROR(VLOOKUP(I606,DATA!$AH$9:$AI$13,2,0),""))</f>
        <v/>
      </c>
      <c r="Q606" s="8" t="str">
        <f>IF($A606="","",IFERROR(VLOOKUP(J606,DATA!$AH$9:$AI$13,2,0),""))</f>
        <v/>
      </c>
      <c r="R606" s="8" t="str">
        <f>IF($A606="","",IFERROR(VLOOKUP(K606,DATA!$AH$9:$AI$13,2,0),""))</f>
        <v/>
      </c>
      <c r="S606" s="42" t="str">
        <f t="shared" si="198"/>
        <v/>
      </c>
      <c r="T606" s="8" t="str">
        <f>IF($A606="","",IF(COUNTIF($D$2:D606,D606)=1,1,0))</f>
        <v/>
      </c>
      <c r="U606" s="8" t="str">
        <f>IF($A606="","",IF(F606="-","Cabang tdk ada",IF(IFERROR(VLOOKUP(G606,#REF!,1,0),"")="","",IF(INDEX(DATA!$AH$2:$AH$5,MATCH(G606,DATA!$AI$2:$AI$5,0))&lt;&gt;F606,"Wilayah beda","OK"))))</f>
        <v/>
      </c>
      <c r="V606" s="8" t="str">
        <f>IF($A606="","",TRIM(INDEX(FORM!$I:$I,ROW())&amp;""))</f>
        <v/>
      </c>
      <c r="W606" s="8" t="str">
        <f>IF($A606="","",TRIM(INDEX(FORM!$L:$L,ROW())&amp;""))</f>
        <v/>
      </c>
      <c r="X606" s="8" t="str">
        <f>IF($A606="","",TRIM(INDEX(FORM!$M:$M,ROW())&amp;""))</f>
        <v/>
      </c>
      <c r="Y606" s="8" t="str">
        <f>IF($A606="","",IFERROR(MATCH(F606,DATA!$AH$2:$AH$5,0),9)*10000+A606)</f>
        <v/>
      </c>
      <c r="Z606" s="8" t="str">
        <f t="shared" si="199"/>
        <v/>
      </c>
      <c r="AA606" s="8" t="str">
        <f t="shared" si="200"/>
        <v/>
      </c>
      <c r="AB606" s="8" t="str">
        <f t="shared" si="201"/>
        <v/>
      </c>
      <c r="AC606" s="8"/>
      <c r="AD606" s="8"/>
      <c r="AE606" s="8"/>
      <c r="AK606" s="5" t="str">
        <f t="shared" si="202"/>
        <v/>
      </c>
      <c r="AL606" s="5" t="str">
        <f t="shared" si="203"/>
        <v/>
      </c>
      <c r="AM606" s="5" t="str">
        <f t="shared" si="204"/>
        <v/>
      </c>
      <c r="AN606" s="5" t="str">
        <f t="shared" si="205"/>
        <v/>
      </c>
      <c r="AO606" s="5" t="str">
        <f t="shared" si="206"/>
        <v/>
      </c>
      <c r="AP606" s="5" t="str">
        <f t="shared" si="207"/>
        <v/>
      </c>
      <c r="AQ606" s="5" t="str">
        <f t="shared" si="208"/>
        <v/>
      </c>
      <c r="AR606" s="5" t="str">
        <f t="shared" si="209"/>
        <v/>
      </c>
      <c r="AS606" s="5" t="str">
        <f t="shared" si="210"/>
        <v/>
      </c>
      <c r="AT606" s="5" t="str">
        <f t="shared" si="211"/>
        <v/>
      </c>
      <c r="AU606" s="5" t="str">
        <f t="shared" si="212"/>
        <v/>
      </c>
      <c r="AV606" s="5" t="str">
        <f t="shared" si="213"/>
        <v/>
      </c>
      <c r="AW606" s="5" t="str">
        <f t="shared" si="214"/>
        <v/>
      </c>
      <c r="AX606" s="5" t="str">
        <f t="shared" si="215"/>
        <v/>
      </c>
      <c r="AY606" s="5" t="str">
        <f t="shared" si="216"/>
        <v/>
      </c>
      <c r="AZ606" s="5" t="str">
        <f t="shared" si="217"/>
        <v/>
      </c>
      <c r="BA606" s="5" t="str">
        <f t="shared" si="218"/>
        <v/>
      </c>
      <c r="BB606" s="5" t="str">
        <f t="shared" si="219"/>
        <v/>
      </c>
    </row>
    <row r="607" spans="1:54" s="5" customFormat="1" hidden="1">
      <c r="A607" s="8" t="str">
        <f>IF(INDEX(FORM!$A:$A,ROW())="","",ROW()-1)</f>
        <v/>
      </c>
      <c r="B607" s="41" t="str">
        <f>IF($A607="","",INDEX(FORM!$A:$A,ROW()))</f>
        <v/>
      </c>
      <c r="C607" s="8" t="str">
        <f>IF($A607="","",TRIM(INDEX(FORM!$B:$B,ROW())))</f>
        <v/>
      </c>
      <c r="D607" s="8" t="str">
        <f>IF($A607="","",TRIM(INDEX(FORM!$C:$C,ROW())&amp;""))</f>
        <v/>
      </c>
      <c r="E607" s="8" t="str">
        <f>IF($A607="","",UPPER(TRIM(INDEX(FORM!$D:$D,ROW()))))</f>
        <v/>
      </c>
      <c r="F607" s="8" t="str">
        <f>IF($A607="","",IFERROR(INDEX(PROGRES!$A$2:$A$92,MATCH(E607,PROGRES!$B$2:$B$92,0)),"-"))</f>
        <v/>
      </c>
      <c r="G607" s="8" t="str">
        <f>IF($A607="","",UPPER(TRIM(INDEX(FORM!$F:$F,ROW()))))</f>
        <v/>
      </c>
      <c r="H607" s="8" t="str">
        <f>IF($A607="","",UPPER(TRIM(INDEX(FORM!$E:$E,ROW()))))</f>
        <v/>
      </c>
      <c r="I607" s="8" t="str">
        <f>IF($A607="","",UPPER(TRIM(INDEX(FORM!$G:$G,ROW()))))</f>
        <v/>
      </c>
      <c r="J607" s="8" t="str">
        <f>IF($A607="","",IF(ISNUMBER(SEARCH("Ya,",INDEX(FORM!$H:$H,ROW()))),"YA",IF(ISNUMBER(SEARCH("Cukup,",INDEX(FORM!$H:$H,ROW()))),"CUKUP",IF(ISNUMBER(SEARCH("Kurang,",INDEX(FORM!$H:$H,ROW()))),"KURANG",""))))</f>
        <v/>
      </c>
      <c r="K607" s="8" t="str">
        <f>IF($A607="","",UPPER(TRIM(INDEX(FORM!$J:$J,ROW()))))</f>
        <v/>
      </c>
      <c r="L607" s="8" t="str">
        <f>IF($A607="","",IF(ISNUMBER(SEARCH("Aktivitas Harian",INDEX(FORM!$K:$K,ROW()))),1,0))</f>
        <v/>
      </c>
      <c r="M607" s="8" t="str">
        <f>IF($A607="","",IF(ISNUMBER(SEARCH("Aktivitas Mingguan",INDEX(FORM!$K:$K,ROW()))),1,0))</f>
        <v/>
      </c>
      <c r="N607" s="8" t="str">
        <f>IF($A607="","",IF(ISNUMBER(SEARCH("Aktivitas Bulanan",INDEX(FORM!$K:$K,ROW()))),1,0))</f>
        <v/>
      </c>
      <c r="O607" s="8" t="str">
        <f>IF($A607="","",IF(ISNUMBER(SEARCH("Overview Cabang",INDEX(FORM!$K:$K,ROW()))),1,0))</f>
        <v/>
      </c>
      <c r="P607" s="8" t="str">
        <f>IF($A607="","",IFERROR(VLOOKUP(I607,DATA!$AH$9:$AI$13,2,0),""))</f>
        <v/>
      </c>
      <c r="Q607" s="8" t="str">
        <f>IF($A607="","",IFERROR(VLOOKUP(J607,DATA!$AH$9:$AI$13,2,0),""))</f>
        <v/>
      </c>
      <c r="R607" s="8" t="str">
        <f>IF($A607="","",IFERROR(VLOOKUP(K607,DATA!$AH$9:$AI$13,2,0),""))</f>
        <v/>
      </c>
      <c r="S607" s="42" t="str">
        <f t="shared" si="198"/>
        <v/>
      </c>
      <c r="T607" s="8" t="str">
        <f>IF($A607="","",IF(COUNTIF($D$2:D607,D607)=1,1,0))</f>
        <v/>
      </c>
      <c r="U607" s="8" t="str">
        <f>IF($A607="","",IF(F607="-","Cabang tdk ada",IF(IFERROR(VLOOKUP(G607,#REF!,1,0),"")="","",IF(INDEX(DATA!$AH$2:$AH$5,MATCH(G607,DATA!$AI$2:$AI$5,0))&lt;&gt;F607,"Wilayah beda","OK"))))</f>
        <v/>
      </c>
      <c r="V607" s="8" t="str">
        <f>IF($A607="","",TRIM(INDEX(FORM!$I:$I,ROW())&amp;""))</f>
        <v/>
      </c>
      <c r="W607" s="8" t="str">
        <f>IF($A607="","",TRIM(INDEX(FORM!$L:$L,ROW())&amp;""))</f>
        <v/>
      </c>
      <c r="X607" s="8" t="str">
        <f>IF($A607="","",TRIM(INDEX(FORM!$M:$M,ROW())&amp;""))</f>
        <v/>
      </c>
      <c r="Y607" s="8" t="str">
        <f>IF($A607="","",IFERROR(MATCH(F607,DATA!$AH$2:$AH$5,0),9)*10000+A607)</f>
        <v/>
      </c>
      <c r="Z607" s="8" t="str">
        <f t="shared" si="199"/>
        <v/>
      </c>
      <c r="AA607" s="8" t="str">
        <f t="shared" si="200"/>
        <v/>
      </c>
      <c r="AB607" s="8" t="str">
        <f t="shared" si="201"/>
        <v/>
      </c>
      <c r="AC607" s="8"/>
      <c r="AD607" s="8"/>
      <c r="AE607" s="8"/>
      <c r="AK607" s="5" t="str">
        <f t="shared" si="202"/>
        <v/>
      </c>
      <c r="AL607" s="5" t="str">
        <f t="shared" si="203"/>
        <v/>
      </c>
      <c r="AM607" s="5" t="str">
        <f t="shared" si="204"/>
        <v/>
      </c>
      <c r="AN607" s="5" t="str">
        <f t="shared" si="205"/>
        <v/>
      </c>
      <c r="AO607" s="5" t="str">
        <f t="shared" si="206"/>
        <v/>
      </c>
      <c r="AP607" s="5" t="str">
        <f t="shared" si="207"/>
        <v/>
      </c>
      <c r="AQ607" s="5" t="str">
        <f t="shared" si="208"/>
        <v/>
      </c>
      <c r="AR607" s="5" t="str">
        <f t="shared" si="209"/>
        <v/>
      </c>
      <c r="AS607" s="5" t="str">
        <f t="shared" si="210"/>
        <v/>
      </c>
      <c r="AT607" s="5" t="str">
        <f t="shared" si="211"/>
        <v/>
      </c>
      <c r="AU607" s="5" t="str">
        <f t="shared" si="212"/>
        <v/>
      </c>
      <c r="AV607" s="5" t="str">
        <f t="shared" si="213"/>
        <v/>
      </c>
      <c r="AW607" s="5" t="str">
        <f t="shared" si="214"/>
        <v/>
      </c>
      <c r="AX607" s="5" t="str">
        <f t="shared" si="215"/>
        <v/>
      </c>
      <c r="AY607" s="5" t="str">
        <f t="shared" si="216"/>
        <v/>
      </c>
      <c r="AZ607" s="5" t="str">
        <f t="shared" si="217"/>
        <v/>
      </c>
      <c r="BA607" s="5" t="str">
        <f t="shared" si="218"/>
        <v/>
      </c>
      <c r="BB607" s="5" t="str">
        <f t="shared" si="219"/>
        <v/>
      </c>
    </row>
    <row r="608" spans="1:54" s="5" customFormat="1" hidden="1">
      <c r="A608" s="8" t="str">
        <f>IF(INDEX(FORM!$A:$A,ROW())="","",ROW()-1)</f>
        <v/>
      </c>
      <c r="B608" s="41" t="str">
        <f>IF($A608="","",INDEX(FORM!$A:$A,ROW()))</f>
        <v/>
      </c>
      <c r="C608" s="8" t="str">
        <f>IF($A608="","",TRIM(INDEX(FORM!$B:$B,ROW())))</f>
        <v/>
      </c>
      <c r="D608" s="8" t="str">
        <f>IF($A608="","",TRIM(INDEX(FORM!$C:$C,ROW())&amp;""))</f>
        <v/>
      </c>
      <c r="E608" s="8" t="str">
        <f>IF($A608="","",UPPER(TRIM(INDEX(FORM!$D:$D,ROW()))))</f>
        <v/>
      </c>
      <c r="F608" s="8" t="str">
        <f>IF($A608="","",IFERROR(INDEX(PROGRES!$A$2:$A$92,MATCH(E608,PROGRES!$B$2:$B$92,0)),"-"))</f>
        <v/>
      </c>
      <c r="G608" s="8" t="str">
        <f>IF($A608="","",UPPER(TRIM(INDEX(FORM!$F:$F,ROW()))))</f>
        <v/>
      </c>
      <c r="H608" s="8" t="str">
        <f>IF($A608="","",UPPER(TRIM(INDEX(FORM!$E:$E,ROW()))))</f>
        <v/>
      </c>
      <c r="I608" s="8" t="str">
        <f>IF($A608="","",UPPER(TRIM(INDEX(FORM!$G:$G,ROW()))))</f>
        <v/>
      </c>
      <c r="J608" s="8" t="str">
        <f>IF($A608="","",IF(ISNUMBER(SEARCH("Ya,",INDEX(FORM!$H:$H,ROW()))),"YA",IF(ISNUMBER(SEARCH("Cukup,",INDEX(FORM!$H:$H,ROW()))),"CUKUP",IF(ISNUMBER(SEARCH("Kurang,",INDEX(FORM!$H:$H,ROW()))),"KURANG",""))))</f>
        <v/>
      </c>
      <c r="K608" s="8" t="str">
        <f>IF($A608="","",UPPER(TRIM(INDEX(FORM!$J:$J,ROW()))))</f>
        <v/>
      </c>
      <c r="L608" s="8" t="str">
        <f>IF($A608="","",IF(ISNUMBER(SEARCH("Aktivitas Harian",INDEX(FORM!$K:$K,ROW()))),1,0))</f>
        <v/>
      </c>
      <c r="M608" s="8" t="str">
        <f>IF($A608="","",IF(ISNUMBER(SEARCH("Aktivitas Mingguan",INDEX(FORM!$K:$K,ROW()))),1,0))</f>
        <v/>
      </c>
      <c r="N608" s="8" t="str">
        <f>IF($A608="","",IF(ISNUMBER(SEARCH("Aktivitas Bulanan",INDEX(FORM!$K:$K,ROW()))),1,0))</f>
        <v/>
      </c>
      <c r="O608" s="8" t="str">
        <f>IF($A608="","",IF(ISNUMBER(SEARCH("Overview Cabang",INDEX(FORM!$K:$K,ROW()))),1,0))</f>
        <v/>
      </c>
      <c r="P608" s="8" t="str">
        <f>IF($A608="","",IFERROR(VLOOKUP(I608,DATA!$AH$9:$AI$13,2,0),""))</f>
        <v/>
      </c>
      <c r="Q608" s="8" t="str">
        <f>IF($A608="","",IFERROR(VLOOKUP(J608,DATA!$AH$9:$AI$13,2,0),""))</f>
        <v/>
      </c>
      <c r="R608" s="8" t="str">
        <f>IF($A608="","",IFERROR(VLOOKUP(K608,DATA!$AH$9:$AI$13,2,0),""))</f>
        <v/>
      </c>
      <c r="S608" s="42" t="str">
        <f t="shared" si="198"/>
        <v/>
      </c>
      <c r="T608" s="8" t="str">
        <f>IF($A608="","",IF(COUNTIF($D$2:D608,D608)=1,1,0))</f>
        <v/>
      </c>
      <c r="U608" s="8" t="str">
        <f>IF($A608="","",IF(F608="-","Cabang tdk ada",IF(IFERROR(VLOOKUP(G608,#REF!,1,0),"")="","",IF(INDEX(DATA!$AH$2:$AH$5,MATCH(G608,DATA!$AI$2:$AI$5,0))&lt;&gt;F608,"Wilayah beda","OK"))))</f>
        <v/>
      </c>
      <c r="V608" s="8" t="str">
        <f>IF($A608="","",TRIM(INDEX(FORM!$I:$I,ROW())&amp;""))</f>
        <v/>
      </c>
      <c r="W608" s="8" t="str">
        <f>IF($A608="","",TRIM(INDEX(FORM!$L:$L,ROW())&amp;""))</f>
        <v/>
      </c>
      <c r="X608" s="8" t="str">
        <f>IF($A608="","",TRIM(INDEX(FORM!$M:$M,ROW())&amp;""))</f>
        <v/>
      </c>
      <c r="Y608" s="8" t="str">
        <f>IF($A608="","",IFERROR(MATCH(F608,DATA!$AH$2:$AH$5,0),9)*10000+A608)</f>
        <v/>
      </c>
      <c r="Z608" s="8" t="str">
        <f t="shared" si="199"/>
        <v/>
      </c>
      <c r="AA608" s="8" t="str">
        <f t="shared" si="200"/>
        <v/>
      </c>
      <c r="AB608" s="8" t="str">
        <f t="shared" si="201"/>
        <v/>
      </c>
      <c r="AC608" s="8"/>
      <c r="AD608" s="8"/>
      <c r="AE608" s="8"/>
      <c r="AK608" s="5" t="str">
        <f t="shared" si="202"/>
        <v/>
      </c>
      <c r="AL608" s="5" t="str">
        <f t="shared" si="203"/>
        <v/>
      </c>
      <c r="AM608" s="5" t="str">
        <f t="shared" si="204"/>
        <v/>
      </c>
      <c r="AN608" s="5" t="str">
        <f t="shared" si="205"/>
        <v/>
      </c>
      <c r="AO608" s="5" t="str">
        <f t="shared" si="206"/>
        <v/>
      </c>
      <c r="AP608" s="5" t="str">
        <f t="shared" si="207"/>
        <v/>
      </c>
      <c r="AQ608" s="5" t="str">
        <f t="shared" si="208"/>
        <v/>
      </c>
      <c r="AR608" s="5" t="str">
        <f t="shared" si="209"/>
        <v/>
      </c>
      <c r="AS608" s="5" t="str">
        <f t="shared" si="210"/>
        <v/>
      </c>
      <c r="AT608" s="5" t="str">
        <f t="shared" si="211"/>
        <v/>
      </c>
      <c r="AU608" s="5" t="str">
        <f t="shared" si="212"/>
        <v/>
      </c>
      <c r="AV608" s="5" t="str">
        <f t="shared" si="213"/>
        <v/>
      </c>
      <c r="AW608" s="5" t="str">
        <f t="shared" si="214"/>
        <v/>
      </c>
      <c r="AX608" s="5" t="str">
        <f t="shared" si="215"/>
        <v/>
      </c>
      <c r="AY608" s="5" t="str">
        <f t="shared" si="216"/>
        <v/>
      </c>
      <c r="AZ608" s="5" t="str">
        <f t="shared" si="217"/>
        <v/>
      </c>
      <c r="BA608" s="5" t="str">
        <f t="shared" si="218"/>
        <v/>
      </c>
      <c r="BB608" s="5" t="str">
        <f t="shared" si="219"/>
        <v/>
      </c>
    </row>
    <row r="609" spans="1:54" s="5" customFormat="1" hidden="1">
      <c r="A609" s="8" t="str">
        <f>IF(INDEX(FORM!$A:$A,ROW())="","",ROW()-1)</f>
        <v/>
      </c>
      <c r="B609" s="41" t="str">
        <f>IF($A609="","",INDEX(FORM!$A:$A,ROW()))</f>
        <v/>
      </c>
      <c r="C609" s="8" t="str">
        <f>IF($A609="","",TRIM(INDEX(FORM!$B:$B,ROW())))</f>
        <v/>
      </c>
      <c r="D609" s="8" t="str">
        <f>IF($A609="","",TRIM(INDEX(FORM!$C:$C,ROW())&amp;""))</f>
        <v/>
      </c>
      <c r="E609" s="8" t="str">
        <f>IF($A609="","",UPPER(TRIM(INDEX(FORM!$D:$D,ROW()))))</f>
        <v/>
      </c>
      <c r="F609" s="8" t="str">
        <f>IF($A609="","",IFERROR(INDEX(PROGRES!$A$2:$A$92,MATCH(E609,PROGRES!$B$2:$B$92,0)),"-"))</f>
        <v/>
      </c>
      <c r="G609" s="8" t="str">
        <f>IF($A609="","",UPPER(TRIM(INDEX(FORM!$F:$F,ROW()))))</f>
        <v/>
      </c>
      <c r="H609" s="8" t="str">
        <f>IF($A609="","",UPPER(TRIM(INDEX(FORM!$E:$E,ROW()))))</f>
        <v/>
      </c>
      <c r="I609" s="8" t="str">
        <f>IF($A609="","",UPPER(TRIM(INDEX(FORM!$G:$G,ROW()))))</f>
        <v/>
      </c>
      <c r="J609" s="8" t="str">
        <f>IF($A609="","",IF(ISNUMBER(SEARCH("Ya,",INDEX(FORM!$H:$H,ROW()))),"YA",IF(ISNUMBER(SEARCH("Cukup,",INDEX(FORM!$H:$H,ROW()))),"CUKUP",IF(ISNUMBER(SEARCH("Kurang,",INDEX(FORM!$H:$H,ROW()))),"KURANG",""))))</f>
        <v/>
      </c>
      <c r="K609" s="8" t="str">
        <f>IF($A609="","",UPPER(TRIM(INDEX(FORM!$J:$J,ROW()))))</f>
        <v/>
      </c>
      <c r="L609" s="8" t="str">
        <f>IF($A609="","",IF(ISNUMBER(SEARCH("Aktivitas Harian",INDEX(FORM!$K:$K,ROW()))),1,0))</f>
        <v/>
      </c>
      <c r="M609" s="8" t="str">
        <f>IF($A609="","",IF(ISNUMBER(SEARCH("Aktivitas Mingguan",INDEX(FORM!$K:$K,ROW()))),1,0))</f>
        <v/>
      </c>
      <c r="N609" s="8" t="str">
        <f>IF($A609="","",IF(ISNUMBER(SEARCH("Aktivitas Bulanan",INDEX(FORM!$K:$K,ROW()))),1,0))</f>
        <v/>
      </c>
      <c r="O609" s="8" t="str">
        <f>IF($A609="","",IF(ISNUMBER(SEARCH("Overview Cabang",INDEX(FORM!$K:$K,ROW()))),1,0))</f>
        <v/>
      </c>
      <c r="P609" s="8" t="str">
        <f>IF($A609="","",IFERROR(VLOOKUP(I609,DATA!$AH$9:$AI$13,2,0),""))</f>
        <v/>
      </c>
      <c r="Q609" s="8" t="str">
        <f>IF($A609="","",IFERROR(VLOOKUP(J609,DATA!$AH$9:$AI$13,2,0),""))</f>
        <v/>
      </c>
      <c r="R609" s="8" t="str">
        <f>IF($A609="","",IFERROR(VLOOKUP(K609,DATA!$AH$9:$AI$13,2,0),""))</f>
        <v/>
      </c>
      <c r="S609" s="42" t="str">
        <f t="shared" si="198"/>
        <v/>
      </c>
      <c r="T609" s="8" t="str">
        <f>IF($A609="","",IF(COUNTIF($D$2:D609,D609)=1,1,0))</f>
        <v/>
      </c>
      <c r="U609" s="8" t="str">
        <f>IF($A609="","",IF(F609="-","Cabang tdk ada",IF(IFERROR(VLOOKUP(G609,#REF!,1,0),"")="","",IF(INDEX(DATA!$AH$2:$AH$5,MATCH(G609,DATA!$AI$2:$AI$5,0))&lt;&gt;F609,"Wilayah beda","OK"))))</f>
        <v/>
      </c>
      <c r="V609" s="8" t="str">
        <f>IF($A609="","",TRIM(INDEX(FORM!$I:$I,ROW())&amp;""))</f>
        <v/>
      </c>
      <c r="W609" s="8" t="str">
        <f>IF($A609="","",TRIM(INDEX(FORM!$L:$L,ROW())&amp;""))</f>
        <v/>
      </c>
      <c r="X609" s="8" t="str">
        <f>IF($A609="","",TRIM(INDEX(FORM!$M:$M,ROW())&amp;""))</f>
        <v/>
      </c>
      <c r="Y609" s="8" t="str">
        <f>IF($A609="","",IFERROR(MATCH(F609,DATA!$AH$2:$AH$5,0),9)*10000+A609)</f>
        <v/>
      </c>
      <c r="Z609" s="8" t="str">
        <f t="shared" si="199"/>
        <v/>
      </c>
      <c r="AA609" s="8" t="str">
        <f t="shared" si="200"/>
        <v/>
      </c>
      <c r="AB609" s="8" t="str">
        <f t="shared" si="201"/>
        <v/>
      </c>
      <c r="AC609" s="8"/>
      <c r="AD609" s="8"/>
      <c r="AE609" s="8"/>
      <c r="AK609" s="5" t="str">
        <f t="shared" si="202"/>
        <v/>
      </c>
      <c r="AL609" s="5" t="str">
        <f t="shared" si="203"/>
        <v/>
      </c>
      <c r="AM609" s="5" t="str">
        <f t="shared" si="204"/>
        <v/>
      </c>
      <c r="AN609" s="5" t="str">
        <f t="shared" si="205"/>
        <v/>
      </c>
      <c r="AO609" s="5" t="str">
        <f t="shared" si="206"/>
        <v/>
      </c>
      <c r="AP609" s="5" t="str">
        <f t="shared" si="207"/>
        <v/>
      </c>
      <c r="AQ609" s="5" t="str">
        <f t="shared" si="208"/>
        <v/>
      </c>
      <c r="AR609" s="5" t="str">
        <f t="shared" si="209"/>
        <v/>
      </c>
      <c r="AS609" s="5" t="str">
        <f t="shared" si="210"/>
        <v/>
      </c>
      <c r="AT609" s="5" t="str">
        <f t="shared" si="211"/>
        <v/>
      </c>
      <c r="AU609" s="5" t="str">
        <f t="shared" si="212"/>
        <v/>
      </c>
      <c r="AV609" s="5" t="str">
        <f t="shared" si="213"/>
        <v/>
      </c>
      <c r="AW609" s="5" t="str">
        <f t="shared" si="214"/>
        <v/>
      </c>
      <c r="AX609" s="5" t="str">
        <f t="shared" si="215"/>
        <v/>
      </c>
      <c r="AY609" s="5" t="str">
        <f t="shared" si="216"/>
        <v/>
      </c>
      <c r="AZ609" s="5" t="str">
        <f t="shared" si="217"/>
        <v/>
      </c>
      <c r="BA609" s="5" t="str">
        <f t="shared" si="218"/>
        <v/>
      </c>
      <c r="BB609" s="5" t="str">
        <f t="shared" si="219"/>
        <v/>
      </c>
    </row>
    <row r="610" spans="1:54" s="5" customFormat="1" hidden="1">
      <c r="A610" s="8" t="str">
        <f>IF(INDEX(FORM!$A:$A,ROW())="","",ROW()-1)</f>
        <v/>
      </c>
      <c r="B610" s="41" t="str">
        <f>IF($A610="","",INDEX(FORM!$A:$A,ROW()))</f>
        <v/>
      </c>
      <c r="C610" s="8" t="str">
        <f>IF($A610="","",TRIM(INDEX(FORM!$B:$B,ROW())))</f>
        <v/>
      </c>
      <c r="D610" s="8" t="str">
        <f>IF($A610="","",TRIM(INDEX(FORM!$C:$C,ROW())&amp;""))</f>
        <v/>
      </c>
      <c r="E610" s="8" t="str">
        <f>IF($A610="","",UPPER(TRIM(INDEX(FORM!$D:$D,ROW()))))</f>
        <v/>
      </c>
      <c r="F610" s="8" t="str">
        <f>IF($A610="","",IFERROR(INDEX(PROGRES!$A$2:$A$92,MATCH(E610,PROGRES!$B$2:$B$92,0)),"-"))</f>
        <v/>
      </c>
      <c r="G610" s="8" t="str">
        <f>IF($A610="","",UPPER(TRIM(INDEX(FORM!$F:$F,ROW()))))</f>
        <v/>
      </c>
      <c r="H610" s="8" t="str">
        <f>IF($A610="","",UPPER(TRIM(INDEX(FORM!$E:$E,ROW()))))</f>
        <v/>
      </c>
      <c r="I610" s="8" t="str">
        <f>IF($A610="","",UPPER(TRIM(INDEX(FORM!$G:$G,ROW()))))</f>
        <v/>
      </c>
      <c r="J610" s="8" t="str">
        <f>IF($A610="","",IF(ISNUMBER(SEARCH("Ya,",INDEX(FORM!$H:$H,ROW()))),"YA",IF(ISNUMBER(SEARCH("Cukup,",INDEX(FORM!$H:$H,ROW()))),"CUKUP",IF(ISNUMBER(SEARCH("Kurang,",INDEX(FORM!$H:$H,ROW()))),"KURANG",""))))</f>
        <v/>
      </c>
      <c r="K610" s="8" t="str">
        <f>IF($A610="","",UPPER(TRIM(INDEX(FORM!$J:$J,ROW()))))</f>
        <v/>
      </c>
      <c r="L610" s="8" t="str">
        <f>IF($A610="","",IF(ISNUMBER(SEARCH("Aktivitas Harian",INDEX(FORM!$K:$K,ROW()))),1,0))</f>
        <v/>
      </c>
      <c r="M610" s="8" t="str">
        <f>IF($A610="","",IF(ISNUMBER(SEARCH("Aktivitas Mingguan",INDEX(FORM!$K:$K,ROW()))),1,0))</f>
        <v/>
      </c>
      <c r="N610" s="8" t="str">
        <f>IF($A610="","",IF(ISNUMBER(SEARCH("Aktivitas Bulanan",INDEX(FORM!$K:$K,ROW()))),1,0))</f>
        <v/>
      </c>
      <c r="O610" s="8" t="str">
        <f>IF($A610="","",IF(ISNUMBER(SEARCH("Overview Cabang",INDEX(FORM!$K:$K,ROW()))),1,0))</f>
        <v/>
      </c>
      <c r="P610" s="8" t="str">
        <f>IF($A610="","",IFERROR(VLOOKUP(I610,DATA!$AH$9:$AI$13,2,0),""))</f>
        <v/>
      </c>
      <c r="Q610" s="8" t="str">
        <f>IF($A610="","",IFERROR(VLOOKUP(J610,DATA!$AH$9:$AI$13,2,0),""))</f>
        <v/>
      </c>
      <c r="R610" s="8" t="str">
        <f>IF($A610="","",IFERROR(VLOOKUP(K610,DATA!$AH$9:$AI$13,2,0),""))</f>
        <v/>
      </c>
      <c r="S610" s="42" t="str">
        <f t="shared" si="198"/>
        <v/>
      </c>
      <c r="T610" s="8" t="str">
        <f>IF($A610="","",IF(COUNTIF($D$2:D610,D610)=1,1,0))</f>
        <v/>
      </c>
      <c r="U610" s="8" t="str">
        <f>IF($A610="","",IF(F610="-","Cabang tdk ada",IF(IFERROR(VLOOKUP(G610,#REF!,1,0),"")="","",IF(INDEX(DATA!$AH$2:$AH$5,MATCH(G610,DATA!$AI$2:$AI$5,0))&lt;&gt;F610,"Wilayah beda","OK"))))</f>
        <v/>
      </c>
      <c r="V610" s="8" t="str">
        <f>IF($A610="","",TRIM(INDEX(FORM!$I:$I,ROW())&amp;""))</f>
        <v/>
      </c>
      <c r="W610" s="8" t="str">
        <f>IF($A610="","",TRIM(INDEX(FORM!$L:$L,ROW())&amp;""))</f>
        <v/>
      </c>
      <c r="X610" s="8" t="str">
        <f>IF($A610="","",TRIM(INDEX(FORM!$M:$M,ROW())&amp;""))</f>
        <v/>
      </c>
      <c r="Y610" s="8" t="str">
        <f>IF($A610="","",IFERROR(MATCH(F610,DATA!$AH$2:$AH$5,0),9)*10000+A610)</f>
        <v/>
      </c>
      <c r="Z610" s="8" t="str">
        <f t="shared" si="199"/>
        <v/>
      </c>
      <c r="AA610" s="8" t="str">
        <f t="shared" si="200"/>
        <v/>
      </c>
      <c r="AB610" s="8" t="str">
        <f t="shared" si="201"/>
        <v/>
      </c>
      <c r="AC610" s="8"/>
      <c r="AD610" s="8"/>
      <c r="AE610" s="8"/>
      <c r="AK610" s="5" t="str">
        <f t="shared" si="202"/>
        <v/>
      </c>
      <c r="AL610" s="5" t="str">
        <f t="shared" si="203"/>
        <v/>
      </c>
      <c r="AM610" s="5" t="str">
        <f t="shared" si="204"/>
        <v/>
      </c>
      <c r="AN610" s="5" t="str">
        <f t="shared" si="205"/>
        <v/>
      </c>
      <c r="AO610" s="5" t="str">
        <f t="shared" si="206"/>
        <v/>
      </c>
      <c r="AP610" s="5" t="str">
        <f t="shared" si="207"/>
        <v/>
      </c>
      <c r="AQ610" s="5" t="str">
        <f t="shared" si="208"/>
        <v/>
      </c>
      <c r="AR610" s="5" t="str">
        <f t="shared" si="209"/>
        <v/>
      </c>
      <c r="AS610" s="5" t="str">
        <f t="shared" si="210"/>
        <v/>
      </c>
      <c r="AT610" s="5" t="str">
        <f t="shared" si="211"/>
        <v/>
      </c>
      <c r="AU610" s="5" t="str">
        <f t="shared" si="212"/>
        <v/>
      </c>
      <c r="AV610" s="5" t="str">
        <f t="shared" si="213"/>
        <v/>
      </c>
      <c r="AW610" s="5" t="str">
        <f t="shared" si="214"/>
        <v/>
      </c>
      <c r="AX610" s="5" t="str">
        <f t="shared" si="215"/>
        <v/>
      </c>
      <c r="AY610" s="5" t="str">
        <f t="shared" si="216"/>
        <v/>
      </c>
      <c r="AZ610" s="5" t="str">
        <f t="shared" si="217"/>
        <v/>
      </c>
      <c r="BA610" s="5" t="str">
        <f t="shared" si="218"/>
        <v/>
      </c>
      <c r="BB610" s="5" t="str">
        <f t="shared" si="219"/>
        <v/>
      </c>
    </row>
    <row r="611" spans="1:54" s="5" customFormat="1" hidden="1">
      <c r="A611" s="8" t="str">
        <f>IF(INDEX(FORM!$A:$A,ROW())="","",ROW()-1)</f>
        <v/>
      </c>
      <c r="B611" s="41" t="str">
        <f>IF($A611="","",INDEX(FORM!$A:$A,ROW()))</f>
        <v/>
      </c>
      <c r="C611" s="8" t="str">
        <f>IF($A611="","",TRIM(INDEX(FORM!$B:$B,ROW())))</f>
        <v/>
      </c>
      <c r="D611" s="8" t="str">
        <f>IF($A611="","",TRIM(INDEX(FORM!$C:$C,ROW())&amp;""))</f>
        <v/>
      </c>
      <c r="E611" s="8" t="str">
        <f>IF($A611="","",UPPER(TRIM(INDEX(FORM!$D:$D,ROW()))))</f>
        <v/>
      </c>
      <c r="F611" s="8" t="str">
        <f>IF($A611="","",IFERROR(INDEX(PROGRES!$A$2:$A$92,MATCH(E611,PROGRES!$B$2:$B$92,0)),"-"))</f>
        <v/>
      </c>
      <c r="G611" s="8" t="str">
        <f>IF($A611="","",UPPER(TRIM(INDEX(FORM!$F:$F,ROW()))))</f>
        <v/>
      </c>
      <c r="H611" s="8" t="str">
        <f>IF($A611="","",UPPER(TRIM(INDEX(FORM!$E:$E,ROW()))))</f>
        <v/>
      </c>
      <c r="I611" s="8" t="str">
        <f>IF($A611="","",UPPER(TRIM(INDEX(FORM!$G:$G,ROW()))))</f>
        <v/>
      </c>
      <c r="J611" s="8" t="str">
        <f>IF($A611="","",IF(ISNUMBER(SEARCH("Ya,",INDEX(FORM!$H:$H,ROW()))),"YA",IF(ISNUMBER(SEARCH("Cukup,",INDEX(FORM!$H:$H,ROW()))),"CUKUP",IF(ISNUMBER(SEARCH("Kurang,",INDEX(FORM!$H:$H,ROW()))),"KURANG",""))))</f>
        <v/>
      </c>
      <c r="K611" s="8" t="str">
        <f>IF($A611="","",UPPER(TRIM(INDEX(FORM!$J:$J,ROW()))))</f>
        <v/>
      </c>
      <c r="L611" s="8" t="str">
        <f>IF($A611="","",IF(ISNUMBER(SEARCH("Aktivitas Harian",INDEX(FORM!$K:$K,ROW()))),1,0))</f>
        <v/>
      </c>
      <c r="M611" s="8" t="str">
        <f>IF($A611="","",IF(ISNUMBER(SEARCH("Aktivitas Mingguan",INDEX(FORM!$K:$K,ROW()))),1,0))</f>
        <v/>
      </c>
      <c r="N611" s="8" t="str">
        <f>IF($A611="","",IF(ISNUMBER(SEARCH("Aktivitas Bulanan",INDEX(FORM!$K:$K,ROW()))),1,0))</f>
        <v/>
      </c>
      <c r="O611" s="8" t="str">
        <f>IF($A611="","",IF(ISNUMBER(SEARCH("Overview Cabang",INDEX(FORM!$K:$K,ROW()))),1,0))</f>
        <v/>
      </c>
      <c r="P611" s="8" t="str">
        <f>IF($A611="","",IFERROR(VLOOKUP(I611,DATA!$AH$9:$AI$13,2,0),""))</f>
        <v/>
      </c>
      <c r="Q611" s="8" t="str">
        <f>IF($A611="","",IFERROR(VLOOKUP(J611,DATA!$AH$9:$AI$13,2,0),""))</f>
        <v/>
      </c>
      <c r="R611" s="8" t="str">
        <f>IF($A611="","",IFERROR(VLOOKUP(K611,DATA!$AH$9:$AI$13,2,0),""))</f>
        <v/>
      </c>
      <c r="S611" s="42" t="str">
        <f t="shared" si="198"/>
        <v/>
      </c>
      <c r="T611" s="8" t="str">
        <f>IF($A611="","",IF(COUNTIF($D$2:D611,D611)=1,1,0))</f>
        <v/>
      </c>
      <c r="U611" s="8" t="str">
        <f>IF($A611="","",IF(F611="-","Cabang tdk ada",IF(IFERROR(VLOOKUP(G611,#REF!,1,0),"")="","",IF(INDEX(DATA!$AH$2:$AH$5,MATCH(G611,DATA!$AI$2:$AI$5,0))&lt;&gt;F611,"Wilayah beda","OK"))))</f>
        <v/>
      </c>
      <c r="V611" s="8" t="str">
        <f>IF($A611="","",TRIM(INDEX(FORM!$I:$I,ROW())&amp;""))</f>
        <v/>
      </c>
      <c r="W611" s="8" t="str">
        <f>IF($A611="","",TRIM(INDEX(FORM!$L:$L,ROW())&amp;""))</f>
        <v/>
      </c>
      <c r="X611" s="8" t="str">
        <f>IF($A611="","",TRIM(INDEX(FORM!$M:$M,ROW())&amp;""))</f>
        <v/>
      </c>
      <c r="Y611" s="8" t="str">
        <f>IF($A611="","",IFERROR(MATCH(F611,DATA!$AH$2:$AH$5,0),9)*10000+A611)</f>
        <v/>
      </c>
      <c r="Z611" s="8" t="str">
        <f t="shared" si="199"/>
        <v/>
      </c>
      <c r="AA611" s="8" t="str">
        <f t="shared" si="200"/>
        <v/>
      </c>
      <c r="AB611" s="8" t="str">
        <f t="shared" si="201"/>
        <v/>
      </c>
      <c r="AC611" s="8"/>
      <c r="AD611" s="8"/>
      <c r="AE611" s="8"/>
      <c r="AK611" s="5" t="str">
        <f t="shared" si="202"/>
        <v/>
      </c>
      <c r="AL611" s="5" t="str">
        <f t="shared" si="203"/>
        <v/>
      </c>
      <c r="AM611" s="5" t="str">
        <f t="shared" si="204"/>
        <v/>
      </c>
      <c r="AN611" s="5" t="str">
        <f t="shared" si="205"/>
        <v/>
      </c>
      <c r="AO611" s="5" t="str">
        <f t="shared" si="206"/>
        <v/>
      </c>
      <c r="AP611" s="5" t="str">
        <f t="shared" si="207"/>
        <v/>
      </c>
      <c r="AQ611" s="5" t="str">
        <f t="shared" si="208"/>
        <v/>
      </c>
      <c r="AR611" s="5" t="str">
        <f t="shared" si="209"/>
        <v/>
      </c>
      <c r="AS611" s="5" t="str">
        <f t="shared" si="210"/>
        <v/>
      </c>
      <c r="AT611" s="5" t="str">
        <f t="shared" si="211"/>
        <v/>
      </c>
      <c r="AU611" s="5" t="str">
        <f t="shared" si="212"/>
        <v/>
      </c>
      <c r="AV611" s="5" t="str">
        <f t="shared" si="213"/>
        <v/>
      </c>
      <c r="AW611" s="5" t="str">
        <f t="shared" si="214"/>
        <v/>
      </c>
      <c r="AX611" s="5" t="str">
        <f t="shared" si="215"/>
        <v/>
      </c>
      <c r="AY611" s="5" t="str">
        <f t="shared" si="216"/>
        <v/>
      </c>
      <c r="AZ611" s="5" t="str">
        <f t="shared" si="217"/>
        <v/>
      </c>
      <c r="BA611" s="5" t="str">
        <f t="shared" si="218"/>
        <v/>
      </c>
      <c r="BB611" s="5" t="str">
        <f t="shared" si="219"/>
        <v/>
      </c>
    </row>
    <row r="612" spans="1:54" s="5" customFormat="1" hidden="1">
      <c r="A612" s="8" t="str">
        <f>IF(INDEX(FORM!$A:$A,ROW())="","",ROW()-1)</f>
        <v/>
      </c>
      <c r="B612" s="41" t="str">
        <f>IF($A612="","",INDEX(FORM!$A:$A,ROW()))</f>
        <v/>
      </c>
      <c r="C612" s="8" t="str">
        <f>IF($A612="","",TRIM(INDEX(FORM!$B:$B,ROW())))</f>
        <v/>
      </c>
      <c r="D612" s="8" t="str">
        <f>IF($A612="","",TRIM(INDEX(FORM!$C:$C,ROW())&amp;""))</f>
        <v/>
      </c>
      <c r="E612" s="8" t="str">
        <f>IF($A612="","",UPPER(TRIM(INDEX(FORM!$D:$D,ROW()))))</f>
        <v/>
      </c>
      <c r="F612" s="8" t="str">
        <f>IF($A612="","",IFERROR(INDEX(PROGRES!$A$2:$A$92,MATCH(E612,PROGRES!$B$2:$B$92,0)),"-"))</f>
        <v/>
      </c>
      <c r="G612" s="8" t="str">
        <f>IF($A612="","",UPPER(TRIM(INDEX(FORM!$F:$F,ROW()))))</f>
        <v/>
      </c>
      <c r="H612" s="8" t="str">
        <f>IF($A612="","",UPPER(TRIM(INDEX(FORM!$E:$E,ROW()))))</f>
        <v/>
      </c>
      <c r="I612" s="8" t="str">
        <f>IF($A612="","",UPPER(TRIM(INDEX(FORM!$G:$G,ROW()))))</f>
        <v/>
      </c>
      <c r="J612" s="8" t="str">
        <f>IF($A612="","",IF(ISNUMBER(SEARCH("Ya,",INDEX(FORM!$H:$H,ROW()))),"YA",IF(ISNUMBER(SEARCH("Cukup,",INDEX(FORM!$H:$H,ROW()))),"CUKUP",IF(ISNUMBER(SEARCH("Kurang,",INDEX(FORM!$H:$H,ROW()))),"KURANG",""))))</f>
        <v/>
      </c>
      <c r="K612" s="8" t="str">
        <f>IF($A612="","",UPPER(TRIM(INDEX(FORM!$J:$J,ROW()))))</f>
        <v/>
      </c>
      <c r="L612" s="8" t="str">
        <f>IF($A612="","",IF(ISNUMBER(SEARCH("Aktivitas Harian",INDEX(FORM!$K:$K,ROW()))),1,0))</f>
        <v/>
      </c>
      <c r="M612" s="8" t="str">
        <f>IF($A612="","",IF(ISNUMBER(SEARCH("Aktivitas Mingguan",INDEX(FORM!$K:$K,ROW()))),1,0))</f>
        <v/>
      </c>
      <c r="N612" s="8" t="str">
        <f>IF($A612="","",IF(ISNUMBER(SEARCH("Aktivitas Bulanan",INDEX(FORM!$K:$K,ROW()))),1,0))</f>
        <v/>
      </c>
      <c r="O612" s="8" t="str">
        <f>IF($A612="","",IF(ISNUMBER(SEARCH("Overview Cabang",INDEX(FORM!$K:$K,ROW()))),1,0))</f>
        <v/>
      </c>
      <c r="P612" s="8" t="str">
        <f>IF($A612="","",IFERROR(VLOOKUP(I612,DATA!$AH$9:$AI$13,2,0),""))</f>
        <v/>
      </c>
      <c r="Q612" s="8" t="str">
        <f>IF($A612="","",IFERROR(VLOOKUP(J612,DATA!$AH$9:$AI$13,2,0),""))</f>
        <v/>
      </c>
      <c r="R612" s="8" t="str">
        <f>IF($A612="","",IFERROR(VLOOKUP(K612,DATA!$AH$9:$AI$13,2,0),""))</f>
        <v/>
      </c>
      <c r="S612" s="42" t="str">
        <f t="shared" si="198"/>
        <v/>
      </c>
      <c r="T612" s="8" t="str">
        <f>IF($A612="","",IF(COUNTIF($D$2:D612,D612)=1,1,0))</f>
        <v/>
      </c>
      <c r="U612" s="8" t="str">
        <f>IF($A612="","",IF(F612="-","Cabang tdk ada",IF(IFERROR(VLOOKUP(G612,#REF!,1,0),"")="","",IF(INDEX(DATA!$AH$2:$AH$5,MATCH(G612,DATA!$AI$2:$AI$5,0))&lt;&gt;F612,"Wilayah beda","OK"))))</f>
        <v/>
      </c>
      <c r="V612" s="8" t="str">
        <f>IF($A612="","",TRIM(INDEX(FORM!$I:$I,ROW())&amp;""))</f>
        <v/>
      </c>
      <c r="W612" s="8" t="str">
        <f>IF($A612="","",TRIM(INDEX(FORM!$L:$L,ROW())&amp;""))</f>
        <v/>
      </c>
      <c r="X612" s="8" t="str">
        <f>IF($A612="","",TRIM(INDEX(FORM!$M:$M,ROW())&amp;""))</f>
        <v/>
      </c>
      <c r="Y612" s="8" t="str">
        <f>IF($A612="","",IFERROR(MATCH(F612,DATA!$AH$2:$AH$5,0),9)*10000+A612)</f>
        <v/>
      </c>
      <c r="Z612" s="8" t="str">
        <f t="shared" si="199"/>
        <v/>
      </c>
      <c r="AA612" s="8" t="str">
        <f t="shared" si="200"/>
        <v/>
      </c>
      <c r="AB612" s="8" t="str">
        <f t="shared" si="201"/>
        <v/>
      </c>
      <c r="AC612" s="8"/>
      <c r="AD612" s="8"/>
      <c r="AE612" s="8"/>
      <c r="AK612" s="5" t="str">
        <f t="shared" si="202"/>
        <v/>
      </c>
      <c r="AL612" s="5" t="str">
        <f t="shared" si="203"/>
        <v/>
      </c>
      <c r="AM612" s="5" t="str">
        <f t="shared" si="204"/>
        <v/>
      </c>
      <c r="AN612" s="5" t="str">
        <f t="shared" si="205"/>
        <v/>
      </c>
      <c r="AO612" s="5" t="str">
        <f t="shared" si="206"/>
        <v/>
      </c>
      <c r="AP612" s="5" t="str">
        <f t="shared" si="207"/>
        <v/>
      </c>
      <c r="AQ612" s="5" t="str">
        <f t="shared" si="208"/>
        <v/>
      </c>
      <c r="AR612" s="5" t="str">
        <f t="shared" si="209"/>
        <v/>
      </c>
      <c r="AS612" s="5" t="str">
        <f t="shared" si="210"/>
        <v/>
      </c>
      <c r="AT612" s="5" t="str">
        <f t="shared" si="211"/>
        <v/>
      </c>
      <c r="AU612" s="5" t="str">
        <f t="shared" si="212"/>
        <v/>
      </c>
      <c r="AV612" s="5" t="str">
        <f t="shared" si="213"/>
        <v/>
      </c>
      <c r="AW612" s="5" t="str">
        <f t="shared" si="214"/>
        <v/>
      </c>
      <c r="AX612" s="5" t="str">
        <f t="shared" si="215"/>
        <v/>
      </c>
      <c r="AY612" s="5" t="str">
        <f t="shared" si="216"/>
        <v/>
      </c>
      <c r="AZ612" s="5" t="str">
        <f t="shared" si="217"/>
        <v/>
      </c>
      <c r="BA612" s="5" t="str">
        <f t="shared" si="218"/>
        <v/>
      </c>
      <c r="BB612" s="5" t="str">
        <f t="shared" si="219"/>
        <v/>
      </c>
    </row>
    <row r="613" spans="1:54" s="5" customFormat="1" hidden="1">
      <c r="A613" s="8" t="str">
        <f>IF(INDEX(FORM!$A:$A,ROW())="","",ROW()-1)</f>
        <v/>
      </c>
      <c r="B613" s="41" t="str">
        <f>IF($A613="","",INDEX(FORM!$A:$A,ROW()))</f>
        <v/>
      </c>
      <c r="C613" s="8" t="str">
        <f>IF($A613="","",TRIM(INDEX(FORM!$B:$B,ROW())))</f>
        <v/>
      </c>
      <c r="D613" s="8" t="str">
        <f>IF($A613="","",TRIM(INDEX(FORM!$C:$C,ROW())&amp;""))</f>
        <v/>
      </c>
      <c r="E613" s="8" t="str">
        <f>IF($A613="","",UPPER(TRIM(INDEX(FORM!$D:$D,ROW()))))</f>
        <v/>
      </c>
      <c r="F613" s="8" t="str">
        <f>IF($A613="","",IFERROR(INDEX(PROGRES!$A$2:$A$92,MATCH(E613,PROGRES!$B$2:$B$92,0)),"-"))</f>
        <v/>
      </c>
      <c r="G613" s="8" t="str">
        <f>IF($A613="","",UPPER(TRIM(INDEX(FORM!$F:$F,ROW()))))</f>
        <v/>
      </c>
      <c r="H613" s="8" t="str">
        <f>IF($A613="","",UPPER(TRIM(INDEX(FORM!$E:$E,ROW()))))</f>
        <v/>
      </c>
      <c r="I613" s="8" t="str">
        <f>IF($A613="","",UPPER(TRIM(INDEX(FORM!$G:$G,ROW()))))</f>
        <v/>
      </c>
      <c r="J613" s="8" t="str">
        <f>IF($A613="","",IF(ISNUMBER(SEARCH("Ya,",INDEX(FORM!$H:$H,ROW()))),"YA",IF(ISNUMBER(SEARCH("Cukup,",INDEX(FORM!$H:$H,ROW()))),"CUKUP",IF(ISNUMBER(SEARCH("Kurang,",INDEX(FORM!$H:$H,ROW()))),"KURANG",""))))</f>
        <v/>
      </c>
      <c r="K613" s="8" t="str">
        <f>IF($A613="","",UPPER(TRIM(INDEX(FORM!$J:$J,ROW()))))</f>
        <v/>
      </c>
      <c r="L613" s="8" t="str">
        <f>IF($A613="","",IF(ISNUMBER(SEARCH("Aktivitas Harian",INDEX(FORM!$K:$K,ROW()))),1,0))</f>
        <v/>
      </c>
      <c r="M613" s="8" t="str">
        <f>IF($A613="","",IF(ISNUMBER(SEARCH("Aktivitas Mingguan",INDEX(FORM!$K:$K,ROW()))),1,0))</f>
        <v/>
      </c>
      <c r="N613" s="8" t="str">
        <f>IF($A613="","",IF(ISNUMBER(SEARCH("Aktivitas Bulanan",INDEX(FORM!$K:$K,ROW()))),1,0))</f>
        <v/>
      </c>
      <c r="O613" s="8" t="str">
        <f>IF($A613="","",IF(ISNUMBER(SEARCH("Overview Cabang",INDEX(FORM!$K:$K,ROW()))),1,0))</f>
        <v/>
      </c>
      <c r="P613" s="8" t="str">
        <f>IF($A613="","",IFERROR(VLOOKUP(I613,DATA!$AH$9:$AI$13,2,0),""))</f>
        <v/>
      </c>
      <c r="Q613" s="8" t="str">
        <f>IF($A613="","",IFERROR(VLOOKUP(J613,DATA!$AH$9:$AI$13,2,0),""))</f>
        <v/>
      </c>
      <c r="R613" s="8" t="str">
        <f>IF($A613="","",IFERROR(VLOOKUP(K613,DATA!$AH$9:$AI$13,2,0),""))</f>
        <v/>
      </c>
      <c r="S613" s="42" t="str">
        <f t="shared" si="198"/>
        <v/>
      </c>
      <c r="T613" s="8" t="str">
        <f>IF($A613="","",IF(COUNTIF($D$2:D613,D613)=1,1,0))</f>
        <v/>
      </c>
      <c r="U613" s="8" t="str">
        <f>IF($A613="","",IF(F613="-","Cabang tdk ada",IF(IFERROR(VLOOKUP(G613,#REF!,1,0),"")="","",IF(INDEX(DATA!$AH$2:$AH$5,MATCH(G613,DATA!$AI$2:$AI$5,0))&lt;&gt;F613,"Wilayah beda","OK"))))</f>
        <v/>
      </c>
      <c r="V613" s="8" t="str">
        <f>IF($A613="","",TRIM(INDEX(FORM!$I:$I,ROW())&amp;""))</f>
        <v/>
      </c>
      <c r="W613" s="8" t="str">
        <f>IF($A613="","",TRIM(INDEX(FORM!$L:$L,ROW())&amp;""))</f>
        <v/>
      </c>
      <c r="X613" s="8" t="str">
        <f>IF($A613="","",TRIM(INDEX(FORM!$M:$M,ROW())&amp;""))</f>
        <v/>
      </c>
      <c r="Y613" s="8" t="str">
        <f>IF($A613="","",IFERROR(MATCH(F613,DATA!$AH$2:$AH$5,0),9)*10000+A613)</f>
        <v/>
      </c>
      <c r="Z613" s="8" t="str">
        <f t="shared" si="199"/>
        <v/>
      </c>
      <c r="AA613" s="8" t="str">
        <f t="shared" si="200"/>
        <v/>
      </c>
      <c r="AB613" s="8" t="str">
        <f t="shared" si="201"/>
        <v/>
      </c>
      <c r="AC613" s="8"/>
      <c r="AD613" s="8"/>
      <c r="AE613" s="8"/>
      <c r="AK613" s="5" t="str">
        <f t="shared" si="202"/>
        <v/>
      </c>
      <c r="AL613" s="5" t="str">
        <f t="shared" si="203"/>
        <v/>
      </c>
      <c r="AM613" s="5" t="str">
        <f t="shared" si="204"/>
        <v/>
      </c>
      <c r="AN613" s="5" t="str">
        <f t="shared" si="205"/>
        <v/>
      </c>
      <c r="AO613" s="5" t="str">
        <f t="shared" si="206"/>
        <v/>
      </c>
      <c r="AP613" s="5" t="str">
        <f t="shared" si="207"/>
        <v/>
      </c>
      <c r="AQ613" s="5" t="str">
        <f t="shared" si="208"/>
        <v/>
      </c>
      <c r="AR613" s="5" t="str">
        <f t="shared" si="209"/>
        <v/>
      </c>
      <c r="AS613" s="5" t="str">
        <f t="shared" si="210"/>
        <v/>
      </c>
      <c r="AT613" s="5" t="str">
        <f t="shared" si="211"/>
        <v/>
      </c>
      <c r="AU613" s="5" t="str">
        <f t="shared" si="212"/>
        <v/>
      </c>
      <c r="AV613" s="5" t="str">
        <f t="shared" si="213"/>
        <v/>
      </c>
      <c r="AW613" s="5" t="str">
        <f t="shared" si="214"/>
        <v/>
      </c>
      <c r="AX613" s="5" t="str">
        <f t="shared" si="215"/>
        <v/>
      </c>
      <c r="AY613" s="5" t="str">
        <f t="shared" si="216"/>
        <v/>
      </c>
      <c r="AZ613" s="5" t="str">
        <f t="shared" si="217"/>
        <v/>
      </c>
      <c r="BA613" s="5" t="str">
        <f t="shared" si="218"/>
        <v/>
      </c>
      <c r="BB613" s="5" t="str">
        <f t="shared" si="219"/>
        <v/>
      </c>
    </row>
    <row r="614" spans="1:54" s="5" customFormat="1" hidden="1">
      <c r="A614" s="8" t="str">
        <f>IF(INDEX(FORM!$A:$A,ROW())="","",ROW()-1)</f>
        <v/>
      </c>
      <c r="B614" s="41" t="str">
        <f>IF($A614="","",INDEX(FORM!$A:$A,ROW()))</f>
        <v/>
      </c>
      <c r="C614" s="8" t="str">
        <f>IF($A614="","",TRIM(INDEX(FORM!$B:$B,ROW())))</f>
        <v/>
      </c>
      <c r="D614" s="8" t="str">
        <f>IF($A614="","",TRIM(INDEX(FORM!$C:$C,ROW())&amp;""))</f>
        <v/>
      </c>
      <c r="E614" s="8" t="str">
        <f>IF($A614="","",UPPER(TRIM(INDEX(FORM!$D:$D,ROW()))))</f>
        <v/>
      </c>
      <c r="F614" s="8" t="str">
        <f>IF($A614="","",IFERROR(INDEX(PROGRES!$A$2:$A$92,MATCH(E614,PROGRES!$B$2:$B$92,0)),"-"))</f>
        <v/>
      </c>
      <c r="G614" s="8" t="str">
        <f>IF($A614="","",UPPER(TRIM(INDEX(FORM!$F:$F,ROW()))))</f>
        <v/>
      </c>
      <c r="H614" s="8" t="str">
        <f>IF($A614="","",UPPER(TRIM(INDEX(FORM!$E:$E,ROW()))))</f>
        <v/>
      </c>
      <c r="I614" s="8" t="str">
        <f>IF($A614="","",UPPER(TRIM(INDEX(FORM!$G:$G,ROW()))))</f>
        <v/>
      </c>
      <c r="J614" s="8" t="str">
        <f>IF($A614="","",IF(ISNUMBER(SEARCH("Ya,",INDEX(FORM!$H:$H,ROW()))),"YA",IF(ISNUMBER(SEARCH("Cukup,",INDEX(FORM!$H:$H,ROW()))),"CUKUP",IF(ISNUMBER(SEARCH("Kurang,",INDEX(FORM!$H:$H,ROW()))),"KURANG",""))))</f>
        <v/>
      </c>
      <c r="K614" s="8" t="str">
        <f>IF($A614="","",UPPER(TRIM(INDEX(FORM!$J:$J,ROW()))))</f>
        <v/>
      </c>
      <c r="L614" s="8" t="str">
        <f>IF($A614="","",IF(ISNUMBER(SEARCH("Aktivitas Harian",INDEX(FORM!$K:$K,ROW()))),1,0))</f>
        <v/>
      </c>
      <c r="M614" s="8" t="str">
        <f>IF($A614="","",IF(ISNUMBER(SEARCH("Aktivitas Mingguan",INDEX(FORM!$K:$K,ROW()))),1,0))</f>
        <v/>
      </c>
      <c r="N614" s="8" t="str">
        <f>IF($A614="","",IF(ISNUMBER(SEARCH("Aktivitas Bulanan",INDEX(FORM!$K:$K,ROW()))),1,0))</f>
        <v/>
      </c>
      <c r="O614" s="8" t="str">
        <f>IF($A614="","",IF(ISNUMBER(SEARCH("Overview Cabang",INDEX(FORM!$K:$K,ROW()))),1,0))</f>
        <v/>
      </c>
      <c r="P614" s="8" t="str">
        <f>IF($A614="","",IFERROR(VLOOKUP(I614,DATA!$AH$9:$AI$13,2,0),""))</f>
        <v/>
      </c>
      <c r="Q614" s="8" t="str">
        <f>IF($A614="","",IFERROR(VLOOKUP(J614,DATA!$AH$9:$AI$13,2,0),""))</f>
        <v/>
      </c>
      <c r="R614" s="8" t="str">
        <f>IF($A614="","",IFERROR(VLOOKUP(K614,DATA!$AH$9:$AI$13,2,0),""))</f>
        <v/>
      </c>
      <c r="S614" s="42" t="str">
        <f t="shared" si="198"/>
        <v/>
      </c>
      <c r="T614" s="8" t="str">
        <f>IF($A614="","",IF(COUNTIF($D$2:D614,D614)=1,1,0))</f>
        <v/>
      </c>
      <c r="U614" s="8" t="str">
        <f>IF($A614="","",IF(F614="-","Cabang tdk ada",IF(IFERROR(VLOOKUP(G614,#REF!,1,0),"")="","",IF(INDEX(DATA!$AH$2:$AH$5,MATCH(G614,DATA!$AI$2:$AI$5,0))&lt;&gt;F614,"Wilayah beda","OK"))))</f>
        <v/>
      </c>
      <c r="V614" s="8" t="str">
        <f>IF($A614="","",TRIM(INDEX(FORM!$I:$I,ROW())&amp;""))</f>
        <v/>
      </c>
      <c r="W614" s="8" t="str">
        <f>IF($A614="","",TRIM(INDEX(FORM!$L:$L,ROW())&amp;""))</f>
        <v/>
      </c>
      <c r="X614" s="8" t="str">
        <f>IF($A614="","",TRIM(INDEX(FORM!$M:$M,ROW())&amp;""))</f>
        <v/>
      </c>
      <c r="Y614" s="8" t="str">
        <f>IF($A614="","",IFERROR(MATCH(F614,DATA!$AH$2:$AH$5,0),9)*10000+A614)</f>
        <v/>
      </c>
      <c r="Z614" s="8" t="str">
        <f t="shared" si="199"/>
        <v/>
      </c>
      <c r="AA614" s="8" t="str">
        <f t="shared" si="200"/>
        <v/>
      </c>
      <c r="AB614" s="8" t="str">
        <f t="shared" si="201"/>
        <v/>
      </c>
      <c r="AC614" s="8"/>
      <c r="AD614" s="8"/>
      <c r="AE614" s="8"/>
      <c r="AK614" s="5" t="str">
        <f t="shared" si="202"/>
        <v/>
      </c>
      <c r="AL614" s="5" t="str">
        <f t="shared" si="203"/>
        <v/>
      </c>
      <c r="AM614" s="5" t="str">
        <f t="shared" si="204"/>
        <v/>
      </c>
      <c r="AN614" s="5" t="str">
        <f t="shared" si="205"/>
        <v/>
      </c>
      <c r="AO614" s="5" t="str">
        <f t="shared" si="206"/>
        <v/>
      </c>
      <c r="AP614" s="5" t="str">
        <f t="shared" si="207"/>
        <v/>
      </c>
      <c r="AQ614" s="5" t="str">
        <f t="shared" si="208"/>
        <v/>
      </c>
      <c r="AR614" s="5" t="str">
        <f t="shared" si="209"/>
        <v/>
      </c>
      <c r="AS614" s="5" t="str">
        <f t="shared" si="210"/>
        <v/>
      </c>
      <c r="AT614" s="5" t="str">
        <f t="shared" si="211"/>
        <v/>
      </c>
      <c r="AU614" s="5" t="str">
        <f t="shared" si="212"/>
        <v/>
      </c>
      <c r="AV614" s="5" t="str">
        <f t="shared" si="213"/>
        <v/>
      </c>
      <c r="AW614" s="5" t="str">
        <f t="shared" si="214"/>
        <v/>
      </c>
      <c r="AX614" s="5" t="str">
        <f t="shared" si="215"/>
        <v/>
      </c>
      <c r="AY614" s="5" t="str">
        <f t="shared" si="216"/>
        <v/>
      </c>
      <c r="AZ614" s="5" t="str">
        <f t="shared" si="217"/>
        <v/>
      </c>
      <c r="BA614" s="5" t="str">
        <f t="shared" si="218"/>
        <v/>
      </c>
      <c r="BB614" s="5" t="str">
        <f t="shared" si="219"/>
        <v/>
      </c>
    </row>
    <row r="615" spans="1:54" s="5" customFormat="1" hidden="1">
      <c r="A615" s="8" t="str">
        <f>IF(INDEX(FORM!$A:$A,ROW())="","",ROW()-1)</f>
        <v/>
      </c>
      <c r="B615" s="41" t="str">
        <f>IF($A615="","",INDEX(FORM!$A:$A,ROW()))</f>
        <v/>
      </c>
      <c r="C615" s="8" t="str">
        <f>IF($A615="","",TRIM(INDEX(FORM!$B:$B,ROW())))</f>
        <v/>
      </c>
      <c r="D615" s="8" t="str">
        <f>IF($A615="","",TRIM(INDEX(FORM!$C:$C,ROW())&amp;""))</f>
        <v/>
      </c>
      <c r="E615" s="8" t="str">
        <f>IF($A615="","",UPPER(TRIM(INDEX(FORM!$D:$D,ROW()))))</f>
        <v/>
      </c>
      <c r="F615" s="8" t="str">
        <f>IF($A615="","",IFERROR(INDEX(PROGRES!$A$2:$A$92,MATCH(E615,PROGRES!$B$2:$B$92,0)),"-"))</f>
        <v/>
      </c>
      <c r="G615" s="8" t="str">
        <f>IF($A615="","",UPPER(TRIM(INDEX(FORM!$F:$F,ROW()))))</f>
        <v/>
      </c>
      <c r="H615" s="8" t="str">
        <f>IF($A615="","",UPPER(TRIM(INDEX(FORM!$E:$E,ROW()))))</f>
        <v/>
      </c>
      <c r="I615" s="8" t="str">
        <f>IF($A615="","",UPPER(TRIM(INDEX(FORM!$G:$G,ROW()))))</f>
        <v/>
      </c>
      <c r="J615" s="8" t="str">
        <f>IF($A615="","",IF(ISNUMBER(SEARCH("Ya,",INDEX(FORM!$H:$H,ROW()))),"YA",IF(ISNUMBER(SEARCH("Cukup,",INDEX(FORM!$H:$H,ROW()))),"CUKUP",IF(ISNUMBER(SEARCH("Kurang,",INDEX(FORM!$H:$H,ROW()))),"KURANG",""))))</f>
        <v/>
      </c>
      <c r="K615" s="8" t="str">
        <f>IF($A615="","",UPPER(TRIM(INDEX(FORM!$J:$J,ROW()))))</f>
        <v/>
      </c>
      <c r="L615" s="8" t="str">
        <f>IF($A615="","",IF(ISNUMBER(SEARCH("Aktivitas Harian",INDEX(FORM!$K:$K,ROW()))),1,0))</f>
        <v/>
      </c>
      <c r="M615" s="8" t="str">
        <f>IF($A615="","",IF(ISNUMBER(SEARCH("Aktivitas Mingguan",INDEX(FORM!$K:$K,ROW()))),1,0))</f>
        <v/>
      </c>
      <c r="N615" s="8" t="str">
        <f>IF($A615="","",IF(ISNUMBER(SEARCH("Aktivitas Bulanan",INDEX(FORM!$K:$K,ROW()))),1,0))</f>
        <v/>
      </c>
      <c r="O615" s="8" t="str">
        <f>IF($A615="","",IF(ISNUMBER(SEARCH("Overview Cabang",INDEX(FORM!$K:$K,ROW()))),1,0))</f>
        <v/>
      </c>
      <c r="P615" s="8" t="str">
        <f>IF($A615="","",IFERROR(VLOOKUP(I615,DATA!$AH$9:$AI$13,2,0),""))</f>
        <v/>
      </c>
      <c r="Q615" s="8" t="str">
        <f>IF($A615="","",IFERROR(VLOOKUP(J615,DATA!$AH$9:$AI$13,2,0),""))</f>
        <v/>
      </c>
      <c r="R615" s="8" t="str">
        <f>IF($A615="","",IFERROR(VLOOKUP(K615,DATA!$AH$9:$AI$13,2,0),""))</f>
        <v/>
      </c>
      <c r="S615" s="42" t="str">
        <f t="shared" si="198"/>
        <v/>
      </c>
      <c r="T615" s="8" t="str">
        <f>IF($A615="","",IF(COUNTIF($D$2:D615,D615)=1,1,0))</f>
        <v/>
      </c>
      <c r="U615" s="8" t="str">
        <f>IF($A615="","",IF(F615="-","Cabang tdk ada",IF(IFERROR(VLOOKUP(G615,#REF!,1,0),"")="","",IF(INDEX(DATA!$AH$2:$AH$5,MATCH(G615,DATA!$AI$2:$AI$5,0))&lt;&gt;F615,"Wilayah beda","OK"))))</f>
        <v/>
      </c>
      <c r="V615" s="8" t="str">
        <f>IF($A615="","",TRIM(INDEX(FORM!$I:$I,ROW())&amp;""))</f>
        <v/>
      </c>
      <c r="W615" s="8" t="str">
        <f>IF($A615="","",TRIM(INDEX(FORM!$L:$L,ROW())&amp;""))</f>
        <v/>
      </c>
      <c r="X615" s="8" t="str">
        <f>IF($A615="","",TRIM(INDEX(FORM!$M:$M,ROW())&amp;""))</f>
        <v/>
      </c>
      <c r="Y615" s="8" t="str">
        <f>IF($A615="","",IFERROR(MATCH(F615,DATA!$AH$2:$AH$5,0),9)*10000+A615)</f>
        <v/>
      </c>
      <c r="Z615" s="8" t="str">
        <f t="shared" si="199"/>
        <v/>
      </c>
      <c r="AA615" s="8" t="str">
        <f t="shared" si="200"/>
        <v/>
      </c>
      <c r="AB615" s="8" t="str">
        <f t="shared" si="201"/>
        <v/>
      </c>
      <c r="AC615" s="8"/>
      <c r="AD615" s="8"/>
      <c r="AE615" s="8"/>
      <c r="AK615" s="5" t="str">
        <f t="shared" si="202"/>
        <v/>
      </c>
      <c r="AL615" s="5" t="str">
        <f t="shared" si="203"/>
        <v/>
      </c>
      <c r="AM615" s="5" t="str">
        <f t="shared" si="204"/>
        <v/>
      </c>
      <c r="AN615" s="5" t="str">
        <f t="shared" si="205"/>
        <v/>
      </c>
      <c r="AO615" s="5" t="str">
        <f t="shared" si="206"/>
        <v/>
      </c>
      <c r="AP615" s="5" t="str">
        <f t="shared" si="207"/>
        <v/>
      </c>
      <c r="AQ615" s="5" t="str">
        <f t="shared" si="208"/>
        <v/>
      </c>
      <c r="AR615" s="5" t="str">
        <f t="shared" si="209"/>
        <v/>
      </c>
      <c r="AS615" s="5" t="str">
        <f t="shared" si="210"/>
        <v/>
      </c>
      <c r="AT615" s="5" t="str">
        <f t="shared" si="211"/>
        <v/>
      </c>
      <c r="AU615" s="5" t="str">
        <f t="shared" si="212"/>
        <v/>
      </c>
      <c r="AV615" s="5" t="str">
        <f t="shared" si="213"/>
        <v/>
      </c>
      <c r="AW615" s="5" t="str">
        <f t="shared" si="214"/>
        <v/>
      </c>
      <c r="AX615" s="5" t="str">
        <f t="shared" si="215"/>
        <v/>
      </c>
      <c r="AY615" s="5" t="str">
        <f t="shared" si="216"/>
        <v/>
      </c>
      <c r="AZ615" s="5" t="str">
        <f t="shared" si="217"/>
        <v/>
      </c>
      <c r="BA615" s="5" t="str">
        <f t="shared" si="218"/>
        <v/>
      </c>
      <c r="BB615" s="5" t="str">
        <f t="shared" si="219"/>
        <v/>
      </c>
    </row>
    <row r="616" spans="1:54" s="5" customFormat="1" hidden="1">
      <c r="A616" s="8" t="str">
        <f>IF(INDEX(FORM!$A:$A,ROW())="","",ROW()-1)</f>
        <v/>
      </c>
      <c r="B616" s="41" t="str">
        <f>IF($A616="","",INDEX(FORM!$A:$A,ROW()))</f>
        <v/>
      </c>
      <c r="C616" s="8" t="str">
        <f>IF($A616="","",TRIM(INDEX(FORM!$B:$B,ROW())))</f>
        <v/>
      </c>
      <c r="D616" s="8" t="str">
        <f>IF($A616="","",TRIM(INDEX(FORM!$C:$C,ROW())&amp;""))</f>
        <v/>
      </c>
      <c r="E616" s="8" t="str">
        <f>IF($A616="","",UPPER(TRIM(INDEX(FORM!$D:$D,ROW()))))</f>
        <v/>
      </c>
      <c r="F616" s="8" t="str">
        <f>IF($A616="","",IFERROR(INDEX(PROGRES!$A$2:$A$92,MATCH(E616,PROGRES!$B$2:$B$92,0)),"-"))</f>
        <v/>
      </c>
      <c r="G616" s="8" t="str">
        <f>IF($A616="","",UPPER(TRIM(INDEX(FORM!$F:$F,ROW()))))</f>
        <v/>
      </c>
      <c r="H616" s="8" t="str">
        <f>IF($A616="","",UPPER(TRIM(INDEX(FORM!$E:$E,ROW()))))</f>
        <v/>
      </c>
      <c r="I616" s="8" t="str">
        <f>IF($A616="","",UPPER(TRIM(INDEX(FORM!$G:$G,ROW()))))</f>
        <v/>
      </c>
      <c r="J616" s="8" t="str">
        <f>IF($A616="","",IF(ISNUMBER(SEARCH("Ya,",INDEX(FORM!$H:$H,ROW()))),"YA",IF(ISNUMBER(SEARCH("Cukup,",INDEX(FORM!$H:$H,ROW()))),"CUKUP",IF(ISNUMBER(SEARCH("Kurang,",INDEX(FORM!$H:$H,ROW()))),"KURANG",""))))</f>
        <v/>
      </c>
      <c r="K616" s="8" t="str">
        <f>IF($A616="","",UPPER(TRIM(INDEX(FORM!$J:$J,ROW()))))</f>
        <v/>
      </c>
      <c r="L616" s="8" t="str">
        <f>IF($A616="","",IF(ISNUMBER(SEARCH("Aktivitas Harian",INDEX(FORM!$K:$K,ROW()))),1,0))</f>
        <v/>
      </c>
      <c r="M616" s="8" t="str">
        <f>IF($A616="","",IF(ISNUMBER(SEARCH("Aktivitas Mingguan",INDEX(FORM!$K:$K,ROW()))),1,0))</f>
        <v/>
      </c>
      <c r="N616" s="8" t="str">
        <f>IF($A616="","",IF(ISNUMBER(SEARCH("Aktivitas Bulanan",INDEX(FORM!$K:$K,ROW()))),1,0))</f>
        <v/>
      </c>
      <c r="O616" s="8" t="str">
        <f>IF($A616="","",IF(ISNUMBER(SEARCH("Overview Cabang",INDEX(FORM!$K:$K,ROW()))),1,0))</f>
        <v/>
      </c>
      <c r="P616" s="8" t="str">
        <f>IF($A616="","",IFERROR(VLOOKUP(I616,DATA!$AH$9:$AI$13,2,0),""))</f>
        <v/>
      </c>
      <c r="Q616" s="8" t="str">
        <f>IF($A616="","",IFERROR(VLOOKUP(J616,DATA!$AH$9:$AI$13,2,0),""))</f>
        <v/>
      </c>
      <c r="R616" s="8" t="str">
        <f>IF($A616="","",IFERROR(VLOOKUP(K616,DATA!$AH$9:$AI$13,2,0),""))</f>
        <v/>
      </c>
      <c r="S616" s="42" t="str">
        <f t="shared" si="198"/>
        <v/>
      </c>
      <c r="T616" s="8" t="str">
        <f>IF($A616="","",IF(COUNTIF($D$2:D616,D616)=1,1,0))</f>
        <v/>
      </c>
      <c r="U616" s="8" t="str">
        <f>IF($A616="","",IF(F616="-","Cabang tdk ada",IF(IFERROR(VLOOKUP(G616,#REF!,1,0),"")="","",IF(INDEX(DATA!$AH$2:$AH$5,MATCH(G616,DATA!$AI$2:$AI$5,0))&lt;&gt;F616,"Wilayah beda","OK"))))</f>
        <v/>
      </c>
      <c r="V616" s="8" t="str">
        <f>IF($A616="","",TRIM(INDEX(FORM!$I:$I,ROW())&amp;""))</f>
        <v/>
      </c>
      <c r="W616" s="8" t="str">
        <f>IF($A616="","",TRIM(INDEX(FORM!$L:$L,ROW())&amp;""))</f>
        <v/>
      </c>
      <c r="X616" s="8" t="str">
        <f>IF($A616="","",TRIM(INDEX(FORM!$M:$M,ROW())&amp;""))</f>
        <v/>
      </c>
      <c r="Y616" s="8" t="str">
        <f>IF($A616="","",IFERROR(MATCH(F616,DATA!$AH$2:$AH$5,0),9)*10000+A616)</f>
        <v/>
      </c>
      <c r="Z616" s="8" t="str">
        <f t="shared" si="199"/>
        <v/>
      </c>
      <c r="AA616" s="8" t="str">
        <f t="shared" si="200"/>
        <v/>
      </c>
      <c r="AB616" s="8" t="str">
        <f t="shared" si="201"/>
        <v/>
      </c>
      <c r="AC616" s="8"/>
      <c r="AD616" s="8"/>
      <c r="AE616" s="8"/>
      <c r="AK616" s="5" t="str">
        <f t="shared" si="202"/>
        <v/>
      </c>
      <c r="AL616" s="5" t="str">
        <f t="shared" si="203"/>
        <v/>
      </c>
      <c r="AM616" s="5" t="str">
        <f t="shared" si="204"/>
        <v/>
      </c>
      <c r="AN616" s="5" t="str">
        <f t="shared" si="205"/>
        <v/>
      </c>
      <c r="AO616" s="5" t="str">
        <f t="shared" si="206"/>
        <v/>
      </c>
      <c r="AP616" s="5" t="str">
        <f t="shared" si="207"/>
        <v/>
      </c>
      <c r="AQ616" s="5" t="str">
        <f t="shared" si="208"/>
        <v/>
      </c>
      <c r="AR616" s="5" t="str">
        <f t="shared" si="209"/>
        <v/>
      </c>
      <c r="AS616" s="5" t="str">
        <f t="shared" si="210"/>
        <v/>
      </c>
      <c r="AT616" s="5" t="str">
        <f t="shared" si="211"/>
        <v/>
      </c>
      <c r="AU616" s="5" t="str">
        <f t="shared" si="212"/>
        <v/>
      </c>
      <c r="AV616" s="5" t="str">
        <f t="shared" si="213"/>
        <v/>
      </c>
      <c r="AW616" s="5" t="str">
        <f t="shared" si="214"/>
        <v/>
      </c>
      <c r="AX616" s="5" t="str">
        <f t="shared" si="215"/>
        <v/>
      </c>
      <c r="AY616" s="5" t="str">
        <f t="shared" si="216"/>
        <v/>
      </c>
      <c r="AZ616" s="5" t="str">
        <f t="shared" si="217"/>
        <v/>
      </c>
      <c r="BA616" s="5" t="str">
        <f t="shared" si="218"/>
        <v/>
      </c>
      <c r="BB616" s="5" t="str">
        <f t="shared" si="219"/>
        <v/>
      </c>
    </row>
    <row r="617" spans="1:54" s="5" customFormat="1" hidden="1">
      <c r="A617" s="8" t="str">
        <f>IF(INDEX(FORM!$A:$A,ROW())="","",ROW()-1)</f>
        <v/>
      </c>
      <c r="B617" s="41" t="str">
        <f>IF($A617="","",INDEX(FORM!$A:$A,ROW()))</f>
        <v/>
      </c>
      <c r="C617" s="8" t="str">
        <f>IF($A617="","",TRIM(INDEX(FORM!$B:$B,ROW())))</f>
        <v/>
      </c>
      <c r="D617" s="8" t="str">
        <f>IF($A617="","",TRIM(INDEX(FORM!$C:$C,ROW())&amp;""))</f>
        <v/>
      </c>
      <c r="E617" s="8" t="str">
        <f>IF($A617="","",UPPER(TRIM(INDEX(FORM!$D:$D,ROW()))))</f>
        <v/>
      </c>
      <c r="F617" s="8" t="str">
        <f>IF($A617="","",IFERROR(INDEX(PROGRES!$A$2:$A$92,MATCH(E617,PROGRES!$B$2:$B$92,0)),"-"))</f>
        <v/>
      </c>
      <c r="G617" s="8" t="str">
        <f>IF($A617="","",UPPER(TRIM(INDEX(FORM!$F:$F,ROW()))))</f>
        <v/>
      </c>
      <c r="H617" s="8" t="str">
        <f>IF($A617="","",UPPER(TRIM(INDEX(FORM!$E:$E,ROW()))))</f>
        <v/>
      </c>
      <c r="I617" s="8" t="str">
        <f>IF($A617="","",UPPER(TRIM(INDEX(FORM!$G:$G,ROW()))))</f>
        <v/>
      </c>
      <c r="J617" s="8" t="str">
        <f>IF($A617="","",IF(ISNUMBER(SEARCH("Ya,",INDEX(FORM!$H:$H,ROW()))),"YA",IF(ISNUMBER(SEARCH("Cukup,",INDEX(FORM!$H:$H,ROW()))),"CUKUP",IF(ISNUMBER(SEARCH("Kurang,",INDEX(FORM!$H:$H,ROW()))),"KURANG",""))))</f>
        <v/>
      </c>
      <c r="K617" s="8" t="str">
        <f>IF($A617="","",UPPER(TRIM(INDEX(FORM!$J:$J,ROW()))))</f>
        <v/>
      </c>
      <c r="L617" s="8" t="str">
        <f>IF($A617="","",IF(ISNUMBER(SEARCH("Aktivitas Harian",INDEX(FORM!$K:$K,ROW()))),1,0))</f>
        <v/>
      </c>
      <c r="M617" s="8" t="str">
        <f>IF($A617="","",IF(ISNUMBER(SEARCH("Aktivitas Mingguan",INDEX(FORM!$K:$K,ROW()))),1,0))</f>
        <v/>
      </c>
      <c r="N617" s="8" t="str">
        <f>IF($A617="","",IF(ISNUMBER(SEARCH("Aktivitas Bulanan",INDEX(FORM!$K:$K,ROW()))),1,0))</f>
        <v/>
      </c>
      <c r="O617" s="8" t="str">
        <f>IF($A617="","",IF(ISNUMBER(SEARCH("Overview Cabang",INDEX(FORM!$K:$K,ROW()))),1,0))</f>
        <v/>
      </c>
      <c r="P617" s="8" t="str">
        <f>IF($A617="","",IFERROR(VLOOKUP(I617,DATA!$AH$9:$AI$13,2,0),""))</f>
        <v/>
      </c>
      <c r="Q617" s="8" t="str">
        <f>IF($A617="","",IFERROR(VLOOKUP(J617,DATA!$AH$9:$AI$13,2,0),""))</f>
        <v/>
      </c>
      <c r="R617" s="8" t="str">
        <f>IF($A617="","",IFERROR(VLOOKUP(K617,DATA!$AH$9:$AI$13,2,0),""))</f>
        <v/>
      </c>
      <c r="S617" s="42" t="str">
        <f t="shared" si="198"/>
        <v/>
      </c>
      <c r="T617" s="8" t="str">
        <f>IF($A617="","",IF(COUNTIF($D$2:D617,D617)=1,1,0))</f>
        <v/>
      </c>
      <c r="U617" s="8" t="str">
        <f>IF($A617="","",IF(F617="-","Cabang tdk ada",IF(IFERROR(VLOOKUP(G617,#REF!,1,0),"")="","",IF(INDEX(DATA!$AH$2:$AH$5,MATCH(G617,DATA!$AI$2:$AI$5,0))&lt;&gt;F617,"Wilayah beda","OK"))))</f>
        <v/>
      </c>
      <c r="V617" s="8" t="str">
        <f>IF($A617="","",TRIM(INDEX(FORM!$I:$I,ROW())&amp;""))</f>
        <v/>
      </c>
      <c r="W617" s="8" t="str">
        <f>IF($A617="","",TRIM(INDEX(FORM!$L:$L,ROW())&amp;""))</f>
        <v/>
      </c>
      <c r="X617" s="8" t="str">
        <f>IF($A617="","",TRIM(INDEX(FORM!$M:$M,ROW())&amp;""))</f>
        <v/>
      </c>
      <c r="Y617" s="8" t="str">
        <f>IF($A617="","",IFERROR(MATCH(F617,DATA!$AH$2:$AH$5,0),9)*10000+A617)</f>
        <v/>
      </c>
      <c r="Z617" s="8" t="str">
        <f t="shared" si="199"/>
        <v/>
      </c>
      <c r="AA617" s="8" t="str">
        <f t="shared" si="200"/>
        <v/>
      </c>
      <c r="AB617" s="8" t="str">
        <f t="shared" si="201"/>
        <v/>
      </c>
      <c r="AC617" s="8"/>
      <c r="AD617" s="8"/>
      <c r="AE617" s="8"/>
      <c r="AK617" s="5" t="str">
        <f t="shared" si="202"/>
        <v/>
      </c>
      <c r="AL617" s="5" t="str">
        <f t="shared" si="203"/>
        <v/>
      </c>
      <c r="AM617" s="5" t="str">
        <f t="shared" si="204"/>
        <v/>
      </c>
      <c r="AN617" s="5" t="str">
        <f t="shared" si="205"/>
        <v/>
      </c>
      <c r="AO617" s="5" t="str">
        <f t="shared" si="206"/>
        <v/>
      </c>
      <c r="AP617" s="5" t="str">
        <f t="shared" si="207"/>
        <v/>
      </c>
      <c r="AQ617" s="5" t="str">
        <f t="shared" si="208"/>
        <v/>
      </c>
      <c r="AR617" s="5" t="str">
        <f t="shared" si="209"/>
        <v/>
      </c>
      <c r="AS617" s="5" t="str">
        <f t="shared" si="210"/>
        <v/>
      </c>
      <c r="AT617" s="5" t="str">
        <f t="shared" si="211"/>
        <v/>
      </c>
      <c r="AU617" s="5" t="str">
        <f t="shared" si="212"/>
        <v/>
      </c>
      <c r="AV617" s="5" t="str">
        <f t="shared" si="213"/>
        <v/>
      </c>
      <c r="AW617" s="5" t="str">
        <f t="shared" si="214"/>
        <v/>
      </c>
      <c r="AX617" s="5" t="str">
        <f t="shared" si="215"/>
        <v/>
      </c>
      <c r="AY617" s="5" t="str">
        <f t="shared" si="216"/>
        <v/>
      </c>
      <c r="AZ617" s="5" t="str">
        <f t="shared" si="217"/>
        <v/>
      </c>
      <c r="BA617" s="5" t="str">
        <f t="shared" si="218"/>
        <v/>
      </c>
      <c r="BB617" s="5" t="str">
        <f t="shared" si="219"/>
        <v/>
      </c>
    </row>
    <row r="618" spans="1:54" s="5" customFormat="1" hidden="1">
      <c r="A618" s="8" t="str">
        <f>IF(INDEX(FORM!$A:$A,ROW())="","",ROW()-1)</f>
        <v/>
      </c>
      <c r="B618" s="41" t="str">
        <f>IF($A618="","",INDEX(FORM!$A:$A,ROW()))</f>
        <v/>
      </c>
      <c r="C618" s="8" t="str">
        <f>IF($A618="","",TRIM(INDEX(FORM!$B:$B,ROW())))</f>
        <v/>
      </c>
      <c r="D618" s="8" t="str">
        <f>IF($A618="","",TRIM(INDEX(FORM!$C:$C,ROW())&amp;""))</f>
        <v/>
      </c>
      <c r="E618" s="8" t="str">
        <f>IF($A618="","",UPPER(TRIM(INDEX(FORM!$D:$D,ROW()))))</f>
        <v/>
      </c>
      <c r="F618" s="8" t="str">
        <f>IF($A618="","",IFERROR(INDEX(PROGRES!$A$2:$A$92,MATCH(E618,PROGRES!$B$2:$B$92,0)),"-"))</f>
        <v/>
      </c>
      <c r="G618" s="8" t="str">
        <f>IF($A618="","",UPPER(TRIM(INDEX(FORM!$F:$F,ROW()))))</f>
        <v/>
      </c>
      <c r="H618" s="8" t="str">
        <f>IF($A618="","",UPPER(TRIM(INDEX(FORM!$E:$E,ROW()))))</f>
        <v/>
      </c>
      <c r="I618" s="8" t="str">
        <f>IF($A618="","",UPPER(TRIM(INDEX(FORM!$G:$G,ROW()))))</f>
        <v/>
      </c>
      <c r="J618" s="8" t="str">
        <f>IF($A618="","",IF(ISNUMBER(SEARCH("Ya,",INDEX(FORM!$H:$H,ROW()))),"YA",IF(ISNUMBER(SEARCH("Cukup,",INDEX(FORM!$H:$H,ROW()))),"CUKUP",IF(ISNUMBER(SEARCH("Kurang,",INDEX(FORM!$H:$H,ROW()))),"KURANG",""))))</f>
        <v/>
      </c>
      <c r="K618" s="8" t="str">
        <f>IF($A618="","",UPPER(TRIM(INDEX(FORM!$J:$J,ROW()))))</f>
        <v/>
      </c>
      <c r="L618" s="8" t="str">
        <f>IF($A618="","",IF(ISNUMBER(SEARCH("Aktivitas Harian",INDEX(FORM!$K:$K,ROW()))),1,0))</f>
        <v/>
      </c>
      <c r="M618" s="8" t="str">
        <f>IF($A618="","",IF(ISNUMBER(SEARCH("Aktivitas Mingguan",INDEX(FORM!$K:$K,ROW()))),1,0))</f>
        <v/>
      </c>
      <c r="N618" s="8" t="str">
        <f>IF($A618="","",IF(ISNUMBER(SEARCH("Aktivitas Bulanan",INDEX(FORM!$K:$K,ROW()))),1,0))</f>
        <v/>
      </c>
      <c r="O618" s="8" t="str">
        <f>IF($A618="","",IF(ISNUMBER(SEARCH("Overview Cabang",INDEX(FORM!$K:$K,ROW()))),1,0))</f>
        <v/>
      </c>
      <c r="P618" s="8" t="str">
        <f>IF($A618="","",IFERROR(VLOOKUP(I618,DATA!$AH$9:$AI$13,2,0),""))</f>
        <v/>
      </c>
      <c r="Q618" s="8" t="str">
        <f>IF($A618="","",IFERROR(VLOOKUP(J618,DATA!$AH$9:$AI$13,2,0),""))</f>
        <v/>
      </c>
      <c r="R618" s="8" t="str">
        <f>IF($A618="","",IFERROR(VLOOKUP(K618,DATA!$AH$9:$AI$13,2,0),""))</f>
        <v/>
      </c>
      <c r="S618" s="42" t="str">
        <f t="shared" si="198"/>
        <v/>
      </c>
      <c r="T618" s="8" t="str">
        <f>IF($A618="","",IF(COUNTIF($D$2:D618,D618)=1,1,0))</f>
        <v/>
      </c>
      <c r="U618" s="8" t="str">
        <f>IF($A618="","",IF(F618="-","Cabang tdk ada",IF(IFERROR(VLOOKUP(G618,#REF!,1,0),"")="","",IF(INDEX(DATA!$AH$2:$AH$5,MATCH(G618,DATA!$AI$2:$AI$5,0))&lt;&gt;F618,"Wilayah beda","OK"))))</f>
        <v/>
      </c>
      <c r="V618" s="8" t="str">
        <f>IF($A618="","",TRIM(INDEX(FORM!$I:$I,ROW())&amp;""))</f>
        <v/>
      </c>
      <c r="W618" s="8" t="str">
        <f>IF($A618="","",TRIM(INDEX(FORM!$L:$L,ROW())&amp;""))</f>
        <v/>
      </c>
      <c r="X618" s="8" t="str">
        <f>IF($A618="","",TRIM(INDEX(FORM!$M:$M,ROW())&amp;""))</f>
        <v/>
      </c>
      <c r="Y618" s="8" t="str">
        <f>IF($A618="","",IFERROR(MATCH(F618,DATA!$AH$2:$AH$5,0),9)*10000+A618)</f>
        <v/>
      </c>
      <c r="Z618" s="8" t="str">
        <f t="shared" si="199"/>
        <v/>
      </c>
      <c r="AA618" s="8" t="str">
        <f t="shared" si="200"/>
        <v/>
      </c>
      <c r="AB618" s="8" t="str">
        <f t="shared" si="201"/>
        <v/>
      </c>
      <c r="AC618" s="8"/>
      <c r="AD618" s="8"/>
      <c r="AE618" s="8"/>
      <c r="AK618" s="5" t="str">
        <f t="shared" si="202"/>
        <v/>
      </c>
      <c r="AL618" s="5" t="str">
        <f t="shared" si="203"/>
        <v/>
      </c>
      <c r="AM618" s="5" t="str">
        <f t="shared" si="204"/>
        <v/>
      </c>
      <c r="AN618" s="5" t="str">
        <f t="shared" si="205"/>
        <v/>
      </c>
      <c r="AO618" s="5" t="str">
        <f t="shared" si="206"/>
        <v/>
      </c>
      <c r="AP618" s="5" t="str">
        <f t="shared" si="207"/>
        <v/>
      </c>
      <c r="AQ618" s="5" t="str">
        <f t="shared" si="208"/>
        <v/>
      </c>
      <c r="AR618" s="5" t="str">
        <f t="shared" si="209"/>
        <v/>
      </c>
      <c r="AS618" s="5" t="str">
        <f t="shared" si="210"/>
        <v/>
      </c>
      <c r="AT618" s="5" t="str">
        <f t="shared" si="211"/>
        <v/>
      </c>
      <c r="AU618" s="5" t="str">
        <f t="shared" si="212"/>
        <v/>
      </c>
      <c r="AV618" s="5" t="str">
        <f t="shared" si="213"/>
        <v/>
      </c>
      <c r="AW618" s="5" t="str">
        <f t="shared" si="214"/>
        <v/>
      </c>
      <c r="AX618" s="5" t="str">
        <f t="shared" si="215"/>
        <v/>
      </c>
      <c r="AY618" s="5" t="str">
        <f t="shared" si="216"/>
        <v/>
      </c>
      <c r="AZ618" s="5" t="str">
        <f t="shared" si="217"/>
        <v/>
      </c>
      <c r="BA618" s="5" t="str">
        <f t="shared" si="218"/>
        <v/>
      </c>
      <c r="BB618" s="5" t="str">
        <f t="shared" si="219"/>
        <v/>
      </c>
    </row>
    <row r="619" spans="1:54" s="5" customFormat="1" hidden="1">
      <c r="A619" s="8" t="str">
        <f>IF(INDEX(FORM!$A:$A,ROW())="","",ROW()-1)</f>
        <v/>
      </c>
      <c r="B619" s="41" t="str">
        <f>IF($A619="","",INDEX(FORM!$A:$A,ROW()))</f>
        <v/>
      </c>
      <c r="C619" s="8" t="str">
        <f>IF($A619="","",TRIM(INDEX(FORM!$B:$B,ROW())))</f>
        <v/>
      </c>
      <c r="D619" s="8" t="str">
        <f>IF($A619="","",TRIM(INDEX(FORM!$C:$C,ROW())&amp;""))</f>
        <v/>
      </c>
      <c r="E619" s="8" t="str">
        <f>IF($A619="","",UPPER(TRIM(INDEX(FORM!$D:$D,ROW()))))</f>
        <v/>
      </c>
      <c r="F619" s="8" t="str">
        <f>IF($A619="","",IFERROR(INDEX(PROGRES!$A$2:$A$92,MATCH(E619,PROGRES!$B$2:$B$92,0)),"-"))</f>
        <v/>
      </c>
      <c r="G619" s="8" t="str">
        <f>IF($A619="","",UPPER(TRIM(INDEX(FORM!$F:$F,ROW()))))</f>
        <v/>
      </c>
      <c r="H619" s="8" t="str">
        <f>IF($A619="","",UPPER(TRIM(INDEX(FORM!$E:$E,ROW()))))</f>
        <v/>
      </c>
      <c r="I619" s="8" t="str">
        <f>IF($A619="","",UPPER(TRIM(INDEX(FORM!$G:$G,ROW()))))</f>
        <v/>
      </c>
      <c r="J619" s="8" t="str">
        <f>IF($A619="","",IF(ISNUMBER(SEARCH("Ya,",INDEX(FORM!$H:$H,ROW()))),"YA",IF(ISNUMBER(SEARCH("Cukup,",INDEX(FORM!$H:$H,ROW()))),"CUKUP",IF(ISNUMBER(SEARCH("Kurang,",INDEX(FORM!$H:$H,ROW()))),"KURANG",""))))</f>
        <v/>
      </c>
      <c r="K619" s="8" t="str">
        <f>IF($A619="","",UPPER(TRIM(INDEX(FORM!$J:$J,ROW()))))</f>
        <v/>
      </c>
      <c r="L619" s="8" t="str">
        <f>IF($A619="","",IF(ISNUMBER(SEARCH("Aktivitas Harian",INDEX(FORM!$K:$K,ROW()))),1,0))</f>
        <v/>
      </c>
      <c r="M619" s="8" t="str">
        <f>IF($A619="","",IF(ISNUMBER(SEARCH("Aktivitas Mingguan",INDEX(FORM!$K:$K,ROW()))),1,0))</f>
        <v/>
      </c>
      <c r="N619" s="8" t="str">
        <f>IF($A619="","",IF(ISNUMBER(SEARCH("Aktivitas Bulanan",INDEX(FORM!$K:$K,ROW()))),1,0))</f>
        <v/>
      </c>
      <c r="O619" s="8" t="str">
        <f>IF($A619="","",IF(ISNUMBER(SEARCH("Overview Cabang",INDEX(FORM!$K:$K,ROW()))),1,0))</f>
        <v/>
      </c>
      <c r="P619" s="8" t="str">
        <f>IF($A619="","",IFERROR(VLOOKUP(I619,DATA!$AH$9:$AI$13,2,0),""))</f>
        <v/>
      </c>
      <c r="Q619" s="8" t="str">
        <f>IF($A619="","",IFERROR(VLOOKUP(J619,DATA!$AH$9:$AI$13,2,0),""))</f>
        <v/>
      </c>
      <c r="R619" s="8" t="str">
        <f>IF($A619="","",IFERROR(VLOOKUP(K619,DATA!$AH$9:$AI$13,2,0),""))</f>
        <v/>
      </c>
      <c r="S619" s="42" t="str">
        <f t="shared" si="198"/>
        <v/>
      </c>
      <c r="T619" s="8" t="str">
        <f>IF($A619="","",IF(COUNTIF($D$2:D619,D619)=1,1,0))</f>
        <v/>
      </c>
      <c r="U619" s="8" t="str">
        <f>IF($A619="","",IF(F619="-","Cabang tdk ada",IF(IFERROR(VLOOKUP(G619,#REF!,1,0),"")="","",IF(INDEX(DATA!$AH$2:$AH$5,MATCH(G619,DATA!$AI$2:$AI$5,0))&lt;&gt;F619,"Wilayah beda","OK"))))</f>
        <v/>
      </c>
      <c r="V619" s="8" t="str">
        <f>IF($A619="","",TRIM(INDEX(FORM!$I:$I,ROW())&amp;""))</f>
        <v/>
      </c>
      <c r="W619" s="8" t="str">
        <f>IF($A619="","",TRIM(INDEX(FORM!$L:$L,ROW())&amp;""))</f>
        <v/>
      </c>
      <c r="X619" s="8" t="str">
        <f>IF($A619="","",TRIM(INDEX(FORM!$M:$M,ROW())&amp;""))</f>
        <v/>
      </c>
      <c r="Y619" s="8" t="str">
        <f>IF($A619="","",IFERROR(MATCH(F619,DATA!$AH$2:$AH$5,0),9)*10000+A619)</f>
        <v/>
      </c>
      <c r="Z619" s="8" t="str">
        <f t="shared" si="199"/>
        <v/>
      </c>
      <c r="AA619" s="8" t="str">
        <f t="shared" si="200"/>
        <v/>
      </c>
      <c r="AB619" s="8" t="str">
        <f t="shared" si="201"/>
        <v/>
      </c>
      <c r="AC619" s="8"/>
      <c r="AD619" s="8"/>
      <c r="AE619" s="8"/>
      <c r="AK619" s="5" t="str">
        <f t="shared" si="202"/>
        <v/>
      </c>
      <c r="AL619" s="5" t="str">
        <f t="shared" si="203"/>
        <v/>
      </c>
      <c r="AM619" s="5" t="str">
        <f t="shared" si="204"/>
        <v/>
      </c>
      <c r="AN619" s="5" t="str">
        <f t="shared" si="205"/>
        <v/>
      </c>
      <c r="AO619" s="5" t="str">
        <f t="shared" si="206"/>
        <v/>
      </c>
      <c r="AP619" s="5" t="str">
        <f t="shared" si="207"/>
        <v/>
      </c>
      <c r="AQ619" s="5" t="str">
        <f t="shared" si="208"/>
        <v/>
      </c>
      <c r="AR619" s="5" t="str">
        <f t="shared" si="209"/>
        <v/>
      </c>
      <c r="AS619" s="5" t="str">
        <f t="shared" si="210"/>
        <v/>
      </c>
      <c r="AT619" s="5" t="str">
        <f t="shared" si="211"/>
        <v/>
      </c>
      <c r="AU619" s="5" t="str">
        <f t="shared" si="212"/>
        <v/>
      </c>
      <c r="AV619" s="5" t="str">
        <f t="shared" si="213"/>
        <v/>
      </c>
      <c r="AW619" s="5" t="str">
        <f t="shared" si="214"/>
        <v/>
      </c>
      <c r="AX619" s="5" t="str">
        <f t="shared" si="215"/>
        <v/>
      </c>
      <c r="AY619" s="5" t="str">
        <f t="shared" si="216"/>
        <v/>
      </c>
      <c r="AZ619" s="5" t="str">
        <f t="shared" si="217"/>
        <v/>
      </c>
      <c r="BA619" s="5" t="str">
        <f t="shared" si="218"/>
        <v/>
      </c>
      <c r="BB619" s="5" t="str">
        <f t="shared" si="219"/>
        <v/>
      </c>
    </row>
    <row r="620" spans="1:54" s="5" customFormat="1" hidden="1">
      <c r="A620" s="8" t="str">
        <f>IF(INDEX(FORM!$A:$A,ROW())="","",ROW()-1)</f>
        <v/>
      </c>
      <c r="B620" s="41" t="str">
        <f>IF($A620="","",INDEX(FORM!$A:$A,ROW()))</f>
        <v/>
      </c>
      <c r="C620" s="8" t="str">
        <f>IF($A620="","",TRIM(INDEX(FORM!$B:$B,ROW())))</f>
        <v/>
      </c>
      <c r="D620" s="8" t="str">
        <f>IF($A620="","",TRIM(INDEX(FORM!$C:$C,ROW())&amp;""))</f>
        <v/>
      </c>
      <c r="E620" s="8" t="str">
        <f>IF($A620="","",UPPER(TRIM(INDEX(FORM!$D:$D,ROW()))))</f>
        <v/>
      </c>
      <c r="F620" s="8" t="str">
        <f>IF($A620="","",IFERROR(INDEX(PROGRES!$A$2:$A$92,MATCH(E620,PROGRES!$B$2:$B$92,0)),"-"))</f>
        <v/>
      </c>
      <c r="G620" s="8" t="str">
        <f>IF($A620="","",UPPER(TRIM(INDEX(FORM!$F:$F,ROW()))))</f>
        <v/>
      </c>
      <c r="H620" s="8" t="str">
        <f>IF($A620="","",UPPER(TRIM(INDEX(FORM!$E:$E,ROW()))))</f>
        <v/>
      </c>
      <c r="I620" s="8" t="str">
        <f>IF($A620="","",UPPER(TRIM(INDEX(FORM!$G:$G,ROW()))))</f>
        <v/>
      </c>
      <c r="J620" s="8" t="str">
        <f>IF($A620="","",IF(ISNUMBER(SEARCH("Ya,",INDEX(FORM!$H:$H,ROW()))),"YA",IF(ISNUMBER(SEARCH("Cukup,",INDEX(FORM!$H:$H,ROW()))),"CUKUP",IF(ISNUMBER(SEARCH("Kurang,",INDEX(FORM!$H:$H,ROW()))),"KURANG",""))))</f>
        <v/>
      </c>
      <c r="K620" s="8" t="str">
        <f>IF($A620="","",UPPER(TRIM(INDEX(FORM!$J:$J,ROW()))))</f>
        <v/>
      </c>
      <c r="L620" s="8" t="str">
        <f>IF($A620="","",IF(ISNUMBER(SEARCH("Aktivitas Harian",INDEX(FORM!$K:$K,ROW()))),1,0))</f>
        <v/>
      </c>
      <c r="M620" s="8" t="str">
        <f>IF($A620="","",IF(ISNUMBER(SEARCH("Aktivitas Mingguan",INDEX(FORM!$K:$K,ROW()))),1,0))</f>
        <v/>
      </c>
      <c r="N620" s="8" t="str">
        <f>IF($A620="","",IF(ISNUMBER(SEARCH("Aktivitas Bulanan",INDEX(FORM!$K:$K,ROW()))),1,0))</f>
        <v/>
      </c>
      <c r="O620" s="8" t="str">
        <f>IF($A620="","",IF(ISNUMBER(SEARCH("Overview Cabang",INDEX(FORM!$K:$K,ROW()))),1,0))</f>
        <v/>
      </c>
      <c r="P620" s="8" t="str">
        <f>IF($A620="","",IFERROR(VLOOKUP(I620,DATA!$AH$9:$AI$13,2,0),""))</f>
        <v/>
      </c>
      <c r="Q620" s="8" t="str">
        <f>IF($A620="","",IFERROR(VLOOKUP(J620,DATA!$AH$9:$AI$13,2,0),""))</f>
        <v/>
      </c>
      <c r="R620" s="8" t="str">
        <f>IF($A620="","",IFERROR(VLOOKUP(K620,DATA!$AH$9:$AI$13,2,0),""))</f>
        <v/>
      </c>
      <c r="S620" s="42" t="str">
        <f t="shared" si="198"/>
        <v/>
      </c>
      <c r="T620" s="8" t="str">
        <f>IF($A620="","",IF(COUNTIF($D$2:D620,D620)=1,1,0))</f>
        <v/>
      </c>
      <c r="U620" s="8" t="str">
        <f>IF($A620="","",IF(F620="-","Cabang tdk ada",IF(IFERROR(VLOOKUP(G620,#REF!,1,0),"")="","",IF(INDEX(DATA!$AH$2:$AH$5,MATCH(G620,DATA!$AI$2:$AI$5,0))&lt;&gt;F620,"Wilayah beda","OK"))))</f>
        <v/>
      </c>
      <c r="V620" s="8" t="str">
        <f>IF($A620="","",TRIM(INDEX(FORM!$I:$I,ROW())&amp;""))</f>
        <v/>
      </c>
      <c r="W620" s="8" t="str">
        <f>IF($A620="","",TRIM(INDEX(FORM!$L:$L,ROW())&amp;""))</f>
        <v/>
      </c>
      <c r="X620" s="8" t="str">
        <f>IF($A620="","",TRIM(INDEX(FORM!$M:$M,ROW())&amp;""))</f>
        <v/>
      </c>
      <c r="Y620" s="8" t="str">
        <f>IF($A620="","",IFERROR(MATCH(F620,DATA!$AH$2:$AH$5,0),9)*10000+A620)</f>
        <v/>
      </c>
      <c r="Z620" s="8" t="str">
        <f t="shared" si="199"/>
        <v/>
      </c>
      <c r="AA620" s="8" t="str">
        <f t="shared" si="200"/>
        <v/>
      </c>
      <c r="AB620" s="8" t="str">
        <f t="shared" si="201"/>
        <v/>
      </c>
      <c r="AC620" s="8"/>
      <c r="AD620" s="8"/>
      <c r="AE620" s="8"/>
      <c r="AK620" s="5" t="str">
        <f t="shared" si="202"/>
        <v/>
      </c>
      <c r="AL620" s="5" t="str">
        <f t="shared" si="203"/>
        <v/>
      </c>
      <c r="AM620" s="5" t="str">
        <f t="shared" si="204"/>
        <v/>
      </c>
      <c r="AN620" s="5" t="str">
        <f t="shared" si="205"/>
        <v/>
      </c>
      <c r="AO620" s="5" t="str">
        <f t="shared" si="206"/>
        <v/>
      </c>
      <c r="AP620" s="5" t="str">
        <f t="shared" si="207"/>
        <v/>
      </c>
      <c r="AQ620" s="5" t="str">
        <f t="shared" si="208"/>
        <v/>
      </c>
      <c r="AR620" s="5" t="str">
        <f t="shared" si="209"/>
        <v/>
      </c>
      <c r="AS620" s="5" t="str">
        <f t="shared" si="210"/>
        <v/>
      </c>
      <c r="AT620" s="5" t="str">
        <f t="shared" si="211"/>
        <v/>
      </c>
      <c r="AU620" s="5" t="str">
        <f t="shared" si="212"/>
        <v/>
      </c>
      <c r="AV620" s="5" t="str">
        <f t="shared" si="213"/>
        <v/>
      </c>
      <c r="AW620" s="5" t="str">
        <f t="shared" si="214"/>
        <v/>
      </c>
      <c r="AX620" s="5" t="str">
        <f t="shared" si="215"/>
        <v/>
      </c>
      <c r="AY620" s="5" t="str">
        <f t="shared" si="216"/>
        <v/>
      </c>
      <c r="AZ620" s="5" t="str">
        <f t="shared" si="217"/>
        <v/>
      </c>
      <c r="BA620" s="5" t="str">
        <f t="shared" si="218"/>
        <v/>
      </c>
      <c r="BB620" s="5" t="str">
        <f t="shared" si="219"/>
        <v/>
      </c>
    </row>
    <row r="621" spans="1:54" s="5" customFormat="1" hidden="1">
      <c r="A621" s="8" t="str">
        <f>IF(INDEX(FORM!$A:$A,ROW())="","",ROW()-1)</f>
        <v/>
      </c>
      <c r="B621" s="41" t="str">
        <f>IF($A621="","",INDEX(FORM!$A:$A,ROW()))</f>
        <v/>
      </c>
      <c r="C621" s="8" t="str">
        <f>IF($A621="","",TRIM(INDEX(FORM!$B:$B,ROW())))</f>
        <v/>
      </c>
      <c r="D621" s="8" t="str">
        <f>IF($A621="","",TRIM(INDEX(FORM!$C:$C,ROW())&amp;""))</f>
        <v/>
      </c>
      <c r="E621" s="8" t="str">
        <f>IF($A621="","",UPPER(TRIM(INDEX(FORM!$D:$D,ROW()))))</f>
        <v/>
      </c>
      <c r="F621" s="8" t="str">
        <f>IF($A621="","",IFERROR(INDEX(PROGRES!$A$2:$A$92,MATCH(E621,PROGRES!$B$2:$B$92,0)),"-"))</f>
        <v/>
      </c>
      <c r="G621" s="8" t="str">
        <f>IF($A621="","",UPPER(TRIM(INDEX(FORM!$F:$F,ROW()))))</f>
        <v/>
      </c>
      <c r="H621" s="8" t="str">
        <f>IF($A621="","",UPPER(TRIM(INDEX(FORM!$E:$E,ROW()))))</f>
        <v/>
      </c>
      <c r="I621" s="8" t="str">
        <f>IF($A621="","",UPPER(TRIM(INDEX(FORM!$G:$G,ROW()))))</f>
        <v/>
      </c>
      <c r="J621" s="8" t="str">
        <f>IF($A621="","",IF(ISNUMBER(SEARCH("Ya,",INDEX(FORM!$H:$H,ROW()))),"YA",IF(ISNUMBER(SEARCH("Cukup,",INDEX(FORM!$H:$H,ROW()))),"CUKUP",IF(ISNUMBER(SEARCH("Kurang,",INDEX(FORM!$H:$H,ROW()))),"KURANG",""))))</f>
        <v/>
      </c>
      <c r="K621" s="8" t="str">
        <f>IF($A621="","",UPPER(TRIM(INDEX(FORM!$J:$J,ROW()))))</f>
        <v/>
      </c>
      <c r="L621" s="8" t="str">
        <f>IF($A621="","",IF(ISNUMBER(SEARCH("Aktivitas Harian",INDEX(FORM!$K:$K,ROW()))),1,0))</f>
        <v/>
      </c>
      <c r="M621" s="8" t="str">
        <f>IF($A621="","",IF(ISNUMBER(SEARCH("Aktivitas Mingguan",INDEX(FORM!$K:$K,ROW()))),1,0))</f>
        <v/>
      </c>
      <c r="N621" s="8" t="str">
        <f>IF($A621="","",IF(ISNUMBER(SEARCH("Aktivitas Bulanan",INDEX(FORM!$K:$K,ROW()))),1,0))</f>
        <v/>
      </c>
      <c r="O621" s="8" t="str">
        <f>IF($A621="","",IF(ISNUMBER(SEARCH("Overview Cabang",INDEX(FORM!$K:$K,ROW()))),1,0))</f>
        <v/>
      </c>
      <c r="P621" s="8" t="str">
        <f>IF($A621="","",IFERROR(VLOOKUP(I621,DATA!$AH$9:$AI$13,2,0),""))</f>
        <v/>
      </c>
      <c r="Q621" s="8" t="str">
        <f>IF($A621="","",IFERROR(VLOOKUP(J621,DATA!$AH$9:$AI$13,2,0),""))</f>
        <v/>
      </c>
      <c r="R621" s="8" t="str">
        <f>IF($A621="","",IFERROR(VLOOKUP(K621,DATA!$AH$9:$AI$13,2,0),""))</f>
        <v/>
      </c>
      <c r="S621" s="42" t="str">
        <f t="shared" si="198"/>
        <v/>
      </c>
      <c r="T621" s="8" t="str">
        <f>IF($A621="","",IF(COUNTIF($D$2:D621,D621)=1,1,0))</f>
        <v/>
      </c>
      <c r="U621" s="8" t="str">
        <f>IF($A621="","",IF(F621="-","Cabang tdk ada",IF(IFERROR(VLOOKUP(G621,#REF!,1,0),"")="","",IF(INDEX(DATA!$AH$2:$AH$5,MATCH(G621,DATA!$AI$2:$AI$5,0))&lt;&gt;F621,"Wilayah beda","OK"))))</f>
        <v/>
      </c>
      <c r="V621" s="8" t="str">
        <f>IF($A621="","",TRIM(INDEX(FORM!$I:$I,ROW())&amp;""))</f>
        <v/>
      </c>
      <c r="W621" s="8" t="str">
        <f>IF($A621="","",TRIM(INDEX(FORM!$L:$L,ROW())&amp;""))</f>
        <v/>
      </c>
      <c r="X621" s="8" t="str">
        <f>IF($A621="","",TRIM(INDEX(FORM!$M:$M,ROW())&amp;""))</f>
        <v/>
      </c>
      <c r="Y621" s="8" t="str">
        <f>IF($A621="","",IFERROR(MATCH(F621,DATA!$AH$2:$AH$5,0),9)*10000+A621)</f>
        <v/>
      </c>
      <c r="Z621" s="8" t="str">
        <f t="shared" si="199"/>
        <v/>
      </c>
      <c r="AA621" s="8" t="str">
        <f t="shared" si="200"/>
        <v/>
      </c>
      <c r="AB621" s="8" t="str">
        <f t="shared" si="201"/>
        <v/>
      </c>
      <c r="AC621" s="8"/>
      <c r="AD621" s="8"/>
      <c r="AE621" s="8"/>
      <c r="AK621" s="5" t="str">
        <f t="shared" si="202"/>
        <v/>
      </c>
      <c r="AL621" s="5" t="str">
        <f t="shared" si="203"/>
        <v/>
      </c>
      <c r="AM621" s="5" t="str">
        <f t="shared" si="204"/>
        <v/>
      </c>
      <c r="AN621" s="5" t="str">
        <f t="shared" si="205"/>
        <v/>
      </c>
      <c r="AO621" s="5" t="str">
        <f t="shared" si="206"/>
        <v/>
      </c>
      <c r="AP621" s="5" t="str">
        <f t="shared" si="207"/>
        <v/>
      </c>
      <c r="AQ621" s="5" t="str">
        <f t="shared" si="208"/>
        <v/>
      </c>
      <c r="AR621" s="5" t="str">
        <f t="shared" si="209"/>
        <v/>
      </c>
      <c r="AS621" s="5" t="str">
        <f t="shared" si="210"/>
        <v/>
      </c>
      <c r="AT621" s="5" t="str">
        <f t="shared" si="211"/>
        <v/>
      </c>
      <c r="AU621" s="5" t="str">
        <f t="shared" si="212"/>
        <v/>
      </c>
      <c r="AV621" s="5" t="str">
        <f t="shared" si="213"/>
        <v/>
      </c>
      <c r="AW621" s="5" t="str">
        <f t="shared" si="214"/>
        <v/>
      </c>
      <c r="AX621" s="5" t="str">
        <f t="shared" si="215"/>
        <v/>
      </c>
      <c r="AY621" s="5" t="str">
        <f t="shared" si="216"/>
        <v/>
      </c>
      <c r="AZ621" s="5" t="str">
        <f t="shared" si="217"/>
        <v/>
      </c>
      <c r="BA621" s="5" t="str">
        <f t="shared" si="218"/>
        <v/>
      </c>
      <c r="BB621" s="5" t="str">
        <f t="shared" si="219"/>
        <v/>
      </c>
    </row>
    <row r="622" spans="1:54" s="5" customFormat="1" hidden="1">
      <c r="A622" s="8" t="str">
        <f>IF(INDEX(FORM!$A:$A,ROW())="","",ROW()-1)</f>
        <v/>
      </c>
      <c r="B622" s="41" t="str">
        <f>IF($A622="","",INDEX(FORM!$A:$A,ROW()))</f>
        <v/>
      </c>
      <c r="C622" s="8" t="str">
        <f>IF($A622="","",TRIM(INDEX(FORM!$B:$B,ROW())))</f>
        <v/>
      </c>
      <c r="D622" s="8" t="str">
        <f>IF($A622="","",TRIM(INDEX(FORM!$C:$C,ROW())&amp;""))</f>
        <v/>
      </c>
      <c r="E622" s="8" t="str">
        <f>IF($A622="","",UPPER(TRIM(INDEX(FORM!$D:$D,ROW()))))</f>
        <v/>
      </c>
      <c r="F622" s="8" t="str">
        <f>IF($A622="","",IFERROR(INDEX(PROGRES!$A$2:$A$92,MATCH(E622,PROGRES!$B$2:$B$92,0)),"-"))</f>
        <v/>
      </c>
      <c r="G622" s="8" t="str">
        <f>IF($A622="","",UPPER(TRIM(INDEX(FORM!$F:$F,ROW()))))</f>
        <v/>
      </c>
      <c r="H622" s="8" t="str">
        <f>IF($A622="","",UPPER(TRIM(INDEX(FORM!$E:$E,ROW()))))</f>
        <v/>
      </c>
      <c r="I622" s="8" t="str">
        <f>IF($A622="","",UPPER(TRIM(INDEX(FORM!$G:$G,ROW()))))</f>
        <v/>
      </c>
      <c r="J622" s="8" t="str">
        <f>IF($A622="","",IF(ISNUMBER(SEARCH("Ya,",INDEX(FORM!$H:$H,ROW()))),"YA",IF(ISNUMBER(SEARCH("Cukup,",INDEX(FORM!$H:$H,ROW()))),"CUKUP",IF(ISNUMBER(SEARCH("Kurang,",INDEX(FORM!$H:$H,ROW()))),"KURANG",""))))</f>
        <v/>
      </c>
      <c r="K622" s="8" t="str">
        <f>IF($A622="","",UPPER(TRIM(INDEX(FORM!$J:$J,ROW()))))</f>
        <v/>
      </c>
      <c r="L622" s="8" t="str">
        <f>IF($A622="","",IF(ISNUMBER(SEARCH("Aktivitas Harian",INDEX(FORM!$K:$K,ROW()))),1,0))</f>
        <v/>
      </c>
      <c r="M622" s="8" t="str">
        <f>IF($A622="","",IF(ISNUMBER(SEARCH("Aktivitas Mingguan",INDEX(FORM!$K:$K,ROW()))),1,0))</f>
        <v/>
      </c>
      <c r="N622" s="8" t="str">
        <f>IF($A622="","",IF(ISNUMBER(SEARCH("Aktivitas Bulanan",INDEX(FORM!$K:$K,ROW()))),1,0))</f>
        <v/>
      </c>
      <c r="O622" s="8" t="str">
        <f>IF($A622="","",IF(ISNUMBER(SEARCH("Overview Cabang",INDEX(FORM!$K:$K,ROW()))),1,0))</f>
        <v/>
      </c>
      <c r="P622" s="8" t="str">
        <f>IF($A622="","",IFERROR(VLOOKUP(I622,DATA!$AH$9:$AI$13,2,0),""))</f>
        <v/>
      </c>
      <c r="Q622" s="8" t="str">
        <f>IF($A622="","",IFERROR(VLOOKUP(J622,DATA!$AH$9:$AI$13,2,0),""))</f>
        <v/>
      </c>
      <c r="R622" s="8" t="str">
        <f>IF($A622="","",IFERROR(VLOOKUP(K622,DATA!$AH$9:$AI$13,2,0),""))</f>
        <v/>
      </c>
      <c r="S622" s="42" t="str">
        <f t="shared" si="198"/>
        <v/>
      </c>
      <c r="T622" s="8" t="str">
        <f>IF($A622="","",IF(COUNTIF($D$2:D622,D622)=1,1,0))</f>
        <v/>
      </c>
      <c r="U622" s="8" t="str">
        <f>IF($A622="","",IF(F622="-","Cabang tdk ada",IF(IFERROR(VLOOKUP(G622,#REF!,1,0),"")="","",IF(INDEX(DATA!$AH$2:$AH$5,MATCH(G622,DATA!$AI$2:$AI$5,0))&lt;&gt;F622,"Wilayah beda","OK"))))</f>
        <v/>
      </c>
      <c r="V622" s="8" t="str">
        <f>IF($A622="","",TRIM(INDEX(FORM!$I:$I,ROW())&amp;""))</f>
        <v/>
      </c>
      <c r="W622" s="8" t="str">
        <f>IF($A622="","",TRIM(INDEX(FORM!$L:$L,ROW())&amp;""))</f>
        <v/>
      </c>
      <c r="X622" s="8" t="str">
        <f>IF($A622="","",TRIM(INDEX(FORM!$M:$M,ROW())&amp;""))</f>
        <v/>
      </c>
      <c r="Y622" s="8" t="str">
        <f>IF($A622="","",IFERROR(MATCH(F622,DATA!$AH$2:$AH$5,0),9)*10000+A622)</f>
        <v/>
      </c>
      <c r="Z622" s="8" t="str">
        <f t="shared" si="199"/>
        <v/>
      </c>
      <c r="AA622" s="8" t="str">
        <f t="shared" si="200"/>
        <v/>
      </c>
      <c r="AB622" s="8" t="str">
        <f t="shared" si="201"/>
        <v/>
      </c>
      <c r="AC622" s="8"/>
      <c r="AD622" s="8"/>
      <c r="AE622" s="8"/>
      <c r="AK622" s="5" t="str">
        <f t="shared" si="202"/>
        <v/>
      </c>
      <c r="AL622" s="5" t="str">
        <f t="shared" si="203"/>
        <v/>
      </c>
      <c r="AM622" s="5" t="str">
        <f t="shared" si="204"/>
        <v/>
      </c>
      <c r="AN622" s="5" t="str">
        <f t="shared" si="205"/>
        <v/>
      </c>
      <c r="AO622" s="5" t="str">
        <f t="shared" si="206"/>
        <v/>
      </c>
      <c r="AP622" s="5" t="str">
        <f t="shared" si="207"/>
        <v/>
      </c>
      <c r="AQ622" s="5" t="str">
        <f t="shared" si="208"/>
        <v/>
      </c>
      <c r="AR622" s="5" t="str">
        <f t="shared" si="209"/>
        <v/>
      </c>
      <c r="AS622" s="5" t="str">
        <f t="shared" si="210"/>
        <v/>
      </c>
      <c r="AT622" s="5" t="str">
        <f t="shared" si="211"/>
        <v/>
      </c>
      <c r="AU622" s="5" t="str">
        <f t="shared" si="212"/>
        <v/>
      </c>
      <c r="AV622" s="5" t="str">
        <f t="shared" si="213"/>
        <v/>
      </c>
      <c r="AW622" s="5" t="str">
        <f t="shared" si="214"/>
        <v/>
      </c>
      <c r="AX622" s="5" t="str">
        <f t="shared" si="215"/>
        <v/>
      </c>
      <c r="AY622" s="5" t="str">
        <f t="shared" si="216"/>
        <v/>
      </c>
      <c r="AZ622" s="5" t="str">
        <f t="shared" si="217"/>
        <v/>
      </c>
      <c r="BA622" s="5" t="str">
        <f t="shared" si="218"/>
        <v/>
      </c>
      <c r="BB622" s="5" t="str">
        <f t="shared" si="219"/>
        <v/>
      </c>
    </row>
    <row r="623" spans="1:54" s="5" customFormat="1" hidden="1">
      <c r="A623" s="8" t="str">
        <f>IF(INDEX(FORM!$A:$A,ROW())="","",ROW()-1)</f>
        <v/>
      </c>
      <c r="B623" s="41" t="str">
        <f>IF($A623="","",INDEX(FORM!$A:$A,ROW()))</f>
        <v/>
      </c>
      <c r="C623" s="8" t="str">
        <f>IF($A623="","",TRIM(INDEX(FORM!$B:$B,ROW())))</f>
        <v/>
      </c>
      <c r="D623" s="8" t="str">
        <f>IF($A623="","",TRIM(INDEX(FORM!$C:$C,ROW())&amp;""))</f>
        <v/>
      </c>
      <c r="E623" s="8" t="str">
        <f>IF($A623="","",UPPER(TRIM(INDEX(FORM!$D:$D,ROW()))))</f>
        <v/>
      </c>
      <c r="F623" s="8" t="str">
        <f>IF($A623="","",IFERROR(INDEX(PROGRES!$A$2:$A$92,MATCH(E623,PROGRES!$B$2:$B$92,0)),"-"))</f>
        <v/>
      </c>
      <c r="G623" s="8" t="str">
        <f>IF($A623="","",UPPER(TRIM(INDEX(FORM!$F:$F,ROW()))))</f>
        <v/>
      </c>
      <c r="H623" s="8" t="str">
        <f>IF($A623="","",UPPER(TRIM(INDEX(FORM!$E:$E,ROW()))))</f>
        <v/>
      </c>
      <c r="I623" s="8" t="str">
        <f>IF($A623="","",UPPER(TRIM(INDEX(FORM!$G:$G,ROW()))))</f>
        <v/>
      </c>
      <c r="J623" s="8" t="str">
        <f>IF($A623="","",IF(ISNUMBER(SEARCH("Ya,",INDEX(FORM!$H:$H,ROW()))),"YA",IF(ISNUMBER(SEARCH("Cukup,",INDEX(FORM!$H:$H,ROW()))),"CUKUP",IF(ISNUMBER(SEARCH("Kurang,",INDEX(FORM!$H:$H,ROW()))),"KURANG",""))))</f>
        <v/>
      </c>
      <c r="K623" s="8" t="str">
        <f>IF($A623="","",UPPER(TRIM(INDEX(FORM!$J:$J,ROW()))))</f>
        <v/>
      </c>
      <c r="L623" s="8" t="str">
        <f>IF($A623="","",IF(ISNUMBER(SEARCH("Aktivitas Harian",INDEX(FORM!$K:$K,ROW()))),1,0))</f>
        <v/>
      </c>
      <c r="M623" s="8" t="str">
        <f>IF($A623="","",IF(ISNUMBER(SEARCH("Aktivitas Mingguan",INDEX(FORM!$K:$K,ROW()))),1,0))</f>
        <v/>
      </c>
      <c r="N623" s="8" t="str">
        <f>IF($A623="","",IF(ISNUMBER(SEARCH("Aktivitas Bulanan",INDEX(FORM!$K:$K,ROW()))),1,0))</f>
        <v/>
      </c>
      <c r="O623" s="8" t="str">
        <f>IF($A623="","",IF(ISNUMBER(SEARCH("Overview Cabang",INDEX(FORM!$K:$K,ROW()))),1,0))</f>
        <v/>
      </c>
      <c r="P623" s="8" t="str">
        <f>IF($A623="","",IFERROR(VLOOKUP(I623,DATA!$AH$9:$AI$13,2,0),""))</f>
        <v/>
      </c>
      <c r="Q623" s="8" t="str">
        <f>IF($A623="","",IFERROR(VLOOKUP(J623,DATA!$AH$9:$AI$13,2,0),""))</f>
        <v/>
      </c>
      <c r="R623" s="8" t="str">
        <f>IF($A623="","",IFERROR(VLOOKUP(K623,DATA!$AH$9:$AI$13,2,0),""))</f>
        <v/>
      </c>
      <c r="S623" s="42" t="str">
        <f t="shared" si="198"/>
        <v/>
      </c>
      <c r="T623" s="8" t="str">
        <f>IF($A623="","",IF(COUNTIF($D$2:D623,D623)=1,1,0))</f>
        <v/>
      </c>
      <c r="U623" s="8" t="str">
        <f>IF($A623="","",IF(F623="-","Cabang tdk ada",IF(IFERROR(VLOOKUP(G623,#REF!,1,0),"")="","",IF(INDEX(DATA!$AH$2:$AH$5,MATCH(G623,DATA!$AI$2:$AI$5,0))&lt;&gt;F623,"Wilayah beda","OK"))))</f>
        <v/>
      </c>
      <c r="V623" s="8" t="str">
        <f>IF($A623="","",TRIM(INDEX(FORM!$I:$I,ROW())&amp;""))</f>
        <v/>
      </c>
      <c r="W623" s="8" t="str">
        <f>IF($A623="","",TRIM(INDEX(FORM!$L:$L,ROW())&amp;""))</f>
        <v/>
      </c>
      <c r="X623" s="8" t="str">
        <f>IF($A623="","",TRIM(INDEX(FORM!$M:$M,ROW())&amp;""))</f>
        <v/>
      </c>
      <c r="Y623" s="8" t="str">
        <f>IF($A623="","",IFERROR(MATCH(F623,DATA!$AH$2:$AH$5,0),9)*10000+A623)</f>
        <v/>
      </c>
      <c r="Z623" s="8" t="str">
        <f t="shared" si="199"/>
        <v/>
      </c>
      <c r="AA623" s="8" t="str">
        <f t="shared" si="200"/>
        <v/>
      </c>
      <c r="AB623" s="8" t="str">
        <f t="shared" si="201"/>
        <v/>
      </c>
      <c r="AC623" s="8"/>
      <c r="AD623" s="8"/>
      <c r="AE623" s="8"/>
      <c r="AK623" s="5" t="str">
        <f t="shared" si="202"/>
        <v/>
      </c>
      <c r="AL623" s="5" t="str">
        <f t="shared" si="203"/>
        <v/>
      </c>
      <c r="AM623" s="5" t="str">
        <f t="shared" si="204"/>
        <v/>
      </c>
      <c r="AN623" s="5" t="str">
        <f t="shared" si="205"/>
        <v/>
      </c>
      <c r="AO623" s="5" t="str">
        <f t="shared" si="206"/>
        <v/>
      </c>
      <c r="AP623" s="5" t="str">
        <f t="shared" si="207"/>
        <v/>
      </c>
      <c r="AQ623" s="5" t="str">
        <f t="shared" si="208"/>
        <v/>
      </c>
      <c r="AR623" s="5" t="str">
        <f t="shared" si="209"/>
        <v/>
      </c>
      <c r="AS623" s="5" t="str">
        <f t="shared" si="210"/>
        <v/>
      </c>
      <c r="AT623" s="5" t="str">
        <f t="shared" si="211"/>
        <v/>
      </c>
      <c r="AU623" s="5" t="str">
        <f t="shared" si="212"/>
        <v/>
      </c>
      <c r="AV623" s="5" t="str">
        <f t="shared" si="213"/>
        <v/>
      </c>
      <c r="AW623" s="5" t="str">
        <f t="shared" si="214"/>
        <v/>
      </c>
      <c r="AX623" s="5" t="str">
        <f t="shared" si="215"/>
        <v/>
      </c>
      <c r="AY623" s="5" t="str">
        <f t="shared" si="216"/>
        <v/>
      </c>
      <c r="AZ623" s="5" t="str">
        <f t="shared" si="217"/>
        <v/>
      </c>
      <c r="BA623" s="5" t="str">
        <f t="shared" si="218"/>
        <v/>
      </c>
      <c r="BB623" s="5" t="str">
        <f t="shared" si="219"/>
        <v/>
      </c>
    </row>
    <row r="624" spans="1:54" s="5" customFormat="1" hidden="1">
      <c r="A624" s="8" t="str">
        <f>IF(INDEX(FORM!$A:$A,ROW())="","",ROW()-1)</f>
        <v/>
      </c>
      <c r="B624" s="41" t="str">
        <f>IF($A624="","",INDEX(FORM!$A:$A,ROW()))</f>
        <v/>
      </c>
      <c r="C624" s="8" t="str">
        <f>IF($A624="","",TRIM(INDEX(FORM!$B:$B,ROW())))</f>
        <v/>
      </c>
      <c r="D624" s="8" t="str">
        <f>IF($A624="","",TRIM(INDEX(FORM!$C:$C,ROW())&amp;""))</f>
        <v/>
      </c>
      <c r="E624" s="8" t="str">
        <f>IF($A624="","",UPPER(TRIM(INDEX(FORM!$D:$D,ROW()))))</f>
        <v/>
      </c>
      <c r="F624" s="8" t="str">
        <f>IF($A624="","",IFERROR(INDEX(PROGRES!$A$2:$A$92,MATCH(E624,PROGRES!$B$2:$B$92,0)),"-"))</f>
        <v/>
      </c>
      <c r="G624" s="8" t="str">
        <f>IF($A624="","",UPPER(TRIM(INDEX(FORM!$F:$F,ROW()))))</f>
        <v/>
      </c>
      <c r="H624" s="8" t="str">
        <f>IF($A624="","",UPPER(TRIM(INDEX(FORM!$E:$E,ROW()))))</f>
        <v/>
      </c>
      <c r="I624" s="8" t="str">
        <f>IF($A624="","",UPPER(TRIM(INDEX(FORM!$G:$G,ROW()))))</f>
        <v/>
      </c>
      <c r="J624" s="8" t="str">
        <f>IF($A624="","",IF(ISNUMBER(SEARCH("Ya,",INDEX(FORM!$H:$H,ROW()))),"YA",IF(ISNUMBER(SEARCH("Cukup,",INDEX(FORM!$H:$H,ROW()))),"CUKUP",IF(ISNUMBER(SEARCH("Kurang,",INDEX(FORM!$H:$H,ROW()))),"KURANG",""))))</f>
        <v/>
      </c>
      <c r="K624" s="8" t="str">
        <f>IF($A624="","",UPPER(TRIM(INDEX(FORM!$J:$J,ROW()))))</f>
        <v/>
      </c>
      <c r="L624" s="8" t="str">
        <f>IF($A624="","",IF(ISNUMBER(SEARCH("Aktivitas Harian",INDEX(FORM!$K:$K,ROW()))),1,0))</f>
        <v/>
      </c>
      <c r="M624" s="8" t="str">
        <f>IF($A624="","",IF(ISNUMBER(SEARCH("Aktivitas Mingguan",INDEX(FORM!$K:$K,ROW()))),1,0))</f>
        <v/>
      </c>
      <c r="N624" s="8" t="str">
        <f>IF($A624="","",IF(ISNUMBER(SEARCH("Aktivitas Bulanan",INDEX(FORM!$K:$K,ROW()))),1,0))</f>
        <v/>
      </c>
      <c r="O624" s="8" t="str">
        <f>IF($A624="","",IF(ISNUMBER(SEARCH("Overview Cabang",INDEX(FORM!$K:$K,ROW()))),1,0))</f>
        <v/>
      </c>
      <c r="P624" s="8" t="str">
        <f>IF($A624="","",IFERROR(VLOOKUP(I624,DATA!$AH$9:$AI$13,2,0),""))</f>
        <v/>
      </c>
      <c r="Q624" s="8" t="str">
        <f>IF($A624="","",IFERROR(VLOOKUP(J624,DATA!$AH$9:$AI$13,2,0),""))</f>
        <v/>
      </c>
      <c r="R624" s="8" t="str">
        <f>IF($A624="","",IFERROR(VLOOKUP(K624,DATA!$AH$9:$AI$13,2,0),""))</f>
        <v/>
      </c>
      <c r="S624" s="42" t="str">
        <f t="shared" si="198"/>
        <v/>
      </c>
      <c r="T624" s="8" t="str">
        <f>IF($A624="","",IF(COUNTIF($D$2:D624,D624)=1,1,0))</f>
        <v/>
      </c>
      <c r="U624" s="8" t="str">
        <f>IF($A624="","",IF(F624="-","Cabang tdk ada",IF(IFERROR(VLOOKUP(G624,#REF!,1,0),"")="","",IF(INDEX(DATA!$AH$2:$AH$5,MATCH(G624,DATA!$AI$2:$AI$5,0))&lt;&gt;F624,"Wilayah beda","OK"))))</f>
        <v/>
      </c>
      <c r="V624" s="8" t="str">
        <f>IF($A624="","",TRIM(INDEX(FORM!$I:$I,ROW())&amp;""))</f>
        <v/>
      </c>
      <c r="W624" s="8" t="str">
        <f>IF($A624="","",TRIM(INDEX(FORM!$L:$L,ROW())&amp;""))</f>
        <v/>
      </c>
      <c r="X624" s="8" t="str">
        <f>IF($A624="","",TRIM(INDEX(FORM!$M:$M,ROW())&amp;""))</f>
        <v/>
      </c>
      <c r="Y624" s="8" t="str">
        <f>IF($A624="","",IFERROR(MATCH(F624,DATA!$AH$2:$AH$5,0),9)*10000+A624)</f>
        <v/>
      </c>
      <c r="Z624" s="8" t="str">
        <f t="shared" si="199"/>
        <v/>
      </c>
      <c r="AA624" s="8" t="str">
        <f t="shared" si="200"/>
        <v/>
      </c>
      <c r="AB624" s="8" t="str">
        <f t="shared" si="201"/>
        <v/>
      </c>
      <c r="AC624" s="8"/>
      <c r="AD624" s="8"/>
      <c r="AE624" s="8"/>
      <c r="AK624" s="5" t="str">
        <f t="shared" si="202"/>
        <v/>
      </c>
      <c r="AL624" s="5" t="str">
        <f t="shared" si="203"/>
        <v/>
      </c>
      <c r="AM624" s="5" t="str">
        <f t="shared" si="204"/>
        <v/>
      </c>
      <c r="AN624" s="5" t="str">
        <f t="shared" si="205"/>
        <v/>
      </c>
      <c r="AO624" s="5" t="str">
        <f t="shared" si="206"/>
        <v/>
      </c>
      <c r="AP624" s="5" t="str">
        <f t="shared" si="207"/>
        <v/>
      </c>
      <c r="AQ624" s="5" t="str">
        <f t="shared" si="208"/>
        <v/>
      </c>
      <c r="AR624" s="5" t="str">
        <f t="shared" si="209"/>
        <v/>
      </c>
      <c r="AS624" s="5" t="str">
        <f t="shared" si="210"/>
        <v/>
      </c>
      <c r="AT624" s="5" t="str">
        <f t="shared" si="211"/>
        <v/>
      </c>
      <c r="AU624" s="5" t="str">
        <f t="shared" si="212"/>
        <v/>
      </c>
      <c r="AV624" s="5" t="str">
        <f t="shared" si="213"/>
        <v/>
      </c>
      <c r="AW624" s="5" t="str">
        <f t="shared" si="214"/>
        <v/>
      </c>
      <c r="AX624" s="5" t="str">
        <f t="shared" si="215"/>
        <v/>
      </c>
      <c r="AY624" s="5" t="str">
        <f t="shared" si="216"/>
        <v/>
      </c>
      <c r="AZ624" s="5" t="str">
        <f t="shared" si="217"/>
        <v/>
      </c>
      <c r="BA624" s="5" t="str">
        <f t="shared" si="218"/>
        <v/>
      </c>
      <c r="BB624" s="5" t="str">
        <f t="shared" si="219"/>
        <v/>
      </c>
    </row>
    <row r="625" spans="1:54" s="5" customFormat="1" hidden="1">
      <c r="A625" s="8" t="str">
        <f>IF(INDEX(FORM!$A:$A,ROW())="","",ROW()-1)</f>
        <v/>
      </c>
      <c r="B625" s="41" t="str">
        <f>IF($A625="","",INDEX(FORM!$A:$A,ROW()))</f>
        <v/>
      </c>
      <c r="C625" s="8" t="str">
        <f>IF($A625="","",TRIM(INDEX(FORM!$B:$B,ROW())))</f>
        <v/>
      </c>
      <c r="D625" s="8" t="str">
        <f>IF($A625="","",TRIM(INDEX(FORM!$C:$C,ROW())&amp;""))</f>
        <v/>
      </c>
      <c r="E625" s="8" t="str">
        <f>IF($A625="","",UPPER(TRIM(INDEX(FORM!$D:$D,ROW()))))</f>
        <v/>
      </c>
      <c r="F625" s="8" t="str">
        <f>IF($A625="","",IFERROR(INDEX(PROGRES!$A$2:$A$92,MATCH(E625,PROGRES!$B$2:$B$92,0)),"-"))</f>
        <v/>
      </c>
      <c r="G625" s="8" t="str">
        <f>IF($A625="","",UPPER(TRIM(INDEX(FORM!$F:$F,ROW()))))</f>
        <v/>
      </c>
      <c r="H625" s="8" t="str">
        <f>IF($A625="","",UPPER(TRIM(INDEX(FORM!$E:$E,ROW()))))</f>
        <v/>
      </c>
      <c r="I625" s="8" t="str">
        <f>IF($A625="","",UPPER(TRIM(INDEX(FORM!$G:$G,ROW()))))</f>
        <v/>
      </c>
      <c r="J625" s="8" t="str">
        <f>IF($A625="","",IF(ISNUMBER(SEARCH("Ya,",INDEX(FORM!$H:$H,ROW()))),"YA",IF(ISNUMBER(SEARCH("Cukup,",INDEX(FORM!$H:$H,ROW()))),"CUKUP",IF(ISNUMBER(SEARCH("Kurang,",INDEX(FORM!$H:$H,ROW()))),"KURANG",""))))</f>
        <v/>
      </c>
      <c r="K625" s="8" t="str">
        <f>IF($A625="","",UPPER(TRIM(INDEX(FORM!$J:$J,ROW()))))</f>
        <v/>
      </c>
      <c r="L625" s="8" t="str">
        <f>IF($A625="","",IF(ISNUMBER(SEARCH("Aktivitas Harian",INDEX(FORM!$K:$K,ROW()))),1,0))</f>
        <v/>
      </c>
      <c r="M625" s="8" t="str">
        <f>IF($A625="","",IF(ISNUMBER(SEARCH("Aktivitas Mingguan",INDEX(FORM!$K:$K,ROW()))),1,0))</f>
        <v/>
      </c>
      <c r="N625" s="8" t="str">
        <f>IF($A625="","",IF(ISNUMBER(SEARCH("Aktivitas Bulanan",INDEX(FORM!$K:$K,ROW()))),1,0))</f>
        <v/>
      </c>
      <c r="O625" s="8" t="str">
        <f>IF($A625="","",IF(ISNUMBER(SEARCH("Overview Cabang",INDEX(FORM!$K:$K,ROW()))),1,0))</f>
        <v/>
      </c>
      <c r="P625" s="8" t="str">
        <f>IF($A625="","",IFERROR(VLOOKUP(I625,DATA!$AH$9:$AI$13,2,0),""))</f>
        <v/>
      </c>
      <c r="Q625" s="8" t="str">
        <f>IF($A625="","",IFERROR(VLOOKUP(J625,DATA!$AH$9:$AI$13,2,0),""))</f>
        <v/>
      </c>
      <c r="R625" s="8" t="str">
        <f>IF($A625="","",IFERROR(VLOOKUP(K625,DATA!$AH$9:$AI$13,2,0),""))</f>
        <v/>
      </c>
      <c r="S625" s="42" t="str">
        <f t="shared" si="198"/>
        <v/>
      </c>
      <c r="T625" s="8" t="str">
        <f>IF($A625="","",IF(COUNTIF($D$2:D625,D625)=1,1,0))</f>
        <v/>
      </c>
      <c r="U625" s="8" t="str">
        <f>IF($A625="","",IF(F625="-","Cabang tdk ada",IF(IFERROR(VLOOKUP(G625,#REF!,1,0),"")="","",IF(INDEX(DATA!$AH$2:$AH$5,MATCH(G625,DATA!$AI$2:$AI$5,0))&lt;&gt;F625,"Wilayah beda","OK"))))</f>
        <v/>
      </c>
      <c r="V625" s="8" t="str">
        <f>IF($A625="","",TRIM(INDEX(FORM!$I:$I,ROW())&amp;""))</f>
        <v/>
      </c>
      <c r="W625" s="8" t="str">
        <f>IF($A625="","",TRIM(INDEX(FORM!$L:$L,ROW())&amp;""))</f>
        <v/>
      </c>
      <c r="X625" s="8" t="str">
        <f>IF($A625="","",TRIM(INDEX(FORM!$M:$M,ROW())&amp;""))</f>
        <v/>
      </c>
      <c r="Y625" s="8" t="str">
        <f>IF($A625="","",IFERROR(MATCH(F625,DATA!$AH$2:$AH$5,0),9)*10000+A625)</f>
        <v/>
      </c>
      <c r="Z625" s="8" t="str">
        <f t="shared" si="199"/>
        <v/>
      </c>
      <c r="AA625" s="8" t="str">
        <f t="shared" si="200"/>
        <v/>
      </c>
      <c r="AB625" s="8" t="str">
        <f t="shared" si="201"/>
        <v/>
      </c>
      <c r="AC625" s="8"/>
      <c r="AD625" s="8"/>
      <c r="AE625" s="8"/>
      <c r="AK625" s="5" t="str">
        <f t="shared" si="202"/>
        <v/>
      </c>
      <c r="AL625" s="5" t="str">
        <f t="shared" si="203"/>
        <v/>
      </c>
      <c r="AM625" s="5" t="str">
        <f t="shared" si="204"/>
        <v/>
      </c>
      <c r="AN625" s="5" t="str">
        <f t="shared" si="205"/>
        <v/>
      </c>
      <c r="AO625" s="5" t="str">
        <f t="shared" si="206"/>
        <v/>
      </c>
      <c r="AP625" s="5" t="str">
        <f t="shared" si="207"/>
        <v/>
      </c>
      <c r="AQ625" s="5" t="str">
        <f t="shared" si="208"/>
        <v/>
      </c>
      <c r="AR625" s="5" t="str">
        <f t="shared" si="209"/>
        <v/>
      </c>
      <c r="AS625" s="5" t="str">
        <f t="shared" si="210"/>
        <v/>
      </c>
      <c r="AT625" s="5" t="str">
        <f t="shared" si="211"/>
        <v/>
      </c>
      <c r="AU625" s="5" t="str">
        <f t="shared" si="212"/>
        <v/>
      </c>
      <c r="AV625" s="5" t="str">
        <f t="shared" si="213"/>
        <v/>
      </c>
      <c r="AW625" s="5" t="str">
        <f t="shared" si="214"/>
        <v/>
      </c>
      <c r="AX625" s="5" t="str">
        <f t="shared" si="215"/>
        <v/>
      </c>
      <c r="AY625" s="5" t="str">
        <f t="shared" si="216"/>
        <v/>
      </c>
      <c r="AZ625" s="5" t="str">
        <f t="shared" si="217"/>
        <v/>
      </c>
      <c r="BA625" s="5" t="str">
        <f t="shared" si="218"/>
        <v/>
      </c>
      <c r="BB625" s="5" t="str">
        <f t="shared" si="219"/>
        <v/>
      </c>
    </row>
    <row r="626" spans="1:54" s="5" customFormat="1" hidden="1">
      <c r="A626" s="8" t="str">
        <f>IF(INDEX(FORM!$A:$A,ROW())="","",ROW()-1)</f>
        <v/>
      </c>
      <c r="B626" s="41" t="str">
        <f>IF($A626="","",INDEX(FORM!$A:$A,ROW()))</f>
        <v/>
      </c>
      <c r="C626" s="8" t="str">
        <f>IF($A626="","",TRIM(INDEX(FORM!$B:$B,ROW())))</f>
        <v/>
      </c>
      <c r="D626" s="8" t="str">
        <f>IF($A626="","",TRIM(INDEX(FORM!$C:$C,ROW())&amp;""))</f>
        <v/>
      </c>
      <c r="E626" s="8" t="str">
        <f>IF($A626="","",UPPER(TRIM(INDEX(FORM!$D:$D,ROW()))))</f>
        <v/>
      </c>
      <c r="F626" s="8" t="str">
        <f>IF($A626="","",IFERROR(INDEX(PROGRES!$A$2:$A$92,MATCH(E626,PROGRES!$B$2:$B$92,0)),"-"))</f>
        <v/>
      </c>
      <c r="G626" s="8" t="str">
        <f>IF($A626="","",UPPER(TRIM(INDEX(FORM!$F:$F,ROW()))))</f>
        <v/>
      </c>
      <c r="H626" s="8" t="str">
        <f>IF($A626="","",UPPER(TRIM(INDEX(FORM!$E:$E,ROW()))))</f>
        <v/>
      </c>
      <c r="I626" s="8" t="str">
        <f>IF($A626="","",UPPER(TRIM(INDEX(FORM!$G:$G,ROW()))))</f>
        <v/>
      </c>
      <c r="J626" s="8" t="str">
        <f>IF($A626="","",IF(ISNUMBER(SEARCH("Ya,",INDEX(FORM!$H:$H,ROW()))),"YA",IF(ISNUMBER(SEARCH("Cukup,",INDEX(FORM!$H:$H,ROW()))),"CUKUP",IF(ISNUMBER(SEARCH("Kurang,",INDEX(FORM!$H:$H,ROW()))),"KURANG",""))))</f>
        <v/>
      </c>
      <c r="K626" s="8" t="str">
        <f>IF($A626="","",UPPER(TRIM(INDEX(FORM!$J:$J,ROW()))))</f>
        <v/>
      </c>
      <c r="L626" s="8" t="str">
        <f>IF($A626="","",IF(ISNUMBER(SEARCH("Aktivitas Harian",INDEX(FORM!$K:$K,ROW()))),1,0))</f>
        <v/>
      </c>
      <c r="M626" s="8" t="str">
        <f>IF($A626="","",IF(ISNUMBER(SEARCH("Aktivitas Mingguan",INDEX(FORM!$K:$K,ROW()))),1,0))</f>
        <v/>
      </c>
      <c r="N626" s="8" t="str">
        <f>IF($A626="","",IF(ISNUMBER(SEARCH("Aktivitas Bulanan",INDEX(FORM!$K:$K,ROW()))),1,0))</f>
        <v/>
      </c>
      <c r="O626" s="8" t="str">
        <f>IF($A626="","",IF(ISNUMBER(SEARCH("Overview Cabang",INDEX(FORM!$K:$K,ROW()))),1,0))</f>
        <v/>
      </c>
      <c r="P626" s="8" t="str">
        <f>IF($A626="","",IFERROR(VLOOKUP(I626,DATA!$AH$9:$AI$13,2,0),""))</f>
        <v/>
      </c>
      <c r="Q626" s="8" t="str">
        <f>IF($A626="","",IFERROR(VLOOKUP(J626,DATA!$AH$9:$AI$13,2,0),""))</f>
        <v/>
      </c>
      <c r="R626" s="8" t="str">
        <f>IF($A626="","",IFERROR(VLOOKUP(K626,DATA!$AH$9:$AI$13,2,0),""))</f>
        <v/>
      </c>
      <c r="S626" s="42" t="str">
        <f t="shared" si="198"/>
        <v/>
      </c>
      <c r="T626" s="8" t="str">
        <f>IF($A626="","",IF(COUNTIF($D$2:D626,D626)=1,1,0))</f>
        <v/>
      </c>
      <c r="U626" s="8" t="str">
        <f>IF($A626="","",IF(F626="-","Cabang tdk ada",IF(IFERROR(VLOOKUP(G626,#REF!,1,0),"")="","",IF(INDEX(DATA!$AH$2:$AH$5,MATCH(G626,DATA!$AI$2:$AI$5,0))&lt;&gt;F626,"Wilayah beda","OK"))))</f>
        <v/>
      </c>
      <c r="V626" s="8" t="str">
        <f>IF($A626="","",TRIM(INDEX(FORM!$I:$I,ROW())&amp;""))</f>
        <v/>
      </c>
      <c r="W626" s="8" t="str">
        <f>IF($A626="","",TRIM(INDEX(FORM!$L:$L,ROW())&amp;""))</f>
        <v/>
      </c>
      <c r="X626" s="8" t="str">
        <f>IF($A626="","",TRIM(INDEX(FORM!$M:$M,ROW())&amp;""))</f>
        <v/>
      </c>
      <c r="Y626" s="8" t="str">
        <f>IF($A626="","",IFERROR(MATCH(F626,DATA!$AH$2:$AH$5,0),9)*10000+A626)</f>
        <v/>
      </c>
      <c r="Z626" s="8" t="str">
        <f t="shared" si="199"/>
        <v/>
      </c>
      <c r="AA626" s="8" t="str">
        <f t="shared" si="200"/>
        <v/>
      </c>
      <c r="AB626" s="8" t="str">
        <f t="shared" si="201"/>
        <v/>
      </c>
      <c r="AC626" s="8"/>
      <c r="AD626" s="8"/>
      <c r="AE626" s="8"/>
      <c r="AK626" s="5" t="str">
        <f t="shared" si="202"/>
        <v/>
      </c>
      <c r="AL626" s="5" t="str">
        <f t="shared" si="203"/>
        <v/>
      </c>
      <c r="AM626" s="5" t="str">
        <f t="shared" si="204"/>
        <v/>
      </c>
      <c r="AN626" s="5" t="str">
        <f t="shared" si="205"/>
        <v/>
      </c>
      <c r="AO626" s="5" t="str">
        <f t="shared" si="206"/>
        <v/>
      </c>
      <c r="AP626" s="5" t="str">
        <f t="shared" si="207"/>
        <v/>
      </c>
      <c r="AQ626" s="5" t="str">
        <f t="shared" si="208"/>
        <v/>
      </c>
      <c r="AR626" s="5" t="str">
        <f t="shared" si="209"/>
        <v/>
      </c>
      <c r="AS626" s="5" t="str">
        <f t="shared" si="210"/>
        <v/>
      </c>
      <c r="AT626" s="5" t="str">
        <f t="shared" si="211"/>
        <v/>
      </c>
      <c r="AU626" s="5" t="str">
        <f t="shared" si="212"/>
        <v/>
      </c>
      <c r="AV626" s="5" t="str">
        <f t="shared" si="213"/>
        <v/>
      </c>
      <c r="AW626" s="5" t="str">
        <f t="shared" si="214"/>
        <v/>
      </c>
      <c r="AX626" s="5" t="str">
        <f t="shared" si="215"/>
        <v/>
      </c>
      <c r="AY626" s="5" t="str">
        <f t="shared" si="216"/>
        <v/>
      </c>
      <c r="AZ626" s="5" t="str">
        <f t="shared" si="217"/>
        <v/>
      </c>
      <c r="BA626" s="5" t="str">
        <f t="shared" si="218"/>
        <v/>
      </c>
      <c r="BB626" s="5" t="str">
        <f t="shared" si="219"/>
        <v/>
      </c>
    </row>
    <row r="627" spans="1:54" s="5" customFormat="1" hidden="1">
      <c r="A627" s="8" t="str">
        <f>IF(INDEX(FORM!$A:$A,ROW())="","",ROW()-1)</f>
        <v/>
      </c>
      <c r="B627" s="41" t="str">
        <f>IF($A627="","",INDEX(FORM!$A:$A,ROW()))</f>
        <v/>
      </c>
      <c r="C627" s="8" t="str">
        <f>IF($A627="","",TRIM(INDEX(FORM!$B:$B,ROW())))</f>
        <v/>
      </c>
      <c r="D627" s="8" t="str">
        <f>IF($A627="","",TRIM(INDEX(FORM!$C:$C,ROW())&amp;""))</f>
        <v/>
      </c>
      <c r="E627" s="8" t="str">
        <f>IF($A627="","",UPPER(TRIM(INDEX(FORM!$D:$D,ROW()))))</f>
        <v/>
      </c>
      <c r="F627" s="8" t="str">
        <f>IF($A627="","",IFERROR(INDEX(PROGRES!$A$2:$A$92,MATCH(E627,PROGRES!$B$2:$B$92,0)),"-"))</f>
        <v/>
      </c>
      <c r="G627" s="8" t="str">
        <f>IF($A627="","",UPPER(TRIM(INDEX(FORM!$F:$F,ROW()))))</f>
        <v/>
      </c>
      <c r="H627" s="8" t="str">
        <f>IF($A627="","",UPPER(TRIM(INDEX(FORM!$E:$E,ROW()))))</f>
        <v/>
      </c>
      <c r="I627" s="8" t="str">
        <f>IF($A627="","",UPPER(TRIM(INDEX(FORM!$G:$G,ROW()))))</f>
        <v/>
      </c>
      <c r="J627" s="8" t="str">
        <f>IF($A627="","",IF(ISNUMBER(SEARCH("Ya,",INDEX(FORM!$H:$H,ROW()))),"YA",IF(ISNUMBER(SEARCH("Cukup,",INDEX(FORM!$H:$H,ROW()))),"CUKUP",IF(ISNUMBER(SEARCH("Kurang,",INDEX(FORM!$H:$H,ROW()))),"KURANG",""))))</f>
        <v/>
      </c>
      <c r="K627" s="8" t="str">
        <f>IF($A627="","",UPPER(TRIM(INDEX(FORM!$J:$J,ROW()))))</f>
        <v/>
      </c>
      <c r="L627" s="8" t="str">
        <f>IF($A627="","",IF(ISNUMBER(SEARCH("Aktivitas Harian",INDEX(FORM!$K:$K,ROW()))),1,0))</f>
        <v/>
      </c>
      <c r="M627" s="8" t="str">
        <f>IF($A627="","",IF(ISNUMBER(SEARCH("Aktivitas Mingguan",INDEX(FORM!$K:$K,ROW()))),1,0))</f>
        <v/>
      </c>
      <c r="N627" s="8" t="str">
        <f>IF($A627="","",IF(ISNUMBER(SEARCH("Aktivitas Bulanan",INDEX(FORM!$K:$K,ROW()))),1,0))</f>
        <v/>
      </c>
      <c r="O627" s="8" t="str">
        <f>IF($A627="","",IF(ISNUMBER(SEARCH("Overview Cabang",INDEX(FORM!$K:$K,ROW()))),1,0))</f>
        <v/>
      </c>
      <c r="P627" s="8" t="str">
        <f>IF($A627="","",IFERROR(VLOOKUP(I627,DATA!$AH$9:$AI$13,2,0),""))</f>
        <v/>
      </c>
      <c r="Q627" s="8" t="str">
        <f>IF($A627="","",IFERROR(VLOOKUP(J627,DATA!$AH$9:$AI$13,2,0),""))</f>
        <v/>
      </c>
      <c r="R627" s="8" t="str">
        <f>IF($A627="","",IFERROR(VLOOKUP(K627,DATA!$AH$9:$AI$13,2,0),""))</f>
        <v/>
      </c>
      <c r="S627" s="42" t="str">
        <f t="shared" si="198"/>
        <v/>
      </c>
      <c r="T627" s="8" t="str">
        <f>IF($A627="","",IF(COUNTIF($D$2:D627,D627)=1,1,0))</f>
        <v/>
      </c>
      <c r="U627" s="8" t="str">
        <f>IF($A627="","",IF(F627="-","Cabang tdk ada",IF(IFERROR(VLOOKUP(G627,#REF!,1,0),"")="","",IF(INDEX(DATA!$AH$2:$AH$5,MATCH(G627,DATA!$AI$2:$AI$5,0))&lt;&gt;F627,"Wilayah beda","OK"))))</f>
        <v/>
      </c>
      <c r="V627" s="8" t="str">
        <f>IF($A627="","",TRIM(INDEX(FORM!$I:$I,ROW())&amp;""))</f>
        <v/>
      </c>
      <c r="W627" s="8" t="str">
        <f>IF($A627="","",TRIM(INDEX(FORM!$L:$L,ROW())&amp;""))</f>
        <v/>
      </c>
      <c r="X627" s="8" t="str">
        <f>IF($A627="","",TRIM(INDEX(FORM!$M:$M,ROW())&amp;""))</f>
        <v/>
      </c>
      <c r="Y627" s="8" t="str">
        <f>IF($A627="","",IFERROR(MATCH(F627,DATA!$AH$2:$AH$5,0),9)*10000+A627)</f>
        <v/>
      </c>
      <c r="Z627" s="8" t="str">
        <f t="shared" si="199"/>
        <v/>
      </c>
      <c r="AA627" s="8" t="str">
        <f t="shared" si="200"/>
        <v/>
      </c>
      <c r="AB627" s="8" t="str">
        <f t="shared" si="201"/>
        <v/>
      </c>
      <c r="AC627" s="8"/>
      <c r="AD627" s="8"/>
      <c r="AE627" s="8"/>
      <c r="AK627" s="5" t="str">
        <f t="shared" si="202"/>
        <v/>
      </c>
      <c r="AL627" s="5" t="str">
        <f t="shared" si="203"/>
        <v/>
      </c>
      <c r="AM627" s="5" t="str">
        <f t="shared" si="204"/>
        <v/>
      </c>
      <c r="AN627" s="5" t="str">
        <f t="shared" si="205"/>
        <v/>
      </c>
      <c r="AO627" s="5" t="str">
        <f t="shared" si="206"/>
        <v/>
      </c>
      <c r="AP627" s="5" t="str">
        <f t="shared" si="207"/>
        <v/>
      </c>
      <c r="AQ627" s="5" t="str">
        <f t="shared" si="208"/>
        <v/>
      </c>
      <c r="AR627" s="5" t="str">
        <f t="shared" si="209"/>
        <v/>
      </c>
      <c r="AS627" s="5" t="str">
        <f t="shared" si="210"/>
        <v/>
      </c>
      <c r="AT627" s="5" t="str">
        <f t="shared" si="211"/>
        <v/>
      </c>
      <c r="AU627" s="5" t="str">
        <f t="shared" si="212"/>
        <v/>
      </c>
      <c r="AV627" s="5" t="str">
        <f t="shared" si="213"/>
        <v/>
      </c>
      <c r="AW627" s="5" t="str">
        <f t="shared" si="214"/>
        <v/>
      </c>
      <c r="AX627" s="5" t="str">
        <f t="shared" si="215"/>
        <v/>
      </c>
      <c r="AY627" s="5" t="str">
        <f t="shared" si="216"/>
        <v/>
      </c>
      <c r="AZ627" s="5" t="str">
        <f t="shared" si="217"/>
        <v/>
      </c>
      <c r="BA627" s="5" t="str">
        <f t="shared" si="218"/>
        <v/>
      </c>
      <c r="BB627" s="5" t="str">
        <f t="shared" si="219"/>
        <v/>
      </c>
    </row>
    <row r="628" spans="1:54" s="5" customFormat="1" hidden="1">
      <c r="A628" s="8" t="str">
        <f>IF(INDEX(FORM!$A:$A,ROW())="","",ROW()-1)</f>
        <v/>
      </c>
      <c r="B628" s="41" t="str">
        <f>IF($A628="","",INDEX(FORM!$A:$A,ROW()))</f>
        <v/>
      </c>
      <c r="C628" s="8" t="str">
        <f>IF($A628="","",TRIM(INDEX(FORM!$B:$B,ROW())))</f>
        <v/>
      </c>
      <c r="D628" s="8" t="str">
        <f>IF($A628="","",TRIM(INDEX(FORM!$C:$C,ROW())&amp;""))</f>
        <v/>
      </c>
      <c r="E628" s="8" t="str">
        <f>IF($A628="","",UPPER(TRIM(INDEX(FORM!$D:$D,ROW()))))</f>
        <v/>
      </c>
      <c r="F628" s="8" t="str">
        <f>IF($A628="","",IFERROR(INDEX(PROGRES!$A$2:$A$92,MATCH(E628,PROGRES!$B$2:$B$92,0)),"-"))</f>
        <v/>
      </c>
      <c r="G628" s="8" t="str">
        <f>IF($A628="","",UPPER(TRIM(INDEX(FORM!$F:$F,ROW()))))</f>
        <v/>
      </c>
      <c r="H628" s="8" t="str">
        <f>IF($A628="","",UPPER(TRIM(INDEX(FORM!$E:$E,ROW()))))</f>
        <v/>
      </c>
      <c r="I628" s="8" t="str">
        <f>IF($A628="","",UPPER(TRIM(INDEX(FORM!$G:$G,ROW()))))</f>
        <v/>
      </c>
      <c r="J628" s="8" t="str">
        <f>IF($A628="","",IF(ISNUMBER(SEARCH("Ya,",INDEX(FORM!$H:$H,ROW()))),"YA",IF(ISNUMBER(SEARCH("Cukup,",INDEX(FORM!$H:$H,ROW()))),"CUKUP",IF(ISNUMBER(SEARCH("Kurang,",INDEX(FORM!$H:$H,ROW()))),"KURANG",""))))</f>
        <v/>
      </c>
      <c r="K628" s="8" t="str">
        <f>IF($A628="","",UPPER(TRIM(INDEX(FORM!$J:$J,ROW()))))</f>
        <v/>
      </c>
      <c r="L628" s="8" t="str">
        <f>IF($A628="","",IF(ISNUMBER(SEARCH("Aktivitas Harian",INDEX(FORM!$K:$K,ROW()))),1,0))</f>
        <v/>
      </c>
      <c r="M628" s="8" t="str">
        <f>IF($A628="","",IF(ISNUMBER(SEARCH("Aktivitas Mingguan",INDEX(FORM!$K:$K,ROW()))),1,0))</f>
        <v/>
      </c>
      <c r="N628" s="8" t="str">
        <f>IF($A628="","",IF(ISNUMBER(SEARCH("Aktivitas Bulanan",INDEX(FORM!$K:$K,ROW()))),1,0))</f>
        <v/>
      </c>
      <c r="O628" s="8" t="str">
        <f>IF($A628="","",IF(ISNUMBER(SEARCH("Overview Cabang",INDEX(FORM!$K:$K,ROW()))),1,0))</f>
        <v/>
      </c>
      <c r="P628" s="8" t="str">
        <f>IF($A628="","",IFERROR(VLOOKUP(I628,DATA!$AH$9:$AI$13,2,0),""))</f>
        <v/>
      </c>
      <c r="Q628" s="8" t="str">
        <f>IF($A628="","",IFERROR(VLOOKUP(J628,DATA!$AH$9:$AI$13,2,0),""))</f>
        <v/>
      </c>
      <c r="R628" s="8" t="str">
        <f>IF($A628="","",IFERROR(VLOOKUP(K628,DATA!$AH$9:$AI$13,2,0),""))</f>
        <v/>
      </c>
      <c r="S628" s="42" t="str">
        <f t="shared" si="198"/>
        <v/>
      </c>
      <c r="T628" s="8" t="str">
        <f>IF($A628="","",IF(COUNTIF($D$2:D628,D628)=1,1,0))</f>
        <v/>
      </c>
      <c r="U628" s="8" t="str">
        <f>IF($A628="","",IF(F628="-","Cabang tdk ada",IF(IFERROR(VLOOKUP(G628,#REF!,1,0),"")="","",IF(INDEX(DATA!$AH$2:$AH$5,MATCH(G628,DATA!$AI$2:$AI$5,0))&lt;&gt;F628,"Wilayah beda","OK"))))</f>
        <v/>
      </c>
      <c r="V628" s="8" t="str">
        <f>IF($A628="","",TRIM(INDEX(FORM!$I:$I,ROW())&amp;""))</f>
        <v/>
      </c>
      <c r="W628" s="8" t="str">
        <f>IF($A628="","",TRIM(INDEX(FORM!$L:$L,ROW())&amp;""))</f>
        <v/>
      </c>
      <c r="X628" s="8" t="str">
        <f>IF($A628="","",TRIM(INDEX(FORM!$M:$M,ROW())&amp;""))</f>
        <v/>
      </c>
      <c r="Y628" s="8" t="str">
        <f>IF($A628="","",IFERROR(MATCH(F628,DATA!$AH$2:$AH$5,0),9)*10000+A628)</f>
        <v/>
      </c>
      <c r="Z628" s="8" t="str">
        <f t="shared" si="199"/>
        <v/>
      </c>
      <c r="AA628" s="8" t="str">
        <f t="shared" si="200"/>
        <v/>
      </c>
      <c r="AB628" s="8" t="str">
        <f t="shared" si="201"/>
        <v/>
      </c>
      <c r="AC628" s="8"/>
      <c r="AD628" s="8"/>
      <c r="AE628" s="8"/>
      <c r="AK628" s="5" t="str">
        <f t="shared" si="202"/>
        <v/>
      </c>
      <c r="AL628" s="5" t="str">
        <f t="shared" si="203"/>
        <v/>
      </c>
      <c r="AM628" s="5" t="str">
        <f t="shared" si="204"/>
        <v/>
      </c>
      <c r="AN628" s="5" t="str">
        <f t="shared" si="205"/>
        <v/>
      </c>
      <c r="AO628" s="5" t="str">
        <f t="shared" si="206"/>
        <v/>
      </c>
      <c r="AP628" s="5" t="str">
        <f t="shared" si="207"/>
        <v/>
      </c>
      <c r="AQ628" s="5" t="str">
        <f t="shared" si="208"/>
        <v/>
      </c>
      <c r="AR628" s="5" t="str">
        <f t="shared" si="209"/>
        <v/>
      </c>
      <c r="AS628" s="5" t="str">
        <f t="shared" si="210"/>
        <v/>
      </c>
      <c r="AT628" s="5" t="str">
        <f t="shared" si="211"/>
        <v/>
      </c>
      <c r="AU628" s="5" t="str">
        <f t="shared" si="212"/>
        <v/>
      </c>
      <c r="AV628" s="5" t="str">
        <f t="shared" si="213"/>
        <v/>
      </c>
      <c r="AW628" s="5" t="str">
        <f t="shared" si="214"/>
        <v/>
      </c>
      <c r="AX628" s="5" t="str">
        <f t="shared" si="215"/>
        <v/>
      </c>
      <c r="AY628" s="5" t="str">
        <f t="shared" si="216"/>
        <v/>
      </c>
      <c r="AZ628" s="5" t="str">
        <f t="shared" si="217"/>
        <v/>
      </c>
      <c r="BA628" s="5" t="str">
        <f t="shared" si="218"/>
        <v/>
      </c>
      <c r="BB628" s="5" t="str">
        <f t="shared" si="219"/>
        <v/>
      </c>
    </row>
    <row r="629" spans="1:54" s="5" customFormat="1" hidden="1">
      <c r="A629" s="8" t="str">
        <f>IF(INDEX(FORM!$A:$A,ROW())="","",ROW()-1)</f>
        <v/>
      </c>
      <c r="B629" s="41" t="str">
        <f>IF($A629="","",INDEX(FORM!$A:$A,ROW()))</f>
        <v/>
      </c>
      <c r="C629" s="8" t="str">
        <f>IF($A629="","",TRIM(INDEX(FORM!$B:$B,ROW())))</f>
        <v/>
      </c>
      <c r="D629" s="8" t="str">
        <f>IF($A629="","",TRIM(INDEX(FORM!$C:$C,ROW())&amp;""))</f>
        <v/>
      </c>
      <c r="E629" s="8" t="str">
        <f>IF($A629="","",UPPER(TRIM(INDEX(FORM!$D:$D,ROW()))))</f>
        <v/>
      </c>
      <c r="F629" s="8" t="str">
        <f>IF($A629="","",IFERROR(INDEX(PROGRES!$A$2:$A$92,MATCH(E629,PROGRES!$B$2:$B$92,0)),"-"))</f>
        <v/>
      </c>
      <c r="G629" s="8" t="str">
        <f>IF($A629="","",UPPER(TRIM(INDEX(FORM!$F:$F,ROW()))))</f>
        <v/>
      </c>
      <c r="H629" s="8" t="str">
        <f>IF($A629="","",UPPER(TRIM(INDEX(FORM!$E:$E,ROW()))))</f>
        <v/>
      </c>
      <c r="I629" s="8" t="str">
        <f>IF($A629="","",UPPER(TRIM(INDEX(FORM!$G:$G,ROW()))))</f>
        <v/>
      </c>
      <c r="J629" s="8" t="str">
        <f>IF($A629="","",IF(ISNUMBER(SEARCH("Ya,",INDEX(FORM!$H:$H,ROW()))),"YA",IF(ISNUMBER(SEARCH("Cukup,",INDEX(FORM!$H:$H,ROW()))),"CUKUP",IF(ISNUMBER(SEARCH("Kurang,",INDEX(FORM!$H:$H,ROW()))),"KURANG",""))))</f>
        <v/>
      </c>
      <c r="K629" s="8" t="str">
        <f>IF($A629="","",UPPER(TRIM(INDEX(FORM!$J:$J,ROW()))))</f>
        <v/>
      </c>
      <c r="L629" s="8" t="str">
        <f>IF($A629="","",IF(ISNUMBER(SEARCH("Aktivitas Harian",INDEX(FORM!$K:$K,ROW()))),1,0))</f>
        <v/>
      </c>
      <c r="M629" s="8" t="str">
        <f>IF($A629="","",IF(ISNUMBER(SEARCH("Aktivitas Mingguan",INDEX(FORM!$K:$K,ROW()))),1,0))</f>
        <v/>
      </c>
      <c r="N629" s="8" t="str">
        <f>IF($A629="","",IF(ISNUMBER(SEARCH("Aktivitas Bulanan",INDEX(FORM!$K:$K,ROW()))),1,0))</f>
        <v/>
      </c>
      <c r="O629" s="8" t="str">
        <f>IF($A629="","",IF(ISNUMBER(SEARCH("Overview Cabang",INDEX(FORM!$K:$K,ROW()))),1,0))</f>
        <v/>
      </c>
      <c r="P629" s="8" t="str">
        <f>IF($A629="","",IFERROR(VLOOKUP(I629,DATA!$AH$9:$AI$13,2,0),""))</f>
        <v/>
      </c>
      <c r="Q629" s="8" t="str">
        <f>IF($A629="","",IFERROR(VLOOKUP(J629,DATA!$AH$9:$AI$13,2,0),""))</f>
        <v/>
      </c>
      <c r="R629" s="8" t="str">
        <f>IF($A629="","",IFERROR(VLOOKUP(K629,DATA!$AH$9:$AI$13,2,0),""))</f>
        <v/>
      </c>
      <c r="S629" s="42" t="str">
        <f t="shared" si="198"/>
        <v/>
      </c>
      <c r="T629" s="8" t="str">
        <f>IF($A629="","",IF(COUNTIF($D$2:D629,D629)=1,1,0))</f>
        <v/>
      </c>
      <c r="U629" s="8" t="str">
        <f>IF($A629="","",IF(F629="-","Cabang tdk ada",IF(IFERROR(VLOOKUP(G629,#REF!,1,0),"")="","",IF(INDEX(DATA!$AH$2:$AH$5,MATCH(G629,DATA!$AI$2:$AI$5,0))&lt;&gt;F629,"Wilayah beda","OK"))))</f>
        <v/>
      </c>
      <c r="V629" s="8" t="str">
        <f>IF($A629="","",TRIM(INDEX(FORM!$I:$I,ROW())&amp;""))</f>
        <v/>
      </c>
      <c r="W629" s="8" t="str">
        <f>IF($A629="","",TRIM(INDEX(FORM!$L:$L,ROW())&amp;""))</f>
        <v/>
      </c>
      <c r="X629" s="8" t="str">
        <f>IF($A629="","",TRIM(INDEX(FORM!$M:$M,ROW())&amp;""))</f>
        <v/>
      </c>
      <c r="Y629" s="8" t="str">
        <f>IF($A629="","",IFERROR(MATCH(F629,DATA!$AH$2:$AH$5,0),9)*10000+A629)</f>
        <v/>
      </c>
      <c r="Z629" s="8" t="str">
        <f t="shared" si="199"/>
        <v/>
      </c>
      <c r="AA629" s="8" t="str">
        <f t="shared" si="200"/>
        <v/>
      </c>
      <c r="AB629" s="8" t="str">
        <f t="shared" si="201"/>
        <v/>
      </c>
      <c r="AC629" s="8"/>
      <c r="AD629" s="8"/>
      <c r="AE629" s="8"/>
      <c r="AK629" s="5" t="str">
        <f t="shared" si="202"/>
        <v/>
      </c>
      <c r="AL629" s="5" t="str">
        <f t="shared" si="203"/>
        <v/>
      </c>
      <c r="AM629" s="5" t="str">
        <f t="shared" si="204"/>
        <v/>
      </c>
      <c r="AN629" s="5" t="str">
        <f t="shared" si="205"/>
        <v/>
      </c>
      <c r="AO629" s="5" t="str">
        <f t="shared" si="206"/>
        <v/>
      </c>
      <c r="AP629" s="5" t="str">
        <f t="shared" si="207"/>
        <v/>
      </c>
      <c r="AQ629" s="5" t="str">
        <f t="shared" si="208"/>
        <v/>
      </c>
      <c r="AR629" s="5" t="str">
        <f t="shared" si="209"/>
        <v/>
      </c>
      <c r="AS629" s="5" t="str">
        <f t="shared" si="210"/>
        <v/>
      </c>
      <c r="AT629" s="5" t="str">
        <f t="shared" si="211"/>
        <v/>
      </c>
      <c r="AU629" s="5" t="str">
        <f t="shared" si="212"/>
        <v/>
      </c>
      <c r="AV629" s="5" t="str">
        <f t="shared" si="213"/>
        <v/>
      </c>
      <c r="AW629" s="5" t="str">
        <f t="shared" si="214"/>
        <v/>
      </c>
      <c r="AX629" s="5" t="str">
        <f t="shared" si="215"/>
        <v/>
      </c>
      <c r="AY629" s="5" t="str">
        <f t="shared" si="216"/>
        <v/>
      </c>
      <c r="AZ629" s="5" t="str">
        <f t="shared" si="217"/>
        <v/>
      </c>
      <c r="BA629" s="5" t="str">
        <f t="shared" si="218"/>
        <v/>
      </c>
      <c r="BB629" s="5" t="str">
        <f t="shared" si="219"/>
        <v/>
      </c>
    </row>
    <row r="630" spans="1:54" s="5" customFormat="1" hidden="1">
      <c r="A630" s="8" t="str">
        <f>IF(INDEX(FORM!$A:$A,ROW())="","",ROW()-1)</f>
        <v/>
      </c>
      <c r="B630" s="41" t="str">
        <f>IF($A630="","",INDEX(FORM!$A:$A,ROW()))</f>
        <v/>
      </c>
      <c r="C630" s="8" t="str">
        <f>IF($A630="","",TRIM(INDEX(FORM!$B:$B,ROW())))</f>
        <v/>
      </c>
      <c r="D630" s="8" t="str">
        <f>IF($A630="","",TRIM(INDEX(FORM!$C:$C,ROW())&amp;""))</f>
        <v/>
      </c>
      <c r="E630" s="8" t="str">
        <f>IF($A630="","",UPPER(TRIM(INDEX(FORM!$D:$D,ROW()))))</f>
        <v/>
      </c>
      <c r="F630" s="8" t="str">
        <f>IF($A630="","",IFERROR(INDEX(PROGRES!$A$2:$A$92,MATCH(E630,PROGRES!$B$2:$B$92,0)),"-"))</f>
        <v/>
      </c>
      <c r="G630" s="8" t="str">
        <f>IF($A630="","",UPPER(TRIM(INDEX(FORM!$F:$F,ROW()))))</f>
        <v/>
      </c>
      <c r="H630" s="8" t="str">
        <f>IF($A630="","",UPPER(TRIM(INDEX(FORM!$E:$E,ROW()))))</f>
        <v/>
      </c>
      <c r="I630" s="8" t="str">
        <f>IF($A630="","",UPPER(TRIM(INDEX(FORM!$G:$G,ROW()))))</f>
        <v/>
      </c>
      <c r="J630" s="8" t="str">
        <f>IF($A630="","",IF(ISNUMBER(SEARCH("Ya,",INDEX(FORM!$H:$H,ROW()))),"YA",IF(ISNUMBER(SEARCH("Cukup,",INDEX(FORM!$H:$H,ROW()))),"CUKUP",IF(ISNUMBER(SEARCH("Kurang,",INDEX(FORM!$H:$H,ROW()))),"KURANG",""))))</f>
        <v/>
      </c>
      <c r="K630" s="8" t="str">
        <f>IF($A630="","",UPPER(TRIM(INDEX(FORM!$J:$J,ROW()))))</f>
        <v/>
      </c>
      <c r="L630" s="8" t="str">
        <f>IF($A630="","",IF(ISNUMBER(SEARCH("Aktivitas Harian",INDEX(FORM!$K:$K,ROW()))),1,0))</f>
        <v/>
      </c>
      <c r="M630" s="8" t="str">
        <f>IF($A630="","",IF(ISNUMBER(SEARCH("Aktivitas Mingguan",INDEX(FORM!$K:$K,ROW()))),1,0))</f>
        <v/>
      </c>
      <c r="N630" s="8" t="str">
        <f>IF($A630="","",IF(ISNUMBER(SEARCH("Aktivitas Bulanan",INDEX(FORM!$K:$K,ROW()))),1,0))</f>
        <v/>
      </c>
      <c r="O630" s="8" t="str">
        <f>IF($A630="","",IF(ISNUMBER(SEARCH("Overview Cabang",INDEX(FORM!$K:$K,ROW()))),1,0))</f>
        <v/>
      </c>
      <c r="P630" s="8" t="str">
        <f>IF($A630="","",IFERROR(VLOOKUP(I630,DATA!$AH$9:$AI$13,2,0),""))</f>
        <v/>
      </c>
      <c r="Q630" s="8" t="str">
        <f>IF($A630="","",IFERROR(VLOOKUP(J630,DATA!$AH$9:$AI$13,2,0),""))</f>
        <v/>
      </c>
      <c r="R630" s="8" t="str">
        <f>IF($A630="","",IFERROR(VLOOKUP(K630,DATA!$AH$9:$AI$13,2,0),""))</f>
        <v/>
      </c>
      <c r="S630" s="42" t="str">
        <f t="shared" si="198"/>
        <v/>
      </c>
      <c r="T630" s="8" t="str">
        <f>IF($A630="","",IF(COUNTIF($D$2:D630,D630)=1,1,0))</f>
        <v/>
      </c>
      <c r="U630" s="8" t="str">
        <f>IF($A630="","",IF(F630="-","Cabang tdk ada",IF(IFERROR(VLOOKUP(G630,#REF!,1,0),"")="","",IF(INDEX(DATA!$AH$2:$AH$5,MATCH(G630,DATA!$AI$2:$AI$5,0))&lt;&gt;F630,"Wilayah beda","OK"))))</f>
        <v/>
      </c>
      <c r="V630" s="8" t="str">
        <f>IF($A630="","",TRIM(INDEX(FORM!$I:$I,ROW())&amp;""))</f>
        <v/>
      </c>
      <c r="W630" s="8" t="str">
        <f>IF($A630="","",TRIM(INDEX(FORM!$L:$L,ROW())&amp;""))</f>
        <v/>
      </c>
      <c r="X630" s="8" t="str">
        <f>IF($A630="","",TRIM(INDEX(FORM!$M:$M,ROW())&amp;""))</f>
        <v/>
      </c>
      <c r="Y630" s="8" t="str">
        <f>IF($A630="","",IFERROR(MATCH(F630,DATA!$AH$2:$AH$5,0),9)*10000+A630)</f>
        <v/>
      </c>
      <c r="Z630" s="8" t="str">
        <f t="shared" si="199"/>
        <v/>
      </c>
      <c r="AA630" s="8" t="str">
        <f t="shared" si="200"/>
        <v/>
      </c>
      <c r="AB630" s="8" t="str">
        <f t="shared" si="201"/>
        <v/>
      </c>
      <c r="AC630" s="8"/>
      <c r="AD630" s="8"/>
      <c r="AE630" s="8"/>
      <c r="AK630" s="5" t="str">
        <f t="shared" si="202"/>
        <v/>
      </c>
      <c r="AL630" s="5" t="str">
        <f t="shared" si="203"/>
        <v/>
      </c>
      <c r="AM630" s="5" t="str">
        <f t="shared" si="204"/>
        <v/>
      </c>
      <c r="AN630" s="5" t="str">
        <f t="shared" si="205"/>
        <v/>
      </c>
      <c r="AO630" s="5" t="str">
        <f t="shared" si="206"/>
        <v/>
      </c>
      <c r="AP630" s="5" t="str">
        <f t="shared" si="207"/>
        <v/>
      </c>
      <c r="AQ630" s="5" t="str">
        <f t="shared" si="208"/>
        <v/>
      </c>
      <c r="AR630" s="5" t="str">
        <f t="shared" si="209"/>
        <v/>
      </c>
      <c r="AS630" s="5" t="str">
        <f t="shared" si="210"/>
        <v/>
      </c>
      <c r="AT630" s="5" t="str">
        <f t="shared" si="211"/>
        <v/>
      </c>
      <c r="AU630" s="5" t="str">
        <f t="shared" si="212"/>
        <v/>
      </c>
      <c r="AV630" s="5" t="str">
        <f t="shared" si="213"/>
        <v/>
      </c>
      <c r="AW630" s="5" t="str">
        <f t="shared" si="214"/>
        <v/>
      </c>
      <c r="AX630" s="5" t="str">
        <f t="shared" si="215"/>
        <v/>
      </c>
      <c r="AY630" s="5" t="str">
        <f t="shared" si="216"/>
        <v/>
      </c>
      <c r="AZ630" s="5" t="str">
        <f t="shared" si="217"/>
        <v/>
      </c>
      <c r="BA630" s="5" t="str">
        <f t="shared" si="218"/>
        <v/>
      </c>
      <c r="BB630" s="5" t="str">
        <f t="shared" si="219"/>
        <v/>
      </c>
    </row>
    <row r="631" spans="1:54" s="5" customFormat="1" hidden="1">
      <c r="A631" s="8" t="str">
        <f>IF(INDEX(FORM!$A:$A,ROW())="","",ROW()-1)</f>
        <v/>
      </c>
      <c r="B631" s="41" t="str">
        <f>IF($A631="","",INDEX(FORM!$A:$A,ROW()))</f>
        <v/>
      </c>
      <c r="C631" s="8" t="str">
        <f>IF($A631="","",TRIM(INDEX(FORM!$B:$B,ROW())))</f>
        <v/>
      </c>
      <c r="D631" s="8" t="str">
        <f>IF($A631="","",TRIM(INDEX(FORM!$C:$C,ROW())&amp;""))</f>
        <v/>
      </c>
      <c r="E631" s="8" t="str">
        <f>IF($A631="","",UPPER(TRIM(INDEX(FORM!$D:$D,ROW()))))</f>
        <v/>
      </c>
      <c r="F631" s="8" t="str">
        <f>IF($A631="","",IFERROR(INDEX(PROGRES!$A$2:$A$92,MATCH(E631,PROGRES!$B$2:$B$92,0)),"-"))</f>
        <v/>
      </c>
      <c r="G631" s="8" t="str">
        <f>IF($A631="","",UPPER(TRIM(INDEX(FORM!$F:$F,ROW()))))</f>
        <v/>
      </c>
      <c r="H631" s="8" t="str">
        <f>IF($A631="","",UPPER(TRIM(INDEX(FORM!$E:$E,ROW()))))</f>
        <v/>
      </c>
      <c r="I631" s="8" t="str">
        <f>IF($A631="","",UPPER(TRIM(INDEX(FORM!$G:$G,ROW()))))</f>
        <v/>
      </c>
      <c r="J631" s="8" t="str">
        <f>IF($A631="","",IF(ISNUMBER(SEARCH("Ya,",INDEX(FORM!$H:$H,ROW()))),"YA",IF(ISNUMBER(SEARCH("Cukup,",INDEX(FORM!$H:$H,ROW()))),"CUKUP",IF(ISNUMBER(SEARCH("Kurang,",INDEX(FORM!$H:$H,ROW()))),"KURANG",""))))</f>
        <v/>
      </c>
      <c r="K631" s="8" t="str">
        <f>IF($A631="","",UPPER(TRIM(INDEX(FORM!$J:$J,ROW()))))</f>
        <v/>
      </c>
      <c r="L631" s="8" t="str">
        <f>IF($A631="","",IF(ISNUMBER(SEARCH("Aktivitas Harian",INDEX(FORM!$K:$K,ROW()))),1,0))</f>
        <v/>
      </c>
      <c r="M631" s="8" t="str">
        <f>IF($A631="","",IF(ISNUMBER(SEARCH("Aktivitas Mingguan",INDEX(FORM!$K:$K,ROW()))),1,0))</f>
        <v/>
      </c>
      <c r="N631" s="8" t="str">
        <f>IF($A631="","",IF(ISNUMBER(SEARCH("Aktivitas Bulanan",INDEX(FORM!$K:$K,ROW()))),1,0))</f>
        <v/>
      </c>
      <c r="O631" s="8" t="str">
        <f>IF($A631="","",IF(ISNUMBER(SEARCH("Overview Cabang",INDEX(FORM!$K:$K,ROW()))),1,0))</f>
        <v/>
      </c>
      <c r="P631" s="8" t="str">
        <f>IF($A631="","",IFERROR(VLOOKUP(I631,DATA!$AH$9:$AI$13,2,0),""))</f>
        <v/>
      </c>
      <c r="Q631" s="8" t="str">
        <f>IF($A631="","",IFERROR(VLOOKUP(J631,DATA!$AH$9:$AI$13,2,0),""))</f>
        <v/>
      </c>
      <c r="R631" s="8" t="str">
        <f>IF($A631="","",IFERROR(VLOOKUP(K631,DATA!$AH$9:$AI$13,2,0),""))</f>
        <v/>
      </c>
      <c r="S631" s="42" t="str">
        <f t="shared" si="198"/>
        <v/>
      </c>
      <c r="T631" s="8" t="str">
        <f>IF($A631="","",IF(COUNTIF($D$2:D631,D631)=1,1,0))</f>
        <v/>
      </c>
      <c r="U631" s="8" t="str">
        <f>IF($A631="","",IF(F631="-","Cabang tdk ada",IF(IFERROR(VLOOKUP(G631,#REF!,1,0),"")="","",IF(INDEX(DATA!$AH$2:$AH$5,MATCH(G631,DATA!$AI$2:$AI$5,0))&lt;&gt;F631,"Wilayah beda","OK"))))</f>
        <v/>
      </c>
      <c r="V631" s="8" t="str">
        <f>IF($A631="","",TRIM(INDEX(FORM!$I:$I,ROW())&amp;""))</f>
        <v/>
      </c>
      <c r="W631" s="8" t="str">
        <f>IF($A631="","",TRIM(INDEX(FORM!$L:$L,ROW())&amp;""))</f>
        <v/>
      </c>
      <c r="X631" s="8" t="str">
        <f>IF($A631="","",TRIM(INDEX(FORM!$M:$M,ROW())&amp;""))</f>
        <v/>
      </c>
      <c r="Y631" s="8" t="str">
        <f>IF($A631="","",IFERROR(MATCH(F631,DATA!$AH$2:$AH$5,0),9)*10000+A631)</f>
        <v/>
      </c>
      <c r="Z631" s="8" t="str">
        <f t="shared" si="199"/>
        <v/>
      </c>
      <c r="AA631" s="8" t="str">
        <f t="shared" si="200"/>
        <v/>
      </c>
      <c r="AB631" s="8" t="str">
        <f t="shared" si="201"/>
        <v/>
      </c>
      <c r="AC631" s="8"/>
      <c r="AD631" s="8"/>
      <c r="AE631" s="8"/>
      <c r="AK631" s="5" t="str">
        <f t="shared" si="202"/>
        <v/>
      </c>
      <c r="AL631" s="5" t="str">
        <f t="shared" si="203"/>
        <v/>
      </c>
      <c r="AM631" s="5" t="str">
        <f t="shared" si="204"/>
        <v/>
      </c>
      <c r="AN631" s="5" t="str">
        <f t="shared" si="205"/>
        <v/>
      </c>
      <c r="AO631" s="5" t="str">
        <f t="shared" si="206"/>
        <v/>
      </c>
      <c r="AP631" s="5" t="str">
        <f t="shared" si="207"/>
        <v/>
      </c>
      <c r="AQ631" s="5" t="str">
        <f t="shared" si="208"/>
        <v/>
      </c>
      <c r="AR631" s="5" t="str">
        <f t="shared" si="209"/>
        <v/>
      </c>
      <c r="AS631" s="5" t="str">
        <f t="shared" si="210"/>
        <v/>
      </c>
      <c r="AT631" s="5" t="str">
        <f t="shared" si="211"/>
        <v/>
      </c>
      <c r="AU631" s="5" t="str">
        <f t="shared" si="212"/>
        <v/>
      </c>
      <c r="AV631" s="5" t="str">
        <f t="shared" si="213"/>
        <v/>
      </c>
      <c r="AW631" s="5" t="str">
        <f t="shared" si="214"/>
        <v/>
      </c>
      <c r="AX631" s="5" t="str">
        <f t="shared" si="215"/>
        <v/>
      </c>
      <c r="AY631" s="5" t="str">
        <f t="shared" si="216"/>
        <v/>
      </c>
      <c r="AZ631" s="5" t="str">
        <f t="shared" si="217"/>
        <v/>
      </c>
      <c r="BA631" s="5" t="str">
        <f t="shared" si="218"/>
        <v/>
      </c>
      <c r="BB631" s="5" t="str">
        <f t="shared" si="219"/>
        <v/>
      </c>
    </row>
    <row r="632" spans="1:54" s="5" customFormat="1" hidden="1">
      <c r="A632" s="8" t="str">
        <f>IF(INDEX(FORM!$A:$A,ROW())="","",ROW()-1)</f>
        <v/>
      </c>
      <c r="B632" s="41" t="str">
        <f>IF($A632="","",INDEX(FORM!$A:$A,ROW()))</f>
        <v/>
      </c>
      <c r="C632" s="8" t="str">
        <f>IF($A632="","",TRIM(INDEX(FORM!$B:$B,ROW())))</f>
        <v/>
      </c>
      <c r="D632" s="8" t="str">
        <f>IF($A632="","",TRIM(INDEX(FORM!$C:$C,ROW())&amp;""))</f>
        <v/>
      </c>
      <c r="E632" s="8" t="str">
        <f>IF($A632="","",UPPER(TRIM(INDEX(FORM!$D:$D,ROW()))))</f>
        <v/>
      </c>
      <c r="F632" s="8" t="str">
        <f>IF($A632="","",IFERROR(INDEX(PROGRES!$A$2:$A$92,MATCH(E632,PROGRES!$B$2:$B$92,0)),"-"))</f>
        <v/>
      </c>
      <c r="G632" s="8" t="str">
        <f>IF($A632="","",UPPER(TRIM(INDEX(FORM!$F:$F,ROW()))))</f>
        <v/>
      </c>
      <c r="H632" s="8" t="str">
        <f>IF($A632="","",UPPER(TRIM(INDEX(FORM!$E:$E,ROW()))))</f>
        <v/>
      </c>
      <c r="I632" s="8" t="str">
        <f>IF($A632="","",UPPER(TRIM(INDEX(FORM!$G:$G,ROW()))))</f>
        <v/>
      </c>
      <c r="J632" s="8" t="str">
        <f>IF($A632="","",IF(ISNUMBER(SEARCH("Ya,",INDEX(FORM!$H:$H,ROW()))),"YA",IF(ISNUMBER(SEARCH("Cukup,",INDEX(FORM!$H:$H,ROW()))),"CUKUP",IF(ISNUMBER(SEARCH("Kurang,",INDEX(FORM!$H:$H,ROW()))),"KURANG",""))))</f>
        <v/>
      </c>
      <c r="K632" s="8" t="str">
        <f>IF($A632="","",UPPER(TRIM(INDEX(FORM!$J:$J,ROW()))))</f>
        <v/>
      </c>
      <c r="L632" s="8" t="str">
        <f>IF($A632="","",IF(ISNUMBER(SEARCH("Aktivitas Harian",INDEX(FORM!$K:$K,ROW()))),1,0))</f>
        <v/>
      </c>
      <c r="M632" s="8" t="str">
        <f>IF($A632="","",IF(ISNUMBER(SEARCH("Aktivitas Mingguan",INDEX(FORM!$K:$K,ROW()))),1,0))</f>
        <v/>
      </c>
      <c r="N632" s="8" t="str">
        <f>IF($A632="","",IF(ISNUMBER(SEARCH("Aktivitas Bulanan",INDEX(FORM!$K:$K,ROW()))),1,0))</f>
        <v/>
      </c>
      <c r="O632" s="8" t="str">
        <f>IF($A632="","",IF(ISNUMBER(SEARCH("Overview Cabang",INDEX(FORM!$K:$K,ROW()))),1,0))</f>
        <v/>
      </c>
      <c r="P632" s="8" t="str">
        <f>IF($A632="","",IFERROR(VLOOKUP(I632,DATA!$AH$9:$AI$13,2,0),""))</f>
        <v/>
      </c>
      <c r="Q632" s="8" t="str">
        <f>IF($A632="","",IFERROR(VLOOKUP(J632,DATA!$AH$9:$AI$13,2,0),""))</f>
        <v/>
      </c>
      <c r="R632" s="8" t="str">
        <f>IF($A632="","",IFERROR(VLOOKUP(K632,DATA!$AH$9:$AI$13,2,0),""))</f>
        <v/>
      </c>
      <c r="S632" s="42" t="str">
        <f t="shared" si="198"/>
        <v/>
      </c>
      <c r="T632" s="8" t="str">
        <f>IF($A632="","",IF(COUNTIF($D$2:D632,D632)=1,1,0))</f>
        <v/>
      </c>
      <c r="U632" s="8" t="str">
        <f>IF($A632="","",IF(F632="-","Cabang tdk ada",IF(IFERROR(VLOOKUP(G632,#REF!,1,0),"")="","",IF(INDEX(DATA!$AH$2:$AH$5,MATCH(G632,DATA!$AI$2:$AI$5,0))&lt;&gt;F632,"Wilayah beda","OK"))))</f>
        <v/>
      </c>
      <c r="V632" s="8" t="str">
        <f>IF($A632="","",TRIM(INDEX(FORM!$I:$I,ROW())&amp;""))</f>
        <v/>
      </c>
      <c r="W632" s="8" t="str">
        <f>IF($A632="","",TRIM(INDEX(FORM!$L:$L,ROW())&amp;""))</f>
        <v/>
      </c>
      <c r="X632" s="8" t="str">
        <f>IF($A632="","",TRIM(INDEX(FORM!$M:$M,ROW())&amp;""))</f>
        <v/>
      </c>
      <c r="Y632" s="8" t="str">
        <f>IF($A632="","",IFERROR(MATCH(F632,DATA!$AH$2:$AH$5,0),9)*10000+A632)</f>
        <v/>
      </c>
      <c r="Z632" s="8" t="str">
        <f t="shared" si="199"/>
        <v/>
      </c>
      <c r="AA632" s="8" t="str">
        <f t="shared" si="200"/>
        <v/>
      </c>
      <c r="AB632" s="8" t="str">
        <f t="shared" si="201"/>
        <v/>
      </c>
      <c r="AC632" s="8"/>
      <c r="AD632" s="8"/>
      <c r="AE632" s="8"/>
      <c r="AK632" s="5" t="str">
        <f t="shared" si="202"/>
        <v/>
      </c>
      <c r="AL632" s="5" t="str">
        <f t="shared" si="203"/>
        <v/>
      </c>
      <c r="AM632" s="5" t="str">
        <f t="shared" si="204"/>
        <v/>
      </c>
      <c r="AN632" s="5" t="str">
        <f t="shared" si="205"/>
        <v/>
      </c>
      <c r="AO632" s="5" t="str">
        <f t="shared" si="206"/>
        <v/>
      </c>
      <c r="AP632" s="5" t="str">
        <f t="shared" si="207"/>
        <v/>
      </c>
      <c r="AQ632" s="5" t="str">
        <f t="shared" si="208"/>
        <v/>
      </c>
      <c r="AR632" s="5" t="str">
        <f t="shared" si="209"/>
        <v/>
      </c>
      <c r="AS632" s="5" t="str">
        <f t="shared" si="210"/>
        <v/>
      </c>
      <c r="AT632" s="5" t="str">
        <f t="shared" si="211"/>
        <v/>
      </c>
      <c r="AU632" s="5" t="str">
        <f t="shared" si="212"/>
        <v/>
      </c>
      <c r="AV632" s="5" t="str">
        <f t="shared" si="213"/>
        <v/>
      </c>
      <c r="AW632" s="5" t="str">
        <f t="shared" si="214"/>
        <v/>
      </c>
      <c r="AX632" s="5" t="str">
        <f t="shared" si="215"/>
        <v/>
      </c>
      <c r="AY632" s="5" t="str">
        <f t="shared" si="216"/>
        <v/>
      </c>
      <c r="AZ632" s="5" t="str">
        <f t="shared" si="217"/>
        <v/>
      </c>
      <c r="BA632" s="5" t="str">
        <f t="shared" si="218"/>
        <v/>
      </c>
      <c r="BB632" s="5" t="str">
        <f t="shared" si="219"/>
        <v/>
      </c>
    </row>
    <row r="633" spans="1:54" s="5" customFormat="1" hidden="1">
      <c r="A633" s="8" t="str">
        <f>IF(INDEX(FORM!$A:$A,ROW())="","",ROW()-1)</f>
        <v/>
      </c>
      <c r="B633" s="41" t="str">
        <f>IF($A633="","",INDEX(FORM!$A:$A,ROW()))</f>
        <v/>
      </c>
      <c r="C633" s="8" t="str">
        <f>IF($A633="","",TRIM(INDEX(FORM!$B:$B,ROW())))</f>
        <v/>
      </c>
      <c r="D633" s="8" t="str">
        <f>IF($A633="","",TRIM(INDEX(FORM!$C:$C,ROW())&amp;""))</f>
        <v/>
      </c>
      <c r="E633" s="8" t="str">
        <f>IF($A633="","",UPPER(TRIM(INDEX(FORM!$D:$D,ROW()))))</f>
        <v/>
      </c>
      <c r="F633" s="8" t="str">
        <f>IF($A633="","",IFERROR(INDEX(PROGRES!$A$2:$A$92,MATCH(E633,PROGRES!$B$2:$B$92,0)),"-"))</f>
        <v/>
      </c>
      <c r="G633" s="8" t="str">
        <f>IF($A633="","",UPPER(TRIM(INDEX(FORM!$F:$F,ROW()))))</f>
        <v/>
      </c>
      <c r="H633" s="8" t="str">
        <f>IF($A633="","",UPPER(TRIM(INDEX(FORM!$E:$E,ROW()))))</f>
        <v/>
      </c>
      <c r="I633" s="8" t="str">
        <f>IF($A633="","",UPPER(TRIM(INDEX(FORM!$G:$G,ROW()))))</f>
        <v/>
      </c>
      <c r="J633" s="8" t="str">
        <f>IF($A633="","",IF(ISNUMBER(SEARCH("Ya,",INDEX(FORM!$H:$H,ROW()))),"YA",IF(ISNUMBER(SEARCH("Cukup,",INDEX(FORM!$H:$H,ROW()))),"CUKUP",IF(ISNUMBER(SEARCH("Kurang,",INDEX(FORM!$H:$H,ROW()))),"KURANG",""))))</f>
        <v/>
      </c>
      <c r="K633" s="8" t="str">
        <f>IF($A633="","",UPPER(TRIM(INDEX(FORM!$J:$J,ROW()))))</f>
        <v/>
      </c>
      <c r="L633" s="8" t="str">
        <f>IF($A633="","",IF(ISNUMBER(SEARCH("Aktivitas Harian",INDEX(FORM!$K:$K,ROW()))),1,0))</f>
        <v/>
      </c>
      <c r="M633" s="8" t="str">
        <f>IF($A633="","",IF(ISNUMBER(SEARCH("Aktivitas Mingguan",INDEX(FORM!$K:$K,ROW()))),1,0))</f>
        <v/>
      </c>
      <c r="N633" s="8" t="str">
        <f>IF($A633="","",IF(ISNUMBER(SEARCH("Aktivitas Bulanan",INDEX(FORM!$K:$K,ROW()))),1,0))</f>
        <v/>
      </c>
      <c r="O633" s="8" t="str">
        <f>IF($A633="","",IF(ISNUMBER(SEARCH("Overview Cabang",INDEX(FORM!$K:$K,ROW()))),1,0))</f>
        <v/>
      </c>
      <c r="P633" s="8" t="str">
        <f>IF($A633="","",IFERROR(VLOOKUP(I633,DATA!$AH$9:$AI$13,2,0),""))</f>
        <v/>
      </c>
      <c r="Q633" s="8" t="str">
        <f>IF($A633="","",IFERROR(VLOOKUP(J633,DATA!$AH$9:$AI$13,2,0),""))</f>
        <v/>
      </c>
      <c r="R633" s="8" t="str">
        <f>IF($A633="","",IFERROR(VLOOKUP(K633,DATA!$AH$9:$AI$13,2,0),""))</f>
        <v/>
      </c>
      <c r="S633" s="42" t="str">
        <f t="shared" si="198"/>
        <v/>
      </c>
      <c r="T633" s="8" t="str">
        <f>IF($A633="","",IF(COUNTIF($D$2:D633,D633)=1,1,0))</f>
        <v/>
      </c>
      <c r="U633" s="8" t="str">
        <f>IF($A633="","",IF(F633="-","Cabang tdk ada",IF(IFERROR(VLOOKUP(G633,#REF!,1,0),"")="","",IF(INDEX(DATA!$AH$2:$AH$5,MATCH(G633,DATA!$AI$2:$AI$5,0))&lt;&gt;F633,"Wilayah beda","OK"))))</f>
        <v/>
      </c>
      <c r="V633" s="8" t="str">
        <f>IF($A633="","",TRIM(INDEX(FORM!$I:$I,ROW())&amp;""))</f>
        <v/>
      </c>
      <c r="W633" s="8" t="str">
        <f>IF($A633="","",TRIM(INDEX(FORM!$L:$L,ROW())&amp;""))</f>
        <v/>
      </c>
      <c r="X633" s="8" t="str">
        <f>IF($A633="","",TRIM(INDEX(FORM!$M:$M,ROW())&amp;""))</f>
        <v/>
      </c>
      <c r="Y633" s="8" t="str">
        <f>IF($A633="","",IFERROR(MATCH(F633,DATA!$AH$2:$AH$5,0),9)*10000+A633)</f>
        <v/>
      </c>
      <c r="Z633" s="8" t="str">
        <f t="shared" si="199"/>
        <v/>
      </c>
      <c r="AA633" s="8" t="str">
        <f t="shared" si="200"/>
        <v/>
      </c>
      <c r="AB633" s="8" t="str">
        <f t="shared" si="201"/>
        <v/>
      </c>
      <c r="AC633" s="8"/>
      <c r="AD633" s="8"/>
      <c r="AE633" s="8"/>
      <c r="AK633" s="5" t="str">
        <f t="shared" si="202"/>
        <v/>
      </c>
      <c r="AL633" s="5" t="str">
        <f t="shared" si="203"/>
        <v/>
      </c>
      <c r="AM633" s="5" t="str">
        <f t="shared" si="204"/>
        <v/>
      </c>
      <c r="AN633" s="5" t="str">
        <f t="shared" si="205"/>
        <v/>
      </c>
      <c r="AO633" s="5" t="str">
        <f t="shared" si="206"/>
        <v/>
      </c>
      <c r="AP633" s="5" t="str">
        <f t="shared" si="207"/>
        <v/>
      </c>
      <c r="AQ633" s="5" t="str">
        <f t="shared" si="208"/>
        <v/>
      </c>
      <c r="AR633" s="5" t="str">
        <f t="shared" si="209"/>
        <v/>
      </c>
      <c r="AS633" s="5" t="str">
        <f t="shared" si="210"/>
        <v/>
      </c>
      <c r="AT633" s="5" t="str">
        <f t="shared" si="211"/>
        <v/>
      </c>
      <c r="AU633" s="5" t="str">
        <f t="shared" si="212"/>
        <v/>
      </c>
      <c r="AV633" s="5" t="str">
        <f t="shared" si="213"/>
        <v/>
      </c>
      <c r="AW633" s="5" t="str">
        <f t="shared" si="214"/>
        <v/>
      </c>
      <c r="AX633" s="5" t="str">
        <f t="shared" si="215"/>
        <v/>
      </c>
      <c r="AY633" s="5" t="str">
        <f t="shared" si="216"/>
        <v/>
      </c>
      <c r="AZ633" s="5" t="str">
        <f t="shared" si="217"/>
        <v/>
      </c>
      <c r="BA633" s="5" t="str">
        <f t="shared" si="218"/>
        <v/>
      </c>
      <c r="BB633" s="5" t="str">
        <f t="shared" si="219"/>
        <v/>
      </c>
    </row>
    <row r="634" spans="1:54" s="5" customFormat="1" hidden="1">
      <c r="A634" s="8" t="str">
        <f>IF(INDEX(FORM!$A:$A,ROW())="","",ROW()-1)</f>
        <v/>
      </c>
      <c r="B634" s="41" t="str">
        <f>IF($A634="","",INDEX(FORM!$A:$A,ROW()))</f>
        <v/>
      </c>
      <c r="C634" s="8" t="str">
        <f>IF($A634="","",TRIM(INDEX(FORM!$B:$B,ROW())))</f>
        <v/>
      </c>
      <c r="D634" s="8" t="str">
        <f>IF($A634="","",TRIM(INDEX(FORM!$C:$C,ROW())&amp;""))</f>
        <v/>
      </c>
      <c r="E634" s="8" t="str">
        <f>IF($A634="","",UPPER(TRIM(INDEX(FORM!$D:$D,ROW()))))</f>
        <v/>
      </c>
      <c r="F634" s="8" t="str">
        <f>IF($A634="","",IFERROR(INDEX(PROGRES!$A$2:$A$92,MATCH(E634,PROGRES!$B$2:$B$92,0)),"-"))</f>
        <v/>
      </c>
      <c r="G634" s="8" t="str">
        <f>IF($A634="","",UPPER(TRIM(INDEX(FORM!$F:$F,ROW()))))</f>
        <v/>
      </c>
      <c r="H634" s="8" t="str">
        <f>IF($A634="","",UPPER(TRIM(INDEX(FORM!$E:$E,ROW()))))</f>
        <v/>
      </c>
      <c r="I634" s="8" t="str">
        <f>IF($A634="","",UPPER(TRIM(INDEX(FORM!$G:$G,ROW()))))</f>
        <v/>
      </c>
      <c r="J634" s="8" t="str">
        <f>IF($A634="","",IF(ISNUMBER(SEARCH("Ya,",INDEX(FORM!$H:$H,ROW()))),"YA",IF(ISNUMBER(SEARCH("Cukup,",INDEX(FORM!$H:$H,ROW()))),"CUKUP",IF(ISNUMBER(SEARCH("Kurang,",INDEX(FORM!$H:$H,ROW()))),"KURANG",""))))</f>
        <v/>
      </c>
      <c r="K634" s="8" t="str">
        <f>IF($A634="","",UPPER(TRIM(INDEX(FORM!$J:$J,ROW()))))</f>
        <v/>
      </c>
      <c r="L634" s="8" t="str">
        <f>IF($A634="","",IF(ISNUMBER(SEARCH("Aktivitas Harian",INDEX(FORM!$K:$K,ROW()))),1,0))</f>
        <v/>
      </c>
      <c r="M634" s="8" t="str">
        <f>IF($A634="","",IF(ISNUMBER(SEARCH("Aktivitas Mingguan",INDEX(FORM!$K:$K,ROW()))),1,0))</f>
        <v/>
      </c>
      <c r="N634" s="8" t="str">
        <f>IF($A634="","",IF(ISNUMBER(SEARCH("Aktivitas Bulanan",INDEX(FORM!$K:$K,ROW()))),1,0))</f>
        <v/>
      </c>
      <c r="O634" s="8" t="str">
        <f>IF($A634="","",IF(ISNUMBER(SEARCH("Overview Cabang",INDEX(FORM!$K:$K,ROW()))),1,0))</f>
        <v/>
      </c>
      <c r="P634" s="8" t="str">
        <f>IF($A634="","",IFERROR(VLOOKUP(I634,DATA!$AH$9:$AI$13,2,0),""))</f>
        <v/>
      </c>
      <c r="Q634" s="8" t="str">
        <f>IF($A634="","",IFERROR(VLOOKUP(J634,DATA!$AH$9:$AI$13,2,0),""))</f>
        <v/>
      </c>
      <c r="R634" s="8" t="str">
        <f>IF($A634="","",IFERROR(VLOOKUP(K634,DATA!$AH$9:$AI$13,2,0),""))</f>
        <v/>
      </c>
      <c r="S634" s="42" t="str">
        <f t="shared" si="198"/>
        <v/>
      </c>
      <c r="T634" s="8" t="str">
        <f>IF($A634="","",IF(COUNTIF($D$2:D634,D634)=1,1,0))</f>
        <v/>
      </c>
      <c r="U634" s="8" t="str">
        <f>IF($A634="","",IF(F634="-","Cabang tdk ada",IF(IFERROR(VLOOKUP(G634,#REF!,1,0),"")="","",IF(INDEX(DATA!$AH$2:$AH$5,MATCH(G634,DATA!$AI$2:$AI$5,0))&lt;&gt;F634,"Wilayah beda","OK"))))</f>
        <v/>
      </c>
      <c r="V634" s="8" t="str">
        <f>IF($A634="","",TRIM(INDEX(FORM!$I:$I,ROW())&amp;""))</f>
        <v/>
      </c>
      <c r="W634" s="8" t="str">
        <f>IF($A634="","",TRIM(INDEX(FORM!$L:$L,ROW())&amp;""))</f>
        <v/>
      </c>
      <c r="X634" s="8" t="str">
        <f>IF($A634="","",TRIM(INDEX(FORM!$M:$M,ROW())&amp;""))</f>
        <v/>
      </c>
      <c r="Y634" s="8" t="str">
        <f>IF($A634="","",IFERROR(MATCH(F634,DATA!$AH$2:$AH$5,0),9)*10000+A634)</f>
        <v/>
      </c>
      <c r="Z634" s="8" t="str">
        <f t="shared" si="199"/>
        <v/>
      </c>
      <c r="AA634" s="8" t="str">
        <f t="shared" si="200"/>
        <v/>
      </c>
      <c r="AB634" s="8" t="str">
        <f t="shared" si="201"/>
        <v/>
      </c>
      <c r="AC634" s="8"/>
      <c r="AD634" s="8"/>
      <c r="AE634" s="8"/>
      <c r="AK634" s="5" t="str">
        <f t="shared" si="202"/>
        <v/>
      </c>
      <c r="AL634" s="5" t="str">
        <f t="shared" si="203"/>
        <v/>
      </c>
      <c r="AM634" s="5" t="str">
        <f t="shared" si="204"/>
        <v/>
      </c>
      <c r="AN634" s="5" t="str">
        <f t="shared" si="205"/>
        <v/>
      </c>
      <c r="AO634" s="5" t="str">
        <f t="shared" si="206"/>
        <v/>
      </c>
      <c r="AP634" s="5" t="str">
        <f t="shared" si="207"/>
        <v/>
      </c>
      <c r="AQ634" s="5" t="str">
        <f t="shared" si="208"/>
        <v/>
      </c>
      <c r="AR634" s="5" t="str">
        <f t="shared" si="209"/>
        <v/>
      </c>
      <c r="AS634" s="5" t="str">
        <f t="shared" si="210"/>
        <v/>
      </c>
      <c r="AT634" s="5" t="str">
        <f t="shared" si="211"/>
        <v/>
      </c>
      <c r="AU634" s="5" t="str">
        <f t="shared" si="212"/>
        <v/>
      </c>
      <c r="AV634" s="5" t="str">
        <f t="shared" si="213"/>
        <v/>
      </c>
      <c r="AW634" s="5" t="str">
        <f t="shared" si="214"/>
        <v/>
      </c>
      <c r="AX634" s="5" t="str">
        <f t="shared" si="215"/>
        <v/>
      </c>
      <c r="AY634" s="5" t="str">
        <f t="shared" si="216"/>
        <v/>
      </c>
      <c r="AZ634" s="5" t="str">
        <f t="shared" si="217"/>
        <v/>
      </c>
      <c r="BA634" s="5" t="str">
        <f t="shared" si="218"/>
        <v/>
      </c>
      <c r="BB634" s="5" t="str">
        <f t="shared" si="219"/>
        <v/>
      </c>
    </row>
    <row r="635" spans="1:54" s="5" customFormat="1" hidden="1">
      <c r="A635" s="8" t="str">
        <f>IF(INDEX(FORM!$A:$A,ROW())="","",ROW()-1)</f>
        <v/>
      </c>
      <c r="B635" s="41" t="str">
        <f>IF($A635="","",INDEX(FORM!$A:$A,ROW()))</f>
        <v/>
      </c>
      <c r="C635" s="8" t="str">
        <f>IF($A635="","",TRIM(INDEX(FORM!$B:$B,ROW())))</f>
        <v/>
      </c>
      <c r="D635" s="8" t="str">
        <f>IF($A635="","",TRIM(INDEX(FORM!$C:$C,ROW())&amp;""))</f>
        <v/>
      </c>
      <c r="E635" s="8" t="str">
        <f>IF($A635="","",UPPER(TRIM(INDEX(FORM!$D:$D,ROW()))))</f>
        <v/>
      </c>
      <c r="F635" s="8" t="str">
        <f>IF($A635="","",IFERROR(INDEX(PROGRES!$A$2:$A$92,MATCH(E635,PROGRES!$B$2:$B$92,0)),"-"))</f>
        <v/>
      </c>
      <c r="G635" s="8" t="str">
        <f>IF($A635="","",UPPER(TRIM(INDEX(FORM!$F:$F,ROW()))))</f>
        <v/>
      </c>
      <c r="H635" s="8" t="str">
        <f>IF($A635="","",UPPER(TRIM(INDEX(FORM!$E:$E,ROW()))))</f>
        <v/>
      </c>
      <c r="I635" s="8" t="str">
        <f>IF($A635="","",UPPER(TRIM(INDEX(FORM!$G:$G,ROW()))))</f>
        <v/>
      </c>
      <c r="J635" s="8" t="str">
        <f>IF($A635="","",IF(ISNUMBER(SEARCH("Ya,",INDEX(FORM!$H:$H,ROW()))),"YA",IF(ISNUMBER(SEARCH("Cukup,",INDEX(FORM!$H:$H,ROW()))),"CUKUP",IF(ISNUMBER(SEARCH("Kurang,",INDEX(FORM!$H:$H,ROW()))),"KURANG",""))))</f>
        <v/>
      </c>
      <c r="K635" s="8" t="str">
        <f>IF($A635="","",UPPER(TRIM(INDEX(FORM!$J:$J,ROW()))))</f>
        <v/>
      </c>
      <c r="L635" s="8" t="str">
        <f>IF($A635="","",IF(ISNUMBER(SEARCH("Aktivitas Harian",INDEX(FORM!$K:$K,ROW()))),1,0))</f>
        <v/>
      </c>
      <c r="M635" s="8" t="str">
        <f>IF($A635="","",IF(ISNUMBER(SEARCH("Aktivitas Mingguan",INDEX(FORM!$K:$K,ROW()))),1,0))</f>
        <v/>
      </c>
      <c r="N635" s="8" t="str">
        <f>IF($A635="","",IF(ISNUMBER(SEARCH("Aktivitas Bulanan",INDEX(FORM!$K:$K,ROW()))),1,0))</f>
        <v/>
      </c>
      <c r="O635" s="8" t="str">
        <f>IF($A635="","",IF(ISNUMBER(SEARCH("Overview Cabang",INDEX(FORM!$K:$K,ROW()))),1,0))</f>
        <v/>
      </c>
      <c r="P635" s="8" t="str">
        <f>IF($A635="","",IFERROR(VLOOKUP(I635,DATA!$AH$9:$AI$13,2,0),""))</f>
        <v/>
      </c>
      <c r="Q635" s="8" t="str">
        <f>IF($A635="","",IFERROR(VLOOKUP(J635,DATA!$AH$9:$AI$13,2,0),""))</f>
        <v/>
      </c>
      <c r="R635" s="8" t="str">
        <f>IF($A635="","",IFERROR(VLOOKUP(K635,DATA!$AH$9:$AI$13,2,0),""))</f>
        <v/>
      </c>
      <c r="S635" s="42" t="str">
        <f t="shared" si="198"/>
        <v/>
      </c>
      <c r="T635" s="8" t="str">
        <f>IF($A635="","",IF(COUNTIF($D$2:D635,D635)=1,1,0))</f>
        <v/>
      </c>
      <c r="U635" s="8" t="str">
        <f>IF($A635="","",IF(F635="-","Cabang tdk ada",IF(IFERROR(VLOOKUP(G635,#REF!,1,0),"")="","",IF(INDEX(DATA!$AH$2:$AH$5,MATCH(G635,DATA!$AI$2:$AI$5,0))&lt;&gt;F635,"Wilayah beda","OK"))))</f>
        <v/>
      </c>
      <c r="V635" s="8" t="str">
        <f>IF($A635="","",TRIM(INDEX(FORM!$I:$I,ROW())&amp;""))</f>
        <v/>
      </c>
      <c r="W635" s="8" t="str">
        <f>IF($A635="","",TRIM(INDEX(FORM!$L:$L,ROW())&amp;""))</f>
        <v/>
      </c>
      <c r="X635" s="8" t="str">
        <f>IF($A635="","",TRIM(INDEX(FORM!$M:$M,ROW())&amp;""))</f>
        <v/>
      </c>
      <c r="Y635" s="8" t="str">
        <f>IF($A635="","",IFERROR(MATCH(F635,DATA!$AH$2:$AH$5,0),9)*10000+A635)</f>
        <v/>
      </c>
      <c r="Z635" s="8" t="str">
        <f t="shared" si="199"/>
        <v/>
      </c>
      <c r="AA635" s="8" t="str">
        <f t="shared" si="200"/>
        <v/>
      </c>
      <c r="AB635" s="8" t="str">
        <f t="shared" si="201"/>
        <v/>
      </c>
      <c r="AC635" s="8"/>
      <c r="AD635" s="8"/>
      <c r="AE635" s="8"/>
      <c r="AK635" s="5" t="str">
        <f t="shared" si="202"/>
        <v/>
      </c>
      <c r="AL635" s="5" t="str">
        <f t="shared" si="203"/>
        <v/>
      </c>
      <c r="AM635" s="5" t="str">
        <f t="shared" si="204"/>
        <v/>
      </c>
      <c r="AN635" s="5" t="str">
        <f t="shared" si="205"/>
        <v/>
      </c>
      <c r="AO635" s="5" t="str">
        <f t="shared" si="206"/>
        <v/>
      </c>
      <c r="AP635" s="5" t="str">
        <f t="shared" si="207"/>
        <v/>
      </c>
      <c r="AQ635" s="5" t="str">
        <f t="shared" si="208"/>
        <v/>
      </c>
      <c r="AR635" s="5" t="str">
        <f t="shared" si="209"/>
        <v/>
      </c>
      <c r="AS635" s="5" t="str">
        <f t="shared" si="210"/>
        <v/>
      </c>
      <c r="AT635" s="5" t="str">
        <f t="shared" si="211"/>
        <v/>
      </c>
      <c r="AU635" s="5" t="str">
        <f t="shared" si="212"/>
        <v/>
      </c>
      <c r="AV635" s="5" t="str">
        <f t="shared" si="213"/>
        <v/>
      </c>
      <c r="AW635" s="5" t="str">
        <f t="shared" si="214"/>
        <v/>
      </c>
      <c r="AX635" s="5" t="str">
        <f t="shared" si="215"/>
        <v/>
      </c>
      <c r="AY635" s="5" t="str">
        <f t="shared" si="216"/>
        <v/>
      </c>
      <c r="AZ635" s="5" t="str">
        <f t="shared" si="217"/>
        <v/>
      </c>
      <c r="BA635" s="5" t="str">
        <f t="shared" si="218"/>
        <v/>
      </c>
      <c r="BB635" s="5" t="str">
        <f t="shared" si="219"/>
        <v/>
      </c>
    </row>
    <row r="636" spans="1:54" s="5" customFormat="1" hidden="1">
      <c r="A636" s="8" t="str">
        <f>IF(INDEX(FORM!$A:$A,ROW())="","",ROW()-1)</f>
        <v/>
      </c>
      <c r="B636" s="41" t="str">
        <f>IF($A636="","",INDEX(FORM!$A:$A,ROW()))</f>
        <v/>
      </c>
      <c r="C636" s="8" t="str">
        <f>IF($A636="","",TRIM(INDEX(FORM!$B:$B,ROW())))</f>
        <v/>
      </c>
      <c r="D636" s="8" t="str">
        <f>IF($A636="","",TRIM(INDEX(FORM!$C:$C,ROW())&amp;""))</f>
        <v/>
      </c>
      <c r="E636" s="8" t="str">
        <f>IF($A636="","",UPPER(TRIM(INDEX(FORM!$D:$D,ROW()))))</f>
        <v/>
      </c>
      <c r="F636" s="8" t="str">
        <f>IF($A636="","",IFERROR(INDEX(PROGRES!$A$2:$A$92,MATCH(E636,PROGRES!$B$2:$B$92,0)),"-"))</f>
        <v/>
      </c>
      <c r="G636" s="8" t="str">
        <f>IF($A636="","",UPPER(TRIM(INDEX(FORM!$F:$F,ROW()))))</f>
        <v/>
      </c>
      <c r="H636" s="8" t="str">
        <f>IF($A636="","",UPPER(TRIM(INDEX(FORM!$E:$E,ROW()))))</f>
        <v/>
      </c>
      <c r="I636" s="8" t="str">
        <f>IF($A636="","",UPPER(TRIM(INDEX(FORM!$G:$G,ROW()))))</f>
        <v/>
      </c>
      <c r="J636" s="8" t="str">
        <f>IF($A636="","",IF(ISNUMBER(SEARCH("Ya,",INDEX(FORM!$H:$H,ROW()))),"YA",IF(ISNUMBER(SEARCH("Cukup,",INDEX(FORM!$H:$H,ROW()))),"CUKUP",IF(ISNUMBER(SEARCH("Kurang,",INDEX(FORM!$H:$H,ROW()))),"KURANG",""))))</f>
        <v/>
      </c>
      <c r="K636" s="8" t="str">
        <f>IF($A636="","",UPPER(TRIM(INDEX(FORM!$J:$J,ROW()))))</f>
        <v/>
      </c>
      <c r="L636" s="8" t="str">
        <f>IF($A636="","",IF(ISNUMBER(SEARCH("Aktivitas Harian",INDEX(FORM!$K:$K,ROW()))),1,0))</f>
        <v/>
      </c>
      <c r="M636" s="8" t="str">
        <f>IF($A636="","",IF(ISNUMBER(SEARCH("Aktivitas Mingguan",INDEX(FORM!$K:$K,ROW()))),1,0))</f>
        <v/>
      </c>
      <c r="N636" s="8" t="str">
        <f>IF($A636="","",IF(ISNUMBER(SEARCH("Aktivitas Bulanan",INDEX(FORM!$K:$K,ROW()))),1,0))</f>
        <v/>
      </c>
      <c r="O636" s="8" t="str">
        <f>IF($A636="","",IF(ISNUMBER(SEARCH("Overview Cabang",INDEX(FORM!$K:$K,ROW()))),1,0))</f>
        <v/>
      </c>
      <c r="P636" s="8" t="str">
        <f>IF($A636="","",IFERROR(VLOOKUP(I636,DATA!$AH$9:$AI$13,2,0),""))</f>
        <v/>
      </c>
      <c r="Q636" s="8" t="str">
        <f>IF($A636="","",IFERROR(VLOOKUP(J636,DATA!$AH$9:$AI$13,2,0),""))</f>
        <v/>
      </c>
      <c r="R636" s="8" t="str">
        <f>IF($A636="","",IFERROR(VLOOKUP(K636,DATA!$AH$9:$AI$13,2,0),""))</f>
        <v/>
      </c>
      <c r="S636" s="42" t="str">
        <f t="shared" si="198"/>
        <v/>
      </c>
      <c r="T636" s="8" t="str">
        <f>IF($A636="","",IF(COUNTIF($D$2:D636,D636)=1,1,0))</f>
        <v/>
      </c>
      <c r="U636" s="8" t="str">
        <f>IF($A636="","",IF(F636="-","Cabang tdk ada",IF(IFERROR(VLOOKUP(G636,#REF!,1,0),"")="","",IF(INDEX(DATA!$AH$2:$AH$5,MATCH(G636,DATA!$AI$2:$AI$5,0))&lt;&gt;F636,"Wilayah beda","OK"))))</f>
        <v/>
      </c>
      <c r="V636" s="8" t="str">
        <f>IF($A636="","",TRIM(INDEX(FORM!$I:$I,ROW())&amp;""))</f>
        <v/>
      </c>
      <c r="W636" s="8" t="str">
        <f>IF($A636="","",TRIM(INDEX(FORM!$L:$L,ROW())&amp;""))</f>
        <v/>
      </c>
      <c r="X636" s="8" t="str">
        <f>IF($A636="","",TRIM(INDEX(FORM!$M:$M,ROW())&amp;""))</f>
        <v/>
      </c>
      <c r="Y636" s="8" t="str">
        <f>IF($A636="","",IFERROR(MATCH(F636,DATA!$AH$2:$AH$5,0),9)*10000+A636)</f>
        <v/>
      </c>
      <c r="Z636" s="8" t="str">
        <f t="shared" si="199"/>
        <v/>
      </c>
      <c r="AA636" s="8" t="str">
        <f t="shared" si="200"/>
        <v/>
      </c>
      <c r="AB636" s="8" t="str">
        <f t="shared" si="201"/>
        <v/>
      </c>
      <c r="AC636" s="8"/>
      <c r="AD636" s="8"/>
      <c r="AE636" s="8"/>
      <c r="AK636" s="5" t="str">
        <f t="shared" si="202"/>
        <v/>
      </c>
      <c r="AL636" s="5" t="str">
        <f t="shared" si="203"/>
        <v/>
      </c>
      <c r="AM636" s="5" t="str">
        <f t="shared" si="204"/>
        <v/>
      </c>
      <c r="AN636" s="5" t="str">
        <f t="shared" si="205"/>
        <v/>
      </c>
      <c r="AO636" s="5" t="str">
        <f t="shared" si="206"/>
        <v/>
      </c>
      <c r="AP636" s="5" t="str">
        <f t="shared" si="207"/>
        <v/>
      </c>
      <c r="AQ636" s="5" t="str">
        <f t="shared" si="208"/>
        <v/>
      </c>
      <c r="AR636" s="5" t="str">
        <f t="shared" si="209"/>
        <v/>
      </c>
      <c r="AS636" s="5" t="str">
        <f t="shared" si="210"/>
        <v/>
      </c>
      <c r="AT636" s="5" t="str">
        <f t="shared" si="211"/>
        <v/>
      </c>
      <c r="AU636" s="5" t="str">
        <f t="shared" si="212"/>
        <v/>
      </c>
      <c r="AV636" s="5" t="str">
        <f t="shared" si="213"/>
        <v/>
      </c>
      <c r="AW636" s="5" t="str">
        <f t="shared" si="214"/>
        <v/>
      </c>
      <c r="AX636" s="5" t="str">
        <f t="shared" si="215"/>
        <v/>
      </c>
      <c r="AY636" s="5" t="str">
        <f t="shared" si="216"/>
        <v/>
      </c>
      <c r="AZ636" s="5" t="str">
        <f t="shared" si="217"/>
        <v/>
      </c>
      <c r="BA636" s="5" t="str">
        <f t="shared" si="218"/>
        <v/>
      </c>
      <c r="BB636" s="5" t="str">
        <f t="shared" si="219"/>
        <v/>
      </c>
    </row>
    <row r="637" spans="1:54" s="5" customFormat="1" hidden="1">
      <c r="A637" s="8" t="str">
        <f>IF(INDEX(FORM!$A:$A,ROW())="","",ROW()-1)</f>
        <v/>
      </c>
      <c r="B637" s="41" t="str">
        <f>IF($A637="","",INDEX(FORM!$A:$A,ROW()))</f>
        <v/>
      </c>
      <c r="C637" s="8" t="str">
        <f>IF($A637="","",TRIM(INDEX(FORM!$B:$B,ROW())))</f>
        <v/>
      </c>
      <c r="D637" s="8" t="str">
        <f>IF($A637="","",TRIM(INDEX(FORM!$C:$C,ROW())&amp;""))</f>
        <v/>
      </c>
      <c r="E637" s="8" t="str">
        <f>IF($A637="","",UPPER(TRIM(INDEX(FORM!$D:$D,ROW()))))</f>
        <v/>
      </c>
      <c r="F637" s="8" t="str">
        <f>IF($A637="","",IFERROR(INDEX(PROGRES!$A$2:$A$92,MATCH(E637,PROGRES!$B$2:$B$92,0)),"-"))</f>
        <v/>
      </c>
      <c r="G637" s="8" t="str">
        <f>IF($A637="","",UPPER(TRIM(INDEX(FORM!$F:$F,ROW()))))</f>
        <v/>
      </c>
      <c r="H637" s="8" t="str">
        <f>IF($A637="","",UPPER(TRIM(INDEX(FORM!$E:$E,ROW()))))</f>
        <v/>
      </c>
      <c r="I637" s="8" t="str">
        <f>IF($A637="","",UPPER(TRIM(INDEX(FORM!$G:$G,ROW()))))</f>
        <v/>
      </c>
      <c r="J637" s="8" t="str">
        <f>IF($A637="","",IF(ISNUMBER(SEARCH("Ya,",INDEX(FORM!$H:$H,ROW()))),"YA",IF(ISNUMBER(SEARCH("Cukup,",INDEX(FORM!$H:$H,ROW()))),"CUKUP",IF(ISNUMBER(SEARCH("Kurang,",INDEX(FORM!$H:$H,ROW()))),"KURANG",""))))</f>
        <v/>
      </c>
      <c r="K637" s="8" t="str">
        <f>IF($A637="","",UPPER(TRIM(INDEX(FORM!$J:$J,ROW()))))</f>
        <v/>
      </c>
      <c r="L637" s="8" t="str">
        <f>IF($A637="","",IF(ISNUMBER(SEARCH("Aktivitas Harian",INDEX(FORM!$K:$K,ROW()))),1,0))</f>
        <v/>
      </c>
      <c r="M637" s="8" t="str">
        <f>IF($A637="","",IF(ISNUMBER(SEARCH("Aktivitas Mingguan",INDEX(FORM!$K:$K,ROW()))),1,0))</f>
        <v/>
      </c>
      <c r="N637" s="8" t="str">
        <f>IF($A637="","",IF(ISNUMBER(SEARCH("Aktivitas Bulanan",INDEX(FORM!$K:$K,ROW()))),1,0))</f>
        <v/>
      </c>
      <c r="O637" s="8" t="str">
        <f>IF($A637="","",IF(ISNUMBER(SEARCH("Overview Cabang",INDEX(FORM!$K:$K,ROW()))),1,0))</f>
        <v/>
      </c>
      <c r="P637" s="8" t="str">
        <f>IF($A637="","",IFERROR(VLOOKUP(I637,DATA!$AH$9:$AI$13,2,0),""))</f>
        <v/>
      </c>
      <c r="Q637" s="8" t="str">
        <f>IF($A637="","",IFERROR(VLOOKUP(J637,DATA!$AH$9:$AI$13,2,0),""))</f>
        <v/>
      </c>
      <c r="R637" s="8" t="str">
        <f>IF($A637="","",IFERROR(VLOOKUP(K637,DATA!$AH$9:$AI$13,2,0),""))</f>
        <v/>
      </c>
      <c r="S637" s="42" t="str">
        <f t="shared" si="198"/>
        <v/>
      </c>
      <c r="T637" s="8" t="str">
        <f>IF($A637="","",IF(COUNTIF($D$2:D637,D637)=1,1,0))</f>
        <v/>
      </c>
      <c r="U637" s="8" t="str">
        <f>IF($A637="","",IF(F637="-","Cabang tdk ada",IF(IFERROR(VLOOKUP(G637,#REF!,1,0),"")="","",IF(INDEX(DATA!$AH$2:$AH$5,MATCH(G637,DATA!$AI$2:$AI$5,0))&lt;&gt;F637,"Wilayah beda","OK"))))</f>
        <v/>
      </c>
      <c r="V637" s="8" t="str">
        <f>IF($A637="","",TRIM(INDEX(FORM!$I:$I,ROW())&amp;""))</f>
        <v/>
      </c>
      <c r="W637" s="8" t="str">
        <f>IF($A637="","",TRIM(INDEX(FORM!$L:$L,ROW())&amp;""))</f>
        <v/>
      </c>
      <c r="X637" s="8" t="str">
        <f>IF($A637="","",TRIM(INDEX(FORM!$M:$M,ROW())&amp;""))</f>
        <v/>
      </c>
      <c r="Y637" s="8" t="str">
        <f>IF($A637="","",IFERROR(MATCH(F637,DATA!$AH$2:$AH$5,0),9)*10000+A637)</f>
        <v/>
      </c>
      <c r="Z637" s="8" t="str">
        <f t="shared" si="199"/>
        <v/>
      </c>
      <c r="AA637" s="8" t="str">
        <f t="shared" si="200"/>
        <v/>
      </c>
      <c r="AB637" s="8" t="str">
        <f t="shared" si="201"/>
        <v/>
      </c>
      <c r="AC637" s="8"/>
      <c r="AD637" s="8"/>
      <c r="AE637" s="8"/>
      <c r="AK637" s="5" t="str">
        <f t="shared" si="202"/>
        <v/>
      </c>
      <c r="AL637" s="5" t="str">
        <f t="shared" si="203"/>
        <v/>
      </c>
      <c r="AM637" s="5" t="str">
        <f t="shared" si="204"/>
        <v/>
      </c>
      <c r="AN637" s="5" t="str">
        <f t="shared" si="205"/>
        <v/>
      </c>
      <c r="AO637" s="5" t="str">
        <f t="shared" si="206"/>
        <v/>
      </c>
      <c r="AP637" s="5" t="str">
        <f t="shared" si="207"/>
        <v/>
      </c>
      <c r="AQ637" s="5" t="str">
        <f t="shared" si="208"/>
        <v/>
      </c>
      <c r="AR637" s="5" t="str">
        <f t="shared" si="209"/>
        <v/>
      </c>
      <c r="AS637" s="5" t="str">
        <f t="shared" si="210"/>
        <v/>
      </c>
      <c r="AT637" s="5" t="str">
        <f t="shared" si="211"/>
        <v/>
      </c>
      <c r="AU637" s="5" t="str">
        <f t="shared" si="212"/>
        <v/>
      </c>
      <c r="AV637" s="5" t="str">
        <f t="shared" si="213"/>
        <v/>
      </c>
      <c r="AW637" s="5" t="str">
        <f t="shared" si="214"/>
        <v/>
      </c>
      <c r="AX637" s="5" t="str">
        <f t="shared" si="215"/>
        <v/>
      </c>
      <c r="AY637" s="5" t="str">
        <f t="shared" si="216"/>
        <v/>
      </c>
      <c r="AZ637" s="5" t="str">
        <f t="shared" si="217"/>
        <v/>
      </c>
      <c r="BA637" s="5" t="str">
        <f t="shared" si="218"/>
        <v/>
      </c>
      <c r="BB637" s="5" t="str">
        <f t="shared" si="219"/>
        <v/>
      </c>
    </row>
    <row r="638" spans="1:54" s="5" customFormat="1" hidden="1">
      <c r="A638" s="8" t="str">
        <f>IF(INDEX(FORM!$A:$A,ROW())="","",ROW()-1)</f>
        <v/>
      </c>
      <c r="B638" s="41" t="str">
        <f>IF($A638="","",INDEX(FORM!$A:$A,ROW()))</f>
        <v/>
      </c>
      <c r="C638" s="8" t="str">
        <f>IF($A638="","",TRIM(INDEX(FORM!$B:$B,ROW())))</f>
        <v/>
      </c>
      <c r="D638" s="8" t="str">
        <f>IF($A638="","",TRIM(INDEX(FORM!$C:$C,ROW())&amp;""))</f>
        <v/>
      </c>
      <c r="E638" s="8" t="str">
        <f>IF($A638="","",UPPER(TRIM(INDEX(FORM!$D:$D,ROW()))))</f>
        <v/>
      </c>
      <c r="F638" s="8" t="str">
        <f>IF($A638="","",IFERROR(INDEX(PROGRES!$A$2:$A$92,MATCH(E638,PROGRES!$B$2:$B$92,0)),"-"))</f>
        <v/>
      </c>
      <c r="G638" s="8" t="str">
        <f>IF($A638="","",UPPER(TRIM(INDEX(FORM!$F:$F,ROW()))))</f>
        <v/>
      </c>
      <c r="H638" s="8" t="str">
        <f>IF($A638="","",UPPER(TRIM(INDEX(FORM!$E:$E,ROW()))))</f>
        <v/>
      </c>
      <c r="I638" s="8" t="str">
        <f>IF($A638="","",UPPER(TRIM(INDEX(FORM!$G:$G,ROW()))))</f>
        <v/>
      </c>
      <c r="J638" s="8" t="str">
        <f>IF($A638="","",IF(ISNUMBER(SEARCH("Ya,",INDEX(FORM!$H:$H,ROW()))),"YA",IF(ISNUMBER(SEARCH("Cukup,",INDEX(FORM!$H:$H,ROW()))),"CUKUP",IF(ISNUMBER(SEARCH("Kurang,",INDEX(FORM!$H:$H,ROW()))),"KURANG",""))))</f>
        <v/>
      </c>
      <c r="K638" s="8" t="str">
        <f>IF($A638="","",UPPER(TRIM(INDEX(FORM!$J:$J,ROW()))))</f>
        <v/>
      </c>
      <c r="L638" s="8" t="str">
        <f>IF($A638="","",IF(ISNUMBER(SEARCH("Aktivitas Harian",INDEX(FORM!$K:$K,ROW()))),1,0))</f>
        <v/>
      </c>
      <c r="M638" s="8" t="str">
        <f>IF($A638="","",IF(ISNUMBER(SEARCH("Aktivitas Mingguan",INDEX(FORM!$K:$K,ROW()))),1,0))</f>
        <v/>
      </c>
      <c r="N638" s="8" t="str">
        <f>IF($A638="","",IF(ISNUMBER(SEARCH("Aktivitas Bulanan",INDEX(FORM!$K:$K,ROW()))),1,0))</f>
        <v/>
      </c>
      <c r="O638" s="8" t="str">
        <f>IF($A638="","",IF(ISNUMBER(SEARCH("Overview Cabang",INDEX(FORM!$K:$K,ROW()))),1,0))</f>
        <v/>
      </c>
      <c r="P638" s="8" t="str">
        <f>IF($A638="","",IFERROR(VLOOKUP(I638,DATA!$AH$9:$AI$13,2,0),""))</f>
        <v/>
      </c>
      <c r="Q638" s="8" t="str">
        <f>IF($A638="","",IFERROR(VLOOKUP(J638,DATA!$AH$9:$AI$13,2,0),""))</f>
        <v/>
      </c>
      <c r="R638" s="8" t="str">
        <f>IF($A638="","",IFERROR(VLOOKUP(K638,DATA!$AH$9:$AI$13,2,0),""))</f>
        <v/>
      </c>
      <c r="S638" s="42" t="str">
        <f t="shared" si="198"/>
        <v/>
      </c>
      <c r="T638" s="8" t="str">
        <f>IF($A638="","",IF(COUNTIF($D$2:D638,D638)=1,1,0))</f>
        <v/>
      </c>
      <c r="U638" s="8" t="str">
        <f>IF($A638="","",IF(F638="-","Cabang tdk ada",IF(IFERROR(VLOOKUP(G638,#REF!,1,0),"")="","",IF(INDEX(DATA!$AH$2:$AH$5,MATCH(G638,DATA!$AI$2:$AI$5,0))&lt;&gt;F638,"Wilayah beda","OK"))))</f>
        <v/>
      </c>
      <c r="V638" s="8" t="str">
        <f>IF($A638="","",TRIM(INDEX(FORM!$I:$I,ROW())&amp;""))</f>
        <v/>
      </c>
      <c r="W638" s="8" t="str">
        <f>IF($A638="","",TRIM(INDEX(FORM!$L:$L,ROW())&amp;""))</f>
        <v/>
      </c>
      <c r="X638" s="8" t="str">
        <f>IF($A638="","",TRIM(INDEX(FORM!$M:$M,ROW())&amp;""))</f>
        <v/>
      </c>
      <c r="Y638" s="8" t="str">
        <f>IF($A638="","",IFERROR(MATCH(F638,DATA!$AH$2:$AH$5,0),9)*10000+A638)</f>
        <v/>
      </c>
      <c r="Z638" s="8" t="str">
        <f t="shared" si="199"/>
        <v/>
      </c>
      <c r="AA638" s="8" t="str">
        <f t="shared" si="200"/>
        <v/>
      </c>
      <c r="AB638" s="8" t="str">
        <f t="shared" si="201"/>
        <v/>
      </c>
      <c r="AC638" s="8"/>
      <c r="AD638" s="8"/>
      <c r="AE638" s="8"/>
      <c r="AK638" s="5" t="str">
        <f t="shared" si="202"/>
        <v/>
      </c>
      <c r="AL638" s="5" t="str">
        <f t="shared" si="203"/>
        <v/>
      </c>
      <c r="AM638" s="5" t="str">
        <f t="shared" si="204"/>
        <v/>
      </c>
      <c r="AN638" s="5" t="str">
        <f t="shared" si="205"/>
        <v/>
      </c>
      <c r="AO638" s="5" t="str">
        <f t="shared" si="206"/>
        <v/>
      </c>
      <c r="AP638" s="5" t="str">
        <f t="shared" si="207"/>
        <v/>
      </c>
      <c r="AQ638" s="5" t="str">
        <f t="shared" si="208"/>
        <v/>
      </c>
      <c r="AR638" s="5" t="str">
        <f t="shared" si="209"/>
        <v/>
      </c>
      <c r="AS638" s="5" t="str">
        <f t="shared" si="210"/>
        <v/>
      </c>
      <c r="AT638" s="5" t="str">
        <f t="shared" si="211"/>
        <v/>
      </c>
      <c r="AU638" s="5" t="str">
        <f t="shared" si="212"/>
        <v/>
      </c>
      <c r="AV638" s="5" t="str">
        <f t="shared" si="213"/>
        <v/>
      </c>
      <c r="AW638" s="5" t="str">
        <f t="shared" si="214"/>
        <v/>
      </c>
      <c r="AX638" s="5" t="str">
        <f t="shared" si="215"/>
        <v/>
      </c>
      <c r="AY638" s="5" t="str">
        <f t="shared" si="216"/>
        <v/>
      </c>
      <c r="AZ638" s="5" t="str">
        <f t="shared" si="217"/>
        <v/>
      </c>
      <c r="BA638" s="5" t="str">
        <f t="shared" si="218"/>
        <v/>
      </c>
      <c r="BB638" s="5" t="str">
        <f t="shared" si="219"/>
        <v/>
      </c>
    </row>
    <row r="639" spans="1:54" s="5" customFormat="1" hidden="1">
      <c r="A639" s="8" t="str">
        <f>IF(INDEX(FORM!$A:$A,ROW())="","",ROW()-1)</f>
        <v/>
      </c>
      <c r="B639" s="41" t="str">
        <f>IF($A639="","",INDEX(FORM!$A:$A,ROW()))</f>
        <v/>
      </c>
      <c r="C639" s="8" t="str">
        <f>IF($A639="","",TRIM(INDEX(FORM!$B:$B,ROW())))</f>
        <v/>
      </c>
      <c r="D639" s="8" t="str">
        <f>IF($A639="","",TRIM(INDEX(FORM!$C:$C,ROW())&amp;""))</f>
        <v/>
      </c>
      <c r="E639" s="8" t="str">
        <f>IF($A639="","",UPPER(TRIM(INDEX(FORM!$D:$D,ROW()))))</f>
        <v/>
      </c>
      <c r="F639" s="8" t="str">
        <f>IF($A639="","",IFERROR(INDEX(PROGRES!$A$2:$A$92,MATCH(E639,PROGRES!$B$2:$B$92,0)),"-"))</f>
        <v/>
      </c>
      <c r="G639" s="8" t="str">
        <f>IF($A639="","",UPPER(TRIM(INDEX(FORM!$F:$F,ROW()))))</f>
        <v/>
      </c>
      <c r="H639" s="8" t="str">
        <f>IF($A639="","",UPPER(TRIM(INDEX(FORM!$E:$E,ROW()))))</f>
        <v/>
      </c>
      <c r="I639" s="8" t="str">
        <f>IF($A639="","",UPPER(TRIM(INDEX(FORM!$G:$G,ROW()))))</f>
        <v/>
      </c>
      <c r="J639" s="8" t="str">
        <f>IF($A639="","",IF(ISNUMBER(SEARCH("Ya,",INDEX(FORM!$H:$H,ROW()))),"YA",IF(ISNUMBER(SEARCH("Cukup,",INDEX(FORM!$H:$H,ROW()))),"CUKUP",IF(ISNUMBER(SEARCH("Kurang,",INDEX(FORM!$H:$H,ROW()))),"KURANG",""))))</f>
        <v/>
      </c>
      <c r="K639" s="8" t="str">
        <f>IF($A639="","",UPPER(TRIM(INDEX(FORM!$J:$J,ROW()))))</f>
        <v/>
      </c>
      <c r="L639" s="8" t="str">
        <f>IF($A639="","",IF(ISNUMBER(SEARCH("Aktivitas Harian",INDEX(FORM!$K:$K,ROW()))),1,0))</f>
        <v/>
      </c>
      <c r="M639" s="8" t="str">
        <f>IF($A639="","",IF(ISNUMBER(SEARCH("Aktivitas Mingguan",INDEX(FORM!$K:$K,ROW()))),1,0))</f>
        <v/>
      </c>
      <c r="N639" s="8" t="str">
        <f>IF($A639="","",IF(ISNUMBER(SEARCH("Aktivitas Bulanan",INDEX(FORM!$K:$K,ROW()))),1,0))</f>
        <v/>
      </c>
      <c r="O639" s="8" t="str">
        <f>IF($A639="","",IF(ISNUMBER(SEARCH("Overview Cabang",INDEX(FORM!$K:$K,ROW()))),1,0))</f>
        <v/>
      </c>
      <c r="P639" s="8" t="str">
        <f>IF($A639="","",IFERROR(VLOOKUP(I639,DATA!$AH$9:$AI$13,2,0),""))</f>
        <v/>
      </c>
      <c r="Q639" s="8" t="str">
        <f>IF($A639="","",IFERROR(VLOOKUP(J639,DATA!$AH$9:$AI$13,2,0),""))</f>
        <v/>
      </c>
      <c r="R639" s="8" t="str">
        <f>IF($A639="","",IFERROR(VLOOKUP(K639,DATA!$AH$9:$AI$13,2,0),""))</f>
        <v/>
      </c>
      <c r="S639" s="42" t="str">
        <f t="shared" si="198"/>
        <v/>
      </c>
      <c r="T639" s="8" t="str">
        <f>IF($A639="","",IF(COUNTIF($D$2:D639,D639)=1,1,0))</f>
        <v/>
      </c>
      <c r="U639" s="8" t="str">
        <f>IF($A639="","",IF(F639="-","Cabang tdk ada",IF(IFERROR(VLOOKUP(G639,#REF!,1,0),"")="","",IF(INDEX(DATA!$AH$2:$AH$5,MATCH(G639,DATA!$AI$2:$AI$5,0))&lt;&gt;F639,"Wilayah beda","OK"))))</f>
        <v/>
      </c>
      <c r="V639" s="8" t="str">
        <f>IF($A639="","",TRIM(INDEX(FORM!$I:$I,ROW())&amp;""))</f>
        <v/>
      </c>
      <c r="W639" s="8" t="str">
        <f>IF($A639="","",TRIM(INDEX(FORM!$L:$L,ROW())&amp;""))</f>
        <v/>
      </c>
      <c r="X639" s="8" t="str">
        <f>IF($A639="","",TRIM(INDEX(FORM!$M:$M,ROW())&amp;""))</f>
        <v/>
      </c>
      <c r="Y639" s="8" t="str">
        <f>IF($A639="","",IFERROR(MATCH(F639,DATA!$AH$2:$AH$5,0),9)*10000+A639)</f>
        <v/>
      </c>
      <c r="Z639" s="8" t="str">
        <f t="shared" si="199"/>
        <v/>
      </c>
      <c r="AA639" s="8" t="str">
        <f t="shared" si="200"/>
        <v/>
      </c>
      <c r="AB639" s="8" t="str">
        <f t="shared" si="201"/>
        <v/>
      </c>
      <c r="AC639" s="8"/>
      <c r="AD639" s="8"/>
      <c r="AE639" s="8"/>
      <c r="AK639" s="5" t="str">
        <f t="shared" si="202"/>
        <v/>
      </c>
      <c r="AL639" s="5" t="str">
        <f t="shared" si="203"/>
        <v/>
      </c>
      <c r="AM639" s="5" t="str">
        <f t="shared" si="204"/>
        <v/>
      </c>
      <c r="AN639" s="5" t="str">
        <f t="shared" si="205"/>
        <v/>
      </c>
      <c r="AO639" s="5" t="str">
        <f t="shared" si="206"/>
        <v/>
      </c>
      <c r="AP639" s="5" t="str">
        <f t="shared" si="207"/>
        <v/>
      </c>
      <c r="AQ639" s="5" t="str">
        <f t="shared" si="208"/>
        <v/>
      </c>
      <c r="AR639" s="5" t="str">
        <f t="shared" si="209"/>
        <v/>
      </c>
      <c r="AS639" s="5" t="str">
        <f t="shared" si="210"/>
        <v/>
      </c>
      <c r="AT639" s="5" t="str">
        <f t="shared" si="211"/>
        <v/>
      </c>
      <c r="AU639" s="5" t="str">
        <f t="shared" si="212"/>
        <v/>
      </c>
      <c r="AV639" s="5" t="str">
        <f t="shared" si="213"/>
        <v/>
      </c>
      <c r="AW639" s="5" t="str">
        <f t="shared" si="214"/>
        <v/>
      </c>
      <c r="AX639" s="5" t="str">
        <f t="shared" si="215"/>
        <v/>
      </c>
      <c r="AY639" s="5" t="str">
        <f t="shared" si="216"/>
        <v/>
      </c>
      <c r="AZ639" s="5" t="str">
        <f t="shared" si="217"/>
        <v/>
      </c>
      <c r="BA639" s="5" t="str">
        <f t="shared" si="218"/>
        <v/>
      </c>
      <c r="BB639" s="5" t="str">
        <f t="shared" si="219"/>
        <v/>
      </c>
    </row>
    <row r="640" spans="1:54" s="5" customFormat="1" hidden="1">
      <c r="A640" s="8" t="str">
        <f>IF(INDEX(FORM!$A:$A,ROW())="","",ROW()-1)</f>
        <v/>
      </c>
      <c r="B640" s="41" t="str">
        <f>IF($A640="","",INDEX(FORM!$A:$A,ROW()))</f>
        <v/>
      </c>
      <c r="C640" s="8" t="str">
        <f>IF($A640="","",TRIM(INDEX(FORM!$B:$B,ROW())))</f>
        <v/>
      </c>
      <c r="D640" s="8" t="str">
        <f>IF($A640="","",TRIM(INDEX(FORM!$C:$C,ROW())&amp;""))</f>
        <v/>
      </c>
      <c r="E640" s="8" t="str">
        <f>IF($A640="","",UPPER(TRIM(INDEX(FORM!$D:$D,ROW()))))</f>
        <v/>
      </c>
      <c r="F640" s="8" t="str">
        <f>IF($A640="","",IFERROR(INDEX(PROGRES!$A$2:$A$92,MATCH(E640,PROGRES!$B$2:$B$92,0)),"-"))</f>
        <v/>
      </c>
      <c r="G640" s="8" t="str">
        <f>IF($A640="","",UPPER(TRIM(INDEX(FORM!$F:$F,ROW()))))</f>
        <v/>
      </c>
      <c r="H640" s="8" t="str">
        <f>IF($A640="","",UPPER(TRIM(INDEX(FORM!$E:$E,ROW()))))</f>
        <v/>
      </c>
      <c r="I640" s="8" t="str">
        <f>IF($A640="","",UPPER(TRIM(INDEX(FORM!$G:$G,ROW()))))</f>
        <v/>
      </c>
      <c r="J640" s="8" t="str">
        <f>IF($A640="","",IF(ISNUMBER(SEARCH("Ya,",INDEX(FORM!$H:$H,ROW()))),"YA",IF(ISNUMBER(SEARCH("Cukup,",INDEX(FORM!$H:$H,ROW()))),"CUKUP",IF(ISNUMBER(SEARCH("Kurang,",INDEX(FORM!$H:$H,ROW()))),"KURANG",""))))</f>
        <v/>
      </c>
      <c r="K640" s="8" t="str">
        <f>IF($A640="","",UPPER(TRIM(INDEX(FORM!$J:$J,ROW()))))</f>
        <v/>
      </c>
      <c r="L640" s="8" t="str">
        <f>IF($A640="","",IF(ISNUMBER(SEARCH("Aktivitas Harian",INDEX(FORM!$K:$K,ROW()))),1,0))</f>
        <v/>
      </c>
      <c r="M640" s="8" t="str">
        <f>IF($A640="","",IF(ISNUMBER(SEARCH("Aktivitas Mingguan",INDEX(FORM!$K:$K,ROW()))),1,0))</f>
        <v/>
      </c>
      <c r="N640" s="8" t="str">
        <f>IF($A640="","",IF(ISNUMBER(SEARCH("Aktivitas Bulanan",INDEX(FORM!$K:$K,ROW()))),1,0))</f>
        <v/>
      </c>
      <c r="O640" s="8" t="str">
        <f>IF($A640="","",IF(ISNUMBER(SEARCH("Overview Cabang",INDEX(FORM!$K:$K,ROW()))),1,0))</f>
        <v/>
      </c>
      <c r="P640" s="8" t="str">
        <f>IF($A640="","",IFERROR(VLOOKUP(I640,DATA!$AH$9:$AI$13,2,0),""))</f>
        <v/>
      </c>
      <c r="Q640" s="8" t="str">
        <f>IF($A640="","",IFERROR(VLOOKUP(J640,DATA!$AH$9:$AI$13,2,0),""))</f>
        <v/>
      </c>
      <c r="R640" s="8" t="str">
        <f>IF($A640="","",IFERROR(VLOOKUP(K640,DATA!$AH$9:$AI$13,2,0),""))</f>
        <v/>
      </c>
      <c r="S640" s="42" t="str">
        <f t="shared" si="198"/>
        <v/>
      </c>
      <c r="T640" s="8" t="str">
        <f>IF($A640="","",IF(COUNTIF($D$2:D640,D640)=1,1,0))</f>
        <v/>
      </c>
      <c r="U640" s="8" t="str">
        <f>IF($A640="","",IF(F640="-","Cabang tdk ada",IF(IFERROR(VLOOKUP(G640,#REF!,1,0),"")="","",IF(INDEX(DATA!$AH$2:$AH$5,MATCH(G640,DATA!$AI$2:$AI$5,0))&lt;&gt;F640,"Wilayah beda","OK"))))</f>
        <v/>
      </c>
      <c r="V640" s="8" t="str">
        <f>IF($A640="","",TRIM(INDEX(FORM!$I:$I,ROW())&amp;""))</f>
        <v/>
      </c>
      <c r="W640" s="8" t="str">
        <f>IF($A640="","",TRIM(INDEX(FORM!$L:$L,ROW())&amp;""))</f>
        <v/>
      </c>
      <c r="X640" s="8" t="str">
        <f>IF($A640="","",TRIM(INDEX(FORM!$M:$M,ROW())&amp;""))</f>
        <v/>
      </c>
      <c r="Y640" s="8" t="str">
        <f>IF($A640="","",IFERROR(MATCH(F640,DATA!$AH$2:$AH$5,0),9)*10000+A640)</f>
        <v/>
      </c>
      <c r="Z640" s="8" t="str">
        <f t="shared" si="199"/>
        <v/>
      </c>
      <c r="AA640" s="8" t="str">
        <f t="shared" si="200"/>
        <v/>
      </c>
      <c r="AB640" s="8" t="str">
        <f t="shared" si="201"/>
        <v/>
      </c>
      <c r="AC640" s="8"/>
      <c r="AD640" s="8"/>
      <c r="AE640" s="8"/>
      <c r="AK640" s="5" t="str">
        <f t="shared" si="202"/>
        <v/>
      </c>
      <c r="AL640" s="5" t="str">
        <f t="shared" si="203"/>
        <v/>
      </c>
      <c r="AM640" s="5" t="str">
        <f t="shared" si="204"/>
        <v/>
      </c>
      <c r="AN640" s="5" t="str">
        <f t="shared" si="205"/>
        <v/>
      </c>
      <c r="AO640" s="5" t="str">
        <f t="shared" si="206"/>
        <v/>
      </c>
      <c r="AP640" s="5" t="str">
        <f t="shared" si="207"/>
        <v/>
      </c>
      <c r="AQ640" s="5" t="str">
        <f t="shared" si="208"/>
        <v/>
      </c>
      <c r="AR640" s="5" t="str">
        <f t="shared" si="209"/>
        <v/>
      </c>
      <c r="AS640" s="5" t="str">
        <f t="shared" si="210"/>
        <v/>
      </c>
      <c r="AT640" s="5" t="str">
        <f t="shared" si="211"/>
        <v/>
      </c>
      <c r="AU640" s="5" t="str">
        <f t="shared" si="212"/>
        <v/>
      </c>
      <c r="AV640" s="5" t="str">
        <f t="shared" si="213"/>
        <v/>
      </c>
      <c r="AW640" s="5" t="str">
        <f t="shared" si="214"/>
        <v/>
      </c>
      <c r="AX640" s="5" t="str">
        <f t="shared" si="215"/>
        <v/>
      </c>
      <c r="AY640" s="5" t="str">
        <f t="shared" si="216"/>
        <v/>
      </c>
      <c r="AZ640" s="5" t="str">
        <f t="shared" si="217"/>
        <v/>
      </c>
      <c r="BA640" s="5" t="str">
        <f t="shared" si="218"/>
        <v/>
      </c>
      <c r="BB640" s="5" t="str">
        <f t="shared" si="219"/>
        <v/>
      </c>
    </row>
    <row r="641" spans="1:54" s="5" customFormat="1" hidden="1">
      <c r="A641" s="8" t="str">
        <f>IF(INDEX(FORM!$A:$A,ROW())="","",ROW()-1)</f>
        <v/>
      </c>
      <c r="B641" s="41" t="str">
        <f>IF($A641="","",INDEX(FORM!$A:$A,ROW()))</f>
        <v/>
      </c>
      <c r="C641" s="8" t="str">
        <f>IF($A641="","",TRIM(INDEX(FORM!$B:$B,ROW())))</f>
        <v/>
      </c>
      <c r="D641" s="8" t="str">
        <f>IF($A641="","",TRIM(INDEX(FORM!$C:$C,ROW())&amp;""))</f>
        <v/>
      </c>
      <c r="E641" s="8" t="str">
        <f>IF($A641="","",UPPER(TRIM(INDEX(FORM!$D:$D,ROW()))))</f>
        <v/>
      </c>
      <c r="F641" s="8" t="str">
        <f>IF($A641="","",IFERROR(INDEX(PROGRES!$A$2:$A$92,MATCH(E641,PROGRES!$B$2:$B$92,0)),"-"))</f>
        <v/>
      </c>
      <c r="G641" s="8" t="str">
        <f>IF($A641="","",UPPER(TRIM(INDEX(FORM!$F:$F,ROW()))))</f>
        <v/>
      </c>
      <c r="H641" s="8" t="str">
        <f>IF($A641="","",UPPER(TRIM(INDEX(FORM!$E:$E,ROW()))))</f>
        <v/>
      </c>
      <c r="I641" s="8" t="str">
        <f>IF($A641="","",UPPER(TRIM(INDEX(FORM!$G:$G,ROW()))))</f>
        <v/>
      </c>
      <c r="J641" s="8" t="str">
        <f>IF($A641="","",IF(ISNUMBER(SEARCH("Ya,",INDEX(FORM!$H:$H,ROW()))),"YA",IF(ISNUMBER(SEARCH("Cukup,",INDEX(FORM!$H:$H,ROW()))),"CUKUP",IF(ISNUMBER(SEARCH("Kurang,",INDEX(FORM!$H:$H,ROW()))),"KURANG",""))))</f>
        <v/>
      </c>
      <c r="K641" s="8" t="str">
        <f>IF($A641="","",UPPER(TRIM(INDEX(FORM!$J:$J,ROW()))))</f>
        <v/>
      </c>
      <c r="L641" s="8" t="str">
        <f>IF($A641="","",IF(ISNUMBER(SEARCH("Aktivitas Harian",INDEX(FORM!$K:$K,ROW()))),1,0))</f>
        <v/>
      </c>
      <c r="M641" s="8" t="str">
        <f>IF($A641="","",IF(ISNUMBER(SEARCH("Aktivitas Mingguan",INDEX(FORM!$K:$K,ROW()))),1,0))</f>
        <v/>
      </c>
      <c r="N641" s="8" t="str">
        <f>IF($A641="","",IF(ISNUMBER(SEARCH("Aktivitas Bulanan",INDEX(FORM!$K:$K,ROW()))),1,0))</f>
        <v/>
      </c>
      <c r="O641" s="8" t="str">
        <f>IF($A641="","",IF(ISNUMBER(SEARCH("Overview Cabang",INDEX(FORM!$K:$K,ROW()))),1,0))</f>
        <v/>
      </c>
      <c r="P641" s="8" t="str">
        <f>IF($A641="","",IFERROR(VLOOKUP(I641,DATA!$AH$9:$AI$13,2,0),""))</f>
        <v/>
      </c>
      <c r="Q641" s="8" t="str">
        <f>IF($A641="","",IFERROR(VLOOKUP(J641,DATA!$AH$9:$AI$13,2,0),""))</f>
        <v/>
      </c>
      <c r="R641" s="8" t="str">
        <f>IF($A641="","",IFERROR(VLOOKUP(K641,DATA!$AH$9:$AI$13,2,0),""))</f>
        <v/>
      </c>
      <c r="S641" s="42" t="str">
        <f t="shared" si="198"/>
        <v/>
      </c>
      <c r="T641" s="8" t="str">
        <f>IF($A641="","",IF(COUNTIF($D$2:D641,D641)=1,1,0))</f>
        <v/>
      </c>
      <c r="U641" s="8" t="str">
        <f>IF($A641="","",IF(F641="-","Cabang tdk ada",IF(IFERROR(VLOOKUP(G641,#REF!,1,0),"")="","",IF(INDEX(DATA!$AH$2:$AH$5,MATCH(G641,DATA!$AI$2:$AI$5,0))&lt;&gt;F641,"Wilayah beda","OK"))))</f>
        <v/>
      </c>
      <c r="V641" s="8" t="str">
        <f>IF($A641="","",TRIM(INDEX(FORM!$I:$I,ROW())&amp;""))</f>
        <v/>
      </c>
      <c r="W641" s="8" t="str">
        <f>IF($A641="","",TRIM(INDEX(FORM!$L:$L,ROW())&amp;""))</f>
        <v/>
      </c>
      <c r="X641" s="8" t="str">
        <f>IF($A641="","",TRIM(INDEX(FORM!$M:$M,ROW())&amp;""))</f>
        <v/>
      </c>
      <c r="Y641" s="8" t="str">
        <f>IF($A641="","",IFERROR(MATCH(F641,DATA!$AH$2:$AH$5,0),9)*10000+A641)</f>
        <v/>
      </c>
      <c r="Z641" s="8" t="str">
        <f t="shared" si="199"/>
        <v/>
      </c>
      <c r="AA641" s="8" t="str">
        <f t="shared" si="200"/>
        <v/>
      </c>
      <c r="AB641" s="8" t="str">
        <f t="shared" si="201"/>
        <v/>
      </c>
      <c r="AC641" s="8"/>
      <c r="AD641" s="8"/>
      <c r="AE641" s="8"/>
      <c r="AK641" s="5" t="str">
        <f t="shared" si="202"/>
        <v/>
      </c>
      <c r="AL641" s="5" t="str">
        <f t="shared" si="203"/>
        <v/>
      </c>
      <c r="AM641" s="5" t="str">
        <f t="shared" si="204"/>
        <v/>
      </c>
      <c r="AN641" s="5" t="str">
        <f t="shared" si="205"/>
        <v/>
      </c>
      <c r="AO641" s="5" t="str">
        <f t="shared" si="206"/>
        <v/>
      </c>
      <c r="AP641" s="5" t="str">
        <f t="shared" si="207"/>
        <v/>
      </c>
      <c r="AQ641" s="5" t="str">
        <f t="shared" si="208"/>
        <v/>
      </c>
      <c r="AR641" s="5" t="str">
        <f t="shared" si="209"/>
        <v/>
      </c>
      <c r="AS641" s="5" t="str">
        <f t="shared" si="210"/>
        <v/>
      </c>
      <c r="AT641" s="5" t="str">
        <f t="shared" si="211"/>
        <v/>
      </c>
      <c r="AU641" s="5" t="str">
        <f t="shared" si="212"/>
        <v/>
      </c>
      <c r="AV641" s="5" t="str">
        <f t="shared" si="213"/>
        <v/>
      </c>
      <c r="AW641" s="5" t="str">
        <f t="shared" si="214"/>
        <v/>
      </c>
      <c r="AX641" s="5" t="str">
        <f t="shared" si="215"/>
        <v/>
      </c>
      <c r="AY641" s="5" t="str">
        <f t="shared" si="216"/>
        <v/>
      </c>
      <c r="AZ641" s="5" t="str">
        <f t="shared" si="217"/>
        <v/>
      </c>
      <c r="BA641" s="5" t="str">
        <f t="shared" si="218"/>
        <v/>
      </c>
      <c r="BB641" s="5" t="str">
        <f t="shared" si="219"/>
        <v/>
      </c>
    </row>
    <row r="642" spans="1:54" s="5" customFormat="1" hidden="1">
      <c r="A642" s="8" t="str">
        <f>IF(INDEX(FORM!$A:$A,ROW())="","",ROW()-1)</f>
        <v/>
      </c>
      <c r="B642" s="41" t="str">
        <f>IF($A642="","",INDEX(FORM!$A:$A,ROW()))</f>
        <v/>
      </c>
      <c r="C642" s="8" t="str">
        <f>IF($A642="","",TRIM(INDEX(FORM!$B:$B,ROW())))</f>
        <v/>
      </c>
      <c r="D642" s="8" t="str">
        <f>IF($A642="","",TRIM(INDEX(FORM!$C:$C,ROW())&amp;""))</f>
        <v/>
      </c>
      <c r="E642" s="8" t="str">
        <f>IF($A642="","",UPPER(TRIM(INDEX(FORM!$D:$D,ROW()))))</f>
        <v/>
      </c>
      <c r="F642" s="8" t="str">
        <f>IF($A642="","",IFERROR(INDEX(PROGRES!$A$2:$A$92,MATCH(E642,PROGRES!$B$2:$B$92,0)),"-"))</f>
        <v/>
      </c>
      <c r="G642" s="8" t="str">
        <f>IF($A642="","",UPPER(TRIM(INDEX(FORM!$F:$F,ROW()))))</f>
        <v/>
      </c>
      <c r="H642" s="8" t="str">
        <f>IF($A642="","",UPPER(TRIM(INDEX(FORM!$E:$E,ROW()))))</f>
        <v/>
      </c>
      <c r="I642" s="8" t="str">
        <f>IF($A642="","",UPPER(TRIM(INDEX(FORM!$G:$G,ROW()))))</f>
        <v/>
      </c>
      <c r="J642" s="8" t="str">
        <f>IF($A642="","",IF(ISNUMBER(SEARCH("Ya,",INDEX(FORM!$H:$H,ROW()))),"YA",IF(ISNUMBER(SEARCH("Cukup,",INDEX(FORM!$H:$H,ROW()))),"CUKUP",IF(ISNUMBER(SEARCH("Kurang,",INDEX(FORM!$H:$H,ROW()))),"KURANG",""))))</f>
        <v/>
      </c>
      <c r="K642" s="8" t="str">
        <f>IF($A642="","",UPPER(TRIM(INDEX(FORM!$J:$J,ROW()))))</f>
        <v/>
      </c>
      <c r="L642" s="8" t="str">
        <f>IF($A642="","",IF(ISNUMBER(SEARCH("Aktivitas Harian",INDEX(FORM!$K:$K,ROW()))),1,0))</f>
        <v/>
      </c>
      <c r="M642" s="8" t="str">
        <f>IF($A642="","",IF(ISNUMBER(SEARCH("Aktivitas Mingguan",INDEX(FORM!$K:$K,ROW()))),1,0))</f>
        <v/>
      </c>
      <c r="N642" s="8" t="str">
        <f>IF($A642="","",IF(ISNUMBER(SEARCH("Aktivitas Bulanan",INDEX(FORM!$K:$K,ROW()))),1,0))</f>
        <v/>
      </c>
      <c r="O642" s="8" t="str">
        <f>IF($A642="","",IF(ISNUMBER(SEARCH("Overview Cabang",INDEX(FORM!$K:$K,ROW()))),1,0))</f>
        <v/>
      </c>
      <c r="P642" s="8" t="str">
        <f>IF($A642="","",IFERROR(VLOOKUP(I642,DATA!$AH$9:$AI$13,2,0),""))</f>
        <v/>
      </c>
      <c r="Q642" s="8" t="str">
        <f>IF($A642="","",IFERROR(VLOOKUP(J642,DATA!$AH$9:$AI$13,2,0),""))</f>
        <v/>
      </c>
      <c r="R642" s="8" t="str">
        <f>IF($A642="","",IFERROR(VLOOKUP(K642,DATA!$AH$9:$AI$13,2,0),""))</f>
        <v/>
      </c>
      <c r="S642" s="42" t="str">
        <f t="shared" ref="S642:S705" si="220">IF($A642="","",IFERROR(AVERAGE(P642:R642),""))</f>
        <v/>
      </c>
      <c r="T642" s="8" t="str">
        <f>IF($A642="","",IF(COUNTIF($D$2:D642,D642)=1,1,0))</f>
        <v/>
      </c>
      <c r="U642" s="8" t="str">
        <f>IF($A642="","",IF(F642="-","Cabang tdk ada",IF(IFERROR(VLOOKUP(G642,#REF!,1,0),"")="","",IF(INDEX(DATA!$AH$2:$AH$5,MATCH(G642,DATA!$AI$2:$AI$5,0))&lt;&gt;F642,"Wilayah beda","OK"))))</f>
        <v/>
      </c>
      <c r="V642" s="8" t="str">
        <f>IF($A642="","",TRIM(INDEX(FORM!$I:$I,ROW())&amp;""))</f>
        <v/>
      </c>
      <c r="W642" s="8" t="str">
        <f>IF($A642="","",TRIM(INDEX(FORM!$L:$L,ROW())&amp;""))</f>
        <v/>
      </c>
      <c r="X642" s="8" t="str">
        <f>IF($A642="","",TRIM(INDEX(FORM!$M:$M,ROW())&amp;""))</f>
        <v/>
      </c>
      <c r="Y642" s="8" t="str">
        <f>IF($A642="","",IFERROR(MATCH(F642,DATA!$AH$2:$AH$5,0),9)*10000+A642)</f>
        <v/>
      </c>
      <c r="Z642" s="8" t="str">
        <f t="shared" ref="Z642:Z705" si="221">IF($A642="","",IF(LEN(SUBSTITUTE(SUBSTITUTE(SUBSTITUTE(V642,"-",""),".",""),"?",""))&lt;2,"Tidak ada masukan / sudah baik",IF(OR(ISNUMBER(SEARCH("memang harus",V642&amp;" "))),"Tidak ada masukan / sudah baik",IF(OR(ISNUMBER(SEARCH("lemot",V642&amp;" ")),ISNUMBER(SEARCH("loading",V642&amp;" ")),ISNUMBER(SEARCH("lambat",V642&amp;" ")),ISNUMBER(SEARCH("kecepatan",V642&amp;" ")),ISNUMBER(SEARCH("koneksi",V642&amp;" ")),ISNUMBER(SEARCH("eroro",V642&amp;" ")),ISNUMBER(SEARCH("error",V642&amp;" ")),ISNUMBER(SEARCH("ketutup",V642&amp;" "))),"Kecepatan &amp; Loading Website",IF(OR(ISNUMBER(SEARCH("kontak",V642&amp;" ")),ISNUMBER(SEARCH("pic",V642&amp;" ")),ISNUMBER(SEARCH("darurat",V642&amp;" "))),"Kontak &amp; Informasi PIC",IF(OR(ISNUMBER(SEARCH("sacs",V642&amp;" ")),ISNUMBER(SEARCH("aplikasi",V642&amp;" ")),ISNUMBER(SEARCH("kinerja",V642&amp;" ")),ISNUMBER(SEARCH("seluruh cabang",V642&amp;" "))),"Integrasi dengan SACS / Aplikasi",IF(OR(ISNUMBER(SEARCH("mobile",V642&amp;" ")),ISNUMBER(SEARCH("lebih responsif",V642&amp;" ")),ISNUMBER(SEARCH("scroll",V642&amp;" ")),ISNUMBER(SEARCH("melebar",V642&amp;" "))),"Tampilan di HP (Responsif)",IF(OR(ISNUMBER(SEARCH("simpel",V642&amp;" ")),ISNUMBER(SEARCH("simple",V642&amp;" ")),ISNUMBER(SEARCH("sederhana",V642&amp;" ")),ISNUMBER(SEARCH("ringkas",V642&amp;" ")),ISNUMBER(SEARCH("intinya",V642&amp;" ")),ISNUMBER(SEARCH("panjang lebar",V642&amp;" ")),ISNUMBER(SEARCH("mudah dipahami lagi",V642&amp;" ")),ISNUMBER(SEARCH("tata letak",V642&amp;" ")),ISNUMBER(SEARCH("harus mencari",V642&amp;" "))),"Penyederhanaan &amp; Ringkas Isi",IF(OR(ISNUMBER(SEARCH("menu ",V642&amp;" ")),ISNUMBER(SEARCH("tiap posisi",V642&amp;" ")),ISNUMBER(SEARCH("pilihan antara",V642&amp;" "))),"Menu per Jabatan / Navigasi",IF(OR(ISNUMBER(SEARCH("video",V642&amp;" ")),ISNUMBER(SEARCH("vidio",V642&amp;" ")),ISNUMBER(SEARCH("bagan",V642&amp;" ")),ISNUMBER(SEARCH("gambar",V642&amp;" ")),ISNUMBER(SEARCH("qna",V642&amp;" "))),"Tambah Video / Bagan",IF(OR(ISNUMBER(SEARCH("menarik",V642&amp;" ")),ISNUMBER(SEARCH("design",V642&amp;" ")),ISNUMBER(SEARCH("desain",V642&amp;" ")),ISNUMBER(SEARCH("font",V642&amp;" ")),ISNUMBER(SEARCH("warna",V642&amp;" ")),ISNUMBER(SEARCH("soft",V642&amp;" ")),ISNUMBER(SEARCH("kaku",V642&amp;" ")),ISNUMBER(SEARCH("elegan",V642&amp;" ")),ISNUMBER(SEARCH("grafis",V642&amp;" ")),ISNUMBER(SEARCH("visual",V642&amp;" ")),ISNUMBER(SEARCH("logo",V642&amp;" ")),ISNUMBER(SEARCH("jenuh",V642&amp;" ")),ISNUMBER(SEARCH("abu",V642&amp;" ")),ISNUMBER(SEARCH("tampilannya",V642&amp;" ")),ISNUMBER(SEARCH("tampilan dibuat",V642&amp;" ")),ISNUMBER(SEARCH("tamoilan",V642&amp;" ")),ISNUMBER(SEARCH("lebih user friendly",V642&amp;" "))),"Desain, Warna &amp; Font",IF(OR(ISNUMBER(SEARCH("perbanyak",V642&amp;" ")),ISNUMBER(SEARCH("jabarkan",V642&amp;" ")),ISNUMBER(SEARCH("jobdesk",V642&amp;" ")),ISNUMBER(SEARCH("pengajuan",V642&amp;" ")),ISNUMBER(SEARCH("informasi",V642&amp;" "))),"Penambahan Isi / Penjelasan",IF(OR(ISNUMBER(SEARCH("tingkat",V642&amp;" ")),ISNUMBER(SEARCH("kembang",V642&amp;" ")),ISNUMBER(SEARCH("lebih baik lagi",V642&amp;" ")),ISNUMBER(SEARCH("maksimal",V642&amp;" ")),ISNUMBER(SEARCH("penikatan",V642&amp;" "))),"Saran Umum Peningkatan",IF(OR(ISNUMBER(SEARCH("tidak",V642&amp;" ")),ISNUMBER(SEARCH("tdk",V642&amp;" ")),ISNUMBER(SEARCH("sudah",V642&amp;" ")),ISNUMBER(SEARCH("sdh",V642&amp;" ")),ISNUMBER(SEARCH("cukup",V642&amp;" ")),ISNUMBER(SEARCH("baik",V642&amp;" ")),ISNUMBER(SEARCH("bagus",V642&amp;" ")),ISNUMBER(SEARCH("ok",V642&amp;" ")),ISNUMBER(SEARCH("good",V642&amp;" ")),ISNUMBER(SEARCH("aman",V642&amp;" ")),ISNUMBER(SEARCH("lanjut",V642&amp;" ")),ISNUMBER(SEARCH("mantap",V642&amp;" ")),ISNUMBER(SEARCH("josjis",V642&amp;" ")),ISNUMBER(SEARCH("lumayan",V642&amp;" ")),ISNUMBER(SEARCH("mudah",V642&amp;" ")),ISNUMBER(SEARCH("belum",V642&amp;" ")),ISNUMBER(SEARCH("membantu",V642&amp;" ")),ISNUMBER(SEARCH("comment",V642&amp;" ")),ISNUMBER(SEARCH("lengkap",V642&amp;" ")),ISNUMBER(SEARCH("tercakup",V642&amp;" ")),ISNUMBER(SEARCH("mencakup",V642&amp;" ")),ISNUMBER(SEARCH("semua",V642&amp;" ")),ISNUMBER(SEARCH("penting",V642&amp;" ")),ISNUMBER(SEARCH("terangkum",V642&amp;" ")),ISNUMBER(SEARCH("pas",V642&amp;" ")),ISNUMBER(SEARCH("berjalan",V642&amp;" ")),ISNUMBER(SEARCH("sesuai",V642&amp;" "))),"Tidak ada masukan / sudah baik","Lainnya (perlu dibaca manual)"))))))))))))))</f>
        <v/>
      </c>
      <c r="AA642" s="8" t="str">
        <f t="shared" ref="AA642:AA705" si="222">IF($A642="","",IF(LEN(SUBSTITUTE(SUBSTITUTE(SUBSTITUTE(W642,"-",""),".",""),"?",""))&lt;2,"Tidak ada masukan / sudah baik",IF(OR(ISNUMBER(SEARCH("tampilan",W642&amp;" ")),ISNUMBER(SEARCH("lemot",W642&amp;" "))),"Bukan Terkait SOP (Tampilan / Akses)",IF(OR(ISNUMBER(SEARCH("sanksi",W642&amp;" ")),ISNUMBER(SEARCH("pelanggaran",W642&amp;" ")),ISNUMBER(SEARCH("larangan",W642&amp;" ")),ISNUMBER(SEARCH("rekening pribadi",W642&amp;" "))),"Sanksi &amp; Pelanggaran SOP",IF(OR(ISNUMBER(SEARCH("npl",W642&amp;" ")),ISNUMBER(SEARCH("piutang",W642&amp;" ")),ISNUMBER(SEARCH("rekon",W642&amp;" ")),ISNUMBER(SEARCH("overdue",W642&amp;" ")),ISNUMBER(SEARCH("restruk",W642&amp;" ")),ISNUMBER(SEARCH("tempo",W642&amp;" "))),"Piutang &amp; Pelanggan Bermasalah",IF(OR(ISNUMBER(SEARCH("kiriman",W642&amp;" ")),ISNUMBER(SEARCH("pengiriman",W642&amp;" ")),ISNUMBER(SEARCH("retur",W642&amp;" ")),ISNUMBER(SEARCH("barang",W642&amp;" "))),"Pengiriman, Retur &amp; Logistik",IF(OR(ISNUMBER(SEARCH("contact",W642&amp;" ")),ISNUMBER(SEARCH("kontak",W642&amp;" ")),ISNUMBER(SEARCH("pic",W642&amp;" ")),ISNUMBER(SEARCH("berwenang",W642&amp;" ")),ISNUMBER(SEARCH("follow up",W642&amp;" ")),ISNUMBER(SEARCH("eskalasi",W642&amp;" "))),"Kontak PIC &amp; Eskalasi",IF(OR(ISNUMBER(SEARCH("laporan evaluasi",W642&amp;" ")),ISNUMBER(SEARCH("aplikasi cp",W642&amp;" ")),ISNUMBER(SEARCH("flowchart",W642&amp;" ")),ISNUMBER(SEARCH("acuan",W642&amp;" ")),ISNUMBER(SEARCH("poa",W642&amp;" ")),ISNUMBER(SEARCH("aktifitas",W642&amp;" ")),ISNUMBER(SEARCH("aktivitas",W642&amp;" "))),"Panduan Laporan &amp; Alur Kerja",IF(OR(ISNUMBER(SEARCH("notifikasi",W642&amp;" ")),ISNUMBER(SEARCH("pembaruan",W642&amp;" ")),ISNUMBER(SEARCH("perubahan",W642&amp;" ")),ISNUMBER(SEARCH("update",W642&amp;" "))),"Pembaruan &amp; Notifikasi SOP",IF(OR(ISNUMBER(SEARCH("tidak",W642&amp;" ")),ISNUMBER(SEARCH("tdk",W642&amp;" ")),ISNUMBER(SEARCH("sudah",W642&amp;" ")),ISNUMBER(SEARCH("sdh",W642&amp;" ")),ISNUMBER(SEARCH("cukup",W642&amp;" ")),ISNUMBER(SEARCH("baik",W642&amp;" ")),ISNUMBER(SEARCH("bagus",W642&amp;" ")),ISNUMBER(SEARCH("ok",W642&amp;" ")),ISNUMBER(SEARCH("good",W642&amp;" ")),ISNUMBER(SEARCH("aman",W642&amp;" ")),ISNUMBER(SEARCH("lanjut",W642&amp;" ")),ISNUMBER(SEARCH("mantap",W642&amp;" ")),ISNUMBER(SEARCH("josjis",W642&amp;" ")),ISNUMBER(SEARCH("lumayan",W642&amp;" ")),ISNUMBER(SEARCH("mudah",W642&amp;" ")),ISNUMBER(SEARCH("belum",W642&amp;" ")),ISNUMBER(SEARCH("membantu",W642&amp;" ")),ISNUMBER(SEARCH("comment",W642&amp;" ")),ISNUMBER(SEARCH("lengkap",W642&amp;" ")),ISNUMBER(SEARCH("tercakup",W642&amp;" ")),ISNUMBER(SEARCH("mencakup",W642&amp;" ")),ISNUMBER(SEARCH("semua",W642&amp;" ")),ISNUMBER(SEARCH("penting",W642&amp;" ")),ISNUMBER(SEARCH("terangkum",W642&amp;" ")),ISNUMBER(SEARCH("pas",W642&amp;" ")),ISNUMBER(SEARCH("berjalan",W642&amp;" ")),ISNUMBER(SEARCH("sesuai",W642&amp;" "))),"Tidak ada masukan / sudah baik","Lainnya (perlu dibaca manual)"))))))))))</f>
        <v/>
      </c>
      <c r="AB642" s="8" t="str">
        <f t="shared" ref="AB642:AB705" si="223">IF($A642="","",IF(LEN(SUBSTITUTE(SUBSTITUTE(SUBSTITUTE(X642,"-",""),".",""),"?",""))&lt;2,"Tidak ada masukan / sudah baik",IF(OR(ISNUMBER(SEARCH("urgent",X642&amp;" "))),"Lainnya (perlu dibaca manual)",IF(OR(ISNUMBER(SEARCH("struktur organisasi",X642&amp;" ")),ISNUMBER(SEARCH("pic",X642&amp;" ")),ISNUMBER(SEARCH("cp",X642&amp;" ")),ISNUMBER(SEARCH("personil",X642&amp;" ")),ISNUMBER(SEARCH("sales",X642&amp;" ")),ISNUMBER(SEARCH("muka",X642&amp;" ")),ISNUMBER(SEARCH("eskalasi",X642&amp;" "))),"Struktur Organisasi, PIC &amp; Tim",IF(OR(ISNUMBER(SEARCH("lemot",X642&amp;" ")),ISNUMBER(SEARCH("lambat",X642&amp;" ")),ISNUMBER(SEARCH("memuat",X642&amp;" ")),ISNUMBER(SEARCH("koneksi",X642&amp;" "))),"Kecepatan Akses Website",IF(OR(ISNUMBER(SEARCH("sacs",X642&amp;" ")),ISNUMBER(SEARCH("aplikasi",X642&amp;" "))),"Integrasi ke SACS / Aplikasi Kerja",IF(OR(ISNUMBER(SEARCH("dashboard",X642&amp;" ")),ISNUMBER(SEARCH("kpi",X642&amp;" ")),ISNUMBER(SEARCH("database",X642&amp;" ")),ISNUMBER(SEARCH("kinerja",X642&amp;" ")),ISNUMBER(SEARCH("seluruh cabang",X642&amp;" "))),"Fitur Baru (Dashboard / KPI / Database)",IF(OR(ISNUMBER(SEARCH("video",X642&amp;" ")),ISNUMBER(SEARCH("gambar",X642&amp;" ")),ISNUMBER(SEARCH("jpg",X642&amp;" ")),ISNUMBER(SEARCH("flowchart",X642&amp;" ")),ISNUMBER(SEARCH("tutorial",X642&amp;" "))),"Tambah Video / Gambar / Flowchart",IF(OR(ISNUMBER(SEARCH("template",X642&amp;" ")),ISNUMBER(SEARCH("surat",X642&amp;" ")),ISNUMBER(SEARCH("korin",X642&amp;" ")),ISNUMBER(SEARCH("overdue",X642&amp;" ")),ISNUMBER(SEARCH("restruk",X642&amp;" ")),ISNUMBER(SEARCH("tempo",X642&amp;" ")),ISNUMBER(SEARCH("larangan",X642&amp;" ")),ISNUMBER(SEARCH("posisi lain",X642&amp;" ")),ISNUMBER(SEARCH("jobdesk",X642&amp;" ")),ISNUMBER(SEARCH("jobdisk",X642&amp;" ")),ISNUMBER(SEARCH("langkah",X642&amp;" ")),ISNUMBER(SEARCH("detail",X642&amp;" ")),ISNUMBER(SEARCH("panduan",X642&amp;" ")),ISNUMBER(SEARCH("lengkap lagi",X642&amp;" ")),ISNUMBER(SEARCH("tips",X642&amp;" "))),"Penambahan Materi &amp; Template",IF(OR(ISNUMBER(SEARCH("simpel",X642&amp;" ")),ISNUMBER(SEARCH("simple",X642&amp;" ")),ISNUMBER(SEARCH("ringkas",X642&amp;" ")),ISNUMBER(SEARCH("monoton",X642&amp;" ")),ISNUMBER(SEARCH("penataan",X642&amp;" "))),"Penyederhanaan Isi",IF(OR(ISNUMBER(SEARCH("menarik",X642&amp;" ")),ISNUMBER(SEARCH("design",X642&amp;" ")),ISNUMBER(SEARCH("desain",X642&amp;" ")),ISNUMBER(SEARCH("tampilan",X642&amp;" ")),ISNUMBER(SEARCH("kaku",X642&amp;" ")),ISNUMBER(SEARCH("user friendly",X642&amp;" "))),"Desain Tampilan",IF(OR(ISNUMBER(SEARCH("update",X642&amp;" ")),ISNUMBER(SEARCH("terbaru",X642&amp;" ")),ISNUMBER(SEARCH("terkini",X642&amp;" ")),ISNUMBER(SEARCH("uptodate",X642&amp;" "))),"Update Informasi Berkala",IF(OR(ISNUMBER(SEARCH("tingkat",X642&amp;" ")),ISNUMBER(SEARCH("kembang",X642&amp;" ")),ISNUMBER(SEARCH("inovasi",X642&amp;" ")),ISNUMBER(SEARCH("maintenance",X642&amp;" "))),"Saran Umum Peningkatan",IF(OR(ISNUMBER(SEARCH("tidak",X642&amp;" ")),ISNUMBER(SEARCH("tdk",X642&amp;" ")),ISNUMBER(SEARCH("sudah",X642&amp;" ")),ISNUMBER(SEARCH("sdh",X642&amp;" ")),ISNUMBER(SEARCH("cukup",X642&amp;" ")),ISNUMBER(SEARCH("baik",X642&amp;" ")),ISNUMBER(SEARCH("bagus",X642&amp;" ")),ISNUMBER(SEARCH("ok",X642&amp;" ")),ISNUMBER(SEARCH("good",X642&amp;" ")),ISNUMBER(SEARCH("aman",X642&amp;" ")),ISNUMBER(SEARCH("lanjut",X642&amp;" ")),ISNUMBER(SEARCH("mantap",X642&amp;" ")),ISNUMBER(SEARCH("josjis",X642&amp;" ")),ISNUMBER(SEARCH("lumayan",X642&amp;" ")),ISNUMBER(SEARCH("mudah",X642&amp;" ")),ISNUMBER(SEARCH("belum",X642&amp;" ")),ISNUMBER(SEARCH("membantu",X642&amp;" ")),ISNUMBER(SEARCH("comment",X642&amp;" ")),ISNUMBER(SEARCH("lengkap",X642&amp;" ")),ISNUMBER(SEARCH("tercakup",X642&amp;" ")),ISNUMBER(SEARCH("mencakup",X642&amp;" ")),ISNUMBER(SEARCH("semua",X642&amp;" ")),ISNUMBER(SEARCH("penting",X642&amp;" ")),ISNUMBER(SEARCH("terangkum",X642&amp;" ")),ISNUMBER(SEARCH("pas",X642&amp;" ")),ISNUMBER(SEARCH("berjalan",X642&amp;" ")),ISNUMBER(SEARCH("sesuai",X642&amp;" "))),"Tidak ada masukan / sudah baik","Lainnya (perlu dibaca manual)"))))))))))))))</f>
        <v/>
      </c>
      <c r="AC642" s="8"/>
      <c r="AD642" s="8"/>
      <c r="AE642" s="8"/>
      <c r="AK642" s="5" t="str">
        <f t="shared" ref="AK642:AK705" si="224">IF($A642="","",IF(OR($Z642="Kecepatan &amp; Loading Website",$AB642="Kecepatan Akses Website",AND($AA642="Bukan Terkait SOP (Tampilan / Akses)",OR(ISNUMBER(SEARCH("lemot",$W642)),ISNUMBER(SEARCH("loading",$W642)),ISNUMBER(SEARCH("lambat",$W642))))),1,0))</f>
        <v/>
      </c>
      <c r="AL642" s="5" t="str">
        <f t="shared" ref="AL642:AL705" si="225">IF($A642="","",IF(OR($Z642="Tampilan di HP (Responsif)"),1,0))</f>
        <v/>
      </c>
      <c r="AM642" s="5" t="str">
        <f t="shared" ref="AM642:AM705" si="226">IF($A642="","",IF(OR($Z642="Desain, Warna &amp; Font",$AB642="Desain Tampilan",AND($AA642="Bukan Terkait SOP (Tampilan / Akses)",NOT(OR(ISNUMBER(SEARCH("lemot",$W642)),ISNUMBER(SEARCH("loading",$W642)),ISNUMBER(SEARCH("lambat",$W642)))))),1,0))</f>
        <v/>
      </c>
      <c r="AN642" s="5" t="str">
        <f t="shared" ref="AN642:AN705" si="227">IF($A642="","",IF(OR($Z642="Menu per Jabatan / Navigasi"),1,0))</f>
        <v/>
      </c>
      <c r="AO642" s="5" t="str">
        <f t="shared" ref="AO642:AO705" si="228">IF($A642="","",IF(OR($Z642="Integrasi dengan SACS / Aplikasi",$AB642="Integrasi ke SACS / Aplikasi Kerja"),1,0))</f>
        <v/>
      </c>
      <c r="AP642" s="5" t="str">
        <f t="shared" ref="AP642:AP705" si="229">IF($A642="","",IF(OR($AB642="Fitur Baru (Dashboard / KPI / Database)"),1,0))</f>
        <v/>
      </c>
      <c r="AQ642" s="5" t="str">
        <f t="shared" ref="AQ642:AQ705" si="230">IF($A642="","",IF(OR($Z642="Penyederhanaan &amp; Ringkas Isi",$AB642="Penyederhanaan Isi"),1,0))</f>
        <v/>
      </c>
      <c r="AR642" s="5" t="str">
        <f t="shared" ref="AR642:AR705" si="231">IF($A642="","",IF(OR($Z642="Penambahan Isi / Penjelasan",$AB642="Penambahan Materi &amp; Template"),1,0))</f>
        <v/>
      </c>
      <c r="AS642" s="5" t="str">
        <f t="shared" ref="AS642:AS705" si="232">IF($A642="","",IF(OR($Z642="Tambah Video / Bagan",$AB642="Tambah Video / Gambar / Flowchart"),1,0))</f>
        <v/>
      </c>
      <c r="AT642" s="5" t="str">
        <f t="shared" ref="AT642:AT705" si="233">IF($A642="","",IF(OR($Z642="Kontak &amp; Informasi PIC",$AA642="Kontak PIC &amp; Eskalasi",$AB642="Struktur Organisasi, PIC &amp; Tim"),1,0))</f>
        <v/>
      </c>
      <c r="AU642" s="5" t="str">
        <f t="shared" ref="AU642:AU705" si="234">IF($A642="","",IF(OR($AA642="Pembaruan &amp; Notifikasi SOP",$AB642="Update Informasi Berkala"),1,0))</f>
        <v/>
      </c>
      <c r="AV642" s="5" t="str">
        <f t="shared" ref="AV642:AV705" si="235">IF($A642="","",IF(OR($AA642="Sanksi &amp; Pelanggaran SOP"),1,0))</f>
        <v/>
      </c>
      <c r="AW642" s="5" t="str">
        <f t="shared" ref="AW642:AW705" si="236">IF($A642="","",IF(OR($AA642="Piutang &amp; Pelanggan Bermasalah"),1,0))</f>
        <v/>
      </c>
      <c r="AX642" s="5" t="str">
        <f t="shared" ref="AX642:AX705" si="237">IF($A642="","",IF(OR($AA642="Pengiriman, Retur &amp; Logistik"),1,0))</f>
        <v/>
      </c>
      <c r="AY642" s="5" t="str">
        <f t="shared" ref="AY642:AY705" si="238">IF($A642="","",IF(OR($AA642="Panduan Laporan &amp; Alur Kerja"),1,0))</f>
        <v/>
      </c>
      <c r="AZ642" s="5" t="str">
        <f t="shared" ref="AZ642:AZ705" si="239">IF($A642="","",IF(OR($Z642="Saran Umum Peningkatan",$AB642="Saran Umum Peningkatan"),1,0))</f>
        <v/>
      </c>
      <c r="BA642" s="5" t="str">
        <f t="shared" ref="BA642:BA705" si="240">IF($A642="","",IF(OR($Z642="Lainnya (perlu dibaca manual)",$AA642="Lainnya (perlu dibaca manual)",$AB642="Lainnya (perlu dibaca manual)"),1,0))</f>
        <v/>
      </c>
      <c r="BB642" s="5" t="str">
        <f t="shared" ref="BB642:BB705" si="241">IF($A642="","",IF(AND($Z642="Tidak ada masukan / sudah baik",$AA642="Tidak ada masukan / sudah baik",$AB642="Tidak ada masukan / sudah baik"),0,1))</f>
        <v/>
      </c>
    </row>
    <row r="643" spans="1:54" s="5" customFormat="1" hidden="1">
      <c r="A643" s="8" t="str">
        <f>IF(INDEX(FORM!$A:$A,ROW())="","",ROW()-1)</f>
        <v/>
      </c>
      <c r="B643" s="41" t="str">
        <f>IF($A643="","",INDEX(FORM!$A:$A,ROW()))</f>
        <v/>
      </c>
      <c r="C643" s="8" t="str">
        <f>IF($A643="","",TRIM(INDEX(FORM!$B:$B,ROW())))</f>
        <v/>
      </c>
      <c r="D643" s="8" t="str">
        <f>IF($A643="","",TRIM(INDEX(FORM!$C:$C,ROW())&amp;""))</f>
        <v/>
      </c>
      <c r="E643" s="8" t="str">
        <f>IF($A643="","",UPPER(TRIM(INDEX(FORM!$D:$D,ROW()))))</f>
        <v/>
      </c>
      <c r="F643" s="8" t="str">
        <f>IF($A643="","",IFERROR(INDEX(PROGRES!$A$2:$A$92,MATCH(E643,PROGRES!$B$2:$B$92,0)),"-"))</f>
        <v/>
      </c>
      <c r="G643" s="8" t="str">
        <f>IF($A643="","",UPPER(TRIM(INDEX(FORM!$F:$F,ROW()))))</f>
        <v/>
      </c>
      <c r="H643" s="8" t="str">
        <f>IF($A643="","",UPPER(TRIM(INDEX(FORM!$E:$E,ROW()))))</f>
        <v/>
      </c>
      <c r="I643" s="8" t="str">
        <f>IF($A643="","",UPPER(TRIM(INDEX(FORM!$G:$G,ROW()))))</f>
        <v/>
      </c>
      <c r="J643" s="8" t="str">
        <f>IF($A643="","",IF(ISNUMBER(SEARCH("Ya,",INDEX(FORM!$H:$H,ROW()))),"YA",IF(ISNUMBER(SEARCH("Cukup,",INDEX(FORM!$H:$H,ROW()))),"CUKUP",IF(ISNUMBER(SEARCH("Kurang,",INDEX(FORM!$H:$H,ROW()))),"KURANG",""))))</f>
        <v/>
      </c>
      <c r="K643" s="8" t="str">
        <f>IF($A643="","",UPPER(TRIM(INDEX(FORM!$J:$J,ROW()))))</f>
        <v/>
      </c>
      <c r="L643" s="8" t="str">
        <f>IF($A643="","",IF(ISNUMBER(SEARCH("Aktivitas Harian",INDEX(FORM!$K:$K,ROW()))),1,0))</f>
        <v/>
      </c>
      <c r="M643" s="8" t="str">
        <f>IF($A643="","",IF(ISNUMBER(SEARCH("Aktivitas Mingguan",INDEX(FORM!$K:$K,ROW()))),1,0))</f>
        <v/>
      </c>
      <c r="N643" s="8" t="str">
        <f>IF($A643="","",IF(ISNUMBER(SEARCH("Aktivitas Bulanan",INDEX(FORM!$K:$K,ROW()))),1,0))</f>
        <v/>
      </c>
      <c r="O643" s="8" t="str">
        <f>IF($A643="","",IF(ISNUMBER(SEARCH("Overview Cabang",INDEX(FORM!$K:$K,ROW()))),1,0))</f>
        <v/>
      </c>
      <c r="P643" s="8" t="str">
        <f>IF($A643="","",IFERROR(VLOOKUP(I643,DATA!$AH$9:$AI$13,2,0),""))</f>
        <v/>
      </c>
      <c r="Q643" s="8" t="str">
        <f>IF($A643="","",IFERROR(VLOOKUP(J643,DATA!$AH$9:$AI$13,2,0),""))</f>
        <v/>
      </c>
      <c r="R643" s="8" t="str">
        <f>IF($A643="","",IFERROR(VLOOKUP(K643,DATA!$AH$9:$AI$13,2,0),""))</f>
        <v/>
      </c>
      <c r="S643" s="42" t="str">
        <f t="shared" si="220"/>
        <v/>
      </c>
      <c r="T643" s="8" t="str">
        <f>IF($A643="","",IF(COUNTIF($D$2:D643,D643)=1,1,0))</f>
        <v/>
      </c>
      <c r="U643" s="8" t="str">
        <f>IF($A643="","",IF(F643="-","Cabang tdk ada",IF(IFERROR(VLOOKUP(G643,#REF!,1,0),"")="","",IF(INDEX(DATA!$AH$2:$AH$5,MATCH(G643,DATA!$AI$2:$AI$5,0))&lt;&gt;F643,"Wilayah beda","OK"))))</f>
        <v/>
      </c>
      <c r="V643" s="8" t="str">
        <f>IF($A643="","",TRIM(INDEX(FORM!$I:$I,ROW())&amp;""))</f>
        <v/>
      </c>
      <c r="W643" s="8" t="str">
        <f>IF($A643="","",TRIM(INDEX(FORM!$L:$L,ROW())&amp;""))</f>
        <v/>
      </c>
      <c r="X643" s="8" t="str">
        <f>IF($A643="","",TRIM(INDEX(FORM!$M:$M,ROW())&amp;""))</f>
        <v/>
      </c>
      <c r="Y643" s="8" t="str">
        <f>IF($A643="","",IFERROR(MATCH(F643,DATA!$AH$2:$AH$5,0),9)*10000+A643)</f>
        <v/>
      </c>
      <c r="Z643" s="8" t="str">
        <f t="shared" si="221"/>
        <v/>
      </c>
      <c r="AA643" s="8" t="str">
        <f t="shared" si="222"/>
        <v/>
      </c>
      <c r="AB643" s="8" t="str">
        <f t="shared" si="223"/>
        <v/>
      </c>
      <c r="AC643" s="8"/>
      <c r="AD643" s="8"/>
      <c r="AE643" s="8"/>
      <c r="AK643" s="5" t="str">
        <f t="shared" si="224"/>
        <v/>
      </c>
      <c r="AL643" s="5" t="str">
        <f t="shared" si="225"/>
        <v/>
      </c>
      <c r="AM643" s="5" t="str">
        <f t="shared" si="226"/>
        <v/>
      </c>
      <c r="AN643" s="5" t="str">
        <f t="shared" si="227"/>
        <v/>
      </c>
      <c r="AO643" s="5" t="str">
        <f t="shared" si="228"/>
        <v/>
      </c>
      <c r="AP643" s="5" t="str">
        <f t="shared" si="229"/>
        <v/>
      </c>
      <c r="AQ643" s="5" t="str">
        <f t="shared" si="230"/>
        <v/>
      </c>
      <c r="AR643" s="5" t="str">
        <f t="shared" si="231"/>
        <v/>
      </c>
      <c r="AS643" s="5" t="str">
        <f t="shared" si="232"/>
        <v/>
      </c>
      <c r="AT643" s="5" t="str">
        <f t="shared" si="233"/>
        <v/>
      </c>
      <c r="AU643" s="5" t="str">
        <f t="shared" si="234"/>
        <v/>
      </c>
      <c r="AV643" s="5" t="str">
        <f t="shared" si="235"/>
        <v/>
      </c>
      <c r="AW643" s="5" t="str">
        <f t="shared" si="236"/>
        <v/>
      </c>
      <c r="AX643" s="5" t="str">
        <f t="shared" si="237"/>
        <v/>
      </c>
      <c r="AY643" s="5" t="str">
        <f t="shared" si="238"/>
        <v/>
      </c>
      <c r="AZ643" s="5" t="str">
        <f t="shared" si="239"/>
        <v/>
      </c>
      <c r="BA643" s="5" t="str">
        <f t="shared" si="240"/>
        <v/>
      </c>
      <c r="BB643" s="5" t="str">
        <f t="shared" si="241"/>
        <v/>
      </c>
    </row>
    <row r="644" spans="1:54" s="5" customFormat="1" hidden="1">
      <c r="A644" s="8" t="str">
        <f>IF(INDEX(FORM!$A:$A,ROW())="","",ROW()-1)</f>
        <v/>
      </c>
      <c r="B644" s="41" t="str">
        <f>IF($A644="","",INDEX(FORM!$A:$A,ROW()))</f>
        <v/>
      </c>
      <c r="C644" s="8" t="str">
        <f>IF($A644="","",TRIM(INDEX(FORM!$B:$B,ROW())))</f>
        <v/>
      </c>
      <c r="D644" s="8" t="str">
        <f>IF($A644="","",TRIM(INDEX(FORM!$C:$C,ROW())&amp;""))</f>
        <v/>
      </c>
      <c r="E644" s="8" t="str">
        <f>IF($A644="","",UPPER(TRIM(INDEX(FORM!$D:$D,ROW()))))</f>
        <v/>
      </c>
      <c r="F644" s="8" t="str">
        <f>IF($A644="","",IFERROR(INDEX(PROGRES!$A$2:$A$92,MATCH(E644,PROGRES!$B$2:$B$92,0)),"-"))</f>
        <v/>
      </c>
      <c r="G644" s="8" t="str">
        <f>IF($A644="","",UPPER(TRIM(INDEX(FORM!$F:$F,ROW()))))</f>
        <v/>
      </c>
      <c r="H644" s="8" t="str">
        <f>IF($A644="","",UPPER(TRIM(INDEX(FORM!$E:$E,ROW()))))</f>
        <v/>
      </c>
      <c r="I644" s="8" t="str">
        <f>IF($A644="","",UPPER(TRIM(INDEX(FORM!$G:$G,ROW()))))</f>
        <v/>
      </c>
      <c r="J644" s="8" t="str">
        <f>IF($A644="","",IF(ISNUMBER(SEARCH("Ya,",INDEX(FORM!$H:$H,ROW()))),"YA",IF(ISNUMBER(SEARCH("Cukup,",INDEX(FORM!$H:$H,ROW()))),"CUKUP",IF(ISNUMBER(SEARCH("Kurang,",INDEX(FORM!$H:$H,ROW()))),"KURANG",""))))</f>
        <v/>
      </c>
      <c r="K644" s="8" t="str">
        <f>IF($A644="","",UPPER(TRIM(INDEX(FORM!$J:$J,ROW()))))</f>
        <v/>
      </c>
      <c r="L644" s="8" t="str">
        <f>IF($A644="","",IF(ISNUMBER(SEARCH("Aktivitas Harian",INDEX(FORM!$K:$K,ROW()))),1,0))</f>
        <v/>
      </c>
      <c r="M644" s="8" t="str">
        <f>IF($A644="","",IF(ISNUMBER(SEARCH("Aktivitas Mingguan",INDEX(FORM!$K:$K,ROW()))),1,0))</f>
        <v/>
      </c>
      <c r="N644" s="8" t="str">
        <f>IF($A644="","",IF(ISNUMBER(SEARCH("Aktivitas Bulanan",INDEX(FORM!$K:$K,ROW()))),1,0))</f>
        <v/>
      </c>
      <c r="O644" s="8" t="str">
        <f>IF($A644="","",IF(ISNUMBER(SEARCH("Overview Cabang",INDEX(FORM!$K:$K,ROW()))),1,0))</f>
        <v/>
      </c>
      <c r="P644" s="8" t="str">
        <f>IF($A644="","",IFERROR(VLOOKUP(I644,DATA!$AH$9:$AI$13,2,0),""))</f>
        <v/>
      </c>
      <c r="Q644" s="8" t="str">
        <f>IF($A644="","",IFERROR(VLOOKUP(J644,DATA!$AH$9:$AI$13,2,0),""))</f>
        <v/>
      </c>
      <c r="R644" s="8" t="str">
        <f>IF($A644="","",IFERROR(VLOOKUP(K644,DATA!$AH$9:$AI$13,2,0),""))</f>
        <v/>
      </c>
      <c r="S644" s="42" t="str">
        <f t="shared" si="220"/>
        <v/>
      </c>
      <c r="T644" s="8" t="str">
        <f>IF($A644="","",IF(COUNTIF($D$2:D644,D644)=1,1,0))</f>
        <v/>
      </c>
      <c r="U644" s="8" t="str">
        <f>IF($A644="","",IF(F644="-","Cabang tdk ada",IF(IFERROR(VLOOKUP(G644,#REF!,1,0),"")="","",IF(INDEX(DATA!$AH$2:$AH$5,MATCH(G644,DATA!$AI$2:$AI$5,0))&lt;&gt;F644,"Wilayah beda","OK"))))</f>
        <v/>
      </c>
      <c r="V644" s="8" t="str">
        <f>IF($A644="","",TRIM(INDEX(FORM!$I:$I,ROW())&amp;""))</f>
        <v/>
      </c>
      <c r="W644" s="8" t="str">
        <f>IF($A644="","",TRIM(INDEX(FORM!$L:$L,ROW())&amp;""))</f>
        <v/>
      </c>
      <c r="X644" s="8" t="str">
        <f>IF($A644="","",TRIM(INDEX(FORM!$M:$M,ROW())&amp;""))</f>
        <v/>
      </c>
      <c r="Y644" s="8" t="str">
        <f>IF($A644="","",IFERROR(MATCH(F644,DATA!$AH$2:$AH$5,0),9)*10000+A644)</f>
        <v/>
      </c>
      <c r="Z644" s="8" t="str">
        <f t="shared" si="221"/>
        <v/>
      </c>
      <c r="AA644" s="8" t="str">
        <f t="shared" si="222"/>
        <v/>
      </c>
      <c r="AB644" s="8" t="str">
        <f t="shared" si="223"/>
        <v/>
      </c>
      <c r="AC644" s="8"/>
      <c r="AD644" s="8"/>
      <c r="AE644" s="8"/>
      <c r="AK644" s="5" t="str">
        <f t="shared" si="224"/>
        <v/>
      </c>
      <c r="AL644" s="5" t="str">
        <f t="shared" si="225"/>
        <v/>
      </c>
      <c r="AM644" s="5" t="str">
        <f t="shared" si="226"/>
        <v/>
      </c>
      <c r="AN644" s="5" t="str">
        <f t="shared" si="227"/>
        <v/>
      </c>
      <c r="AO644" s="5" t="str">
        <f t="shared" si="228"/>
        <v/>
      </c>
      <c r="AP644" s="5" t="str">
        <f t="shared" si="229"/>
        <v/>
      </c>
      <c r="AQ644" s="5" t="str">
        <f t="shared" si="230"/>
        <v/>
      </c>
      <c r="AR644" s="5" t="str">
        <f t="shared" si="231"/>
        <v/>
      </c>
      <c r="AS644" s="5" t="str">
        <f t="shared" si="232"/>
        <v/>
      </c>
      <c r="AT644" s="5" t="str">
        <f t="shared" si="233"/>
        <v/>
      </c>
      <c r="AU644" s="5" t="str">
        <f t="shared" si="234"/>
        <v/>
      </c>
      <c r="AV644" s="5" t="str">
        <f t="shared" si="235"/>
        <v/>
      </c>
      <c r="AW644" s="5" t="str">
        <f t="shared" si="236"/>
        <v/>
      </c>
      <c r="AX644" s="5" t="str">
        <f t="shared" si="237"/>
        <v/>
      </c>
      <c r="AY644" s="5" t="str">
        <f t="shared" si="238"/>
        <v/>
      </c>
      <c r="AZ644" s="5" t="str">
        <f t="shared" si="239"/>
        <v/>
      </c>
      <c r="BA644" s="5" t="str">
        <f t="shared" si="240"/>
        <v/>
      </c>
      <c r="BB644" s="5" t="str">
        <f t="shared" si="241"/>
        <v/>
      </c>
    </row>
    <row r="645" spans="1:54" s="5" customFormat="1" hidden="1">
      <c r="A645" s="8" t="str">
        <f>IF(INDEX(FORM!$A:$A,ROW())="","",ROW()-1)</f>
        <v/>
      </c>
      <c r="B645" s="41" t="str">
        <f>IF($A645="","",INDEX(FORM!$A:$A,ROW()))</f>
        <v/>
      </c>
      <c r="C645" s="8" t="str">
        <f>IF($A645="","",TRIM(INDEX(FORM!$B:$B,ROW())))</f>
        <v/>
      </c>
      <c r="D645" s="8" t="str">
        <f>IF($A645="","",TRIM(INDEX(FORM!$C:$C,ROW())&amp;""))</f>
        <v/>
      </c>
      <c r="E645" s="8" t="str">
        <f>IF($A645="","",UPPER(TRIM(INDEX(FORM!$D:$D,ROW()))))</f>
        <v/>
      </c>
      <c r="F645" s="8" t="str">
        <f>IF($A645="","",IFERROR(INDEX(PROGRES!$A$2:$A$92,MATCH(E645,PROGRES!$B$2:$B$92,0)),"-"))</f>
        <v/>
      </c>
      <c r="G645" s="8" t="str">
        <f>IF($A645="","",UPPER(TRIM(INDEX(FORM!$F:$F,ROW()))))</f>
        <v/>
      </c>
      <c r="H645" s="8" t="str">
        <f>IF($A645="","",UPPER(TRIM(INDEX(FORM!$E:$E,ROW()))))</f>
        <v/>
      </c>
      <c r="I645" s="8" t="str">
        <f>IF($A645="","",UPPER(TRIM(INDEX(FORM!$G:$G,ROW()))))</f>
        <v/>
      </c>
      <c r="J645" s="8" t="str">
        <f>IF($A645="","",IF(ISNUMBER(SEARCH("Ya,",INDEX(FORM!$H:$H,ROW()))),"YA",IF(ISNUMBER(SEARCH("Cukup,",INDEX(FORM!$H:$H,ROW()))),"CUKUP",IF(ISNUMBER(SEARCH("Kurang,",INDEX(FORM!$H:$H,ROW()))),"KURANG",""))))</f>
        <v/>
      </c>
      <c r="K645" s="8" t="str">
        <f>IF($A645="","",UPPER(TRIM(INDEX(FORM!$J:$J,ROW()))))</f>
        <v/>
      </c>
      <c r="L645" s="8" t="str">
        <f>IF($A645="","",IF(ISNUMBER(SEARCH("Aktivitas Harian",INDEX(FORM!$K:$K,ROW()))),1,0))</f>
        <v/>
      </c>
      <c r="M645" s="8" t="str">
        <f>IF($A645="","",IF(ISNUMBER(SEARCH("Aktivitas Mingguan",INDEX(FORM!$K:$K,ROW()))),1,0))</f>
        <v/>
      </c>
      <c r="N645" s="8" t="str">
        <f>IF($A645="","",IF(ISNUMBER(SEARCH("Aktivitas Bulanan",INDEX(FORM!$K:$K,ROW()))),1,0))</f>
        <v/>
      </c>
      <c r="O645" s="8" t="str">
        <f>IF($A645="","",IF(ISNUMBER(SEARCH("Overview Cabang",INDEX(FORM!$K:$K,ROW()))),1,0))</f>
        <v/>
      </c>
      <c r="P645" s="8" t="str">
        <f>IF($A645="","",IFERROR(VLOOKUP(I645,DATA!$AH$9:$AI$13,2,0),""))</f>
        <v/>
      </c>
      <c r="Q645" s="8" t="str">
        <f>IF($A645="","",IFERROR(VLOOKUP(J645,DATA!$AH$9:$AI$13,2,0),""))</f>
        <v/>
      </c>
      <c r="R645" s="8" t="str">
        <f>IF($A645="","",IFERROR(VLOOKUP(K645,DATA!$AH$9:$AI$13,2,0),""))</f>
        <v/>
      </c>
      <c r="S645" s="42" t="str">
        <f t="shared" si="220"/>
        <v/>
      </c>
      <c r="T645" s="8" t="str">
        <f>IF($A645="","",IF(COUNTIF($D$2:D645,D645)=1,1,0))</f>
        <v/>
      </c>
      <c r="U645" s="8" t="str">
        <f>IF($A645="","",IF(F645="-","Cabang tdk ada",IF(IFERROR(VLOOKUP(G645,#REF!,1,0),"")="","",IF(INDEX(DATA!$AH$2:$AH$5,MATCH(G645,DATA!$AI$2:$AI$5,0))&lt;&gt;F645,"Wilayah beda","OK"))))</f>
        <v/>
      </c>
      <c r="V645" s="8" t="str">
        <f>IF($A645="","",TRIM(INDEX(FORM!$I:$I,ROW())&amp;""))</f>
        <v/>
      </c>
      <c r="W645" s="8" t="str">
        <f>IF($A645="","",TRIM(INDEX(FORM!$L:$L,ROW())&amp;""))</f>
        <v/>
      </c>
      <c r="X645" s="8" t="str">
        <f>IF($A645="","",TRIM(INDEX(FORM!$M:$M,ROW())&amp;""))</f>
        <v/>
      </c>
      <c r="Y645" s="8" t="str">
        <f>IF($A645="","",IFERROR(MATCH(F645,DATA!$AH$2:$AH$5,0),9)*10000+A645)</f>
        <v/>
      </c>
      <c r="Z645" s="8" t="str">
        <f t="shared" si="221"/>
        <v/>
      </c>
      <c r="AA645" s="8" t="str">
        <f t="shared" si="222"/>
        <v/>
      </c>
      <c r="AB645" s="8" t="str">
        <f t="shared" si="223"/>
        <v/>
      </c>
      <c r="AC645" s="8"/>
      <c r="AD645" s="8"/>
      <c r="AE645" s="8"/>
      <c r="AK645" s="5" t="str">
        <f t="shared" si="224"/>
        <v/>
      </c>
      <c r="AL645" s="5" t="str">
        <f t="shared" si="225"/>
        <v/>
      </c>
      <c r="AM645" s="5" t="str">
        <f t="shared" si="226"/>
        <v/>
      </c>
      <c r="AN645" s="5" t="str">
        <f t="shared" si="227"/>
        <v/>
      </c>
      <c r="AO645" s="5" t="str">
        <f t="shared" si="228"/>
        <v/>
      </c>
      <c r="AP645" s="5" t="str">
        <f t="shared" si="229"/>
        <v/>
      </c>
      <c r="AQ645" s="5" t="str">
        <f t="shared" si="230"/>
        <v/>
      </c>
      <c r="AR645" s="5" t="str">
        <f t="shared" si="231"/>
        <v/>
      </c>
      <c r="AS645" s="5" t="str">
        <f t="shared" si="232"/>
        <v/>
      </c>
      <c r="AT645" s="5" t="str">
        <f t="shared" si="233"/>
        <v/>
      </c>
      <c r="AU645" s="5" t="str">
        <f t="shared" si="234"/>
        <v/>
      </c>
      <c r="AV645" s="5" t="str">
        <f t="shared" si="235"/>
        <v/>
      </c>
      <c r="AW645" s="5" t="str">
        <f t="shared" si="236"/>
        <v/>
      </c>
      <c r="AX645" s="5" t="str">
        <f t="shared" si="237"/>
        <v/>
      </c>
      <c r="AY645" s="5" t="str">
        <f t="shared" si="238"/>
        <v/>
      </c>
      <c r="AZ645" s="5" t="str">
        <f t="shared" si="239"/>
        <v/>
      </c>
      <c r="BA645" s="5" t="str">
        <f t="shared" si="240"/>
        <v/>
      </c>
      <c r="BB645" s="5" t="str">
        <f t="shared" si="241"/>
        <v/>
      </c>
    </row>
    <row r="646" spans="1:54" s="5" customFormat="1" hidden="1">
      <c r="A646" s="8" t="str">
        <f>IF(INDEX(FORM!$A:$A,ROW())="","",ROW()-1)</f>
        <v/>
      </c>
      <c r="B646" s="41" t="str">
        <f>IF($A646="","",INDEX(FORM!$A:$A,ROW()))</f>
        <v/>
      </c>
      <c r="C646" s="8" t="str">
        <f>IF($A646="","",TRIM(INDEX(FORM!$B:$B,ROW())))</f>
        <v/>
      </c>
      <c r="D646" s="8" t="str">
        <f>IF($A646="","",TRIM(INDEX(FORM!$C:$C,ROW())&amp;""))</f>
        <v/>
      </c>
      <c r="E646" s="8" t="str">
        <f>IF($A646="","",UPPER(TRIM(INDEX(FORM!$D:$D,ROW()))))</f>
        <v/>
      </c>
      <c r="F646" s="8" t="str">
        <f>IF($A646="","",IFERROR(INDEX(PROGRES!$A$2:$A$92,MATCH(E646,PROGRES!$B$2:$B$92,0)),"-"))</f>
        <v/>
      </c>
      <c r="G646" s="8" t="str">
        <f>IF($A646="","",UPPER(TRIM(INDEX(FORM!$F:$F,ROW()))))</f>
        <v/>
      </c>
      <c r="H646" s="8" t="str">
        <f>IF($A646="","",UPPER(TRIM(INDEX(FORM!$E:$E,ROW()))))</f>
        <v/>
      </c>
      <c r="I646" s="8" t="str">
        <f>IF($A646="","",UPPER(TRIM(INDEX(FORM!$G:$G,ROW()))))</f>
        <v/>
      </c>
      <c r="J646" s="8" t="str">
        <f>IF($A646="","",IF(ISNUMBER(SEARCH("Ya,",INDEX(FORM!$H:$H,ROW()))),"YA",IF(ISNUMBER(SEARCH("Cukup,",INDEX(FORM!$H:$H,ROW()))),"CUKUP",IF(ISNUMBER(SEARCH("Kurang,",INDEX(FORM!$H:$H,ROW()))),"KURANG",""))))</f>
        <v/>
      </c>
      <c r="K646" s="8" t="str">
        <f>IF($A646="","",UPPER(TRIM(INDEX(FORM!$J:$J,ROW()))))</f>
        <v/>
      </c>
      <c r="L646" s="8" t="str">
        <f>IF($A646="","",IF(ISNUMBER(SEARCH("Aktivitas Harian",INDEX(FORM!$K:$K,ROW()))),1,0))</f>
        <v/>
      </c>
      <c r="M646" s="8" t="str">
        <f>IF($A646="","",IF(ISNUMBER(SEARCH("Aktivitas Mingguan",INDEX(FORM!$K:$K,ROW()))),1,0))</f>
        <v/>
      </c>
      <c r="N646" s="8" t="str">
        <f>IF($A646="","",IF(ISNUMBER(SEARCH("Aktivitas Bulanan",INDEX(FORM!$K:$K,ROW()))),1,0))</f>
        <v/>
      </c>
      <c r="O646" s="8" t="str">
        <f>IF($A646="","",IF(ISNUMBER(SEARCH("Overview Cabang",INDEX(FORM!$K:$K,ROW()))),1,0))</f>
        <v/>
      </c>
      <c r="P646" s="8" t="str">
        <f>IF($A646="","",IFERROR(VLOOKUP(I646,DATA!$AH$9:$AI$13,2,0),""))</f>
        <v/>
      </c>
      <c r="Q646" s="8" t="str">
        <f>IF($A646="","",IFERROR(VLOOKUP(J646,DATA!$AH$9:$AI$13,2,0),""))</f>
        <v/>
      </c>
      <c r="R646" s="8" t="str">
        <f>IF($A646="","",IFERROR(VLOOKUP(K646,DATA!$AH$9:$AI$13,2,0),""))</f>
        <v/>
      </c>
      <c r="S646" s="42" t="str">
        <f t="shared" si="220"/>
        <v/>
      </c>
      <c r="T646" s="8" t="str">
        <f>IF($A646="","",IF(COUNTIF($D$2:D646,D646)=1,1,0))</f>
        <v/>
      </c>
      <c r="U646" s="8" t="str">
        <f>IF($A646="","",IF(F646="-","Cabang tdk ada",IF(IFERROR(VLOOKUP(G646,#REF!,1,0),"")="","",IF(INDEX(DATA!$AH$2:$AH$5,MATCH(G646,DATA!$AI$2:$AI$5,0))&lt;&gt;F646,"Wilayah beda","OK"))))</f>
        <v/>
      </c>
      <c r="V646" s="8" t="str">
        <f>IF($A646="","",TRIM(INDEX(FORM!$I:$I,ROW())&amp;""))</f>
        <v/>
      </c>
      <c r="W646" s="8" t="str">
        <f>IF($A646="","",TRIM(INDEX(FORM!$L:$L,ROW())&amp;""))</f>
        <v/>
      </c>
      <c r="X646" s="8" t="str">
        <f>IF($A646="","",TRIM(INDEX(FORM!$M:$M,ROW())&amp;""))</f>
        <v/>
      </c>
      <c r="Y646" s="8" t="str">
        <f>IF($A646="","",IFERROR(MATCH(F646,DATA!$AH$2:$AH$5,0),9)*10000+A646)</f>
        <v/>
      </c>
      <c r="Z646" s="8" t="str">
        <f t="shared" si="221"/>
        <v/>
      </c>
      <c r="AA646" s="8" t="str">
        <f t="shared" si="222"/>
        <v/>
      </c>
      <c r="AB646" s="8" t="str">
        <f t="shared" si="223"/>
        <v/>
      </c>
      <c r="AC646" s="8"/>
      <c r="AD646" s="8"/>
      <c r="AE646" s="8"/>
      <c r="AK646" s="5" t="str">
        <f t="shared" si="224"/>
        <v/>
      </c>
      <c r="AL646" s="5" t="str">
        <f t="shared" si="225"/>
        <v/>
      </c>
      <c r="AM646" s="5" t="str">
        <f t="shared" si="226"/>
        <v/>
      </c>
      <c r="AN646" s="5" t="str">
        <f t="shared" si="227"/>
        <v/>
      </c>
      <c r="AO646" s="5" t="str">
        <f t="shared" si="228"/>
        <v/>
      </c>
      <c r="AP646" s="5" t="str">
        <f t="shared" si="229"/>
        <v/>
      </c>
      <c r="AQ646" s="5" t="str">
        <f t="shared" si="230"/>
        <v/>
      </c>
      <c r="AR646" s="5" t="str">
        <f t="shared" si="231"/>
        <v/>
      </c>
      <c r="AS646" s="5" t="str">
        <f t="shared" si="232"/>
        <v/>
      </c>
      <c r="AT646" s="5" t="str">
        <f t="shared" si="233"/>
        <v/>
      </c>
      <c r="AU646" s="5" t="str">
        <f t="shared" si="234"/>
        <v/>
      </c>
      <c r="AV646" s="5" t="str">
        <f t="shared" si="235"/>
        <v/>
      </c>
      <c r="AW646" s="5" t="str">
        <f t="shared" si="236"/>
        <v/>
      </c>
      <c r="AX646" s="5" t="str">
        <f t="shared" si="237"/>
        <v/>
      </c>
      <c r="AY646" s="5" t="str">
        <f t="shared" si="238"/>
        <v/>
      </c>
      <c r="AZ646" s="5" t="str">
        <f t="shared" si="239"/>
        <v/>
      </c>
      <c r="BA646" s="5" t="str">
        <f t="shared" si="240"/>
        <v/>
      </c>
      <c r="BB646" s="5" t="str">
        <f t="shared" si="241"/>
        <v/>
      </c>
    </row>
    <row r="647" spans="1:54" s="5" customFormat="1" hidden="1">
      <c r="A647" s="8" t="str">
        <f>IF(INDEX(FORM!$A:$A,ROW())="","",ROW()-1)</f>
        <v/>
      </c>
      <c r="B647" s="41" t="str">
        <f>IF($A647="","",INDEX(FORM!$A:$A,ROW()))</f>
        <v/>
      </c>
      <c r="C647" s="8" t="str">
        <f>IF($A647="","",TRIM(INDEX(FORM!$B:$B,ROW())))</f>
        <v/>
      </c>
      <c r="D647" s="8" t="str">
        <f>IF($A647="","",TRIM(INDEX(FORM!$C:$C,ROW())&amp;""))</f>
        <v/>
      </c>
      <c r="E647" s="8" t="str">
        <f>IF($A647="","",UPPER(TRIM(INDEX(FORM!$D:$D,ROW()))))</f>
        <v/>
      </c>
      <c r="F647" s="8" t="str">
        <f>IF($A647="","",IFERROR(INDEX(PROGRES!$A$2:$A$92,MATCH(E647,PROGRES!$B$2:$B$92,0)),"-"))</f>
        <v/>
      </c>
      <c r="G647" s="8" t="str">
        <f>IF($A647="","",UPPER(TRIM(INDEX(FORM!$F:$F,ROW()))))</f>
        <v/>
      </c>
      <c r="H647" s="8" t="str">
        <f>IF($A647="","",UPPER(TRIM(INDEX(FORM!$E:$E,ROW()))))</f>
        <v/>
      </c>
      <c r="I647" s="8" t="str">
        <f>IF($A647="","",UPPER(TRIM(INDEX(FORM!$G:$G,ROW()))))</f>
        <v/>
      </c>
      <c r="J647" s="8" t="str">
        <f>IF($A647="","",IF(ISNUMBER(SEARCH("Ya,",INDEX(FORM!$H:$H,ROW()))),"YA",IF(ISNUMBER(SEARCH("Cukup,",INDEX(FORM!$H:$H,ROW()))),"CUKUP",IF(ISNUMBER(SEARCH("Kurang,",INDEX(FORM!$H:$H,ROW()))),"KURANG",""))))</f>
        <v/>
      </c>
      <c r="K647" s="8" t="str">
        <f>IF($A647="","",UPPER(TRIM(INDEX(FORM!$J:$J,ROW()))))</f>
        <v/>
      </c>
      <c r="L647" s="8" t="str">
        <f>IF($A647="","",IF(ISNUMBER(SEARCH("Aktivitas Harian",INDEX(FORM!$K:$K,ROW()))),1,0))</f>
        <v/>
      </c>
      <c r="M647" s="8" t="str">
        <f>IF($A647="","",IF(ISNUMBER(SEARCH("Aktivitas Mingguan",INDEX(FORM!$K:$K,ROW()))),1,0))</f>
        <v/>
      </c>
      <c r="N647" s="8" t="str">
        <f>IF($A647="","",IF(ISNUMBER(SEARCH("Aktivitas Bulanan",INDEX(FORM!$K:$K,ROW()))),1,0))</f>
        <v/>
      </c>
      <c r="O647" s="8" t="str">
        <f>IF($A647="","",IF(ISNUMBER(SEARCH("Overview Cabang",INDEX(FORM!$K:$K,ROW()))),1,0))</f>
        <v/>
      </c>
      <c r="P647" s="8" t="str">
        <f>IF($A647="","",IFERROR(VLOOKUP(I647,DATA!$AH$9:$AI$13,2,0),""))</f>
        <v/>
      </c>
      <c r="Q647" s="8" t="str">
        <f>IF($A647="","",IFERROR(VLOOKUP(J647,DATA!$AH$9:$AI$13,2,0),""))</f>
        <v/>
      </c>
      <c r="R647" s="8" t="str">
        <f>IF($A647="","",IFERROR(VLOOKUP(K647,DATA!$AH$9:$AI$13,2,0),""))</f>
        <v/>
      </c>
      <c r="S647" s="42" t="str">
        <f t="shared" si="220"/>
        <v/>
      </c>
      <c r="T647" s="8" t="str">
        <f>IF($A647="","",IF(COUNTIF($D$2:D647,D647)=1,1,0))</f>
        <v/>
      </c>
      <c r="U647" s="8" t="str">
        <f>IF($A647="","",IF(F647="-","Cabang tdk ada",IF(IFERROR(VLOOKUP(G647,#REF!,1,0),"")="","",IF(INDEX(DATA!$AH$2:$AH$5,MATCH(G647,DATA!$AI$2:$AI$5,0))&lt;&gt;F647,"Wilayah beda","OK"))))</f>
        <v/>
      </c>
      <c r="V647" s="8" t="str">
        <f>IF($A647="","",TRIM(INDEX(FORM!$I:$I,ROW())&amp;""))</f>
        <v/>
      </c>
      <c r="W647" s="8" t="str">
        <f>IF($A647="","",TRIM(INDEX(FORM!$L:$L,ROW())&amp;""))</f>
        <v/>
      </c>
      <c r="X647" s="8" t="str">
        <f>IF($A647="","",TRIM(INDEX(FORM!$M:$M,ROW())&amp;""))</f>
        <v/>
      </c>
      <c r="Y647" s="8" t="str">
        <f>IF($A647="","",IFERROR(MATCH(F647,DATA!$AH$2:$AH$5,0),9)*10000+A647)</f>
        <v/>
      </c>
      <c r="Z647" s="8" t="str">
        <f t="shared" si="221"/>
        <v/>
      </c>
      <c r="AA647" s="8" t="str">
        <f t="shared" si="222"/>
        <v/>
      </c>
      <c r="AB647" s="8" t="str">
        <f t="shared" si="223"/>
        <v/>
      </c>
      <c r="AC647" s="8"/>
      <c r="AD647" s="8"/>
      <c r="AE647" s="8"/>
      <c r="AK647" s="5" t="str">
        <f t="shared" si="224"/>
        <v/>
      </c>
      <c r="AL647" s="5" t="str">
        <f t="shared" si="225"/>
        <v/>
      </c>
      <c r="AM647" s="5" t="str">
        <f t="shared" si="226"/>
        <v/>
      </c>
      <c r="AN647" s="5" t="str">
        <f t="shared" si="227"/>
        <v/>
      </c>
      <c r="AO647" s="5" t="str">
        <f t="shared" si="228"/>
        <v/>
      </c>
      <c r="AP647" s="5" t="str">
        <f t="shared" si="229"/>
        <v/>
      </c>
      <c r="AQ647" s="5" t="str">
        <f t="shared" si="230"/>
        <v/>
      </c>
      <c r="AR647" s="5" t="str">
        <f t="shared" si="231"/>
        <v/>
      </c>
      <c r="AS647" s="5" t="str">
        <f t="shared" si="232"/>
        <v/>
      </c>
      <c r="AT647" s="5" t="str">
        <f t="shared" si="233"/>
        <v/>
      </c>
      <c r="AU647" s="5" t="str">
        <f t="shared" si="234"/>
        <v/>
      </c>
      <c r="AV647" s="5" t="str">
        <f t="shared" si="235"/>
        <v/>
      </c>
      <c r="AW647" s="5" t="str">
        <f t="shared" si="236"/>
        <v/>
      </c>
      <c r="AX647" s="5" t="str">
        <f t="shared" si="237"/>
        <v/>
      </c>
      <c r="AY647" s="5" t="str">
        <f t="shared" si="238"/>
        <v/>
      </c>
      <c r="AZ647" s="5" t="str">
        <f t="shared" si="239"/>
        <v/>
      </c>
      <c r="BA647" s="5" t="str">
        <f t="shared" si="240"/>
        <v/>
      </c>
      <c r="BB647" s="5" t="str">
        <f t="shared" si="241"/>
        <v/>
      </c>
    </row>
    <row r="648" spans="1:54" s="5" customFormat="1" hidden="1">
      <c r="A648" s="8" t="str">
        <f>IF(INDEX(FORM!$A:$A,ROW())="","",ROW()-1)</f>
        <v/>
      </c>
      <c r="B648" s="41" t="str">
        <f>IF($A648="","",INDEX(FORM!$A:$A,ROW()))</f>
        <v/>
      </c>
      <c r="C648" s="8" t="str">
        <f>IF($A648="","",TRIM(INDEX(FORM!$B:$B,ROW())))</f>
        <v/>
      </c>
      <c r="D648" s="8" t="str">
        <f>IF($A648="","",TRIM(INDEX(FORM!$C:$C,ROW())&amp;""))</f>
        <v/>
      </c>
      <c r="E648" s="8" t="str">
        <f>IF($A648="","",UPPER(TRIM(INDEX(FORM!$D:$D,ROW()))))</f>
        <v/>
      </c>
      <c r="F648" s="8" t="str">
        <f>IF($A648="","",IFERROR(INDEX(PROGRES!$A$2:$A$92,MATCH(E648,PROGRES!$B$2:$B$92,0)),"-"))</f>
        <v/>
      </c>
      <c r="G648" s="8" t="str">
        <f>IF($A648="","",UPPER(TRIM(INDEX(FORM!$F:$F,ROW()))))</f>
        <v/>
      </c>
      <c r="H648" s="8" t="str">
        <f>IF($A648="","",UPPER(TRIM(INDEX(FORM!$E:$E,ROW()))))</f>
        <v/>
      </c>
      <c r="I648" s="8" t="str">
        <f>IF($A648="","",UPPER(TRIM(INDEX(FORM!$G:$G,ROW()))))</f>
        <v/>
      </c>
      <c r="J648" s="8" t="str">
        <f>IF($A648="","",IF(ISNUMBER(SEARCH("Ya,",INDEX(FORM!$H:$H,ROW()))),"YA",IF(ISNUMBER(SEARCH("Cukup,",INDEX(FORM!$H:$H,ROW()))),"CUKUP",IF(ISNUMBER(SEARCH("Kurang,",INDEX(FORM!$H:$H,ROW()))),"KURANG",""))))</f>
        <v/>
      </c>
      <c r="K648" s="8" t="str">
        <f>IF($A648="","",UPPER(TRIM(INDEX(FORM!$J:$J,ROW()))))</f>
        <v/>
      </c>
      <c r="L648" s="8" t="str">
        <f>IF($A648="","",IF(ISNUMBER(SEARCH("Aktivitas Harian",INDEX(FORM!$K:$K,ROW()))),1,0))</f>
        <v/>
      </c>
      <c r="M648" s="8" t="str">
        <f>IF($A648="","",IF(ISNUMBER(SEARCH("Aktivitas Mingguan",INDEX(FORM!$K:$K,ROW()))),1,0))</f>
        <v/>
      </c>
      <c r="N648" s="8" t="str">
        <f>IF($A648="","",IF(ISNUMBER(SEARCH("Aktivitas Bulanan",INDEX(FORM!$K:$K,ROW()))),1,0))</f>
        <v/>
      </c>
      <c r="O648" s="8" t="str">
        <f>IF($A648="","",IF(ISNUMBER(SEARCH("Overview Cabang",INDEX(FORM!$K:$K,ROW()))),1,0))</f>
        <v/>
      </c>
      <c r="P648" s="8" t="str">
        <f>IF($A648="","",IFERROR(VLOOKUP(I648,DATA!$AH$9:$AI$13,2,0),""))</f>
        <v/>
      </c>
      <c r="Q648" s="8" t="str">
        <f>IF($A648="","",IFERROR(VLOOKUP(J648,DATA!$AH$9:$AI$13,2,0),""))</f>
        <v/>
      </c>
      <c r="R648" s="8" t="str">
        <f>IF($A648="","",IFERROR(VLOOKUP(K648,DATA!$AH$9:$AI$13,2,0),""))</f>
        <v/>
      </c>
      <c r="S648" s="42" t="str">
        <f t="shared" si="220"/>
        <v/>
      </c>
      <c r="T648" s="8" t="str">
        <f>IF($A648="","",IF(COUNTIF($D$2:D648,D648)=1,1,0))</f>
        <v/>
      </c>
      <c r="U648" s="8" t="str">
        <f>IF($A648="","",IF(F648="-","Cabang tdk ada",IF(IFERROR(VLOOKUP(G648,#REF!,1,0),"")="","",IF(INDEX(DATA!$AH$2:$AH$5,MATCH(G648,DATA!$AI$2:$AI$5,0))&lt;&gt;F648,"Wilayah beda","OK"))))</f>
        <v/>
      </c>
      <c r="V648" s="8" t="str">
        <f>IF($A648="","",TRIM(INDEX(FORM!$I:$I,ROW())&amp;""))</f>
        <v/>
      </c>
      <c r="W648" s="8" t="str">
        <f>IF($A648="","",TRIM(INDEX(FORM!$L:$L,ROW())&amp;""))</f>
        <v/>
      </c>
      <c r="X648" s="8" t="str">
        <f>IF($A648="","",TRIM(INDEX(FORM!$M:$M,ROW())&amp;""))</f>
        <v/>
      </c>
      <c r="Y648" s="8" t="str">
        <f>IF($A648="","",IFERROR(MATCH(F648,DATA!$AH$2:$AH$5,0),9)*10000+A648)</f>
        <v/>
      </c>
      <c r="Z648" s="8" t="str">
        <f t="shared" si="221"/>
        <v/>
      </c>
      <c r="AA648" s="8" t="str">
        <f t="shared" si="222"/>
        <v/>
      </c>
      <c r="AB648" s="8" t="str">
        <f t="shared" si="223"/>
        <v/>
      </c>
      <c r="AC648" s="8"/>
      <c r="AD648" s="8"/>
      <c r="AE648" s="8"/>
      <c r="AK648" s="5" t="str">
        <f t="shared" si="224"/>
        <v/>
      </c>
      <c r="AL648" s="5" t="str">
        <f t="shared" si="225"/>
        <v/>
      </c>
      <c r="AM648" s="5" t="str">
        <f t="shared" si="226"/>
        <v/>
      </c>
      <c r="AN648" s="5" t="str">
        <f t="shared" si="227"/>
        <v/>
      </c>
      <c r="AO648" s="5" t="str">
        <f t="shared" si="228"/>
        <v/>
      </c>
      <c r="AP648" s="5" t="str">
        <f t="shared" si="229"/>
        <v/>
      </c>
      <c r="AQ648" s="5" t="str">
        <f t="shared" si="230"/>
        <v/>
      </c>
      <c r="AR648" s="5" t="str">
        <f t="shared" si="231"/>
        <v/>
      </c>
      <c r="AS648" s="5" t="str">
        <f t="shared" si="232"/>
        <v/>
      </c>
      <c r="AT648" s="5" t="str">
        <f t="shared" si="233"/>
        <v/>
      </c>
      <c r="AU648" s="5" t="str">
        <f t="shared" si="234"/>
        <v/>
      </c>
      <c r="AV648" s="5" t="str">
        <f t="shared" si="235"/>
        <v/>
      </c>
      <c r="AW648" s="5" t="str">
        <f t="shared" si="236"/>
        <v/>
      </c>
      <c r="AX648" s="5" t="str">
        <f t="shared" si="237"/>
        <v/>
      </c>
      <c r="AY648" s="5" t="str">
        <f t="shared" si="238"/>
        <v/>
      </c>
      <c r="AZ648" s="5" t="str">
        <f t="shared" si="239"/>
        <v/>
      </c>
      <c r="BA648" s="5" t="str">
        <f t="shared" si="240"/>
        <v/>
      </c>
      <c r="BB648" s="5" t="str">
        <f t="shared" si="241"/>
        <v/>
      </c>
    </row>
    <row r="649" spans="1:54" s="5" customFormat="1" hidden="1">
      <c r="A649" s="8" t="str">
        <f>IF(INDEX(FORM!$A:$A,ROW())="","",ROW()-1)</f>
        <v/>
      </c>
      <c r="B649" s="41" t="str">
        <f>IF($A649="","",INDEX(FORM!$A:$A,ROW()))</f>
        <v/>
      </c>
      <c r="C649" s="8" t="str">
        <f>IF($A649="","",TRIM(INDEX(FORM!$B:$B,ROW())))</f>
        <v/>
      </c>
      <c r="D649" s="8" t="str">
        <f>IF($A649="","",TRIM(INDEX(FORM!$C:$C,ROW())&amp;""))</f>
        <v/>
      </c>
      <c r="E649" s="8" t="str">
        <f>IF($A649="","",UPPER(TRIM(INDEX(FORM!$D:$D,ROW()))))</f>
        <v/>
      </c>
      <c r="F649" s="8" t="str">
        <f>IF($A649="","",IFERROR(INDEX(PROGRES!$A$2:$A$92,MATCH(E649,PROGRES!$B$2:$B$92,0)),"-"))</f>
        <v/>
      </c>
      <c r="G649" s="8" t="str">
        <f>IF($A649="","",UPPER(TRIM(INDEX(FORM!$F:$F,ROW()))))</f>
        <v/>
      </c>
      <c r="H649" s="8" t="str">
        <f>IF($A649="","",UPPER(TRIM(INDEX(FORM!$E:$E,ROW()))))</f>
        <v/>
      </c>
      <c r="I649" s="8" t="str">
        <f>IF($A649="","",UPPER(TRIM(INDEX(FORM!$G:$G,ROW()))))</f>
        <v/>
      </c>
      <c r="J649" s="8" t="str">
        <f>IF($A649="","",IF(ISNUMBER(SEARCH("Ya,",INDEX(FORM!$H:$H,ROW()))),"YA",IF(ISNUMBER(SEARCH("Cukup,",INDEX(FORM!$H:$H,ROW()))),"CUKUP",IF(ISNUMBER(SEARCH("Kurang,",INDEX(FORM!$H:$H,ROW()))),"KURANG",""))))</f>
        <v/>
      </c>
      <c r="K649" s="8" t="str">
        <f>IF($A649="","",UPPER(TRIM(INDEX(FORM!$J:$J,ROW()))))</f>
        <v/>
      </c>
      <c r="L649" s="8" t="str">
        <f>IF($A649="","",IF(ISNUMBER(SEARCH("Aktivitas Harian",INDEX(FORM!$K:$K,ROW()))),1,0))</f>
        <v/>
      </c>
      <c r="M649" s="8" t="str">
        <f>IF($A649="","",IF(ISNUMBER(SEARCH("Aktivitas Mingguan",INDEX(FORM!$K:$K,ROW()))),1,0))</f>
        <v/>
      </c>
      <c r="N649" s="8" t="str">
        <f>IF($A649="","",IF(ISNUMBER(SEARCH("Aktivitas Bulanan",INDEX(FORM!$K:$K,ROW()))),1,0))</f>
        <v/>
      </c>
      <c r="O649" s="8" t="str">
        <f>IF($A649="","",IF(ISNUMBER(SEARCH("Overview Cabang",INDEX(FORM!$K:$K,ROW()))),1,0))</f>
        <v/>
      </c>
      <c r="P649" s="8" t="str">
        <f>IF($A649="","",IFERROR(VLOOKUP(I649,DATA!$AH$9:$AI$13,2,0),""))</f>
        <v/>
      </c>
      <c r="Q649" s="8" t="str">
        <f>IF($A649="","",IFERROR(VLOOKUP(J649,DATA!$AH$9:$AI$13,2,0),""))</f>
        <v/>
      </c>
      <c r="R649" s="8" t="str">
        <f>IF($A649="","",IFERROR(VLOOKUP(K649,DATA!$AH$9:$AI$13,2,0),""))</f>
        <v/>
      </c>
      <c r="S649" s="42" t="str">
        <f t="shared" si="220"/>
        <v/>
      </c>
      <c r="T649" s="8" t="str">
        <f>IF($A649="","",IF(COUNTIF($D$2:D649,D649)=1,1,0))</f>
        <v/>
      </c>
      <c r="U649" s="8" t="str">
        <f>IF($A649="","",IF(F649="-","Cabang tdk ada",IF(IFERROR(VLOOKUP(G649,#REF!,1,0),"")="","",IF(INDEX(DATA!$AH$2:$AH$5,MATCH(G649,DATA!$AI$2:$AI$5,0))&lt;&gt;F649,"Wilayah beda","OK"))))</f>
        <v/>
      </c>
      <c r="V649" s="8" t="str">
        <f>IF($A649="","",TRIM(INDEX(FORM!$I:$I,ROW())&amp;""))</f>
        <v/>
      </c>
      <c r="W649" s="8" t="str">
        <f>IF($A649="","",TRIM(INDEX(FORM!$L:$L,ROW())&amp;""))</f>
        <v/>
      </c>
      <c r="X649" s="8" t="str">
        <f>IF($A649="","",TRIM(INDEX(FORM!$M:$M,ROW())&amp;""))</f>
        <v/>
      </c>
      <c r="Y649" s="8" t="str">
        <f>IF($A649="","",IFERROR(MATCH(F649,DATA!$AH$2:$AH$5,0),9)*10000+A649)</f>
        <v/>
      </c>
      <c r="Z649" s="8" t="str">
        <f t="shared" si="221"/>
        <v/>
      </c>
      <c r="AA649" s="8" t="str">
        <f t="shared" si="222"/>
        <v/>
      </c>
      <c r="AB649" s="8" t="str">
        <f t="shared" si="223"/>
        <v/>
      </c>
      <c r="AC649" s="8"/>
      <c r="AD649" s="8"/>
      <c r="AE649" s="8"/>
      <c r="AK649" s="5" t="str">
        <f t="shared" si="224"/>
        <v/>
      </c>
      <c r="AL649" s="5" t="str">
        <f t="shared" si="225"/>
        <v/>
      </c>
      <c r="AM649" s="5" t="str">
        <f t="shared" si="226"/>
        <v/>
      </c>
      <c r="AN649" s="5" t="str">
        <f t="shared" si="227"/>
        <v/>
      </c>
      <c r="AO649" s="5" t="str">
        <f t="shared" si="228"/>
        <v/>
      </c>
      <c r="AP649" s="5" t="str">
        <f t="shared" si="229"/>
        <v/>
      </c>
      <c r="AQ649" s="5" t="str">
        <f t="shared" si="230"/>
        <v/>
      </c>
      <c r="AR649" s="5" t="str">
        <f t="shared" si="231"/>
        <v/>
      </c>
      <c r="AS649" s="5" t="str">
        <f t="shared" si="232"/>
        <v/>
      </c>
      <c r="AT649" s="5" t="str">
        <f t="shared" si="233"/>
        <v/>
      </c>
      <c r="AU649" s="5" t="str">
        <f t="shared" si="234"/>
        <v/>
      </c>
      <c r="AV649" s="5" t="str">
        <f t="shared" si="235"/>
        <v/>
      </c>
      <c r="AW649" s="5" t="str">
        <f t="shared" si="236"/>
        <v/>
      </c>
      <c r="AX649" s="5" t="str">
        <f t="shared" si="237"/>
        <v/>
      </c>
      <c r="AY649" s="5" t="str">
        <f t="shared" si="238"/>
        <v/>
      </c>
      <c r="AZ649" s="5" t="str">
        <f t="shared" si="239"/>
        <v/>
      </c>
      <c r="BA649" s="5" t="str">
        <f t="shared" si="240"/>
        <v/>
      </c>
      <c r="BB649" s="5" t="str">
        <f t="shared" si="241"/>
        <v/>
      </c>
    </row>
    <row r="650" spans="1:54" s="5" customFormat="1" hidden="1">
      <c r="A650" s="8" t="str">
        <f>IF(INDEX(FORM!$A:$A,ROW())="","",ROW()-1)</f>
        <v/>
      </c>
      <c r="B650" s="41" t="str">
        <f>IF($A650="","",INDEX(FORM!$A:$A,ROW()))</f>
        <v/>
      </c>
      <c r="C650" s="8" t="str">
        <f>IF($A650="","",TRIM(INDEX(FORM!$B:$B,ROW())))</f>
        <v/>
      </c>
      <c r="D650" s="8" t="str">
        <f>IF($A650="","",TRIM(INDEX(FORM!$C:$C,ROW())&amp;""))</f>
        <v/>
      </c>
      <c r="E650" s="8" t="str">
        <f>IF($A650="","",UPPER(TRIM(INDEX(FORM!$D:$D,ROW()))))</f>
        <v/>
      </c>
      <c r="F650" s="8" t="str">
        <f>IF($A650="","",IFERROR(INDEX(PROGRES!$A$2:$A$92,MATCH(E650,PROGRES!$B$2:$B$92,0)),"-"))</f>
        <v/>
      </c>
      <c r="G650" s="8" t="str">
        <f>IF($A650="","",UPPER(TRIM(INDEX(FORM!$F:$F,ROW()))))</f>
        <v/>
      </c>
      <c r="H650" s="8" t="str">
        <f>IF($A650="","",UPPER(TRIM(INDEX(FORM!$E:$E,ROW()))))</f>
        <v/>
      </c>
      <c r="I650" s="8" t="str">
        <f>IF($A650="","",UPPER(TRIM(INDEX(FORM!$G:$G,ROW()))))</f>
        <v/>
      </c>
      <c r="J650" s="8" t="str">
        <f>IF($A650="","",IF(ISNUMBER(SEARCH("Ya,",INDEX(FORM!$H:$H,ROW()))),"YA",IF(ISNUMBER(SEARCH("Cukup,",INDEX(FORM!$H:$H,ROW()))),"CUKUP",IF(ISNUMBER(SEARCH("Kurang,",INDEX(FORM!$H:$H,ROW()))),"KURANG",""))))</f>
        <v/>
      </c>
      <c r="K650" s="8" t="str">
        <f>IF($A650="","",UPPER(TRIM(INDEX(FORM!$J:$J,ROW()))))</f>
        <v/>
      </c>
      <c r="L650" s="8" t="str">
        <f>IF($A650="","",IF(ISNUMBER(SEARCH("Aktivitas Harian",INDEX(FORM!$K:$K,ROW()))),1,0))</f>
        <v/>
      </c>
      <c r="M650" s="8" t="str">
        <f>IF($A650="","",IF(ISNUMBER(SEARCH("Aktivitas Mingguan",INDEX(FORM!$K:$K,ROW()))),1,0))</f>
        <v/>
      </c>
      <c r="N650" s="8" t="str">
        <f>IF($A650="","",IF(ISNUMBER(SEARCH("Aktivitas Bulanan",INDEX(FORM!$K:$K,ROW()))),1,0))</f>
        <v/>
      </c>
      <c r="O650" s="8" t="str">
        <f>IF($A650="","",IF(ISNUMBER(SEARCH("Overview Cabang",INDEX(FORM!$K:$K,ROW()))),1,0))</f>
        <v/>
      </c>
      <c r="P650" s="8" t="str">
        <f>IF($A650="","",IFERROR(VLOOKUP(I650,DATA!$AH$9:$AI$13,2,0),""))</f>
        <v/>
      </c>
      <c r="Q650" s="8" t="str">
        <f>IF($A650="","",IFERROR(VLOOKUP(J650,DATA!$AH$9:$AI$13,2,0),""))</f>
        <v/>
      </c>
      <c r="R650" s="8" t="str">
        <f>IF($A650="","",IFERROR(VLOOKUP(K650,DATA!$AH$9:$AI$13,2,0),""))</f>
        <v/>
      </c>
      <c r="S650" s="42" t="str">
        <f t="shared" si="220"/>
        <v/>
      </c>
      <c r="T650" s="8" t="str">
        <f>IF($A650="","",IF(COUNTIF($D$2:D650,D650)=1,1,0))</f>
        <v/>
      </c>
      <c r="U650" s="8" t="str">
        <f>IF($A650="","",IF(F650="-","Cabang tdk ada",IF(IFERROR(VLOOKUP(G650,#REF!,1,0),"")="","",IF(INDEX(DATA!$AH$2:$AH$5,MATCH(G650,DATA!$AI$2:$AI$5,0))&lt;&gt;F650,"Wilayah beda","OK"))))</f>
        <v/>
      </c>
      <c r="V650" s="8" t="str">
        <f>IF($A650="","",TRIM(INDEX(FORM!$I:$I,ROW())&amp;""))</f>
        <v/>
      </c>
      <c r="W650" s="8" t="str">
        <f>IF($A650="","",TRIM(INDEX(FORM!$L:$L,ROW())&amp;""))</f>
        <v/>
      </c>
      <c r="X650" s="8" t="str">
        <f>IF($A650="","",TRIM(INDEX(FORM!$M:$M,ROW())&amp;""))</f>
        <v/>
      </c>
      <c r="Y650" s="8" t="str">
        <f>IF($A650="","",IFERROR(MATCH(F650,DATA!$AH$2:$AH$5,0),9)*10000+A650)</f>
        <v/>
      </c>
      <c r="Z650" s="8" t="str">
        <f t="shared" si="221"/>
        <v/>
      </c>
      <c r="AA650" s="8" t="str">
        <f t="shared" si="222"/>
        <v/>
      </c>
      <c r="AB650" s="8" t="str">
        <f t="shared" si="223"/>
        <v/>
      </c>
      <c r="AC650" s="8"/>
      <c r="AD650" s="8"/>
      <c r="AE650" s="8"/>
      <c r="AK650" s="5" t="str">
        <f t="shared" si="224"/>
        <v/>
      </c>
      <c r="AL650" s="5" t="str">
        <f t="shared" si="225"/>
        <v/>
      </c>
      <c r="AM650" s="5" t="str">
        <f t="shared" si="226"/>
        <v/>
      </c>
      <c r="AN650" s="5" t="str">
        <f t="shared" si="227"/>
        <v/>
      </c>
      <c r="AO650" s="5" t="str">
        <f t="shared" si="228"/>
        <v/>
      </c>
      <c r="AP650" s="5" t="str">
        <f t="shared" si="229"/>
        <v/>
      </c>
      <c r="AQ650" s="5" t="str">
        <f t="shared" si="230"/>
        <v/>
      </c>
      <c r="AR650" s="5" t="str">
        <f t="shared" si="231"/>
        <v/>
      </c>
      <c r="AS650" s="5" t="str">
        <f t="shared" si="232"/>
        <v/>
      </c>
      <c r="AT650" s="5" t="str">
        <f t="shared" si="233"/>
        <v/>
      </c>
      <c r="AU650" s="5" t="str">
        <f t="shared" si="234"/>
        <v/>
      </c>
      <c r="AV650" s="5" t="str">
        <f t="shared" si="235"/>
        <v/>
      </c>
      <c r="AW650" s="5" t="str">
        <f t="shared" si="236"/>
        <v/>
      </c>
      <c r="AX650" s="5" t="str">
        <f t="shared" si="237"/>
        <v/>
      </c>
      <c r="AY650" s="5" t="str">
        <f t="shared" si="238"/>
        <v/>
      </c>
      <c r="AZ650" s="5" t="str">
        <f t="shared" si="239"/>
        <v/>
      </c>
      <c r="BA650" s="5" t="str">
        <f t="shared" si="240"/>
        <v/>
      </c>
      <c r="BB650" s="5" t="str">
        <f t="shared" si="241"/>
        <v/>
      </c>
    </row>
    <row r="651" spans="1:54" s="5" customFormat="1" hidden="1">
      <c r="A651" s="8" t="str">
        <f>IF(INDEX(FORM!$A:$A,ROW())="","",ROW()-1)</f>
        <v/>
      </c>
      <c r="B651" s="41" t="str">
        <f>IF($A651="","",INDEX(FORM!$A:$A,ROW()))</f>
        <v/>
      </c>
      <c r="C651" s="8" t="str">
        <f>IF($A651="","",TRIM(INDEX(FORM!$B:$B,ROW())))</f>
        <v/>
      </c>
      <c r="D651" s="8" t="str">
        <f>IF($A651="","",TRIM(INDEX(FORM!$C:$C,ROW())&amp;""))</f>
        <v/>
      </c>
      <c r="E651" s="8" t="str">
        <f>IF($A651="","",UPPER(TRIM(INDEX(FORM!$D:$D,ROW()))))</f>
        <v/>
      </c>
      <c r="F651" s="8" t="str">
        <f>IF($A651="","",IFERROR(INDEX(PROGRES!$A$2:$A$92,MATCH(E651,PROGRES!$B$2:$B$92,0)),"-"))</f>
        <v/>
      </c>
      <c r="G651" s="8" t="str">
        <f>IF($A651="","",UPPER(TRIM(INDEX(FORM!$F:$F,ROW()))))</f>
        <v/>
      </c>
      <c r="H651" s="8" t="str">
        <f>IF($A651="","",UPPER(TRIM(INDEX(FORM!$E:$E,ROW()))))</f>
        <v/>
      </c>
      <c r="I651" s="8" t="str">
        <f>IF($A651="","",UPPER(TRIM(INDEX(FORM!$G:$G,ROW()))))</f>
        <v/>
      </c>
      <c r="J651" s="8" t="str">
        <f>IF($A651="","",IF(ISNUMBER(SEARCH("Ya,",INDEX(FORM!$H:$H,ROW()))),"YA",IF(ISNUMBER(SEARCH("Cukup,",INDEX(FORM!$H:$H,ROW()))),"CUKUP",IF(ISNUMBER(SEARCH("Kurang,",INDEX(FORM!$H:$H,ROW()))),"KURANG",""))))</f>
        <v/>
      </c>
      <c r="K651" s="8" t="str">
        <f>IF($A651="","",UPPER(TRIM(INDEX(FORM!$J:$J,ROW()))))</f>
        <v/>
      </c>
      <c r="L651" s="8" t="str">
        <f>IF($A651="","",IF(ISNUMBER(SEARCH("Aktivitas Harian",INDEX(FORM!$K:$K,ROW()))),1,0))</f>
        <v/>
      </c>
      <c r="M651" s="8" t="str">
        <f>IF($A651="","",IF(ISNUMBER(SEARCH("Aktivitas Mingguan",INDEX(FORM!$K:$K,ROW()))),1,0))</f>
        <v/>
      </c>
      <c r="N651" s="8" t="str">
        <f>IF($A651="","",IF(ISNUMBER(SEARCH("Aktivitas Bulanan",INDEX(FORM!$K:$K,ROW()))),1,0))</f>
        <v/>
      </c>
      <c r="O651" s="8" t="str">
        <f>IF($A651="","",IF(ISNUMBER(SEARCH("Overview Cabang",INDEX(FORM!$K:$K,ROW()))),1,0))</f>
        <v/>
      </c>
      <c r="P651" s="8" t="str">
        <f>IF($A651="","",IFERROR(VLOOKUP(I651,DATA!$AH$9:$AI$13,2,0),""))</f>
        <v/>
      </c>
      <c r="Q651" s="8" t="str">
        <f>IF($A651="","",IFERROR(VLOOKUP(J651,DATA!$AH$9:$AI$13,2,0),""))</f>
        <v/>
      </c>
      <c r="R651" s="8" t="str">
        <f>IF($A651="","",IFERROR(VLOOKUP(K651,DATA!$AH$9:$AI$13,2,0),""))</f>
        <v/>
      </c>
      <c r="S651" s="42" t="str">
        <f t="shared" si="220"/>
        <v/>
      </c>
      <c r="T651" s="8" t="str">
        <f>IF($A651="","",IF(COUNTIF($D$2:D651,D651)=1,1,0))</f>
        <v/>
      </c>
      <c r="U651" s="8" t="str">
        <f>IF($A651="","",IF(F651="-","Cabang tdk ada",IF(IFERROR(VLOOKUP(G651,#REF!,1,0),"")="","",IF(INDEX(DATA!$AH$2:$AH$5,MATCH(G651,DATA!$AI$2:$AI$5,0))&lt;&gt;F651,"Wilayah beda","OK"))))</f>
        <v/>
      </c>
      <c r="V651" s="8" t="str">
        <f>IF($A651="","",TRIM(INDEX(FORM!$I:$I,ROW())&amp;""))</f>
        <v/>
      </c>
      <c r="W651" s="8" t="str">
        <f>IF($A651="","",TRIM(INDEX(FORM!$L:$L,ROW())&amp;""))</f>
        <v/>
      </c>
      <c r="X651" s="8" t="str">
        <f>IF($A651="","",TRIM(INDEX(FORM!$M:$M,ROW())&amp;""))</f>
        <v/>
      </c>
      <c r="Y651" s="8" t="str">
        <f>IF($A651="","",IFERROR(MATCH(F651,DATA!$AH$2:$AH$5,0),9)*10000+A651)</f>
        <v/>
      </c>
      <c r="Z651" s="8" t="str">
        <f t="shared" si="221"/>
        <v/>
      </c>
      <c r="AA651" s="8" t="str">
        <f t="shared" si="222"/>
        <v/>
      </c>
      <c r="AB651" s="8" t="str">
        <f t="shared" si="223"/>
        <v/>
      </c>
      <c r="AC651" s="8"/>
      <c r="AD651" s="8"/>
      <c r="AE651" s="8"/>
      <c r="AK651" s="5" t="str">
        <f t="shared" si="224"/>
        <v/>
      </c>
      <c r="AL651" s="5" t="str">
        <f t="shared" si="225"/>
        <v/>
      </c>
      <c r="AM651" s="5" t="str">
        <f t="shared" si="226"/>
        <v/>
      </c>
      <c r="AN651" s="5" t="str">
        <f t="shared" si="227"/>
        <v/>
      </c>
      <c r="AO651" s="5" t="str">
        <f t="shared" si="228"/>
        <v/>
      </c>
      <c r="AP651" s="5" t="str">
        <f t="shared" si="229"/>
        <v/>
      </c>
      <c r="AQ651" s="5" t="str">
        <f t="shared" si="230"/>
        <v/>
      </c>
      <c r="AR651" s="5" t="str">
        <f t="shared" si="231"/>
        <v/>
      </c>
      <c r="AS651" s="5" t="str">
        <f t="shared" si="232"/>
        <v/>
      </c>
      <c r="AT651" s="5" t="str">
        <f t="shared" si="233"/>
        <v/>
      </c>
      <c r="AU651" s="5" t="str">
        <f t="shared" si="234"/>
        <v/>
      </c>
      <c r="AV651" s="5" t="str">
        <f t="shared" si="235"/>
        <v/>
      </c>
      <c r="AW651" s="5" t="str">
        <f t="shared" si="236"/>
        <v/>
      </c>
      <c r="AX651" s="5" t="str">
        <f t="shared" si="237"/>
        <v/>
      </c>
      <c r="AY651" s="5" t="str">
        <f t="shared" si="238"/>
        <v/>
      </c>
      <c r="AZ651" s="5" t="str">
        <f t="shared" si="239"/>
        <v/>
      </c>
      <c r="BA651" s="5" t="str">
        <f t="shared" si="240"/>
        <v/>
      </c>
      <c r="BB651" s="5" t="str">
        <f t="shared" si="241"/>
        <v/>
      </c>
    </row>
    <row r="652" spans="1:54" s="5" customFormat="1" hidden="1">
      <c r="A652" s="8" t="str">
        <f>IF(INDEX(FORM!$A:$A,ROW())="","",ROW()-1)</f>
        <v/>
      </c>
      <c r="B652" s="41" t="str">
        <f>IF($A652="","",INDEX(FORM!$A:$A,ROW()))</f>
        <v/>
      </c>
      <c r="C652" s="8" t="str">
        <f>IF($A652="","",TRIM(INDEX(FORM!$B:$B,ROW())))</f>
        <v/>
      </c>
      <c r="D652" s="8" t="str">
        <f>IF($A652="","",TRIM(INDEX(FORM!$C:$C,ROW())&amp;""))</f>
        <v/>
      </c>
      <c r="E652" s="8" t="str">
        <f>IF($A652="","",UPPER(TRIM(INDEX(FORM!$D:$D,ROW()))))</f>
        <v/>
      </c>
      <c r="F652" s="8" t="str">
        <f>IF($A652="","",IFERROR(INDEX(PROGRES!$A$2:$A$92,MATCH(E652,PROGRES!$B$2:$B$92,0)),"-"))</f>
        <v/>
      </c>
      <c r="G652" s="8" t="str">
        <f>IF($A652="","",UPPER(TRIM(INDEX(FORM!$F:$F,ROW()))))</f>
        <v/>
      </c>
      <c r="H652" s="8" t="str">
        <f>IF($A652="","",UPPER(TRIM(INDEX(FORM!$E:$E,ROW()))))</f>
        <v/>
      </c>
      <c r="I652" s="8" t="str">
        <f>IF($A652="","",UPPER(TRIM(INDEX(FORM!$G:$G,ROW()))))</f>
        <v/>
      </c>
      <c r="J652" s="8" t="str">
        <f>IF($A652="","",IF(ISNUMBER(SEARCH("Ya,",INDEX(FORM!$H:$H,ROW()))),"YA",IF(ISNUMBER(SEARCH("Cukup,",INDEX(FORM!$H:$H,ROW()))),"CUKUP",IF(ISNUMBER(SEARCH("Kurang,",INDEX(FORM!$H:$H,ROW()))),"KURANG",""))))</f>
        <v/>
      </c>
      <c r="K652" s="8" t="str">
        <f>IF($A652="","",UPPER(TRIM(INDEX(FORM!$J:$J,ROW()))))</f>
        <v/>
      </c>
      <c r="L652" s="8" t="str">
        <f>IF($A652="","",IF(ISNUMBER(SEARCH("Aktivitas Harian",INDEX(FORM!$K:$K,ROW()))),1,0))</f>
        <v/>
      </c>
      <c r="M652" s="8" t="str">
        <f>IF($A652="","",IF(ISNUMBER(SEARCH("Aktivitas Mingguan",INDEX(FORM!$K:$K,ROW()))),1,0))</f>
        <v/>
      </c>
      <c r="N652" s="8" t="str">
        <f>IF($A652="","",IF(ISNUMBER(SEARCH("Aktivitas Bulanan",INDEX(FORM!$K:$K,ROW()))),1,0))</f>
        <v/>
      </c>
      <c r="O652" s="8" t="str">
        <f>IF($A652="","",IF(ISNUMBER(SEARCH("Overview Cabang",INDEX(FORM!$K:$K,ROW()))),1,0))</f>
        <v/>
      </c>
      <c r="P652" s="8" t="str">
        <f>IF($A652="","",IFERROR(VLOOKUP(I652,DATA!$AH$9:$AI$13,2,0),""))</f>
        <v/>
      </c>
      <c r="Q652" s="8" t="str">
        <f>IF($A652="","",IFERROR(VLOOKUP(J652,DATA!$AH$9:$AI$13,2,0),""))</f>
        <v/>
      </c>
      <c r="R652" s="8" t="str">
        <f>IF($A652="","",IFERROR(VLOOKUP(K652,DATA!$AH$9:$AI$13,2,0),""))</f>
        <v/>
      </c>
      <c r="S652" s="42" t="str">
        <f t="shared" si="220"/>
        <v/>
      </c>
      <c r="T652" s="8" t="str">
        <f>IF($A652="","",IF(COUNTIF($D$2:D652,D652)=1,1,0))</f>
        <v/>
      </c>
      <c r="U652" s="8" t="str">
        <f>IF($A652="","",IF(F652="-","Cabang tdk ada",IF(IFERROR(VLOOKUP(G652,#REF!,1,0),"")="","",IF(INDEX(DATA!$AH$2:$AH$5,MATCH(G652,DATA!$AI$2:$AI$5,0))&lt;&gt;F652,"Wilayah beda","OK"))))</f>
        <v/>
      </c>
      <c r="V652" s="8" t="str">
        <f>IF($A652="","",TRIM(INDEX(FORM!$I:$I,ROW())&amp;""))</f>
        <v/>
      </c>
      <c r="W652" s="8" t="str">
        <f>IF($A652="","",TRIM(INDEX(FORM!$L:$L,ROW())&amp;""))</f>
        <v/>
      </c>
      <c r="X652" s="8" t="str">
        <f>IF($A652="","",TRIM(INDEX(FORM!$M:$M,ROW())&amp;""))</f>
        <v/>
      </c>
      <c r="Y652" s="8" t="str">
        <f>IF($A652="","",IFERROR(MATCH(F652,DATA!$AH$2:$AH$5,0),9)*10000+A652)</f>
        <v/>
      </c>
      <c r="Z652" s="8" t="str">
        <f t="shared" si="221"/>
        <v/>
      </c>
      <c r="AA652" s="8" t="str">
        <f t="shared" si="222"/>
        <v/>
      </c>
      <c r="AB652" s="8" t="str">
        <f t="shared" si="223"/>
        <v/>
      </c>
      <c r="AC652" s="8"/>
      <c r="AD652" s="8"/>
      <c r="AE652" s="8"/>
      <c r="AK652" s="5" t="str">
        <f t="shared" si="224"/>
        <v/>
      </c>
      <c r="AL652" s="5" t="str">
        <f t="shared" si="225"/>
        <v/>
      </c>
      <c r="AM652" s="5" t="str">
        <f t="shared" si="226"/>
        <v/>
      </c>
      <c r="AN652" s="5" t="str">
        <f t="shared" si="227"/>
        <v/>
      </c>
      <c r="AO652" s="5" t="str">
        <f t="shared" si="228"/>
        <v/>
      </c>
      <c r="AP652" s="5" t="str">
        <f t="shared" si="229"/>
        <v/>
      </c>
      <c r="AQ652" s="5" t="str">
        <f t="shared" si="230"/>
        <v/>
      </c>
      <c r="AR652" s="5" t="str">
        <f t="shared" si="231"/>
        <v/>
      </c>
      <c r="AS652" s="5" t="str">
        <f t="shared" si="232"/>
        <v/>
      </c>
      <c r="AT652" s="5" t="str">
        <f t="shared" si="233"/>
        <v/>
      </c>
      <c r="AU652" s="5" t="str">
        <f t="shared" si="234"/>
        <v/>
      </c>
      <c r="AV652" s="5" t="str">
        <f t="shared" si="235"/>
        <v/>
      </c>
      <c r="AW652" s="5" t="str">
        <f t="shared" si="236"/>
        <v/>
      </c>
      <c r="AX652" s="5" t="str">
        <f t="shared" si="237"/>
        <v/>
      </c>
      <c r="AY652" s="5" t="str">
        <f t="shared" si="238"/>
        <v/>
      </c>
      <c r="AZ652" s="5" t="str">
        <f t="shared" si="239"/>
        <v/>
      </c>
      <c r="BA652" s="5" t="str">
        <f t="shared" si="240"/>
        <v/>
      </c>
      <c r="BB652" s="5" t="str">
        <f t="shared" si="241"/>
        <v/>
      </c>
    </row>
    <row r="653" spans="1:54" s="5" customFormat="1" hidden="1">
      <c r="A653" s="8" t="str">
        <f>IF(INDEX(FORM!$A:$A,ROW())="","",ROW()-1)</f>
        <v/>
      </c>
      <c r="B653" s="41" t="str">
        <f>IF($A653="","",INDEX(FORM!$A:$A,ROW()))</f>
        <v/>
      </c>
      <c r="C653" s="8" t="str">
        <f>IF($A653="","",TRIM(INDEX(FORM!$B:$B,ROW())))</f>
        <v/>
      </c>
      <c r="D653" s="8" t="str">
        <f>IF($A653="","",TRIM(INDEX(FORM!$C:$C,ROW())&amp;""))</f>
        <v/>
      </c>
      <c r="E653" s="8" t="str">
        <f>IF($A653="","",UPPER(TRIM(INDEX(FORM!$D:$D,ROW()))))</f>
        <v/>
      </c>
      <c r="F653" s="8" t="str">
        <f>IF($A653="","",IFERROR(INDEX(PROGRES!$A$2:$A$92,MATCH(E653,PROGRES!$B$2:$B$92,0)),"-"))</f>
        <v/>
      </c>
      <c r="G653" s="8" t="str">
        <f>IF($A653="","",UPPER(TRIM(INDEX(FORM!$F:$F,ROW()))))</f>
        <v/>
      </c>
      <c r="H653" s="8" t="str">
        <f>IF($A653="","",UPPER(TRIM(INDEX(FORM!$E:$E,ROW()))))</f>
        <v/>
      </c>
      <c r="I653" s="8" t="str">
        <f>IF($A653="","",UPPER(TRIM(INDEX(FORM!$G:$G,ROW()))))</f>
        <v/>
      </c>
      <c r="J653" s="8" t="str">
        <f>IF($A653="","",IF(ISNUMBER(SEARCH("Ya,",INDEX(FORM!$H:$H,ROW()))),"YA",IF(ISNUMBER(SEARCH("Cukup,",INDEX(FORM!$H:$H,ROW()))),"CUKUP",IF(ISNUMBER(SEARCH("Kurang,",INDEX(FORM!$H:$H,ROW()))),"KURANG",""))))</f>
        <v/>
      </c>
      <c r="K653" s="8" t="str">
        <f>IF($A653="","",UPPER(TRIM(INDEX(FORM!$J:$J,ROW()))))</f>
        <v/>
      </c>
      <c r="L653" s="8" t="str">
        <f>IF($A653="","",IF(ISNUMBER(SEARCH("Aktivitas Harian",INDEX(FORM!$K:$K,ROW()))),1,0))</f>
        <v/>
      </c>
      <c r="M653" s="8" t="str">
        <f>IF($A653="","",IF(ISNUMBER(SEARCH("Aktivitas Mingguan",INDEX(FORM!$K:$K,ROW()))),1,0))</f>
        <v/>
      </c>
      <c r="N653" s="8" t="str">
        <f>IF($A653="","",IF(ISNUMBER(SEARCH("Aktivitas Bulanan",INDEX(FORM!$K:$K,ROW()))),1,0))</f>
        <v/>
      </c>
      <c r="O653" s="8" t="str">
        <f>IF($A653="","",IF(ISNUMBER(SEARCH("Overview Cabang",INDEX(FORM!$K:$K,ROW()))),1,0))</f>
        <v/>
      </c>
      <c r="P653" s="8" t="str">
        <f>IF($A653="","",IFERROR(VLOOKUP(I653,DATA!$AH$9:$AI$13,2,0),""))</f>
        <v/>
      </c>
      <c r="Q653" s="8" t="str">
        <f>IF($A653="","",IFERROR(VLOOKUP(J653,DATA!$AH$9:$AI$13,2,0),""))</f>
        <v/>
      </c>
      <c r="R653" s="8" t="str">
        <f>IF($A653="","",IFERROR(VLOOKUP(K653,DATA!$AH$9:$AI$13,2,0),""))</f>
        <v/>
      </c>
      <c r="S653" s="42" t="str">
        <f t="shared" si="220"/>
        <v/>
      </c>
      <c r="T653" s="8" t="str">
        <f>IF($A653="","",IF(COUNTIF($D$2:D653,D653)=1,1,0))</f>
        <v/>
      </c>
      <c r="U653" s="8" t="str">
        <f>IF($A653="","",IF(F653="-","Cabang tdk ada",IF(IFERROR(VLOOKUP(G653,#REF!,1,0),"")="","",IF(INDEX(DATA!$AH$2:$AH$5,MATCH(G653,DATA!$AI$2:$AI$5,0))&lt;&gt;F653,"Wilayah beda","OK"))))</f>
        <v/>
      </c>
      <c r="V653" s="8" t="str">
        <f>IF($A653="","",TRIM(INDEX(FORM!$I:$I,ROW())&amp;""))</f>
        <v/>
      </c>
      <c r="W653" s="8" t="str">
        <f>IF($A653="","",TRIM(INDEX(FORM!$L:$L,ROW())&amp;""))</f>
        <v/>
      </c>
      <c r="X653" s="8" t="str">
        <f>IF($A653="","",TRIM(INDEX(FORM!$M:$M,ROW())&amp;""))</f>
        <v/>
      </c>
      <c r="Y653" s="8" t="str">
        <f>IF($A653="","",IFERROR(MATCH(F653,DATA!$AH$2:$AH$5,0),9)*10000+A653)</f>
        <v/>
      </c>
      <c r="Z653" s="8" t="str">
        <f t="shared" si="221"/>
        <v/>
      </c>
      <c r="AA653" s="8" t="str">
        <f t="shared" si="222"/>
        <v/>
      </c>
      <c r="AB653" s="8" t="str">
        <f t="shared" si="223"/>
        <v/>
      </c>
      <c r="AC653" s="8"/>
      <c r="AD653" s="8"/>
      <c r="AE653" s="8"/>
      <c r="AK653" s="5" t="str">
        <f t="shared" si="224"/>
        <v/>
      </c>
      <c r="AL653" s="5" t="str">
        <f t="shared" si="225"/>
        <v/>
      </c>
      <c r="AM653" s="5" t="str">
        <f t="shared" si="226"/>
        <v/>
      </c>
      <c r="AN653" s="5" t="str">
        <f t="shared" si="227"/>
        <v/>
      </c>
      <c r="AO653" s="5" t="str">
        <f t="shared" si="228"/>
        <v/>
      </c>
      <c r="AP653" s="5" t="str">
        <f t="shared" si="229"/>
        <v/>
      </c>
      <c r="AQ653" s="5" t="str">
        <f t="shared" si="230"/>
        <v/>
      </c>
      <c r="AR653" s="5" t="str">
        <f t="shared" si="231"/>
        <v/>
      </c>
      <c r="AS653" s="5" t="str">
        <f t="shared" si="232"/>
        <v/>
      </c>
      <c r="AT653" s="5" t="str">
        <f t="shared" si="233"/>
        <v/>
      </c>
      <c r="AU653" s="5" t="str">
        <f t="shared" si="234"/>
        <v/>
      </c>
      <c r="AV653" s="5" t="str">
        <f t="shared" si="235"/>
        <v/>
      </c>
      <c r="AW653" s="5" t="str">
        <f t="shared" si="236"/>
        <v/>
      </c>
      <c r="AX653" s="5" t="str">
        <f t="shared" si="237"/>
        <v/>
      </c>
      <c r="AY653" s="5" t="str">
        <f t="shared" si="238"/>
        <v/>
      </c>
      <c r="AZ653" s="5" t="str">
        <f t="shared" si="239"/>
        <v/>
      </c>
      <c r="BA653" s="5" t="str">
        <f t="shared" si="240"/>
        <v/>
      </c>
      <c r="BB653" s="5" t="str">
        <f t="shared" si="241"/>
        <v/>
      </c>
    </row>
    <row r="654" spans="1:54" s="5" customFormat="1" hidden="1">
      <c r="A654" s="8" t="str">
        <f>IF(INDEX(FORM!$A:$A,ROW())="","",ROW()-1)</f>
        <v/>
      </c>
      <c r="B654" s="41" t="str">
        <f>IF($A654="","",INDEX(FORM!$A:$A,ROW()))</f>
        <v/>
      </c>
      <c r="C654" s="8" t="str">
        <f>IF($A654="","",TRIM(INDEX(FORM!$B:$B,ROW())))</f>
        <v/>
      </c>
      <c r="D654" s="8" t="str">
        <f>IF($A654="","",TRIM(INDEX(FORM!$C:$C,ROW())&amp;""))</f>
        <v/>
      </c>
      <c r="E654" s="8" t="str">
        <f>IF($A654="","",UPPER(TRIM(INDEX(FORM!$D:$D,ROW()))))</f>
        <v/>
      </c>
      <c r="F654" s="8" t="str">
        <f>IF($A654="","",IFERROR(INDEX(PROGRES!$A$2:$A$92,MATCH(E654,PROGRES!$B$2:$B$92,0)),"-"))</f>
        <v/>
      </c>
      <c r="G654" s="8" t="str">
        <f>IF($A654="","",UPPER(TRIM(INDEX(FORM!$F:$F,ROW()))))</f>
        <v/>
      </c>
      <c r="H654" s="8" t="str">
        <f>IF($A654="","",UPPER(TRIM(INDEX(FORM!$E:$E,ROW()))))</f>
        <v/>
      </c>
      <c r="I654" s="8" t="str">
        <f>IF($A654="","",UPPER(TRIM(INDEX(FORM!$G:$G,ROW()))))</f>
        <v/>
      </c>
      <c r="J654" s="8" t="str">
        <f>IF($A654="","",IF(ISNUMBER(SEARCH("Ya,",INDEX(FORM!$H:$H,ROW()))),"YA",IF(ISNUMBER(SEARCH("Cukup,",INDEX(FORM!$H:$H,ROW()))),"CUKUP",IF(ISNUMBER(SEARCH("Kurang,",INDEX(FORM!$H:$H,ROW()))),"KURANG",""))))</f>
        <v/>
      </c>
      <c r="K654" s="8" t="str">
        <f>IF($A654="","",UPPER(TRIM(INDEX(FORM!$J:$J,ROW()))))</f>
        <v/>
      </c>
      <c r="L654" s="8" t="str">
        <f>IF($A654="","",IF(ISNUMBER(SEARCH("Aktivitas Harian",INDEX(FORM!$K:$K,ROW()))),1,0))</f>
        <v/>
      </c>
      <c r="M654" s="8" t="str">
        <f>IF($A654="","",IF(ISNUMBER(SEARCH("Aktivitas Mingguan",INDEX(FORM!$K:$K,ROW()))),1,0))</f>
        <v/>
      </c>
      <c r="N654" s="8" t="str">
        <f>IF($A654="","",IF(ISNUMBER(SEARCH("Aktivitas Bulanan",INDEX(FORM!$K:$K,ROW()))),1,0))</f>
        <v/>
      </c>
      <c r="O654" s="8" t="str">
        <f>IF($A654="","",IF(ISNUMBER(SEARCH("Overview Cabang",INDEX(FORM!$K:$K,ROW()))),1,0))</f>
        <v/>
      </c>
      <c r="P654" s="8" t="str">
        <f>IF($A654="","",IFERROR(VLOOKUP(I654,DATA!$AH$9:$AI$13,2,0),""))</f>
        <v/>
      </c>
      <c r="Q654" s="8" t="str">
        <f>IF($A654="","",IFERROR(VLOOKUP(J654,DATA!$AH$9:$AI$13,2,0),""))</f>
        <v/>
      </c>
      <c r="R654" s="8" t="str">
        <f>IF($A654="","",IFERROR(VLOOKUP(K654,DATA!$AH$9:$AI$13,2,0),""))</f>
        <v/>
      </c>
      <c r="S654" s="42" t="str">
        <f t="shared" si="220"/>
        <v/>
      </c>
      <c r="T654" s="8" t="str">
        <f>IF($A654="","",IF(COUNTIF($D$2:D654,D654)=1,1,0))</f>
        <v/>
      </c>
      <c r="U654" s="8" t="str">
        <f>IF($A654="","",IF(F654="-","Cabang tdk ada",IF(IFERROR(VLOOKUP(G654,#REF!,1,0),"")="","",IF(INDEX(DATA!$AH$2:$AH$5,MATCH(G654,DATA!$AI$2:$AI$5,0))&lt;&gt;F654,"Wilayah beda","OK"))))</f>
        <v/>
      </c>
      <c r="V654" s="8" t="str">
        <f>IF($A654="","",TRIM(INDEX(FORM!$I:$I,ROW())&amp;""))</f>
        <v/>
      </c>
      <c r="W654" s="8" t="str">
        <f>IF($A654="","",TRIM(INDEX(FORM!$L:$L,ROW())&amp;""))</f>
        <v/>
      </c>
      <c r="X654" s="8" t="str">
        <f>IF($A654="","",TRIM(INDEX(FORM!$M:$M,ROW())&amp;""))</f>
        <v/>
      </c>
      <c r="Y654" s="8" t="str">
        <f>IF($A654="","",IFERROR(MATCH(F654,DATA!$AH$2:$AH$5,0),9)*10000+A654)</f>
        <v/>
      </c>
      <c r="Z654" s="8" t="str">
        <f t="shared" si="221"/>
        <v/>
      </c>
      <c r="AA654" s="8" t="str">
        <f t="shared" si="222"/>
        <v/>
      </c>
      <c r="AB654" s="8" t="str">
        <f t="shared" si="223"/>
        <v/>
      </c>
      <c r="AC654" s="8"/>
      <c r="AD654" s="8"/>
      <c r="AE654" s="8"/>
      <c r="AK654" s="5" t="str">
        <f t="shared" si="224"/>
        <v/>
      </c>
      <c r="AL654" s="5" t="str">
        <f t="shared" si="225"/>
        <v/>
      </c>
      <c r="AM654" s="5" t="str">
        <f t="shared" si="226"/>
        <v/>
      </c>
      <c r="AN654" s="5" t="str">
        <f t="shared" si="227"/>
        <v/>
      </c>
      <c r="AO654" s="5" t="str">
        <f t="shared" si="228"/>
        <v/>
      </c>
      <c r="AP654" s="5" t="str">
        <f t="shared" si="229"/>
        <v/>
      </c>
      <c r="AQ654" s="5" t="str">
        <f t="shared" si="230"/>
        <v/>
      </c>
      <c r="AR654" s="5" t="str">
        <f t="shared" si="231"/>
        <v/>
      </c>
      <c r="AS654" s="5" t="str">
        <f t="shared" si="232"/>
        <v/>
      </c>
      <c r="AT654" s="5" t="str">
        <f t="shared" si="233"/>
        <v/>
      </c>
      <c r="AU654" s="5" t="str">
        <f t="shared" si="234"/>
        <v/>
      </c>
      <c r="AV654" s="5" t="str">
        <f t="shared" si="235"/>
        <v/>
      </c>
      <c r="AW654" s="5" t="str">
        <f t="shared" si="236"/>
        <v/>
      </c>
      <c r="AX654" s="5" t="str">
        <f t="shared" si="237"/>
        <v/>
      </c>
      <c r="AY654" s="5" t="str">
        <f t="shared" si="238"/>
        <v/>
      </c>
      <c r="AZ654" s="5" t="str">
        <f t="shared" si="239"/>
        <v/>
      </c>
      <c r="BA654" s="5" t="str">
        <f t="shared" si="240"/>
        <v/>
      </c>
      <c r="BB654" s="5" t="str">
        <f t="shared" si="241"/>
        <v/>
      </c>
    </row>
    <row r="655" spans="1:54" s="5" customFormat="1" hidden="1">
      <c r="A655" s="8" t="str">
        <f>IF(INDEX(FORM!$A:$A,ROW())="","",ROW()-1)</f>
        <v/>
      </c>
      <c r="B655" s="41" t="str">
        <f>IF($A655="","",INDEX(FORM!$A:$A,ROW()))</f>
        <v/>
      </c>
      <c r="C655" s="8" t="str">
        <f>IF($A655="","",TRIM(INDEX(FORM!$B:$B,ROW())))</f>
        <v/>
      </c>
      <c r="D655" s="8" t="str">
        <f>IF($A655="","",TRIM(INDEX(FORM!$C:$C,ROW())&amp;""))</f>
        <v/>
      </c>
      <c r="E655" s="8" t="str">
        <f>IF($A655="","",UPPER(TRIM(INDEX(FORM!$D:$D,ROW()))))</f>
        <v/>
      </c>
      <c r="F655" s="8" t="str">
        <f>IF($A655="","",IFERROR(INDEX(PROGRES!$A$2:$A$92,MATCH(E655,PROGRES!$B$2:$B$92,0)),"-"))</f>
        <v/>
      </c>
      <c r="G655" s="8" t="str">
        <f>IF($A655="","",UPPER(TRIM(INDEX(FORM!$F:$F,ROW()))))</f>
        <v/>
      </c>
      <c r="H655" s="8" t="str">
        <f>IF($A655="","",UPPER(TRIM(INDEX(FORM!$E:$E,ROW()))))</f>
        <v/>
      </c>
      <c r="I655" s="8" t="str">
        <f>IF($A655="","",UPPER(TRIM(INDEX(FORM!$G:$G,ROW()))))</f>
        <v/>
      </c>
      <c r="J655" s="8" t="str">
        <f>IF($A655="","",IF(ISNUMBER(SEARCH("Ya,",INDEX(FORM!$H:$H,ROW()))),"YA",IF(ISNUMBER(SEARCH("Cukup,",INDEX(FORM!$H:$H,ROW()))),"CUKUP",IF(ISNUMBER(SEARCH("Kurang,",INDEX(FORM!$H:$H,ROW()))),"KURANG",""))))</f>
        <v/>
      </c>
      <c r="K655" s="8" t="str">
        <f>IF($A655="","",UPPER(TRIM(INDEX(FORM!$J:$J,ROW()))))</f>
        <v/>
      </c>
      <c r="L655" s="8" t="str">
        <f>IF($A655="","",IF(ISNUMBER(SEARCH("Aktivitas Harian",INDEX(FORM!$K:$K,ROW()))),1,0))</f>
        <v/>
      </c>
      <c r="M655" s="8" t="str">
        <f>IF($A655="","",IF(ISNUMBER(SEARCH("Aktivitas Mingguan",INDEX(FORM!$K:$K,ROW()))),1,0))</f>
        <v/>
      </c>
      <c r="N655" s="8" t="str">
        <f>IF($A655="","",IF(ISNUMBER(SEARCH("Aktivitas Bulanan",INDEX(FORM!$K:$K,ROW()))),1,0))</f>
        <v/>
      </c>
      <c r="O655" s="8" t="str">
        <f>IF($A655="","",IF(ISNUMBER(SEARCH("Overview Cabang",INDEX(FORM!$K:$K,ROW()))),1,0))</f>
        <v/>
      </c>
      <c r="P655" s="8" t="str">
        <f>IF($A655="","",IFERROR(VLOOKUP(I655,DATA!$AH$9:$AI$13,2,0),""))</f>
        <v/>
      </c>
      <c r="Q655" s="8" t="str">
        <f>IF($A655="","",IFERROR(VLOOKUP(J655,DATA!$AH$9:$AI$13,2,0),""))</f>
        <v/>
      </c>
      <c r="R655" s="8" t="str">
        <f>IF($A655="","",IFERROR(VLOOKUP(K655,DATA!$AH$9:$AI$13,2,0),""))</f>
        <v/>
      </c>
      <c r="S655" s="42" t="str">
        <f t="shared" si="220"/>
        <v/>
      </c>
      <c r="T655" s="8" t="str">
        <f>IF($A655="","",IF(COUNTIF($D$2:D655,D655)=1,1,0))</f>
        <v/>
      </c>
      <c r="U655" s="8" t="str">
        <f>IF($A655="","",IF(F655="-","Cabang tdk ada",IF(IFERROR(VLOOKUP(G655,#REF!,1,0),"")="","",IF(INDEX(DATA!$AH$2:$AH$5,MATCH(G655,DATA!$AI$2:$AI$5,0))&lt;&gt;F655,"Wilayah beda","OK"))))</f>
        <v/>
      </c>
      <c r="V655" s="8" t="str">
        <f>IF($A655="","",TRIM(INDEX(FORM!$I:$I,ROW())&amp;""))</f>
        <v/>
      </c>
      <c r="W655" s="8" t="str">
        <f>IF($A655="","",TRIM(INDEX(FORM!$L:$L,ROW())&amp;""))</f>
        <v/>
      </c>
      <c r="X655" s="8" t="str">
        <f>IF($A655="","",TRIM(INDEX(FORM!$M:$M,ROW())&amp;""))</f>
        <v/>
      </c>
      <c r="Y655" s="8" t="str">
        <f>IF($A655="","",IFERROR(MATCH(F655,DATA!$AH$2:$AH$5,0),9)*10000+A655)</f>
        <v/>
      </c>
      <c r="Z655" s="8" t="str">
        <f t="shared" si="221"/>
        <v/>
      </c>
      <c r="AA655" s="8" t="str">
        <f t="shared" si="222"/>
        <v/>
      </c>
      <c r="AB655" s="8" t="str">
        <f t="shared" si="223"/>
        <v/>
      </c>
      <c r="AC655" s="8"/>
      <c r="AD655" s="8"/>
      <c r="AE655" s="8"/>
      <c r="AK655" s="5" t="str">
        <f t="shared" si="224"/>
        <v/>
      </c>
      <c r="AL655" s="5" t="str">
        <f t="shared" si="225"/>
        <v/>
      </c>
      <c r="AM655" s="5" t="str">
        <f t="shared" si="226"/>
        <v/>
      </c>
      <c r="AN655" s="5" t="str">
        <f t="shared" si="227"/>
        <v/>
      </c>
      <c r="AO655" s="5" t="str">
        <f t="shared" si="228"/>
        <v/>
      </c>
      <c r="AP655" s="5" t="str">
        <f t="shared" si="229"/>
        <v/>
      </c>
      <c r="AQ655" s="5" t="str">
        <f t="shared" si="230"/>
        <v/>
      </c>
      <c r="AR655" s="5" t="str">
        <f t="shared" si="231"/>
        <v/>
      </c>
      <c r="AS655" s="5" t="str">
        <f t="shared" si="232"/>
        <v/>
      </c>
      <c r="AT655" s="5" t="str">
        <f t="shared" si="233"/>
        <v/>
      </c>
      <c r="AU655" s="5" t="str">
        <f t="shared" si="234"/>
        <v/>
      </c>
      <c r="AV655" s="5" t="str">
        <f t="shared" si="235"/>
        <v/>
      </c>
      <c r="AW655" s="5" t="str">
        <f t="shared" si="236"/>
        <v/>
      </c>
      <c r="AX655" s="5" t="str">
        <f t="shared" si="237"/>
        <v/>
      </c>
      <c r="AY655" s="5" t="str">
        <f t="shared" si="238"/>
        <v/>
      </c>
      <c r="AZ655" s="5" t="str">
        <f t="shared" si="239"/>
        <v/>
      </c>
      <c r="BA655" s="5" t="str">
        <f t="shared" si="240"/>
        <v/>
      </c>
      <c r="BB655" s="5" t="str">
        <f t="shared" si="241"/>
        <v/>
      </c>
    </row>
    <row r="656" spans="1:54" s="5" customFormat="1" hidden="1">
      <c r="A656" s="8" t="str">
        <f>IF(INDEX(FORM!$A:$A,ROW())="","",ROW()-1)</f>
        <v/>
      </c>
      <c r="B656" s="41" t="str">
        <f>IF($A656="","",INDEX(FORM!$A:$A,ROW()))</f>
        <v/>
      </c>
      <c r="C656" s="8" t="str">
        <f>IF($A656="","",TRIM(INDEX(FORM!$B:$B,ROW())))</f>
        <v/>
      </c>
      <c r="D656" s="8" t="str">
        <f>IF($A656="","",TRIM(INDEX(FORM!$C:$C,ROW())&amp;""))</f>
        <v/>
      </c>
      <c r="E656" s="8" t="str">
        <f>IF($A656="","",UPPER(TRIM(INDEX(FORM!$D:$D,ROW()))))</f>
        <v/>
      </c>
      <c r="F656" s="8" t="str">
        <f>IF($A656="","",IFERROR(INDEX(PROGRES!$A$2:$A$92,MATCH(E656,PROGRES!$B$2:$B$92,0)),"-"))</f>
        <v/>
      </c>
      <c r="G656" s="8" t="str">
        <f>IF($A656="","",UPPER(TRIM(INDEX(FORM!$F:$F,ROW()))))</f>
        <v/>
      </c>
      <c r="H656" s="8" t="str">
        <f>IF($A656="","",UPPER(TRIM(INDEX(FORM!$E:$E,ROW()))))</f>
        <v/>
      </c>
      <c r="I656" s="8" t="str">
        <f>IF($A656="","",UPPER(TRIM(INDEX(FORM!$G:$G,ROW()))))</f>
        <v/>
      </c>
      <c r="J656" s="8" t="str">
        <f>IF($A656="","",IF(ISNUMBER(SEARCH("Ya,",INDEX(FORM!$H:$H,ROW()))),"YA",IF(ISNUMBER(SEARCH("Cukup,",INDEX(FORM!$H:$H,ROW()))),"CUKUP",IF(ISNUMBER(SEARCH("Kurang,",INDEX(FORM!$H:$H,ROW()))),"KURANG",""))))</f>
        <v/>
      </c>
      <c r="K656" s="8" t="str">
        <f>IF($A656="","",UPPER(TRIM(INDEX(FORM!$J:$J,ROW()))))</f>
        <v/>
      </c>
      <c r="L656" s="8" t="str">
        <f>IF($A656="","",IF(ISNUMBER(SEARCH("Aktivitas Harian",INDEX(FORM!$K:$K,ROW()))),1,0))</f>
        <v/>
      </c>
      <c r="M656" s="8" t="str">
        <f>IF($A656="","",IF(ISNUMBER(SEARCH("Aktivitas Mingguan",INDEX(FORM!$K:$K,ROW()))),1,0))</f>
        <v/>
      </c>
      <c r="N656" s="8" t="str">
        <f>IF($A656="","",IF(ISNUMBER(SEARCH("Aktivitas Bulanan",INDEX(FORM!$K:$K,ROW()))),1,0))</f>
        <v/>
      </c>
      <c r="O656" s="8" t="str">
        <f>IF($A656="","",IF(ISNUMBER(SEARCH("Overview Cabang",INDEX(FORM!$K:$K,ROW()))),1,0))</f>
        <v/>
      </c>
      <c r="P656" s="8" t="str">
        <f>IF($A656="","",IFERROR(VLOOKUP(I656,DATA!$AH$9:$AI$13,2,0),""))</f>
        <v/>
      </c>
      <c r="Q656" s="8" t="str">
        <f>IF($A656="","",IFERROR(VLOOKUP(J656,DATA!$AH$9:$AI$13,2,0),""))</f>
        <v/>
      </c>
      <c r="R656" s="8" t="str">
        <f>IF($A656="","",IFERROR(VLOOKUP(K656,DATA!$AH$9:$AI$13,2,0),""))</f>
        <v/>
      </c>
      <c r="S656" s="42" t="str">
        <f t="shared" si="220"/>
        <v/>
      </c>
      <c r="T656" s="8" t="str">
        <f>IF($A656="","",IF(COUNTIF($D$2:D656,D656)=1,1,0))</f>
        <v/>
      </c>
      <c r="U656" s="8" t="str">
        <f>IF($A656="","",IF(F656="-","Cabang tdk ada",IF(IFERROR(VLOOKUP(G656,#REF!,1,0),"")="","",IF(INDEX(DATA!$AH$2:$AH$5,MATCH(G656,DATA!$AI$2:$AI$5,0))&lt;&gt;F656,"Wilayah beda","OK"))))</f>
        <v/>
      </c>
      <c r="V656" s="8" t="str">
        <f>IF($A656="","",TRIM(INDEX(FORM!$I:$I,ROW())&amp;""))</f>
        <v/>
      </c>
      <c r="W656" s="8" t="str">
        <f>IF($A656="","",TRIM(INDEX(FORM!$L:$L,ROW())&amp;""))</f>
        <v/>
      </c>
      <c r="X656" s="8" t="str">
        <f>IF($A656="","",TRIM(INDEX(FORM!$M:$M,ROW())&amp;""))</f>
        <v/>
      </c>
      <c r="Y656" s="8" t="str">
        <f>IF($A656="","",IFERROR(MATCH(F656,DATA!$AH$2:$AH$5,0),9)*10000+A656)</f>
        <v/>
      </c>
      <c r="Z656" s="8" t="str">
        <f t="shared" si="221"/>
        <v/>
      </c>
      <c r="AA656" s="8" t="str">
        <f t="shared" si="222"/>
        <v/>
      </c>
      <c r="AB656" s="8" t="str">
        <f t="shared" si="223"/>
        <v/>
      </c>
      <c r="AC656" s="8"/>
      <c r="AD656" s="8"/>
      <c r="AE656" s="8"/>
      <c r="AK656" s="5" t="str">
        <f t="shared" si="224"/>
        <v/>
      </c>
      <c r="AL656" s="5" t="str">
        <f t="shared" si="225"/>
        <v/>
      </c>
      <c r="AM656" s="5" t="str">
        <f t="shared" si="226"/>
        <v/>
      </c>
      <c r="AN656" s="5" t="str">
        <f t="shared" si="227"/>
        <v/>
      </c>
      <c r="AO656" s="5" t="str">
        <f t="shared" si="228"/>
        <v/>
      </c>
      <c r="AP656" s="5" t="str">
        <f t="shared" si="229"/>
        <v/>
      </c>
      <c r="AQ656" s="5" t="str">
        <f t="shared" si="230"/>
        <v/>
      </c>
      <c r="AR656" s="5" t="str">
        <f t="shared" si="231"/>
        <v/>
      </c>
      <c r="AS656" s="5" t="str">
        <f t="shared" si="232"/>
        <v/>
      </c>
      <c r="AT656" s="5" t="str">
        <f t="shared" si="233"/>
        <v/>
      </c>
      <c r="AU656" s="5" t="str">
        <f t="shared" si="234"/>
        <v/>
      </c>
      <c r="AV656" s="5" t="str">
        <f t="shared" si="235"/>
        <v/>
      </c>
      <c r="AW656" s="5" t="str">
        <f t="shared" si="236"/>
        <v/>
      </c>
      <c r="AX656" s="5" t="str">
        <f t="shared" si="237"/>
        <v/>
      </c>
      <c r="AY656" s="5" t="str">
        <f t="shared" si="238"/>
        <v/>
      </c>
      <c r="AZ656" s="5" t="str">
        <f t="shared" si="239"/>
        <v/>
      </c>
      <c r="BA656" s="5" t="str">
        <f t="shared" si="240"/>
        <v/>
      </c>
      <c r="BB656" s="5" t="str">
        <f t="shared" si="241"/>
        <v/>
      </c>
    </row>
    <row r="657" spans="1:54" s="5" customFormat="1" hidden="1">
      <c r="A657" s="8" t="str">
        <f>IF(INDEX(FORM!$A:$A,ROW())="","",ROW()-1)</f>
        <v/>
      </c>
      <c r="B657" s="41" t="str">
        <f>IF($A657="","",INDEX(FORM!$A:$A,ROW()))</f>
        <v/>
      </c>
      <c r="C657" s="8" t="str">
        <f>IF($A657="","",TRIM(INDEX(FORM!$B:$B,ROW())))</f>
        <v/>
      </c>
      <c r="D657" s="8" t="str">
        <f>IF($A657="","",TRIM(INDEX(FORM!$C:$C,ROW())&amp;""))</f>
        <v/>
      </c>
      <c r="E657" s="8" t="str">
        <f>IF($A657="","",UPPER(TRIM(INDEX(FORM!$D:$D,ROW()))))</f>
        <v/>
      </c>
      <c r="F657" s="8" t="str">
        <f>IF($A657="","",IFERROR(INDEX(PROGRES!$A$2:$A$92,MATCH(E657,PROGRES!$B$2:$B$92,0)),"-"))</f>
        <v/>
      </c>
      <c r="G657" s="8" t="str">
        <f>IF($A657="","",UPPER(TRIM(INDEX(FORM!$F:$F,ROW()))))</f>
        <v/>
      </c>
      <c r="H657" s="8" t="str">
        <f>IF($A657="","",UPPER(TRIM(INDEX(FORM!$E:$E,ROW()))))</f>
        <v/>
      </c>
      <c r="I657" s="8" t="str">
        <f>IF($A657="","",UPPER(TRIM(INDEX(FORM!$G:$G,ROW()))))</f>
        <v/>
      </c>
      <c r="J657" s="8" t="str">
        <f>IF($A657="","",IF(ISNUMBER(SEARCH("Ya,",INDEX(FORM!$H:$H,ROW()))),"YA",IF(ISNUMBER(SEARCH("Cukup,",INDEX(FORM!$H:$H,ROW()))),"CUKUP",IF(ISNUMBER(SEARCH("Kurang,",INDEX(FORM!$H:$H,ROW()))),"KURANG",""))))</f>
        <v/>
      </c>
      <c r="K657" s="8" t="str">
        <f>IF($A657="","",UPPER(TRIM(INDEX(FORM!$J:$J,ROW()))))</f>
        <v/>
      </c>
      <c r="L657" s="8" t="str">
        <f>IF($A657="","",IF(ISNUMBER(SEARCH("Aktivitas Harian",INDEX(FORM!$K:$K,ROW()))),1,0))</f>
        <v/>
      </c>
      <c r="M657" s="8" t="str">
        <f>IF($A657="","",IF(ISNUMBER(SEARCH("Aktivitas Mingguan",INDEX(FORM!$K:$K,ROW()))),1,0))</f>
        <v/>
      </c>
      <c r="N657" s="8" t="str">
        <f>IF($A657="","",IF(ISNUMBER(SEARCH("Aktivitas Bulanan",INDEX(FORM!$K:$K,ROW()))),1,0))</f>
        <v/>
      </c>
      <c r="O657" s="8" t="str">
        <f>IF($A657="","",IF(ISNUMBER(SEARCH("Overview Cabang",INDEX(FORM!$K:$K,ROW()))),1,0))</f>
        <v/>
      </c>
      <c r="P657" s="8" t="str">
        <f>IF($A657="","",IFERROR(VLOOKUP(I657,DATA!$AH$9:$AI$13,2,0),""))</f>
        <v/>
      </c>
      <c r="Q657" s="8" t="str">
        <f>IF($A657="","",IFERROR(VLOOKUP(J657,DATA!$AH$9:$AI$13,2,0),""))</f>
        <v/>
      </c>
      <c r="R657" s="8" t="str">
        <f>IF($A657="","",IFERROR(VLOOKUP(K657,DATA!$AH$9:$AI$13,2,0),""))</f>
        <v/>
      </c>
      <c r="S657" s="42" t="str">
        <f t="shared" si="220"/>
        <v/>
      </c>
      <c r="T657" s="8" t="str">
        <f>IF($A657="","",IF(COUNTIF($D$2:D657,D657)=1,1,0))</f>
        <v/>
      </c>
      <c r="U657" s="8" t="str">
        <f>IF($A657="","",IF(F657="-","Cabang tdk ada",IF(IFERROR(VLOOKUP(G657,#REF!,1,0),"")="","",IF(INDEX(DATA!$AH$2:$AH$5,MATCH(G657,DATA!$AI$2:$AI$5,0))&lt;&gt;F657,"Wilayah beda","OK"))))</f>
        <v/>
      </c>
      <c r="V657" s="8" t="str">
        <f>IF($A657="","",TRIM(INDEX(FORM!$I:$I,ROW())&amp;""))</f>
        <v/>
      </c>
      <c r="W657" s="8" t="str">
        <f>IF($A657="","",TRIM(INDEX(FORM!$L:$L,ROW())&amp;""))</f>
        <v/>
      </c>
      <c r="X657" s="8" t="str">
        <f>IF($A657="","",TRIM(INDEX(FORM!$M:$M,ROW())&amp;""))</f>
        <v/>
      </c>
      <c r="Y657" s="8" t="str">
        <f>IF($A657="","",IFERROR(MATCH(F657,DATA!$AH$2:$AH$5,0),9)*10000+A657)</f>
        <v/>
      </c>
      <c r="Z657" s="8" t="str">
        <f t="shared" si="221"/>
        <v/>
      </c>
      <c r="AA657" s="8" t="str">
        <f t="shared" si="222"/>
        <v/>
      </c>
      <c r="AB657" s="8" t="str">
        <f t="shared" si="223"/>
        <v/>
      </c>
      <c r="AC657" s="8"/>
      <c r="AD657" s="8"/>
      <c r="AE657" s="8"/>
      <c r="AK657" s="5" t="str">
        <f t="shared" si="224"/>
        <v/>
      </c>
      <c r="AL657" s="5" t="str">
        <f t="shared" si="225"/>
        <v/>
      </c>
      <c r="AM657" s="5" t="str">
        <f t="shared" si="226"/>
        <v/>
      </c>
      <c r="AN657" s="5" t="str">
        <f t="shared" si="227"/>
        <v/>
      </c>
      <c r="AO657" s="5" t="str">
        <f t="shared" si="228"/>
        <v/>
      </c>
      <c r="AP657" s="5" t="str">
        <f t="shared" si="229"/>
        <v/>
      </c>
      <c r="AQ657" s="5" t="str">
        <f t="shared" si="230"/>
        <v/>
      </c>
      <c r="AR657" s="5" t="str">
        <f t="shared" si="231"/>
        <v/>
      </c>
      <c r="AS657" s="5" t="str">
        <f t="shared" si="232"/>
        <v/>
      </c>
      <c r="AT657" s="5" t="str">
        <f t="shared" si="233"/>
        <v/>
      </c>
      <c r="AU657" s="5" t="str">
        <f t="shared" si="234"/>
        <v/>
      </c>
      <c r="AV657" s="5" t="str">
        <f t="shared" si="235"/>
        <v/>
      </c>
      <c r="AW657" s="5" t="str">
        <f t="shared" si="236"/>
        <v/>
      </c>
      <c r="AX657" s="5" t="str">
        <f t="shared" si="237"/>
        <v/>
      </c>
      <c r="AY657" s="5" t="str">
        <f t="shared" si="238"/>
        <v/>
      </c>
      <c r="AZ657" s="5" t="str">
        <f t="shared" si="239"/>
        <v/>
      </c>
      <c r="BA657" s="5" t="str">
        <f t="shared" si="240"/>
        <v/>
      </c>
      <c r="BB657" s="5" t="str">
        <f t="shared" si="241"/>
        <v/>
      </c>
    </row>
    <row r="658" spans="1:54" s="5" customFormat="1" hidden="1">
      <c r="A658" s="8" t="str">
        <f>IF(INDEX(FORM!$A:$A,ROW())="","",ROW()-1)</f>
        <v/>
      </c>
      <c r="B658" s="41" t="str">
        <f>IF($A658="","",INDEX(FORM!$A:$A,ROW()))</f>
        <v/>
      </c>
      <c r="C658" s="8" t="str">
        <f>IF($A658="","",TRIM(INDEX(FORM!$B:$B,ROW())))</f>
        <v/>
      </c>
      <c r="D658" s="8" t="str">
        <f>IF($A658="","",TRIM(INDEX(FORM!$C:$C,ROW())&amp;""))</f>
        <v/>
      </c>
      <c r="E658" s="8" t="str">
        <f>IF($A658="","",UPPER(TRIM(INDEX(FORM!$D:$D,ROW()))))</f>
        <v/>
      </c>
      <c r="F658" s="8" t="str">
        <f>IF($A658="","",IFERROR(INDEX(PROGRES!$A$2:$A$92,MATCH(E658,PROGRES!$B$2:$B$92,0)),"-"))</f>
        <v/>
      </c>
      <c r="G658" s="8" t="str">
        <f>IF($A658="","",UPPER(TRIM(INDEX(FORM!$F:$F,ROW()))))</f>
        <v/>
      </c>
      <c r="H658" s="8" t="str">
        <f>IF($A658="","",UPPER(TRIM(INDEX(FORM!$E:$E,ROW()))))</f>
        <v/>
      </c>
      <c r="I658" s="8" t="str">
        <f>IF($A658="","",UPPER(TRIM(INDEX(FORM!$G:$G,ROW()))))</f>
        <v/>
      </c>
      <c r="J658" s="8" t="str">
        <f>IF($A658="","",IF(ISNUMBER(SEARCH("Ya,",INDEX(FORM!$H:$H,ROW()))),"YA",IF(ISNUMBER(SEARCH("Cukup,",INDEX(FORM!$H:$H,ROW()))),"CUKUP",IF(ISNUMBER(SEARCH("Kurang,",INDEX(FORM!$H:$H,ROW()))),"KURANG",""))))</f>
        <v/>
      </c>
      <c r="K658" s="8" t="str">
        <f>IF($A658="","",UPPER(TRIM(INDEX(FORM!$J:$J,ROW()))))</f>
        <v/>
      </c>
      <c r="L658" s="8" t="str">
        <f>IF($A658="","",IF(ISNUMBER(SEARCH("Aktivitas Harian",INDEX(FORM!$K:$K,ROW()))),1,0))</f>
        <v/>
      </c>
      <c r="M658" s="8" t="str">
        <f>IF($A658="","",IF(ISNUMBER(SEARCH("Aktivitas Mingguan",INDEX(FORM!$K:$K,ROW()))),1,0))</f>
        <v/>
      </c>
      <c r="N658" s="8" t="str">
        <f>IF($A658="","",IF(ISNUMBER(SEARCH("Aktivitas Bulanan",INDEX(FORM!$K:$K,ROW()))),1,0))</f>
        <v/>
      </c>
      <c r="O658" s="8" t="str">
        <f>IF($A658="","",IF(ISNUMBER(SEARCH("Overview Cabang",INDEX(FORM!$K:$K,ROW()))),1,0))</f>
        <v/>
      </c>
      <c r="P658" s="8" t="str">
        <f>IF($A658="","",IFERROR(VLOOKUP(I658,DATA!$AH$9:$AI$13,2,0),""))</f>
        <v/>
      </c>
      <c r="Q658" s="8" t="str">
        <f>IF($A658="","",IFERROR(VLOOKUP(J658,DATA!$AH$9:$AI$13,2,0),""))</f>
        <v/>
      </c>
      <c r="R658" s="8" t="str">
        <f>IF($A658="","",IFERROR(VLOOKUP(K658,DATA!$AH$9:$AI$13,2,0),""))</f>
        <v/>
      </c>
      <c r="S658" s="42" t="str">
        <f t="shared" si="220"/>
        <v/>
      </c>
      <c r="T658" s="8" t="str">
        <f>IF($A658="","",IF(COUNTIF($D$2:D658,D658)=1,1,0))</f>
        <v/>
      </c>
      <c r="U658" s="8" t="str">
        <f>IF($A658="","",IF(F658="-","Cabang tdk ada",IF(IFERROR(VLOOKUP(G658,#REF!,1,0),"")="","",IF(INDEX(DATA!$AH$2:$AH$5,MATCH(G658,DATA!$AI$2:$AI$5,0))&lt;&gt;F658,"Wilayah beda","OK"))))</f>
        <v/>
      </c>
      <c r="V658" s="8" t="str">
        <f>IF($A658="","",TRIM(INDEX(FORM!$I:$I,ROW())&amp;""))</f>
        <v/>
      </c>
      <c r="W658" s="8" t="str">
        <f>IF($A658="","",TRIM(INDEX(FORM!$L:$L,ROW())&amp;""))</f>
        <v/>
      </c>
      <c r="X658" s="8" t="str">
        <f>IF($A658="","",TRIM(INDEX(FORM!$M:$M,ROW())&amp;""))</f>
        <v/>
      </c>
      <c r="Y658" s="8" t="str">
        <f>IF($A658="","",IFERROR(MATCH(F658,DATA!$AH$2:$AH$5,0),9)*10000+A658)</f>
        <v/>
      </c>
      <c r="Z658" s="8" t="str">
        <f t="shared" si="221"/>
        <v/>
      </c>
      <c r="AA658" s="8" t="str">
        <f t="shared" si="222"/>
        <v/>
      </c>
      <c r="AB658" s="8" t="str">
        <f t="shared" si="223"/>
        <v/>
      </c>
      <c r="AC658" s="8"/>
      <c r="AD658" s="8"/>
      <c r="AE658" s="8"/>
      <c r="AK658" s="5" t="str">
        <f t="shared" si="224"/>
        <v/>
      </c>
      <c r="AL658" s="5" t="str">
        <f t="shared" si="225"/>
        <v/>
      </c>
      <c r="AM658" s="5" t="str">
        <f t="shared" si="226"/>
        <v/>
      </c>
      <c r="AN658" s="5" t="str">
        <f t="shared" si="227"/>
        <v/>
      </c>
      <c r="AO658" s="5" t="str">
        <f t="shared" si="228"/>
        <v/>
      </c>
      <c r="AP658" s="5" t="str">
        <f t="shared" si="229"/>
        <v/>
      </c>
      <c r="AQ658" s="5" t="str">
        <f t="shared" si="230"/>
        <v/>
      </c>
      <c r="AR658" s="5" t="str">
        <f t="shared" si="231"/>
        <v/>
      </c>
      <c r="AS658" s="5" t="str">
        <f t="shared" si="232"/>
        <v/>
      </c>
      <c r="AT658" s="5" t="str">
        <f t="shared" si="233"/>
        <v/>
      </c>
      <c r="AU658" s="5" t="str">
        <f t="shared" si="234"/>
        <v/>
      </c>
      <c r="AV658" s="5" t="str">
        <f t="shared" si="235"/>
        <v/>
      </c>
      <c r="AW658" s="5" t="str">
        <f t="shared" si="236"/>
        <v/>
      </c>
      <c r="AX658" s="5" t="str">
        <f t="shared" si="237"/>
        <v/>
      </c>
      <c r="AY658" s="5" t="str">
        <f t="shared" si="238"/>
        <v/>
      </c>
      <c r="AZ658" s="5" t="str">
        <f t="shared" si="239"/>
        <v/>
      </c>
      <c r="BA658" s="5" t="str">
        <f t="shared" si="240"/>
        <v/>
      </c>
      <c r="BB658" s="5" t="str">
        <f t="shared" si="241"/>
        <v/>
      </c>
    </row>
    <row r="659" spans="1:54" s="5" customFormat="1" hidden="1">
      <c r="A659" s="8" t="str">
        <f>IF(INDEX(FORM!$A:$A,ROW())="","",ROW()-1)</f>
        <v/>
      </c>
      <c r="B659" s="41" t="str">
        <f>IF($A659="","",INDEX(FORM!$A:$A,ROW()))</f>
        <v/>
      </c>
      <c r="C659" s="8" t="str">
        <f>IF($A659="","",TRIM(INDEX(FORM!$B:$B,ROW())))</f>
        <v/>
      </c>
      <c r="D659" s="8" t="str">
        <f>IF($A659="","",TRIM(INDEX(FORM!$C:$C,ROW())&amp;""))</f>
        <v/>
      </c>
      <c r="E659" s="8" t="str">
        <f>IF($A659="","",UPPER(TRIM(INDEX(FORM!$D:$D,ROW()))))</f>
        <v/>
      </c>
      <c r="F659" s="8" t="str">
        <f>IF($A659="","",IFERROR(INDEX(PROGRES!$A$2:$A$92,MATCH(E659,PROGRES!$B$2:$B$92,0)),"-"))</f>
        <v/>
      </c>
      <c r="G659" s="8" t="str">
        <f>IF($A659="","",UPPER(TRIM(INDEX(FORM!$F:$F,ROW()))))</f>
        <v/>
      </c>
      <c r="H659" s="8" t="str">
        <f>IF($A659="","",UPPER(TRIM(INDEX(FORM!$E:$E,ROW()))))</f>
        <v/>
      </c>
      <c r="I659" s="8" t="str">
        <f>IF($A659="","",UPPER(TRIM(INDEX(FORM!$G:$G,ROW()))))</f>
        <v/>
      </c>
      <c r="J659" s="8" t="str">
        <f>IF($A659="","",IF(ISNUMBER(SEARCH("Ya,",INDEX(FORM!$H:$H,ROW()))),"YA",IF(ISNUMBER(SEARCH("Cukup,",INDEX(FORM!$H:$H,ROW()))),"CUKUP",IF(ISNUMBER(SEARCH("Kurang,",INDEX(FORM!$H:$H,ROW()))),"KURANG",""))))</f>
        <v/>
      </c>
      <c r="K659" s="8" t="str">
        <f>IF($A659="","",UPPER(TRIM(INDEX(FORM!$J:$J,ROW()))))</f>
        <v/>
      </c>
      <c r="L659" s="8" t="str">
        <f>IF($A659="","",IF(ISNUMBER(SEARCH("Aktivitas Harian",INDEX(FORM!$K:$K,ROW()))),1,0))</f>
        <v/>
      </c>
      <c r="M659" s="8" t="str">
        <f>IF($A659="","",IF(ISNUMBER(SEARCH("Aktivitas Mingguan",INDEX(FORM!$K:$K,ROW()))),1,0))</f>
        <v/>
      </c>
      <c r="N659" s="8" t="str">
        <f>IF($A659="","",IF(ISNUMBER(SEARCH("Aktivitas Bulanan",INDEX(FORM!$K:$K,ROW()))),1,0))</f>
        <v/>
      </c>
      <c r="O659" s="8" t="str">
        <f>IF($A659="","",IF(ISNUMBER(SEARCH("Overview Cabang",INDEX(FORM!$K:$K,ROW()))),1,0))</f>
        <v/>
      </c>
      <c r="P659" s="8" t="str">
        <f>IF($A659="","",IFERROR(VLOOKUP(I659,DATA!$AH$9:$AI$13,2,0),""))</f>
        <v/>
      </c>
      <c r="Q659" s="8" t="str">
        <f>IF($A659="","",IFERROR(VLOOKUP(J659,DATA!$AH$9:$AI$13,2,0),""))</f>
        <v/>
      </c>
      <c r="R659" s="8" t="str">
        <f>IF($A659="","",IFERROR(VLOOKUP(K659,DATA!$AH$9:$AI$13,2,0),""))</f>
        <v/>
      </c>
      <c r="S659" s="42" t="str">
        <f t="shared" si="220"/>
        <v/>
      </c>
      <c r="T659" s="8" t="str">
        <f>IF($A659="","",IF(COUNTIF($D$2:D659,D659)=1,1,0))</f>
        <v/>
      </c>
      <c r="U659" s="8" t="str">
        <f>IF($A659="","",IF(F659="-","Cabang tdk ada",IF(IFERROR(VLOOKUP(G659,#REF!,1,0),"")="","",IF(INDEX(DATA!$AH$2:$AH$5,MATCH(G659,DATA!$AI$2:$AI$5,0))&lt;&gt;F659,"Wilayah beda","OK"))))</f>
        <v/>
      </c>
      <c r="V659" s="8" t="str">
        <f>IF($A659="","",TRIM(INDEX(FORM!$I:$I,ROW())&amp;""))</f>
        <v/>
      </c>
      <c r="W659" s="8" t="str">
        <f>IF($A659="","",TRIM(INDEX(FORM!$L:$L,ROW())&amp;""))</f>
        <v/>
      </c>
      <c r="X659" s="8" t="str">
        <f>IF($A659="","",TRIM(INDEX(FORM!$M:$M,ROW())&amp;""))</f>
        <v/>
      </c>
      <c r="Y659" s="8" t="str">
        <f>IF($A659="","",IFERROR(MATCH(F659,DATA!$AH$2:$AH$5,0),9)*10000+A659)</f>
        <v/>
      </c>
      <c r="Z659" s="8" t="str">
        <f t="shared" si="221"/>
        <v/>
      </c>
      <c r="AA659" s="8" t="str">
        <f t="shared" si="222"/>
        <v/>
      </c>
      <c r="AB659" s="8" t="str">
        <f t="shared" si="223"/>
        <v/>
      </c>
      <c r="AC659" s="8"/>
      <c r="AD659" s="8"/>
      <c r="AE659" s="8"/>
      <c r="AK659" s="5" t="str">
        <f t="shared" si="224"/>
        <v/>
      </c>
      <c r="AL659" s="5" t="str">
        <f t="shared" si="225"/>
        <v/>
      </c>
      <c r="AM659" s="5" t="str">
        <f t="shared" si="226"/>
        <v/>
      </c>
      <c r="AN659" s="5" t="str">
        <f t="shared" si="227"/>
        <v/>
      </c>
      <c r="AO659" s="5" t="str">
        <f t="shared" si="228"/>
        <v/>
      </c>
      <c r="AP659" s="5" t="str">
        <f t="shared" si="229"/>
        <v/>
      </c>
      <c r="AQ659" s="5" t="str">
        <f t="shared" si="230"/>
        <v/>
      </c>
      <c r="AR659" s="5" t="str">
        <f t="shared" si="231"/>
        <v/>
      </c>
      <c r="AS659" s="5" t="str">
        <f t="shared" si="232"/>
        <v/>
      </c>
      <c r="AT659" s="5" t="str">
        <f t="shared" si="233"/>
        <v/>
      </c>
      <c r="AU659" s="5" t="str">
        <f t="shared" si="234"/>
        <v/>
      </c>
      <c r="AV659" s="5" t="str">
        <f t="shared" si="235"/>
        <v/>
      </c>
      <c r="AW659" s="5" t="str">
        <f t="shared" si="236"/>
        <v/>
      </c>
      <c r="AX659" s="5" t="str">
        <f t="shared" si="237"/>
        <v/>
      </c>
      <c r="AY659" s="5" t="str">
        <f t="shared" si="238"/>
        <v/>
      </c>
      <c r="AZ659" s="5" t="str">
        <f t="shared" si="239"/>
        <v/>
      </c>
      <c r="BA659" s="5" t="str">
        <f t="shared" si="240"/>
        <v/>
      </c>
      <c r="BB659" s="5" t="str">
        <f t="shared" si="241"/>
        <v/>
      </c>
    </row>
    <row r="660" spans="1:54" s="5" customFormat="1" hidden="1">
      <c r="A660" s="8" t="str">
        <f>IF(INDEX(FORM!$A:$A,ROW())="","",ROW()-1)</f>
        <v/>
      </c>
      <c r="B660" s="41" t="str">
        <f>IF($A660="","",INDEX(FORM!$A:$A,ROW()))</f>
        <v/>
      </c>
      <c r="C660" s="8" t="str">
        <f>IF($A660="","",TRIM(INDEX(FORM!$B:$B,ROW())))</f>
        <v/>
      </c>
      <c r="D660" s="8" t="str">
        <f>IF($A660="","",TRIM(INDEX(FORM!$C:$C,ROW())&amp;""))</f>
        <v/>
      </c>
      <c r="E660" s="8" t="str">
        <f>IF($A660="","",UPPER(TRIM(INDEX(FORM!$D:$D,ROW()))))</f>
        <v/>
      </c>
      <c r="F660" s="8" t="str">
        <f>IF($A660="","",IFERROR(INDEX(PROGRES!$A$2:$A$92,MATCH(E660,PROGRES!$B$2:$B$92,0)),"-"))</f>
        <v/>
      </c>
      <c r="G660" s="8" t="str">
        <f>IF($A660="","",UPPER(TRIM(INDEX(FORM!$F:$F,ROW()))))</f>
        <v/>
      </c>
      <c r="H660" s="8" t="str">
        <f>IF($A660="","",UPPER(TRIM(INDEX(FORM!$E:$E,ROW()))))</f>
        <v/>
      </c>
      <c r="I660" s="8" t="str">
        <f>IF($A660="","",UPPER(TRIM(INDEX(FORM!$G:$G,ROW()))))</f>
        <v/>
      </c>
      <c r="J660" s="8" t="str">
        <f>IF($A660="","",IF(ISNUMBER(SEARCH("Ya,",INDEX(FORM!$H:$H,ROW()))),"YA",IF(ISNUMBER(SEARCH("Cukup,",INDEX(FORM!$H:$H,ROW()))),"CUKUP",IF(ISNUMBER(SEARCH("Kurang,",INDEX(FORM!$H:$H,ROW()))),"KURANG",""))))</f>
        <v/>
      </c>
      <c r="K660" s="8" t="str">
        <f>IF($A660="","",UPPER(TRIM(INDEX(FORM!$J:$J,ROW()))))</f>
        <v/>
      </c>
      <c r="L660" s="8" t="str">
        <f>IF($A660="","",IF(ISNUMBER(SEARCH("Aktivitas Harian",INDEX(FORM!$K:$K,ROW()))),1,0))</f>
        <v/>
      </c>
      <c r="M660" s="8" t="str">
        <f>IF($A660="","",IF(ISNUMBER(SEARCH("Aktivitas Mingguan",INDEX(FORM!$K:$K,ROW()))),1,0))</f>
        <v/>
      </c>
      <c r="N660" s="8" t="str">
        <f>IF($A660="","",IF(ISNUMBER(SEARCH("Aktivitas Bulanan",INDEX(FORM!$K:$K,ROW()))),1,0))</f>
        <v/>
      </c>
      <c r="O660" s="8" t="str">
        <f>IF($A660="","",IF(ISNUMBER(SEARCH("Overview Cabang",INDEX(FORM!$K:$K,ROW()))),1,0))</f>
        <v/>
      </c>
      <c r="P660" s="8" t="str">
        <f>IF($A660="","",IFERROR(VLOOKUP(I660,DATA!$AH$9:$AI$13,2,0),""))</f>
        <v/>
      </c>
      <c r="Q660" s="8" t="str">
        <f>IF($A660="","",IFERROR(VLOOKUP(J660,DATA!$AH$9:$AI$13,2,0),""))</f>
        <v/>
      </c>
      <c r="R660" s="8" t="str">
        <f>IF($A660="","",IFERROR(VLOOKUP(K660,DATA!$AH$9:$AI$13,2,0),""))</f>
        <v/>
      </c>
      <c r="S660" s="42" t="str">
        <f t="shared" si="220"/>
        <v/>
      </c>
      <c r="T660" s="8" t="str">
        <f>IF($A660="","",IF(COUNTIF($D$2:D660,D660)=1,1,0))</f>
        <v/>
      </c>
      <c r="U660" s="8" t="str">
        <f>IF($A660="","",IF(F660="-","Cabang tdk ada",IF(IFERROR(VLOOKUP(G660,#REF!,1,0),"")="","",IF(INDEX(DATA!$AH$2:$AH$5,MATCH(G660,DATA!$AI$2:$AI$5,0))&lt;&gt;F660,"Wilayah beda","OK"))))</f>
        <v/>
      </c>
      <c r="V660" s="8" t="str">
        <f>IF($A660="","",TRIM(INDEX(FORM!$I:$I,ROW())&amp;""))</f>
        <v/>
      </c>
      <c r="W660" s="8" t="str">
        <f>IF($A660="","",TRIM(INDEX(FORM!$L:$L,ROW())&amp;""))</f>
        <v/>
      </c>
      <c r="X660" s="8" t="str">
        <f>IF($A660="","",TRIM(INDEX(FORM!$M:$M,ROW())&amp;""))</f>
        <v/>
      </c>
      <c r="Y660" s="8" t="str">
        <f>IF($A660="","",IFERROR(MATCH(F660,DATA!$AH$2:$AH$5,0),9)*10000+A660)</f>
        <v/>
      </c>
      <c r="Z660" s="8" t="str">
        <f t="shared" si="221"/>
        <v/>
      </c>
      <c r="AA660" s="8" t="str">
        <f t="shared" si="222"/>
        <v/>
      </c>
      <c r="AB660" s="8" t="str">
        <f t="shared" si="223"/>
        <v/>
      </c>
      <c r="AC660" s="8"/>
      <c r="AD660" s="8"/>
      <c r="AE660" s="8"/>
      <c r="AK660" s="5" t="str">
        <f t="shared" si="224"/>
        <v/>
      </c>
      <c r="AL660" s="5" t="str">
        <f t="shared" si="225"/>
        <v/>
      </c>
      <c r="AM660" s="5" t="str">
        <f t="shared" si="226"/>
        <v/>
      </c>
      <c r="AN660" s="5" t="str">
        <f t="shared" si="227"/>
        <v/>
      </c>
      <c r="AO660" s="5" t="str">
        <f t="shared" si="228"/>
        <v/>
      </c>
      <c r="AP660" s="5" t="str">
        <f t="shared" si="229"/>
        <v/>
      </c>
      <c r="AQ660" s="5" t="str">
        <f t="shared" si="230"/>
        <v/>
      </c>
      <c r="AR660" s="5" t="str">
        <f t="shared" si="231"/>
        <v/>
      </c>
      <c r="AS660" s="5" t="str">
        <f t="shared" si="232"/>
        <v/>
      </c>
      <c r="AT660" s="5" t="str">
        <f t="shared" si="233"/>
        <v/>
      </c>
      <c r="AU660" s="5" t="str">
        <f t="shared" si="234"/>
        <v/>
      </c>
      <c r="AV660" s="5" t="str">
        <f t="shared" si="235"/>
        <v/>
      </c>
      <c r="AW660" s="5" t="str">
        <f t="shared" si="236"/>
        <v/>
      </c>
      <c r="AX660" s="5" t="str">
        <f t="shared" si="237"/>
        <v/>
      </c>
      <c r="AY660" s="5" t="str">
        <f t="shared" si="238"/>
        <v/>
      </c>
      <c r="AZ660" s="5" t="str">
        <f t="shared" si="239"/>
        <v/>
      </c>
      <c r="BA660" s="5" t="str">
        <f t="shared" si="240"/>
        <v/>
      </c>
      <c r="BB660" s="5" t="str">
        <f t="shared" si="241"/>
        <v/>
      </c>
    </row>
    <row r="661" spans="1:54" s="5" customFormat="1" hidden="1">
      <c r="A661" s="8" t="str">
        <f>IF(INDEX(FORM!$A:$A,ROW())="","",ROW()-1)</f>
        <v/>
      </c>
      <c r="B661" s="41" t="str">
        <f>IF($A661="","",INDEX(FORM!$A:$A,ROW()))</f>
        <v/>
      </c>
      <c r="C661" s="8" t="str">
        <f>IF($A661="","",TRIM(INDEX(FORM!$B:$B,ROW())))</f>
        <v/>
      </c>
      <c r="D661" s="8" t="str">
        <f>IF($A661="","",TRIM(INDEX(FORM!$C:$C,ROW())&amp;""))</f>
        <v/>
      </c>
      <c r="E661" s="8" t="str">
        <f>IF($A661="","",UPPER(TRIM(INDEX(FORM!$D:$D,ROW()))))</f>
        <v/>
      </c>
      <c r="F661" s="8" t="str">
        <f>IF($A661="","",IFERROR(INDEX(PROGRES!$A$2:$A$92,MATCH(E661,PROGRES!$B$2:$B$92,0)),"-"))</f>
        <v/>
      </c>
      <c r="G661" s="8" t="str">
        <f>IF($A661="","",UPPER(TRIM(INDEX(FORM!$F:$F,ROW()))))</f>
        <v/>
      </c>
      <c r="H661" s="8" t="str">
        <f>IF($A661="","",UPPER(TRIM(INDEX(FORM!$E:$E,ROW()))))</f>
        <v/>
      </c>
      <c r="I661" s="8" t="str">
        <f>IF($A661="","",UPPER(TRIM(INDEX(FORM!$G:$G,ROW()))))</f>
        <v/>
      </c>
      <c r="J661" s="8" t="str">
        <f>IF($A661="","",IF(ISNUMBER(SEARCH("Ya,",INDEX(FORM!$H:$H,ROW()))),"YA",IF(ISNUMBER(SEARCH("Cukup,",INDEX(FORM!$H:$H,ROW()))),"CUKUP",IF(ISNUMBER(SEARCH("Kurang,",INDEX(FORM!$H:$H,ROW()))),"KURANG",""))))</f>
        <v/>
      </c>
      <c r="K661" s="8" t="str">
        <f>IF($A661="","",UPPER(TRIM(INDEX(FORM!$J:$J,ROW()))))</f>
        <v/>
      </c>
      <c r="L661" s="8" t="str">
        <f>IF($A661="","",IF(ISNUMBER(SEARCH("Aktivitas Harian",INDEX(FORM!$K:$K,ROW()))),1,0))</f>
        <v/>
      </c>
      <c r="M661" s="8" t="str">
        <f>IF($A661="","",IF(ISNUMBER(SEARCH("Aktivitas Mingguan",INDEX(FORM!$K:$K,ROW()))),1,0))</f>
        <v/>
      </c>
      <c r="N661" s="8" t="str">
        <f>IF($A661="","",IF(ISNUMBER(SEARCH("Aktivitas Bulanan",INDEX(FORM!$K:$K,ROW()))),1,0))</f>
        <v/>
      </c>
      <c r="O661" s="8" t="str">
        <f>IF($A661="","",IF(ISNUMBER(SEARCH("Overview Cabang",INDEX(FORM!$K:$K,ROW()))),1,0))</f>
        <v/>
      </c>
      <c r="P661" s="8" t="str">
        <f>IF($A661="","",IFERROR(VLOOKUP(I661,DATA!$AH$9:$AI$13,2,0),""))</f>
        <v/>
      </c>
      <c r="Q661" s="8" t="str">
        <f>IF($A661="","",IFERROR(VLOOKUP(J661,DATA!$AH$9:$AI$13,2,0),""))</f>
        <v/>
      </c>
      <c r="R661" s="8" t="str">
        <f>IF($A661="","",IFERROR(VLOOKUP(K661,DATA!$AH$9:$AI$13,2,0),""))</f>
        <v/>
      </c>
      <c r="S661" s="42" t="str">
        <f t="shared" si="220"/>
        <v/>
      </c>
      <c r="T661" s="8" t="str">
        <f>IF($A661="","",IF(COUNTIF($D$2:D661,D661)=1,1,0))</f>
        <v/>
      </c>
      <c r="U661" s="8" t="str">
        <f>IF($A661="","",IF(F661="-","Cabang tdk ada",IF(IFERROR(VLOOKUP(G661,#REF!,1,0),"")="","",IF(INDEX(DATA!$AH$2:$AH$5,MATCH(G661,DATA!$AI$2:$AI$5,0))&lt;&gt;F661,"Wilayah beda","OK"))))</f>
        <v/>
      </c>
      <c r="V661" s="8" t="str">
        <f>IF($A661="","",TRIM(INDEX(FORM!$I:$I,ROW())&amp;""))</f>
        <v/>
      </c>
      <c r="W661" s="8" t="str">
        <f>IF($A661="","",TRIM(INDEX(FORM!$L:$L,ROW())&amp;""))</f>
        <v/>
      </c>
      <c r="X661" s="8" t="str">
        <f>IF($A661="","",TRIM(INDEX(FORM!$M:$M,ROW())&amp;""))</f>
        <v/>
      </c>
      <c r="Y661" s="8" t="str">
        <f>IF($A661="","",IFERROR(MATCH(F661,DATA!$AH$2:$AH$5,0),9)*10000+A661)</f>
        <v/>
      </c>
      <c r="Z661" s="8" t="str">
        <f t="shared" si="221"/>
        <v/>
      </c>
      <c r="AA661" s="8" t="str">
        <f t="shared" si="222"/>
        <v/>
      </c>
      <c r="AB661" s="8" t="str">
        <f t="shared" si="223"/>
        <v/>
      </c>
      <c r="AC661" s="8"/>
      <c r="AD661" s="8"/>
      <c r="AE661" s="8"/>
      <c r="AK661" s="5" t="str">
        <f t="shared" si="224"/>
        <v/>
      </c>
      <c r="AL661" s="5" t="str">
        <f t="shared" si="225"/>
        <v/>
      </c>
      <c r="AM661" s="5" t="str">
        <f t="shared" si="226"/>
        <v/>
      </c>
      <c r="AN661" s="5" t="str">
        <f t="shared" si="227"/>
        <v/>
      </c>
      <c r="AO661" s="5" t="str">
        <f t="shared" si="228"/>
        <v/>
      </c>
      <c r="AP661" s="5" t="str">
        <f t="shared" si="229"/>
        <v/>
      </c>
      <c r="AQ661" s="5" t="str">
        <f t="shared" si="230"/>
        <v/>
      </c>
      <c r="AR661" s="5" t="str">
        <f t="shared" si="231"/>
        <v/>
      </c>
      <c r="AS661" s="5" t="str">
        <f t="shared" si="232"/>
        <v/>
      </c>
      <c r="AT661" s="5" t="str">
        <f t="shared" si="233"/>
        <v/>
      </c>
      <c r="AU661" s="5" t="str">
        <f t="shared" si="234"/>
        <v/>
      </c>
      <c r="AV661" s="5" t="str">
        <f t="shared" si="235"/>
        <v/>
      </c>
      <c r="AW661" s="5" t="str">
        <f t="shared" si="236"/>
        <v/>
      </c>
      <c r="AX661" s="5" t="str">
        <f t="shared" si="237"/>
        <v/>
      </c>
      <c r="AY661" s="5" t="str">
        <f t="shared" si="238"/>
        <v/>
      </c>
      <c r="AZ661" s="5" t="str">
        <f t="shared" si="239"/>
        <v/>
      </c>
      <c r="BA661" s="5" t="str">
        <f t="shared" si="240"/>
        <v/>
      </c>
      <c r="BB661" s="5" t="str">
        <f t="shared" si="241"/>
        <v/>
      </c>
    </row>
    <row r="662" spans="1:54" s="5" customFormat="1" hidden="1">
      <c r="A662" s="8" t="str">
        <f>IF(INDEX(FORM!$A:$A,ROW())="","",ROW()-1)</f>
        <v/>
      </c>
      <c r="B662" s="41" t="str">
        <f>IF($A662="","",INDEX(FORM!$A:$A,ROW()))</f>
        <v/>
      </c>
      <c r="C662" s="8" t="str">
        <f>IF($A662="","",TRIM(INDEX(FORM!$B:$B,ROW())))</f>
        <v/>
      </c>
      <c r="D662" s="8" t="str">
        <f>IF($A662="","",TRIM(INDEX(FORM!$C:$C,ROW())&amp;""))</f>
        <v/>
      </c>
      <c r="E662" s="8" t="str">
        <f>IF($A662="","",UPPER(TRIM(INDEX(FORM!$D:$D,ROW()))))</f>
        <v/>
      </c>
      <c r="F662" s="8" t="str">
        <f>IF($A662="","",IFERROR(INDEX(PROGRES!$A$2:$A$92,MATCH(E662,PROGRES!$B$2:$B$92,0)),"-"))</f>
        <v/>
      </c>
      <c r="G662" s="8" t="str">
        <f>IF($A662="","",UPPER(TRIM(INDEX(FORM!$F:$F,ROW()))))</f>
        <v/>
      </c>
      <c r="H662" s="8" t="str">
        <f>IF($A662="","",UPPER(TRIM(INDEX(FORM!$E:$E,ROW()))))</f>
        <v/>
      </c>
      <c r="I662" s="8" t="str">
        <f>IF($A662="","",UPPER(TRIM(INDEX(FORM!$G:$G,ROW()))))</f>
        <v/>
      </c>
      <c r="J662" s="8" t="str">
        <f>IF($A662="","",IF(ISNUMBER(SEARCH("Ya,",INDEX(FORM!$H:$H,ROW()))),"YA",IF(ISNUMBER(SEARCH("Cukup,",INDEX(FORM!$H:$H,ROW()))),"CUKUP",IF(ISNUMBER(SEARCH("Kurang,",INDEX(FORM!$H:$H,ROW()))),"KURANG",""))))</f>
        <v/>
      </c>
      <c r="K662" s="8" t="str">
        <f>IF($A662="","",UPPER(TRIM(INDEX(FORM!$J:$J,ROW()))))</f>
        <v/>
      </c>
      <c r="L662" s="8" t="str">
        <f>IF($A662="","",IF(ISNUMBER(SEARCH("Aktivitas Harian",INDEX(FORM!$K:$K,ROW()))),1,0))</f>
        <v/>
      </c>
      <c r="M662" s="8" t="str">
        <f>IF($A662="","",IF(ISNUMBER(SEARCH("Aktivitas Mingguan",INDEX(FORM!$K:$K,ROW()))),1,0))</f>
        <v/>
      </c>
      <c r="N662" s="8" t="str">
        <f>IF($A662="","",IF(ISNUMBER(SEARCH("Aktivitas Bulanan",INDEX(FORM!$K:$K,ROW()))),1,0))</f>
        <v/>
      </c>
      <c r="O662" s="8" t="str">
        <f>IF($A662="","",IF(ISNUMBER(SEARCH("Overview Cabang",INDEX(FORM!$K:$K,ROW()))),1,0))</f>
        <v/>
      </c>
      <c r="P662" s="8" t="str">
        <f>IF($A662="","",IFERROR(VLOOKUP(I662,DATA!$AH$9:$AI$13,2,0),""))</f>
        <v/>
      </c>
      <c r="Q662" s="8" t="str">
        <f>IF($A662="","",IFERROR(VLOOKUP(J662,DATA!$AH$9:$AI$13,2,0),""))</f>
        <v/>
      </c>
      <c r="R662" s="8" t="str">
        <f>IF($A662="","",IFERROR(VLOOKUP(K662,DATA!$AH$9:$AI$13,2,0),""))</f>
        <v/>
      </c>
      <c r="S662" s="42" t="str">
        <f t="shared" si="220"/>
        <v/>
      </c>
      <c r="T662" s="8" t="str">
        <f>IF($A662="","",IF(COUNTIF($D$2:D662,D662)=1,1,0))</f>
        <v/>
      </c>
      <c r="U662" s="8" t="str">
        <f>IF($A662="","",IF(F662="-","Cabang tdk ada",IF(IFERROR(VLOOKUP(G662,#REF!,1,0),"")="","",IF(INDEX(DATA!$AH$2:$AH$5,MATCH(G662,DATA!$AI$2:$AI$5,0))&lt;&gt;F662,"Wilayah beda","OK"))))</f>
        <v/>
      </c>
      <c r="V662" s="8" t="str">
        <f>IF($A662="","",TRIM(INDEX(FORM!$I:$I,ROW())&amp;""))</f>
        <v/>
      </c>
      <c r="W662" s="8" t="str">
        <f>IF($A662="","",TRIM(INDEX(FORM!$L:$L,ROW())&amp;""))</f>
        <v/>
      </c>
      <c r="X662" s="8" t="str">
        <f>IF($A662="","",TRIM(INDEX(FORM!$M:$M,ROW())&amp;""))</f>
        <v/>
      </c>
      <c r="Y662" s="8" t="str">
        <f>IF($A662="","",IFERROR(MATCH(F662,DATA!$AH$2:$AH$5,0),9)*10000+A662)</f>
        <v/>
      </c>
      <c r="Z662" s="8" t="str">
        <f t="shared" si="221"/>
        <v/>
      </c>
      <c r="AA662" s="8" t="str">
        <f t="shared" si="222"/>
        <v/>
      </c>
      <c r="AB662" s="8" t="str">
        <f t="shared" si="223"/>
        <v/>
      </c>
      <c r="AC662" s="8"/>
      <c r="AD662" s="8"/>
      <c r="AE662" s="8"/>
      <c r="AK662" s="5" t="str">
        <f t="shared" si="224"/>
        <v/>
      </c>
      <c r="AL662" s="5" t="str">
        <f t="shared" si="225"/>
        <v/>
      </c>
      <c r="AM662" s="5" t="str">
        <f t="shared" si="226"/>
        <v/>
      </c>
      <c r="AN662" s="5" t="str">
        <f t="shared" si="227"/>
        <v/>
      </c>
      <c r="AO662" s="5" t="str">
        <f t="shared" si="228"/>
        <v/>
      </c>
      <c r="AP662" s="5" t="str">
        <f t="shared" si="229"/>
        <v/>
      </c>
      <c r="AQ662" s="5" t="str">
        <f t="shared" si="230"/>
        <v/>
      </c>
      <c r="AR662" s="5" t="str">
        <f t="shared" si="231"/>
        <v/>
      </c>
      <c r="AS662" s="5" t="str">
        <f t="shared" si="232"/>
        <v/>
      </c>
      <c r="AT662" s="5" t="str">
        <f t="shared" si="233"/>
        <v/>
      </c>
      <c r="AU662" s="5" t="str">
        <f t="shared" si="234"/>
        <v/>
      </c>
      <c r="AV662" s="5" t="str">
        <f t="shared" si="235"/>
        <v/>
      </c>
      <c r="AW662" s="5" t="str">
        <f t="shared" si="236"/>
        <v/>
      </c>
      <c r="AX662" s="5" t="str">
        <f t="shared" si="237"/>
        <v/>
      </c>
      <c r="AY662" s="5" t="str">
        <f t="shared" si="238"/>
        <v/>
      </c>
      <c r="AZ662" s="5" t="str">
        <f t="shared" si="239"/>
        <v/>
      </c>
      <c r="BA662" s="5" t="str">
        <f t="shared" si="240"/>
        <v/>
      </c>
      <c r="BB662" s="5" t="str">
        <f t="shared" si="241"/>
        <v/>
      </c>
    </row>
    <row r="663" spans="1:54" s="5" customFormat="1" hidden="1">
      <c r="A663" s="8" t="str">
        <f>IF(INDEX(FORM!$A:$A,ROW())="","",ROW()-1)</f>
        <v/>
      </c>
      <c r="B663" s="41" t="str">
        <f>IF($A663="","",INDEX(FORM!$A:$A,ROW()))</f>
        <v/>
      </c>
      <c r="C663" s="8" t="str">
        <f>IF($A663="","",TRIM(INDEX(FORM!$B:$B,ROW())))</f>
        <v/>
      </c>
      <c r="D663" s="8" t="str">
        <f>IF($A663="","",TRIM(INDEX(FORM!$C:$C,ROW())&amp;""))</f>
        <v/>
      </c>
      <c r="E663" s="8" t="str">
        <f>IF($A663="","",UPPER(TRIM(INDEX(FORM!$D:$D,ROW()))))</f>
        <v/>
      </c>
      <c r="F663" s="8" t="str">
        <f>IF($A663="","",IFERROR(INDEX(PROGRES!$A$2:$A$92,MATCH(E663,PROGRES!$B$2:$B$92,0)),"-"))</f>
        <v/>
      </c>
      <c r="G663" s="8" t="str">
        <f>IF($A663="","",UPPER(TRIM(INDEX(FORM!$F:$F,ROW()))))</f>
        <v/>
      </c>
      <c r="H663" s="8" t="str">
        <f>IF($A663="","",UPPER(TRIM(INDEX(FORM!$E:$E,ROW()))))</f>
        <v/>
      </c>
      <c r="I663" s="8" t="str">
        <f>IF($A663="","",UPPER(TRIM(INDEX(FORM!$G:$G,ROW()))))</f>
        <v/>
      </c>
      <c r="J663" s="8" t="str">
        <f>IF($A663="","",IF(ISNUMBER(SEARCH("Ya,",INDEX(FORM!$H:$H,ROW()))),"YA",IF(ISNUMBER(SEARCH("Cukup,",INDEX(FORM!$H:$H,ROW()))),"CUKUP",IF(ISNUMBER(SEARCH("Kurang,",INDEX(FORM!$H:$H,ROW()))),"KURANG",""))))</f>
        <v/>
      </c>
      <c r="K663" s="8" t="str">
        <f>IF($A663="","",UPPER(TRIM(INDEX(FORM!$J:$J,ROW()))))</f>
        <v/>
      </c>
      <c r="L663" s="8" t="str">
        <f>IF($A663="","",IF(ISNUMBER(SEARCH("Aktivitas Harian",INDEX(FORM!$K:$K,ROW()))),1,0))</f>
        <v/>
      </c>
      <c r="M663" s="8" t="str">
        <f>IF($A663="","",IF(ISNUMBER(SEARCH("Aktivitas Mingguan",INDEX(FORM!$K:$K,ROW()))),1,0))</f>
        <v/>
      </c>
      <c r="N663" s="8" t="str">
        <f>IF($A663="","",IF(ISNUMBER(SEARCH("Aktivitas Bulanan",INDEX(FORM!$K:$K,ROW()))),1,0))</f>
        <v/>
      </c>
      <c r="O663" s="8" t="str">
        <f>IF($A663="","",IF(ISNUMBER(SEARCH("Overview Cabang",INDEX(FORM!$K:$K,ROW()))),1,0))</f>
        <v/>
      </c>
      <c r="P663" s="8" t="str">
        <f>IF($A663="","",IFERROR(VLOOKUP(I663,DATA!$AH$9:$AI$13,2,0),""))</f>
        <v/>
      </c>
      <c r="Q663" s="8" t="str">
        <f>IF($A663="","",IFERROR(VLOOKUP(J663,DATA!$AH$9:$AI$13,2,0),""))</f>
        <v/>
      </c>
      <c r="R663" s="8" t="str">
        <f>IF($A663="","",IFERROR(VLOOKUP(K663,DATA!$AH$9:$AI$13,2,0),""))</f>
        <v/>
      </c>
      <c r="S663" s="42" t="str">
        <f t="shared" si="220"/>
        <v/>
      </c>
      <c r="T663" s="8" t="str">
        <f>IF($A663="","",IF(COUNTIF($D$2:D663,D663)=1,1,0))</f>
        <v/>
      </c>
      <c r="U663" s="8" t="str">
        <f>IF($A663="","",IF(F663="-","Cabang tdk ada",IF(IFERROR(VLOOKUP(G663,#REF!,1,0),"")="","",IF(INDEX(DATA!$AH$2:$AH$5,MATCH(G663,DATA!$AI$2:$AI$5,0))&lt;&gt;F663,"Wilayah beda","OK"))))</f>
        <v/>
      </c>
      <c r="V663" s="8" t="str">
        <f>IF($A663="","",TRIM(INDEX(FORM!$I:$I,ROW())&amp;""))</f>
        <v/>
      </c>
      <c r="W663" s="8" t="str">
        <f>IF($A663="","",TRIM(INDEX(FORM!$L:$L,ROW())&amp;""))</f>
        <v/>
      </c>
      <c r="X663" s="8" t="str">
        <f>IF($A663="","",TRIM(INDEX(FORM!$M:$M,ROW())&amp;""))</f>
        <v/>
      </c>
      <c r="Y663" s="8" t="str">
        <f>IF($A663="","",IFERROR(MATCH(F663,DATA!$AH$2:$AH$5,0),9)*10000+A663)</f>
        <v/>
      </c>
      <c r="Z663" s="8" t="str">
        <f t="shared" si="221"/>
        <v/>
      </c>
      <c r="AA663" s="8" t="str">
        <f t="shared" si="222"/>
        <v/>
      </c>
      <c r="AB663" s="8" t="str">
        <f t="shared" si="223"/>
        <v/>
      </c>
      <c r="AC663" s="8"/>
      <c r="AD663" s="8"/>
      <c r="AE663" s="8"/>
      <c r="AK663" s="5" t="str">
        <f t="shared" si="224"/>
        <v/>
      </c>
      <c r="AL663" s="5" t="str">
        <f t="shared" si="225"/>
        <v/>
      </c>
      <c r="AM663" s="5" t="str">
        <f t="shared" si="226"/>
        <v/>
      </c>
      <c r="AN663" s="5" t="str">
        <f t="shared" si="227"/>
        <v/>
      </c>
      <c r="AO663" s="5" t="str">
        <f t="shared" si="228"/>
        <v/>
      </c>
      <c r="AP663" s="5" t="str">
        <f t="shared" si="229"/>
        <v/>
      </c>
      <c r="AQ663" s="5" t="str">
        <f t="shared" si="230"/>
        <v/>
      </c>
      <c r="AR663" s="5" t="str">
        <f t="shared" si="231"/>
        <v/>
      </c>
      <c r="AS663" s="5" t="str">
        <f t="shared" si="232"/>
        <v/>
      </c>
      <c r="AT663" s="5" t="str">
        <f t="shared" si="233"/>
        <v/>
      </c>
      <c r="AU663" s="5" t="str">
        <f t="shared" si="234"/>
        <v/>
      </c>
      <c r="AV663" s="5" t="str">
        <f t="shared" si="235"/>
        <v/>
      </c>
      <c r="AW663" s="5" t="str">
        <f t="shared" si="236"/>
        <v/>
      </c>
      <c r="AX663" s="5" t="str">
        <f t="shared" si="237"/>
        <v/>
      </c>
      <c r="AY663" s="5" t="str">
        <f t="shared" si="238"/>
        <v/>
      </c>
      <c r="AZ663" s="5" t="str">
        <f t="shared" si="239"/>
        <v/>
      </c>
      <c r="BA663" s="5" t="str">
        <f t="shared" si="240"/>
        <v/>
      </c>
      <c r="BB663" s="5" t="str">
        <f t="shared" si="241"/>
        <v/>
      </c>
    </row>
    <row r="664" spans="1:54" s="5" customFormat="1" hidden="1">
      <c r="A664" s="8" t="str">
        <f>IF(INDEX(FORM!$A:$A,ROW())="","",ROW()-1)</f>
        <v/>
      </c>
      <c r="B664" s="41" t="str">
        <f>IF($A664="","",INDEX(FORM!$A:$A,ROW()))</f>
        <v/>
      </c>
      <c r="C664" s="8" t="str">
        <f>IF($A664="","",TRIM(INDEX(FORM!$B:$B,ROW())))</f>
        <v/>
      </c>
      <c r="D664" s="8" t="str">
        <f>IF($A664="","",TRIM(INDEX(FORM!$C:$C,ROW())&amp;""))</f>
        <v/>
      </c>
      <c r="E664" s="8" t="str">
        <f>IF($A664="","",UPPER(TRIM(INDEX(FORM!$D:$D,ROW()))))</f>
        <v/>
      </c>
      <c r="F664" s="8" t="str">
        <f>IF($A664="","",IFERROR(INDEX(PROGRES!$A$2:$A$92,MATCH(E664,PROGRES!$B$2:$B$92,0)),"-"))</f>
        <v/>
      </c>
      <c r="G664" s="8" t="str">
        <f>IF($A664="","",UPPER(TRIM(INDEX(FORM!$F:$F,ROW()))))</f>
        <v/>
      </c>
      <c r="H664" s="8" t="str">
        <f>IF($A664="","",UPPER(TRIM(INDEX(FORM!$E:$E,ROW()))))</f>
        <v/>
      </c>
      <c r="I664" s="8" t="str">
        <f>IF($A664="","",UPPER(TRIM(INDEX(FORM!$G:$G,ROW()))))</f>
        <v/>
      </c>
      <c r="J664" s="8" t="str">
        <f>IF($A664="","",IF(ISNUMBER(SEARCH("Ya,",INDEX(FORM!$H:$H,ROW()))),"YA",IF(ISNUMBER(SEARCH("Cukup,",INDEX(FORM!$H:$H,ROW()))),"CUKUP",IF(ISNUMBER(SEARCH("Kurang,",INDEX(FORM!$H:$H,ROW()))),"KURANG",""))))</f>
        <v/>
      </c>
      <c r="K664" s="8" t="str">
        <f>IF($A664="","",UPPER(TRIM(INDEX(FORM!$J:$J,ROW()))))</f>
        <v/>
      </c>
      <c r="L664" s="8" t="str">
        <f>IF($A664="","",IF(ISNUMBER(SEARCH("Aktivitas Harian",INDEX(FORM!$K:$K,ROW()))),1,0))</f>
        <v/>
      </c>
      <c r="M664" s="8" t="str">
        <f>IF($A664="","",IF(ISNUMBER(SEARCH("Aktivitas Mingguan",INDEX(FORM!$K:$K,ROW()))),1,0))</f>
        <v/>
      </c>
      <c r="N664" s="8" t="str">
        <f>IF($A664="","",IF(ISNUMBER(SEARCH("Aktivitas Bulanan",INDEX(FORM!$K:$K,ROW()))),1,0))</f>
        <v/>
      </c>
      <c r="O664" s="8" t="str">
        <f>IF($A664="","",IF(ISNUMBER(SEARCH("Overview Cabang",INDEX(FORM!$K:$K,ROW()))),1,0))</f>
        <v/>
      </c>
      <c r="P664" s="8" t="str">
        <f>IF($A664="","",IFERROR(VLOOKUP(I664,DATA!$AH$9:$AI$13,2,0),""))</f>
        <v/>
      </c>
      <c r="Q664" s="8" t="str">
        <f>IF($A664="","",IFERROR(VLOOKUP(J664,DATA!$AH$9:$AI$13,2,0),""))</f>
        <v/>
      </c>
      <c r="R664" s="8" t="str">
        <f>IF($A664="","",IFERROR(VLOOKUP(K664,DATA!$AH$9:$AI$13,2,0),""))</f>
        <v/>
      </c>
      <c r="S664" s="42" t="str">
        <f t="shared" si="220"/>
        <v/>
      </c>
      <c r="T664" s="8" t="str">
        <f>IF($A664="","",IF(COUNTIF($D$2:D664,D664)=1,1,0))</f>
        <v/>
      </c>
      <c r="U664" s="8" t="str">
        <f>IF($A664="","",IF(F664="-","Cabang tdk ada",IF(IFERROR(VLOOKUP(G664,#REF!,1,0),"")="","",IF(INDEX(DATA!$AH$2:$AH$5,MATCH(G664,DATA!$AI$2:$AI$5,0))&lt;&gt;F664,"Wilayah beda","OK"))))</f>
        <v/>
      </c>
      <c r="V664" s="8" t="str">
        <f>IF($A664="","",TRIM(INDEX(FORM!$I:$I,ROW())&amp;""))</f>
        <v/>
      </c>
      <c r="W664" s="8" t="str">
        <f>IF($A664="","",TRIM(INDEX(FORM!$L:$L,ROW())&amp;""))</f>
        <v/>
      </c>
      <c r="X664" s="8" t="str">
        <f>IF($A664="","",TRIM(INDEX(FORM!$M:$M,ROW())&amp;""))</f>
        <v/>
      </c>
      <c r="Y664" s="8" t="str">
        <f>IF($A664="","",IFERROR(MATCH(F664,DATA!$AH$2:$AH$5,0),9)*10000+A664)</f>
        <v/>
      </c>
      <c r="Z664" s="8" t="str">
        <f t="shared" si="221"/>
        <v/>
      </c>
      <c r="AA664" s="8" t="str">
        <f t="shared" si="222"/>
        <v/>
      </c>
      <c r="AB664" s="8" t="str">
        <f t="shared" si="223"/>
        <v/>
      </c>
      <c r="AC664" s="8"/>
      <c r="AD664" s="8"/>
      <c r="AE664" s="8"/>
      <c r="AK664" s="5" t="str">
        <f t="shared" si="224"/>
        <v/>
      </c>
      <c r="AL664" s="5" t="str">
        <f t="shared" si="225"/>
        <v/>
      </c>
      <c r="AM664" s="5" t="str">
        <f t="shared" si="226"/>
        <v/>
      </c>
      <c r="AN664" s="5" t="str">
        <f t="shared" si="227"/>
        <v/>
      </c>
      <c r="AO664" s="5" t="str">
        <f t="shared" si="228"/>
        <v/>
      </c>
      <c r="AP664" s="5" t="str">
        <f t="shared" si="229"/>
        <v/>
      </c>
      <c r="AQ664" s="5" t="str">
        <f t="shared" si="230"/>
        <v/>
      </c>
      <c r="AR664" s="5" t="str">
        <f t="shared" si="231"/>
        <v/>
      </c>
      <c r="AS664" s="5" t="str">
        <f t="shared" si="232"/>
        <v/>
      </c>
      <c r="AT664" s="5" t="str">
        <f t="shared" si="233"/>
        <v/>
      </c>
      <c r="AU664" s="5" t="str">
        <f t="shared" si="234"/>
        <v/>
      </c>
      <c r="AV664" s="5" t="str">
        <f t="shared" si="235"/>
        <v/>
      </c>
      <c r="AW664" s="5" t="str">
        <f t="shared" si="236"/>
        <v/>
      </c>
      <c r="AX664" s="5" t="str">
        <f t="shared" si="237"/>
        <v/>
      </c>
      <c r="AY664" s="5" t="str">
        <f t="shared" si="238"/>
        <v/>
      </c>
      <c r="AZ664" s="5" t="str">
        <f t="shared" si="239"/>
        <v/>
      </c>
      <c r="BA664" s="5" t="str">
        <f t="shared" si="240"/>
        <v/>
      </c>
      <c r="BB664" s="5" t="str">
        <f t="shared" si="241"/>
        <v/>
      </c>
    </row>
    <row r="665" spans="1:54" s="5" customFormat="1" hidden="1">
      <c r="A665" s="8" t="str">
        <f>IF(INDEX(FORM!$A:$A,ROW())="","",ROW()-1)</f>
        <v/>
      </c>
      <c r="B665" s="41" t="str">
        <f>IF($A665="","",INDEX(FORM!$A:$A,ROW()))</f>
        <v/>
      </c>
      <c r="C665" s="8" t="str">
        <f>IF($A665="","",TRIM(INDEX(FORM!$B:$B,ROW())))</f>
        <v/>
      </c>
      <c r="D665" s="8" t="str">
        <f>IF($A665="","",TRIM(INDEX(FORM!$C:$C,ROW())&amp;""))</f>
        <v/>
      </c>
      <c r="E665" s="8" t="str">
        <f>IF($A665="","",UPPER(TRIM(INDEX(FORM!$D:$D,ROW()))))</f>
        <v/>
      </c>
      <c r="F665" s="8" t="str">
        <f>IF($A665="","",IFERROR(INDEX(PROGRES!$A$2:$A$92,MATCH(E665,PROGRES!$B$2:$B$92,0)),"-"))</f>
        <v/>
      </c>
      <c r="G665" s="8" t="str">
        <f>IF($A665="","",UPPER(TRIM(INDEX(FORM!$F:$F,ROW()))))</f>
        <v/>
      </c>
      <c r="H665" s="8" t="str">
        <f>IF($A665="","",UPPER(TRIM(INDEX(FORM!$E:$E,ROW()))))</f>
        <v/>
      </c>
      <c r="I665" s="8" t="str">
        <f>IF($A665="","",UPPER(TRIM(INDEX(FORM!$G:$G,ROW()))))</f>
        <v/>
      </c>
      <c r="J665" s="8" t="str">
        <f>IF($A665="","",IF(ISNUMBER(SEARCH("Ya,",INDEX(FORM!$H:$H,ROW()))),"YA",IF(ISNUMBER(SEARCH("Cukup,",INDEX(FORM!$H:$H,ROW()))),"CUKUP",IF(ISNUMBER(SEARCH("Kurang,",INDEX(FORM!$H:$H,ROW()))),"KURANG",""))))</f>
        <v/>
      </c>
      <c r="K665" s="8" t="str">
        <f>IF($A665="","",UPPER(TRIM(INDEX(FORM!$J:$J,ROW()))))</f>
        <v/>
      </c>
      <c r="L665" s="8" t="str">
        <f>IF($A665="","",IF(ISNUMBER(SEARCH("Aktivitas Harian",INDEX(FORM!$K:$K,ROW()))),1,0))</f>
        <v/>
      </c>
      <c r="M665" s="8" t="str">
        <f>IF($A665="","",IF(ISNUMBER(SEARCH("Aktivitas Mingguan",INDEX(FORM!$K:$K,ROW()))),1,0))</f>
        <v/>
      </c>
      <c r="N665" s="8" t="str">
        <f>IF($A665="","",IF(ISNUMBER(SEARCH("Aktivitas Bulanan",INDEX(FORM!$K:$K,ROW()))),1,0))</f>
        <v/>
      </c>
      <c r="O665" s="8" t="str">
        <f>IF($A665="","",IF(ISNUMBER(SEARCH("Overview Cabang",INDEX(FORM!$K:$K,ROW()))),1,0))</f>
        <v/>
      </c>
      <c r="P665" s="8" t="str">
        <f>IF($A665="","",IFERROR(VLOOKUP(I665,DATA!$AH$9:$AI$13,2,0),""))</f>
        <v/>
      </c>
      <c r="Q665" s="8" t="str">
        <f>IF($A665="","",IFERROR(VLOOKUP(J665,DATA!$AH$9:$AI$13,2,0),""))</f>
        <v/>
      </c>
      <c r="R665" s="8" t="str">
        <f>IF($A665="","",IFERROR(VLOOKUP(K665,DATA!$AH$9:$AI$13,2,0),""))</f>
        <v/>
      </c>
      <c r="S665" s="42" t="str">
        <f t="shared" si="220"/>
        <v/>
      </c>
      <c r="T665" s="8" t="str">
        <f>IF($A665="","",IF(COUNTIF($D$2:D665,D665)=1,1,0))</f>
        <v/>
      </c>
      <c r="U665" s="8" t="str">
        <f>IF($A665="","",IF(F665="-","Cabang tdk ada",IF(IFERROR(VLOOKUP(G665,#REF!,1,0),"")="","",IF(INDEX(DATA!$AH$2:$AH$5,MATCH(G665,DATA!$AI$2:$AI$5,0))&lt;&gt;F665,"Wilayah beda","OK"))))</f>
        <v/>
      </c>
      <c r="V665" s="8" t="str">
        <f>IF($A665="","",TRIM(INDEX(FORM!$I:$I,ROW())&amp;""))</f>
        <v/>
      </c>
      <c r="W665" s="8" t="str">
        <f>IF($A665="","",TRIM(INDEX(FORM!$L:$L,ROW())&amp;""))</f>
        <v/>
      </c>
      <c r="X665" s="8" t="str">
        <f>IF($A665="","",TRIM(INDEX(FORM!$M:$M,ROW())&amp;""))</f>
        <v/>
      </c>
      <c r="Y665" s="8" t="str">
        <f>IF($A665="","",IFERROR(MATCH(F665,DATA!$AH$2:$AH$5,0),9)*10000+A665)</f>
        <v/>
      </c>
      <c r="Z665" s="8" t="str">
        <f t="shared" si="221"/>
        <v/>
      </c>
      <c r="AA665" s="8" t="str">
        <f t="shared" si="222"/>
        <v/>
      </c>
      <c r="AB665" s="8" t="str">
        <f t="shared" si="223"/>
        <v/>
      </c>
      <c r="AC665" s="8"/>
      <c r="AD665" s="8"/>
      <c r="AE665" s="8"/>
      <c r="AK665" s="5" t="str">
        <f t="shared" si="224"/>
        <v/>
      </c>
      <c r="AL665" s="5" t="str">
        <f t="shared" si="225"/>
        <v/>
      </c>
      <c r="AM665" s="5" t="str">
        <f t="shared" si="226"/>
        <v/>
      </c>
      <c r="AN665" s="5" t="str">
        <f t="shared" si="227"/>
        <v/>
      </c>
      <c r="AO665" s="5" t="str">
        <f t="shared" si="228"/>
        <v/>
      </c>
      <c r="AP665" s="5" t="str">
        <f t="shared" si="229"/>
        <v/>
      </c>
      <c r="AQ665" s="5" t="str">
        <f t="shared" si="230"/>
        <v/>
      </c>
      <c r="AR665" s="5" t="str">
        <f t="shared" si="231"/>
        <v/>
      </c>
      <c r="AS665" s="5" t="str">
        <f t="shared" si="232"/>
        <v/>
      </c>
      <c r="AT665" s="5" t="str">
        <f t="shared" si="233"/>
        <v/>
      </c>
      <c r="AU665" s="5" t="str">
        <f t="shared" si="234"/>
        <v/>
      </c>
      <c r="AV665" s="5" t="str">
        <f t="shared" si="235"/>
        <v/>
      </c>
      <c r="AW665" s="5" t="str">
        <f t="shared" si="236"/>
        <v/>
      </c>
      <c r="AX665" s="5" t="str">
        <f t="shared" si="237"/>
        <v/>
      </c>
      <c r="AY665" s="5" t="str">
        <f t="shared" si="238"/>
        <v/>
      </c>
      <c r="AZ665" s="5" t="str">
        <f t="shared" si="239"/>
        <v/>
      </c>
      <c r="BA665" s="5" t="str">
        <f t="shared" si="240"/>
        <v/>
      </c>
      <c r="BB665" s="5" t="str">
        <f t="shared" si="241"/>
        <v/>
      </c>
    </row>
    <row r="666" spans="1:54" s="5" customFormat="1" hidden="1">
      <c r="A666" s="8" t="str">
        <f>IF(INDEX(FORM!$A:$A,ROW())="","",ROW()-1)</f>
        <v/>
      </c>
      <c r="B666" s="41" t="str">
        <f>IF($A666="","",INDEX(FORM!$A:$A,ROW()))</f>
        <v/>
      </c>
      <c r="C666" s="8" t="str">
        <f>IF($A666="","",TRIM(INDEX(FORM!$B:$B,ROW())))</f>
        <v/>
      </c>
      <c r="D666" s="8" t="str">
        <f>IF($A666="","",TRIM(INDEX(FORM!$C:$C,ROW())&amp;""))</f>
        <v/>
      </c>
      <c r="E666" s="8" t="str">
        <f>IF($A666="","",UPPER(TRIM(INDEX(FORM!$D:$D,ROW()))))</f>
        <v/>
      </c>
      <c r="F666" s="8" t="str">
        <f>IF($A666="","",IFERROR(INDEX(PROGRES!$A$2:$A$92,MATCH(E666,PROGRES!$B$2:$B$92,0)),"-"))</f>
        <v/>
      </c>
      <c r="G666" s="8" t="str">
        <f>IF($A666="","",UPPER(TRIM(INDEX(FORM!$F:$F,ROW()))))</f>
        <v/>
      </c>
      <c r="H666" s="8" t="str">
        <f>IF($A666="","",UPPER(TRIM(INDEX(FORM!$E:$E,ROW()))))</f>
        <v/>
      </c>
      <c r="I666" s="8" t="str">
        <f>IF($A666="","",UPPER(TRIM(INDEX(FORM!$G:$G,ROW()))))</f>
        <v/>
      </c>
      <c r="J666" s="8" t="str">
        <f>IF($A666="","",IF(ISNUMBER(SEARCH("Ya,",INDEX(FORM!$H:$H,ROW()))),"YA",IF(ISNUMBER(SEARCH("Cukup,",INDEX(FORM!$H:$H,ROW()))),"CUKUP",IF(ISNUMBER(SEARCH("Kurang,",INDEX(FORM!$H:$H,ROW()))),"KURANG",""))))</f>
        <v/>
      </c>
      <c r="K666" s="8" t="str">
        <f>IF($A666="","",UPPER(TRIM(INDEX(FORM!$J:$J,ROW()))))</f>
        <v/>
      </c>
      <c r="L666" s="8" t="str">
        <f>IF($A666="","",IF(ISNUMBER(SEARCH("Aktivitas Harian",INDEX(FORM!$K:$K,ROW()))),1,0))</f>
        <v/>
      </c>
      <c r="M666" s="8" t="str">
        <f>IF($A666="","",IF(ISNUMBER(SEARCH("Aktivitas Mingguan",INDEX(FORM!$K:$K,ROW()))),1,0))</f>
        <v/>
      </c>
      <c r="N666" s="8" t="str">
        <f>IF($A666="","",IF(ISNUMBER(SEARCH("Aktivitas Bulanan",INDEX(FORM!$K:$K,ROW()))),1,0))</f>
        <v/>
      </c>
      <c r="O666" s="8" t="str">
        <f>IF($A666="","",IF(ISNUMBER(SEARCH("Overview Cabang",INDEX(FORM!$K:$K,ROW()))),1,0))</f>
        <v/>
      </c>
      <c r="P666" s="8" t="str">
        <f>IF($A666="","",IFERROR(VLOOKUP(I666,DATA!$AH$9:$AI$13,2,0),""))</f>
        <v/>
      </c>
      <c r="Q666" s="8" t="str">
        <f>IF($A666="","",IFERROR(VLOOKUP(J666,DATA!$AH$9:$AI$13,2,0),""))</f>
        <v/>
      </c>
      <c r="R666" s="8" t="str">
        <f>IF($A666="","",IFERROR(VLOOKUP(K666,DATA!$AH$9:$AI$13,2,0),""))</f>
        <v/>
      </c>
      <c r="S666" s="42" t="str">
        <f t="shared" si="220"/>
        <v/>
      </c>
      <c r="T666" s="8" t="str">
        <f>IF($A666="","",IF(COUNTIF($D$2:D666,D666)=1,1,0))</f>
        <v/>
      </c>
      <c r="U666" s="8" t="str">
        <f>IF($A666="","",IF(F666="-","Cabang tdk ada",IF(IFERROR(VLOOKUP(G666,#REF!,1,0),"")="","",IF(INDEX(DATA!$AH$2:$AH$5,MATCH(G666,DATA!$AI$2:$AI$5,0))&lt;&gt;F666,"Wilayah beda","OK"))))</f>
        <v/>
      </c>
      <c r="V666" s="8" t="str">
        <f>IF($A666="","",TRIM(INDEX(FORM!$I:$I,ROW())&amp;""))</f>
        <v/>
      </c>
      <c r="W666" s="8" t="str">
        <f>IF($A666="","",TRIM(INDEX(FORM!$L:$L,ROW())&amp;""))</f>
        <v/>
      </c>
      <c r="X666" s="8" t="str">
        <f>IF($A666="","",TRIM(INDEX(FORM!$M:$M,ROW())&amp;""))</f>
        <v/>
      </c>
      <c r="Y666" s="8" t="str">
        <f>IF($A666="","",IFERROR(MATCH(F666,DATA!$AH$2:$AH$5,0),9)*10000+A666)</f>
        <v/>
      </c>
      <c r="Z666" s="8" t="str">
        <f t="shared" si="221"/>
        <v/>
      </c>
      <c r="AA666" s="8" t="str">
        <f t="shared" si="222"/>
        <v/>
      </c>
      <c r="AB666" s="8" t="str">
        <f t="shared" si="223"/>
        <v/>
      </c>
      <c r="AC666" s="8"/>
      <c r="AD666" s="8"/>
      <c r="AE666" s="8"/>
      <c r="AK666" s="5" t="str">
        <f t="shared" si="224"/>
        <v/>
      </c>
      <c r="AL666" s="5" t="str">
        <f t="shared" si="225"/>
        <v/>
      </c>
      <c r="AM666" s="5" t="str">
        <f t="shared" si="226"/>
        <v/>
      </c>
      <c r="AN666" s="5" t="str">
        <f t="shared" si="227"/>
        <v/>
      </c>
      <c r="AO666" s="5" t="str">
        <f t="shared" si="228"/>
        <v/>
      </c>
      <c r="AP666" s="5" t="str">
        <f t="shared" si="229"/>
        <v/>
      </c>
      <c r="AQ666" s="5" t="str">
        <f t="shared" si="230"/>
        <v/>
      </c>
      <c r="AR666" s="5" t="str">
        <f t="shared" si="231"/>
        <v/>
      </c>
      <c r="AS666" s="5" t="str">
        <f t="shared" si="232"/>
        <v/>
      </c>
      <c r="AT666" s="5" t="str">
        <f t="shared" si="233"/>
        <v/>
      </c>
      <c r="AU666" s="5" t="str">
        <f t="shared" si="234"/>
        <v/>
      </c>
      <c r="AV666" s="5" t="str">
        <f t="shared" si="235"/>
        <v/>
      </c>
      <c r="AW666" s="5" t="str">
        <f t="shared" si="236"/>
        <v/>
      </c>
      <c r="AX666" s="5" t="str">
        <f t="shared" si="237"/>
        <v/>
      </c>
      <c r="AY666" s="5" t="str">
        <f t="shared" si="238"/>
        <v/>
      </c>
      <c r="AZ666" s="5" t="str">
        <f t="shared" si="239"/>
        <v/>
      </c>
      <c r="BA666" s="5" t="str">
        <f t="shared" si="240"/>
        <v/>
      </c>
      <c r="BB666" s="5" t="str">
        <f t="shared" si="241"/>
        <v/>
      </c>
    </row>
    <row r="667" spans="1:54" s="5" customFormat="1" hidden="1">
      <c r="A667" s="8" t="str">
        <f>IF(INDEX(FORM!$A:$A,ROW())="","",ROW()-1)</f>
        <v/>
      </c>
      <c r="B667" s="41" t="str">
        <f>IF($A667="","",INDEX(FORM!$A:$A,ROW()))</f>
        <v/>
      </c>
      <c r="C667" s="8" t="str">
        <f>IF($A667="","",TRIM(INDEX(FORM!$B:$B,ROW())))</f>
        <v/>
      </c>
      <c r="D667" s="8" t="str">
        <f>IF($A667="","",TRIM(INDEX(FORM!$C:$C,ROW())&amp;""))</f>
        <v/>
      </c>
      <c r="E667" s="8" t="str">
        <f>IF($A667="","",UPPER(TRIM(INDEX(FORM!$D:$D,ROW()))))</f>
        <v/>
      </c>
      <c r="F667" s="8" t="str">
        <f>IF($A667="","",IFERROR(INDEX(PROGRES!$A$2:$A$92,MATCH(E667,PROGRES!$B$2:$B$92,0)),"-"))</f>
        <v/>
      </c>
      <c r="G667" s="8" t="str">
        <f>IF($A667="","",UPPER(TRIM(INDEX(FORM!$F:$F,ROW()))))</f>
        <v/>
      </c>
      <c r="H667" s="8" t="str">
        <f>IF($A667="","",UPPER(TRIM(INDEX(FORM!$E:$E,ROW()))))</f>
        <v/>
      </c>
      <c r="I667" s="8" t="str">
        <f>IF($A667="","",UPPER(TRIM(INDEX(FORM!$G:$G,ROW()))))</f>
        <v/>
      </c>
      <c r="J667" s="8" t="str">
        <f>IF($A667="","",IF(ISNUMBER(SEARCH("Ya,",INDEX(FORM!$H:$H,ROW()))),"YA",IF(ISNUMBER(SEARCH("Cukup,",INDEX(FORM!$H:$H,ROW()))),"CUKUP",IF(ISNUMBER(SEARCH("Kurang,",INDEX(FORM!$H:$H,ROW()))),"KURANG",""))))</f>
        <v/>
      </c>
      <c r="K667" s="8" t="str">
        <f>IF($A667="","",UPPER(TRIM(INDEX(FORM!$J:$J,ROW()))))</f>
        <v/>
      </c>
      <c r="L667" s="8" t="str">
        <f>IF($A667="","",IF(ISNUMBER(SEARCH("Aktivitas Harian",INDEX(FORM!$K:$K,ROW()))),1,0))</f>
        <v/>
      </c>
      <c r="M667" s="8" t="str">
        <f>IF($A667="","",IF(ISNUMBER(SEARCH("Aktivitas Mingguan",INDEX(FORM!$K:$K,ROW()))),1,0))</f>
        <v/>
      </c>
      <c r="N667" s="8" t="str">
        <f>IF($A667="","",IF(ISNUMBER(SEARCH("Aktivitas Bulanan",INDEX(FORM!$K:$K,ROW()))),1,0))</f>
        <v/>
      </c>
      <c r="O667" s="8" t="str">
        <f>IF($A667="","",IF(ISNUMBER(SEARCH("Overview Cabang",INDEX(FORM!$K:$K,ROW()))),1,0))</f>
        <v/>
      </c>
      <c r="P667" s="8" t="str">
        <f>IF($A667="","",IFERROR(VLOOKUP(I667,DATA!$AH$9:$AI$13,2,0),""))</f>
        <v/>
      </c>
      <c r="Q667" s="8" t="str">
        <f>IF($A667="","",IFERROR(VLOOKUP(J667,DATA!$AH$9:$AI$13,2,0),""))</f>
        <v/>
      </c>
      <c r="R667" s="8" t="str">
        <f>IF($A667="","",IFERROR(VLOOKUP(K667,DATA!$AH$9:$AI$13,2,0),""))</f>
        <v/>
      </c>
      <c r="S667" s="42" t="str">
        <f t="shared" si="220"/>
        <v/>
      </c>
      <c r="T667" s="8" t="str">
        <f>IF($A667="","",IF(COUNTIF($D$2:D667,D667)=1,1,0))</f>
        <v/>
      </c>
      <c r="U667" s="8" t="str">
        <f>IF($A667="","",IF(F667="-","Cabang tdk ada",IF(IFERROR(VLOOKUP(G667,#REF!,1,0),"")="","",IF(INDEX(DATA!$AH$2:$AH$5,MATCH(G667,DATA!$AI$2:$AI$5,0))&lt;&gt;F667,"Wilayah beda","OK"))))</f>
        <v/>
      </c>
      <c r="V667" s="8" t="str">
        <f>IF($A667="","",TRIM(INDEX(FORM!$I:$I,ROW())&amp;""))</f>
        <v/>
      </c>
      <c r="W667" s="8" t="str">
        <f>IF($A667="","",TRIM(INDEX(FORM!$L:$L,ROW())&amp;""))</f>
        <v/>
      </c>
      <c r="X667" s="8" t="str">
        <f>IF($A667="","",TRIM(INDEX(FORM!$M:$M,ROW())&amp;""))</f>
        <v/>
      </c>
      <c r="Y667" s="8" t="str">
        <f>IF($A667="","",IFERROR(MATCH(F667,DATA!$AH$2:$AH$5,0),9)*10000+A667)</f>
        <v/>
      </c>
      <c r="Z667" s="8" t="str">
        <f t="shared" si="221"/>
        <v/>
      </c>
      <c r="AA667" s="8" t="str">
        <f t="shared" si="222"/>
        <v/>
      </c>
      <c r="AB667" s="8" t="str">
        <f t="shared" si="223"/>
        <v/>
      </c>
      <c r="AC667" s="8"/>
      <c r="AD667" s="8"/>
      <c r="AE667" s="8"/>
      <c r="AK667" s="5" t="str">
        <f t="shared" si="224"/>
        <v/>
      </c>
      <c r="AL667" s="5" t="str">
        <f t="shared" si="225"/>
        <v/>
      </c>
      <c r="AM667" s="5" t="str">
        <f t="shared" si="226"/>
        <v/>
      </c>
      <c r="AN667" s="5" t="str">
        <f t="shared" si="227"/>
        <v/>
      </c>
      <c r="AO667" s="5" t="str">
        <f t="shared" si="228"/>
        <v/>
      </c>
      <c r="AP667" s="5" t="str">
        <f t="shared" si="229"/>
        <v/>
      </c>
      <c r="AQ667" s="5" t="str">
        <f t="shared" si="230"/>
        <v/>
      </c>
      <c r="AR667" s="5" t="str">
        <f t="shared" si="231"/>
        <v/>
      </c>
      <c r="AS667" s="5" t="str">
        <f t="shared" si="232"/>
        <v/>
      </c>
      <c r="AT667" s="5" t="str">
        <f t="shared" si="233"/>
        <v/>
      </c>
      <c r="AU667" s="5" t="str">
        <f t="shared" si="234"/>
        <v/>
      </c>
      <c r="AV667" s="5" t="str">
        <f t="shared" si="235"/>
        <v/>
      </c>
      <c r="AW667" s="5" t="str">
        <f t="shared" si="236"/>
        <v/>
      </c>
      <c r="AX667" s="5" t="str">
        <f t="shared" si="237"/>
        <v/>
      </c>
      <c r="AY667" s="5" t="str">
        <f t="shared" si="238"/>
        <v/>
      </c>
      <c r="AZ667" s="5" t="str">
        <f t="shared" si="239"/>
        <v/>
      </c>
      <c r="BA667" s="5" t="str">
        <f t="shared" si="240"/>
        <v/>
      </c>
      <c r="BB667" s="5" t="str">
        <f t="shared" si="241"/>
        <v/>
      </c>
    </row>
    <row r="668" spans="1:54" s="5" customFormat="1" hidden="1">
      <c r="A668" s="8" t="str">
        <f>IF(INDEX(FORM!$A:$A,ROW())="","",ROW()-1)</f>
        <v/>
      </c>
      <c r="B668" s="41" t="str">
        <f>IF($A668="","",INDEX(FORM!$A:$A,ROW()))</f>
        <v/>
      </c>
      <c r="C668" s="8" t="str">
        <f>IF($A668="","",TRIM(INDEX(FORM!$B:$B,ROW())))</f>
        <v/>
      </c>
      <c r="D668" s="8" t="str">
        <f>IF($A668="","",TRIM(INDEX(FORM!$C:$C,ROW())&amp;""))</f>
        <v/>
      </c>
      <c r="E668" s="8" t="str">
        <f>IF($A668="","",UPPER(TRIM(INDEX(FORM!$D:$D,ROW()))))</f>
        <v/>
      </c>
      <c r="F668" s="8" t="str">
        <f>IF($A668="","",IFERROR(INDEX(PROGRES!$A$2:$A$92,MATCH(E668,PROGRES!$B$2:$B$92,0)),"-"))</f>
        <v/>
      </c>
      <c r="G668" s="8" t="str">
        <f>IF($A668="","",UPPER(TRIM(INDEX(FORM!$F:$F,ROW()))))</f>
        <v/>
      </c>
      <c r="H668" s="8" t="str">
        <f>IF($A668="","",UPPER(TRIM(INDEX(FORM!$E:$E,ROW()))))</f>
        <v/>
      </c>
      <c r="I668" s="8" t="str">
        <f>IF($A668="","",UPPER(TRIM(INDEX(FORM!$G:$G,ROW()))))</f>
        <v/>
      </c>
      <c r="J668" s="8" t="str">
        <f>IF($A668="","",IF(ISNUMBER(SEARCH("Ya,",INDEX(FORM!$H:$H,ROW()))),"YA",IF(ISNUMBER(SEARCH("Cukup,",INDEX(FORM!$H:$H,ROW()))),"CUKUP",IF(ISNUMBER(SEARCH("Kurang,",INDEX(FORM!$H:$H,ROW()))),"KURANG",""))))</f>
        <v/>
      </c>
      <c r="K668" s="8" t="str">
        <f>IF($A668="","",UPPER(TRIM(INDEX(FORM!$J:$J,ROW()))))</f>
        <v/>
      </c>
      <c r="L668" s="8" t="str">
        <f>IF($A668="","",IF(ISNUMBER(SEARCH("Aktivitas Harian",INDEX(FORM!$K:$K,ROW()))),1,0))</f>
        <v/>
      </c>
      <c r="M668" s="8" t="str">
        <f>IF($A668="","",IF(ISNUMBER(SEARCH("Aktivitas Mingguan",INDEX(FORM!$K:$K,ROW()))),1,0))</f>
        <v/>
      </c>
      <c r="N668" s="8" t="str">
        <f>IF($A668="","",IF(ISNUMBER(SEARCH("Aktivitas Bulanan",INDEX(FORM!$K:$K,ROW()))),1,0))</f>
        <v/>
      </c>
      <c r="O668" s="8" t="str">
        <f>IF($A668="","",IF(ISNUMBER(SEARCH("Overview Cabang",INDEX(FORM!$K:$K,ROW()))),1,0))</f>
        <v/>
      </c>
      <c r="P668" s="8" t="str">
        <f>IF($A668="","",IFERROR(VLOOKUP(I668,DATA!$AH$9:$AI$13,2,0),""))</f>
        <v/>
      </c>
      <c r="Q668" s="8" t="str">
        <f>IF($A668="","",IFERROR(VLOOKUP(J668,DATA!$AH$9:$AI$13,2,0),""))</f>
        <v/>
      </c>
      <c r="R668" s="8" t="str">
        <f>IF($A668="","",IFERROR(VLOOKUP(K668,DATA!$AH$9:$AI$13,2,0),""))</f>
        <v/>
      </c>
      <c r="S668" s="42" t="str">
        <f t="shared" si="220"/>
        <v/>
      </c>
      <c r="T668" s="8" t="str">
        <f>IF($A668="","",IF(COUNTIF($D$2:D668,D668)=1,1,0))</f>
        <v/>
      </c>
      <c r="U668" s="8" t="str">
        <f>IF($A668="","",IF(F668="-","Cabang tdk ada",IF(IFERROR(VLOOKUP(G668,#REF!,1,0),"")="","",IF(INDEX(DATA!$AH$2:$AH$5,MATCH(G668,DATA!$AI$2:$AI$5,0))&lt;&gt;F668,"Wilayah beda","OK"))))</f>
        <v/>
      </c>
      <c r="V668" s="8" t="str">
        <f>IF($A668="","",TRIM(INDEX(FORM!$I:$I,ROW())&amp;""))</f>
        <v/>
      </c>
      <c r="W668" s="8" t="str">
        <f>IF($A668="","",TRIM(INDEX(FORM!$L:$L,ROW())&amp;""))</f>
        <v/>
      </c>
      <c r="X668" s="8" t="str">
        <f>IF($A668="","",TRIM(INDEX(FORM!$M:$M,ROW())&amp;""))</f>
        <v/>
      </c>
      <c r="Y668" s="8" t="str">
        <f>IF($A668="","",IFERROR(MATCH(F668,DATA!$AH$2:$AH$5,0),9)*10000+A668)</f>
        <v/>
      </c>
      <c r="Z668" s="8" t="str">
        <f t="shared" si="221"/>
        <v/>
      </c>
      <c r="AA668" s="8" t="str">
        <f t="shared" si="222"/>
        <v/>
      </c>
      <c r="AB668" s="8" t="str">
        <f t="shared" si="223"/>
        <v/>
      </c>
      <c r="AC668" s="8"/>
      <c r="AD668" s="8"/>
      <c r="AE668" s="8"/>
      <c r="AK668" s="5" t="str">
        <f t="shared" si="224"/>
        <v/>
      </c>
      <c r="AL668" s="5" t="str">
        <f t="shared" si="225"/>
        <v/>
      </c>
      <c r="AM668" s="5" t="str">
        <f t="shared" si="226"/>
        <v/>
      </c>
      <c r="AN668" s="5" t="str">
        <f t="shared" si="227"/>
        <v/>
      </c>
      <c r="AO668" s="5" t="str">
        <f t="shared" si="228"/>
        <v/>
      </c>
      <c r="AP668" s="5" t="str">
        <f t="shared" si="229"/>
        <v/>
      </c>
      <c r="AQ668" s="5" t="str">
        <f t="shared" si="230"/>
        <v/>
      </c>
      <c r="AR668" s="5" t="str">
        <f t="shared" si="231"/>
        <v/>
      </c>
      <c r="AS668" s="5" t="str">
        <f t="shared" si="232"/>
        <v/>
      </c>
      <c r="AT668" s="5" t="str">
        <f t="shared" si="233"/>
        <v/>
      </c>
      <c r="AU668" s="5" t="str">
        <f t="shared" si="234"/>
        <v/>
      </c>
      <c r="AV668" s="5" t="str">
        <f t="shared" si="235"/>
        <v/>
      </c>
      <c r="AW668" s="5" t="str">
        <f t="shared" si="236"/>
        <v/>
      </c>
      <c r="AX668" s="5" t="str">
        <f t="shared" si="237"/>
        <v/>
      </c>
      <c r="AY668" s="5" t="str">
        <f t="shared" si="238"/>
        <v/>
      </c>
      <c r="AZ668" s="5" t="str">
        <f t="shared" si="239"/>
        <v/>
      </c>
      <c r="BA668" s="5" t="str">
        <f t="shared" si="240"/>
        <v/>
      </c>
      <c r="BB668" s="5" t="str">
        <f t="shared" si="241"/>
        <v/>
      </c>
    </row>
    <row r="669" spans="1:54" s="5" customFormat="1" hidden="1">
      <c r="A669" s="8" t="str">
        <f>IF(INDEX(FORM!$A:$A,ROW())="","",ROW()-1)</f>
        <v/>
      </c>
      <c r="B669" s="41" t="str">
        <f>IF($A669="","",INDEX(FORM!$A:$A,ROW()))</f>
        <v/>
      </c>
      <c r="C669" s="8" t="str">
        <f>IF($A669="","",TRIM(INDEX(FORM!$B:$B,ROW())))</f>
        <v/>
      </c>
      <c r="D669" s="8" t="str">
        <f>IF($A669="","",TRIM(INDEX(FORM!$C:$C,ROW())&amp;""))</f>
        <v/>
      </c>
      <c r="E669" s="8" t="str">
        <f>IF($A669="","",UPPER(TRIM(INDEX(FORM!$D:$D,ROW()))))</f>
        <v/>
      </c>
      <c r="F669" s="8" t="str">
        <f>IF($A669="","",IFERROR(INDEX(PROGRES!$A$2:$A$92,MATCH(E669,PROGRES!$B$2:$B$92,0)),"-"))</f>
        <v/>
      </c>
      <c r="G669" s="8" t="str">
        <f>IF($A669="","",UPPER(TRIM(INDEX(FORM!$F:$F,ROW()))))</f>
        <v/>
      </c>
      <c r="H669" s="8" t="str">
        <f>IF($A669="","",UPPER(TRIM(INDEX(FORM!$E:$E,ROW()))))</f>
        <v/>
      </c>
      <c r="I669" s="8" t="str">
        <f>IF($A669="","",UPPER(TRIM(INDEX(FORM!$G:$G,ROW()))))</f>
        <v/>
      </c>
      <c r="J669" s="8" t="str">
        <f>IF($A669="","",IF(ISNUMBER(SEARCH("Ya,",INDEX(FORM!$H:$H,ROW()))),"YA",IF(ISNUMBER(SEARCH("Cukup,",INDEX(FORM!$H:$H,ROW()))),"CUKUP",IF(ISNUMBER(SEARCH("Kurang,",INDEX(FORM!$H:$H,ROW()))),"KURANG",""))))</f>
        <v/>
      </c>
      <c r="K669" s="8" t="str">
        <f>IF($A669="","",UPPER(TRIM(INDEX(FORM!$J:$J,ROW()))))</f>
        <v/>
      </c>
      <c r="L669" s="8" t="str">
        <f>IF($A669="","",IF(ISNUMBER(SEARCH("Aktivitas Harian",INDEX(FORM!$K:$K,ROW()))),1,0))</f>
        <v/>
      </c>
      <c r="M669" s="8" t="str">
        <f>IF($A669="","",IF(ISNUMBER(SEARCH("Aktivitas Mingguan",INDEX(FORM!$K:$K,ROW()))),1,0))</f>
        <v/>
      </c>
      <c r="N669" s="8" t="str">
        <f>IF($A669="","",IF(ISNUMBER(SEARCH("Aktivitas Bulanan",INDEX(FORM!$K:$K,ROW()))),1,0))</f>
        <v/>
      </c>
      <c r="O669" s="8" t="str">
        <f>IF($A669="","",IF(ISNUMBER(SEARCH("Overview Cabang",INDEX(FORM!$K:$K,ROW()))),1,0))</f>
        <v/>
      </c>
      <c r="P669" s="8" t="str">
        <f>IF($A669="","",IFERROR(VLOOKUP(I669,DATA!$AH$9:$AI$13,2,0),""))</f>
        <v/>
      </c>
      <c r="Q669" s="8" t="str">
        <f>IF($A669="","",IFERROR(VLOOKUP(J669,DATA!$AH$9:$AI$13,2,0),""))</f>
        <v/>
      </c>
      <c r="R669" s="8" t="str">
        <f>IF($A669="","",IFERROR(VLOOKUP(K669,DATA!$AH$9:$AI$13,2,0),""))</f>
        <v/>
      </c>
      <c r="S669" s="42" t="str">
        <f t="shared" si="220"/>
        <v/>
      </c>
      <c r="T669" s="8" t="str">
        <f>IF($A669="","",IF(COUNTIF($D$2:D669,D669)=1,1,0))</f>
        <v/>
      </c>
      <c r="U669" s="8" t="str">
        <f>IF($A669="","",IF(F669="-","Cabang tdk ada",IF(IFERROR(VLOOKUP(G669,#REF!,1,0),"")="","",IF(INDEX(DATA!$AH$2:$AH$5,MATCH(G669,DATA!$AI$2:$AI$5,0))&lt;&gt;F669,"Wilayah beda","OK"))))</f>
        <v/>
      </c>
      <c r="V669" s="8" t="str">
        <f>IF($A669="","",TRIM(INDEX(FORM!$I:$I,ROW())&amp;""))</f>
        <v/>
      </c>
      <c r="W669" s="8" t="str">
        <f>IF($A669="","",TRIM(INDEX(FORM!$L:$L,ROW())&amp;""))</f>
        <v/>
      </c>
      <c r="X669" s="8" t="str">
        <f>IF($A669="","",TRIM(INDEX(FORM!$M:$M,ROW())&amp;""))</f>
        <v/>
      </c>
      <c r="Y669" s="8" t="str">
        <f>IF($A669="","",IFERROR(MATCH(F669,DATA!$AH$2:$AH$5,0),9)*10000+A669)</f>
        <v/>
      </c>
      <c r="Z669" s="8" t="str">
        <f t="shared" si="221"/>
        <v/>
      </c>
      <c r="AA669" s="8" t="str">
        <f t="shared" si="222"/>
        <v/>
      </c>
      <c r="AB669" s="8" t="str">
        <f t="shared" si="223"/>
        <v/>
      </c>
      <c r="AC669" s="8"/>
      <c r="AD669" s="8"/>
      <c r="AE669" s="8"/>
      <c r="AK669" s="5" t="str">
        <f t="shared" si="224"/>
        <v/>
      </c>
      <c r="AL669" s="5" t="str">
        <f t="shared" si="225"/>
        <v/>
      </c>
      <c r="AM669" s="5" t="str">
        <f t="shared" si="226"/>
        <v/>
      </c>
      <c r="AN669" s="5" t="str">
        <f t="shared" si="227"/>
        <v/>
      </c>
      <c r="AO669" s="5" t="str">
        <f t="shared" si="228"/>
        <v/>
      </c>
      <c r="AP669" s="5" t="str">
        <f t="shared" si="229"/>
        <v/>
      </c>
      <c r="AQ669" s="5" t="str">
        <f t="shared" si="230"/>
        <v/>
      </c>
      <c r="AR669" s="5" t="str">
        <f t="shared" si="231"/>
        <v/>
      </c>
      <c r="AS669" s="5" t="str">
        <f t="shared" si="232"/>
        <v/>
      </c>
      <c r="AT669" s="5" t="str">
        <f t="shared" si="233"/>
        <v/>
      </c>
      <c r="AU669" s="5" t="str">
        <f t="shared" si="234"/>
        <v/>
      </c>
      <c r="AV669" s="5" t="str">
        <f t="shared" si="235"/>
        <v/>
      </c>
      <c r="AW669" s="5" t="str">
        <f t="shared" si="236"/>
        <v/>
      </c>
      <c r="AX669" s="5" t="str">
        <f t="shared" si="237"/>
        <v/>
      </c>
      <c r="AY669" s="5" t="str">
        <f t="shared" si="238"/>
        <v/>
      </c>
      <c r="AZ669" s="5" t="str">
        <f t="shared" si="239"/>
        <v/>
      </c>
      <c r="BA669" s="5" t="str">
        <f t="shared" si="240"/>
        <v/>
      </c>
      <c r="BB669" s="5" t="str">
        <f t="shared" si="241"/>
        <v/>
      </c>
    </row>
    <row r="670" spans="1:54" s="5" customFormat="1" hidden="1">
      <c r="A670" s="8" t="str">
        <f>IF(INDEX(FORM!$A:$A,ROW())="","",ROW()-1)</f>
        <v/>
      </c>
      <c r="B670" s="41" t="str">
        <f>IF($A670="","",INDEX(FORM!$A:$A,ROW()))</f>
        <v/>
      </c>
      <c r="C670" s="8" t="str">
        <f>IF($A670="","",TRIM(INDEX(FORM!$B:$B,ROW())))</f>
        <v/>
      </c>
      <c r="D670" s="8" t="str">
        <f>IF($A670="","",TRIM(INDEX(FORM!$C:$C,ROW())&amp;""))</f>
        <v/>
      </c>
      <c r="E670" s="8" t="str">
        <f>IF($A670="","",UPPER(TRIM(INDEX(FORM!$D:$D,ROW()))))</f>
        <v/>
      </c>
      <c r="F670" s="8" t="str">
        <f>IF($A670="","",IFERROR(INDEX(PROGRES!$A$2:$A$92,MATCH(E670,PROGRES!$B$2:$B$92,0)),"-"))</f>
        <v/>
      </c>
      <c r="G670" s="8" t="str">
        <f>IF($A670="","",UPPER(TRIM(INDEX(FORM!$F:$F,ROW()))))</f>
        <v/>
      </c>
      <c r="H670" s="8" t="str">
        <f>IF($A670="","",UPPER(TRIM(INDEX(FORM!$E:$E,ROW()))))</f>
        <v/>
      </c>
      <c r="I670" s="8" t="str">
        <f>IF($A670="","",UPPER(TRIM(INDEX(FORM!$G:$G,ROW()))))</f>
        <v/>
      </c>
      <c r="J670" s="8" t="str">
        <f>IF($A670="","",IF(ISNUMBER(SEARCH("Ya,",INDEX(FORM!$H:$H,ROW()))),"YA",IF(ISNUMBER(SEARCH("Cukup,",INDEX(FORM!$H:$H,ROW()))),"CUKUP",IF(ISNUMBER(SEARCH("Kurang,",INDEX(FORM!$H:$H,ROW()))),"KURANG",""))))</f>
        <v/>
      </c>
      <c r="K670" s="8" t="str">
        <f>IF($A670="","",UPPER(TRIM(INDEX(FORM!$J:$J,ROW()))))</f>
        <v/>
      </c>
      <c r="L670" s="8" t="str">
        <f>IF($A670="","",IF(ISNUMBER(SEARCH("Aktivitas Harian",INDEX(FORM!$K:$K,ROW()))),1,0))</f>
        <v/>
      </c>
      <c r="M670" s="8" t="str">
        <f>IF($A670="","",IF(ISNUMBER(SEARCH("Aktivitas Mingguan",INDEX(FORM!$K:$K,ROW()))),1,0))</f>
        <v/>
      </c>
      <c r="N670" s="8" t="str">
        <f>IF($A670="","",IF(ISNUMBER(SEARCH("Aktivitas Bulanan",INDEX(FORM!$K:$K,ROW()))),1,0))</f>
        <v/>
      </c>
      <c r="O670" s="8" t="str">
        <f>IF($A670="","",IF(ISNUMBER(SEARCH("Overview Cabang",INDEX(FORM!$K:$K,ROW()))),1,0))</f>
        <v/>
      </c>
      <c r="P670" s="8" t="str">
        <f>IF($A670="","",IFERROR(VLOOKUP(I670,DATA!$AH$9:$AI$13,2,0),""))</f>
        <v/>
      </c>
      <c r="Q670" s="8" t="str">
        <f>IF($A670="","",IFERROR(VLOOKUP(J670,DATA!$AH$9:$AI$13,2,0),""))</f>
        <v/>
      </c>
      <c r="R670" s="8" t="str">
        <f>IF($A670="","",IFERROR(VLOOKUP(K670,DATA!$AH$9:$AI$13,2,0),""))</f>
        <v/>
      </c>
      <c r="S670" s="42" t="str">
        <f t="shared" si="220"/>
        <v/>
      </c>
      <c r="T670" s="8" t="str">
        <f>IF($A670="","",IF(COUNTIF($D$2:D670,D670)=1,1,0))</f>
        <v/>
      </c>
      <c r="U670" s="8" t="str">
        <f>IF($A670="","",IF(F670="-","Cabang tdk ada",IF(IFERROR(VLOOKUP(G670,#REF!,1,0),"")="","",IF(INDEX(DATA!$AH$2:$AH$5,MATCH(G670,DATA!$AI$2:$AI$5,0))&lt;&gt;F670,"Wilayah beda","OK"))))</f>
        <v/>
      </c>
      <c r="V670" s="8" t="str">
        <f>IF($A670="","",TRIM(INDEX(FORM!$I:$I,ROW())&amp;""))</f>
        <v/>
      </c>
      <c r="W670" s="8" t="str">
        <f>IF($A670="","",TRIM(INDEX(FORM!$L:$L,ROW())&amp;""))</f>
        <v/>
      </c>
      <c r="X670" s="8" t="str">
        <f>IF($A670="","",TRIM(INDEX(FORM!$M:$M,ROW())&amp;""))</f>
        <v/>
      </c>
      <c r="Y670" s="8" t="str">
        <f>IF($A670="","",IFERROR(MATCH(F670,DATA!$AH$2:$AH$5,0),9)*10000+A670)</f>
        <v/>
      </c>
      <c r="Z670" s="8" t="str">
        <f t="shared" si="221"/>
        <v/>
      </c>
      <c r="AA670" s="8" t="str">
        <f t="shared" si="222"/>
        <v/>
      </c>
      <c r="AB670" s="8" t="str">
        <f t="shared" si="223"/>
        <v/>
      </c>
      <c r="AC670" s="8"/>
      <c r="AD670" s="8"/>
      <c r="AE670" s="8"/>
      <c r="AK670" s="5" t="str">
        <f t="shared" si="224"/>
        <v/>
      </c>
      <c r="AL670" s="5" t="str">
        <f t="shared" si="225"/>
        <v/>
      </c>
      <c r="AM670" s="5" t="str">
        <f t="shared" si="226"/>
        <v/>
      </c>
      <c r="AN670" s="5" t="str">
        <f t="shared" si="227"/>
        <v/>
      </c>
      <c r="AO670" s="5" t="str">
        <f t="shared" si="228"/>
        <v/>
      </c>
      <c r="AP670" s="5" t="str">
        <f t="shared" si="229"/>
        <v/>
      </c>
      <c r="AQ670" s="5" t="str">
        <f t="shared" si="230"/>
        <v/>
      </c>
      <c r="AR670" s="5" t="str">
        <f t="shared" si="231"/>
        <v/>
      </c>
      <c r="AS670" s="5" t="str">
        <f t="shared" si="232"/>
        <v/>
      </c>
      <c r="AT670" s="5" t="str">
        <f t="shared" si="233"/>
        <v/>
      </c>
      <c r="AU670" s="5" t="str">
        <f t="shared" si="234"/>
        <v/>
      </c>
      <c r="AV670" s="5" t="str">
        <f t="shared" si="235"/>
        <v/>
      </c>
      <c r="AW670" s="5" t="str">
        <f t="shared" si="236"/>
        <v/>
      </c>
      <c r="AX670" s="5" t="str">
        <f t="shared" si="237"/>
        <v/>
      </c>
      <c r="AY670" s="5" t="str">
        <f t="shared" si="238"/>
        <v/>
      </c>
      <c r="AZ670" s="5" t="str">
        <f t="shared" si="239"/>
        <v/>
      </c>
      <c r="BA670" s="5" t="str">
        <f t="shared" si="240"/>
        <v/>
      </c>
      <c r="BB670" s="5" t="str">
        <f t="shared" si="241"/>
        <v/>
      </c>
    </row>
    <row r="671" spans="1:54" s="5" customFormat="1" hidden="1">
      <c r="A671" s="8" t="str">
        <f>IF(INDEX(FORM!$A:$A,ROW())="","",ROW()-1)</f>
        <v/>
      </c>
      <c r="B671" s="41" t="str">
        <f>IF($A671="","",INDEX(FORM!$A:$A,ROW()))</f>
        <v/>
      </c>
      <c r="C671" s="8" t="str">
        <f>IF($A671="","",TRIM(INDEX(FORM!$B:$B,ROW())))</f>
        <v/>
      </c>
      <c r="D671" s="8" t="str">
        <f>IF($A671="","",TRIM(INDEX(FORM!$C:$C,ROW())&amp;""))</f>
        <v/>
      </c>
      <c r="E671" s="8" t="str">
        <f>IF($A671="","",UPPER(TRIM(INDEX(FORM!$D:$D,ROW()))))</f>
        <v/>
      </c>
      <c r="F671" s="8" t="str">
        <f>IF($A671="","",IFERROR(INDEX(PROGRES!$A$2:$A$92,MATCH(E671,PROGRES!$B$2:$B$92,0)),"-"))</f>
        <v/>
      </c>
      <c r="G671" s="8" t="str">
        <f>IF($A671="","",UPPER(TRIM(INDEX(FORM!$F:$F,ROW()))))</f>
        <v/>
      </c>
      <c r="H671" s="8" t="str">
        <f>IF($A671="","",UPPER(TRIM(INDEX(FORM!$E:$E,ROW()))))</f>
        <v/>
      </c>
      <c r="I671" s="8" t="str">
        <f>IF($A671="","",UPPER(TRIM(INDEX(FORM!$G:$G,ROW()))))</f>
        <v/>
      </c>
      <c r="J671" s="8" t="str">
        <f>IF($A671="","",IF(ISNUMBER(SEARCH("Ya,",INDEX(FORM!$H:$H,ROW()))),"YA",IF(ISNUMBER(SEARCH("Cukup,",INDEX(FORM!$H:$H,ROW()))),"CUKUP",IF(ISNUMBER(SEARCH("Kurang,",INDEX(FORM!$H:$H,ROW()))),"KURANG",""))))</f>
        <v/>
      </c>
      <c r="K671" s="8" t="str">
        <f>IF($A671="","",UPPER(TRIM(INDEX(FORM!$J:$J,ROW()))))</f>
        <v/>
      </c>
      <c r="L671" s="8" t="str">
        <f>IF($A671="","",IF(ISNUMBER(SEARCH("Aktivitas Harian",INDEX(FORM!$K:$K,ROW()))),1,0))</f>
        <v/>
      </c>
      <c r="M671" s="8" t="str">
        <f>IF($A671="","",IF(ISNUMBER(SEARCH("Aktivitas Mingguan",INDEX(FORM!$K:$K,ROW()))),1,0))</f>
        <v/>
      </c>
      <c r="N671" s="8" t="str">
        <f>IF($A671="","",IF(ISNUMBER(SEARCH("Aktivitas Bulanan",INDEX(FORM!$K:$K,ROW()))),1,0))</f>
        <v/>
      </c>
      <c r="O671" s="8" t="str">
        <f>IF($A671="","",IF(ISNUMBER(SEARCH("Overview Cabang",INDEX(FORM!$K:$K,ROW()))),1,0))</f>
        <v/>
      </c>
      <c r="P671" s="8" t="str">
        <f>IF($A671="","",IFERROR(VLOOKUP(I671,DATA!$AH$9:$AI$13,2,0),""))</f>
        <v/>
      </c>
      <c r="Q671" s="8" t="str">
        <f>IF($A671="","",IFERROR(VLOOKUP(J671,DATA!$AH$9:$AI$13,2,0),""))</f>
        <v/>
      </c>
      <c r="R671" s="8" t="str">
        <f>IF($A671="","",IFERROR(VLOOKUP(K671,DATA!$AH$9:$AI$13,2,0),""))</f>
        <v/>
      </c>
      <c r="S671" s="42" t="str">
        <f t="shared" si="220"/>
        <v/>
      </c>
      <c r="T671" s="8" t="str">
        <f>IF($A671="","",IF(COUNTIF($D$2:D671,D671)=1,1,0))</f>
        <v/>
      </c>
      <c r="U671" s="8" t="str">
        <f>IF($A671="","",IF(F671="-","Cabang tdk ada",IF(IFERROR(VLOOKUP(G671,#REF!,1,0),"")="","",IF(INDEX(DATA!$AH$2:$AH$5,MATCH(G671,DATA!$AI$2:$AI$5,0))&lt;&gt;F671,"Wilayah beda","OK"))))</f>
        <v/>
      </c>
      <c r="V671" s="8" t="str">
        <f>IF($A671="","",TRIM(INDEX(FORM!$I:$I,ROW())&amp;""))</f>
        <v/>
      </c>
      <c r="W671" s="8" t="str">
        <f>IF($A671="","",TRIM(INDEX(FORM!$L:$L,ROW())&amp;""))</f>
        <v/>
      </c>
      <c r="X671" s="8" t="str">
        <f>IF($A671="","",TRIM(INDEX(FORM!$M:$M,ROW())&amp;""))</f>
        <v/>
      </c>
      <c r="Y671" s="8" t="str">
        <f>IF($A671="","",IFERROR(MATCH(F671,DATA!$AH$2:$AH$5,0),9)*10000+A671)</f>
        <v/>
      </c>
      <c r="Z671" s="8" t="str">
        <f t="shared" si="221"/>
        <v/>
      </c>
      <c r="AA671" s="8" t="str">
        <f t="shared" si="222"/>
        <v/>
      </c>
      <c r="AB671" s="8" t="str">
        <f t="shared" si="223"/>
        <v/>
      </c>
      <c r="AC671" s="8"/>
      <c r="AD671" s="8"/>
      <c r="AE671" s="8"/>
      <c r="AK671" s="5" t="str">
        <f t="shared" si="224"/>
        <v/>
      </c>
      <c r="AL671" s="5" t="str">
        <f t="shared" si="225"/>
        <v/>
      </c>
      <c r="AM671" s="5" t="str">
        <f t="shared" si="226"/>
        <v/>
      </c>
      <c r="AN671" s="5" t="str">
        <f t="shared" si="227"/>
        <v/>
      </c>
      <c r="AO671" s="5" t="str">
        <f t="shared" si="228"/>
        <v/>
      </c>
      <c r="AP671" s="5" t="str">
        <f t="shared" si="229"/>
        <v/>
      </c>
      <c r="AQ671" s="5" t="str">
        <f t="shared" si="230"/>
        <v/>
      </c>
      <c r="AR671" s="5" t="str">
        <f t="shared" si="231"/>
        <v/>
      </c>
      <c r="AS671" s="5" t="str">
        <f t="shared" si="232"/>
        <v/>
      </c>
      <c r="AT671" s="5" t="str">
        <f t="shared" si="233"/>
        <v/>
      </c>
      <c r="AU671" s="5" t="str">
        <f t="shared" si="234"/>
        <v/>
      </c>
      <c r="AV671" s="5" t="str">
        <f t="shared" si="235"/>
        <v/>
      </c>
      <c r="AW671" s="5" t="str">
        <f t="shared" si="236"/>
        <v/>
      </c>
      <c r="AX671" s="5" t="str">
        <f t="shared" si="237"/>
        <v/>
      </c>
      <c r="AY671" s="5" t="str">
        <f t="shared" si="238"/>
        <v/>
      </c>
      <c r="AZ671" s="5" t="str">
        <f t="shared" si="239"/>
        <v/>
      </c>
      <c r="BA671" s="5" t="str">
        <f t="shared" si="240"/>
        <v/>
      </c>
      <c r="BB671" s="5" t="str">
        <f t="shared" si="241"/>
        <v/>
      </c>
    </row>
    <row r="672" spans="1:54" s="5" customFormat="1" hidden="1">
      <c r="A672" s="8" t="str">
        <f>IF(INDEX(FORM!$A:$A,ROW())="","",ROW()-1)</f>
        <v/>
      </c>
      <c r="B672" s="41" t="str">
        <f>IF($A672="","",INDEX(FORM!$A:$A,ROW()))</f>
        <v/>
      </c>
      <c r="C672" s="8" t="str">
        <f>IF($A672="","",TRIM(INDEX(FORM!$B:$B,ROW())))</f>
        <v/>
      </c>
      <c r="D672" s="8" t="str">
        <f>IF($A672="","",TRIM(INDEX(FORM!$C:$C,ROW())&amp;""))</f>
        <v/>
      </c>
      <c r="E672" s="8" t="str">
        <f>IF($A672="","",UPPER(TRIM(INDEX(FORM!$D:$D,ROW()))))</f>
        <v/>
      </c>
      <c r="F672" s="8" t="str">
        <f>IF($A672="","",IFERROR(INDEX(PROGRES!$A$2:$A$92,MATCH(E672,PROGRES!$B$2:$B$92,0)),"-"))</f>
        <v/>
      </c>
      <c r="G672" s="8" t="str">
        <f>IF($A672="","",UPPER(TRIM(INDEX(FORM!$F:$F,ROW()))))</f>
        <v/>
      </c>
      <c r="H672" s="8" t="str">
        <f>IF($A672="","",UPPER(TRIM(INDEX(FORM!$E:$E,ROW()))))</f>
        <v/>
      </c>
      <c r="I672" s="8" t="str">
        <f>IF($A672="","",UPPER(TRIM(INDEX(FORM!$G:$G,ROW()))))</f>
        <v/>
      </c>
      <c r="J672" s="8" t="str">
        <f>IF($A672="","",IF(ISNUMBER(SEARCH("Ya,",INDEX(FORM!$H:$H,ROW()))),"YA",IF(ISNUMBER(SEARCH("Cukup,",INDEX(FORM!$H:$H,ROW()))),"CUKUP",IF(ISNUMBER(SEARCH("Kurang,",INDEX(FORM!$H:$H,ROW()))),"KURANG",""))))</f>
        <v/>
      </c>
      <c r="K672" s="8" t="str">
        <f>IF($A672="","",UPPER(TRIM(INDEX(FORM!$J:$J,ROW()))))</f>
        <v/>
      </c>
      <c r="L672" s="8" t="str">
        <f>IF($A672="","",IF(ISNUMBER(SEARCH("Aktivitas Harian",INDEX(FORM!$K:$K,ROW()))),1,0))</f>
        <v/>
      </c>
      <c r="M672" s="8" t="str">
        <f>IF($A672="","",IF(ISNUMBER(SEARCH("Aktivitas Mingguan",INDEX(FORM!$K:$K,ROW()))),1,0))</f>
        <v/>
      </c>
      <c r="N672" s="8" t="str">
        <f>IF($A672="","",IF(ISNUMBER(SEARCH("Aktivitas Bulanan",INDEX(FORM!$K:$K,ROW()))),1,0))</f>
        <v/>
      </c>
      <c r="O672" s="8" t="str">
        <f>IF($A672="","",IF(ISNUMBER(SEARCH("Overview Cabang",INDEX(FORM!$K:$K,ROW()))),1,0))</f>
        <v/>
      </c>
      <c r="P672" s="8" t="str">
        <f>IF($A672="","",IFERROR(VLOOKUP(I672,DATA!$AH$9:$AI$13,2,0),""))</f>
        <v/>
      </c>
      <c r="Q672" s="8" t="str">
        <f>IF($A672="","",IFERROR(VLOOKUP(J672,DATA!$AH$9:$AI$13,2,0),""))</f>
        <v/>
      </c>
      <c r="R672" s="8" t="str">
        <f>IF($A672="","",IFERROR(VLOOKUP(K672,DATA!$AH$9:$AI$13,2,0),""))</f>
        <v/>
      </c>
      <c r="S672" s="42" t="str">
        <f t="shared" si="220"/>
        <v/>
      </c>
      <c r="T672" s="8" t="str">
        <f>IF($A672="","",IF(COUNTIF($D$2:D672,D672)=1,1,0))</f>
        <v/>
      </c>
      <c r="U672" s="8" t="str">
        <f>IF($A672="","",IF(F672="-","Cabang tdk ada",IF(IFERROR(VLOOKUP(G672,#REF!,1,0),"")="","",IF(INDEX(DATA!$AH$2:$AH$5,MATCH(G672,DATA!$AI$2:$AI$5,0))&lt;&gt;F672,"Wilayah beda","OK"))))</f>
        <v/>
      </c>
      <c r="V672" s="8" t="str">
        <f>IF($A672="","",TRIM(INDEX(FORM!$I:$I,ROW())&amp;""))</f>
        <v/>
      </c>
      <c r="W672" s="8" t="str">
        <f>IF($A672="","",TRIM(INDEX(FORM!$L:$L,ROW())&amp;""))</f>
        <v/>
      </c>
      <c r="X672" s="8" t="str">
        <f>IF($A672="","",TRIM(INDEX(FORM!$M:$M,ROW())&amp;""))</f>
        <v/>
      </c>
      <c r="Y672" s="8" t="str">
        <f>IF($A672="","",IFERROR(MATCH(F672,DATA!$AH$2:$AH$5,0),9)*10000+A672)</f>
        <v/>
      </c>
      <c r="Z672" s="8" t="str">
        <f t="shared" si="221"/>
        <v/>
      </c>
      <c r="AA672" s="8" t="str">
        <f t="shared" si="222"/>
        <v/>
      </c>
      <c r="AB672" s="8" t="str">
        <f t="shared" si="223"/>
        <v/>
      </c>
      <c r="AC672" s="8"/>
      <c r="AD672" s="8"/>
      <c r="AE672" s="8"/>
      <c r="AK672" s="5" t="str">
        <f t="shared" si="224"/>
        <v/>
      </c>
      <c r="AL672" s="5" t="str">
        <f t="shared" si="225"/>
        <v/>
      </c>
      <c r="AM672" s="5" t="str">
        <f t="shared" si="226"/>
        <v/>
      </c>
      <c r="AN672" s="5" t="str">
        <f t="shared" si="227"/>
        <v/>
      </c>
      <c r="AO672" s="5" t="str">
        <f t="shared" si="228"/>
        <v/>
      </c>
      <c r="AP672" s="5" t="str">
        <f t="shared" si="229"/>
        <v/>
      </c>
      <c r="AQ672" s="5" t="str">
        <f t="shared" si="230"/>
        <v/>
      </c>
      <c r="AR672" s="5" t="str">
        <f t="shared" si="231"/>
        <v/>
      </c>
      <c r="AS672" s="5" t="str">
        <f t="shared" si="232"/>
        <v/>
      </c>
      <c r="AT672" s="5" t="str">
        <f t="shared" si="233"/>
        <v/>
      </c>
      <c r="AU672" s="5" t="str">
        <f t="shared" si="234"/>
        <v/>
      </c>
      <c r="AV672" s="5" t="str">
        <f t="shared" si="235"/>
        <v/>
      </c>
      <c r="AW672" s="5" t="str">
        <f t="shared" si="236"/>
        <v/>
      </c>
      <c r="AX672" s="5" t="str">
        <f t="shared" si="237"/>
        <v/>
      </c>
      <c r="AY672" s="5" t="str">
        <f t="shared" si="238"/>
        <v/>
      </c>
      <c r="AZ672" s="5" t="str">
        <f t="shared" si="239"/>
        <v/>
      </c>
      <c r="BA672" s="5" t="str">
        <f t="shared" si="240"/>
        <v/>
      </c>
      <c r="BB672" s="5" t="str">
        <f t="shared" si="241"/>
        <v/>
      </c>
    </row>
    <row r="673" spans="1:54" s="5" customFormat="1" hidden="1">
      <c r="A673" s="8" t="str">
        <f>IF(INDEX(FORM!$A:$A,ROW())="","",ROW()-1)</f>
        <v/>
      </c>
      <c r="B673" s="41" t="str">
        <f>IF($A673="","",INDEX(FORM!$A:$A,ROW()))</f>
        <v/>
      </c>
      <c r="C673" s="8" t="str">
        <f>IF($A673="","",TRIM(INDEX(FORM!$B:$B,ROW())))</f>
        <v/>
      </c>
      <c r="D673" s="8" t="str">
        <f>IF($A673="","",TRIM(INDEX(FORM!$C:$C,ROW())&amp;""))</f>
        <v/>
      </c>
      <c r="E673" s="8" t="str">
        <f>IF($A673="","",UPPER(TRIM(INDEX(FORM!$D:$D,ROW()))))</f>
        <v/>
      </c>
      <c r="F673" s="8" t="str">
        <f>IF($A673="","",IFERROR(INDEX(PROGRES!$A$2:$A$92,MATCH(E673,PROGRES!$B$2:$B$92,0)),"-"))</f>
        <v/>
      </c>
      <c r="G673" s="8" t="str">
        <f>IF($A673="","",UPPER(TRIM(INDEX(FORM!$F:$F,ROW()))))</f>
        <v/>
      </c>
      <c r="H673" s="8" t="str">
        <f>IF($A673="","",UPPER(TRIM(INDEX(FORM!$E:$E,ROW()))))</f>
        <v/>
      </c>
      <c r="I673" s="8" t="str">
        <f>IF($A673="","",UPPER(TRIM(INDEX(FORM!$G:$G,ROW()))))</f>
        <v/>
      </c>
      <c r="J673" s="8" t="str">
        <f>IF($A673="","",IF(ISNUMBER(SEARCH("Ya,",INDEX(FORM!$H:$H,ROW()))),"YA",IF(ISNUMBER(SEARCH("Cukup,",INDEX(FORM!$H:$H,ROW()))),"CUKUP",IF(ISNUMBER(SEARCH("Kurang,",INDEX(FORM!$H:$H,ROW()))),"KURANG",""))))</f>
        <v/>
      </c>
      <c r="K673" s="8" t="str">
        <f>IF($A673="","",UPPER(TRIM(INDEX(FORM!$J:$J,ROW()))))</f>
        <v/>
      </c>
      <c r="L673" s="8" t="str">
        <f>IF($A673="","",IF(ISNUMBER(SEARCH("Aktivitas Harian",INDEX(FORM!$K:$K,ROW()))),1,0))</f>
        <v/>
      </c>
      <c r="M673" s="8" t="str">
        <f>IF($A673="","",IF(ISNUMBER(SEARCH("Aktivitas Mingguan",INDEX(FORM!$K:$K,ROW()))),1,0))</f>
        <v/>
      </c>
      <c r="N673" s="8" t="str">
        <f>IF($A673="","",IF(ISNUMBER(SEARCH("Aktivitas Bulanan",INDEX(FORM!$K:$K,ROW()))),1,0))</f>
        <v/>
      </c>
      <c r="O673" s="8" t="str">
        <f>IF($A673="","",IF(ISNUMBER(SEARCH("Overview Cabang",INDEX(FORM!$K:$K,ROW()))),1,0))</f>
        <v/>
      </c>
      <c r="P673" s="8" t="str">
        <f>IF($A673="","",IFERROR(VLOOKUP(I673,DATA!$AH$9:$AI$13,2,0),""))</f>
        <v/>
      </c>
      <c r="Q673" s="8" t="str">
        <f>IF($A673="","",IFERROR(VLOOKUP(J673,DATA!$AH$9:$AI$13,2,0),""))</f>
        <v/>
      </c>
      <c r="R673" s="8" t="str">
        <f>IF($A673="","",IFERROR(VLOOKUP(K673,DATA!$AH$9:$AI$13,2,0),""))</f>
        <v/>
      </c>
      <c r="S673" s="42" t="str">
        <f t="shared" si="220"/>
        <v/>
      </c>
      <c r="T673" s="8" t="str">
        <f>IF($A673="","",IF(COUNTIF($D$2:D673,D673)=1,1,0))</f>
        <v/>
      </c>
      <c r="U673" s="8" t="str">
        <f>IF($A673="","",IF(F673="-","Cabang tdk ada",IF(IFERROR(VLOOKUP(G673,#REF!,1,0),"")="","",IF(INDEX(DATA!$AH$2:$AH$5,MATCH(G673,DATA!$AI$2:$AI$5,0))&lt;&gt;F673,"Wilayah beda","OK"))))</f>
        <v/>
      </c>
      <c r="V673" s="8" t="str">
        <f>IF($A673="","",TRIM(INDEX(FORM!$I:$I,ROW())&amp;""))</f>
        <v/>
      </c>
      <c r="W673" s="8" t="str">
        <f>IF($A673="","",TRIM(INDEX(FORM!$L:$L,ROW())&amp;""))</f>
        <v/>
      </c>
      <c r="X673" s="8" t="str">
        <f>IF($A673="","",TRIM(INDEX(FORM!$M:$M,ROW())&amp;""))</f>
        <v/>
      </c>
      <c r="Y673" s="8" t="str">
        <f>IF($A673="","",IFERROR(MATCH(F673,DATA!$AH$2:$AH$5,0),9)*10000+A673)</f>
        <v/>
      </c>
      <c r="Z673" s="8" t="str">
        <f t="shared" si="221"/>
        <v/>
      </c>
      <c r="AA673" s="8" t="str">
        <f t="shared" si="222"/>
        <v/>
      </c>
      <c r="AB673" s="8" t="str">
        <f t="shared" si="223"/>
        <v/>
      </c>
      <c r="AC673" s="8"/>
      <c r="AD673" s="8"/>
      <c r="AE673" s="8"/>
      <c r="AK673" s="5" t="str">
        <f t="shared" si="224"/>
        <v/>
      </c>
      <c r="AL673" s="5" t="str">
        <f t="shared" si="225"/>
        <v/>
      </c>
      <c r="AM673" s="5" t="str">
        <f t="shared" si="226"/>
        <v/>
      </c>
      <c r="AN673" s="5" t="str">
        <f t="shared" si="227"/>
        <v/>
      </c>
      <c r="AO673" s="5" t="str">
        <f t="shared" si="228"/>
        <v/>
      </c>
      <c r="AP673" s="5" t="str">
        <f t="shared" si="229"/>
        <v/>
      </c>
      <c r="AQ673" s="5" t="str">
        <f t="shared" si="230"/>
        <v/>
      </c>
      <c r="AR673" s="5" t="str">
        <f t="shared" si="231"/>
        <v/>
      </c>
      <c r="AS673" s="5" t="str">
        <f t="shared" si="232"/>
        <v/>
      </c>
      <c r="AT673" s="5" t="str">
        <f t="shared" si="233"/>
        <v/>
      </c>
      <c r="AU673" s="5" t="str">
        <f t="shared" si="234"/>
        <v/>
      </c>
      <c r="AV673" s="5" t="str">
        <f t="shared" si="235"/>
        <v/>
      </c>
      <c r="AW673" s="5" t="str">
        <f t="shared" si="236"/>
        <v/>
      </c>
      <c r="AX673" s="5" t="str">
        <f t="shared" si="237"/>
        <v/>
      </c>
      <c r="AY673" s="5" t="str">
        <f t="shared" si="238"/>
        <v/>
      </c>
      <c r="AZ673" s="5" t="str">
        <f t="shared" si="239"/>
        <v/>
      </c>
      <c r="BA673" s="5" t="str">
        <f t="shared" si="240"/>
        <v/>
      </c>
      <c r="BB673" s="5" t="str">
        <f t="shared" si="241"/>
        <v/>
      </c>
    </row>
    <row r="674" spans="1:54" s="5" customFormat="1" hidden="1">
      <c r="A674" s="8" t="str">
        <f>IF(INDEX(FORM!$A:$A,ROW())="","",ROW()-1)</f>
        <v/>
      </c>
      <c r="B674" s="41" t="str">
        <f>IF($A674="","",INDEX(FORM!$A:$A,ROW()))</f>
        <v/>
      </c>
      <c r="C674" s="8" t="str">
        <f>IF($A674="","",TRIM(INDEX(FORM!$B:$B,ROW())))</f>
        <v/>
      </c>
      <c r="D674" s="8" t="str">
        <f>IF($A674="","",TRIM(INDEX(FORM!$C:$C,ROW())&amp;""))</f>
        <v/>
      </c>
      <c r="E674" s="8" t="str">
        <f>IF($A674="","",UPPER(TRIM(INDEX(FORM!$D:$D,ROW()))))</f>
        <v/>
      </c>
      <c r="F674" s="8" t="str">
        <f>IF($A674="","",IFERROR(INDEX(PROGRES!$A$2:$A$92,MATCH(E674,PROGRES!$B$2:$B$92,0)),"-"))</f>
        <v/>
      </c>
      <c r="G674" s="8" t="str">
        <f>IF($A674="","",UPPER(TRIM(INDEX(FORM!$F:$F,ROW()))))</f>
        <v/>
      </c>
      <c r="H674" s="8" t="str">
        <f>IF($A674="","",UPPER(TRIM(INDEX(FORM!$E:$E,ROW()))))</f>
        <v/>
      </c>
      <c r="I674" s="8" t="str">
        <f>IF($A674="","",UPPER(TRIM(INDEX(FORM!$G:$G,ROW()))))</f>
        <v/>
      </c>
      <c r="J674" s="8" t="str">
        <f>IF($A674="","",IF(ISNUMBER(SEARCH("Ya,",INDEX(FORM!$H:$H,ROW()))),"YA",IF(ISNUMBER(SEARCH("Cukup,",INDEX(FORM!$H:$H,ROW()))),"CUKUP",IF(ISNUMBER(SEARCH("Kurang,",INDEX(FORM!$H:$H,ROW()))),"KURANG",""))))</f>
        <v/>
      </c>
      <c r="K674" s="8" t="str">
        <f>IF($A674="","",UPPER(TRIM(INDEX(FORM!$J:$J,ROW()))))</f>
        <v/>
      </c>
      <c r="L674" s="8" t="str">
        <f>IF($A674="","",IF(ISNUMBER(SEARCH("Aktivitas Harian",INDEX(FORM!$K:$K,ROW()))),1,0))</f>
        <v/>
      </c>
      <c r="M674" s="8" t="str">
        <f>IF($A674="","",IF(ISNUMBER(SEARCH("Aktivitas Mingguan",INDEX(FORM!$K:$K,ROW()))),1,0))</f>
        <v/>
      </c>
      <c r="N674" s="8" t="str">
        <f>IF($A674="","",IF(ISNUMBER(SEARCH("Aktivitas Bulanan",INDEX(FORM!$K:$K,ROW()))),1,0))</f>
        <v/>
      </c>
      <c r="O674" s="8" t="str">
        <f>IF($A674="","",IF(ISNUMBER(SEARCH("Overview Cabang",INDEX(FORM!$K:$K,ROW()))),1,0))</f>
        <v/>
      </c>
      <c r="P674" s="8" t="str">
        <f>IF($A674="","",IFERROR(VLOOKUP(I674,DATA!$AH$9:$AI$13,2,0),""))</f>
        <v/>
      </c>
      <c r="Q674" s="8" t="str">
        <f>IF($A674="","",IFERROR(VLOOKUP(J674,DATA!$AH$9:$AI$13,2,0),""))</f>
        <v/>
      </c>
      <c r="R674" s="8" t="str">
        <f>IF($A674="","",IFERROR(VLOOKUP(K674,DATA!$AH$9:$AI$13,2,0),""))</f>
        <v/>
      </c>
      <c r="S674" s="42" t="str">
        <f t="shared" si="220"/>
        <v/>
      </c>
      <c r="T674" s="8" t="str">
        <f>IF($A674="","",IF(COUNTIF($D$2:D674,D674)=1,1,0))</f>
        <v/>
      </c>
      <c r="U674" s="8" t="str">
        <f>IF($A674="","",IF(F674="-","Cabang tdk ada",IF(IFERROR(VLOOKUP(G674,#REF!,1,0),"")="","",IF(INDEX(DATA!$AH$2:$AH$5,MATCH(G674,DATA!$AI$2:$AI$5,0))&lt;&gt;F674,"Wilayah beda","OK"))))</f>
        <v/>
      </c>
      <c r="V674" s="8" t="str">
        <f>IF($A674="","",TRIM(INDEX(FORM!$I:$I,ROW())&amp;""))</f>
        <v/>
      </c>
      <c r="W674" s="8" t="str">
        <f>IF($A674="","",TRIM(INDEX(FORM!$L:$L,ROW())&amp;""))</f>
        <v/>
      </c>
      <c r="X674" s="8" t="str">
        <f>IF($A674="","",TRIM(INDEX(FORM!$M:$M,ROW())&amp;""))</f>
        <v/>
      </c>
      <c r="Y674" s="8" t="str">
        <f>IF($A674="","",IFERROR(MATCH(F674,DATA!$AH$2:$AH$5,0),9)*10000+A674)</f>
        <v/>
      </c>
      <c r="Z674" s="8" t="str">
        <f t="shared" si="221"/>
        <v/>
      </c>
      <c r="AA674" s="8" t="str">
        <f t="shared" si="222"/>
        <v/>
      </c>
      <c r="AB674" s="8" t="str">
        <f t="shared" si="223"/>
        <v/>
      </c>
      <c r="AC674" s="8"/>
      <c r="AD674" s="8"/>
      <c r="AE674" s="8"/>
      <c r="AK674" s="5" t="str">
        <f t="shared" si="224"/>
        <v/>
      </c>
      <c r="AL674" s="5" t="str">
        <f t="shared" si="225"/>
        <v/>
      </c>
      <c r="AM674" s="5" t="str">
        <f t="shared" si="226"/>
        <v/>
      </c>
      <c r="AN674" s="5" t="str">
        <f t="shared" si="227"/>
        <v/>
      </c>
      <c r="AO674" s="5" t="str">
        <f t="shared" si="228"/>
        <v/>
      </c>
      <c r="AP674" s="5" t="str">
        <f t="shared" si="229"/>
        <v/>
      </c>
      <c r="AQ674" s="5" t="str">
        <f t="shared" si="230"/>
        <v/>
      </c>
      <c r="AR674" s="5" t="str">
        <f t="shared" si="231"/>
        <v/>
      </c>
      <c r="AS674" s="5" t="str">
        <f t="shared" si="232"/>
        <v/>
      </c>
      <c r="AT674" s="5" t="str">
        <f t="shared" si="233"/>
        <v/>
      </c>
      <c r="AU674" s="5" t="str">
        <f t="shared" si="234"/>
        <v/>
      </c>
      <c r="AV674" s="5" t="str">
        <f t="shared" si="235"/>
        <v/>
      </c>
      <c r="AW674" s="5" t="str">
        <f t="shared" si="236"/>
        <v/>
      </c>
      <c r="AX674" s="5" t="str">
        <f t="shared" si="237"/>
        <v/>
      </c>
      <c r="AY674" s="5" t="str">
        <f t="shared" si="238"/>
        <v/>
      </c>
      <c r="AZ674" s="5" t="str">
        <f t="shared" si="239"/>
        <v/>
      </c>
      <c r="BA674" s="5" t="str">
        <f t="shared" si="240"/>
        <v/>
      </c>
      <c r="BB674" s="5" t="str">
        <f t="shared" si="241"/>
        <v/>
      </c>
    </row>
    <row r="675" spans="1:54" s="5" customFormat="1" hidden="1">
      <c r="A675" s="8" t="str">
        <f>IF(INDEX(FORM!$A:$A,ROW())="","",ROW()-1)</f>
        <v/>
      </c>
      <c r="B675" s="41" t="str">
        <f>IF($A675="","",INDEX(FORM!$A:$A,ROW()))</f>
        <v/>
      </c>
      <c r="C675" s="8" t="str">
        <f>IF($A675="","",TRIM(INDEX(FORM!$B:$B,ROW())))</f>
        <v/>
      </c>
      <c r="D675" s="8" t="str">
        <f>IF($A675="","",TRIM(INDEX(FORM!$C:$C,ROW())&amp;""))</f>
        <v/>
      </c>
      <c r="E675" s="8" t="str">
        <f>IF($A675="","",UPPER(TRIM(INDEX(FORM!$D:$D,ROW()))))</f>
        <v/>
      </c>
      <c r="F675" s="8" t="str">
        <f>IF($A675="","",IFERROR(INDEX(PROGRES!$A$2:$A$92,MATCH(E675,PROGRES!$B$2:$B$92,0)),"-"))</f>
        <v/>
      </c>
      <c r="G675" s="8" t="str">
        <f>IF($A675="","",UPPER(TRIM(INDEX(FORM!$F:$F,ROW()))))</f>
        <v/>
      </c>
      <c r="H675" s="8" t="str">
        <f>IF($A675="","",UPPER(TRIM(INDEX(FORM!$E:$E,ROW()))))</f>
        <v/>
      </c>
      <c r="I675" s="8" t="str">
        <f>IF($A675="","",UPPER(TRIM(INDEX(FORM!$G:$G,ROW()))))</f>
        <v/>
      </c>
      <c r="J675" s="8" t="str">
        <f>IF($A675="","",IF(ISNUMBER(SEARCH("Ya,",INDEX(FORM!$H:$H,ROW()))),"YA",IF(ISNUMBER(SEARCH("Cukup,",INDEX(FORM!$H:$H,ROW()))),"CUKUP",IF(ISNUMBER(SEARCH("Kurang,",INDEX(FORM!$H:$H,ROW()))),"KURANG",""))))</f>
        <v/>
      </c>
      <c r="K675" s="8" t="str">
        <f>IF($A675="","",UPPER(TRIM(INDEX(FORM!$J:$J,ROW()))))</f>
        <v/>
      </c>
      <c r="L675" s="8" t="str">
        <f>IF($A675="","",IF(ISNUMBER(SEARCH("Aktivitas Harian",INDEX(FORM!$K:$K,ROW()))),1,0))</f>
        <v/>
      </c>
      <c r="M675" s="8" t="str">
        <f>IF($A675="","",IF(ISNUMBER(SEARCH("Aktivitas Mingguan",INDEX(FORM!$K:$K,ROW()))),1,0))</f>
        <v/>
      </c>
      <c r="N675" s="8" t="str">
        <f>IF($A675="","",IF(ISNUMBER(SEARCH("Aktivitas Bulanan",INDEX(FORM!$K:$K,ROW()))),1,0))</f>
        <v/>
      </c>
      <c r="O675" s="8" t="str">
        <f>IF($A675="","",IF(ISNUMBER(SEARCH("Overview Cabang",INDEX(FORM!$K:$K,ROW()))),1,0))</f>
        <v/>
      </c>
      <c r="P675" s="8" t="str">
        <f>IF($A675="","",IFERROR(VLOOKUP(I675,DATA!$AH$9:$AI$13,2,0),""))</f>
        <v/>
      </c>
      <c r="Q675" s="8" t="str">
        <f>IF($A675="","",IFERROR(VLOOKUP(J675,DATA!$AH$9:$AI$13,2,0),""))</f>
        <v/>
      </c>
      <c r="R675" s="8" t="str">
        <f>IF($A675="","",IFERROR(VLOOKUP(K675,DATA!$AH$9:$AI$13,2,0),""))</f>
        <v/>
      </c>
      <c r="S675" s="42" t="str">
        <f t="shared" si="220"/>
        <v/>
      </c>
      <c r="T675" s="8" t="str">
        <f>IF($A675="","",IF(COUNTIF($D$2:D675,D675)=1,1,0))</f>
        <v/>
      </c>
      <c r="U675" s="8" t="str">
        <f>IF($A675="","",IF(F675="-","Cabang tdk ada",IF(IFERROR(VLOOKUP(G675,#REF!,1,0),"")="","",IF(INDEX(DATA!$AH$2:$AH$5,MATCH(G675,DATA!$AI$2:$AI$5,0))&lt;&gt;F675,"Wilayah beda","OK"))))</f>
        <v/>
      </c>
      <c r="V675" s="8" t="str">
        <f>IF($A675="","",TRIM(INDEX(FORM!$I:$I,ROW())&amp;""))</f>
        <v/>
      </c>
      <c r="W675" s="8" t="str">
        <f>IF($A675="","",TRIM(INDEX(FORM!$L:$L,ROW())&amp;""))</f>
        <v/>
      </c>
      <c r="X675" s="8" t="str">
        <f>IF($A675="","",TRIM(INDEX(FORM!$M:$M,ROW())&amp;""))</f>
        <v/>
      </c>
      <c r="Y675" s="8" t="str">
        <f>IF($A675="","",IFERROR(MATCH(F675,DATA!$AH$2:$AH$5,0),9)*10000+A675)</f>
        <v/>
      </c>
      <c r="Z675" s="8" t="str">
        <f t="shared" si="221"/>
        <v/>
      </c>
      <c r="AA675" s="8" t="str">
        <f t="shared" si="222"/>
        <v/>
      </c>
      <c r="AB675" s="8" t="str">
        <f t="shared" si="223"/>
        <v/>
      </c>
      <c r="AC675" s="8"/>
      <c r="AD675" s="8"/>
      <c r="AE675" s="8"/>
      <c r="AK675" s="5" t="str">
        <f t="shared" si="224"/>
        <v/>
      </c>
      <c r="AL675" s="5" t="str">
        <f t="shared" si="225"/>
        <v/>
      </c>
      <c r="AM675" s="5" t="str">
        <f t="shared" si="226"/>
        <v/>
      </c>
      <c r="AN675" s="5" t="str">
        <f t="shared" si="227"/>
        <v/>
      </c>
      <c r="AO675" s="5" t="str">
        <f t="shared" si="228"/>
        <v/>
      </c>
      <c r="AP675" s="5" t="str">
        <f t="shared" si="229"/>
        <v/>
      </c>
      <c r="AQ675" s="5" t="str">
        <f t="shared" si="230"/>
        <v/>
      </c>
      <c r="AR675" s="5" t="str">
        <f t="shared" si="231"/>
        <v/>
      </c>
      <c r="AS675" s="5" t="str">
        <f t="shared" si="232"/>
        <v/>
      </c>
      <c r="AT675" s="5" t="str">
        <f t="shared" si="233"/>
        <v/>
      </c>
      <c r="AU675" s="5" t="str">
        <f t="shared" si="234"/>
        <v/>
      </c>
      <c r="AV675" s="5" t="str">
        <f t="shared" si="235"/>
        <v/>
      </c>
      <c r="AW675" s="5" t="str">
        <f t="shared" si="236"/>
        <v/>
      </c>
      <c r="AX675" s="5" t="str">
        <f t="shared" si="237"/>
        <v/>
      </c>
      <c r="AY675" s="5" t="str">
        <f t="shared" si="238"/>
        <v/>
      </c>
      <c r="AZ675" s="5" t="str">
        <f t="shared" si="239"/>
        <v/>
      </c>
      <c r="BA675" s="5" t="str">
        <f t="shared" si="240"/>
        <v/>
      </c>
      <c r="BB675" s="5" t="str">
        <f t="shared" si="241"/>
        <v/>
      </c>
    </row>
    <row r="676" spans="1:54" s="5" customFormat="1" hidden="1">
      <c r="A676" s="8" t="str">
        <f>IF(INDEX(FORM!$A:$A,ROW())="","",ROW()-1)</f>
        <v/>
      </c>
      <c r="B676" s="41" t="str">
        <f>IF($A676="","",INDEX(FORM!$A:$A,ROW()))</f>
        <v/>
      </c>
      <c r="C676" s="8" t="str">
        <f>IF($A676="","",TRIM(INDEX(FORM!$B:$B,ROW())))</f>
        <v/>
      </c>
      <c r="D676" s="8" t="str">
        <f>IF($A676="","",TRIM(INDEX(FORM!$C:$C,ROW())&amp;""))</f>
        <v/>
      </c>
      <c r="E676" s="8" t="str">
        <f>IF($A676="","",UPPER(TRIM(INDEX(FORM!$D:$D,ROW()))))</f>
        <v/>
      </c>
      <c r="F676" s="8" t="str">
        <f>IF($A676="","",IFERROR(INDEX(PROGRES!$A$2:$A$92,MATCH(E676,PROGRES!$B$2:$B$92,0)),"-"))</f>
        <v/>
      </c>
      <c r="G676" s="8" t="str">
        <f>IF($A676="","",UPPER(TRIM(INDEX(FORM!$F:$F,ROW()))))</f>
        <v/>
      </c>
      <c r="H676" s="8" t="str">
        <f>IF($A676="","",UPPER(TRIM(INDEX(FORM!$E:$E,ROW()))))</f>
        <v/>
      </c>
      <c r="I676" s="8" t="str">
        <f>IF($A676="","",UPPER(TRIM(INDEX(FORM!$G:$G,ROW()))))</f>
        <v/>
      </c>
      <c r="J676" s="8" t="str">
        <f>IF($A676="","",IF(ISNUMBER(SEARCH("Ya,",INDEX(FORM!$H:$H,ROW()))),"YA",IF(ISNUMBER(SEARCH("Cukup,",INDEX(FORM!$H:$H,ROW()))),"CUKUP",IF(ISNUMBER(SEARCH("Kurang,",INDEX(FORM!$H:$H,ROW()))),"KURANG",""))))</f>
        <v/>
      </c>
      <c r="K676" s="8" t="str">
        <f>IF($A676="","",UPPER(TRIM(INDEX(FORM!$J:$J,ROW()))))</f>
        <v/>
      </c>
      <c r="L676" s="8" t="str">
        <f>IF($A676="","",IF(ISNUMBER(SEARCH("Aktivitas Harian",INDEX(FORM!$K:$K,ROW()))),1,0))</f>
        <v/>
      </c>
      <c r="M676" s="8" t="str">
        <f>IF($A676="","",IF(ISNUMBER(SEARCH("Aktivitas Mingguan",INDEX(FORM!$K:$K,ROW()))),1,0))</f>
        <v/>
      </c>
      <c r="N676" s="8" t="str">
        <f>IF($A676="","",IF(ISNUMBER(SEARCH("Aktivitas Bulanan",INDEX(FORM!$K:$K,ROW()))),1,0))</f>
        <v/>
      </c>
      <c r="O676" s="8" t="str">
        <f>IF($A676="","",IF(ISNUMBER(SEARCH("Overview Cabang",INDEX(FORM!$K:$K,ROW()))),1,0))</f>
        <v/>
      </c>
      <c r="P676" s="8" t="str">
        <f>IF($A676="","",IFERROR(VLOOKUP(I676,DATA!$AH$9:$AI$13,2,0),""))</f>
        <v/>
      </c>
      <c r="Q676" s="8" t="str">
        <f>IF($A676="","",IFERROR(VLOOKUP(J676,DATA!$AH$9:$AI$13,2,0),""))</f>
        <v/>
      </c>
      <c r="R676" s="8" t="str">
        <f>IF($A676="","",IFERROR(VLOOKUP(K676,DATA!$AH$9:$AI$13,2,0),""))</f>
        <v/>
      </c>
      <c r="S676" s="42" t="str">
        <f t="shared" si="220"/>
        <v/>
      </c>
      <c r="T676" s="8" t="str">
        <f>IF($A676="","",IF(COUNTIF($D$2:D676,D676)=1,1,0))</f>
        <v/>
      </c>
      <c r="U676" s="8" t="str">
        <f>IF($A676="","",IF(F676="-","Cabang tdk ada",IF(IFERROR(VLOOKUP(G676,#REF!,1,0),"")="","",IF(INDEX(DATA!$AH$2:$AH$5,MATCH(G676,DATA!$AI$2:$AI$5,0))&lt;&gt;F676,"Wilayah beda","OK"))))</f>
        <v/>
      </c>
      <c r="V676" s="8" t="str">
        <f>IF($A676="","",TRIM(INDEX(FORM!$I:$I,ROW())&amp;""))</f>
        <v/>
      </c>
      <c r="W676" s="8" t="str">
        <f>IF($A676="","",TRIM(INDEX(FORM!$L:$L,ROW())&amp;""))</f>
        <v/>
      </c>
      <c r="X676" s="8" t="str">
        <f>IF($A676="","",TRIM(INDEX(FORM!$M:$M,ROW())&amp;""))</f>
        <v/>
      </c>
      <c r="Y676" s="8" t="str">
        <f>IF($A676="","",IFERROR(MATCH(F676,DATA!$AH$2:$AH$5,0),9)*10000+A676)</f>
        <v/>
      </c>
      <c r="Z676" s="8" t="str">
        <f t="shared" si="221"/>
        <v/>
      </c>
      <c r="AA676" s="8" t="str">
        <f t="shared" si="222"/>
        <v/>
      </c>
      <c r="AB676" s="8" t="str">
        <f t="shared" si="223"/>
        <v/>
      </c>
      <c r="AC676" s="8"/>
      <c r="AD676" s="8"/>
      <c r="AE676" s="8"/>
      <c r="AK676" s="5" t="str">
        <f t="shared" si="224"/>
        <v/>
      </c>
      <c r="AL676" s="5" t="str">
        <f t="shared" si="225"/>
        <v/>
      </c>
      <c r="AM676" s="5" t="str">
        <f t="shared" si="226"/>
        <v/>
      </c>
      <c r="AN676" s="5" t="str">
        <f t="shared" si="227"/>
        <v/>
      </c>
      <c r="AO676" s="5" t="str">
        <f t="shared" si="228"/>
        <v/>
      </c>
      <c r="AP676" s="5" t="str">
        <f t="shared" si="229"/>
        <v/>
      </c>
      <c r="AQ676" s="5" t="str">
        <f t="shared" si="230"/>
        <v/>
      </c>
      <c r="AR676" s="5" t="str">
        <f t="shared" si="231"/>
        <v/>
      </c>
      <c r="AS676" s="5" t="str">
        <f t="shared" si="232"/>
        <v/>
      </c>
      <c r="AT676" s="5" t="str">
        <f t="shared" si="233"/>
        <v/>
      </c>
      <c r="AU676" s="5" t="str">
        <f t="shared" si="234"/>
        <v/>
      </c>
      <c r="AV676" s="5" t="str">
        <f t="shared" si="235"/>
        <v/>
      </c>
      <c r="AW676" s="5" t="str">
        <f t="shared" si="236"/>
        <v/>
      </c>
      <c r="AX676" s="5" t="str">
        <f t="shared" si="237"/>
        <v/>
      </c>
      <c r="AY676" s="5" t="str">
        <f t="shared" si="238"/>
        <v/>
      </c>
      <c r="AZ676" s="5" t="str">
        <f t="shared" si="239"/>
        <v/>
      </c>
      <c r="BA676" s="5" t="str">
        <f t="shared" si="240"/>
        <v/>
      </c>
      <c r="BB676" s="5" t="str">
        <f t="shared" si="241"/>
        <v/>
      </c>
    </row>
    <row r="677" spans="1:54" s="5" customFormat="1" hidden="1">
      <c r="A677" s="8" t="str">
        <f>IF(INDEX(FORM!$A:$A,ROW())="","",ROW()-1)</f>
        <v/>
      </c>
      <c r="B677" s="41" t="str">
        <f>IF($A677="","",INDEX(FORM!$A:$A,ROW()))</f>
        <v/>
      </c>
      <c r="C677" s="8" t="str">
        <f>IF($A677="","",TRIM(INDEX(FORM!$B:$B,ROW())))</f>
        <v/>
      </c>
      <c r="D677" s="8" t="str">
        <f>IF($A677="","",TRIM(INDEX(FORM!$C:$C,ROW())&amp;""))</f>
        <v/>
      </c>
      <c r="E677" s="8" t="str">
        <f>IF($A677="","",UPPER(TRIM(INDEX(FORM!$D:$D,ROW()))))</f>
        <v/>
      </c>
      <c r="F677" s="8" t="str">
        <f>IF($A677="","",IFERROR(INDEX(PROGRES!$A$2:$A$92,MATCH(E677,PROGRES!$B$2:$B$92,0)),"-"))</f>
        <v/>
      </c>
      <c r="G677" s="8" t="str">
        <f>IF($A677="","",UPPER(TRIM(INDEX(FORM!$F:$F,ROW()))))</f>
        <v/>
      </c>
      <c r="H677" s="8" t="str">
        <f>IF($A677="","",UPPER(TRIM(INDEX(FORM!$E:$E,ROW()))))</f>
        <v/>
      </c>
      <c r="I677" s="8" t="str">
        <f>IF($A677="","",UPPER(TRIM(INDEX(FORM!$G:$G,ROW()))))</f>
        <v/>
      </c>
      <c r="J677" s="8" t="str">
        <f>IF($A677="","",IF(ISNUMBER(SEARCH("Ya,",INDEX(FORM!$H:$H,ROW()))),"YA",IF(ISNUMBER(SEARCH("Cukup,",INDEX(FORM!$H:$H,ROW()))),"CUKUP",IF(ISNUMBER(SEARCH("Kurang,",INDEX(FORM!$H:$H,ROW()))),"KURANG",""))))</f>
        <v/>
      </c>
      <c r="K677" s="8" t="str">
        <f>IF($A677="","",UPPER(TRIM(INDEX(FORM!$J:$J,ROW()))))</f>
        <v/>
      </c>
      <c r="L677" s="8" t="str">
        <f>IF($A677="","",IF(ISNUMBER(SEARCH("Aktivitas Harian",INDEX(FORM!$K:$K,ROW()))),1,0))</f>
        <v/>
      </c>
      <c r="M677" s="8" t="str">
        <f>IF($A677="","",IF(ISNUMBER(SEARCH("Aktivitas Mingguan",INDEX(FORM!$K:$K,ROW()))),1,0))</f>
        <v/>
      </c>
      <c r="N677" s="8" t="str">
        <f>IF($A677="","",IF(ISNUMBER(SEARCH("Aktivitas Bulanan",INDEX(FORM!$K:$K,ROW()))),1,0))</f>
        <v/>
      </c>
      <c r="O677" s="8" t="str">
        <f>IF($A677="","",IF(ISNUMBER(SEARCH("Overview Cabang",INDEX(FORM!$K:$K,ROW()))),1,0))</f>
        <v/>
      </c>
      <c r="P677" s="8" t="str">
        <f>IF($A677="","",IFERROR(VLOOKUP(I677,DATA!$AH$9:$AI$13,2,0),""))</f>
        <v/>
      </c>
      <c r="Q677" s="8" t="str">
        <f>IF($A677="","",IFERROR(VLOOKUP(J677,DATA!$AH$9:$AI$13,2,0),""))</f>
        <v/>
      </c>
      <c r="R677" s="8" t="str">
        <f>IF($A677="","",IFERROR(VLOOKUP(K677,DATA!$AH$9:$AI$13,2,0),""))</f>
        <v/>
      </c>
      <c r="S677" s="42" t="str">
        <f t="shared" si="220"/>
        <v/>
      </c>
      <c r="T677" s="8" t="str">
        <f>IF($A677="","",IF(COUNTIF($D$2:D677,D677)=1,1,0))</f>
        <v/>
      </c>
      <c r="U677" s="8" t="str">
        <f>IF($A677="","",IF(F677="-","Cabang tdk ada",IF(IFERROR(VLOOKUP(G677,#REF!,1,0),"")="","",IF(INDEX(DATA!$AH$2:$AH$5,MATCH(G677,DATA!$AI$2:$AI$5,0))&lt;&gt;F677,"Wilayah beda","OK"))))</f>
        <v/>
      </c>
      <c r="V677" s="8" t="str">
        <f>IF($A677="","",TRIM(INDEX(FORM!$I:$I,ROW())&amp;""))</f>
        <v/>
      </c>
      <c r="W677" s="8" t="str">
        <f>IF($A677="","",TRIM(INDEX(FORM!$L:$L,ROW())&amp;""))</f>
        <v/>
      </c>
      <c r="X677" s="8" t="str">
        <f>IF($A677="","",TRIM(INDEX(FORM!$M:$M,ROW())&amp;""))</f>
        <v/>
      </c>
      <c r="Y677" s="8" t="str">
        <f>IF($A677="","",IFERROR(MATCH(F677,DATA!$AH$2:$AH$5,0),9)*10000+A677)</f>
        <v/>
      </c>
      <c r="Z677" s="8" t="str">
        <f t="shared" si="221"/>
        <v/>
      </c>
      <c r="AA677" s="8" t="str">
        <f t="shared" si="222"/>
        <v/>
      </c>
      <c r="AB677" s="8" t="str">
        <f t="shared" si="223"/>
        <v/>
      </c>
      <c r="AC677" s="8"/>
      <c r="AD677" s="8"/>
      <c r="AE677" s="8"/>
      <c r="AK677" s="5" t="str">
        <f t="shared" si="224"/>
        <v/>
      </c>
      <c r="AL677" s="5" t="str">
        <f t="shared" si="225"/>
        <v/>
      </c>
      <c r="AM677" s="5" t="str">
        <f t="shared" si="226"/>
        <v/>
      </c>
      <c r="AN677" s="5" t="str">
        <f t="shared" si="227"/>
        <v/>
      </c>
      <c r="AO677" s="5" t="str">
        <f t="shared" si="228"/>
        <v/>
      </c>
      <c r="AP677" s="5" t="str">
        <f t="shared" si="229"/>
        <v/>
      </c>
      <c r="AQ677" s="5" t="str">
        <f t="shared" si="230"/>
        <v/>
      </c>
      <c r="AR677" s="5" t="str">
        <f t="shared" si="231"/>
        <v/>
      </c>
      <c r="AS677" s="5" t="str">
        <f t="shared" si="232"/>
        <v/>
      </c>
      <c r="AT677" s="5" t="str">
        <f t="shared" si="233"/>
        <v/>
      </c>
      <c r="AU677" s="5" t="str">
        <f t="shared" si="234"/>
        <v/>
      </c>
      <c r="AV677" s="5" t="str">
        <f t="shared" si="235"/>
        <v/>
      </c>
      <c r="AW677" s="5" t="str">
        <f t="shared" si="236"/>
        <v/>
      </c>
      <c r="AX677" s="5" t="str">
        <f t="shared" si="237"/>
        <v/>
      </c>
      <c r="AY677" s="5" t="str">
        <f t="shared" si="238"/>
        <v/>
      </c>
      <c r="AZ677" s="5" t="str">
        <f t="shared" si="239"/>
        <v/>
      </c>
      <c r="BA677" s="5" t="str">
        <f t="shared" si="240"/>
        <v/>
      </c>
      <c r="BB677" s="5" t="str">
        <f t="shared" si="241"/>
        <v/>
      </c>
    </row>
    <row r="678" spans="1:54" s="5" customFormat="1" hidden="1">
      <c r="A678" s="8" t="str">
        <f>IF(INDEX(FORM!$A:$A,ROW())="","",ROW()-1)</f>
        <v/>
      </c>
      <c r="B678" s="41" t="str">
        <f>IF($A678="","",INDEX(FORM!$A:$A,ROW()))</f>
        <v/>
      </c>
      <c r="C678" s="8" t="str">
        <f>IF($A678="","",TRIM(INDEX(FORM!$B:$B,ROW())))</f>
        <v/>
      </c>
      <c r="D678" s="8" t="str">
        <f>IF($A678="","",TRIM(INDEX(FORM!$C:$C,ROW())&amp;""))</f>
        <v/>
      </c>
      <c r="E678" s="8" t="str">
        <f>IF($A678="","",UPPER(TRIM(INDEX(FORM!$D:$D,ROW()))))</f>
        <v/>
      </c>
      <c r="F678" s="8" t="str">
        <f>IF($A678="","",IFERROR(INDEX(PROGRES!$A$2:$A$92,MATCH(E678,PROGRES!$B$2:$B$92,0)),"-"))</f>
        <v/>
      </c>
      <c r="G678" s="8" t="str">
        <f>IF($A678="","",UPPER(TRIM(INDEX(FORM!$F:$F,ROW()))))</f>
        <v/>
      </c>
      <c r="H678" s="8" t="str">
        <f>IF($A678="","",UPPER(TRIM(INDEX(FORM!$E:$E,ROW()))))</f>
        <v/>
      </c>
      <c r="I678" s="8" t="str">
        <f>IF($A678="","",UPPER(TRIM(INDEX(FORM!$G:$G,ROW()))))</f>
        <v/>
      </c>
      <c r="J678" s="8" t="str">
        <f>IF($A678="","",IF(ISNUMBER(SEARCH("Ya,",INDEX(FORM!$H:$H,ROW()))),"YA",IF(ISNUMBER(SEARCH("Cukup,",INDEX(FORM!$H:$H,ROW()))),"CUKUP",IF(ISNUMBER(SEARCH("Kurang,",INDEX(FORM!$H:$H,ROW()))),"KURANG",""))))</f>
        <v/>
      </c>
      <c r="K678" s="8" t="str">
        <f>IF($A678="","",UPPER(TRIM(INDEX(FORM!$J:$J,ROW()))))</f>
        <v/>
      </c>
      <c r="L678" s="8" t="str">
        <f>IF($A678="","",IF(ISNUMBER(SEARCH("Aktivitas Harian",INDEX(FORM!$K:$K,ROW()))),1,0))</f>
        <v/>
      </c>
      <c r="M678" s="8" t="str">
        <f>IF($A678="","",IF(ISNUMBER(SEARCH("Aktivitas Mingguan",INDEX(FORM!$K:$K,ROW()))),1,0))</f>
        <v/>
      </c>
      <c r="N678" s="8" t="str">
        <f>IF($A678="","",IF(ISNUMBER(SEARCH("Aktivitas Bulanan",INDEX(FORM!$K:$K,ROW()))),1,0))</f>
        <v/>
      </c>
      <c r="O678" s="8" t="str">
        <f>IF($A678="","",IF(ISNUMBER(SEARCH("Overview Cabang",INDEX(FORM!$K:$K,ROW()))),1,0))</f>
        <v/>
      </c>
      <c r="P678" s="8" t="str">
        <f>IF($A678="","",IFERROR(VLOOKUP(I678,DATA!$AH$9:$AI$13,2,0),""))</f>
        <v/>
      </c>
      <c r="Q678" s="8" t="str">
        <f>IF($A678="","",IFERROR(VLOOKUP(J678,DATA!$AH$9:$AI$13,2,0),""))</f>
        <v/>
      </c>
      <c r="R678" s="8" t="str">
        <f>IF($A678="","",IFERROR(VLOOKUP(K678,DATA!$AH$9:$AI$13,2,0),""))</f>
        <v/>
      </c>
      <c r="S678" s="42" t="str">
        <f t="shared" si="220"/>
        <v/>
      </c>
      <c r="T678" s="8" t="str">
        <f>IF($A678="","",IF(COUNTIF($D$2:D678,D678)=1,1,0))</f>
        <v/>
      </c>
      <c r="U678" s="8" t="str">
        <f>IF($A678="","",IF(F678="-","Cabang tdk ada",IF(IFERROR(VLOOKUP(G678,#REF!,1,0),"")="","",IF(INDEX(DATA!$AH$2:$AH$5,MATCH(G678,DATA!$AI$2:$AI$5,0))&lt;&gt;F678,"Wilayah beda","OK"))))</f>
        <v/>
      </c>
      <c r="V678" s="8" t="str">
        <f>IF($A678="","",TRIM(INDEX(FORM!$I:$I,ROW())&amp;""))</f>
        <v/>
      </c>
      <c r="W678" s="8" t="str">
        <f>IF($A678="","",TRIM(INDEX(FORM!$L:$L,ROW())&amp;""))</f>
        <v/>
      </c>
      <c r="X678" s="8" t="str">
        <f>IF($A678="","",TRIM(INDEX(FORM!$M:$M,ROW())&amp;""))</f>
        <v/>
      </c>
      <c r="Y678" s="8" t="str">
        <f>IF($A678="","",IFERROR(MATCH(F678,DATA!$AH$2:$AH$5,0),9)*10000+A678)</f>
        <v/>
      </c>
      <c r="Z678" s="8" t="str">
        <f t="shared" si="221"/>
        <v/>
      </c>
      <c r="AA678" s="8" t="str">
        <f t="shared" si="222"/>
        <v/>
      </c>
      <c r="AB678" s="8" t="str">
        <f t="shared" si="223"/>
        <v/>
      </c>
      <c r="AC678" s="8"/>
      <c r="AD678" s="8"/>
      <c r="AE678" s="8"/>
      <c r="AK678" s="5" t="str">
        <f t="shared" si="224"/>
        <v/>
      </c>
      <c r="AL678" s="5" t="str">
        <f t="shared" si="225"/>
        <v/>
      </c>
      <c r="AM678" s="5" t="str">
        <f t="shared" si="226"/>
        <v/>
      </c>
      <c r="AN678" s="5" t="str">
        <f t="shared" si="227"/>
        <v/>
      </c>
      <c r="AO678" s="5" t="str">
        <f t="shared" si="228"/>
        <v/>
      </c>
      <c r="AP678" s="5" t="str">
        <f t="shared" si="229"/>
        <v/>
      </c>
      <c r="AQ678" s="5" t="str">
        <f t="shared" si="230"/>
        <v/>
      </c>
      <c r="AR678" s="5" t="str">
        <f t="shared" si="231"/>
        <v/>
      </c>
      <c r="AS678" s="5" t="str">
        <f t="shared" si="232"/>
        <v/>
      </c>
      <c r="AT678" s="5" t="str">
        <f t="shared" si="233"/>
        <v/>
      </c>
      <c r="AU678" s="5" t="str">
        <f t="shared" si="234"/>
        <v/>
      </c>
      <c r="AV678" s="5" t="str">
        <f t="shared" si="235"/>
        <v/>
      </c>
      <c r="AW678" s="5" t="str">
        <f t="shared" si="236"/>
        <v/>
      </c>
      <c r="AX678" s="5" t="str">
        <f t="shared" si="237"/>
        <v/>
      </c>
      <c r="AY678" s="5" t="str">
        <f t="shared" si="238"/>
        <v/>
      </c>
      <c r="AZ678" s="5" t="str">
        <f t="shared" si="239"/>
        <v/>
      </c>
      <c r="BA678" s="5" t="str">
        <f t="shared" si="240"/>
        <v/>
      </c>
      <c r="BB678" s="5" t="str">
        <f t="shared" si="241"/>
        <v/>
      </c>
    </row>
    <row r="679" spans="1:54" s="5" customFormat="1" hidden="1">
      <c r="A679" s="8" t="str">
        <f>IF(INDEX(FORM!$A:$A,ROW())="","",ROW()-1)</f>
        <v/>
      </c>
      <c r="B679" s="41" t="str">
        <f>IF($A679="","",INDEX(FORM!$A:$A,ROW()))</f>
        <v/>
      </c>
      <c r="C679" s="8" t="str">
        <f>IF($A679="","",TRIM(INDEX(FORM!$B:$B,ROW())))</f>
        <v/>
      </c>
      <c r="D679" s="8" t="str">
        <f>IF($A679="","",TRIM(INDEX(FORM!$C:$C,ROW())&amp;""))</f>
        <v/>
      </c>
      <c r="E679" s="8" t="str">
        <f>IF($A679="","",UPPER(TRIM(INDEX(FORM!$D:$D,ROW()))))</f>
        <v/>
      </c>
      <c r="F679" s="8" t="str">
        <f>IF($A679="","",IFERROR(INDEX(PROGRES!$A$2:$A$92,MATCH(E679,PROGRES!$B$2:$B$92,0)),"-"))</f>
        <v/>
      </c>
      <c r="G679" s="8" t="str">
        <f>IF($A679="","",UPPER(TRIM(INDEX(FORM!$F:$F,ROW()))))</f>
        <v/>
      </c>
      <c r="H679" s="8" t="str">
        <f>IF($A679="","",UPPER(TRIM(INDEX(FORM!$E:$E,ROW()))))</f>
        <v/>
      </c>
      <c r="I679" s="8" t="str">
        <f>IF($A679="","",UPPER(TRIM(INDEX(FORM!$G:$G,ROW()))))</f>
        <v/>
      </c>
      <c r="J679" s="8" t="str">
        <f>IF($A679="","",IF(ISNUMBER(SEARCH("Ya,",INDEX(FORM!$H:$H,ROW()))),"YA",IF(ISNUMBER(SEARCH("Cukup,",INDEX(FORM!$H:$H,ROW()))),"CUKUP",IF(ISNUMBER(SEARCH("Kurang,",INDEX(FORM!$H:$H,ROW()))),"KURANG",""))))</f>
        <v/>
      </c>
      <c r="K679" s="8" t="str">
        <f>IF($A679="","",UPPER(TRIM(INDEX(FORM!$J:$J,ROW()))))</f>
        <v/>
      </c>
      <c r="L679" s="8" t="str">
        <f>IF($A679="","",IF(ISNUMBER(SEARCH("Aktivitas Harian",INDEX(FORM!$K:$K,ROW()))),1,0))</f>
        <v/>
      </c>
      <c r="M679" s="8" t="str">
        <f>IF($A679="","",IF(ISNUMBER(SEARCH("Aktivitas Mingguan",INDEX(FORM!$K:$K,ROW()))),1,0))</f>
        <v/>
      </c>
      <c r="N679" s="8" t="str">
        <f>IF($A679="","",IF(ISNUMBER(SEARCH("Aktivitas Bulanan",INDEX(FORM!$K:$K,ROW()))),1,0))</f>
        <v/>
      </c>
      <c r="O679" s="8" t="str">
        <f>IF($A679="","",IF(ISNUMBER(SEARCH("Overview Cabang",INDEX(FORM!$K:$K,ROW()))),1,0))</f>
        <v/>
      </c>
      <c r="P679" s="8" t="str">
        <f>IF($A679="","",IFERROR(VLOOKUP(I679,DATA!$AH$9:$AI$13,2,0),""))</f>
        <v/>
      </c>
      <c r="Q679" s="8" t="str">
        <f>IF($A679="","",IFERROR(VLOOKUP(J679,DATA!$AH$9:$AI$13,2,0),""))</f>
        <v/>
      </c>
      <c r="R679" s="8" t="str">
        <f>IF($A679="","",IFERROR(VLOOKUP(K679,DATA!$AH$9:$AI$13,2,0),""))</f>
        <v/>
      </c>
      <c r="S679" s="42" t="str">
        <f t="shared" si="220"/>
        <v/>
      </c>
      <c r="T679" s="8" t="str">
        <f>IF($A679="","",IF(COUNTIF($D$2:D679,D679)=1,1,0))</f>
        <v/>
      </c>
      <c r="U679" s="8" t="str">
        <f>IF($A679="","",IF(F679="-","Cabang tdk ada",IF(IFERROR(VLOOKUP(G679,#REF!,1,0),"")="","",IF(INDEX(DATA!$AH$2:$AH$5,MATCH(G679,DATA!$AI$2:$AI$5,0))&lt;&gt;F679,"Wilayah beda","OK"))))</f>
        <v/>
      </c>
      <c r="V679" s="8" t="str">
        <f>IF($A679="","",TRIM(INDEX(FORM!$I:$I,ROW())&amp;""))</f>
        <v/>
      </c>
      <c r="W679" s="8" t="str">
        <f>IF($A679="","",TRIM(INDEX(FORM!$L:$L,ROW())&amp;""))</f>
        <v/>
      </c>
      <c r="X679" s="8" t="str">
        <f>IF($A679="","",TRIM(INDEX(FORM!$M:$M,ROW())&amp;""))</f>
        <v/>
      </c>
      <c r="Y679" s="8" t="str">
        <f>IF($A679="","",IFERROR(MATCH(F679,DATA!$AH$2:$AH$5,0),9)*10000+A679)</f>
        <v/>
      </c>
      <c r="Z679" s="8" t="str">
        <f t="shared" si="221"/>
        <v/>
      </c>
      <c r="AA679" s="8" t="str">
        <f t="shared" si="222"/>
        <v/>
      </c>
      <c r="AB679" s="8" t="str">
        <f t="shared" si="223"/>
        <v/>
      </c>
      <c r="AC679" s="8"/>
      <c r="AD679" s="8"/>
      <c r="AE679" s="8"/>
      <c r="AK679" s="5" t="str">
        <f t="shared" si="224"/>
        <v/>
      </c>
      <c r="AL679" s="5" t="str">
        <f t="shared" si="225"/>
        <v/>
      </c>
      <c r="AM679" s="5" t="str">
        <f t="shared" si="226"/>
        <v/>
      </c>
      <c r="AN679" s="5" t="str">
        <f t="shared" si="227"/>
        <v/>
      </c>
      <c r="AO679" s="5" t="str">
        <f t="shared" si="228"/>
        <v/>
      </c>
      <c r="AP679" s="5" t="str">
        <f t="shared" si="229"/>
        <v/>
      </c>
      <c r="AQ679" s="5" t="str">
        <f t="shared" si="230"/>
        <v/>
      </c>
      <c r="AR679" s="5" t="str">
        <f t="shared" si="231"/>
        <v/>
      </c>
      <c r="AS679" s="5" t="str">
        <f t="shared" si="232"/>
        <v/>
      </c>
      <c r="AT679" s="5" t="str">
        <f t="shared" si="233"/>
        <v/>
      </c>
      <c r="AU679" s="5" t="str">
        <f t="shared" si="234"/>
        <v/>
      </c>
      <c r="AV679" s="5" t="str">
        <f t="shared" si="235"/>
        <v/>
      </c>
      <c r="AW679" s="5" t="str">
        <f t="shared" si="236"/>
        <v/>
      </c>
      <c r="AX679" s="5" t="str">
        <f t="shared" si="237"/>
        <v/>
      </c>
      <c r="AY679" s="5" t="str">
        <f t="shared" si="238"/>
        <v/>
      </c>
      <c r="AZ679" s="5" t="str">
        <f t="shared" si="239"/>
        <v/>
      </c>
      <c r="BA679" s="5" t="str">
        <f t="shared" si="240"/>
        <v/>
      </c>
      <c r="BB679" s="5" t="str">
        <f t="shared" si="241"/>
        <v/>
      </c>
    </row>
    <row r="680" spans="1:54" s="5" customFormat="1" hidden="1">
      <c r="A680" s="8" t="str">
        <f>IF(INDEX(FORM!$A:$A,ROW())="","",ROW()-1)</f>
        <v/>
      </c>
      <c r="B680" s="41" t="str">
        <f>IF($A680="","",INDEX(FORM!$A:$A,ROW()))</f>
        <v/>
      </c>
      <c r="C680" s="8" t="str">
        <f>IF($A680="","",TRIM(INDEX(FORM!$B:$B,ROW())))</f>
        <v/>
      </c>
      <c r="D680" s="8" t="str">
        <f>IF($A680="","",TRIM(INDEX(FORM!$C:$C,ROW())&amp;""))</f>
        <v/>
      </c>
      <c r="E680" s="8" t="str">
        <f>IF($A680="","",UPPER(TRIM(INDEX(FORM!$D:$D,ROW()))))</f>
        <v/>
      </c>
      <c r="F680" s="8" t="str">
        <f>IF($A680="","",IFERROR(INDEX(PROGRES!$A$2:$A$92,MATCH(E680,PROGRES!$B$2:$B$92,0)),"-"))</f>
        <v/>
      </c>
      <c r="G680" s="8" t="str">
        <f>IF($A680="","",UPPER(TRIM(INDEX(FORM!$F:$F,ROW()))))</f>
        <v/>
      </c>
      <c r="H680" s="8" t="str">
        <f>IF($A680="","",UPPER(TRIM(INDEX(FORM!$E:$E,ROW()))))</f>
        <v/>
      </c>
      <c r="I680" s="8" t="str">
        <f>IF($A680="","",UPPER(TRIM(INDEX(FORM!$G:$G,ROW()))))</f>
        <v/>
      </c>
      <c r="J680" s="8" t="str">
        <f>IF($A680="","",IF(ISNUMBER(SEARCH("Ya,",INDEX(FORM!$H:$H,ROW()))),"YA",IF(ISNUMBER(SEARCH("Cukup,",INDEX(FORM!$H:$H,ROW()))),"CUKUP",IF(ISNUMBER(SEARCH("Kurang,",INDEX(FORM!$H:$H,ROW()))),"KURANG",""))))</f>
        <v/>
      </c>
      <c r="K680" s="8" t="str">
        <f>IF($A680="","",UPPER(TRIM(INDEX(FORM!$J:$J,ROW()))))</f>
        <v/>
      </c>
      <c r="L680" s="8" t="str">
        <f>IF($A680="","",IF(ISNUMBER(SEARCH("Aktivitas Harian",INDEX(FORM!$K:$K,ROW()))),1,0))</f>
        <v/>
      </c>
      <c r="M680" s="8" t="str">
        <f>IF($A680="","",IF(ISNUMBER(SEARCH("Aktivitas Mingguan",INDEX(FORM!$K:$K,ROW()))),1,0))</f>
        <v/>
      </c>
      <c r="N680" s="8" t="str">
        <f>IF($A680="","",IF(ISNUMBER(SEARCH("Aktivitas Bulanan",INDEX(FORM!$K:$K,ROW()))),1,0))</f>
        <v/>
      </c>
      <c r="O680" s="8" t="str">
        <f>IF($A680="","",IF(ISNUMBER(SEARCH("Overview Cabang",INDEX(FORM!$K:$K,ROW()))),1,0))</f>
        <v/>
      </c>
      <c r="P680" s="8" t="str">
        <f>IF($A680="","",IFERROR(VLOOKUP(I680,DATA!$AH$9:$AI$13,2,0),""))</f>
        <v/>
      </c>
      <c r="Q680" s="8" t="str">
        <f>IF($A680="","",IFERROR(VLOOKUP(J680,DATA!$AH$9:$AI$13,2,0),""))</f>
        <v/>
      </c>
      <c r="R680" s="8" t="str">
        <f>IF($A680="","",IFERROR(VLOOKUP(K680,DATA!$AH$9:$AI$13,2,0),""))</f>
        <v/>
      </c>
      <c r="S680" s="42" t="str">
        <f t="shared" si="220"/>
        <v/>
      </c>
      <c r="T680" s="8" t="str">
        <f>IF($A680="","",IF(COUNTIF($D$2:D680,D680)=1,1,0))</f>
        <v/>
      </c>
      <c r="U680" s="8" t="str">
        <f>IF($A680="","",IF(F680="-","Cabang tdk ada",IF(IFERROR(VLOOKUP(G680,#REF!,1,0),"")="","",IF(INDEX(DATA!$AH$2:$AH$5,MATCH(G680,DATA!$AI$2:$AI$5,0))&lt;&gt;F680,"Wilayah beda","OK"))))</f>
        <v/>
      </c>
      <c r="V680" s="8" t="str">
        <f>IF($A680="","",TRIM(INDEX(FORM!$I:$I,ROW())&amp;""))</f>
        <v/>
      </c>
      <c r="W680" s="8" t="str">
        <f>IF($A680="","",TRIM(INDEX(FORM!$L:$L,ROW())&amp;""))</f>
        <v/>
      </c>
      <c r="X680" s="8" t="str">
        <f>IF($A680="","",TRIM(INDEX(FORM!$M:$M,ROW())&amp;""))</f>
        <v/>
      </c>
      <c r="Y680" s="8" t="str">
        <f>IF($A680="","",IFERROR(MATCH(F680,DATA!$AH$2:$AH$5,0),9)*10000+A680)</f>
        <v/>
      </c>
      <c r="Z680" s="8" t="str">
        <f t="shared" si="221"/>
        <v/>
      </c>
      <c r="AA680" s="8" t="str">
        <f t="shared" si="222"/>
        <v/>
      </c>
      <c r="AB680" s="8" t="str">
        <f t="shared" si="223"/>
        <v/>
      </c>
      <c r="AC680" s="8"/>
      <c r="AD680" s="8"/>
      <c r="AE680" s="8"/>
      <c r="AK680" s="5" t="str">
        <f t="shared" si="224"/>
        <v/>
      </c>
      <c r="AL680" s="5" t="str">
        <f t="shared" si="225"/>
        <v/>
      </c>
      <c r="AM680" s="5" t="str">
        <f t="shared" si="226"/>
        <v/>
      </c>
      <c r="AN680" s="5" t="str">
        <f t="shared" si="227"/>
        <v/>
      </c>
      <c r="AO680" s="5" t="str">
        <f t="shared" si="228"/>
        <v/>
      </c>
      <c r="AP680" s="5" t="str">
        <f t="shared" si="229"/>
        <v/>
      </c>
      <c r="AQ680" s="5" t="str">
        <f t="shared" si="230"/>
        <v/>
      </c>
      <c r="AR680" s="5" t="str">
        <f t="shared" si="231"/>
        <v/>
      </c>
      <c r="AS680" s="5" t="str">
        <f t="shared" si="232"/>
        <v/>
      </c>
      <c r="AT680" s="5" t="str">
        <f t="shared" si="233"/>
        <v/>
      </c>
      <c r="AU680" s="5" t="str">
        <f t="shared" si="234"/>
        <v/>
      </c>
      <c r="AV680" s="5" t="str">
        <f t="shared" si="235"/>
        <v/>
      </c>
      <c r="AW680" s="5" t="str">
        <f t="shared" si="236"/>
        <v/>
      </c>
      <c r="AX680" s="5" t="str">
        <f t="shared" si="237"/>
        <v/>
      </c>
      <c r="AY680" s="5" t="str">
        <f t="shared" si="238"/>
        <v/>
      </c>
      <c r="AZ680" s="5" t="str">
        <f t="shared" si="239"/>
        <v/>
      </c>
      <c r="BA680" s="5" t="str">
        <f t="shared" si="240"/>
        <v/>
      </c>
      <c r="BB680" s="5" t="str">
        <f t="shared" si="241"/>
        <v/>
      </c>
    </row>
    <row r="681" spans="1:54" s="5" customFormat="1" hidden="1">
      <c r="A681" s="8" t="str">
        <f>IF(INDEX(FORM!$A:$A,ROW())="","",ROW()-1)</f>
        <v/>
      </c>
      <c r="B681" s="41" t="str">
        <f>IF($A681="","",INDEX(FORM!$A:$A,ROW()))</f>
        <v/>
      </c>
      <c r="C681" s="8" t="str">
        <f>IF($A681="","",TRIM(INDEX(FORM!$B:$B,ROW())))</f>
        <v/>
      </c>
      <c r="D681" s="8" t="str">
        <f>IF($A681="","",TRIM(INDEX(FORM!$C:$C,ROW())&amp;""))</f>
        <v/>
      </c>
      <c r="E681" s="8" t="str">
        <f>IF($A681="","",UPPER(TRIM(INDEX(FORM!$D:$D,ROW()))))</f>
        <v/>
      </c>
      <c r="F681" s="8" t="str">
        <f>IF($A681="","",IFERROR(INDEX(PROGRES!$A$2:$A$92,MATCH(E681,PROGRES!$B$2:$B$92,0)),"-"))</f>
        <v/>
      </c>
      <c r="G681" s="8" t="str">
        <f>IF($A681="","",UPPER(TRIM(INDEX(FORM!$F:$F,ROW()))))</f>
        <v/>
      </c>
      <c r="H681" s="8" t="str">
        <f>IF($A681="","",UPPER(TRIM(INDEX(FORM!$E:$E,ROW()))))</f>
        <v/>
      </c>
      <c r="I681" s="8" t="str">
        <f>IF($A681="","",UPPER(TRIM(INDEX(FORM!$G:$G,ROW()))))</f>
        <v/>
      </c>
      <c r="J681" s="8" t="str">
        <f>IF($A681="","",IF(ISNUMBER(SEARCH("Ya,",INDEX(FORM!$H:$H,ROW()))),"YA",IF(ISNUMBER(SEARCH("Cukup,",INDEX(FORM!$H:$H,ROW()))),"CUKUP",IF(ISNUMBER(SEARCH("Kurang,",INDEX(FORM!$H:$H,ROW()))),"KURANG",""))))</f>
        <v/>
      </c>
      <c r="K681" s="8" t="str">
        <f>IF($A681="","",UPPER(TRIM(INDEX(FORM!$J:$J,ROW()))))</f>
        <v/>
      </c>
      <c r="L681" s="8" t="str">
        <f>IF($A681="","",IF(ISNUMBER(SEARCH("Aktivitas Harian",INDEX(FORM!$K:$K,ROW()))),1,0))</f>
        <v/>
      </c>
      <c r="M681" s="8" t="str">
        <f>IF($A681="","",IF(ISNUMBER(SEARCH("Aktivitas Mingguan",INDEX(FORM!$K:$K,ROW()))),1,0))</f>
        <v/>
      </c>
      <c r="N681" s="8" t="str">
        <f>IF($A681="","",IF(ISNUMBER(SEARCH("Aktivitas Bulanan",INDEX(FORM!$K:$K,ROW()))),1,0))</f>
        <v/>
      </c>
      <c r="O681" s="8" t="str">
        <f>IF($A681="","",IF(ISNUMBER(SEARCH("Overview Cabang",INDEX(FORM!$K:$K,ROW()))),1,0))</f>
        <v/>
      </c>
      <c r="P681" s="8" t="str">
        <f>IF($A681="","",IFERROR(VLOOKUP(I681,DATA!$AH$9:$AI$13,2,0),""))</f>
        <v/>
      </c>
      <c r="Q681" s="8" t="str">
        <f>IF($A681="","",IFERROR(VLOOKUP(J681,DATA!$AH$9:$AI$13,2,0),""))</f>
        <v/>
      </c>
      <c r="R681" s="8" t="str">
        <f>IF($A681="","",IFERROR(VLOOKUP(K681,DATA!$AH$9:$AI$13,2,0),""))</f>
        <v/>
      </c>
      <c r="S681" s="42" t="str">
        <f t="shared" si="220"/>
        <v/>
      </c>
      <c r="T681" s="8" t="str">
        <f>IF($A681="","",IF(COUNTIF($D$2:D681,D681)=1,1,0))</f>
        <v/>
      </c>
      <c r="U681" s="8" t="str">
        <f>IF($A681="","",IF(F681="-","Cabang tdk ada",IF(IFERROR(VLOOKUP(G681,#REF!,1,0),"")="","",IF(INDEX(DATA!$AH$2:$AH$5,MATCH(G681,DATA!$AI$2:$AI$5,0))&lt;&gt;F681,"Wilayah beda","OK"))))</f>
        <v/>
      </c>
      <c r="V681" s="8" t="str">
        <f>IF($A681="","",TRIM(INDEX(FORM!$I:$I,ROW())&amp;""))</f>
        <v/>
      </c>
      <c r="W681" s="8" t="str">
        <f>IF($A681="","",TRIM(INDEX(FORM!$L:$L,ROW())&amp;""))</f>
        <v/>
      </c>
      <c r="X681" s="8" t="str">
        <f>IF($A681="","",TRIM(INDEX(FORM!$M:$M,ROW())&amp;""))</f>
        <v/>
      </c>
      <c r="Y681" s="8" t="str">
        <f>IF($A681="","",IFERROR(MATCH(F681,DATA!$AH$2:$AH$5,0),9)*10000+A681)</f>
        <v/>
      </c>
      <c r="Z681" s="8" t="str">
        <f t="shared" si="221"/>
        <v/>
      </c>
      <c r="AA681" s="8" t="str">
        <f t="shared" si="222"/>
        <v/>
      </c>
      <c r="AB681" s="8" t="str">
        <f t="shared" si="223"/>
        <v/>
      </c>
      <c r="AC681" s="8"/>
      <c r="AD681" s="8"/>
      <c r="AE681" s="8"/>
      <c r="AK681" s="5" t="str">
        <f t="shared" si="224"/>
        <v/>
      </c>
      <c r="AL681" s="5" t="str">
        <f t="shared" si="225"/>
        <v/>
      </c>
      <c r="AM681" s="5" t="str">
        <f t="shared" si="226"/>
        <v/>
      </c>
      <c r="AN681" s="5" t="str">
        <f t="shared" si="227"/>
        <v/>
      </c>
      <c r="AO681" s="5" t="str">
        <f t="shared" si="228"/>
        <v/>
      </c>
      <c r="AP681" s="5" t="str">
        <f t="shared" si="229"/>
        <v/>
      </c>
      <c r="AQ681" s="5" t="str">
        <f t="shared" si="230"/>
        <v/>
      </c>
      <c r="AR681" s="5" t="str">
        <f t="shared" si="231"/>
        <v/>
      </c>
      <c r="AS681" s="5" t="str">
        <f t="shared" si="232"/>
        <v/>
      </c>
      <c r="AT681" s="5" t="str">
        <f t="shared" si="233"/>
        <v/>
      </c>
      <c r="AU681" s="5" t="str">
        <f t="shared" si="234"/>
        <v/>
      </c>
      <c r="AV681" s="5" t="str">
        <f t="shared" si="235"/>
        <v/>
      </c>
      <c r="AW681" s="5" t="str">
        <f t="shared" si="236"/>
        <v/>
      </c>
      <c r="AX681" s="5" t="str">
        <f t="shared" si="237"/>
        <v/>
      </c>
      <c r="AY681" s="5" t="str">
        <f t="shared" si="238"/>
        <v/>
      </c>
      <c r="AZ681" s="5" t="str">
        <f t="shared" si="239"/>
        <v/>
      </c>
      <c r="BA681" s="5" t="str">
        <f t="shared" si="240"/>
        <v/>
      </c>
      <c r="BB681" s="5" t="str">
        <f t="shared" si="241"/>
        <v/>
      </c>
    </row>
    <row r="682" spans="1:54" s="5" customFormat="1" hidden="1">
      <c r="A682" s="8" t="str">
        <f>IF(INDEX(FORM!$A:$A,ROW())="","",ROW()-1)</f>
        <v/>
      </c>
      <c r="B682" s="41" t="str">
        <f>IF($A682="","",INDEX(FORM!$A:$A,ROW()))</f>
        <v/>
      </c>
      <c r="C682" s="8" t="str">
        <f>IF($A682="","",TRIM(INDEX(FORM!$B:$B,ROW())))</f>
        <v/>
      </c>
      <c r="D682" s="8" t="str">
        <f>IF($A682="","",TRIM(INDEX(FORM!$C:$C,ROW())&amp;""))</f>
        <v/>
      </c>
      <c r="E682" s="8" t="str">
        <f>IF($A682="","",UPPER(TRIM(INDEX(FORM!$D:$D,ROW()))))</f>
        <v/>
      </c>
      <c r="F682" s="8" t="str">
        <f>IF($A682="","",IFERROR(INDEX(PROGRES!$A$2:$A$92,MATCH(E682,PROGRES!$B$2:$B$92,0)),"-"))</f>
        <v/>
      </c>
      <c r="G682" s="8" t="str">
        <f>IF($A682="","",UPPER(TRIM(INDEX(FORM!$F:$F,ROW()))))</f>
        <v/>
      </c>
      <c r="H682" s="8" t="str">
        <f>IF($A682="","",UPPER(TRIM(INDEX(FORM!$E:$E,ROW()))))</f>
        <v/>
      </c>
      <c r="I682" s="8" t="str">
        <f>IF($A682="","",UPPER(TRIM(INDEX(FORM!$G:$G,ROW()))))</f>
        <v/>
      </c>
      <c r="J682" s="8" t="str">
        <f>IF($A682="","",IF(ISNUMBER(SEARCH("Ya,",INDEX(FORM!$H:$H,ROW()))),"YA",IF(ISNUMBER(SEARCH("Cukup,",INDEX(FORM!$H:$H,ROW()))),"CUKUP",IF(ISNUMBER(SEARCH("Kurang,",INDEX(FORM!$H:$H,ROW()))),"KURANG",""))))</f>
        <v/>
      </c>
      <c r="K682" s="8" t="str">
        <f>IF($A682="","",UPPER(TRIM(INDEX(FORM!$J:$J,ROW()))))</f>
        <v/>
      </c>
      <c r="L682" s="8" t="str">
        <f>IF($A682="","",IF(ISNUMBER(SEARCH("Aktivitas Harian",INDEX(FORM!$K:$K,ROW()))),1,0))</f>
        <v/>
      </c>
      <c r="M682" s="8" t="str">
        <f>IF($A682="","",IF(ISNUMBER(SEARCH("Aktivitas Mingguan",INDEX(FORM!$K:$K,ROW()))),1,0))</f>
        <v/>
      </c>
      <c r="N682" s="8" t="str">
        <f>IF($A682="","",IF(ISNUMBER(SEARCH("Aktivitas Bulanan",INDEX(FORM!$K:$K,ROW()))),1,0))</f>
        <v/>
      </c>
      <c r="O682" s="8" t="str">
        <f>IF($A682="","",IF(ISNUMBER(SEARCH("Overview Cabang",INDEX(FORM!$K:$K,ROW()))),1,0))</f>
        <v/>
      </c>
      <c r="P682" s="8" t="str">
        <f>IF($A682="","",IFERROR(VLOOKUP(I682,DATA!$AH$9:$AI$13,2,0),""))</f>
        <v/>
      </c>
      <c r="Q682" s="8" t="str">
        <f>IF($A682="","",IFERROR(VLOOKUP(J682,DATA!$AH$9:$AI$13,2,0),""))</f>
        <v/>
      </c>
      <c r="R682" s="8" t="str">
        <f>IF($A682="","",IFERROR(VLOOKUP(K682,DATA!$AH$9:$AI$13,2,0),""))</f>
        <v/>
      </c>
      <c r="S682" s="42" t="str">
        <f t="shared" si="220"/>
        <v/>
      </c>
      <c r="T682" s="8" t="str">
        <f>IF($A682="","",IF(COUNTIF($D$2:D682,D682)=1,1,0))</f>
        <v/>
      </c>
      <c r="U682" s="8" t="str">
        <f>IF($A682="","",IF(F682="-","Cabang tdk ada",IF(IFERROR(VLOOKUP(G682,#REF!,1,0),"")="","",IF(INDEX(DATA!$AH$2:$AH$5,MATCH(G682,DATA!$AI$2:$AI$5,0))&lt;&gt;F682,"Wilayah beda","OK"))))</f>
        <v/>
      </c>
      <c r="V682" s="8" t="str">
        <f>IF($A682="","",TRIM(INDEX(FORM!$I:$I,ROW())&amp;""))</f>
        <v/>
      </c>
      <c r="W682" s="8" t="str">
        <f>IF($A682="","",TRIM(INDEX(FORM!$L:$L,ROW())&amp;""))</f>
        <v/>
      </c>
      <c r="X682" s="8" t="str">
        <f>IF($A682="","",TRIM(INDEX(FORM!$M:$M,ROW())&amp;""))</f>
        <v/>
      </c>
      <c r="Y682" s="8" t="str">
        <f>IF($A682="","",IFERROR(MATCH(F682,DATA!$AH$2:$AH$5,0),9)*10000+A682)</f>
        <v/>
      </c>
      <c r="Z682" s="8" t="str">
        <f t="shared" si="221"/>
        <v/>
      </c>
      <c r="AA682" s="8" t="str">
        <f t="shared" si="222"/>
        <v/>
      </c>
      <c r="AB682" s="8" t="str">
        <f t="shared" si="223"/>
        <v/>
      </c>
      <c r="AC682" s="8"/>
      <c r="AD682" s="8"/>
      <c r="AE682" s="8"/>
      <c r="AK682" s="5" t="str">
        <f t="shared" si="224"/>
        <v/>
      </c>
      <c r="AL682" s="5" t="str">
        <f t="shared" si="225"/>
        <v/>
      </c>
      <c r="AM682" s="5" t="str">
        <f t="shared" si="226"/>
        <v/>
      </c>
      <c r="AN682" s="5" t="str">
        <f t="shared" si="227"/>
        <v/>
      </c>
      <c r="AO682" s="5" t="str">
        <f t="shared" si="228"/>
        <v/>
      </c>
      <c r="AP682" s="5" t="str">
        <f t="shared" si="229"/>
        <v/>
      </c>
      <c r="AQ682" s="5" t="str">
        <f t="shared" si="230"/>
        <v/>
      </c>
      <c r="AR682" s="5" t="str">
        <f t="shared" si="231"/>
        <v/>
      </c>
      <c r="AS682" s="5" t="str">
        <f t="shared" si="232"/>
        <v/>
      </c>
      <c r="AT682" s="5" t="str">
        <f t="shared" si="233"/>
        <v/>
      </c>
      <c r="AU682" s="5" t="str">
        <f t="shared" si="234"/>
        <v/>
      </c>
      <c r="AV682" s="5" t="str">
        <f t="shared" si="235"/>
        <v/>
      </c>
      <c r="AW682" s="5" t="str">
        <f t="shared" si="236"/>
        <v/>
      </c>
      <c r="AX682" s="5" t="str">
        <f t="shared" si="237"/>
        <v/>
      </c>
      <c r="AY682" s="5" t="str">
        <f t="shared" si="238"/>
        <v/>
      </c>
      <c r="AZ682" s="5" t="str">
        <f t="shared" si="239"/>
        <v/>
      </c>
      <c r="BA682" s="5" t="str">
        <f t="shared" si="240"/>
        <v/>
      </c>
      <c r="BB682" s="5" t="str">
        <f t="shared" si="241"/>
        <v/>
      </c>
    </row>
    <row r="683" spans="1:54" s="5" customFormat="1" hidden="1">
      <c r="A683" s="8" t="str">
        <f>IF(INDEX(FORM!$A:$A,ROW())="","",ROW()-1)</f>
        <v/>
      </c>
      <c r="B683" s="41" t="str">
        <f>IF($A683="","",INDEX(FORM!$A:$A,ROW()))</f>
        <v/>
      </c>
      <c r="C683" s="8" t="str">
        <f>IF($A683="","",TRIM(INDEX(FORM!$B:$B,ROW())))</f>
        <v/>
      </c>
      <c r="D683" s="8" t="str">
        <f>IF($A683="","",TRIM(INDEX(FORM!$C:$C,ROW())&amp;""))</f>
        <v/>
      </c>
      <c r="E683" s="8" t="str">
        <f>IF($A683="","",UPPER(TRIM(INDEX(FORM!$D:$D,ROW()))))</f>
        <v/>
      </c>
      <c r="F683" s="8" t="str">
        <f>IF($A683="","",IFERROR(INDEX(PROGRES!$A$2:$A$92,MATCH(E683,PROGRES!$B$2:$B$92,0)),"-"))</f>
        <v/>
      </c>
      <c r="G683" s="8" t="str">
        <f>IF($A683="","",UPPER(TRIM(INDEX(FORM!$F:$F,ROW()))))</f>
        <v/>
      </c>
      <c r="H683" s="8" t="str">
        <f>IF($A683="","",UPPER(TRIM(INDEX(FORM!$E:$E,ROW()))))</f>
        <v/>
      </c>
      <c r="I683" s="8" t="str">
        <f>IF($A683="","",UPPER(TRIM(INDEX(FORM!$G:$G,ROW()))))</f>
        <v/>
      </c>
      <c r="J683" s="8" t="str">
        <f>IF($A683="","",IF(ISNUMBER(SEARCH("Ya,",INDEX(FORM!$H:$H,ROW()))),"YA",IF(ISNUMBER(SEARCH("Cukup,",INDEX(FORM!$H:$H,ROW()))),"CUKUP",IF(ISNUMBER(SEARCH("Kurang,",INDEX(FORM!$H:$H,ROW()))),"KURANG",""))))</f>
        <v/>
      </c>
      <c r="K683" s="8" t="str">
        <f>IF($A683="","",UPPER(TRIM(INDEX(FORM!$J:$J,ROW()))))</f>
        <v/>
      </c>
      <c r="L683" s="8" t="str">
        <f>IF($A683="","",IF(ISNUMBER(SEARCH("Aktivitas Harian",INDEX(FORM!$K:$K,ROW()))),1,0))</f>
        <v/>
      </c>
      <c r="M683" s="8" t="str">
        <f>IF($A683="","",IF(ISNUMBER(SEARCH("Aktivitas Mingguan",INDEX(FORM!$K:$K,ROW()))),1,0))</f>
        <v/>
      </c>
      <c r="N683" s="8" t="str">
        <f>IF($A683="","",IF(ISNUMBER(SEARCH("Aktivitas Bulanan",INDEX(FORM!$K:$K,ROW()))),1,0))</f>
        <v/>
      </c>
      <c r="O683" s="8" t="str">
        <f>IF($A683="","",IF(ISNUMBER(SEARCH("Overview Cabang",INDEX(FORM!$K:$K,ROW()))),1,0))</f>
        <v/>
      </c>
      <c r="P683" s="8" t="str">
        <f>IF($A683="","",IFERROR(VLOOKUP(I683,DATA!$AH$9:$AI$13,2,0),""))</f>
        <v/>
      </c>
      <c r="Q683" s="8" t="str">
        <f>IF($A683="","",IFERROR(VLOOKUP(J683,DATA!$AH$9:$AI$13,2,0),""))</f>
        <v/>
      </c>
      <c r="R683" s="8" t="str">
        <f>IF($A683="","",IFERROR(VLOOKUP(K683,DATA!$AH$9:$AI$13,2,0),""))</f>
        <v/>
      </c>
      <c r="S683" s="42" t="str">
        <f t="shared" si="220"/>
        <v/>
      </c>
      <c r="T683" s="8" t="str">
        <f>IF($A683="","",IF(COUNTIF($D$2:D683,D683)=1,1,0))</f>
        <v/>
      </c>
      <c r="U683" s="8" t="str">
        <f>IF($A683="","",IF(F683="-","Cabang tdk ada",IF(IFERROR(VLOOKUP(G683,#REF!,1,0),"")="","",IF(INDEX(DATA!$AH$2:$AH$5,MATCH(G683,DATA!$AI$2:$AI$5,0))&lt;&gt;F683,"Wilayah beda","OK"))))</f>
        <v/>
      </c>
      <c r="V683" s="8" t="str">
        <f>IF($A683="","",TRIM(INDEX(FORM!$I:$I,ROW())&amp;""))</f>
        <v/>
      </c>
      <c r="W683" s="8" t="str">
        <f>IF($A683="","",TRIM(INDEX(FORM!$L:$L,ROW())&amp;""))</f>
        <v/>
      </c>
      <c r="X683" s="8" t="str">
        <f>IF($A683="","",TRIM(INDEX(FORM!$M:$M,ROW())&amp;""))</f>
        <v/>
      </c>
      <c r="Y683" s="8" t="str">
        <f>IF($A683="","",IFERROR(MATCH(F683,DATA!$AH$2:$AH$5,0),9)*10000+A683)</f>
        <v/>
      </c>
      <c r="Z683" s="8" t="str">
        <f t="shared" si="221"/>
        <v/>
      </c>
      <c r="AA683" s="8" t="str">
        <f t="shared" si="222"/>
        <v/>
      </c>
      <c r="AB683" s="8" t="str">
        <f t="shared" si="223"/>
        <v/>
      </c>
      <c r="AC683" s="8"/>
      <c r="AD683" s="8"/>
      <c r="AE683" s="8"/>
      <c r="AK683" s="5" t="str">
        <f t="shared" si="224"/>
        <v/>
      </c>
      <c r="AL683" s="5" t="str">
        <f t="shared" si="225"/>
        <v/>
      </c>
      <c r="AM683" s="5" t="str">
        <f t="shared" si="226"/>
        <v/>
      </c>
      <c r="AN683" s="5" t="str">
        <f t="shared" si="227"/>
        <v/>
      </c>
      <c r="AO683" s="5" t="str">
        <f t="shared" si="228"/>
        <v/>
      </c>
      <c r="AP683" s="5" t="str">
        <f t="shared" si="229"/>
        <v/>
      </c>
      <c r="AQ683" s="5" t="str">
        <f t="shared" si="230"/>
        <v/>
      </c>
      <c r="AR683" s="5" t="str">
        <f t="shared" si="231"/>
        <v/>
      </c>
      <c r="AS683" s="5" t="str">
        <f t="shared" si="232"/>
        <v/>
      </c>
      <c r="AT683" s="5" t="str">
        <f t="shared" si="233"/>
        <v/>
      </c>
      <c r="AU683" s="5" t="str">
        <f t="shared" si="234"/>
        <v/>
      </c>
      <c r="AV683" s="5" t="str">
        <f t="shared" si="235"/>
        <v/>
      </c>
      <c r="AW683" s="5" t="str">
        <f t="shared" si="236"/>
        <v/>
      </c>
      <c r="AX683" s="5" t="str">
        <f t="shared" si="237"/>
        <v/>
      </c>
      <c r="AY683" s="5" t="str">
        <f t="shared" si="238"/>
        <v/>
      </c>
      <c r="AZ683" s="5" t="str">
        <f t="shared" si="239"/>
        <v/>
      </c>
      <c r="BA683" s="5" t="str">
        <f t="shared" si="240"/>
        <v/>
      </c>
      <c r="BB683" s="5" t="str">
        <f t="shared" si="241"/>
        <v/>
      </c>
    </row>
    <row r="684" spans="1:54" s="5" customFormat="1" hidden="1">
      <c r="A684" s="8" t="str">
        <f>IF(INDEX(FORM!$A:$A,ROW())="","",ROW()-1)</f>
        <v/>
      </c>
      <c r="B684" s="41" t="str">
        <f>IF($A684="","",INDEX(FORM!$A:$A,ROW()))</f>
        <v/>
      </c>
      <c r="C684" s="8" t="str">
        <f>IF($A684="","",TRIM(INDEX(FORM!$B:$B,ROW())))</f>
        <v/>
      </c>
      <c r="D684" s="8" t="str">
        <f>IF($A684="","",TRIM(INDEX(FORM!$C:$C,ROW())&amp;""))</f>
        <v/>
      </c>
      <c r="E684" s="8" t="str">
        <f>IF($A684="","",UPPER(TRIM(INDEX(FORM!$D:$D,ROW()))))</f>
        <v/>
      </c>
      <c r="F684" s="8" t="str">
        <f>IF($A684="","",IFERROR(INDEX(PROGRES!$A$2:$A$92,MATCH(E684,PROGRES!$B$2:$B$92,0)),"-"))</f>
        <v/>
      </c>
      <c r="G684" s="8" t="str">
        <f>IF($A684="","",UPPER(TRIM(INDEX(FORM!$F:$F,ROW()))))</f>
        <v/>
      </c>
      <c r="H684" s="8" t="str">
        <f>IF($A684="","",UPPER(TRIM(INDEX(FORM!$E:$E,ROW()))))</f>
        <v/>
      </c>
      <c r="I684" s="8" t="str">
        <f>IF($A684="","",UPPER(TRIM(INDEX(FORM!$G:$G,ROW()))))</f>
        <v/>
      </c>
      <c r="J684" s="8" t="str">
        <f>IF($A684="","",IF(ISNUMBER(SEARCH("Ya,",INDEX(FORM!$H:$H,ROW()))),"YA",IF(ISNUMBER(SEARCH("Cukup,",INDEX(FORM!$H:$H,ROW()))),"CUKUP",IF(ISNUMBER(SEARCH("Kurang,",INDEX(FORM!$H:$H,ROW()))),"KURANG",""))))</f>
        <v/>
      </c>
      <c r="K684" s="8" t="str">
        <f>IF($A684="","",UPPER(TRIM(INDEX(FORM!$J:$J,ROW()))))</f>
        <v/>
      </c>
      <c r="L684" s="8" t="str">
        <f>IF($A684="","",IF(ISNUMBER(SEARCH("Aktivitas Harian",INDEX(FORM!$K:$K,ROW()))),1,0))</f>
        <v/>
      </c>
      <c r="M684" s="8" t="str">
        <f>IF($A684="","",IF(ISNUMBER(SEARCH("Aktivitas Mingguan",INDEX(FORM!$K:$K,ROW()))),1,0))</f>
        <v/>
      </c>
      <c r="N684" s="8" t="str">
        <f>IF($A684="","",IF(ISNUMBER(SEARCH("Aktivitas Bulanan",INDEX(FORM!$K:$K,ROW()))),1,0))</f>
        <v/>
      </c>
      <c r="O684" s="8" t="str">
        <f>IF($A684="","",IF(ISNUMBER(SEARCH("Overview Cabang",INDEX(FORM!$K:$K,ROW()))),1,0))</f>
        <v/>
      </c>
      <c r="P684" s="8" t="str">
        <f>IF($A684="","",IFERROR(VLOOKUP(I684,DATA!$AH$9:$AI$13,2,0),""))</f>
        <v/>
      </c>
      <c r="Q684" s="8" t="str">
        <f>IF($A684="","",IFERROR(VLOOKUP(J684,DATA!$AH$9:$AI$13,2,0),""))</f>
        <v/>
      </c>
      <c r="R684" s="8" t="str">
        <f>IF($A684="","",IFERROR(VLOOKUP(K684,DATA!$AH$9:$AI$13,2,0),""))</f>
        <v/>
      </c>
      <c r="S684" s="42" t="str">
        <f t="shared" si="220"/>
        <v/>
      </c>
      <c r="T684" s="8" t="str">
        <f>IF($A684="","",IF(COUNTIF($D$2:D684,D684)=1,1,0))</f>
        <v/>
      </c>
      <c r="U684" s="8" t="str">
        <f>IF($A684="","",IF(F684="-","Cabang tdk ada",IF(IFERROR(VLOOKUP(G684,#REF!,1,0),"")="","",IF(INDEX(DATA!$AH$2:$AH$5,MATCH(G684,DATA!$AI$2:$AI$5,0))&lt;&gt;F684,"Wilayah beda","OK"))))</f>
        <v/>
      </c>
      <c r="V684" s="8" t="str">
        <f>IF($A684="","",TRIM(INDEX(FORM!$I:$I,ROW())&amp;""))</f>
        <v/>
      </c>
      <c r="W684" s="8" t="str">
        <f>IF($A684="","",TRIM(INDEX(FORM!$L:$L,ROW())&amp;""))</f>
        <v/>
      </c>
      <c r="X684" s="8" t="str">
        <f>IF($A684="","",TRIM(INDEX(FORM!$M:$M,ROW())&amp;""))</f>
        <v/>
      </c>
      <c r="Y684" s="8" t="str">
        <f>IF($A684="","",IFERROR(MATCH(F684,DATA!$AH$2:$AH$5,0),9)*10000+A684)</f>
        <v/>
      </c>
      <c r="Z684" s="8" t="str">
        <f t="shared" si="221"/>
        <v/>
      </c>
      <c r="AA684" s="8" t="str">
        <f t="shared" si="222"/>
        <v/>
      </c>
      <c r="AB684" s="8" t="str">
        <f t="shared" si="223"/>
        <v/>
      </c>
      <c r="AC684" s="8"/>
      <c r="AD684" s="8"/>
      <c r="AE684" s="8"/>
      <c r="AK684" s="5" t="str">
        <f t="shared" si="224"/>
        <v/>
      </c>
      <c r="AL684" s="5" t="str">
        <f t="shared" si="225"/>
        <v/>
      </c>
      <c r="AM684" s="5" t="str">
        <f t="shared" si="226"/>
        <v/>
      </c>
      <c r="AN684" s="5" t="str">
        <f t="shared" si="227"/>
        <v/>
      </c>
      <c r="AO684" s="5" t="str">
        <f t="shared" si="228"/>
        <v/>
      </c>
      <c r="AP684" s="5" t="str">
        <f t="shared" si="229"/>
        <v/>
      </c>
      <c r="AQ684" s="5" t="str">
        <f t="shared" si="230"/>
        <v/>
      </c>
      <c r="AR684" s="5" t="str">
        <f t="shared" si="231"/>
        <v/>
      </c>
      <c r="AS684" s="5" t="str">
        <f t="shared" si="232"/>
        <v/>
      </c>
      <c r="AT684" s="5" t="str">
        <f t="shared" si="233"/>
        <v/>
      </c>
      <c r="AU684" s="5" t="str">
        <f t="shared" si="234"/>
        <v/>
      </c>
      <c r="AV684" s="5" t="str">
        <f t="shared" si="235"/>
        <v/>
      </c>
      <c r="AW684" s="5" t="str">
        <f t="shared" si="236"/>
        <v/>
      </c>
      <c r="AX684" s="5" t="str">
        <f t="shared" si="237"/>
        <v/>
      </c>
      <c r="AY684" s="5" t="str">
        <f t="shared" si="238"/>
        <v/>
      </c>
      <c r="AZ684" s="5" t="str">
        <f t="shared" si="239"/>
        <v/>
      </c>
      <c r="BA684" s="5" t="str">
        <f t="shared" si="240"/>
        <v/>
      </c>
      <c r="BB684" s="5" t="str">
        <f t="shared" si="241"/>
        <v/>
      </c>
    </row>
    <row r="685" spans="1:54" s="5" customFormat="1" hidden="1">
      <c r="A685" s="8" t="str">
        <f>IF(INDEX(FORM!$A:$A,ROW())="","",ROW()-1)</f>
        <v/>
      </c>
      <c r="B685" s="41" t="str">
        <f>IF($A685="","",INDEX(FORM!$A:$A,ROW()))</f>
        <v/>
      </c>
      <c r="C685" s="8" t="str">
        <f>IF($A685="","",TRIM(INDEX(FORM!$B:$B,ROW())))</f>
        <v/>
      </c>
      <c r="D685" s="8" t="str">
        <f>IF($A685="","",TRIM(INDEX(FORM!$C:$C,ROW())&amp;""))</f>
        <v/>
      </c>
      <c r="E685" s="8" t="str">
        <f>IF($A685="","",UPPER(TRIM(INDEX(FORM!$D:$D,ROW()))))</f>
        <v/>
      </c>
      <c r="F685" s="8" t="str">
        <f>IF($A685="","",IFERROR(INDEX(PROGRES!$A$2:$A$92,MATCH(E685,PROGRES!$B$2:$B$92,0)),"-"))</f>
        <v/>
      </c>
      <c r="G685" s="8" t="str">
        <f>IF($A685="","",UPPER(TRIM(INDEX(FORM!$F:$F,ROW()))))</f>
        <v/>
      </c>
      <c r="H685" s="8" t="str">
        <f>IF($A685="","",UPPER(TRIM(INDEX(FORM!$E:$E,ROW()))))</f>
        <v/>
      </c>
      <c r="I685" s="8" t="str">
        <f>IF($A685="","",UPPER(TRIM(INDEX(FORM!$G:$G,ROW()))))</f>
        <v/>
      </c>
      <c r="J685" s="8" t="str">
        <f>IF($A685="","",IF(ISNUMBER(SEARCH("Ya,",INDEX(FORM!$H:$H,ROW()))),"YA",IF(ISNUMBER(SEARCH("Cukup,",INDEX(FORM!$H:$H,ROW()))),"CUKUP",IF(ISNUMBER(SEARCH("Kurang,",INDEX(FORM!$H:$H,ROW()))),"KURANG",""))))</f>
        <v/>
      </c>
      <c r="K685" s="8" t="str">
        <f>IF($A685="","",UPPER(TRIM(INDEX(FORM!$J:$J,ROW()))))</f>
        <v/>
      </c>
      <c r="L685" s="8" t="str">
        <f>IF($A685="","",IF(ISNUMBER(SEARCH("Aktivitas Harian",INDEX(FORM!$K:$K,ROW()))),1,0))</f>
        <v/>
      </c>
      <c r="M685" s="8" t="str">
        <f>IF($A685="","",IF(ISNUMBER(SEARCH("Aktivitas Mingguan",INDEX(FORM!$K:$K,ROW()))),1,0))</f>
        <v/>
      </c>
      <c r="N685" s="8" t="str">
        <f>IF($A685="","",IF(ISNUMBER(SEARCH("Aktivitas Bulanan",INDEX(FORM!$K:$K,ROW()))),1,0))</f>
        <v/>
      </c>
      <c r="O685" s="8" t="str">
        <f>IF($A685="","",IF(ISNUMBER(SEARCH("Overview Cabang",INDEX(FORM!$K:$K,ROW()))),1,0))</f>
        <v/>
      </c>
      <c r="P685" s="8" t="str">
        <f>IF($A685="","",IFERROR(VLOOKUP(I685,DATA!$AH$9:$AI$13,2,0),""))</f>
        <v/>
      </c>
      <c r="Q685" s="8" t="str">
        <f>IF($A685="","",IFERROR(VLOOKUP(J685,DATA!$AH$9:$AI$13,2,0),""))</f>
        <v/>
      </c>
      <c r="R685" s="8" t="str">
        <f>IF($A685="","",IFERROR(VLOOKUP(K685,DATA!$AH$9:$AI$13,2,0),""))</f>
        <v/>
      </c>
      <c r="S685" s="42" t="str">
        <f t="shared" si="220"/>
        <v/>
      </c>
      <c r="T685" s="8" t="str">
        <f>IF($A685="","",IF(COUNTIF($D$2:D685,D685)=1,1,0))</f>
        <v/>
      </c>
      <c r="U685" s="8" t="str">
        <f>IF($A685="","",IF(F685="-","Cabang tdk ada",IF(IFERROR(VLOOKUP(G685,#REF!,1,0),"")="","",IF(INDEX(DATA!$AH$2:$AH$5,MATCH(G685,DATA!$AI$2:$AI$5,0))&lt;&gt;F685,"Wilayah beda","OK"))))</f>
        <v/>
      </c>
      <c r="V685" s="8" t="str">
        <f>IF($A685="","",TRIM(INDEX(FORM!$I:$I,ROW())&amp;""))</f>
        <v/>
      </c>
      <c r="W685" s="8" t="str">
        <f>IF($A685="","",TRIM(INDEX(FORM!$L:$L,ROW())&amp;""))</f>
        <v/>
      </c>
      <c r="X685" s="8" t="str">
        <f>IF($A685="","",TRIM(INDEX(FORM!$M:$M,ROW())&amp;""))</f>
        <v/>
      </c>
      <c r="Y685" s="8" t="str">
        <f>IF($A685="","",IFERROR(MATCH(F685,DATA!$AH$2:$AH$5,0),9)*10000+A685)</f>
        <v/>
      </c>
      <c r="Z685" s="8" t="str">
        <f t="shared" si="221"/>
        <v/>
      </c>
      <c r="AA685" s="8" t="str">
        <f t="shared" si="222"/>
        <v/>
      </c>
      <c r="AB685" s="8" t="str">
        <f t="shared" si="223"/>
        <v/>
      </c>
      <c r="AC685" s="8"/>
      <c r="AD685" s="8"/>
      <c r="AE685" s="8"/>
      <c r="AK685" s="5" t="str">
        <f t="shared" si="224"/>
        <v/>
      </c>
      <c r="AL685" s="5" t="str">
        <f t="shared" si="225"/>
        <v/>
      </c>
      <c r="AM685" s="5" t="str">
        <f t="shared" si="226"/>
        <v/>
      </c>
      <c r="AN685" s="5" t="str">
        <f t="shared" si="227"/>
        <v/>
      </c>
      <c r="AO685" s="5" t="str">
        <f t="shared" si="228"/>
        <v/>
      </c>
      <c r="AP685" s="5" t="str">
        <f t="shared" si="229"/>
        <v/>
      </c>
      <c r="AQ685" s="5" t="str">
        <f t="shared" si="230"/>
        <v/>
      </c>
      <c r="AR685" s="5" t="str">
        <f t="shared" si="231"/>
        <v/>
      </c>
      <c r="AS685" s="5" t="str">
        <f t="shared" si="232"/>
        <v/>
      </c>
      <c r="AT685" s="5" t="str">
        <f t="shared" si="233"/>
        <v/>
      </c>
      <c r="AU685" s="5" t="str">
        <f t="shared" si="234"/>
        <v/>
      </c>
      <c r="AV685" s="5" t="str">
        <f t="shared" si="235"/>
        <v/>
      </c>
      <c r="AW685" s="5" t="str">
        <f t="shared" si="236"/>
        <v/>
      </c>
      <c r="AX685" s="5" t="str">
        <f t="shared" si="237"/>
        <v/>
      </c>
      <c r="AY685" s="5" t="str">
        <f t="shared" si="238"/>
        <v/>
      </c>
      <c r="AZ685" s="5" t="str">
        <f t="shared" si="239"/>
        <v/>
      </c>
      <c r="BA685" s="5" t="str">
        <f t="shared" si="240"/>
        <v/>
      </c>
      <c r="BB685" s="5" t="str">
        <f t="shared" si="241"/>
        <v/>
      </c>
    </row>
    <row r="686" spans="1:54" s="5" customFormat="1" hidden="1">
      <c r="A686" s="8" t="str">
        <f>IF(INDEX(FORM!$A:$A,ROW())="","",ROW()-1)</f>
        <v/>
      </c>
      <c r="B686" s="41" t="str">
        <f>IF($A686="","",INDEX(FORM!$A:$A,ROW()))</f>
        <v/>
      </c>
      <c r="C686" s="8" t="str">
        <f>IF($A686="","",TRIM(INDEX(FORM!$B:$B,ROW())))</f>
        <v/>
      </c>
      <c r="D686" s="8" t="str">
        <f>IF($A686="","",TRIM(INDEX(FORM!$C:$C,ROW())&amp;""))</f>
        <v/>
      </c>
      <c r="E686" s="8" t="str">
        <f>IF($A686="","",UPPER(TRIM(INDEX(FORM!$D:$D,ROW()))))</f>
        <v/>
      </c>
      <c r="F686" s="8" t="str">
        <f>IF($A686="","",IFERROR(INDEX(PROGRES!$A$2:$A$92,MATCH(E686,PROGRES!$B$2:$B$92,0)),"-"))</f>
        <v/>
      </c>
      <c r="G686" s="8" t="str">
        <f>IF($A686="","",UPPER(TRIM(INDEX(FORM!$F:$F,ROW()))))</f>
        <v/>
      </c>
      <c r="H686" s="8" t="str">
        <f>IF($A686="","",UPPER(TRIM(INDEX(FORM!$E:$E,ROW()))))</f>
        <v/>
      </c>
      <c r="I686" s="8" t="str">
        <f>IF($A686="","",UPPER(TRIM(INDEX(FORM!$G:$G,ROW()))))</f>
        <v/>
      </c>
      <c r="J686" s="8" t="str">
        <f>IF($A686="","",IF(ISNUMBER(SEARCH("Ya,",INDEX(FORM!$H:$H,ROW()))),"YA",IF(ISNUMBER(SEARCH("Cukup,",INDEX(FORM!$H:$H,ROW()))),"CUKUP",IF(ISNUMBER(SEARCH("Kurang,",INDEX(FORM!$H:$H,ROW()))),"KURANG",""))))</f>
        <v/>
      </c>
      <c r="K686" s="8" t="str">
        <f>IF($A686="","",UPPER(TRIM(INDEX(FORM!$J:$J,ROW()))))</f>
        <v/>
      </c>
      <c r="L686" s="8" t="str">
        <f>IF($A686="","",IF(ISNUMBER(SEARCH("Aktivitas Harian",INDEX(FORM!$K:$K,ROW()))),1,0))</f>
        <v/>
      </c>
      <c r="M686" s="8" t="str">
        <f>IF($A686="","",IF(ISNUMBER(SEARCH("Aktivitas Mingguan",INDEX(FORM!$K:$K,ROW()))),1,0))</f>
        <v/>
      </c>
      <c r="N686" s="8" t="str">
        <f>IF($A686="","",IF(ISNUMBER(SEARCH("Aktivitas Bulanan",INDEX(FORM!$K:$K,ROW()))),1,0))</f>
        <v/>
      </c>
      <c r="O686" s="8" t="str">
        <f>IF($A686="","",IF(ISNUMBER(SEARCH("Overview Cabang",INDEX(FORM!$K:$K,ROW()))),1,0))</f>
        <v/>
      </c>
      <c r="P686" s="8" t="str">
        <f>IF($A686="","",IFERROR(VLOOKUP(I686,DATA!$AH$9:$AI$13,2,0),""))</f>
        <v/>
      </c>
      <c r="Q686" s="8" t="str">
        <f>IF($A686="","",IFERROR(VLOOKUP(J686,DATA!$AH$9:$AI$13,2,0),""))</f>
        <v/>
      </c>
      <c r="R686" s="8" t="str">
        <f>IF($A686="","",IFERROR(VLOOKUP(K686,DATA!$AH$9:$AI$13,2,0),""))</f>
        <v/>
      </c>
      <c r="S686" s="42" t="str">
        <f t="shared" si="220"/>
        <v/>
      </c>
      <c r="T686" s="8" t="str">
        <f>IF($A686="","",IF(COUNTIF($D$2:D686,D686)=1,1,0))</f>
        <v/>
      </c>
      <c r="U686" s="8" t="str">
        <f>IF($A686="","",IF(F686="-","Cabang tdk ada",IF(IFERROR(VLOOKUP(G686,#REF!,1,0),"")="","",IF(INDEX(DATA!$AH$2:$AH$5,MATCH(G686,DATA!$AI$2:$AI$5,0))&lt;&gt;F686,"Wilayah beda","OK"))))</f>
        <v/>
      </c>
      <c r="V686" s="8" t="str">
        <f>IF($A686="","",TRIM(INDEX(FORM!$I:$I,ROW())&amp;""))</f>
        <v/>
      </c>
      <c r="W686" s="8" t="str">
        <f>IF($A686="","",TRIM(INDEX(FORM!$L:$L,ROW())&amp;""))</f>
        <v/>
      </c>
      <c r="X686" s="8" t="str">
        <f>IF($A686="","",TRIM(INDEX(FORM!$M:$M,ROW())&amp;""))</f>
        <v/>
      </c>
      <c r="Y686" s="8" t="str">
        <f>IF($A686="","",IFERROR(MATCH(F686,DATA!$AH$2:$AH$5,0),9)*10000+A686)</f>
        <v/>
      </c>
      <c r="Z686" s="8" t="str">
        <f t="shared" si="221"/>
        <v/>
      </c>
      <c r="AA686" s="8" t="str">
        <f t="shared" si="222"/>
        <v/>
      </c>
      <c r="AB686" s="8" t="str">
        <f t="shared" si="223"/>
        <v/>
      </c>
      <c r="AC686" s="8"/>
      <c r="AD686" s="8"/>
      <c r="AE686" s="8"/>
      <c r="AK686" s="5" t="str">
        <f t="shared" si="224"/>
        <v/>
      </c>
      <c r="AL686" s="5" t="str">
        <f t="shared" si="225"/>
        <v/>
      </c>
      <c r="AM686" s="5" t="str">
        <f t="shared" si="226"/>
        <v/>
      </c>
      <c r="AN686" s="5" t="str">
        <f t="shared" si="227"/>
        <v/>
      </c>
      <c r="AO686" s="5" t="str">
        <f t="shared" si="228"/>
        <v/>
      </c>
      <c r="AP686" s="5" t="str">
        <f t="shared" si="229"/>
        <v/>
      </c>
      <c r="AQ686" s="5" t="str">
        <f t="shared" si="230"/>
        <v/>
      </c>
      <c r="AR686" s="5" t="str">
        <f t="shared" si="231"/>
        <v/>
      </c>
      <c r="AS686" s="5" t="str">
        <f t="shared" si="232"/>
        <v/>
      </c>
      <c r="AT686" s="5" t="str">
        <f t="shared" si="233"/>
        <v/>
      </c>
      <c r="AU686" s="5" t="str">
        <f t="shared" si="234"/>
        <v/>
      </c>
      <c r="AV686" s="5" t="str">
        <f t="shared" si="235"/>
        <v/>
      </c>
      <c r="AW686" s="5" t="str">
        <f t="shared" si="236"/>
        <v/>
      </c>
      <c r="AX686" s="5" t="str">
        <f t="shared" si="237"/>
        <v/>
      </c>
      <c r="AY686" s="5" t="str">
        <f t="shared" si="238"/>
        <v/>
      </c>
      <c r="AZ686" s="5" t="str">
        <f t="shared" si="239"/>
        <v/>
      </c>
      <c r="BA686" s="5" t="str">
        <f t="shared" si="240"/>
        <v/>
      </c>
      <c r="BB686" s="5" t="str">
        <f t="shared" si="241"/>
        <v/>
      </c>
    </row>
    <row r="687" spans="1:54" s="5" customFormat="1" hidden="1">
      <c r="A687" s="8" t="str">
        <f>IF(INDEX(FORM!$A:$A,ROW())="","",ROW()-1)</f>
        <v/>
      </c>
      <c r="B687" s="41" t="str">
        <f>IF($A687="","",INDEX(FORM!$A:$A,ROW()))</f>
        <v/>
      </c>
      <c r="C687" s="8" t="str">
        <f>IF($A687="","",TRIM(INDEX(FORM!$B:$B,ROW())))</f>
        <v/>
      </c>
      <c r="D687" s="8" t="str">
        <f>IF($A687="","",TRIM(INDEX(FORM!$C:$C,ROW())&amp;""))</f>
        <v/>
      </c>
      <c r="E687" s="8" t="str">
        <f>IF($A687="","",UPPER(TRIM(INDEX(FORM!$D:$D,ROW()))))</f>
        <v/>
      </c>
      <c r="F687" s="8" t="str">
        <f>IF($A687="","",IFERROR(INDEX(PROGRES!$A$2:$A$92,MATCH(E687,PROGRES!$B$2:$B$92,0)),"-"))</f>
        <v/>
      </c>
      <c r="G687" s="8" t="str">
        <f>IF($A687="","",UPPER(TRIM(INDEX(FORM!$F:$F,ROW()))))</f>
        <v/>
      </c>
      <c r="H687" s="8" t="str">
        <f>IF($A687="","",UPPER(TRIM(INDEX(FORM!$E:$E,ROW()))))</f>
        <v/>
      </c>
      <c r="I687" s="8" t="str">
        <f>IF($A687="","",UPPER(TRIM(INDEX(FORM!$G:$G,ROW()))))</f>
        <v/>
      </c>
      <c r="J687" s="8" t="str">
        <f>IF($A687="","",IF(ISNUMBER(SEARCH("Ya,",INDEX(FORM!$H:$H,ROW()))),"YA",IF(ISNUMBER(SEARCH("Cukup,",INDEX(FORM!$H:$H,ROW()))),"CUKUP",IF(ISNUMBER(SEARCH("Kurang,",INDEX(FORM!$H:$H,ROW()))),"KURANG",""))))</f>
        <v/>
      </c>
      <c r="K687" s="8" t="str">
        <f>IF($A687="","",UPPER(TRIM(INDEX(FORM!$J:$J,ROW()))))</f>
        <v/>
      </c>
      <c r="L687" s="8" t="str">
        <f>IF($A687="","",IF(ISNUMBER(SEARCH("Aktivitas Harian",INDEX(FORM!$K:$K,ROW()))),1,0))</f>
        <v/>
      </c>
      <c r="M687" s="8" t="str">
        <f>IF($A687="","",IF(ISNUMBER(SEARCH("Aktivitas Mingguan",INDEX(FORM!$K:$K,ROW()))),1,0))</f>
        <v/>
      </c>
      <c r="N687" s="8" t="str">
        <f>IF($A687="","",IF(ISNUMBER(SEARCH("Aktivitas Bulanan",INDEX(FORM!$K:$K,ROW()))),1,0))</f>
        <v/>
      </c>
      <c r="O687" s="8" t="str">
        <f>IF($A687="","",IF(ISNUMBER(SEARCH("Overview Cabang",INDEX(FORM!$K:$K,ROW()))),1,0))</f>
        <v/>
      </c>
      <c r="P687" s="8" t="str">
        <f>IF($A687="","",IFERROR(VLOOKUP(I687,DATA!$AH$9:$AI$13,2,0),""))</f>
        <v/>
      </c>
      <c r="Q687" s="8" t="str">
        <f>IF($A687="","",IFERROR(VLOOKUP(J687,DATA!$AH$9:$AI$13,2,0),""))</f>
        <v/>
      </c>
      <c r="R687" s="8" t="str">
        <f>IF($A687="","",IFERROR(VLOOKUP(K687,DATA!$AH$9:$AI$13,2,0),""))</f>
        <v/>
      </c>
      <c r="S687" s="42" t="str">
        <f t="shared" si="220"/>
        <v/>
      </c>
      <c r="T687" s="8" t="str">
        <f>IF($A687="","",IF(COUNTIF($D$2:D687,D687)=1,1,0))</f>
        <v/>
      </c>
      <c r="U687" s="8" t="str">
        <f>IF($A687="","",IF(F687="-","Cabang tdk ada",IF(IFERROR(VLOOKUP(G687,#REF!,1,0),"")="","",IF(INDEX(DATA!$AH$2:$AH$5,MATCH(G687,DATA!$AI$2:$AI$5,0))&lt;&gt;F687,"Wilayah beda","OK"))))</f>
        <v/>
      </c>
      <c r="V687" s="8" t="str">
        <f>IF($A687="","",TRIM(INDEX(FORM!$I:$I,ROW())&amp;""))</f>
        <v/>
      </c>
      <c r="W687" s="8" t="str">
        <f>IF($A687="","",TRIM(INDEX(FORM!$L:$L,ROW())&amp;""))</f>
        <v/>
      </c>
      <c r="X687" s="8" t="str">
        <f>IF($A687="","",TRIM(INDEX(FORM!$M:$M,ROW())&amp;""))</f>
        <v/>
      </c>
      <c r="Y687" s="8" t="str">
        <f>IF($A687="","",IFERROR(MATCH(F687,DATA!$AH$2:$AH$5,0),9)*10000+A687)</f>
        <v/>
      </c>
      <c r="Z687" s="8" t="str">
        <f t="shared" si="221"/>
        <v/>
      </c>
      <c r="AA687" s="8" t="str">
        <f t="shared" si="222"/>
        <v/>
      </c>
      <c r="AB687" s="8" t="str">
        <f t="shared" si="223"/>
        <v/>
      </c>
      <c r="AC687" s="8"/>
      <c r="AD687" s="8"/>
      <c r="AE687" s="8"/>
      <c r="AK687" s="5" t="str">
        <f t="shared" si="224"/>
        <v/>
      </c>
      <c r="AL687" s="5" t="str">
        <f t="shared" si="225"/>
        <v/>
      </c>
      <c r="AM687" s="5" t="str">
        <f t="shared" si="226"/>
        <v/>
      </c>
      <c r="AN687" s="5" t="str">
        <f t="shared" si="227"/>
        <v/>
      </c>
      <c r="AO687" s="5" t="str">
        <f t="shared" si="228"/>
        <v/>
      </c>
      <c r="AP687" s="5" t="str">
        <f t="shared" si="229"/>
        <v/>
      </c>
      <c r="AQ687" s="5" t="str">
        <f t="shared" si="230"/>
        <v/>
      </c>
      <c r="AR687" s="5" t="str">
        <f t="shared" si="231"/>
        <v/>
      </c>
      <c r="AS687" s="5" t="str">
        <f t="shared" si="232"/>
        <v/>
      </c>
      <c r="AT687" s="5" t="str">
        <f t="shared" si="233"/>
        <v/>
      </c>
      <c r="AU687" s="5" t="str">
        <f t="shared" si="234"/>
        <v/>
      </c>
      <c r="AV687" s="5" t="str">
        <f t="shared" si="235"/>
        <v/>
      </c>
      <c r="AW687" s="5" t="str">
        <f t="shared" si="236"/>
        <v/>
      </c>
      <c r="AX687" s="5" t="str">
        <f t="shared" si="237"/>
        <v/>
      </c>
      <c r="AY687" s="5" t="str">
        <f t="shared" si="238"/>
        <v/>
      </c>
      <c r="AZ687" s="5" t="str">
        <f t="shared" si="239"/>
        <v/>
      </c>
      <c r="BA687" s="5" t="str">
        <f t="shared" si="240"/>
        <v/>
      </c>
      <c r="BB687" s="5" t="str">
        <f t="shared" si="241"/>
        <v/>
      </c>
    </row>
    <row r="688" spans="1:54" s="5" customFormat="1" hidden="1">
      <c r="A688" s="8" t="str">
        <f>IF(INDEX(FORM!$A:$A,ROW())="","",ROW()-1)</f>
        <v/>
      </c>
      <c r="B688" s="41" t="str">
        <f>IF($A688="","",INDEX(FORM!$A:$A,ROW()))</f>
        <v/>
      </c>
      <c r="C688" s="8" t="str">
        <f>IF($A688="","",TRIM(INDEX(FORM!$B:$B,ROW())))</f>
        <v/>
      </c>
      <c r="D688" s="8" t="str">
        <f>IF($A688="","",TRIM(INDEX(FORM!$C:$C,ROW())&amp;""))</f>
        <v/>
      </c>
      <c r="E688" s="8" t="str">
        <f>IF($A688="","",UPPER(TRIM(INDEX(FORM!$D:$D,ROW()))))</f>
        <v/>
      </c>
      <c r="F688" s="8" t="str">
        <f>IF($A688="","",IFERROR(INDEX(PROGRES!$A$2:$A$92,MATCH(E688,PROGRES!$B$2:$B$92,0)),"-"))</f>
        <v/>
      </c>
      <c r="G688" s="8" t="str">
        <f>IF($A688="","",UPPER(TRIM(INDEX(FORM!$F:$F,ROW()))))</f>
        <v/>
      </c>
      <c r="H688" s="8" t="str">
        <f>IF($A688="","",UPPER(TRIM(INDEX(FORM!$E:$E,ROW()))))</f>
        <v/>
      </c>
      <c r="I688" s="8" t="str">
        <f>IF($A688="","",UPPER(TRIM(INDEX(FORM!$G:$G,ROW()))))</f>
        <v/>
      </c>
      <c r="J688" s="8" t="str">
        <f>IF($A688="","",IF(ISNUMBER(SEARCH("Ya,",INDEX(FORM!$H:$H,ROW()))),"YA",IF(ISNUMBER(SEARCH("Cukup,",INDEX(FORM!$H:$H,ROW()))),"CUKUP",IF(ISNUMBER(SEARCH("Kurang,",INDEX(FORM!$H:$H,ROW()))),"KURANG",""))))</f>
        <v/>
      </c>
      <c r="K688" s="8" t="str">
        <f>IF($A688="","",UPPER(TRIM(INDEX(FORM!$J:$J,ROW()))))</f>
        <v/>
      </c>
      <c r="L688" s="8" t="str">
        <f>IF($A688="","",IF(ISNUMBER(SEARCH("Aktivitas Harian",INDEX(FORM!$K:$K,ROW()))),1,0))</f>
        <v/>
      </c>
      <c r="M688" s="8" t="str">
        <f>IF($A688="","",IF(ISNUMBER(SEARCH("Aktivitas Mingguan",INDEX(FORM!$K:$K,ROW()))),1,0))</f>
        <v/>
      </c>
      <c r="N688" s="8" t="str">
        <f>IF($A688="","",IF(ISNUMBER(SEARCH("Aktivitas Bulanan",INDEX(FORM!$K:$K,ROW()))),1,0))</f>
        <v/>
      </c>
      <c r="O688" s="8" t="str">
        <f>IF($A688="","",IF(ISNUMBER(SEARCH("Overview Cabang",INDEX(FORM!$K:$K,ROW()))),1,0))</f>
        <v/>
      </c>
      <c r="P688" s="8" t="str">
        <f>IF($A688="","",IFERROR(VLOOKUP(I688,DATA!$AH$9:$AI$13,2,0),""))</f>
        <v/>
      </c>
      <c r="Q688" s="8" t="str">
        <f>IF($A688="","",IFERROR(VLOOKUP(J688,DATA!$AH$9:$AI$13,2,0),""))</f>
        <v/>
      </c>
      <c r="R688" s="8" t="str">
        <f>IF($A688="","",IFERROR(VLOOKUP(K688,DATA!$AH$9:$AI$13,2,0),""))</f>
        <v/>
      </c>
      <c r="S688" s="42" t="str">
        <f t="shared" si="220"/>
        <v/>
      </c>
      <c r="T688" s="8" t="str">
        <f>IF($A688="","",IF(COUNTIF($D$2:D688,D688)=1,1,0))</f>
        <v/>
      </c>
      <c r="U688" s="8" t="str">
        <f>IF($A688="","",IF(F688="-","Cabang tdk ada",IF(IFERROR(VLOOKUP(G688,#REF!,1,0),"")="","",IF(INDEX(DATA!$AH$2:$AH$5,MATCH(G688,DATA!$AI$2:$AI$5,0))&lt;&gt;F688,"Wilayah beda","OK"))))</f>
        <v/>
      </c>
      <c r="V688" s="8" t="str">
        <f>IF($A688="","",TRIM(INDEX(FORM!$I:$I,ROW())&amp;""))</f>
        <v/>
      </c>
      <c r="W688" s="8" t="str">
        <f>IF($A688="","",TRIM(INDEX(FORM!$L:$L,ROW())&amp;""))</f>
        <v/>
      </c>
      <c r="X688" s="8" t="str">
        <f>IF($A688="","",TRIM(INDEX(FORM!$M:$M,ROW())&amp;""))</f>
        <v/>
      </c>
      <c r="Y688" s="8" t="str">
        <f>IF($A688="","",IFERROR(MATCH(F688,DATA!$AH$2:$AH$5,0),9)*10000+A688)</f>
        <v/>
      </c>
      <c r="Z688" s="8" t="str">
        <f t="shared" si="221"/>
        <v/>
      </c>
      <c r="AA688" s="8" t="str">
        <f t="shared" si="222"/>
        <v/>
      </c>
      <c r="AB688" s="8" t="str">
        <f t="shared" si="223"/>
        <v/>
      </c>
      <c r="AC688" s="8"/>
      <c r="AD688" s="8"/>
      <c r="AE688" s="8"/>
      <c r="AK688" s="5" t="str">
        <f t="shared" si="224"/>
        <v/>
      </c>
      <c r="AL688" s="5" t="str">
        <f t="shared" si="225"/>
        <v/>
      </c>
      <c r="AM688" s="5" t="str">
        <f t="shared" si="226"/>
        <v/>
      </c>
      <c r="AN688" s="5" t="str">
        <f t="shared" si="227"/>
        <v/>
      </c>
      <c r="AO688" s="5" t="str">
        <f t="shared" si="228"/>
        <v/>
      </c>
      <c r="AP688" s="5" t="str">
        <f t="shared" si="229"/>
        <v/>
      </c>
      <c r="AQ688" s="5" t="str">
        <f t="shared" si="230"/>
        <v/>
      </c>
      <c r="AR688" s="5" t="str">
        <f t="shared" si="231"/>
        <v/>
      </c>
      <c r="AS688" s="5" t="str">
        <f t="shared" si="232"/>
        <v/>
      </c>
      <c r="AT688" s="5" t="str">
        <f t="shared" si="233"/>
        <v/>
      </c>
      <c r="AU688" s="5" t="str">
        <f t="shared" si="234"/>
        <v/>
      </c>
      <c r="AV688" s="5" t="str">
        <f t="shared" si="235"/>
        <v/>
      </c>
      <c r="AW688" s="5" t="str">
        <f t="shared" si="236"/>
        <v/>
      </c>
      <c r="AX688" s="5" t="str">
        <f t="shared" si="237"/>
        <v/>
      </c>
      <c r="AY688" s="5" t="str">
        <f t="shared" si="238"/>
        <v/>
      </c>
      <c r="AZ688" s="5" t="str">
        <f t="shared" si="239"/>
        <v/>
      </c>
      <c r="BA688" s="5" t="str">
        <f t="shared" si="240"/>
        <v/>
      </c>
      <c r="BB688" s="5" t="str">
        <f t="shared" si="241"/>
        <v/>
      </c>
    </row>
    <row r="689" spans="1:54" s="5" customFormat="1" hidden="1">
      <c r="A689" s="8" t="str">
        <f>IF(INDEX(FORM!$A:$A,ROW())="","",ROW()-1)</f>
        <v/>
      </c>
      <c r="B689" s="41" t="str">
        <f>IF($A689="","",INDEX(FORM!$A:$A,ROW()))</f>
        <v/>
      </c>
      <c r="C689" s="8" t="str">
        <f>IF($A689="","",TRIM(INDEX(FORM!$B:$B,ROW())))</f>
        <v/>
      </c>
      <c r="D689" s="8" t="str">
        <f>IF($A689="","",TRIM(INDEX(FORM!$C:$C,ROW())&amp;""))</f>
        <v/>
      </c>
      <c r="E689" s="8" t="str">
        <f>IF($A689="","",UPPER(TRIM(INDEX(FORM!$D:$D,ROW()))))</f>
        <v/>
      </c>
      <c r="F689" s="8" t="str">
        <f>IF($A689="","",IFERROR(INDEX(PROGRES!$A$2:$A$92,MATCH(E689,PROGRES!$B$2:$B$92,0)),"-"))</f>
        <v/>
      </c>
      <c r="G689" s="8" t="str">
        <f>IF($A689="","",UPPER(TRIM(INDEX(FORM!$F:$F,ROW()))))</f>
        <v/>
      </c>
      <c r="H689" s="8" t="str">
        <f>IF($A689="","",UPPER(TRIM(INDEX(FORM!$E:$E,ROW()))))</f>
        <v/>
      </c>
      <c r="I689" s="8" t="str">
        <f>IF($A689="","",UPPER(TRIM(INDEX(FORM!$G:$G,ROW()))))</f>
        <v/>
      </c>
      <c r="J689" s="8" t="str">
        <f>IF($A689="","",IF(ISNUMBER(SEARCH("Ya,",INDEX(FORM!$H:$H,ROW()))),"YA",IF(ISNUMBER(SEARCH("Cukup,",INDEX(FORM!$H:$H,ROW()))),"CUKUP",IF(ISNUMBER(SEARCH("Kurang,",INDEX(FORM!$H:$H,ROW()))),"KURANG",""))))</f>
        <v/>
      </c>
      <c r="K689" s="8" t="str">
        <f>IF($A689="","",UPPER(TRIM(INDEX(FORM!$J:$J,ROW()))))</f>
        <v/>
      </c>
      <c r="L689" s="8" t="str">
        <f>IF($A689="","",IF(ISNUMBER(SEARCH("Aktivitas Harian",INDEX(FORM!$K:$K,ROW()))),1,0))</f>
        <v/>
      </c>
      <c r="M689" s="8" t="str">
        <f>IF($A689="","",IF(ISNUMBER(SEARCH("Aktivitas Mingguan",INDEX(FORM!$K:$K,ROW()))),1,0))</f>
        <v/>
      </c>
      <c r="N689" s="8" t="str">
        <f>IF($A689="","",IF(ISNUMBER(SEARCH("Aktivitas Bulanan",INDEX(FORM!$K:$K,ROW()))),1,0))</f>
        <v/>
      </c>
      <c r="O689" s="8" t="str">
        <f>IF($A689="","",IF(ISNUMBER(SEARCH("Overview Cabang",INDEX(FORM!$K:$K,ROW()))),1,0))</f>
        <v/>
      </c>
      <c r="P689" s="8" t="str">
        <f>IF($A689="","",IFERROR(VLOOKUP(I689,DATA!$AH$9:$AI$13,2,0),""))</f>
        <v/>
      </c>
      <c r="Q689" s="8" t="str">
        <f>IF($A689="","",IFERROR(VLOOKUP(J689,DATA!$AH$9:$AI$13,2,0),""))</f>
        <v/>
      </c>
      <c r="R689" s="8" t="str">
        <f>IF($A689="","",IFERROR(VLOOKUP(K689,DATA!$AH$9:$AI$13,2,0),""))</f>
        <v/>
      </c>
      <c r="S689" s="42" t="str">
        <f t="shared" si="220"/>
        <v/>
      </c>
      <c r="T689" s="8" t="str">
        <f>IF($A689="","",IF(COUNTIF($D$2:D689,D689)=1,1,0))</f>
        <v/>
      </c>
      <c r="U689" s="8" t="str">
        <f>IF($A689="","",IF(F689="-","Cabang tdk ada",IF(IFERROR(VLOOKUP(G689,#REF!,1,0),"")="","",IF(INDEX(DATA!$AH$2:$AH$5,MATCH(G689,DATA!$AI$2:$AI$5,0))&lt;&gt;F689,"Wilayah beda","OK"))))</f>
        <v/>
      </c>
      <c r="V689" s="8" t="str">
        <f>IF($A689="","",TRIM(INDEX(FORM!$I:$I,ROW())&amp;""))</f>
        <v/>
      </c>
      <c r="W689" s="8" t="str">
        <f>IF($A689="","",TRIM(INDEX(FORM!$L:$L,ROW())&amp;""))</f>
        <v/>
      </c>
      <c r="X689" s="8" t="str">
        <f>IF($A689="","",TRIM(INDEX(FORM!$M:$M,ROW())&amp;""))</f>
        <v/>
      </c>
      <c r="Y689" s="8" t="str">
        <f>IF($A689="","",IFERROR(MATCH(F689,DATA!$AH$2:$AH$5,0),9)*10000+A689)</f>
        <v/>
      </c>
      <c r="Z689" s="8" t="str">
        <f t="shared" si="221"/>
        <v/>
      </c>
      <c r="AA689" s="8" t="str">
        <f t="shared" si="222"/>
        <v/>
      </c>
      <c r="AB689" s="8" t="str">
        <f t="shared" si="223"/>
        <v/>
      </c>
      <c r="AC689" s="8"/>
      <c r="AD689" s="8"/>
      <c r="AE689" s="8"/>
      <c r="AK689" s="5" t="str">
        <f t="shared" si="224"/>
        <v/>
      </c>
      <c r="AL689" s="5" t="str">
        <f t="shared" si="225"/>
        <v/>
      </c>
      <c r="AM689" s="5" t="str">
        <f t="shared" si="226"/>
        <v/>
      </c>
      <c r="AN689" s="5" t="str">
        <f t="shared" si="227"/>
        <v/>
      </c>
      <c r="AO689" s="5" t="str">
        <f t="shared" si="228"/>
        <v/>
      </c>
      <c r="AP689" s="5" t="str">
        <f t="shared" si="229"/>
        <v/>
      </c>
      <c r="AQ689" s="5" t="str">
        <f t="shared" si="230"/>
        <v/>
      </c>
      <c r="AR689" s="5" t="str">
        <f t="shared" si="231"/>
        <v/>
      </c>
      <c r="AS689" s="5" t="str">
        <f t="shared" si="232"/>
        <v/>
      </c>
      <c r="AT689" s="5" t="str">
        <f t="shared" si="233"/>
        <v/>
      </c>
      <c r="AU689" s="5" t="str">
        <f t="shared" si="234"/>
        <v/>
      </c>
      <c r="AV689" s="5" t="str">
        <f t="shared" si="235"/>
        <v/>
      </c>
      <c r="AW689" s="5" t="str">
        <f t="shared" si="236"/>
        <v/>
      </c>
      <c r="AX689" s="5" t="str">
        <f t="shared" si="237"/>
        <v/>
      </c>
      <c r="AY689" s="5" t="str">
        <f t="shared" si="238"/>
        <v/>
      </c>
      <c r="AZ689" s="5" t="str">
        <f t="shared" si="239"/>
        <v/>
      </c>
      <c r="BA689" s="5" t="str">
        <f t="shared" si="240"/>
        <v/>
      </c>
      <c r="BB689" s="5" t="str">
        <f t="shared" si="241"/>
        <v/>
      </c>
    </row>
    <row r="690" spans="1:54" s="5" customFormat="1" hidden="1">
      <c r="A690" s="8" t="str">
        <f>IF(INDEX(FORM!$A:$A,ROW())="","",ROW()-1)</f>
        <v/>
      </c>
      <c r="B690" s="41" t="str">
        <f>IF($A690="","",INDEX(FORM!$A:$A,ROW()))</f>
        <v/>
      </c>
      <c r="C690" s="8" t="str">
        <f>IF($A690="","",TRIM(INDEX(FORM!$B:$B,ROW())))</f>
        <v/>
      </c>
      <c r="D690" s="8" t="str">
        <f>IF($A690="","",TRIM(INDEX(FORM!$C:$C,ROW())&amp;""))</f>
        <v/>
      </c>
      <c r="E690" s="8" t="str">
        <f>IF($A690="","",UPPER(TRIM(INDEX(FORM!$D:$D,ROW()))))</f>
        <v/>
      </c>
      <c r="F690" s="8" t="str">
        <f>IF($A690="","",IFERROR(INDEX(PROGRES!$A$2:$A$92,MATCH(E690,PROGRES!$B$2:$B$92,0)),"-"))</f>
        <v/>
      </c>
      <c r="G690" s="8" t="str">
        <f>IF($A690="","",UPPER(TRIM(INDEX(FORM!$F:$F,ROW()))))</f>
        <v/>
      </c>
      <c r="H690" s="8" t="str">
        <f>IF($A690="","",UPPER(TRIM(INDEX(FORM!$E:$E,ROW()))))</f>
        <v/>
      </c>
      <c r="I690" s="8" t="str">
        <f>IF($A690="","",UPPER(TRIM(INDEX(FORM!$G:$G,ROW()))))</f>
        <v/>
      </c>
      <c r="J690" s="8" t="str">
        <f>IF($A690="","",IF(ISNUMBER(SEARCH("Ya,",INDEX(FORM!$H:$H,ROW()))),"YA",IF(ISNUMBER(SEARCH("Cukup,",INDEX(FORM!$H:$H,ROW()))),"CUKUP",IF(ISNUMBER(SEARCH("Kurang,",INDEX(FORM!$H:$H,ROW()))),"KURANG",""))))</f>
        <v/>
      </c>
      <c r="K690" s="8" t="str">
        <f>IF($A690="","",UPPER(TRIM(INDEX(FORM!$J:$J,ROW()))))</f>
        <v/>
      </c>
      <c r="L690" s="8" t="str">
        <f>IF($A690="","",IF(ISNUMBER(SEARCH("Aktivitas Harian",INDEX(FORM!$K:$K,ROW()))),1,0))</f>
        <v/>
      </c>
      <c r="M690" s="8" t="str">
        <f>IF($A690="","",IF(ISNUMBER(SEARCH("Aktivitas Mingguan",INDEX(FORM!$K:$K,ROW()))),1,0))</f>
        <v/>
      </c>
      <c r="N690" s="8" t="str">
        <f>IF($A690="","",IF(ISNUMBER(SEARCH("Aktivitas Bulanan",INDEX(FORM!$K:$K,ROW()))),1,0))</f>
        <v/>
      </c>
      <c r="O690" s="8" t="str">
        <f>IF($A690="","",IF(ISNUMBER(SEARCH("Overview Cabang",INDEX(FORM!$K:$K,ROW()))),1,0))</f>
        <v/>
      </c>
      <c r="P690" s="8" t="str">
        <f>IF($A690="","",IFERROR(VLOOKUP(I690,DATA!$AH$9:$AI$13,2,0),""))</f>
        <v/>
      </c>
      <c r="Q690" s="8" t="str">
        <f>IF($A690="","",IFERROR(VLOOKUP(J690,DATA!$AH$9:$AI$13,2,0),""))</f>
        <v/>
      </c>
      <c r="R690" s="8" t="str">
        <f>IF($A690="","",IFERROR(VLOOKUP(K690,DATA!$AH$9:$AI$13,2,0),""))</f>
        <v/>
      </c>
      <c r="S690" s="42" t="str">
        <f t="shared" si="220"/>
        <v/>
      </c>
      <c r="T690" s="8" t="str">
        <f>IF($A690="","",IF(COUNTIF($D$2:D690,D690)=1,1,0))</f>
        <v/>
      </c>
      <c r="U690" s="8" t="str">
        <f>IF($A690="","",IF(F690="-","Cabang tdk ada",IF(IFERROR(VLOOKUP(G690,#REF!,1,0),"")="","",IF(INDEX(DATA!$AH$2:$AH$5,MATCH(G690,DATA!$AI$2:$AI$5,0))&lt;&gt;F690,"Wilayah beda","OK"))))</f>
        <v/>
      </c>
      <c r="V690" s="8" t="str">
        <f>IF($A690="","",TRIM(INDEX(FORM!$I:$I,ROW())&amp;""))</f>
        <v/>
      </c>
      <c r="W690" s="8" t="str">
        <f>IF($A690="","",TRIM(INDEX(FORM!$L:$L,ROW())&amp;""))</f>
        <v/>
      </c>
      <c r="X690" s="8" t="str">
        <f>IF($A690="","",TRIM(INDEX(FORM!$M:$M,ROW())&amp;""))</f>
        <v/>
      </c>
      <c r="Y690" s="8" t="str">
        <f>IF($A690="","",IFERROR(MATCH(F690,DATA!$AH$2:$AH$5,0),9)*10000+A690)</f>
        <v/>
      </c>
      <c r="Z690" s="8" t="str">
        <f t="shared" si="221"/>
        <v/>
      </c>
      <c r="AA690" s="8" t="str">
        <f t="shared" si="222"/>
        <v/>
      </c>
      <c r="AB690" s="8" t="str">
        <f t="shared" si="223"/>
        <v/>
      </c>
      <c r="AC690" s="8"/>
      <c r="AD690" s="8"/>
      <c r="AE690" s="8"/>
      <c r="AK690" s="5" t="str">
        <f t="shared" si="224"/>
        <v/>
      </c>
      <c r="AL690" s="5" t="str">
        <f t="shared" si="225"/>
        <v/>
      </c>
      <c r="AM690" s="5" t="str">
        <f t="shared" si="226"/>
        <v/>
      </c>
      <c r="AN690" s="5" t="str">
        <f t="shared" si="227"/>
        <v/>
      </c>
      <c r="AO690" s="5" t="str">
        <f t="shared" si="228"/>
        <v/>
      </c>
      <c r="AP690" s="5" t="str">
        <f t="shared" si="229"/>
        <v/>
      </c>
      <c r="AQ690" s="5" t="str">
        <f t="shared" si="230"/>
        <v/>
      </c>
      <c r="AR690" s="5" t="str">
        <f t="shared" si="231"/>
        <v/>
      </c>
      <c r="AS690" s="5" t="str">
        <f t="shared" si="232"/>
        <v/>
      </c>
      <c r="AT690" s="5" t="str">
        <f t="shared" si="233"/>
        <v/>
      </c>
      <c r="AU690" s="5" t="str">
        <f t="shared" si="234"/>
        <v/>
      </c>
      <c r="AV690" s="5" t="str">
        <f t="shared" si="235"/>
        <v/>
      </c>
      <c r="AW690" s="5" t="str">
        <f t="shared" si="236"/>
        <v/>
      </c>
      <c r="AX690" s="5" t="str">
        <f t="shared" si="237"/>
        <v/>
      </c>
      <c r="AY690" s="5" t="str">
        <f t="shared" si="238"/>
        <v/>
      </c>
      <c r="AZ690" s="5" t="str">
        <f t="shared" si="239"/>
        <v/>
      </c>
      <c r="BA690" s="5" t="str">
        <f t="shared" si="240"/>
        <v/>
      </c>
      <c r="BB690" s="5" t="str">
        <f t="shared" si="241"/>
        <v/>
      </c>
    </row>
    <row r="691" spans="1:54" s="5" customFormat="1" hidden="1">
      <c r="A691" s="8" t="str">
        <f>IF(INDEX(FORM!$A:$A,ROW())="","",ROW()-1)</f>
        <v/>
      </c>
      <c r="B691" s="41" t="str">
        <f>IF($A691="","",INDEX(FORM!$A:$A,ROW()))</f>
        <v/>
      </c>
      <c r="C691" s="8" t="str">
        <f>IF($A691="","",TRIM(INDEX(FORM!$B:$B,ROW())))</f>
        <v/>
      </c>
      <c r="D691" s="8" t="str">
        <f>IF($A691="","",TRIM(INDEX(FORM!$C:$C,ROW())&amp;""))</f>
        <v/>
      </c>
      <c r="E691" s="8" t="str">
        <f>IF($A691="","",UPPER(TRIM(INDEX(FORM!$D:$D,ROW()))))</f>
        <v/>
      </c>
      <c r="F691" s="8" t="str">
        <f>IF($A691="","",IFERROR(INDEX(PROGRES!$A$2:$A$92,MATCH(E691,PROGRES!$B$2:$B$92,0)),"-"))</f>
        <v/>
      </c>
      <c r="G691" s="8" t="str">
        <f>IF($A691="","",UPPER(TRIM(INDEX(FORM!$F:$F,ROW()))))</f>
        <v/>
      </c>
      <c r="H691" s="8" t="str">
        <f>IF($A691="","",UPPER(TRIM(INDEX(FORM!$E:$E,ROW()))))</f>
        <v/>
      </c>
      <c r="I691" s="8" t="str">
        <f>IF($A691="","",UPPER(TRIM(INDEX(FORM!$G:$G,ROW()))))</f>
        <v/>
      </c>
      <c r="J691" s="8" t="str">
        <f>IF($A691="","",IF(ISNUMBER(SEARCH("Ya,",INDEX(FORM!$H:$H,ROW()))),"YA",IF(ISNUMBER(SEARCH("Cukup,",INDEX(FORM!$H:$H,ROW()))),"CUKUP",IF(ISNUMBER(SEARCH("Kurang,",INDEX(FORM!$H:$H,ROW()))),"KURANG",""))))</f>
        <v/>
      </c>
      <c r="K691" s="8" t="str">
        <f>IF($A691="","",UPPER(TRIM(INDEX(FORM!$J:$J,ROW()))))</f>
        <v/>
      </c>
      <c r="L691" s="8" t="str">
        <f>IF($A691="","",IF(ISNUMBER(SEARCH("Aktivitas Harian",INDEX(FORM!$K:$K,ROW()))),1,0))</f>
        <v/>
      </c>
      <c r="M691" s="8" t="str">
        <f>IF($A691="","",IF(ISNUMBER(SEARCH("Aktivitas Mingguan",INDEX(FORM!$K:$K,ROW()))),1,0))</f>
        <v/>
      </c>
      <c r="N691" s="8" t="str">
        <f>IF($A691="","",IF(ISNUMBER(SEARCH("Aktivitas Bulanan",INDEX(FORM!$K:$K,ROW()))),1,0))</f>
        <v/>
      </c>
      <c r="O691" s="8" t="str">
        <f>IF($A691="","",IF(ISNUMBER(SEARCH("Overview Cabang",INDEX(FORM!$K:$K,ROW()))),1,0))</f>
        <v/>
      </c>
      <c r="P691" s="8" t="str">
        <f>IF($A691="","",IFERROR(VLOOKUP(I691,DATA!$AH$9:$AI$13,2,0),""))</f>
        <v/>
      </c>
      <c r="Q691" s="8" t="str">
        <f>IF($A691="","",IFERROR(VLOOKUP(J691,DATA!$AH$9:$AI$13,2,0),""))</f>
        <v/>
      </c>
      <c r="R691" s="8" t="str">
        <f>IF($A691="","",IFERROR(VLOOKUP(K691,DATA!$AH$9:$AI$13,2,0),""))</f>
        <v/>
      </c>
      <c r="S691" s="42" t="str">
        <f t="shared" si="220"/>
        <v/>
      </c>
      <c r="T691" s="8" t="str">
        <f>IF($A691="","",IF(COUNTIF($D$2:D691,D691)=1,1,0))</f>
        <v/>
      </c>
      <c r="U691" s="8" t="str">
        <f>IF($A691="","",IF(F691="-","Cabang tdk ada",IF(IFERROR(VLOOKUP(G691,#REF!,1,0),"")="","",IF(INDEX(DATA!$AH$2:$AH$5,MATCH(G691,DATA!$AI$2:$AI$5,0))&lt;&gt;F691,"Wilayah beda","OK"))))</f>
        <v/>
      </c>
      <c r="V691" s="8" t="str">
        <f>IF($A691="","",TRIM(INDEX(FORM!$I:$I,ROW())&amp;""))</f>
        <v/>
      </c>
      <c r="W691" s="8" t="str">
        <f>IF($A691="","",TRIM(INDEX(FORM!$L:$L,ROW())&amp;""))</f>
        <v/>
      </c>
      <c r="X691" s="8" t="str">
        <f>IF($A691="","",TRIM(INDEX(FORM!$M:$M,ROW())&amp;""))</f>
        <v/>
      </c>
      <c r="Y691" s="8" t="str">
        <f>IF($A691="","",IFERROR(MATCH(F691,DATA!$AH$2:$AH$5,0),9)*10000+A691)</f>
        <v/>
      </c>
      <c r="Z691" s="8" t="str">
        <f t="shared" si="221"/>
        <v/>
      </c>
      <c r="AA691" s="8" t="str">
        <f t="shared" si="222"/>
        <v/>
      </c>
      <c r="AB691" s="8" t="str">
        <f t="shared" si="223"/>
        <v/>
      </c>
      <c r="AC691" s="8"/>
      <c r="AD691" s="8"/>
      <c r="AE691" s="8"/>
      <c r="AK691" s="5" t="str">
        <f t="shared" si="224"/>
        <v/>
      </c>
      <c r="AL691" s="5" t="str">
        <f t="shared" si="225"/>
        <v/>
      </c>
      <c r="AM691" s="5" t="str">
        <f t="shared" si="226"/>
        <v/>
      </c>
      <c r="AN691" s="5" t="str">
        <f t="shared" si="227"/>
        <v/>
      </c>
      <c r="AO691" s="5" t="str">
        <f t="shared" si="228"/>
        <v/>
      </c>
      <c r="AP691" s="5" t="str">
        <f t="shared" si="229"/>
        <v/>
      </c>
      <c r="AQ691" s="5" t="str">
        <f t="shared" si="230"/>
        <v/>
      </c>
      <c r="AR691" s="5" t="str">
        <f t="shared" si="231"/>
        <v/>
      </c>
      <c r="AS691" s="5" t="str">
        <f t="shared" si="232"/>
        <v/>
      </c>
      <c r="AT691" s="5" t="str">
        <f t="shared" si="233"/>
        <v/>
      </c>
      <c r="AU691" s="5" t="str">
        <f t="shared" si="234"/>
        <v/>
      </c>
      <c r="AV691" s="5" t="str">
        <f t="shared" si="235"/>
        <v/>
      </c>
      <c r="AW691" s="5" t="str">
        <f t="shared" si="236"/>
        <v/>
      </c>
      <c r="AX691" s="5" t="str">
        <f t="shared" si="237"/>
        <v/>
      </c>
      <c r="AY691" s="5" t="str">
        <f t="shared" si="238"/>
        <v/>
      </c>
      <c r="AZ691" s="5" t="str">
        <f t="shared" si="239"/>
        <v/>
      </c>
      <c r="BA691" s="5" t="str">
        <f t="shared" si="240"/>
        <v/>
      </c>
      <c r="BB691" s="5" t="str">
        <f t="shared" si="241"/>
        <v/>
      </c>
    </row>
    <row r="692" spans="1:54" s="5" customFormat="1" hidden="1">
      <c r="A692" s="8" t="str">
        <f>IF(INDEX(FORM!$A:$A,ROW())="","",ROW()-1)</f>
        <v/>
      </c>
      <c r="B692" s="41" t="str">
        <f>IF($A692="","",INDEX(FORM!$A:$A,ROW()))</f>
        <v/>
      </c>
      <c r="C692" s="8" t="str">
        <f>IF($A692="","",TRIM(INDEX(FORM!$B:$B,ROW())))</f>
        <v/>
      </c>
      <c r="D692" s="8" t="str">
        <f>IF($A692="","",TRIM(INDEX(FORM!$C:$C,ROW())&amp;""))</f>
        <v/>
      </c>
      <c r="E692" s="8" t="str">
        <f>IF($A692="","",UPPER(TRIM(INDEX(FORM!$D:$D,ROW()))))</f>
        <v/>
      </c>
      <c r="F692" s="8" t="str">
        <f>IF($A692="","",IFERROR(INDEX(PROGRES!$A$2:$A$92,MATCH(E692,PROGRES!$B$2:$B$92,0)),"-"))</f>
        <v/>
      </c>
      <c r="G692" s="8" t="str">
        <f>IF($A692="","",UPPER(TRIM(INDEX(FORM!$F:$F,ROW()))))</f>
        <v/>
      </c>
      <c r="H692" s="8" t="str">
        <f>IF($A692="","",UPPER(TRIM(INDEX(FORM!$E:$E,ROW()))))</f>
        <v/>
      </c>
      <c r="I692" s="8" t="str">
        <f>IF($A692="","",UPPER(TRIM(INDEX(FORM!$G:$G,ROW()))))</f>
        <v/>
      </c>
      <c r="J692" s="8" t="str">
        <f>IF($A692="","",IF(ISNUMBER(SEARCH("Ya,",INDEX(FORM!$H:$H,ROW()))),"YA",IF(ISNUMBER(SEARCH("Cukup,",INDEX(FORM!$H:$H,ROW()))),"CUKUP",IF(ISNUMBER(SEARCH("Kurang,",INDEX(FORM!$H:$H,ROW()))),"KURANG",""))))</f>
        <v/>
      </c>
      <c r="K692" s="8" t="str">
        <f>IF($A692="","",UPPER(TRIM(INDEX(FORM!$J:$J,ROW()))))</f>
        <v/>
      </c>
      <c r="L692" s="8" t="str">
        <f>IF($A692="","",IF(ISNUMBER(SEARCH("Aktivitas Harian",INDEX(FORM!$K:$K,ROW()))),1,0))</f>
        <v/>
      </c>
      <c r="M692" s="8" t="str">
        <f>IF($A692="","",IF(ISNUMBER(SEARCH("Aktivitas Mingguan",INDEX(FORM!$K:$K,ROW()))),1,0))</f>
        <v/>
      </c>
      <c r="N692" s="8" t="str">
        <f>IF($A692="","",IF(ISNUMBER(SEARCH("Aktivitas Bulanan",INDEX(FORM!$K:$K,ROW()))),1,0))</f>
        <v/>
      </c>
      <c r="O692" s="8" t="str">
        <f>IF($A692="","",IF(ISNUMBER(SEARCH("Overview Cabang",INDEX(FORM!$K:$K,ROW()))),1,0))</f>
        <v/>
      </c>
      <c r="P692" s="8" t="str">
        <f>IF($A692="","",IFERROR(VLOOKUP(I692,DATA!$AH$9:$AI$13,2,0),""))</f>
        <v/>
      </c>
      <c r="Q692" s="8" t="str">
        <f>IF($A692="","",IFERROR(VLOOKUP(J692,DATA!$AH$9:$AI$13,2,0),""))</f>
        <v/>
      </c>
      <c r="R692" s="8" t="str">
        <f>IF($A692="","",IFERROR(VLOOKUP(K692,DATA!$AH$9:$AI$13,2,0),""))</f>
        <v/>
      </c>
      <c r="S692" s="42" t="str">
        <f t="shared" si="220"/>
        <v/>
      </c>
      <c r="T692" s="8" t="str">
        <f>IF($A692="","",IF(COUNTIF($D$2:D692,D692)=1,1,0))</f>
        <v/>
      </c>
      <c r="U692" s="8" t="str">
        <f>IF($A692="","",IF(F692="-","Cabang tdk ada",IF(IFERROR(VLOOKUP(G692,#REF!,1,0),"")="","",IF(INDEX(DATA!$AH$2:$AH$5,MATCH(G692,DATA!$AI$2:$AI$5,0))&lt;&gt;F692,"Wilayah beda","OK"))))</f>
        <v/>
      </c>
      <c r="V692" s="8" t="str">
        <f>IF($A692="","",TRIM(INDEX(FORM!$I:$I,ROW())&amp;""))</f>
        <v/>
      </c>
      <c r="W692" s="8" t="str">
        <f>IF($A692="","",TRIM(INDEX(FORM!$L:$L,ROW())&amp;""))</f>
        <v/>
      </c>
      <c r="X692" s="8" t="str">
        <f>IF($A692="","",TRIM(INDEX(FORM!$M:$M,ROW())&amp;""))</f>
        <v/>
      </c>
      <c r="Y692" s="8" t="str">
        <f>IF($A692="","",IFERROR(MATCH(F692,DATA!$AH$2:$AH$5,0),9)*10000+A692)</f>
        <v/>
      </c>
      <c r="Z692" s="8" t="str">
        <f t="shared" si="221"/>
        <v/>
      </c>
      <c r="AA692" s="8" t="str">
        <f t="shared" si="222"/>
        <v/>
      </c>
      <c r="AB692" s="8" t="str">
        <f t="shared" si="223"/>
        <v/>
      </c>
      <c r="AC692" s="8"/>
      <c r="AD692" s="8"/>
      <c r="AE692" s="8"/>
      <c r="AK692" s="5" t="str">
        <f t="shared" si="224"/>
        <v/>
      </c>
      <c r="AL692" s="5" t="str">
        <f t="shared" si="225"/>
        <v/>
      </c>
      <c r="AM692" s="5" t="str">
        <f t="shared" si="226"/>
        <v/>
      </c>
      <c r="AN692" s="5" t="str">
        <f t="shared" si="227"/>
        <v/>
      </c>
      <c r="AO692" s="5" t="str">
        <f t="shared" si="228"/>
        <v/>
      </c>
      <c r="AP692" s="5" t="str">
        <f t="shared" si="229"/>
        <v/>
      </c>
      <c r="AQ692" s="5" t="str">
        <f t="shared" si="230"/>
        <v/>
      </c>
      <c r="AR692" s="5" t="str">
        <f t="shared" si="231"/>
        <v/>
      </c>
      <c r="AS692" s="5" t="str">
        <f t="shared" si="232"/>
        <v/>
      </c>
      <c r="AT692" s="5" t="str">
        <f t="shared" si="233"/>
        <v/>
      </c>
      <c r="AU692" s="5" t="str">
        <f t="shared" si="234"/>
        <v/>
      </c>
      <c r="AV692" s="5" t="str">
        <f t="shared" si="235"/>
        <v/>
      </c>
      <c r="AW692" s="5" t="str">
        <f t="shared" si="236"/>
        <v/>
      </c>
      <c r="AX692" s="5" t="str">
        <f t="shared" si="237"/>
        <v/>
      </c>
      <c r="AY692" s="5" t="str">
        <f t="shared" si="238"/>
        <v/>
      </c>
      <c r="AZ692" s="5" t="str">
        <f t="shared" si="239"/>
        <v/>
      </c>
      <c r="BA692" s="5" t="str">
        <f t="shared" si="240"/>
        <v/>
      </c>
      <c r="BB692" s="5" t="str">
        <f t="shared" si="241"/>
        <v/>
      </c>
    </row>
    <row r="693" spans="1:54" s="5" customFormat="1" hidden="1">
      <c r="A693" s="8" t="str">
        <f>IF(INDEX(FORM!$A:$A,ROW())="","",ROW()-1)</f>
        <v/>
      </c>
      <c r="B693" s="41" t="str">
        <f>IF($A693="","",INDEX(FORM!$A:$A,ROW()))</f>
        <v/>
      </c>
      <c r="C693" s="8" t="str">
        <f>IF($A693="","",TRIM(INDEX(FORM!$B:$B,ROW())))</f>
        <v/>
      </c>
      <c r="D693" s="8" t="str">
        <f>IF($A693="","",TRIM(INDEX(FORM!$C:$C,ROW())&amp;""))</f>
        <v/>
      </c>
      <c r="E693" s="8" t="str">
        <f>IF($A693="","",UPPER(TRIM(INDEX(FORM!$D:$D,ROW()))))</f>
        <v/>
      </c>
      <c r="F693" s="8" t="str">
        <f>IF($A693="","",IFERROR(INDEX(PROGRES!$A$2:$A$92,MATCH(E693,PROGRES!$B$2:$B$92,0)),"-"))</f>
        <v/>
      </c>
      <c r="G693" s="8" t="str">
        <f>IF($A693="","",UPPER(TRIM(INDEX(FORM!$F:$F,ROW()))))</f>
        <v/>
      </c>
      <c r="H693" s="8" t="str">
        <f>IF($A693="","",UPPER(TRIM(INDEX(FORM!$E:$E,ROW()))))</f>
        <v/>
      </c>
      <c r="I693" s="8" t="str">
        <f>IF($A693="","",UPPER(TRIM(INDEX(FORM!$G:$G,ROW()))))</f>
        <v/>
      </c>
      <c r="J693" s="8" t="str">
        <f>IF($A693="","",IF(ISNUMBER(SEARCH("Ya,",INDEX(FORM!$H:$H,ROW()))),"YA",IF(ISNUMBER(SEARCH("Cukup,",INDEX(FORM!$H:$H,ROW()))),"CUKUP",IF(ISNUMBER(SEARCH("Kurang,",INDEX(FORM!$H:$H,ROW()))),"KURANG",""))))</f>
        <v/>
      </c>
      <c r="K693" s="8" t="str">
        <f>IF($A693="","",UPPER(TRIM(INDEX(FORM!$J:$J,ROW()))))</f>
        <v/>
      </c>
      <c r="L693" s="8" t="str">
        <f>IF($A693="","",IF(ISNUMBER(SEARCH("Aktivitas Harian",INDEX(FORM!$K:$K,ROW()))),1,0))</f>
        <v/>
      </c>
      <c r="M693" s="8" t="str">
        <f>IF($A693="","",IF(ISNUMBER(SEARCH("Aktivitas Mingguan",INDEX(FORM!$K:$K,ROW()))),1,0))</f>
        <v/>
      </c>
      <c r="N693" s="8" t="str">
        <f>IF($A693="","",IF(ISNUMBER(SEARCH("Aktivitas Bulanan",INDEX(FORM!$K:$K,ROW()))),1,0))</f>
        <v/>
      </c>
      <c r="O693" s="8" t="str">
        <f>IF($A693="","",IF(ISNUMBER(SEARCH("Overview Cabang",INDEX(FORM!$K:$K,ROW()))),1,0))</f>
        <v/>
      </c>
      <c r="P693" s="8" t="str">
        <f>IF($A693="","",IFERROR(VLOOKUP(I693,DATA!$AH$9:$AI$13,2,0),""))</f>
        <v/>
      </c>
      <c r="Q693" s="8" t="str">
        <f>IF($A693="","",IFERROR(VLOOKUP(J693,DATA!$AH$9:$AI$13,2,0),""))</f>
        <v/>
      </c>
      <c r="R693" s="8" t="str">
        <f>IF($A693="","",IFERROR(VLOOKUP(K693,DATA!$AH$9:$AI$13,2,0),""))</f>
        <v/>
      </c>
      <c r="S693" s="42" t="str">
        <f t="shared" si="220"/>
        <v/>
      </c>
      <c r="T693" s="8" t="str">
        <f>IF($A693="","",IF(COUNTIF($D$2:D693,D693)=1,1,0))</f>
        <v/>
      </c>
      <c r="U693" s="8" t="str">
        <f>IF($A693="","",IF(F693="-","Cabang tdk ada",IF(IFERROR(VLOOKUP(G693,#REF!,1,0),"")="","",IF(INDEX(DATA!$AH$2:$AH$5,MATCH(G693,DATA!$AI$2:$AI$5,0))&lt;&gt;F693,"Wilayah beda","OK"))))</f>
        <v/>
      </c>
      <c r="V693" s="8" t="str">
        <f>IF($A693="","",TRIM(INDEX(FORM!$I:$I,ROW())&amp;""))</f>
        <v/>
      </c>
      <c r="W693" s="8" t="str">
        <f>IF($A693="","",TRIM(INDEX(FORM!$L:$L,ROW())&amp;""))</f>
        <v/>
      </c>
      <c r="X693" s="8" t="str">
        <f>IF($A693="","",TRIM(INDEX(FORM!$M:$M,ROW())&amp;""))</f>
        <v/>
      </c>
      <c r="Y693" s="8" t="str">
        <f>IF($A693="","",IFERROR(MATCH(F693,DATA!$AH$2:$AH$5,0),9)*10000+A693)</f>
        <v/>
      </c>
      <c r="Z693" s="8" t="str">
        <f t="shared" si="221"/>
        <v/>
      </c>
      <c r="AA693" s="8" t="str">
        <f t="shared" si="222"/>
        <v/>
      </c>
      <c r="AB693" s="8" t="str">
        <f t="shared" si="223"/>
        <v/>
      </c>
      <c r="AC693" s="8"/>
      <c r="AD693" s="8"/>
      <c r="AE693" s="8"/>
      <c r="AK693" s="5" t="str">
        <f t="shared" si="224"/>
        <v/>
      </c>
      <c r="AL693" s="5" t="str">
        <f t="shared" si="225"/>
        <v/>
      </c>
      <c r="AM693" s="5" t="str">
        <f t="shared" si="226"/>
        <v/>
      </c>
      <c r="AN693" s="5" t="str">
        <f t="shared" si="227"/>
        <v/>
      </c>
      <c r="AO693" s="5" t="str">
        <f t="shared" si="228"/>
        <v/>
      </c>
      <c r="AP693" s="5" t="str">
        <f t="shared" si="229"/>
        <v/>
      </c>
      <c r="AQ693" s="5" t="str">
        <f t="shared" si="230"/>
        <v/>
      </c>
      <c r="AR693" s="5" t="str">
        <f t="shared" si="231"/>
        <v/>
      </c>
      <c r="AS693" s="5" t="str">
        <f t="shared" si="232"/>
        <v/>
      </c>
      <c r="AT693" s="5" t="str">
        <f t="shared" si="233"/>
        <v/>
      </c>
      <c r="AU693" s="5" t="str">
        <f t="shared" si="234"/>
        <v/>
      </c>
      <c r="AV693" s="5" t="str">
        <f t="shared" si="235"/>
        <v/>
      </c>
      <c r="AW693" s="5" t="str">
        <f t="shared" si="236"/>
        <v/>
      </c>
      <c r="AX693" s="5" t="str">
        <f t="shared" si="237"/>
        <v/>
      </c>
      <c r="AY693" s="5" t="str">
        <f t="shared" si="238"/>
        <v/>
      </c>
      <c r="AZ693" s="5" t="str">
        <f t="shared" si="239"/>
        <v/>
      </c>
      <c r="BA693" s="5" t="str">
        <f t="shared" si="240"/>
        <v/>
      </c>
      <c r="BB693" s="5" t="str">
        <f t="shared" si="241"/>
        <v/>
      </c>
    </row>
    <row r="694" spans="1:54" s="5" customFormat="1" hidden="1">
      <c r="A694" s="8" t="str">
        <f>IF(INDEX(FORM!$A:$A,ROW())="","",ROW()-1)</f>
        <v/>
      </c>
      <c r="B694" s="41" t="str">
        <f>IF($A694="","",INDEX(FORM!$A:$A,ROW()))</f>
        <v/>
      </c>
      <c r="C694" s="8" t="str">
        <f>IF($A694="","",TRIM(INDEX(FORM!$B:$B,ROW())))</f>
        <v/>
      </c>
      <c r="D694" s="8" t="str">
        <f>IF($A694="","",TRIM(INDEX(FORM!$C:$C,ROW())&amp;""))</f>
        <v/>
      </c>
      <c r="E694" s="8" t="str">
        <f>IF($A694="","",UPPER(TRIM(INDEX(FORM!$D:$D,ROW()))))</f>
        <v/>
      </c>
      <c r="F694" s="8" t="str">
        <f>IF($A694="","",IFERROR(INDEX(PROGRES!$A$2:$A$92,MATCH(E694,PROGRES!$B$2:$B$92,0)),"-"))</f>
        <v/>
      </c>
      <c r="G694" s="8" t="str">
        <f>IF($A694="","",UPPER(TRIM(INDEX(FORM!$F:$F,ROW()))))</f>
        <v/>
      </c>
      <c r="H694" s="8" t="str">
        <f>IF($A694="","",UPPER(TRIM(INDEX(FORM!$E:$E,ROW()))))</f>
        <v/>
      </c>
      <c r="I694" s="8" t="str">
        <f>IF($A694="","",UPPER(TRIM(INDEX(FORM!$G:$G,ROW()))))</f>
        <v/>
      </c>
      <c r="J694" s="8" t="str">
        <f>IF($A694="","",IF(ISNUMBER(SEARCH("Ya,",INDEX(FORM!$H:$H,ROW()))),"YA",IF(ISNUMBER(SEARCH("Cukup,",INDEX(FORM!$H:$H,ROW()))),"CUKUP",IF(ISNUMBER(SEARCH("Kurang,",INDEX(FORM!$H:$H,ROW()))),"KURANG",""))))</f>
        <v/>
      </c>
      <c r="K694" s="8" t="str">
        <f>IF($A694="","",UPPER(TRIM(INDEX(FORM!$J:$J,ROW()))))</f>
        <v/>
      </c>
      <c r="L694" s="8" t="str">
        <f>IF($A694="","",IF(ISNUMBER(SEARCH("Aktivitas Harian",INDEX(FORM!$K:$K,ROW()))),1,0))</f>
        <v/>
      </c>
      <c r="M694" s="8" t="str">
        <f>IF($A694="","",IF(ISNUMBER(SEARCH("Aktivitas Mingguan",INDEX(FORM!$K:$K,ROW()))),1,0))</f>
        <v/>
      </c>
      <c r="N694" s="8" t="str">
        <f>IF($A694="","",IF(ISNUMBER(SEARCH("Aktivitas Bulanan",INDEX(FORM!$K:$K,ROW()))),1,0))</f>
        <v/>
      </c>
      <c r="O694" s="8" t="str">
        <f>IF($A694="","",IF(ISNUMBER(SEARCH("Overview Cabang",INDEX(FORM!$K:$K,ROW()))),1,0))</f>
        <v/>
      </c>
      <c r="P694" s="8" t="str">
        <f>IF($A694="","",IFERROR(VLOOKUP(I694,DATA!$AH$9:$AI$13,2,0),""))</f>
        <v/>
      </c>
      <c r="Q694" s="8" t="str">
        <f>IF($A694="","",IFERROR(VLOOKUP(J694,DATA!$AH$9:$AI$13,2,0),""))</f>
        <v/>
      </c>
      <c r="R694" s="8" t="str">
        <f>IF($A694="","",IFERROR(VLOOKUP(K694,DATA!$AH$9:$AI$13,2,0),""))</f>
        <v/>
      </c>
      <c r="S694" s="42" t="str">
        <f t="shared" si="220"/>
        <v/>
      </c>
      <c r="T694" s="8" t="str">
        <f>IF($A694="","",IF(COUNTIF($D$2:D694,D694)=1,1,0))</f>
        <v/>
      </c>
      <c r="U694" s="8" t="str">
        <f>IF($A694="","",IF(F694="-","Cabang tdk ada",IF(IFERROR(VLOOKUP(G694,#REF!,1,0),"")="","",IF(INDEX(DATA!$AH$2:$AH$5,MATCH(G694,DATA!$AI$2:$AI$5,0))&lt;&gt;F694,"Wilayah beda","OK"))))</f>
        <v/>
      </c>
      <c r="V694" s="8" t="str">
        <f>IF($A694="","",TRIM(INDEX(FORM!$I:$I,ROW())&amp;""))</f>
        <v/>
      </c>
      <c r="W694" s="8" t="str">
        <f>IF($A694="","",TRIM(INDEX(FORM!$L:$L,ROW())&amp;""))</f>
        <v/>
      </c>
      <c r="X694" s="8" t="str">
        <f>IF($A694="","",TRIM(INDEX(FORM!$M:$M,ROW())&amp;""))</f>
        <v/>
      </c>
      <c r="Y694" s="8" t="str">
        <f>IF($A694="","",IFERROR(MATCH(F694,DATA!$AH$2:$AH$5,0),9)*10000+A694)</f>
        <v/>
      </c>
      <c r="Z694" s="8" t="str">
        <f t="shared" si="221"/>
        <v/>
      </c>
      <c r="AA694" s="8" t="str">
        <f t="shared" si="222"/>
        <v/>
      </c>
      <c r="AB694" s="8" t="str">
        <f t="shared" si="223"/>
        <v/>
      </c>
      <c r="AC694" s="8"/>
      <c r="AD694" s="8"/>
      <c r="AE694" s="8"/>
      <c r="AK694" s="5" t="str">
        <f t="shared" si="224"/>
        <v/>
      </c>
      <c r="AL694" s="5" t="str">
        <f t="shared" si="225"/>
        <v/>
      </c>
      <c r="AM694" s="5" t="str">
        <f t="shared" si="226"/>
        <v/>
      </c>
      <c r="AN694" s="5" t="str">
        <f t="shared" si="227"/>
        <v/>
      </c>
      <c r="AO694" s="5" t="str">
        <f t="shared" si="228"/>
        <v/>
      </c>
      <c r="AP694" s="5" t="str">
        <f t="shared" si="229"/>
        <v/>
      </c>
      <c r="AQ694" s="5" t="str">
        <f t="shared" si="230"/>
        <v/>
      </c>
      <c r="AR694" s="5" t="str">
        <f t="shared" si="231"/>
        <v/>
      </c>
      <c r="AS694" s="5" t="str">
        <f t="shared" si="232"/>
        <v/>
      </c>
      <c r="AT694" s="5" t="str">
        <f t="shared" si="233"/>
        <v/>
      </c>
      <c r="AU694" s="5" t="str">
        <f t="shared" si="234"/>
        <v/>
      </c>
      <c r="AV694" s="5" t="str">
        <f t="shared" si="235"/>
        <v/>
      </c>
      <c r="AW694" s="5" t="str">
        <f t="shared" si="236"/>
        <v/>
      </c>
      <c r="AX694" s="5" t="str">
        <f t="shared" si="237"/>
        <v/>
      </c>
      <c r="AY694" s="5" t="str">
        <f t="shared" si="238"/>
        <v/>
      </c>
      <c r="AZ694" s="5" t="str">
        <f t="shared" si="239"/>
        <v/>
      </c>
      <c r="BA694" s="5" t="str">
        <f t="shared" si="240"/>
        <v/>
      </c>
      <c r="BB694" s="5" t="str">
        <f t="shared" si="241"/>
        <v/>
      </c>
    </row>
    <row r="695" spans="1:54" s="5" customFormat="1" hidden="1">
      <c r="A695" s="8" t="str">
        <f>IF(INDEX(FORM!$A:$A,ROW())="","",ROW()-1)</f>
        <v/>
      </c>
      <c r="B695" s="41" t="str">
        <f>IF($A695="","",INDEX(FORM!$A:$A,ROW()))</f>
        <v/>
      </c>
      <c r="C695" s="8" t="str">
        <f>IF($A695="","",TRIM(INDEX(FORM!$B:$B,ROW())))</f>
        <v/>
      </c>
      <c r="D695" s="8" t="str">
        <f>IF($A695="","",TRIM(INDEX(FORM!$C:$C,ROW())&amp;""))</f>
        <v/>
      </c>
      <c r="E695" s="8" t="str">
        <f>IF($A695="","",UPPER(TRIM(INDEX(FORM!$D:$D,ROW()))))</f>
        <v/>
      </c>
      <c r="F695" s="8" t="str">
        <f>IF($A695="","",IFERROR(INDEX(PROGRES!$A$2:$A$92,MATCH(E695,PROGRES!$B$2:$B$92,0)),"-"))</f>
        <v/>
      </c>
      <c r="G695" s="8" t="str">
        <f>IF($A695="","",UPPER(TRIM(INDEX(FORM!$F:$F,ROW()))))</f>
        <v/>
      </c>
      <c r="H695" s="8" t="str">
        <f>IF($A695="","",UPPER(TRIM(INDEX(FORM!$E:$E,ROW()))))</f>
        <v/>
      </c>
      <c r="I695" s="8" t="str">
        <f>IF($A695="","",UPPER(TRIM(INDEX(FORM!$G:$G,ROW()))))</f>
        <v/>
      </c>
      <c r="J695" s="8" t="str">
        <f>IF($A695="","",IF(ISNUMBER(SEARCH("Ya,",INDEX(FORM!$H:$H,ROW()))),"YA",IF(ISNUMBER(SEARCH("Cukup,",INDEX(FORM!$H:$H,ROW()))),"CUKUP",IF(ISNUMBER(SEARCH("Kurang,",INDEX(FORM!$H:$H,ROW()))),"KURANG",""))))</f>
        <v/>
      </c>
      <c r="K695" s="8" t="str">
        <f>IF($A695="","",UPPER(TRIM(INDEX(FORM!$J:$J,ROW()))))</f>
        <v/>
      </c>
      <c r="L695" s="8" t="str">
        <f>IF($A695="","",IF(ISNUMBER(SEARCH("Aktivitas Harian",INDEX(FORM!$K:$K,ROW()))),1,0))</f>
        <v/>
      </c>
      <c r="M695" s="8" t="str">
        <f>IF($A695="","",IF(ISNUMBER(SEARCH("Aktivitas Mingguan",INDEX(FORM!$K:$K,ROW()))),1,0))</f>
        <v/>
      </c>
      <c r="N695" s="8" t="str">
        <f>IF($A695="","",IF(ISNUMBER(SEARCH("Aktivitas Bulanan",INDEX(FORM!$K:$K,ROW()))),1,0))</f>
        <v/>
      </c>
      <c r="O695" s="8" t="str">
        <f>IF($A695="","",IF(ISNUMBER(SEARCH("Overview Cabang",INDEX(FORM!$K:$K,ROW()))),1,0))</f>
        <v/>
      </c>
      <c r="P695" s="8" t="str">
        <f>IF($A695="","",IFERROR(VLOOKUP(I695,DATA!$AH$9:$AI$13,2,0),""))</f>
        <v/>
      </c>
      <c r="Q695" s="8" t="str">
        <f>IF($A695="","",IFERROR(VLOOKUP(J695,DATA!$AH$9:$AI$13,2,0),""))</f>
        <v/>
      </c>
      <c r="R695" s="8" t="str">
        <f>IF($A695="","",IFERROR(VLOOKUP(K695,DATA!$AH$9:$AI$13,2,0),""))</f>
        <v/>
      </c>
      <c r="S695" s="42" t="str">
        <f t="shared" si="220"/>
        <v/>
      </c>
      <c r="T695" s="8" t="str">
        <f>IF($A695="","",IF(COUNTIF($D$2:D695,D695)=1,1,0))</f>
        <v/>
      </c>
      <c r="U695" s="8" t="str">
        <f>IF($A695="","",IF(F695="-","Cabang tdk ada",IF(IFERROR(VLOOKUP(G695,#REF!,1,0),"")="","",IF(INDEX(DATA!$AH$2:$AH$5,MATCH(G695,DATA!$AI$2:$AI$5,0))&lt;&gt;F695,"Wilayah beda","OK"))))</f>
        <v/>
      </c>
      <c r="V695" s="8" t="str">
        <f>IF($A695="","",TRIM(INDEX(FORM!$I:$I,ROW())&amp;""))</f>
        <v/>
      </c>
      <c r="W695" s="8" t="str">
        <f>IF($A695="","",TRIM(INDEX(FORM!$L:$L,ROW())&amp;""))</f>
        <v/>
      </c>
      <c r="X695" s="8" t="str">
        <f>IF($A695="","",TRIM(INDEX(FORM!$M:$M,ROW())&amp;""))</f>
        <v/>
      </c>
      <c r="Y695" s="8" t="str">
        <f>IF($A695="","",IFERROR(MATCH(F695,DATA!$AH$2:$AH$5,0),9)*10000+A695)</f>
        <v/>
      </c>
      <c r="Z695" s="8" t="str">
        <f t="shared" si="221"/>
        <v/>
      </c>
      <c r="AA695" s="8" t="str">
        <f t="shared" si="222"/>
        <v/>
      </c>
      <c r="AB695" s="8" t="str">
        <f t="shared" si="223"/>
        <v/>
      </c>
      <c r="AC695" s="8"/>
      <c r="AD695" s="8"/>
      <c r="AE695" s="8"/>
      <c r="AK695" s="5" t="str">
        <f t="shared" si="224"/>
        <v/>
      </c>
      <c r="AL695" s="5" t="str">
        <f t="shared" si="225"/>
        <v/>
      </c>
      <c r="AM695" s="5" t="str">
        <f t="shared" si="226"/>
        <v/>
      </c>
      <c r="AN695" s="5" t="str">
        <f t="shared" si="227"/>
        <v/>
      </c>
      <c r="AO695" s="5" t="str">
        <f t="shared" si="228"/>
        <v/>
      </c>
      <c r="AP695" s="5" t="str">
        <f t="shared" si="229"/>
        <v/>
      </c>
      <c r="AQ695" s="5" t="str">
        <f t="shared" si="230"/>
        <v/>
      </c>
      <c r="AR695" s="5" t="str">
        <f t="shared" si="231"/>
        <v/>
      </c>
      <c r="AS695" s="5" t="str">
        <f t="shared" si="232"/>
        <v/>
      </c>
      <c r="AT695" s="5" t="str">
        <f t="shared" si="233"/>
        <v/>
      </c>
      <c r="AU695" s="5" t="str">
        <f t="shared" si="234"/>
        <v/>
      </c>
      <c r="AV695" s="5" t="str">
        <f t="shared" si="235"/>
        <v/>
      </c>
      <c r="AW695" s="5" t="str">
        <f t="shared" si="236"/>
        <v/>
      </c>
      <c r="AX695" s="5" t="str">
        <f t="shared" si="237"/>
        <v/>
      </c>
      <c r="AY695" s="5" t="str">
        <f t="shared" si="238"/>
        <v/>
      </c>
      <c r="AZ695" s="5" t="str">
        <f t="shared" si="239"/>
        <v/>
      </c>
      <c r="BA695" s="5" t="str">
        <f t="shared" si="240"/>
        <v/>
      </c>
      <c r="BB695" s="5" t="str">
        <f t="shared" si="241"/>
        <v/>
      </c>
    </row>
    <row r="696" spans="1:54" s="5" customFormat="1" hidden="1">
      <c r="A696" s="8" t="str">
        <f>IF(INDEX(FORM!$A:$A,ROW())="","",ROW()-1)</f>
        <v/>
      </c>
      <c r="B696" s="41" t="str">
        <f>IF($A696="","",INDEX(FORM!$A:$A,ROW()))</f>
        <v/>
      </c>
      <c r="C696" s="8" t="str">
        <f>IF($A696="","",TRIM(INDEX(FORM!$B:$B,ROW())))</f>
        <v/>
      </c>
      <c r="D696" s="8" t="str">
        <f>IF($A696="","",TRIM(INDEX(FORM!$C:$C,ROW())&amp;""))</f>
        <v/>
      </c>
      <c r="E696" s="8" t="str">
        <f>IF($A696="","",UPPER(TRIM(INDEX(FORM!$D:$D,ROW()))))</f>
        <v/>
      </c>
      <c r="F696" s="8" t="str">
        <f>IF($A696="","",IFERROR(INDEX(PROGRES!$A$2:$A$92,MATCH(E696,PROGRES!$B$2:$B$92,0)),"-"))</f>
        <v/>
      </c>
      <c r="G696" s="8" t="str">
        <f>IF($A696="","",UPPER(TRIM(INDEX(FORM!$F:$F,ROW()))))</f>
        <v/>
      </c>
      <c r="H696" s="8" t="str">
        <f>IF($A696="","",UPPER(TRIM(INDEX(FORM!$E:$E,ROW()))))</f>
        <v/>
      </c>
      <c r="I696" s="8" t="str">
        <f>IF($A696="","",UPPER(TRIM(INDEX(FORM!$G:$G,ROW()))))</f>
        <v/>
      </c>
      <c r="J696" s="8" t="str">
        <f>IF($A696="","",IF(ISNUMBER(SEARCH("Ya,",INDEX(FORM!$H:$H,ROW()))),"YA",IF(ISNUMBER(SEARCH("Cukup,",INDEX(FORM!$H:$H,ROW()))),"CUKUP",IF(ISNUMBER(SEARCH("Kurang,",INDEX(FORM!$H:$H,ROW()))),"KURANG",""))))</f>
        <v/>
      </c>
      <c r="K696" s="8" t="str">
        <f>IF($A696="","",UPPER(TRIM(INDEX(FORM!$J:$J,ROW()))))</f>
        <v/>
      </c>
      <c r="L696" s="8" t="str">
        <f>IF($A696="","",IF(ISNUMBER(SEARCH("Aktivitas Harian",INDEX(FORM!$K:$K,ROW()))),1,0))</f>
        <v/>
      </c>
      <c r="M696" s="8" t="str">
        <f>IF($A696="","",IF(ISNUMBER(SEARCH("Aktivitas Mingguan",INDEX(FORM!$K:$K,ROW()))),1,0))</f>
        <v/>
      </c>
      <c r="N696" s="8" t="str">
        <f>IF($A696="","",IF(ISNUMBER(SEARCH("Aktivitas Bulanan",INDEX(FORM!$K:$K,ROW()))),1,0))</f>
        <v/>
      </c>
      <c r="O696" s="8" t="str">
        <f>IF($A696="","",IF(ISNUMBER(SEARCH("Overview Cabang",INDEX(FORM!$K:$K,ROW()))),1,0))</f>
        <v/>
      </c>
      <c r="P696" s="8" t="str">
        <f>IF($A696="","",IFERROR(VLOOKUP(I696,DATA!$AH$9:$AI$13,2,0),""))</f>
        <v/>
      </c>
      <c r="Q696" s="8" t="str">
        <f>IF($A696="","",IFERROR(VLOOKUP(J696,DATA!$AH$9:$AI$13,2,0),""))</f>
        <v/>
      </c>
      <c r="R696" s="8" t="str">
        <f>IF($A696="","",IFERROR(VLOOKUP(K696,DATA!$AH$9:$AI$13,2,0),""))</f>
        <v/>
      </c>
      <c r="S696" s="42" t="str">
        <f t="shared" si="220"/>
        <v/>
      </c>
      <c r="T696" s="8" t="str">
        <f>IF($A696="","",IF(COUNTIF($D$2:D696,D696)=1,1,0))</f>
        <v/>
      </c>
      <c r="U696" s="8" t="str">
        <f>IF($A696="","",IF(F696="-","Cabang tdk ada",IF(IFERROR(VLOOKUP(G696,#REF!,1,0),"")="","",IF(INDEX(DATA!$AH$2:$AH$5,MATCH(G696,DATA!$AI$2:$AI$5,0))&lt;&gt;F696,"Wilayah beda","OK"))))</f>
        <v/>
      </c>
      <c r="V696" s="8" t="str">
        <f>IF($A696="","",TRIM(INDEX(FORM!$I:$I,ROW())&amp;""))</f>
        <v/>
      </c>
      <c r="W696" s="8" t="str">
        <f>IF($A696="","",TRIM(INDEX(FORM!$L:$L,ROW())&amp;""))</f>
        <v/>
      </c>
      <c r="X696" s="8" t="str">
        <f>IF($A696="","",TRIM(INDEX(FORM!$M:$M,ROW())&amp;""))</f>
        <v/>
      </c>
      <c r="Y696" s="8" t="str">
        <f>IF($A696="","",IFERROR(MATCH(F696,DATA!$AH$2:$AH$5,0),9)*10000+A696)</f>
        <v/>
      </c>
      <c r="Z696" s="8" t="str">
        <f t="shared" si="221"/>
        <v/>
      </c>
      <c r="AA696" s="8" t="str">
        <f t="shared" si="222"/>
        <v/>
      </c>
      <c r="AB696" s="8" t="str">
        <f t="shared" si="223"/>
        <v/>
      </c>
      <c r="AC696" s="8"/>
      <c r="AD696" s="8"/>
      <c r="AE696" s="8"/>
      <c r="AK696" s="5" t="str">
        <f t="shared" si="224"/>
        <v/>
      </c>
      <c r="AL696" s="5" t="str">
        <f t="shared" si="225"/>
        <v/>
      </c>
      <c r="AM696" s="5" t="str">
        <f t="shared" si="226"/>
        <v/>
      </c>
      <c r="AN696" s="5" t="str">
        <f t="shared" si="227"/>
        <v/>
      </c>
      <c r="AO696" s="5" t="str">
        <f t="shared" si="228"/>
        <v/>
      </c>
      <c r="AP696" s="5" t="str">
        <f t="shared" si="229"/>
        <v/>
      </c>
      <c r="AQ696" s="5" t="str">
        <f t="shared" si="230"/>
        <v/>
      </c>
      <c r="AR696" s="5" t="str">
        <f t="shared" si="231"/>
        <v/>
      </c>
      <c r="AS696" s="5" t="str">
        <f t="shared" si="232"/>
        <v/>
      </c>
      <c r="AT696" s="5" t="str">
        <f t="shared" si="233"/>
        <v/>
      </c>
      <c r="AU696" s="5" t="str">
        <f t="shared" si="234"/>
        <v/>
      </c>
      <c r="AV696" s="5" t="str">
        <f t="shared" si="235"/>
        <v/>
      </c>
      <c r="AW696" s="5" t="str">
        <f t="shared" si="236"/>
        <v/>
      </c>
      <c r="AX696" s="5" t="str">
        <f t="shared" si="237"/>
        <v/>
      </c>
      <c r="AY696" s="5" t="str">
        <f t="shared" si="238"/>
        <v/>
      </c>
      <c r="AZ696" s="5" t="str">
        <f t="shared" si="239"/>
        <v/>
      </c>
      <c r="BA696" s="5" t="str">
        <f t="shared" si="240"/>
        <v/>
      </c>
      <c r="BB696" s="5" t="str">
        <f t="shared" si="241"/>
        <v/>
      </c>
    </row>
    <row r="697" spans="1:54" s="5" customFormat="1" hidden="1">
      <c r="A697" s="8" t="str">
        <f>IF(INDEX(FORM!$A:$A,ROW())="","",ROW()-1)</f>
        <v/>
      </c>
      <c r="B697" s="41" t="str">
        <f>IF($A697="","",INDEX(FORM!$A:$A,ROW()))</f>
        <v/>
      </c>
      <c r="C697" s="8" t="str">
        <f>IF($A697="","",TRIM(INDEX(FORM!$B:$B,ROW())))</f>
        <v/>
      </c>
      <c r="D697" s="8" t="str">
        <f>IF($A697="","",TRIM(INDEX(FORM!$C:$C,ROW())&amp;""))</f>
        <v/>
      </c>
      <c r="E697" s="8" t="str">
        <f>IF($A697="","",UPPER(TRIM(INDEX(FORM!$D:$D,ROW()))))</f>
        <v/>
      </c>
      <c r="F697" s="8" t="str">
        <f>IF($A697="","",IFERROR(INDEX(PROGRES!$A$2:$A$92,MATCH(E697,PROGRES!$B$2:$B$92,0)),"-"))</f>
        <v/>
      </c>
      <c r="G697" s="8" t="str">
        <f>IF($A697="","",UPPER(TRIM(INDEX(FORM!$F:$F,ROW()))))</f>
        <v/>
      </c>
      <c r="H697" s="8" t="str">
        <f>IF($A697="","",UPPER(TRIM(INDEX(FORM!$E:$E,ROW()))))</f>
        <v/>
      </c>
      <c r="I697" s="8" t="str">
        <f>IF($A697="","",UPPER(TRIM(INDEX(FORM!$G:$G,ROW()))))</f>
        <v/>
      </c>
      <c r="J697" s="8" t="str">
        <f>IF($A697="","",IF(ISNUMBER(SEARCH("Ya,",INDEX(FORM!$H:$H,ROW()))),"YA",IF(ISNUMBER(SEARCH("Cukup,",INDEX(FORM!$H:$H,ROW()))),"CUKUP",IF(ISNUMBER(SEARCH("Kurang,",INDEX(FORM!$H:$H,ROW()))),"KURANG",""))))</f>
        <v/>
      </c>
      <c r="K697" s="8" t="str">
        <f>IF($A697="","",UPPER(TRIM(INDEX(FORM!$J:$J,ROW()))))</f>
        <v/>
      </c>
      <c r="L697" s="8" t="str">
        <f>IF($A697="","",IF(ISNUMBER(SEARCH("Aktivitas Harian",INDEX(FORM!$K:$K,ROW()))),1,0))</f>
        <v/>
      </c>
      <c r="M697" s="8" t="str">
        <f>IF($A697="","",IF(ISNUMBER(SEARCH("Aktivitas Mingguan",INDEX(FORM!$K:$K,ROW()))),1,0))</f>
        <v/>
      </c>
      <c r="N697" s="8" t="str">
        <f>IF($A697="","",IF(ISNUMBER(SEARCH("Aktivitas Bulanan",INDEX(FORM!$K:$K,ROW()))),1,0))</f>
        <v/>
      </c>
      <c r="O697" s="8" t="str">
        <f>IF($A697="","",IF(ISNUMBER(SEARCH("Overview Cabang",INDEX(FORM!$K:$K,ROW()))),1,0))</f>
        <v/>
      </c>
      <c r="P697" s="8" t="str">
        <f>IF($A697="","",IFERROR(VLOOKUP(I697,DATA!$AH$9:$AI$13,2,0),""))</f>
        <v/>
      </c>
      <c r="Q697" s="8" t="str">
        <f>IF($A697="","",IFERROR(VLOOKUP(J697,DATA!$AH$9:$AI$13,2,0),""))</f>
        <v/>
      </c>
      <c r="R697" s="8" t="str">
        <f>IF($A697="","",IFERROR(VLOOKUP(K697,DATA!$AH$9:$AI$13,2,0),""))</f>
        <v/>
      </c>
      <c r="S697" s="42" t="str">
        <f t="shared" si="220"/>
        <v/>
      </c>
      <c r="T697" s="8" t="str">
        <f>IF($A697="","",IF(COUNTIF($D$2:D697,D697)=1,1,0))</f>
        <v/>
      </c>
      <c r="U697" s="8" t="str">
        <f>IF($A697="","",IF(F697="-","Cabang tdk ada",IF(IFERROR(VLOOKUP(G697,#REF!,1,0),"")="","",IF(INDEX(DATA!$AH$2:$AH$5,MATCH(G697,DATA!$AI$2:$AI$5,0))&lt;&gt;F697,"Wilayah beda","OK"))))</f>
        <v/>
      </c>
      <c r="V697" s="8" t="str">
        <f>IF($A697="","",TRIM(INDEX(FORM!$I:$I,ROW())&amp;""))</f>
        <v/>
      </c>
      <c r="W697" s="8" t="str">
        <f>IF($A697="","",TRIM(INDEX(FORM!$L:$L,ROW())&amp;""))</f>
        <v/>
      </c>
      <c r="X697" s="8" t="str">
        <f>IF($A697="","",TRIM(INDEX(FORM!$M:$M,ROW())&amp;""))</f>
        <v/>
      </c>
      <c r="Y697" s="8" t="str">
        <f>IF($A697="","",IFERROR(MATCH(F697,DATA!$AH$2:$AH$5,0),9)*10000+A697)</f>
        <v/>
      </c>
      <c r="Z697" s="8" t="str">
        <f t="shared" si="221"/>
        <v/>
      </c>
      <c r="AA697" s="8" t="str">
        <f t="shared" si="222"/>
        <v/>
      </c>
      <c r="AB697" s="8" t="str">
        <f t="shared" si="223"/>
        <v/>
      </c>
      <c r="AC697" s="8"/>
      <c r="AD697" s="8"/>
      <c r="AE697" s="8"/>
      <c r="AK697" s="5" t="str">
        <f t="shared" si="224"/>
        <v/>
      </c>
      <c r="AL697" s="5" t="str">
        <f t="shared" si="225"/>
        <v/>
      </c>
      <c r="AM697" s="5" t="str">
        <f t="shared" si="226"/>
        <v/>
      </c>
      <c r="AN697" s="5" t="str">
        <f t="shared" si="227"/>
        <v/>
      </c>
      <c r="AO697" s="5" t="str">
        <f t="shared" si="228"/>
        <v/>
      </c>
      <c r="AP697" s="5" t="str">
        <f t="shared" si="229"/>
        <v/>
      </c>
      <c r="AQ697" s="5" t="str">
        <f t="shared" si="230"/>
        <v/>
      </c>
      <c r="AR697" s="5" t="str">
        <f t="shared" si="231"/>
        <v/>
      </c>
      <c r="AS697" s="5" t="str">
        <f t="shared" si="232"/>
        <v/>
      </c>
      <c r="AT697" s="5" t="str">
        <f t="shared" si="233"/>
        <v/>
      </c>
      <c r="AU697" s="5" t="str">
        <f t="shared" si="234"/>
        <v/>
      </c>
      <c r="AV697" s="5" t="str">
        <f t="shared" si="235"/>
        <v/>
      </c>
      <c r="AW697" s="5" t="str">
        <f t="shared" si="236"/>
        <v/>
      </c>
      <c r="AX697" s="5" t="str">
        <f t="shared" si="237"/>
        <v/>
      </c>
      <c r="AY697" s="5" t="str">
        <f t="shared" si="238"/>
        <v/>
      </c>
      <c r="AZ697" s="5" t="str">
        <f t="shared" si="239"/>
        <v/>
      </c>
      <c r="BA697" s="5" t="str">
        <f t="shared" si="240"/>
        <v/>
      </c>
      <c r="BB697" s="5" t="str">
        <f t="shared" si="241"/>
        <v/>
      </c>
    </row>
    <row r="698" spans="1:54" s="5" customFormat="1" hidden="1">
      <c r="A698" s="8" t="str">
        <f>IF(INDEX(FORM!$A:$A,ROW())="","",ROW()-1)</f>
        <v/>
      </c>
      <c r="B698" s="41" t="str">
        <f>IF($A698="","",INDEX(FORM!$A:$A,ROW()))</f>
        <v/>
      </c>
      <c r="C698" s="8" t="str">
        <f>IF($A698="","",TRIM(INDEX(FORM!$B:$B,ROW())))</f>
        <v/>
      </c>
      <c r="D698" s="8" t="str">
        <f>IF($A698="","",TRIM(INDEX(FORM!$C:$C,ROW())&amp;""))</f>
        <v/>
      </c>
      <c r="E698" s="8" t="str">
        <f>IF($A698="","",UPPER(TRIM(INDEX(FORM!$D:$D,ROW()))))</f>
        <v/>
      </c>
      <c r="F698" s="8" t="str">
        <f>IF($A698="","",IFERROR(INDEX(PROGRES!$A$2:$A$92,MATCH(E698,PROGRES!$B$2:$B$92,0)),"-"))</f>
        <v/>
      </c>
      <c r="G698" s="8" t="str">
        <f>IF($A698="","",UPPER(TRIM(INDEX(FORM!$F:$F,ROW()))))</f>
        <v/>
      </c>
      <c r="H698" s="8" t="str">
        <f>IF($A698="","",UPPER(TRIM(INDEX(FORM!$E:$E,ROW()))))</f>
        <v/>
      </c>
      <c r="I698" s="8" t="str">
        <f>IF($A698="","",UPPER(TRIM(INDEX(FORM!$G:$G,ROW()))))</f>
        <v/>
      </c>
      <c r="J698" s="8" t="str">
        <f>IF($A698="","",IF(ISNUMBER(SEARCH("Ya,",INDEX(FORM!$H:$H,ROW()))),"YA",IF(ISNUMBER(SEARCH("Cukup,",INDEX(FORM!$H:$H,ROW()))),"CUKUP",IF(ISNUMBER(SEARCH("Kurang,",INDEX(FORM!$H:$H,ROW()))),"KURANG",""))))</f>
        <v/>
      </c>
      <c r="K698" s="8" t="str">
        <f>IF($A698="","",UPPER(TRIM(INDEX(FORM!$J:$J,ROW()))))</f>
        <v/>
      </c>
      <c r="L698" s="8" t="str">
        <f>IF($A698="","",IF(ISNUMBER(SEARCH("Aktivitas Harian",INDEX(FORM!$K:$K,ROW()))),1,0))</f>
        <v/>
      </c>
      <c r="M698" s="8" t="str">
        <f>IF($A698="","",IF(ISNUMBER(SEARCH("Aktivitas Mingguan",INDEX(FORM!$K:$K,ROW()))),1,0))</f>
        <v/>
      </c>
      <c r="N698" s="8" t="str">
        <f>IF($A698="","",IF(ISNUMBER(SEARCH("Aktivitas Bulanan",INDEX(FORM!$K:$K,ROW()))),1,0))</f>
        <v/>
      </c>
      <c r="O698" s="8" t="str">
        <f>IF($A698="","",IF(ISNUMBER(SEARCH("Overview Cabang",INDEX(FORM!$K:$K,ROW()))),1,0))</f>
        <v/>
      </c>
      <c r="P698" s="8" t="str">
        <f>IF($A698="","",IFERROR(VLOOKUP(I698,DATA!$AH$9:$AI$13,2,0),""))</f>
        <v/>
      </c>
      <c r="Q698" s="8" t="str">
        <f>IF($A698="","",IFERROR(VLOOKUP(J698,DATA!$AH$9:$AI$13,2,0),""))</f>
        <v/>
      </c>
      <c r="R698" s="8" t="str">
        <f>IF($A698="","",IFERROR(VLOOKUP(K698,DATA!$AH$9:$AI$13,2,0),""))</f>
        <v/>
      </c>
      <c r="S698" s="42" t="str">
        <f t="shared" si="220"/>
        <v/>
      </c>
      <c r="T698" s="8" t="str">
        <f>IF($A698="","",IF(COUNTIF($D$2:D698,D698)=1,1,0))</f>
        <v/>
      </c>
      <c r="U698" s="8" t="str">
        <f>IF($A698="","",IF(F698="-","Cabang tdk ada",IF(IFERROR(VLOOKUP(G698,#REF!,1,0),"")="","",IF(INDEX(DATA!$AH$2:$AH$5,MATCH(G698,DATA!$AI$2:$AI$5,0))&lt;&gt;F698,"Wilayah beda","OK"))))</f>
        <v/>
      </c>
      <c r="V698" s="8" t="str">
        <f>IF($A698="","",TRIM(INDEX(FORM!$I:$I,ROW())&amp;""))</f>
        <v/>
      </c>
      <c r="W698" s="8" t="str">
        <f>IF($A698="","",TRIM(INDEX(FORM!$L:$L,ROW())&amp;""))</f>
        <v/>
      </c>
      <c r="X698" s="8" t="str">
        <f>IF($A698="","",TRIM(INDEX(FORM!$M:$M,ROW())&amp;""))</f>
        <v/>
      </c>
      <c r="Y698" s="8" t="str">
        <f>IF($A698="","",IFERROR(MATCH(F698,DATA!$AH$2:$AH$5,0),9)*10000+A698)</f>
        <v/>
      </c>
      <c r="Z698" s="8" t="str">
        <f t="shared" si="221"/>
        <v/>
      </c>
      <c r="AA698" s="8" t="str">
        <f t="shared" si="222"/>
        <v/>
      </c>
      <c r="AB698" s="8" t="str">
        <f t="shared" si="223"/>
        <v/>
      </c>
      <c r="AC698" s="8"/>
      <c r="AD698" s="8"/>
      <c r="AE698" s="8"/>
      <c r="AK698" s="5" t="str">
        <f t="shared" si="224"/>
        <v/>
      </c>
      <c r="AL698" s="5" t="str">
        <f t="shared" si="225"/>
        <v/>
      </c>
      <c r="AM698" s="5" t="str">
        <f t="shared" si="226"/>
        <v/>
      </c>
      <c r="AN698" s="5" t="str">
        <f t="shared" si="227"/>
        <v/>
      </c>
      <c r="AO698" s="5" t="str">
        <f t="shared" si="228"/>
        <v/>
      </c>
      <c r="AP698" s="5" t="str">
        <f t="shared" si="229"/>
        <v/>
      </c>
      <c r="AQ698" s="5" t="str">
        <f t="shared" si="230"/>
        <v/>
      </c>
      <c r="AR698" s="5" t="str">
        <f t="shared" si="231"/>
        <v/>
      </c>
      <c r="AS698" s="5" t="str">
        <f t="shared" si="232"/>
        <v/>
      </c>
      <c r="AT698" s="5" t="str">
        <f t="shared" si="233"/>
        <v/>
      </c>
      <c r="AU698" s="5" t="str">
        <f t="shared" si="234"/>
        <v/>
      </c>
      <c r="AV698" s="5" t="str">
        <f t="shared" si="235"/>
        <v/>
      </c>
      <c r="AW698" s="5" t="str">
        <f t="shared" si="236"/>
        <v/>
      </c>
      <c r="AX698" s="5" t="str">
        <f t="shared" si="237"/>
        <v/>
      </c>
      <c r="AY698" s="5" t="str">
        <f t="shared" si="238"/>
        <v/>
      </c>
      <c r="AZ698" s="5" t="str">
        <f t="shared" si="239"/>
        <v/>
      </c>
      <c r="BA698" s="5" t="str">
        <f t="shared" si="240"/>
        <v/>
      </c>
      <c r="BB698" s="5" t="str">
        <f t="shared" si="241"/>
        <v/>
      </c>
    </row>
    <row r="699" spans="1:54" s="5" customFormat="1" hidden="1">
      <c r="A699" s="8" t="str">
        <f>IF(INDEX(FORM!$A:$A,ROW())="","",ROW()-1)</f>
        <v/>
      </c>
      <c r="B699" s="41" t="str">
        <f>IF($A699="","",INDEX(FORM!$A:$A,ROW()))</f>
        <v/>
      </c>
      <c r="C699" s="8" t="str">
        <f>IF($A699="","",TRIM(INDEX(FORM!$B:$B,ROW())))</f>
        <v/>
      </c>
      <c r="D699" s="8" t="str">
        <f>IF($A699="","",TRIM(INDEX(FORM!$C:$C,ROW())&amp;""))</f>
        <v/>
      </c>
      <c r="E699" s="8" t="str">
        <f>IF($A699="","",UPPER(TRIM(INDEX(FORM!$D:$D,ROW()))))</f>
        <v/>
      </c>
      <c r="F699" s="8" t="str">
        <f>IF($A699="","",IFERROR(INDEX(PROGRES!$A$2:$A$92,MATCH(E699,PROGRES!$B$2:$B$92,0)),"-"))</f>
        <v/>
      </c>
      <c r="G699" s="8" t="str">
        <f>IF($A699="","",UPPER(TRIM(INDEX(FORM!$F:$F,ROW()))))</f>
        <v/>
      </c>
      <c r="H699" s="8" t="str">
        <f>IF($A699="","",UPPER(TRIM(INDEX(FORM!$E:$E,ROW()))))</f>
        <v/>
      </c>
      <c r="I699" s="8" t="str">
        <f>IF($A699="","",UPPER(TRIM(INDEX(FORM!$G:$G,ROW()))))</f>
        <v/>
      </c>
      <c r="J699" s="8" t="str">
        <f>IF($A699="","",IF(ISNUMBER(SEARCH("Ya,",INDEX(FORM!$H:$H,ROW()))),"YA",IF(ISNUMBER(SEARCH("Cukup,",INDEX(FORM!$H:$H,ROW()))),"CUKUP",IF(ISNUMBER(SEARCH("Kurang,",INDEX(FORM!$H:$H,ROW()))),"KURANG",""))))</f>
        <v/>
      </c>
      <c r="K699" s="8" t="str">
        <f>IF($A699="","",UPPER(TRIM(INDEX(FORM!$J:$J,ROW()))))</f>
        <v/>
      </c>
      <c r="L699" s="8" t="str">
        <f>IF($A699="","",IF(ISNUMBER(SEARCH("Aktivitas Harian",INDEX(FORM!$K:$K,ROW()))),1,0))</f>
        <v/>
      </c>
      <c r="M699" s="8" t="str">
        <f>IF($A699="","",IF(ISNUMBER(SEARCH("Aktivitas Mingguan",INDEX(FORM!$K:$K,ROW()))),1,0))</f>
        <v/>
      </c>
      <c r="N699" s="8" t="str">
        <f>IF($A699="","",IF(ISNUMBER(SEARCH("Aktivitas Bulanan",INDEX(FORM!$K:$K,ROW()))),1,0))</f>
        <v/>
      </c>
      <c r="O699" s="8" t="str">
        <f>IF($A699="","",IF(ISNUMBER(SEARCH("Overview Cabang",INDEX(FORM!$K:$K,ROW()))),1,0))</f>
        <v/>
      </c>
      <c r="P699" s="8" t="str">
        <f>IF($A699="","",IFERROR(VLOOKUP(I699,DATA!$AH$9:$AI$13,2,0),""))</f>
        <v/>
      </c>
      <c r="Q699" s="8" t="str">
        <f>IF($A699="","",IFERROR(VLOOKUP(J699,DATA!$AH$9:$AI$13,2,0),""))</f>
        <v/>
      </c>
      <c r="R699" s="8" t="str">
        <f>IF($A699="","",IFERROR(VLOOKUP(K699,DATA!$AH$9:$AI$13,2,0),""))</f>
        <v/>
      </c>
      <c r="S699" s="42" t="str">
        <f t="shared" si="220"/>
        <v/>
      </c>
      <c r="T699" s="8" t="str">
        <f>IF($A699="","",IF(COUNTIF($D$2:D699,D699)=1,1,0))</f>
        <v/>
      </c>
      <c r="U699" s="8" t="str">
        <f>IF($A699="","",IF(F699="-","Cabang tdk ada",IF(IFERROR(VLOOKUP(G699,#REF!,1,0),"")="","",IF(INDEX(DATA!$AH$2:$AH$5,MATCH(G699,DATA!$AI$2:$AI$5,0))&lt;&gt;F699,"Wilayah beda","OK"))))</f>
        <v/>
      </c>
      <c r="V699" s="8" t="str">
        <f>IF($A699="","",TRIM(INDEX(FORM!$I:$I,ROW())&amp;""))</f>
        <v/>
      </c>
      <c r="W699" s="8" t="str">
        <f>IF($A699="","",TRIM(INDEX(FORM!$L:$L,ROW())&amp;""))</f>
        <v/>
      </c>
      <c r="X699" s="8" t="str">
        <f>IF($A699="","",TRIM(INDEX(FORM!$M:$M,ROW())&amp;""))</f>
        <v/>
      </c>
      <c r="Y699" s="8" t="str">
        <f>IF($A699="","",IFERROR(MATCH(F699,DATA!$AH$2:$AH$5,0),9)*10000+A699)</f>
        <v/>
      </c>
      <c r="Z699" s="8" t="str">
        <f t="shared" si="221"/>
        <v/>
      </c>
      <c r="AA699" s="8" t="str">
        <f t="shared" si="222"/>
        <v/>
      </c>
      <c r="AB699" s="8" t="str">
        <f t="shared" si="223"/>
        <v/>
      </c>
      <c r="AC699" s="8"/>
      <c r="AD699" s="8"/>
      <c r="AE699" s="8"/>
      <c r="AK699" s="5" t="str">
        <f t="shared" si="224"/>
        <v/>
      </c>
      <c r="AL699" s="5" t="str">
        <f t="shared" si="225"/>
        <v/>
      </c>
      <c r="AM699" s="5" t="str">
        <f t="shared" si="226"/>
        <v/>
      </c>
      <c r="AN699" s="5" t="str">
        <f t="shared" si="227"/>
        <v/>
      </c>
      <c r="AO699" s="5" t="str">
        <f t="shared" si="228"/>
        <v/>
      </c>
      <c r="AP699" s="5" t="str">
        <f t="shared" si="229"/>
        <v/>
      </c>
      <c r="AQ699" s="5" t="str">
        <f t="shared" si="230"/>
        <v/>
      </c>
      <c r="AR699" s="5" t="str">
        <f t="shared" si="231"/>
        <v/>
      </c>
      <c r="AS699" s="5" t="str">
        <f t="shared" si="232"/>
        <v/>
      </c>
      <c r="AT699" s="5" t="str">
        <f t="shared" si="233"/>
        <v/>
      </c>
      <c r="AU699" s="5" t="str">
        <f t="shared" si="234"/>
        <v/>
      </c>
      <c r="AV699" s="5" t="str">
        <f t="shared" si="235"/>
        <v/>
      </c>
      <c r="AW699" s="5" t="str">
        <f t="shared" si="236"/>
        <v/>
      </c>
      <c r="AX699" s="5" t="str">
        <f t="shared" si="237"/>
        <v/>
      </c>
      <c r="AY699" s="5" t="str">
        <f t="shared" si="238"/>
        <v/>
      </c>
      <c r="AZ699" s="5" t="str">
        <f t="shared" si="239"/>
        <v/>
      </c>
      <c r="BA699" s="5" t="str">
        <f t="shared" si="240"/>
        <v/>
      </c>
      <c r="BB699" s="5" t="str">
        <f t="shared" si="241"/>
        <v/>
      </c>
    </row>
    <row r="700" spans="1:54" s="5" customFormat="1" hidden="1">
      <c r="A700" s="8" t="str">
        <f>IF(INDEX(FORM!$A:$A,ROW())="","",ROW()-1)</f>
        <v/>
      </c>
      <c r="B700" s="41" t="str">
        <f>IF($A700="","",INDEX(FORM!$A:$A,ROW()))</f>
        <v/>
      </c>
      <c r="C700" s="8" t="str">
        <f>IF($A700="","",TRIM(INDEX(FORM!$B:$B,ROW())))</f>
        <v/>
      </c>
      <c r="D700" s="8" t="str">
        <f>IF($A700="","",TRIM(INDEX(FORM!$C:$C,ROW())&amp;""))</f>
        <v/>
      </c>
      <c r="E700" s="8" t="str">
        <f>IF($A700="","",UPPER(TRIM(INDEX(FORM!$D:$D,ROW()))))</f>
        <v/>
      </c>
      <c r="F700" s="8" t="str">
        <f>IF($A700="","",IFERROR(INDEX(PROGRES!$A$2:$A$92,MATCH(E700,PROGRES!$B$2:$B$92,0)),"-"))</f>
        <v/>
      </c>
      <c r="G700" s="8" t="str">
        <f>IF($A700="","",UPPER(TRIM(INDEX(FORM!$F:$F,ROW()))))</f>
        <v/>
      </c>
      <c r="H700" s="8" t="str">
        <f>IF($A700="","",UPPER(TRIM(INDEX(FORM!$E:$E,ROW()))))</f>
        <v/>
      </c>
      <c r="I700" s="8" t="str">
        <f>IF($A700="","",UPPER(TRIM(INDEX(FORM!$G:$G,ROW()))))</f>
        <v/>
      </c>
      <c r="J700" s="8" t="str">
        <f>IF($A700="","",IF(ISNUMBER(SEARCH("Ya,",INDEX(FORM!$H:$H,ROW()))),"YA",IF(ISNUMBER(SEARCH("Cukup,",INDEX(FORM!$H:$H,ROW()))),"CUKUP",IF(ISNUMBER(SEARCH("Kurang,",INDEX(FORM!$H:$H,ROW()))),"KURANG",""))))</f>
        <v/>
      </c>
      <c r="K700" s="8" t="str">
        <f>IF($A700="","",UPPER(TRIM(INDEX(FORM!$J:$J,ROW()))))</f>
        <v/>
      </c>
      <c r="L700" s="8" t="str">
        <f>IF($A700="","",IF(ISNUMBER(SEARCH("Aktivitas Harian",INDEX(FORM!$K:$K,ROW()))),1,0))</f>
        <v/>
      </c>
      <c r="M700" s="8" t="str">
        <f>IF($A700="","",IF(ISNUMBER(SEARCH("Aktivitas Mingguan",INDEX(FORM!$K:$K,ROW()))),1,0))</f>
        <v/>
      </c>
      <c r="N700" s="8" t="str">
        <f>IF($A700="","",IF(ISNUMBER(SEARCH("Aktivitas Bulanan",INDEX(FORM!$K:$K,ROW()))),1,0))</f>
        <v/>
      </c>
      <c r="O700" s="8" t="str">
        <f>IF($A700="","",IF(ISNUMBER(SEARCH("Overview Cabang",INDEX(FORM!$K:$K,ROW()))),1,0))</f>
        <v/>
      </c>
      <c r="P700" s="8" t="str">
        <f>IF($A700="","",IFERROR(VLOOKUP(I700,DATA!$AH$9:$AI$13,2,0),""))</f>
        <v/>
      </c>
      <c r="Q700" s="8" t="str">
        <f>IF($A700="","",IFERROR(VLOOKUP(J700,DATA!$AH$9:$AI$13,2,0),""))</f>
        <v/>
      </c>
      <c r="R700" s="8" t="str">
        <f>IF($A700="","",IFERROR(VLOOKUP(K700,DATA!$AH$9:$AI$13,2,0),""))</f>
        <v/>
      </c>
      <c r="S700" s="42" t="str">
        <f t="shared" si="220"/>
        <v/>
      </c>
      <c r="T700" s="8" t="str">
        <f>IF($A700="","",IF(COUNTIF($D$2:D700,D700)=1,1,0))</f>
        <v/>
      </c>
      <c r="U700" s="8" t="str">
        <f>IF($A700="","",IF(F700="-","Cabang tdk ada",IF(IFERROR(VLOOKUP(G700,#REF!,1,0),"")="","",IF(INDEX(DATA!$AH$2:$AH$5,MATCH(G700,DATA!$AI$2:$AI$5,0))&lt;&gt;F700,"Wilayah beda","OK"))))</f>
        <v/>
      </c>
      <c r="V700" s="8" t="str">
        <f>IF($A700="","",TRIM(INDEX(FORM!$I:$I,ROW())&amp;""))</f>
        <v/>
      </c>
      <c r="W700" s="8" t="str">
        <f>IF($A700="","",TRIM(INDEX(FORM!$L:$L,ROW())&amp;""))</f>
        <v/>
      </c>
      <c r="X700" s="8" t="str">
        <f>IF($A700="","",TRIM(INDEX(FORM!$M:$M,ROW())&amp;""))</f>
        <v/>
      </c>
      <c r="Y700" s="8" t="str">
        <f>IF($A700="","",IFERROR(MATCH(F700,DATA!$AH$2:$AH$5,0),9)*10000+A700)</f>
        <v/>
      </c>
      <c r="Z700" s="8" t="str">
        <f t="shared" si="221"/>
        <v/>
      </c>
      <c r="AA700" s="8" t="str">
        <f t="shared" si="222"/>
        <v/>
      </c>
      <c r="AB700" s="8" t="str">
        <f t="shared" si="223"/>
        <v/>
      </c>
      <c r="AC700" s="8"/>
      <c r="AD700" s="8"/>
      <c r="AE700" s="8"/>
      <c r="AK700" s="5" t="str">
        <f t="shared" si="224"/>
        <v/>
      </c>
      <c r="AL700" s="5" t="str">
        <f t="shared" si="225"/>
        <v/>
      </c>
      <c r="AM700" s="5" t="str">
        <f t="shared" si="226"/>
        <v/>
      </c>
      <c r="AN700" s="5" t="str">
        <f t="shared" si="227"/>
        <v/>
      </c>
      <c r="AO700" s="5" t="str">
        <f t="shared" si="228"/>
        <v/>
      </c>
      <c r="AP700" s="5" t="str">
        <f t="shared" si="229"/>
        <v/>
      </c>
      <c r="AQ700" s="5" t="str">
        <f t="shared" si="230"/>
        <v/>
      </c>
      <c r="AR700" s="5" t="str">
        <f t="shared" si="231"/>
        <v/>
      </c>
      <c r="AS700" s="5" t="str">
        <f t="shared" si="232"/>
        <v/>
      </c>
      <c r="AT700" s="5" t="str">
        <f t="shared" si="233"/>
        <v/>
      </c>
      <c r="AU700" s="5" t="str">
        <f t="shared" si="234"/>
        <v/>
      </c>
      <c r="AV700" s="5" t="str">
        <f t="shared" si="235"/>
        <v/>
      </c>
      <c r="AW700" s="5" t="str">
        <f t="shared" si="236"/>
        <v/>
      </c>
      <c r="AX700" s="5" t="str">
        <f t="shared" si="237"/>
        <v/>
      </c>
      <c r="AY700" s="5" t="str">
        <f t="shared" si="238"/>
        <v/>
      </c>
      <c r="AZ700" s="5" t="str">
        <f t="shared" si="239"/>
        <v/>
      </c>
      <c r="BA700" s="5" t="str">
        <f t="shared" si="240"/>
        <v/>
      </c>
      <c r="BB700" s="5" t="str">
        <f t="shared" si="241"/>
        <v/>
      </c>
    </row>
    <row r="701" spans="1:54" s="5" customFormat="1" hidden="1">
      <c r="A701" s="8" t="str">
        <f>IF(INDEX(FORM!$A:$A,ROW())="","",ROW()-1)</f>
        <v/>
      </c>
      <c r="B701" s="41" t="str">
        <f>IF($A701="","",INDEX(FORM!$A:$A,ROW()))</f>
        <v/>
      </c>
      <c r="C701" s="8" t="str">
        <f>IF($A701="","",TRIM(INDEX(FORM!$B:$B,ROW())))</f>
        <v/>
      </c>
      <c r="D701" s="8" t="str">
        <f>IF($A701="","",TRIM(INDEX(FORM!$C:$C,ROW())&amp;""))</f>
        <v/>
      </c>
      <c r="E701" s="8" t="str">
        <f>IF($A701="","",UPPER(TRIM(INDEX(FORM!$D:$D,ROW()))))</f>
        <v/>
      </c>
      <c r="F701" s="8" t="str">
        <f>IF($A701="","",IFERROR(INDEX(PROGRES!$A$2:$A$92,MATCH(E701,PROGRES!$B$2:$B$92,0)),"-"))</f>
        <v/>
      </c>
      <c r="G701" s="8" t="str">
        <f>IF($A701="","",UPPER(TRIM(INDEX(FORM!$F:$F,ROW()))))</f>
        <v/>
      </c>
      <c r="H701" s="8" t="str">
        <f>IF($A701="","",UPPER(TRIM(INDEX(FORM!$E:$E,ROW()))))</f>
        <v/>
      </c>
      <c r="I701" s="8" t="str">
        <f>IF($A701="","",UPPER(TRIM(INDEX(FORM!$G:$G,ROW()))))</f>
        <v/>
      </c>
      <c r="J701" s="8" t="str">
        <f>IF($A701="","",IF(ISNUMBER(SEARCH("Ya,",INDEX(FORM!$H:$H,ROW()))),"YA",IF(ISNUMBER(SEARCH("Cukup,",INDEX(FORM!$H:$H,ROW()))),"CUKUP",IF(ISNUMBER(SEARCH("Kurang,",INDEX(FORM!$H:$H,ROW()))),"KURANG",""))))</f>
        <v/>
      </c>
      <c r="K701" s="8" t="str">
        <f>IF($A701="","",UPPER(TRIM(INDEX(FORM!$J:$J,ROW()))))</f>
        <v/>
      </c>
      <c r="L701" s="8" t="str">
        <f>IF($A701="","",IF(ISNUMBER(SEARCH("Aktivitas Harian",INDEX(FORM!$K:$K,ROW()))),1,0))</f>
        <v/>
      </c>
      <c r="M701" s="8" t="str">
        <f>IF($A701="","",IF(ISNUMBER(SEARCH("Aktivitas Mingguan",INDEX(FORM!$K:$K,ROW()))),1,0))</f>
        <v/>
      </c>
      <c r="N701" s="8" t="str">
        <f>IF($A701="","",IF(ISNUMBER(SEARCH("Aktivitas Bulanan",INDEX(FORM!$K:$K,ROW()))),1,0))</f>
        <v/>
      </c>
      <c r="O701" s="8" t="str">
        <f>IF($A701="","",IF(ISNUMBER(SEARCH("Overview Cabang",INDEX(FORM!$K:$K,ROW()))),1,0))</f>
        <v/>
      </c>
      <c r="P701" s="8" t="str">
        <f>IF($A701="","",IFERROR(VLOOKUP(I701,DATA!$AH$9:$AI$13,2,0),""))</f>
        <v/>
      </c>
      <c r="Q701" s="8" t="str">
        <f>IF($A701="","",IFERROR(VLOOKUP(J701,DATA!$AH$9:$AI$13,2,0),""))</f>
        <v/>
      </c>
      <c r="R701" s="8" t="str">
        <f>IF($A701="","",IFERROR(VLOOKUP(K701,DATA!$AH$9:$AI$13,2,0),""))</f>
        <v/>
      </c>
      <c r="S701" s="42" t="str">
        <f t="shared" si="220"/>
        <v/>
      </c>
      <c r="T701" s="8" t="str">
        <f>IF($A701="","",IF(COUNTIF($D$2:D701,D701)=1,1,0))</f>
        <v/>
      </c>
      <c r="U701" s="8" t="str">
        <f>IF($A701="","",IF(F701="-","Cabang tdk ada",IF(IFERROR(VLOOKUP(G701,#REF!,1,0),"")="","",IF(INDEX(DATA!$AH$2:$AH$5,MATCH(G701,DATA!$AI$2:$AI$5,0))&lt;&gt;F701,"Wilayah beda","OK"))))</f>
        <v/>
      </c>
      <c r="V701" s="8" t="str">
        <f>IF($A701="","",TRIM(INDEX(FORM!$I:$I,ROW())&amp;""))</f>
        <v/>
      </c>
      <c r="W701" s="8" t="str">
        <f>IF($A701="","",TRIM(INDEX(FORM!$L:$L,ROW())&amp;""))</f>
        <v/>
      </c>
      <c r="X701" s="8" t="str">
        <f>IF($A701="","",TRIM(INDEX(FORM!$M:$M,ROW())&amp;""))</f>
        <v/>
      </c>
      <c r="Y701" s="8" t="str">
        <f>IF($A701="","",IFERROR(MATCH(F701,DATA!$AH$2:$AH$5,0),9)*10000+A701)</f>
        <v/>
      </c>
      <c r="Z701" s="8" t="str">
        <f t="shared" si="221"/>
        <v/>
      </c>
      <c r="AA701" s="8" t="str">
        <f t="shared" si="222"/>
        <v/>
      </c>
      <c r="AB701" s="8" t="str">
        <f t="shared" si="223"/>
        <v/>
      </c>
      <c r="AC701" s="8"/>
      <c r="AD701" s="8"/>
      <c r="AE701" s="8"/>
      <c r="AK701" s="5" t="str">
        <f t="shared" si="224"/>
        <v/>
      </c>
      <c r="AL701" s="5" t="str">
        <f t="shared" si="225"/>
        <v/>
      </c>
      <c r="AM701" s="5" t="str">
        <f t="shared" si="226"/>
        <v/>
      </c>
      <c r="AN701" s="5" t="str">
        <f t="shared" si="227"/>
        <v/>
      </c>
      <c r="AO701" s="5" t="str">
        <f t="shared" si="228"/>
        <v/>
      </c>
      <c r="AP701" s="5" t="str">
        <f t="shared" si="229"/>
        <v/>
      </c>
      <c r="AQ701" s="5" t="str">
        <f t="shared" si="230"/>
        <v/>
      </c>
      <c r="AR701" s="5" t="str">
        <f t="shared" si="231"/>
        <v/>
      </c>
      <c r="AS701" s="5" t="str">
        <f t="shared" si="232"/>
        <v/>
      </c>
      <c r="AT701" s="5" t="str">
        <f t="shared" si="233"/>
        <v/>
      </c>
      <c r="AU701" s="5" t="str">
        <f t="shared" si="234"/>
        <v/>
      </c>
      <c r="AV701" s="5" t="str">
        <f t="shared" si="235"/>
        <v/>
      </c>
      <c r="AW701" s="5" t="str">
        <f t="shared" si="236"/>
        <v/>
      </c>
      <c r="AX701" s="5" t="str">
        <f t="shared" si="237"/>
        <v/>
      </c>
      <c r="AY701" s="5" t="str">
        <f t="shared" si="238"/>
        <v/>
      </c>
      <c r="AZ701" s="5" t="str">
        <f t="shared" si="239"/>
        <v/>
      </c>
      <c r="BA701" s="5" t="str">
        <f t="shared" si="240"/>
        <v/>
      </c>
      <c r="BB701" s="5" t="str">
        <f t="shared" si="241"/>
        <v/>
      </c>
    </row>
    <row r="702" spans="1:54" s="5" customFormat="1" hidden="1">
      <c r="A702" s="8" t="str">
        <f>IF(INDEX(FORM!$A:$A,ROW())="","",ROW()-1)</f>
        <v/>
      </c>
      <c r="B702" s="41" t="str">
        <f>IF($A702="","",INDEX(FORM!$A:$A,ROW()))</f>
        <v/>
      </c>
      <c r="C702" s="8" t="str">
        <f>IF($A702="","",TRIM(INDEX(FORM!$B:$B,ROW())))</f>
        <v/>
      </c>
      <c r="D702" s="8" t="str">
        <f>IF($A702="","",TRIM(INDEX(FORM!$C:$C,ROW())&amp;""))</f>
        <v/>
      </c>
      <c r="E702" s="8" t="str">
        <f>IF($A702="","",UPPER(TRIM(INDEX(FORM!$D:$D,ROW()))))</f>
        <v/>
      </c>
      <c r="F702" s="8" t="str">
        <f>IF($A702="","",IFERROR(INDEX(PROGRES!$A$2:$A$92,MATCH(E702,PROGRES!$B$2:$B$92,0)),"-"))</f>
        <v/>
      </c>
      <c r="G702" s="8" t="str">
        <f>IF($A702="","",UPPER(TRIM(INDEX(FORM!$F:$F,ROW()))))</f>
        <v/>
      </c>
      <c r="H702" s="8" t="str">
        <f>IF($A702="","",UPPER(TRIM(INDEX(FORM!$E:$E,ROW()))))</f>
        <v/>
      </c>
      <c r="I702" s="8" t="str">
        <f>IF($A702="","",UPPER(TRIM(INDEX(FORM!$G:$G,ROW()))))</f>
        <v/>
      </c>
      <c r="J702" s="8" t="str">
        <f>IF($A702="","",IF(ISNUMBER(SEARCH("Ya,",INDEX(FORM!$H:$H,ROW()))),"YA",IF(ISNUMBER(SEARCH("Cukup,",INDEX(FORM!$H:$H,ROW()))),"CUKUP",IF(ISNUMBER(SEARCH("Kurang,",INDEX(FORM!$H:$H,ROW()))),"KURANG",""))))</f>
        <v/>
      </c>
      <c r="K702" s="8" t="str">
        <f>IF($A702="","",UPPER(TRIM(INDEX(FORM!$J:$J,ROW()))))</f>
        <v/>
      </c>
      <c r="L702" s="8" t="str">
        <f>IF($A702="","",IF(ISNUMBER(SEARCH("Aktivitas Harian",INDEX(FORM!$K:$K,ROW()))),1,0))</f>
        <v/>
      </c>
      <c r="M702" s="8" t="str">
        <f>IF($A702="","",IF(ISNUMBER(SEARCH("Aktivitas Mingguan",INDEX(FORM!$K:$K,ROW()))),1,0))</f>
        <v/>
      </c>
      <c r="N702" s="8" t="str">
        <f>IF($A702="","",IF(ISNUMBER(SEARCH("Aktivitas Bulanan",INDEX(FORM!$K:$K,ROW()))),1,0))</f>
        <v/>
      </c>
      <c r="O702" s="8" t="str">
        <f>IF($A702="","",IF(ISNUMBER(SEARCH("Overview Cabang",INDEX(FORM!$K:$K,ROW()))),1,0))</f>
        <v/>
      </c>
      <c r="P702" s="8" t="str">
        <f>IF($A702="","",IFERROR(VLOOKUP(I702,DATA!$AH$9:$AI$13,2,0),""))</f>
        <v/>
      </c>
      <c r="Q702" s="8" t="str">
        <f>IF($A702="","",IFERROR(VLOOKUP(J702,DATA!$AH$9:$AI$13,2,0),""))</f>
        <v/>
      </c>
      <c r="R702" s="8" t="str">
        <f>IF($A702="","",IFERROR(VLOOKUP(K702,DATA!$AH$9:$AI$13,2,0),""))</f>
        <v/>
      </c>
      <c r="S702" s="42" t="str">
        <f t="shared" si="220"/>
        <v/>
      </c>
      <c r="T702" s="8" t="str">
        <f>IF($A702="","",IF(COUNTIF($D$2:D702,D702)=1,1,0))</f>
        <v/>
      </c>
      <c r="U702" s="8" t="str">
        <f>IF($A702="","",IF(F702="-","Cabang tdk ada",IF(IFERROR(VLOOKUP(G702,#REF!,1,0),"")="","",IF(INDEX(DATA!$AH$2:$AH$5,MATCH(G702,DATA!$AI$2:$AI$5,0))&lt;&gt;F702,"Wilayah beda","OK"))))</f>
        <v/>
      </c>
      <c r="V702" s="8" t="str">
        <f>IF($A702="","",TRIM(INDEX(FORM!$I:$I,ROW())&amp;""))</f>
        <v/>
      </c>
      <c r="W702" s="8" t="str">
        <f>IF($A702="","",TRIM(INDEX(FORM!$L:$L,ROW())&amp;""))</f>
        <v/>
      </c>
      <c r="X702" s="8" t="str">
        <f>IF($A702="","",TRIM(INDEX(FORM!$M:$M,ROW())&amp;""))</f>
        <v/>
      </c>
      <c r="Y702" s="8" t="str">
        <f>IF($A702="","",IFERROR(MATCH(F702,DATA!$AH$2:$AH$5,0),9)*10000+A702)</f>
        <v/>
      </c>
      <c r="Z702" s="8" t="str">
        <f t="shared" si="221"/>
        <v/>
      </c>
      <c r="AA702" s="8" t="str">
        <f t="shared" si="222"/>
        <v/>
      </c>
      <c r="AB702" s="8" t="str">
        <f t="shared" si="223"/>
        <v/>
      </c>
      <c r="AC702" s="8"/>
      <c r="AD702" s="8"/>
      <c r="AE702" s="8"/>
      <c r="AK702" s="5" t="str">
        <f t="shared" si="224"/>
        <v/>
      </c>
      <c r="AL702" s="5" t="str">
        <f t="shared" si="225"/>
        <v/>
      </c>
      <c r="AM702" s="5" t="str">
        <f t="shared" si="226"/>
        <v/>
      </c>
      <c r="AN702" s="5" t="str">
        <f t="shared" si="227"/>
        <v/>
      </c>
      <c r="AO702" s="5" t="str">
        <f t="shared" si="228"/>
        <v/>
      </c>
      <c r="AP702" s="5" t="str">
        <f t="shared" si="229"/>
        <v/>
      </c>
      <c r="AQ702" s="5" t="str">
        <f t="shared" si="230"/>
        <v/>
      </c>
      <c r="AR702" s="5" t="str">
        <f t="shared" si="231"/>
        <v/>
      </c>
      <c r="AS702" s="5" t="str">
        <f t="shared" si="232"/>
        <v/>
      </c>
      <c r="AT702" s="5" t="str">
        <f t="shared" si="233"/>
        <v/>
      </c>
      <c r="AU702" s="5" t="str">
        <f t="shared" si="234"/>
        <v/>
      </c>
      <c r="AV702" s="5" t="str">
        <f t="shared" si="235"/>
        <v/>
      </c>
      <c r="AW702" s="5" t="str">
        <f t="shared" si="236"/>
        <v/>
      </c>
      <c r="AX702" s="5" t="str">
        <f t="shared" si="237"/>
        <v/>
      </c>
      <c r="AY702" s="5" t="str">
        <f t="shared" si="238"/>
        <v/>
      </c>
      <c r="AZ702" s="5" t="str">
        <f t="shared" si="239"/>
        <v/>
      </c>
      <c r="BA702" s="5" t="str">
        <f t="shared" si="240"/>
        <v/>
      </c>
      <c r="BB702" s="5" t="str">
        <f t="shared" si="241"/>
        <v/>
      </c>
    </row>
    <row r="703" spans="1:54" s="5" customFormat="1" hidden="1">
      <c r="A703" s="8" t="str">
        <f>IF(INDEX(FORM!$A:$A,ROW())="","",ROW()-1)</f>
        <v/>
      </c>
      <c r="B703" s="41" t="str">
        <f>IF($A703="","",INDEX(FORM!$A:$A,ROW()))</f>
        <v/>
      </c>
      <c r="C703" s="8" t="str">
        <f>IF($A703="","",TRIM(INDEX(FORM!$B:$B,ROW())))</f>
        <v/>
      </c>
      <c r="D703" s="8" t="str">
        <f>IF($A703="","",TRIM(INDEX(FORM!$C:$C,ROW())&amp;""))</f>
        <v/>
      </c>
      <c r="E703" s="8" t="str">
        <f>IF($A703="","",UPPER(TRIM(INDEX(FORM!$D:$D,ROW()))))</f>
        <v/>
      </c>
      <c r="F703" s="8" t="str">
        <f>IF($A703="","",IFERROR(INDEX(PROGRES!$A$2:$A$92,MATCH(E703,PROGRES!$B$2:$B$92,0)),"-"))</f>
        <v/>
      </c>
      <c r="G703" s="8" t="str">
        <f>IF($A703="","",UPPER(TRIM(INDEX(FORM!$F:$F,ROW()))))</f>
        <v/>
      </c>
      <c r="H703" s="8" t="str">
        <f>IF($A703="","",UPPER(TRIM(INDEX(FORM!$E:$E,ROW()))))</f>
        <v/>
      </c>
      <c r="I703" s="8" t="str">
        <f>IF($A703="","",UPPER(TRIM(INDEX(FORM!$G:$G,ROW()))))</f>
        <v/>
      </c>
      <c r="J703" s="8" t="str">
        <f>IF($A703="","",IF(ISNUMBER(SEARCH("Ya,",INDEX(FORM!$H:$H,ROW()))),"YA",IF(ISNUMBER(SEARCH("Cukup,",INDEX(FORM!$H:$H,ROW()))),"CUKUP",IF(ISNUMBER(SEARCH("Kurang,",INDEX(FORM!$H:$H,ROW()))),"KURANG",""))))</f>
        <v/>
      </c>
      <c r="K703" s="8" t="str">
        <f>IF($A703="","",UPPER(TRIM(INDEX(FORM!$J:$J,ROW()))))</f>
        <v/>
      </c>
      <c r="L703" s="8" t="str">
        <f>IF($A703="","",IF(ISNUMBER(SEARCH("Aktivitas Harian",INDEX(FORM!$K:$K,ROW()))),1,0))</f>
        <v/>
      </c>
      <c r="M703" s="8" t="str">
        <f>IF($A703="","",IF(ISNUMBER(SEARCH("Aktivitas Mingguan",INDEX(FORM!$K:$K,ROW()))),1,0))</f>
        <v/>
      </c>
      <c r="N703" s="8" t="str">
        <f>IF($A703="","",IF(ISNUMBER(SEARCH("Aktivitas Bulanan",INDEX(FORM!$K:$K,ROW()))),1,0))</f>
        <v/>
      </c>
      <c r="O703" s="8" t="str">
        <f>IF($A703="","",IF(ISNUMBER(SEARCH("Overview Cabang",INDEX(FORM!$K:$K,ROW()))),1,0))</f>
        <v/>
      </c>
      <c r="P703" s="8" t="str">
        <f>IF($A703="","",IFERROR(VLOOKUP(I703,DATA!$AH$9:$AI$13,2,0),""))</f>
        <v/>
      </c>
      <c r="Q703" s="8" t="str">
        <f>IF($A703="","",IFERROR(VLOOKUP(J703,DATA!$AH$9:$AI$13,2,0),""))</f>
        <v/>
      </c>
      <c r="R703" s="8" t="str">
        <f>IF($A703="","",IFERROR(VLOOKUP(K703,DATA!$AH$9:$AI$13,2,0),""))</f>
        <v/>
      </c>
      <c r="S703" s="42" t="str">
        <f t="shared" si="220"/>
        <v/>
      </c>
      <c r="T703" s="8" t="str">
        <f>IF($A703="","",IF(COUNTIF($D$2:D703,D703)=1,1,0))</f>
        <v/>
      </c>
      <c r="U703" s="8" t="str">
        <f>IF($A703="","",IF(F703="-","Cabang tdk ada",IF(IFERROR(VLOOKUP(G703,#REF!,1,0),"")="","",IF(INDEX(DATA!$AH$2:$AH$5,MATCH(G703,DATA!$AI$2:$AI$5,0))&lt;&gt;F703,"Wilayah beda","OK"))))</f>
        <v/>
      </c>
      <c r="V703" s="8" t="str">
        <f>IF($A703="","",TRIM(INDEX(FORM!$I:$I,ROW())&amp;""))</f>
        <v/>
      </c>
      <c r="W703" s="8" t="str">
        <f>IF($A703="","",TRIM(INDEX(FORM!$L:$L,ROW())&amp;""))</f>
        <v/>
      </c>
      <c r="X703" s="8" t="str">
        <f>IF($A703="","",TRIM(INDEX(FORM!$M:$M,ROW())&amp;""))</f>
        <v/>
      </c>
      <c r="Y703" s="8" t="str">
        <f>IF($A703="","",IFERROR(MATCH(F703,DATA!$AH$2:$AH$5,0),9)*10000+A703)</f>
        <v/>
      </c>
      <c r="Z703" s="8" t="str">
        <f t="shared" si="221"/>
        <v/>
      </c>
      <c r="AA703" s="8" t="str">
        <f t="shared" si="222"/>
        <v/>
      </c>
      <c r="AB703" s="8" t="str">
        <f t="shared" si="223"/>
        <v/>
      </c>
      <c r="AC703" s="8"/>
      <c r="AD703" s="8"/>
      <c r="AE703" s="8"/>
      <c r="AK703" s="5" t="str">
        <f t="shared" si="224"/>
        <v/>
      </c>
      <c r="AL703" s="5" t="str">
        <f t="shared" si="225"/>
        <v/>
      </c>
      <c r="AM703" s="5" t="str">
        <f t="shared" si="226"/>
        <v/>
      </c>
      <c r="AN703" s="5" t="str">
        <f t="shared" si="227"/>
        <v/>
      </c>
      <c r="AO703" s="5" t="str">
        <f t="shared" si="228"/>
        <v/>
      </c>
      <c r="AP703" s="5" t="str">
        <f t="shared" si="229"/>
        <v/>
      </c>
      <c r="AQ703" s="5" t="str">
        <f t="shared" si="230"/>
        <v/>
      </c>
      <c r="AR703" s="5" t="str">
        <f t="shared" si="231"/>
        <v/>
      </c>
      <c r="AS703" s="5" t="str">
        <f t="shared" si="232"/>
        <v/>
      </c>
      <c r="AT703" s="5" t="str">
        <f t="shared" si="233"/>
        <v/>
      </c>
      <c r="AU703" s="5" t="str">
        <f t="shared" si="234"/>
        <v/>
      </c>
      <c r="AV703" s="5" t="str">
        <f t="shared" si="235"/>
        <v/>
      </c>
      <c r="AW703" s="5" t="str">
        <f t="shared" si="236"/>
        <v/>
      </c>
      <c r="AX703" s="5" t="str">
        <f t="shared" si="237"/>
        <v/>
      </c>
      <c r="AY703" s="5" t="str">
        <f t="shared" si="238"/>
        <v/>
      </c>
      <c r="AZ703" s="5" t="str">
        <f t="shared" si="239"/>
        <v/>
      </c>
      <c r="BA703" s="5" t="str">
        <f t="shared" si="240"/>
        <v/>
      </c>
      <c r="BB703" s="5" t="str">
        <f t="shared" si="241"/>
        <v/>
      </c>
    </row>
    <row r="704" spans="1:54" s="5" customFormat="1" hidden="1">
      <c r="A704" s="8" t="str">
        <f>IF(INDEX(FORM!$A:$A,ROW())="","",ROW()-1)</f>
        <v/>
      </c>
      <c r="B704" s="41" t="str">
        <f>IF($A704="","",INDEX(FORM!$A:$A,ROW()))</f>
        <v/>
      </c>
      <c r="C704" s="8" t="str">
        <f>IF($A704="","",TRIM(INDEX(FORM!$B:$B,ROW())))</f>
        <v/>
      </c>
      <c r="D704" s="8" t="str">
        <f>IF($A704="","",TRIM(INDEX(FORM!$C:$C,ROW())&amp;""))</f>
        <v/>
      </c>
      <c r="E704" s="8" t="str">
        <f>IF($A704="","",UPPER(TRIM(INDEX(FORM!$D:$D,ROW()))))</f>
        <v/>
      </c>
      <c r="F704" s="8" t="str">
        <f>IF($A704="","",IFERROR(INDEX(PROGRES!$A$2:$A$92,MATCH(E704,PROGRES!$B$2:$B$92,0)),"-"))</f>
        <v/>
      </c>
      <c r="G704" s="8" t="str">
        <f>IF($A704="","",UPPER(TRIM(INDEX(FORM!$F:$F,ROW()))))</f>
        <v/>
      </c>
      <c r="H704" s="8" t="str">
        <f>IF($A704="","",UPPER(TRIM(INDEX(FORM!$E:$E,ROW()))))</f>
        <v/>
      </c>
      <c r="I704" s="8" t="str">
        <f>IF($A704="","",UPPER(TRIM(INDEX(FORM!$G:$G,ROW()))))</f>
        <v/>
      </c>
      <c r="J704" s="8" t="str">
        <f>IF($A704="","",IF(ISNUMBER(SEARCH("Ya,",INDEX(FORM!$H:$H,ROW()))),"YA",IF(ISNUMBER(SEARCH("Cukup,",INDEX(FORM!$H:$H,ROW()))),"CUKUP",IF(ISNUMBER(SEARCH("Kurang,",INDEX(FORM!$H:$H,ROW()))),"KURANG",""))))</f>
        <v/>
      </c>
      <c r="K704" s="8" t="str">
        <f>IF($A704="","",UPPER(TRIM(INDEX(FORM!$J:$J,ROW()))))</f>
        <v/>
      </c>
      <c r="L704" s="8" t="str">
        <f>IF($A704="","",IF(ISNUMBER(SEARCH("Aktivitas Harian",INDEX(FORM!$K:$K,ROW()))),1,0))</f>
        <v/>
      </c>
      <c r="M704" s="8" t="str">
        <f>IF($A704="","",IF(ISNUMBER(SEARCH("Aktivitas Mingguan",INDEX(FORM!$K:$K,ROW()))),1,0))</f>
        <v/>
      </c>
      <c r="N704" s="8" t="str">
        <f>IF($A704="","",IF(ISNUMBER(SEARCH("Aktivitas Bulanan",INDEX(FORM!$K:$K,ROW()))),1,0))</f>
        <v/>
      </c>
      <c r="O704" s="8" t="str">
        <f>IF($A704="","",IF(ISNUMBER(SEARCH("Overview Cabang",INDEX(FORM!$K:$K,ROW()))),1,0))</f>
        <v/>
      </c>
      <c r="P704" s="8" t="str">
        <f>IF($A704="","",IFERROR(VLOOKUP(I704,DATA!$AH$9:$AI$13,2,0),""))</f>
        <v/>
      </c>
      <c r="Q704" s="8" t="str">
        <f>IF($A704="","",IFERROR(VLOOKUP(J704,DATA!$AH$9:$AI$13,2,0),""))</f>
        <v/>
      </c>
      <c r="R704" s="8" t="str">
        <f>IF($A704="","",IFERROR(VLOOKUP(K704,DATA!$AH$9:$AI$13,2,0),""))</f>
        <v/>
      </c>
      <c r="S704" s="42" t="str">
        <f t="shared" si="220"/>
        <v/>
      </c>
      <c r="T704" s="8" t="str">
        <f>IF($A704="","",IF(COUNTIF($D$2:D704,D704)=1,1,0))</f>
        <v/>
      </c>
      <c r="U704" s="8" t="str">
        <f>IF($A704="","",IF(F704="-","Cabang tdk ada",IF(IFERROR(VLOOKUP(G704,#REF!,1,0),"")="","",IF(INDEX(DATA!$AH$2:$AH$5,MATCH(G704,DATA!$AI$2:$AI$5,0))&lt;&gt;F704,"Wilayah beda","OK"))))</f>
        <v/>
      </c>
      <c r="V704" s="8" t="str">
        <f>IF($A704="","",TRIM(INDEX(FORM!$I:$I,ROW())&amp;""))</f>
        <v/>
      </c>
      <c r="W704" s="8" t="str">
        <f>IF($A704="","",TRIM(INDEX(FORM!$L:$L,ROW())&amp;""))</f>
        <v/>
      </c>
      <c r="X704" s="8" t="str">
        <f>IF($A704="","",TRIM(INDEX(FORM!$M:$M,ROW())&amp;""))</f>
        <v/>
      </c>
      <c r="Y704" s="8" t="str">
        <f>IF($A704="","",IFERROR(MATCH(F704,DATA!$AH$2:$AH$5,0),9)*10000+A704)</f>
        <v/>
      </c>
      <c r="Z704" s="8" t="str">
        <f t="shared" si="221"/>
        <v/>
      </c>
      <c r="AA704" s="8" t="str">
        <f t="shared" si="222"/>
        <v/>
      </c>
      <c r="AB704" s="8" t="str">
        <f t="shared" si="223"/>
        <v/>
      </c>
      <c r="AC704" s="8"/>
      <c r="AD704" s="8"/>
      <c r="AE704" s="8"/>
      <c r="AK704" s="5" t="str">
        <f t="shared" si="224"/>
        <v/>
      </c>
      <c r="AL704" s="5" t="str">
        <f t="shared" si="225"/>
        <v/>
      </c>
      <c r="AM704" s="5" t="str">
        <f t="shared" si="226"/>
        <v/>
      </c>
      <c r="AN704" s="5" t="str">
        <f t="shared" si="227"/>
        <v/>
      </c>
      <c r="AO704" s="5" t="str">
        <f t="shared" si="228"/>
        <v/>
      </c>
      <c r="AP704" s="5" t="str">
        <f t="shared" si="229"/>
        <v/>
      </c>
      <c r="AQ704" s="5" t="str">
        <f t="shared" si="230"/>
        <v/>
      </c>
      <c r="AR704" s="5" t="str">
        <f t="shared" si="231"/>
        <v/>
      </c>
      <c r="AS704" s="5" t="str">
        <f t="shared" si="232"/>
        <v/>
      </c>
      <c r="AT704" s="5" t="str">
        <f t="shared" si="233"/>
        <v/>
      </c>
      <c r="AU704" s="5" t="str">
        <f t="shared" si="234"/>
        <v/>
      </c>
      <c r="AV704" s="5" t="str">
        <f t="shared" si="235"/>
        <v/>
      </c>
      <c r="AW704" s="5" t="str">
        <f t="shared" si="236"/>
        <v/>
      </c>
      <c r="AX704" s="5" t="str">
        <f t="shared" si="237"/>
        <v/>
      </c>
      <c r="AY704" s="5" t="str">
        <f t="shared" si="238"/>
        <v/>
      </c>
      <c r="AZ704" s="5" t="str">
        <f t="shared" si="239"/>
        <v/>
      </c>
      <c r="BA704" s="5" t="str">
        <f t="shared" si="240"/>
        <v/>
      </c>
      <c r="BB704" s="5" t="str">
        <f t="shared" si="241"/>
        <v/>
      </c>
    </row>
    <row r="705" spans="1:54" s="5" customFormat="1" hidden="1">
      <c r="A705" s="8" t="str">
        <f>IF(INDEX(FORM!$A:$A,ROW())="","",ROW()-1)</f>
        <v/>
      </c>
      <c r="B705" s="41" t="str">
        <f>IF($A705="","",INDEX(FORM!$A:$A,ROW()))</f>
        <v/>
      </c>
      <c r="C705" s="8" t="str">
        <f>IF($A705="","",TRIM(INDEX(FORM!$B:$B,ROW())))</f>
        <v/>
      </c>
      <c r="D705" s="8" t="str">
        <f>IF($A705="","",TRIM(INDEX(FORM!$C:$C,ROW())&amp;""))</f>
        <v/>
      </c>
      <c r="E705" s="8" t="str">
        <f>IF($A705="","",UPPER(TRIM(INDEX(FORM!$D:$D,ROW()))))</f>
        <v/>
      </c>
      <c r="F705" s="8" t="str">
        <f>IF($A705="","",IFERROR(INDEX(PROGRES!$A$2:$A$92,MATCH(E705,PROGRES!$B$2:$B$92,0)),"-"))</f>
        <v/>
      </c>
      <c r="G705" s="8" t="str">
        <f>IF($A705="","",UPPER(TRIM(INDEX(FORM!$F:$F,ROW()))))</f>
        <v/>
      </c>
      <c r="H705" s="8" t="str">
        <f>IF($A705="","",UPPER(TRIM(INDEX(FORM!$E:$E,ROW()))))</f>
        <v/>
      </c>
      <c r="I705" s="8" t="str">
        <f>IF($A705="","",UPPER(TRIM(INDEX(FORM!$G:$G,ROW()))))</f>
        <v/>
      </c>
      <c r="J705" s="8" t="str">
        <f>IF($A705="","",IF(ISNUMBER(SEARCH("Ya,",INDEX(FORM!$H:$H,ROW()))),"YA",IF(ISNUMBER(SEARCH("Cukup,",INDEX(FORM!$H:$H,ROW()))),"CUKUP",IF(ISNUMBER(SEARCH("Kurang,",INDEX(FORM!$H:$H,ROW()))),"KURANG",""))))</f>
        <v/>
      </c>
      <c r="K705" s="8" t="str">
        <f>IF($A705="","",UPPER(TRIM(INDEX(FORM!$J:$J,ROW()))))</f>
        <v/>
      </c>
      <c r="L705" s="8" t="str">
        <f>IF($A705="","",IF(ISNUMBER(SEARCH("Aktivitas Harian",INDEX(FORM!$K:$K,ROW()))),1,0))</f>
        <v/>
      </c>
      <c r="M705" s="8" t="str">
        <f>IF($A705="","",IF(ISNUMBER(SEARCH("Aktivitas Mingguan",INDEX(FORM!$K:$K,ROW()))),1,0))</f>
        <v/>
      </c>
      <c r="N705" s="8" t="str">
        <f>IF($A705="","",IF(ISNUMBER(SEARCH("Aktivitas Bulanan",INDEX(FORM!$K:$K,ROW()))),1,0))</f>
        <v/>
      </c>
      <c r="O705" s="8" t="str">
        <f>IF($A705="","",IF(ISNUMBER(SEARCH("Overview Cabang",INDEX(FORM!$K:$K,ROW()))),1,0))</f>
        <v/>
      </c>
      <c r="P705" s="8" t="str">
        <f>IF($A705="","",IFERROR(VLOOKUP(I705,DATA!$AH$9:$AI$13,2,0),""))</f>
        <v/>
      </c>
      <c r="Q705" s="8" t="str">
        <f>IF($A705="","",IFERROR(VLOOKUP(J705,DATA!$AH$9:$AI$13,2,0),""))</f>
        <v/>
      </c>
      <c r="R705" s="8" t="str">
        <f>IF($A705="","",IFERROR(VLOOKUP(K705,DATA!$AH$9:$AI$13,2,0),""))</f>
        <v/>
      </c>
      <c r="S705" s="42" t="str">
        <f t="shared" si="220"/>
        <v/>
      </c>
      <c r="T705" s="8" t="str">
        <f>IF($A705="","",IF(COUNTIF($D$2:D705,D705)=1,1,0))</f>
        <v/>
      </c>
      <c r="U705" s="8" t="str">
        <f>IF($A705="","",IF(F705="-","Cabang tdk ada",IF(IFERROR(VLOOKUP(G705,#REF!,1,0),"")="","",IF(INDEX(DATA!$AH$2:$AH$5,MATCH(G705,DATA!$AI$2:$AI$5,0))&lt;&gt;F705,"Wilayah beda","OK"))))</f>
        <v/>
      </c>
      <c r="V705" s="8" t="str">
        <f>IF($A705="","",TRIM(INDEX(FORM!$I:$I,ROW())&amp;""))</f>
        <v/>
      </c>
      <c r="W705" s="8" t="str">
        <f>IF($A705="","",TRIM(INDEX(FORM!$L:$L,ROW())&amp;""))</f>
        <v/>
      </c>
      <c r="X705" s="8" t="str">
        <f>IF($A705="","",TRIM(INDEX(FORM!$M:$M,ROW())&amp;""))</f>
        <v/>
      </c>
      <c r="Y705" s="8" t="str">
        <f>IF($A705="","",IFERROR(MATCH(F705,DATA!$AH$2:$AH$5,0),9)*10000+A705)</f>
        <v/>
      </c>
      <c r="Z705" s="8" t="str">
        <f t="shared" si="221"/>
        <v/>
      </c>
      <c r="AA705" s="8" t="str">
        <f t="shared" si="222"/>
        <v/>
      </c>
      <c r="AB705" s="8" t="str">
        <f t="shared" si="223"/>
        <v/>
      </c>
      <c r="AC705" s="8"/>
      <c r="AD705" s="8"/>
      <c r="AE705" s="8"/>
      <c r="AK705" s="5" t="str">
        <f t="shared" si="224"/>
        <v/>
      </c>
      <c r="AL705" s="5" t="str">
        <f t="shared" si="225"/>
        <v/>
      </c>
      <c r="AM705" s="5" t="str">
        <f t="shared" si="226"/>
        <v/>
      </c>
      <c r="AN705" s="5" t="str">
        <f t="shared" si="227"/>
        <v/>
      </c>
      <c r="AO705" s="5" t="str">
        <f t="shared" si="228"/>
        <v/>
      </c>
      <c r="AP705" s="5" t="str">
        <f t="shared" si="229"/>
        <v/>
      </c>
      <c r="AQ705" s="5" t="str">
        <f t="shared" si="230"/>
        <v/>
      </c>
      <c r="AR705" s="5" t="str">
        <f t="shared" si="231"/>
        <v/>
      </c>
      <c r="AS705" s="5" t="str">
        <f t="shared" si="232"/>
        <v/>
      </c>
      <c r="AT705" s="5" t="str">
        <f t="shared" si="233"/>
        <v/>
      </c>
      <c r="AU705" s="5" t="str">
        <f t="shared" si="234"/>
        <v/>
      </c>
      <c r="AV705" s="5" t="str">
        <f t="shared" si="235"/>
        <v/>
      </c>
      <c r="AW705" s="5" t="str">
        <f t="shared" si="236"/>
        <v/>
      </c>
      <c r="AX705" s="5" t="str">
        <f t="shared" si="237"/>
        <v/>
      </c>
      <c r="AY705" s="5" t="str">
        <f t="shared" si="238"/>
        <v/>
      </c>
      <c r="AZ705" s="5" t="str">
        <f t="shared" si="239"/>
        <v/>
      </c>
      <c r="BA705" s="5" t="str">
        <f t="shared" si="240"/>
        <v/>
      </c>
      <c r="BB705" s="5" t="str">
        <f t="shared" si="241"/>
        <v/>
      </c>
    </row>
    <row r="706" spans="1:54" s="5" customFormat="1" hidden="1">
      <c r="A706" s="8" t="str">
        <f>IF(INDEX(FORM!$A:$A,ROW())="","",ROW()-1)</f>
        <v/>
      </c>
      <c r="B706" s="41" t="str">
        <f>IF($A706="","",INDEX(FORM!$A:$A,ROW()))</f>
        <v/>
      </c>
      <c r="C706" s="8" t="str">
        <f>IF($A706="","",TRIM(INDEX(FORM!$B:$B,ROW())))</f>
        <v/>
      </c>
      <c r="D706" s="8" t="str">
        <f>IF($A706="","",TRIM(INDEX(FORM!$C:$C,ROW())&amp;""))</f>
        <v/>
      </c>
      <c r="E706" s="8" t="str">
        <f>IF($A706="","",UPPER(TRIM(INDEX(FORM!$D:$D,ROW()))))</f>
        <v/>
      </c>
      <c r="F706" s="8" t="str">
        <f>IF($A706="","",IFERROR(INDEX(PROGRES!$A$2:$A$92,MATCH(E706,PROGRES!$B$2:$B$92,0)),"-"))</f>
        <v/>
      </c>
      <c r="G706" s="8" t="str">
        <f>IF($A706="","",UPPER(TRIM(INDEX(FORM!$F:$F,ROW()))))</f>
        <v/>
      </c>
      <c r="H706" s="8" t="str">
        <f>IF($A706="","",UPPER(TRIM(INDEX(FORM!$E:$E,ROW()))))</f>
        <v/>
      </c>
      <c r="I706" s="8" t="str">
        <f>IF($A706="","",UPPER(TRIM(INDEX(FORM!$G:$G,ROW()))))</f>
        <v/>
      </c>
      <c r="J706" s="8" t="str">
        <f>IF($A706="","",IF(ISNUMBER(SEARCH("Ya,",INDEX(FORM!$H:$H,ROW()))),"YA",IF(ISNUMBER(SEARCH("Cukup,",INDEX(FORM!$H:$H,ROW()))),"CUKUP",IF(ISNUMBER(SEARCH("Kurang,",INDEX(FORM!$H:$H,ROW()))),"KURANG",""))))</f>
        <v/>
      </c>
      <c r="K706" s="8" t="str">
        <f>IF($A706="","",UPPER(TRIM(INDEX(FORM!$J:$J,ROW()))))</f>
        <v/>
      </c>
      <c r="L706" s="8" t="str">
        <f>IF($A706="","",IF(ISNUMBER(SEARCH("Aktivitas Harian",INDEX(FORM!$K:$K,ROW()))),1,0))</f>
        <v/>
      </c>
      <c r="M706" s="8" t="str">
        <f>IF($A706="","",IF(ISNUMBER(SEARCH("Aktivitas Mingguan",INDEX(FORM!$K:$K,ROW()))),1,0))</f>
        <v/>
      </c>
      <c r="N706" s="8" t="str">
        <f>IF($A706="","",IF(ISNUMBER(SEARCH("Aktivitas Bulanan",INDEX(FORM!$K:$K,ROW()))),1,0))</f>
        <v/>
      </c>
      <c r="O706" s="8" t="str">
        <f>IF($A706="","",IF(ISNUMBER(SEARCH("Overview Cabang",INDEX(FORM!$K:$K,ROW()))),1,0))</f>
        <v/>
      </c>
      <c r="P706" s="8" t="str">
        <f>IF($A706="","",IFERROR(VLOOKUP(I706,DATA!$AH$9:$AI$13,2,0),""))</f>
        <v/>
      </c>
      <c r="Q706" s="8" t="str">
        <f>IF($A706="","",IFERROR(VLOOKUP(J706,DATA!$AH$9:$AI$13,2,0),""))</f>
        <v/>
      </c>
      <c r="R706" s="8" t="str">
        <f>IF($A706="","",IFERROR(VLOOKUP(K706,DATA!$AH$9:$AI$13,2,0),""))</f>
        <v/>
      </c>
      <c r="S706" s="42" t="str">
        <f t="shared" ref="S706:S769" si="242">IF($A706="","",IFERROR(AVERAGE(P706:R706),""))</f>
        <v/>
      </c>
      <c r="T706" s="8" t="str">
        <f>IF($A706="","",IF(COUNTIF($D$2:D706,D706)=1,1,0))</f>
        <v/>
      </c>
      <c r="U706" s="8" t="str">
        <f>IF($A706="","",IF(F706="-","Cabang tdk ada",IF(IFERROR(VLOOKUP(G706,#REF!,1,0),"")="","",IF(INDEX(DATA!$AH$2:$AH$5,MATCH(G706,DATA!$AI$2:$AI$5,0))&lt;&gt;F706,"Wilayah beda","OK"))))</f>
        <v/>
      </c>
      <c r="V706" s="8" t="str">
        <f>IF($A706="","",TRIM(INDEX(FORM!$I:$I,ROW())&amp;""))</f>
        <v/>
      </c>
      <c r="W706" s="8" t="str">
        <f>IF($A706="","",TRIM(INDEX(FORM!$L:$L,ROW())&amp;""))</f>
        <v/>
      </c>
      <c r="X706" s="8" t="str">
        <f>IF($A706="","",TRIM(INDEX(FORM!$M:$M,ROW())&amp;""))</f>
        <v/>
      </c>
      <c r="Y706" s="8" t="str">
        <f>IF($A706="","",IFERROR(MATCH(F706,DATA!$AH$2:$AH$5,0),9)*10000+A706)</f>
        <v/>
      </c>
      <c r="Z706" s="8" t="str">
        <f t="shared" ref="Z706:Z769" si="243">IF($A706="","",IF(LEN(SUBSTITUTE(SUBSTITUTE(SUBSTITUTE(V706,"-",""),".",""),"?",""))&lt;2,"Tidak ada masukan / sudah baik",IF(OR(ISNUMBER(SEARCH("memang harus",V706&amp;" "))),"Tidak ada masukan / sudah baik",IF(OR(ISNUMBER(SEARCH("lemot",V706&amp;" ")),ISNUMBER(SEARCH("loading",V706&amp;" ")),ISNUMBER(SEARCH("lambat",V706&amp;" ")),ISNUMBER(SEARCH("kecepatan",V706&amp;" ")),ISNUMBER(SEARCH("koneksi",V706&amp;" ")),ISNUMBER(SEARCH("eroro",V706&amp;" ")),ISNUMBER(SEARCH("error",V706&amp;" ")),ISNUMBER(SEARCH("ketutup",V706&amp;" "))),"Kecepatan &amp; Loading Website",IF(OR(ISNUMBER(SEARCH("kontak",V706&amp;" ")),ISNUMBER(SEARCH("pic",V706&amp;" ")),ISNUMBER(SEARCH("darurat",V706&amp;" "))),"Kontak &amp; Informasi PIC",IF(OR(ISNUMBER(SEARCH("sacs",V706&amp;" ")),ISNUMBER(SEARCH("aplikasi",V706&amp;" ")),ISNUMBER(SEARCH("kinerja",V706&amp;" ")),ISNUMBER(SEARCH("seluruh cabang",V706&amp;" "))),"Integrasi dengan SACS / Aplikasi",IF(OR(ISNUMBER(SEARCH("mobile",V706&amp;" ")),ISNUMBER(SEARCH("lebih responsif",V706&amp;" ")),ISNUMBER(SEARCH("scroll",V706&amp;" ")),ISNUMBER(SEARCH("melebar",V706&amp;" "))),"Tampilan di HP (Responsif)",IF(OR(ISNUMBER(SEARCH("simpel",V706&amp;" ")),ISNUMBER(SEARCH("simple",V706&amp;" ")),ISNUMBER(SEARCH("sederhana",V706&amp;" ")),ISNUMBER(SEARCH("ringkas",V706&amp;" ")),ISNUMBER(SEARCH("intinya",V706&amp;" ")),ISNUMBER(SEARCH("panjang lebar",V706&amp;" ")),ISNUMBER(SEARCH("mudah dipahami lagi",V706&amp;" ")),ISNUMBER(SEARCH("tata letak",V706&amp;" ")),ISNUMBER(SEARCH("harus mencari",V706&amp;" "))),"Penyederhanaan &amp; Ringkas Isi",IF(OR(ISNUMBER(SEARCH("menu ",V706&amp;" ")),ISNUMBER(SEARCH("tiap posisi",V706&amp;" ")),ISNUMBER(SEARCH("pilihan antara",V706&amp;" "))),"Menu per Jabatan / Navigasi",IF(OR(ISNUMBER(SEARCH("video",V706&amp;" ")),ISNUMBER(SEARCH("vidio",V706&amp;" ")),ISNUMBER(SEARCH("bagan",V706&amp;" ")),ISNUMBER(SEARCH("gambar",V706&amp;" ")),ISNUMBER(SEARCH("qna",V706&amp;" "))),"Tambah Video / Bagan",IF(OR(ISNUMBER(SEARCH("menarik",V706&amp;" ")),ISNUMBER(SEARCH("design",V706&amp;" ")),ISNUMBER(SEARCH("desain",V706&amp;" ")),ISNUMBER(SEARCH("font",V706&amp;" ")),ISNUMBER(SEARCH("warna",V706&amp;" ")),ISNUMBER(SEARCH("soft",V706&amp;" ")),ISNUMBER(SEARCH("kaku",V706&amp;" ")),ISNUMBER(SEARCH("elegan",V706&amp;" ")),ISNUMBER(SEARCH("grafis",V706&amp;" ")),ISNUMBER(SEARCH("visual",V706&amp;" ")),ISNUMBER(SEARCH("logo",V706&amp;" ")),ISNUMBER(SEARCH("jenuh",V706&amp;" ")),ISNUMBER(SEARCH("abu",V706&amp;" ")),ISNUMBER(SEARCH("tampilannya",V706&amp;" ")),ISNUMBER(SEARCH("tampilan dibuat",V706&amp;" ")),ISNUMBER(SEARCH("tamoilan",V706&amp;" ")),ISNUMBER(SEARCH("lebih user friendly",V706&amp;" "))),"Desain, Warna &amp; Font",IF(OR(ISNUMBER(SEARCH("perbanyak",V706&amp;" ")),ISNUMBER(SEARCH("jabarkan",V706&amp;" ")),ISNUMBER(SEARCH("jobdesk",V706&amp;" ")),ISNUMBER(SEARCH("pengajuan",V706&amp;" ")),ISNUMBER(SEARCH("informasi",V706&amp;" "))),"Penambahan Isi / Penjelasan",IF(OR(ISNUMBER(SEARCH("tingkat",V706&amp;" ")),ISNUMBER(SEARCH("kembang",V706&amp;" ")),ISNUMBER(SEARCH("lebih baik lagi",V706&amp;" ")),ISNUMBER(SEARCH("maksimal",V706&amp;" ")),ISNUMBER(SEARCH("penikatan",V706&amp;" "))),"Saran Umum Peningkatan",IF(OR(ISNUMBER(SEARCH("tidak",V706&amp;" ")),ISNUMBER(SEARCH("tdk",V706&amp;" ")),ISNUMBER(SEARCH("sudah",V706&amp;" ")),ISNUMBER(SEARCH("sdh",V706&amp;" ")),ISNUMBER(SEARCH("cukup",V706&amp;" ")),ISNUMBER(SEARCH("baik",V706&amp;" ")),ISNUMBER(SEARCH("bagus",V706&amp;" ")),ISNUMBER(SEARCH("ok",V706&amp;" ")),ISNUMBER(SEARCH("good",V706&amp;" ")),ISNUMBER(SEARCH("aman",V706&amp;" ")),ISNUMBER(SEARCH("lanjut",V706&amp;" ")),ISNUMBER(SEARCH("mantap",V706&amp;" ")),ISNUMBER(SEARCH("josjis",V706&amp;" ")),ISNUMBER(SEARCH("lumayan",V706&amp;" ")),ISNUMBER(SEARCH("mudah",V706&amp;" ")),ISNUMBER(SEARCH("belum",V706&amp;" ")),ISNUMBER(SEARCH("membantu",V706&amp;" ")),ISNUMBER(SEARCH("comment",V706&amp;" ")),ISNUMBER(SEARCH("lengkap",V706&amp;" ")),ISNUMBER(SEARCH("tercakup",V706&amp;" ")),ISNUMBER(SEARCH("mencakup",V706&amp;" ")),ISNUMBER(SEARCH("semua",V706&amp;" ")),ISNUMBER(SEARCH("penting",V706&amp;" ")),ISNUMBER(SEARCH("terangkum",V706&amp;" ")),ISNUMBER(SEARCH("pas",V706&amp;" ")),ISNUMBER(SEARCH("berjalan",V706&amp;" ")),ISNUMBER(SEARCH("sesuai",V706&amp;" "))),"Tidak ada masukan / sudah baik","Lainnya (perlu dibaca manual)"))))))))))))))</f>
        <v/>
      </c>
      <c r="AA706" s="8" t="str">
        <f t="shared" ref="AA706:AA769" si="244">IF($A706="","",IF(LEN(SUBSTITUTE(SUBSTITUTE(SUBSTITUTE(W706,"-",""),".",""),"?",""))&lt;2,"Tidak ada masukan / sudah baik",IF(OR(ISNUMBER(SEARCH("tampilan",W706&amp;" ")),ISNUMBER(SEARCH("lemot",W706&amp;" "))),"Bukan Terkait SOP (Tampilan / Akses)",IF(OR(ISNUMBER(SEARCH("sanksi",W706&amp;" ")),ISNUMBER(SEARCH("pelanggaran",W706&amp;" ")),ISNUMBER(SEARCH("larangan",W706&amp;" ")),ISNUMBER(SEARCH("rekening pribadi",W706&amp;" "))),"Sanksi &amp; Pelanggaran SOP",IF(OR(ISNUMBER(SEARCH("npl",W706&amp;" ")),ISNUMBER(SEARCH("piutang",W706&amp;" ")),ISNUMBER(SEARCH("rekon",W706&amp;" ")),ISNUMBER(SEARCH("overdue",W706&amp;" ")),ISNUMBER(SEARCH("restruk",W706&amp;" ")),ISNUMBER(SEARCH("tempo",W706&amp;" "))),"Piutang &amp; Pelanggan Bermasalah",IF(OR(ISNUMBER(SEARCH("kiriman",W706&amp;" ")),ISNUMBER(SEARCH("pengiriman",W706&amp;" ")),ISNUMBER(SEARCH("retur",W706&amp;" ")),ISNUMBER(SEARCH("barang",W706&amp;" "))),"Pengiriman, Retur &amp; Logistik",IF(OR(ISNUMBER(SEARCH("contact",W706&amp;" ")),ISNUMBER(SEARCH("kontak",W706&amp;" ")),ISNUMBER(SEARCH("pic",W706&amp;" ")),ISNUMBER(SEARCH("berwenang",W706&amp;" ")),ISNUMBER(SEARCH("follow up",W706&amp;" ")),ISNUMBER(SEARCH("eskalasi",W706&amp;" "))),"Kontak PIC &amp; Eskalasi",IF(OR(ISNUMBER(SEARCH("laporan evaluasi",W706&amp;" ")),ISNUMBER(SEARCH("aplikasi cp",W706&amp;" ")),ISNUMBER(SEARCH("flowchart",W706&amp;" ")),ISNUMBER(SEARCH("acuan",W706&amp;" ")),ISNUMBER(SEARCH("poa",W706&amp;" ")),ISNUMBER(SEARCH("aktifitas",W706&amp;" ")),ISNUMBER(SEARCH("aktivitas",W706&amp;" "))),"Panduan Laporan &amp; Alur Kerja",IF(OR(ISNUMBER(SEARCH("notifikasi",W706&amp;" ")),ISNUMBER(SEARCH("pembaruan",W706&amp;" ")),ISNUMBER(SEARCH("perubahan",W706&amp;" ")),ISNUMBER(SEARCH("update",W706&amp;" "))),"Pembaruan &amp; Notifikasi SOP",IF(OR(ISNUMBER(SEARCH("tidak",W706&amp;" ")),ISNUMBER(SEARCH("tdk",W706&amp;" ")),ISNUMBER(SEARCH("sudah",W706&amp;" ")),ISNUMBER(SEARCH("sdh",W706&amp;" ")),ISNUMBER(SEARCH("cukup",W706&amp;" ")),ISNUMBER(SEARCH("baik",W706&amp;" ")),ISNUMBER(SEARCH("bagus",W706&amp;" ")),ISNUMBER(SEARCH("ok",W706&amp;" ")),ISNUMBER(SEARCH("good",W706&amp;" ")),ISNUMBER(SEARCH("aman",W706&amp;" ")),ISNUMBER(SEARCH("lanjut",W706&amp;" ")),ISNUMBER(SEARCH("mantap",W706&amp;" ")),ISNUMBER(SEARCH("josjis",W706&amp;" ")),ISNUMBER(SEARCH("lumayan",W706&amp;" ")),ISNUMBER(SEARCH("mudah",W706&amp;" ")),ISNUMBER(SEARCH("belum",W706&amp;" ")),ISNUMBER(SEARCH("membantu",W706&amp;" ")),ISNUMBER(SEARCH("comment",W706&amp;" ")),ISNUMBER(SEARCH("lengkap",W706&amp;" ")),ISNUMBER(SEARCH("tercakup",W706&amp;" ")),ISNUMBER(SEARCH("mencakup",W706&amp;" ")),ISNUMBER(SEARCH("semua",W706&amp;" ")),ISNUMBER(SEARCH("penting",W706&amp;" ")),ISNUMBER(SEARCH("terangkum",W706&amp;" ")),ISNUMBER(SEARCH("pas",W706&amp;" ")),ISNUMBER(SEARCH("berjalan",W706&amp;" ")),ISNUMBER(SEARCH("sesuai",W706&amp;" "))),"Tidak ada masukan / sudah baik","Lainnya (perlu dibaca manual)"))))))))))</f>
        <v/>
      </c>
      <c r="AB706" s="8" t="str">
        <f t="shared" ref="AB706:AB769" si="245">IF($A706="","",IF(LEN(SUBSTITUTE(SUBSTITUTE(SUBSTITUTE(X706,"-",""),".",""),"?",""))&lt;2,"Tidak ada masukan / sudah baik",IF(OR(ISNUMBER(SEARCH("urgent",X706&amp;" "))),"Lainnya (perlu dibaca manual)",IF(OR(ISNUMBER(SEARCH("struktur organisasi",X706&amp;" ")),ISNUMBER(SEARCH("pic",X706&amp;" ")),ISNUMBER(SEARCH("cp",X706&amp;" ")),ISNUMBER(SEARCH("personil",X706&amp;" ")),ISNUMBER(SEARCH("sales",X706&amp;" ")),ISNUMBER(SEARCH("muka",X706&amp;" ")),ISNUMBER(SEARCH("eskalasi",X706&amp;" "))),"Struktur Organisasi, PIC &amp; Tim",IF(OR(ISNUMBER(SEARCH("lemot",X706&amp;" ")),ISNUMBER(SEARCH("lambat",X706&amp;" ")),ISNUMBER(SEARCH("memuat",X706&amp;" ")),ISNUMBER(SEARCH("koneksi",X706&amp;" "))),"Kecepatan Akses Website",IF(OR(ISNUMBER(SEARCH("sacs",X706&amp;" ")),ISNUMBER(SEARCH("aplikasi",X706&amp;" "))),"Integrasi ke SACS / Aplikasi Kerja",IF(OR(ISNUMBER(SEARCH("dashboard",X706&amp;" ")),ISNUMBER(SEARCH("kpi",X706&amp;" ")),ISNUMBER(SEARCH("database",X706&amp;" ")),ISNUMBER(SEARCH("kinerja",X706&amp;" ")),ISNUMBER(SEARCH("seluruh cabang",X706&amp;" "))),"Fitur Baru (Dashboard / KPI / Database)",IF(OR(ISNUMBER(SEARCH("video",X706&amp;" ")),ISNUMBER(SEARCH("gambar",X706&amp;" ")),ISNUMBER(SEARCH("jpg",X706&amp;" ")),ISNUMBER(SEARCH("flowchart",X706&amp;" ")),ISNUMBER(SEARCH("tutorial",X706&amp;" "))),"Tambah Video / Gambar / Flowchart",IF(OR(ISNUMBER(SEARCH("template",X706&amp;" ")),ISNUMBER(SEARCH("surat",X706&amp;" ")),ISNUMBER(SEARCH("korin",X706&amp;" ")),ISNUMBER(SEARCH("overdue",X706&amp;" ")),ISNUMBER(SEARCH("restruk",X706&amp;" ")),ISNUMBER(SEARCH("tempo",X706&amp;" ")),ISNUMBER(SEARCH("larangan",X706&amp;" ")),ISNUMBER(SEARCH("posisi lain",X706&amp;" ")),ISNUMBER(SEARCH("jobdesk",X706&amp;" ")),ISNUMBER(SEARCH("jobdisk",X706&amp;" ")),ISNUMBER(SEARCH("langkah",X706&amp;" ")),ISNUMBER(SEARCH("detail",X706&amp;" ")),ISNUMBER(SEARCH("panduan",X706&amp;" ")),ISNUMBER(SEARCH("lengkap lagi",X706&amp;" ")),ISNUMBER(SEARCH("tips",X706&amp;" "))),"Penambahan Materi &amp; Template",IF(OR(ISNUMBER(SEARCH("simpel",X706&amp;" ")),ISNUMBER(SEARCH("simple",X706&amp;" ")),ISNUMBER(SEARCH("ringkas",X706&amp;" ")),ISNUMBER(SEARCH("monoton",X706&amp;" ")),ISNUMBER(SEARCH("penataan",X706&amp;" "))),"Penyederhanaan Isi",IF(OR(ISNUMBER(SEARCH("menarik",X706&amp;" ")),ISNUMBER(SEARCH("design",X706&amp;" ")),ISNUMBER(SEARCH("desain",X706&amp;" ")),ISNUMBER(SEARCH("tampilan",X706&amp;" ")),ISNUMBER(SEARCH("kaku",X706&amp;" ")),ISNUMBER(SEARCH("user friendly",X706&amp;" "))),"Desain Tampilan",IF(OR(ISNUMBER(SEARCH("update",X706&amp;" ")),ISNUMBER(SEARCH("terbaru",X706&amp;" ")),ISNUMBER(SEARCH("terkini",X706&amp;" ")),ISNUMBER(SEARCH("uptodate",X706&amp;" "))),"Update Informasi Berkala",IF(OR(ISNUMBER(SEARCH("tingkat",X706&amp;" ")),ISNUMBER(SEARCH("kembang",X706&amp;" ")),ISNUMBER(SEARCH("inovasi",X706&amp;" ")),ISNUMBER(SEARCH("maintenance",X706&amp;" "))),"Saran Umum Peningkatan",IF(OR(ISNUMBER(SEARCH("tidak",X706&amp;" ")),ISNUMBER(SEARCH("tdk",X706&amp;" ")),ISNUMBER(SEARCH("sudah",X706&amp;" ")),ISNUMBER(SEARCH("sdh",X706&amp;" ")),ISNUMBER(SEARCH("cukup",X706&amp;" ")),ISNUMBER(SEARCH("baik",X706&amp;" ")),ISNUMBER(SEARCH("bagus",X706&amp;" ")),ISNUMBER(SEARCH("ok",X706&amp;" ")),ISNUMBER(SEARCH("good",X706&amp;" ")),ISNUMBER(SEARCH("aman",X706&amp;" ")),ISNUMBER(SEARCH("lanjut",X706&amp;" ")),ISNUMBER(SEARCH("mantap",X706&amp;" ")),ISNUMBER(SEARCH("josjis",X706&amp;" ")),ISNUMBER(SEARCH("lumayan",X706&amp;" ")),ISNUMBER(SEARCH("mudah",X706&amp;" ")),ISNUMBER(SEARCH("belum",X706&amp;" ")),ISNUMBER(SEARCH("membantu",X706&amp;" ")),ISNUMBER(SEARCH("comment",X706&amp;" ")),ISNUMBER(SEARCH("lengkap",X706&amp;" ")),ISNUMBER(SEARCH("tercakup",X706&amp;" ")),ISNUMBER(SEARCH("mencakup",X706&amp;" ")),ISNUMBER(SEARCH("semua",X706&amp;" ")),ISNUMBER(SEARCH("penting",X706&amp;" ")),ISNUMBER(SEARCH("terangkum",X706&amp;" ")),ISNUMBER(SEARCH("pas",X706&amp;" ")),ISNUMBER(SEARCH("berjalan",X706&amp;" ")),ISNUMBER(SEARCH("sesuai",X706&amp;" "))),"Tidak ada masukan / sudah baik","Lainnya (perlu dibaca manual)"))))))))))))))</f>
        <v/>
      </c>
      <c r="AC706" s="8"/>
      <c r="AD706" s="8"/>
      <c r="AE706" s="8"/>
      <c r="AK706" s="5" t="str">
        <f t="shared" ref="AK706:AK769" si="246">IF($A706="","",IF(OR($Z706="Kecepatan &amp; Loading Website",$AB706="Kecepatan Akses Website",AND($AA706="Bukan Terkait SOP (Tampilan / Akses)",OR(ISNUMBER(SEARCH("lemot",$W706)),ISNUMBER(SEARCH("loading",$W706)),ISNUMBER(SEARCH("lambat",$W706))))),1,0))</f>
        <v/>
      </c>
      <c r="AL706" s="5" t="str">
        <f t="shared" ref="AL706:AL769" si="247">IF($A706="","",IF(OR($Z706="Tampilan di HP (Responsif)"),1,0))</f>
        <v/>
      </c>
      <c r="AM706" s="5" t="str">
        <f t="shared" ref="AM706:AM769" si="248">IF($A706="","",IF(OR($Z706="Desain, Warna &amp; Font",$AB706="Desain Tampilan",AND($AA706="Bukan Terkait SOP (Tampilan / Akses)",NOT(OR(ISNUMBER(SEARCH("lemot",$W706)),ISNUMBER(SEARCH("loading",$W706)),ISNUMBER(SEARCH("lambat",$W706)))))),1,0))</f>
        <v/>
      </c>
      <c r="AN706" s="5" t="str">
        <f t="shared" ref="AN706:AN769" si="249">IF($A706="","",IF(OR($Z706="Menu per Jabatan / Navigasi"),1,0))</f>
        <v/>
      </c>
      <c r="AO706" s="5" t="str">
        <f t="shared" ref="AO706:AO769" si="250">IF($A706="","",IF(OR($Z706="Integrasi dengan SACS / Aplikasi",$AB706="Integrasi ke SACS / Aplikasi Kerja"),1,0))</f>
        <v/>
      </c>
      <c r="AP706" s="5" t="str">
        <f t="shared" ref="AP706:AP769" si="251">IF($A706="","",IF(OR($AB706="Fitur Baru (Dashboard / KPI / Database)"),1,0))</f>
        <v/>
      </c>
      <c r="AQ706" s="5" t="str">
        <f t="shared" ref="AQ706:AQ769" si="252">IF($A706="","",IF(OR($Z706="Penyederhanaan &amp; Ringkas Isi",$AB706="Penyederhanaan Isi"),1,0))</f>
        <v/>
      </c>
      <c r="AR706" s="5" t="str">
        <f t="shared" ref="AR706:AR769" si="253">IF($A706="","",IF(OR($Z706="Penambahan Isi / Penjelasan",$AB706="Penambahan Materi &amp; Template"),1,0))</f>
        <v/>
      </c>
      <c r="AS706" s="5" t="str">
        <f t="shared" ref="AS706:AS769" si="254">IF($A706="","",IF(OR($Z706="Tambah Video / Bagan",$AB706="Tambah Video / Gambar / Flowchart"),1,0))</f>
        <v/>
      </c>
      <c r="AT706" s="5" t="str">
        <f t="shared" ref="AT706:AT769" si="255">IF($A706="","",IF(OR($Z706="Kontak &amp; Informasi PIC",$AA706="Kontak PIC &amp; Eskalasi",$AB706="Struktur Organisasi, PIC &amp; Tim"),1,0))</f>
        <v/>
      </c>
      <c r="AU706" s="5" t="str">
        <f t="shared" ref="AU706:AU769" si="256">IF($A706="","",IF(OR($AA706="Pembaruan &amp; Notifikasi SOP",$AB706="Update Informasi Berkala"),1,0))</f>
        <v/>
      </c>
      <c r="AV706" s="5" t="str">
        <f t="shared" ref="AV706:AV769" si="257">IF($A706="","",IF(OR($AA706="Sanksi &amp; Pelanggaran SOP"),1,0))</f>
        <v/>
      </c>
      <c r="AW706" s="5" t="str">
        <f t="shared" ref="AW706:AW769" si="258">IF($A706="","",IF(OR($AA706="Piutang &amp; Pelanggan Bermasalah"),1,0))</f>
        <v/>
      </c>
      <c r="AX706" s="5" t="str">
        <f t="shared" ref="AX706:AX769" si="259">IF($A706="","",IF(OR($AA706="Pengiriman, Retur &amp; Logistik"),1,0))</f>
        <v/>
      </c>
      <c r="AY706" s="5" t="str">
        <f t="shared" ref="AY706:AY769" si="260">IF($A706="","",IF(OR($AA706="Panduan Laporan &amp; Alur Kerja"),1,0))</f>
        <v/>
      </c>
      <c r="AZ706" s="5" t="str">
        <f t="shared" ref="AZ706:AZ769" si="261">IF($A706="","",IF(OR($Z706="Saran Umum Peningkatan",$AB706="Saran Umum Peningkatan"),1,0))</f>
        <v/>
      </c>
      <c r="BA706" s="5" t="str">
        <f t="shared" ref="BA706:BA769" si="262">IF($A706="","",IF(OR($Z706="Lainnya (perlu dibaca manual)",$AA706="Lainnya (perlu dibaca manual)",$AB706="Lainnya (perlu dibaca manual)"),1,0))</f>
        <v/>
      </c>
      <c r="BB706" s="5" t="str">
        <f t="shared" ref="BB706:BB769" si="263">IF($A706="","",IF(AND($Z706="Tidak ada masukan / sudah baik",$AA706="Tidak ada masukan / sudah baik",$AB706="Tidak ada masukan / sudah baik"),0,1))</f>
        <v/>
      </c>
    </row>
    <row r="707" spans="1:54" s="5" customFormat="1" hidden="1">
      <c r="A707" s="8" t="str">
        <f>IF(INDEX(FORM!$A:$A,ROW())="","",ROW()-1)</f>
        <v/>
      </c>
      <c r="B707" s="41" t="str">
        <f>IF($A707="","",INDEX(FORM!$A:$A,ROW()))</f>
        <v/>
      </c>
      <c r="C707" s="8" t="str">
        <f>IF($A707="","",TRIM(INDEX(FORM!$B:$B,ROW())))</f>
        <v/>
      </c>
      <c r="D707" s="8" t="str">
        <f>IF($A707="","",TRIM(INDEX(FORM!$C:$C,ROW())&amp;""))</f>
        <v/>
      </c>
      <c r="E707" s="8" t="str">
        <f>IF($A707="","",UPPER(TRIM(INDEX(FORM!$D:$D,ROW()))))</f>
        <v/>
      </c>
      <c r="F707" s="8" t="str">
        <f>IF($A707="","",IFERROR(INDEX(PROGRES!$A$2:$A$92,MATCH(E707,PROGRES!$B$2:$B$92,0)),"-"))</f>
        <v/>
      </c>
      <c r="G707" s="8" t="str">
        <f>IF($A707="","",UPPER(TRIM(INDEX(FORM!$F:$F,ROW()))))</f>
        <v/>
      </c>
      <c r="H707" s="8" t="str">
        <f>IF($A707="","",UPPER(TRIM(INDEX(FORM!$E:$E,ROW()))))</f>
        <v/>
      </c>
      <c r="I707" s="8" t="str">
        <f>IF($A707="","",UPPER(TRIM(INDEX(FORM!$G:$G,ROW()))))</f>
        <v/>
      </c>
      <c r="J707" s="8" t="str">
        <f>IF($A707="","",IF(ISNUMBER(SEARCH("Ya,",INDEX(FORM!$H:$H,ROW()))),"YA",IF(ISNUMBER(SEARCH("Cukup,",INDEX(FORM!$H:$H,ROW()))),"CUKUP",IF(ISNUMBER(SEARCH("Kurang,",INDEX(FORM!$H:$H,ROW()))),"KURANG",""))))</f>
        <v/>
      </c>
      <c r="K707" s="8" t="str">
        <f>IF($A707="","",UPPER(TRIM(INDEX(FORM!$J:$J,ROW()))))</f>
        <v/>
      </c>
      <c r="L707" s="8" t="str">
        <f>IF($A707="","",IF(ISNUMBER(SEARCH("Aktivitas Harian",INDEX(FORM!$K:$K,ROW()))),1,0))</f>
        <v/>
      </c>
      <c r="M707" s="8" t="str">
        <f>IF($A707="","",IF(ISNUMBER(SEARCH("Aktivitas Mingguan",INDEX(FORM!$K:$K,ROW()))),1,0))</f>
        <v/>
      </c>
      <c r="N707" s="8" t="str">
        <f>IF($A707="","",IF(ISNUMBER(SEARCH("Aktivitas Bulanan",INDEX(FORM!$K:$K,ROW()))),1,0))</f>
        <v/>
      </c>
      <c r="O707" s="8" t="str">
        <f>IF($A707="","",IF(ISNUMBER(SEARCH("Overview Cabang",INDEX(FORM!$K:$K,ROW()))),1,0))</f>
        <v/>
      </c>
      <c r="P707" s="8" t="str">
        <f>IF($A707="","",IFERROR(VLOOKUP(I707,DATA!$AH$9:$AI$13,2,0),""))</f>
        <v/>
      </c>
      <c r="Q707" s="8" t="str">
        <f>IF($A707="","",IFERROR(VLOOKUP(J707,DATA!$AH$9:$AI$13,2,0),""))</f>
        <v/>
      </c>
      <c r="R707" s="8" t="str">
        <f>IF($A707="","",IFERROR(VLOOKUP(K707,DATA!$AH$9:$AI$13,2,0),""))</f>
        <v/>
      </c>
      <c r="S707" s="42" t="str">
        <f t="shared" si="242"/>
        <v/>
      </c>
      <c r="T707" s="8" t="str">
        <f>IF($A707="","",IF(COUNTIF($D$2:D707,D707)=1,1,0))</f>
        <v/>
      </c>
      <c r="U707" s="8" t="str">
        <f>IF($A707="","",IF(F707="-","Cabang tdk ada",IF(IFERROR(VLOOKUP(G707,#REF!,1,0),"")="","",IF(INDEX(DATA!$AH$2:$AH$5,MATCH(G707,DATA!$AI$2:$AI$5,0))&lt;&gt;F707,"Wilayah beda","OK"))))</f>
        <v/>
      </c>
      <c r="V707" s="8" t="str">
        <f>IF($A707="","",TRIM(INDEX(FORM!$I:$I,ROW())&amp;""))</f>
        <v/>
      </c>
      <c r="W707" s="8" t="str">
        <f>IF($A707="","",TRIM(INDEX(FORM!$L:$L,ROW())&amp;""))</f>
        <v/>
      </c>
      <c r="X707" s="8" t="str">
        <f>IF($A707="","",TRIM(INDEX(FORM!$M:$M,ROW())&amp;""))</f>
        <v/>
      </c>
      <c r="Y707" s="8" t="str">
        <f>IF($A707="","",IFERROR(MATCH(F707,DATA!$AH$2:$AH$5,0),9)*10000+A707)</f>
        <v/>
      </c>
      <c r="Z707" s="8" t="str">
        <f t="shared" si="243"/>
        <v/>
      </c>
      <c r="AA707" s="8" t="str">
        <f t="shared" si="244"/>
        <v/>
      </c>
      <c r="AB707" s="8" t="str">
        <f t="shared" si="245"/>
        <v/>
      </c>
      <c r="AC707" s="8"/>
      <c r="AD707" s="8"/>
      <c r="AE707" s="8"/>
      <c r="AK707" s="5" t="str">
        <f t="shared" si="246"/>
        <v/>
      </c>
      <c r="AL707" s="5" t="str">
        <f t="shared" si="247"/>
        <v/>
      </c>
      <c r="AM707" s="5" t="str">
        <f t="shared" si="248"/>
        <v/>
      </c>
      <c r="AN707" s="5" t="str">
        <f t="shared" si="249"/>
        <v/>
      </c>
      <c r="AO707" s="5" t="str">
        <f t="shared" si="250"/>
        <v/>
      </c>
      <c r="AP707" s="5" t="str">
        <f t="shared" si="251"/>
        <v/>
      </c>
      <c r="AQ707" s="5" t="str">
        <f t="shared" si="252"/>
        <v/>
      </c>
      <c r="AR707" s="5" t="str">
        <f t="shared" si="253"/>
        <v/>
      </c>
      <c r="AS707" s="5" t="str">
        <f t="shared" si="254"/>
        <v/>
      </c>
      <c r="AT707" s="5" t="str">
        <f t="shared" si="255"/>
        <v/>
      </c>
      <c r="AU707" s="5" t="str">
        <f t="shared" si="256"/>
        <v/>
      </c>
      <c r="AV707" s="5" t="str">
        <f t="shared" si="257"/>
        <v/>
      </c>
      <c r="AW707" s="5" t="str">
        <f t="shared" si="258"/>
        <v/>
      </c>
      <c r="AX707" s="5" t="str">
        <f t="shared" si="259"/>
        <v/>
      </c>
      <c r="AY707" s="5" t="str">
        <f t="shared" si="260"/>
        <v/>
      </c>
      <c r="AZ707" s="5" t="str">
        <f t="shared" si="261"/>
        <v/>
      </c>
      <c r="BA707" s="5" t="str">
        <f t="shared" si="262"/>
        <v/>
      </c>
      <c r="BB707" s="5" t="str">
        <f t="shared" si="263"/>
        <v/>
      </c>
    </row>
    <row r="708" spans="1:54" s="5" customFormat="1" hidden="1">
      <c r="A708" s="8" t="str">
        <f>IF(INDEX(FORM!$A:$A,ROW())="","",ROW()-1)</f>
        <v/>
      </c>
      <c r="B708" s="41" t="str">
        <f>IF($A708="","",INDEX(FORM!$A:$A,ROW()))</f>
        <v/>
      </c>
      <c r="C708" s="8" t="str">
        <f>IF($A708="","",TRIM(INDEX(FORM!$B:$B,ROW())))</f>
        <v/>
      </c>
      <c r="D708" s="8" t="str">
        <f>IF($A708="","",TRIM(INDEX(FORM!$C:$C,ROW())&amp;""))</f>
        <v/>
      </c>
      <c r="E708" s="8" t="str">
        <f>IF($A708="","",UPPER(TRIM(INDEX(FORM!$D:$D,ROW()))))</f>
        <v/>
      </c>
      <c r="F708" s="8" t="str">
        <f>IF($A708="","",IFERROR(INDEX(PROGRES!$A$2:$A$92,MATCH(E708,PROGRES!$B$2:$B$92,0)),"-"))</f>
        <v/>
      </c>
      <c r="G708" s="8" t="str">
        <f>IF($A708="","",UPPER(TRIM(INDEX(FORM!$F:$F,ROW()))))</f>
        <v/>
      </c>
      <c r="H708" s="8" t="str">
        <f>IF($A708="","",UPPER(TRIM(INDEX(FORM!$E:$E,ROW()))))</f>
        <v/>
      </c>
      <c r="I708" s="8" t="str">
        <f>IF($A708="","",UPPER(TRIM(INDEX(FORM!$G:$G,ROW()))))</f>
        <v/>
      </c>
      <c r="J708" s="8" t="str">
        <f>IF($A708="","",IF(ISNUMBER(SEARCH("Ya,",INDEX(FORM!$H:$H,ROW()))),"YA",IF(ISNUMBER(SEARCH("Cukup,",INDEX(FORM!$H:$H,ROW()))),"CUKUP",IF(ISNUMBER(SEARCH("Kurang,",INDEX(FORM!$H:$H,ROW()))),"KURANG",""))))</f>
        <v/>
      </c>
      <c r="K708" s="8" t="str">
        <f>IF($A708="","",UPPER(TRIM(INDEX(FORM!$J:$J,ROW()))))</f>
        <v/>
      </c>
      <c r="L708" s="8" t="str">
        <f>IF($A708="","",IF(ISNUMBER(SEARCH("Aktivitas Harian",INDEX(FORM!$K:$K,ROW()))),1,0))</f>
        <v/>
      </c>
      <c r="M708" s="8" t="str">
        <f>IF($A708="","",IF(ISNUMBER(SEARCH("Aktivitas Mingguan",INDEX(FORM!$K:$K,ROW()))),1,0))</f>
        <v/>
      </c>
      <c r="N708" s="8" t="str">
        <f>IF($A708="","",IF(ISNUMBER(SEARCH("Aktivitas Bulanan",INDEX(FORM!$K:$K,ROW()))),1,0))</f>
        <v/>
      </c>
      <c r="O708" s="8" t="str">
        <f>IF($A708="","",IF(ISNUMBER(SEARCH("Overview Cabang",INDEX(FORM!$K:$K,ROW()))),1,0))</f>
        <v/>
      </c>
      <c r="P708" s="8" t="str">
        <f>IF($A708="","",IFERROR(VLOOKUP(I708,DATA!$AH$9:$AI$13,2,0),""))</f>
        <v/>
      </c>
      <c r="Q708" s="8" t="str">
        <f>IF($A708="","",IFERROR(VLOOKUP(J708,DATA!$AH$9:$AI$13,2,0),""))</f>
        <v/>
      </c>
      <c r="R708" s="8" t="str">
        <f>IF($A708="","",IFERROR(VLOOKUP(K708,DATA!$AH$9:$AI$13,2,0),""))</f>
        <v/>
      </c>
      <c r="S708" s="42" t="str">
        <f t="shared" si="242"/>
        <v/>
      </c>
      <c r="T708" s="8" t="str">
        <f>IF($A708="","",IF(COUNTIF($D$2:D708,D708)=1,1,0))</f>
        <v/>
      </c>
      <c r="U708" s="8" t="str">
        <f>IF($A708="","",IF(F708="-","Cabang tdk ada",IF(IFERROR(VLOOKUP(G708,#REF!,1,0),"")="","",IF(INDEX(DATA!$AH$2:$AH$5,MATCH(G708,DATA!$AI$2:$AI$5,0))&lt;&gt;F708,"Wilayah beda","OK"))))</f>
        <v/>
      </c>
      <c r="V708" s="8" t="str">
        <f>IF($A708="","",TRIM(INDEX(FORM!$I:$I,ROW())&amp;""))</f>
        <v/>
      </c>
      <c r="W708" s="8" t="str">
        <f>IF($A708="","",TRIM(INDEX(FORM!$L:$L,ROW())&amp;""))</f>
        <v/>
      </c>
      <c r="X708" s="8" t="str">
        <f>IF($A708="","",TRIM(INDEX(FORM!$M:$M,ROW())&amp;""))</f>
        <v/>
      </c>
      <c r="Y708" s="8" t="str">
        <f>IF($A708="","",IFERROR(MATCH(F708,DATA!$AH$2:$AH$5,0),9)*10000+A708)</f>
        <v/>
      </c>
      <c r="Z708" s="8" t="str">
        <f t="shared" si="243"/>
        <v/>
      </c>
      <c r="AA708" s="8" t="str">
        <f t="shared" si="244"/>
        <v/>
      </c>
      <c r="AB708" s="8" t="str">
        <f t="shared" si="245"/>
        <v/>
      </c>
      <c r="AC708" s="8"/>
      <c r="AD708" s="8"/>
      <c r="AE708" s="8"/>
      <c r="AK708" s="5" t="str">
        <f t="shared" si="246"/>
        <v/>
      </c>
      <c r="AL708" s="5" t="str">
        <f t="shared" si="247"/>
        <v/>
      </c>
      <c r="AM708" s="5" t="str">
        <f t="shared" si="248"/>
        <v/>
      </c>
      <c r="AN708" s="5" t="str">
        <f t="shared" si="249"/>
        <v/>
      </c>
      <c r="AO708" s="5" t="str">
        <f t="shared" si="250"/>
        <v/>
      </c>
      <c r="AP708" s="5" t="str">
        <f t="shared" si="251"/>
        <v/>
      </c>
      <c r="AQ708" s="5" t="str">
        <f t="shared" si="252"/>
        <v/>
      </c>
      <c r="AR708" s="5" t="str">
        <f t="shared" si="253"/>
        <v/>
      </c>
      <c r="AS708" s="5" t="str">
        <f t="shared" si="254"/>
        <v/>
      </c>
      <c r="AT708" s="5" t="str">
        <f t="shared" si="255"/>
        <v/>
      </c>
      <c r="AU708" s="5" t="str">
        <f t="shared" si="256"/>
        <v/>
      </c>
      <c r="AV708" s="5" t="str">
        <f t="shared" si="257"/>
        <v/>
      </c>
      <c r="AW708" s="5" t="str">
        <f t="shared" si="258"/>
        <v/>
      </c>
      <c r="AX708" s="5" t="str">
        <f t="shared" si="259"/>
        <v/>
      </c>
      <c r="AY708" s="5" t="str">
        <f t="shared" si="260"/>
        <v/>
      </c>
      <c r="AZ708" s="5" t="str">
        <f t="shared" si="261"/>
        <v/>
      </c>
      <c r="BA708" s="5" t="str">
        <f t="shared" si="262"/>
        <v/>
      </c>
      <c r="BB708" s="5" t="str">
        <f t="shared" si="263"/>
        <v/>
      </c>
    </row>
    <row r="709" spans="1:54" s="5" customFormat="1" hidden="1">
      <c r="A709" s="8" t="str">
        <f>IF(INDEX(FORM!$A:$A,ROW())="","",ROW()-1)</f>
        <v/>
      </c>
      <c r="B709" s="41" t="str">
        <f>IF($A709="","",INDEX(FORM!$A:$A,ROW()))</f>
        <v/>
      </c>
      <c r="C709" s="8" t="str">
        <f>IF($A709="","",TRIM(INDEX(FORM!$B:$B,ROW())))</f>
        <v/>
      </c>
      <c r="D709" s="8" t="str">
        <f>IF($A709="","",TRIM(INDEX(FORM!$C:$C,ROW())&amp;""))</f>
        <v/>
      </c>
      <c r="E709" s="8" t="str">
        <f>IF($A709="","",UPPER(TRIM(INDEX(FORM!$D:$D,ROW()))))</f>
        <v/>
      </c>
      <c r="F709" s="8" t="str">
        <f>IF($A709="","",IFERROR(INDEX(PROGRES!$A$2:$A$92,MATCH(E709,PROGRES!$B$2:$B$92,0)),"-"))</f>
        <v/>
      </c>
      <c r="G709" s="8" t="str">
        <f>IF($A709="","",UPPER(TRIM(INDEX(FORM!$F:$F,ROW()))))</f>
        <v/>
      </c>
      <c r="H709" s="8" t="str">
        <f>IF($A709="","",UPPER(TRIM(INDEX(FORM!$E:$E,ROW()))))</f>
        <v/>
      </c>
      <c r="I709" s="8" t="str">
        <f>IF($A709="","",UPPER(TRIM(INDEX(FORM!$G:$G,ROW()))))</f>
        <v/>
      </c>
      <c r="J709" s="8" t="str">
        <f>IF($A709="","",IF(ISNUMBER(SEARCH("Ya,",INDEX(FORM!$H:$H,ROW()))),"YA",IF(ISNUMBER(SEARCH("Cukup,",INDEX(FORM!$H:$H,ROW()))),"CUKUP",IF(ISNUMBER(SEARCH("Kurang,",INDEX(FORM!$H:$H,ROW()))),"KURANG",""))))</f>
        <v/>
      </c>
      <c r="K709" s="8" t="str">
        <f>IF($A709="","",UPPER(TRIM(INDEX(FORM!$J:$J,ROW()))))</f>
        <v/>
      </c>
      <c r="L709" s="8" t="str">
        <f>IF($A709="","",IF(ISNUMBER(SEARCH("Aktivitas Harian",INDEX(FORM!$K:$K,ROW()))),1,0))</f>
        <v/>
      </c>
      <c r="M709" s="8" t="str">
        <f>IF($A709="","",IF(ISNUMBER(SEARCH("Aktivitas Mingguan",INDEX(FORM!$K:$K,ROW()))),1,0))</f>
        <v/>
      </c>
      <c r="N709" s="8" t="str">
        <f>IF($A709="","",IF(ISNUMBER(SEARCH("Aktivitas Bulanan",INDEX(FORM!$K:$K,ROW()))),1,0))</f>
        <v/>
      </c>
      <c r="O709" s="8" t="str">
        <f>IF($A709="","",IF(ISNUMBER(SEARCH("Overview Cabang",INDEX(FORM!$K:$K,ROW()))),1,0))</f>
        <v/>
      </c>
      <c r="P709" s="8" t="str">
        <f>IF($A709="","",IFERROR(VLOOKUP(I709,DATA!$AH$9:$AI$13,2,0),""))</f>
        <v/>
      </c>
      <c r="Q709" s="8" t="str">
        <f>IF($A709="","",IFERROR(VLOOKUP(J709,DATA!$AH$9:$AI$13,2,0),""))</f>
        <v/>
      </c>
      <c r="R709" s="8" t="str">
        <f>IF($A709="","",IFERROR(VLOOKUP(K709,DATA!$AH$9:$AI$13,2,0),""))</f>
        <v/>
      </c>
      <c r="S709" s="42" t="str">
        <f t="shared" si="242"/>
        <v/>
      </c>
      <c r="T709" s="8" t="str">
        <f>IF($A709="","",IF(COUNTIF($D$2:D709,D709)=1,1,0))</f>
        <v/>
      </c>
      <c r="U709" s="8" t="str">
        <f>IF($A709="","",IF(F709="-","Cabang tdk ada",IF(IFERROR(VLOOKUP(G709,#REF!,1,0),"")="","",IF(INDEX(DATA!$AH$2:$AH$5,MATCH(G709,DATA!$AI$2:$AI$5,0))&lt;&gt;F709,"Wilayah beda","OK"))))</f>
        <v/>
      </c>
      <c r="V709" s="8" t="str">
        <f>IF($A709="","",TRIM(INDEX(FORM!$I:$I,ROW())&amp;""))</f>
        <v/>
      </c>
      <c r="W709" s="8" t="str">
        <f>IF($A709="","",TRIM(INDEX(FORM!$L:$L,ROW())&amp;""))</f>
        <v/>
      </c>
      <c r="X709" s="8" t="str">
        <f>IF($A709="","",TRIM(INDEX(FORM!$M:$M,ROW())&amp;""))</f>
        <v/>
      </c>
      <c r="Y709" s="8" t="str">
        <f>IF($A709="","",IFERROR(MATCH(F709,DATA!$AH$2:$AH$5,0),9)*10000+A709)</f>
        <v/>
      </c>
      <c r="Z709" s="8" t="str">
        <f t="shared" si="243"/>
        <v/>
      </c>
      <c r="AA709" s="8" t="str">
        <f t="shared" si="244"/>
        <v/>
      </c>
      <c r="AB709" s="8" t="str">
        <f t="shared" si="245"/>
        <v/>
      </c>
      <c r="AC709" s="8"/>
      <c r="AD709" s="8"/>
      <c r="AE709" s="8"/>
      <c r="AK709" s="5" t="str">
        <f t="shared" si="246"/>
        <v/>
      </c>
      <c r="AL709" s="5" t="str">
        <f t="shared" si="247"/>
        <v/>
      </c>
      <c r="AM709" s="5" t="str">
        <f t="shared" si="248"/>
        <v/>
      </c>
      <c r="AN709" s="5" t="str">
        <f t="shared" si="249"/>
        <v/>
      </c>
      <c r="AO709" s="5" t="str">
        <f t="shared" si="250"/>
        <v/>
      </c>
      <c r="AP709" s="5" t="str">
        <f t="shared" si="251"/>
        <v/>
      </c>
      <c r="AQ709" s="5" t="str">
        <f t="shared" si="252"/>
        <v/>
      </c>
      <c r="AR709" s="5" t="str">
        <f t="shared" si="253"/>
        <v/>
      </c>
      <c r="AS709" s="5" t="str">
        <f t="shared" si="254"/>
        <v/>
      </c>
      <c r="AT709" s="5" t="str">
        <f t="shared" si="255"/>
        <v/>
      </c>
      <c r="AU709" s="5" t="str">
        <f t="shared" si="256"/>
        <v/>
      </c>
      <c r="AV709" s="5" t="str">
        <f t="shared" si="257"/>
        <v/>
      </c>
      <c r="AW709" s="5" t="str">
        <f t="shared" si="258"/>
        <v/>
      </c>
      <c r="AX709" s="5" t="str">
        <f t="shared" si="259"/>
        <v/>
      </c>
      <c r="AY709" s="5" t="str">
        <f t="shared" si="260"/>
        <v/>
      </c>
      <c r="AZ709" s="5" t="str">
        <f t="shared" si="261"/>
        <v/>
      </c>
      <c r="BA709" s="5" t="str">
        <f t="shared" si="262"/>
        <v/>
      </c>
      <c r="BB709" s="5" t="str">
        <f t="shared" si="263"/>
        <v/>
      </c>
    </row>
    <row r="710" spans="1:54" s="5" customFormat="1" hidden="1">
      <c r="A710" s="8" t="str">
        <f>IF(INDEX(FORM!$A:$A,ROW())="","",ROW()-1)</f>
        <v/>
      </c>
      <c r="B710" s="41" t="str">
        <f>IF($A710="","",INDEX(FORM!$A:$A,ROW()))</f>
        <v/>
      </c>
      <c r="C710" s="8" t="str">
        <f>IF($A710="","",TRIM(INDEX(FORM!$B:$B,ROW())))</f>
        <v/>
      </c>
      <c r="D710" s="8" t="str">
        <f>IF($A710="","",TRIM(INDEX(FORM!$C:$C,ROW())&amp;""))</f>
        <v/>
      </c>
      <c r="E710" s="8" t="str">
        <f>IF($A710="","",UPPER(TRIM(INDEX(FORM!$D:$D,ROW()))))</f>
        <v/>
      </c>
      <c r="F710" s="8" t="str">
        <f>IF($A710="","",IFERROR(INDEX(PROGRES!$A$2:$A$92,MATCH(E710,PROGRES!$B$2:$B$92,0)),"-"))</f>
        <v/>
      </c>
      <c r="G710" s="8" t="str">
        <f>IF($A710="","",UPPER(TRIM(INDEX(FORM!$F:$F,ROW()))))</f>
        <v/>
      </c>
      <c r="H710" s="8" t="str">
        <f>IF($A710="","",UPPER(TRIM(INDEX(FORM!$E:$E,ROW()))))</f>
        <v/>
      </c>
      <c r="I710" s="8" t="str">
        <f>IF($A710="","",UPPER(TRIM(INDEX(FORM!$G:$G,ROW()))))</f>
        <v/>
      </c>
      <c r="J710" s="8" t="str">
        <f>IF($A710="","",IF(ISNUMBER(SEARCH("Ya,",INDEX(FORM!$H:$H,ROW()))),"YA",IF(ISNUMBER(SEARCH("Cukup,",INDEX(FORM!$H:$H,ROW()))),"CUKUP",IF(ISNUMBER(SEARCH("Kurang,",INDEX(FORM!$H:$H,ROW()))),"KURANG",""))))</f>
        <v/>
      </c>
      <c r="K710" s="8" t="str">
        <f>IF($A710="","",UPPER(TRIM(INDEX(FORM!$J:$J,ROW()))))</f>
        <v/>
      </c>
      <c r="L710" s="8" t="str">
        <f>IF($A710="","",IF(ISNUMBER(SEARCH("Aktivitas Harian",INDEX(FORM!$K:$K,ROW()))),1,0))</f>
        <v/>
      </c>
      <c r="M710" s="8" t="str">
        <f>IF($A710="","",IF(ISNUMBER(SEARCH("Aktivitas Mingguan",INDEX(FORM!$K:$K,ROW()))),1,0))</f>
        <v/>
      </c>
      <c r="N710" s="8" t="str">
        <f>IF($A710="","",IF(ISNUMBER(SEARCH("Aktivitas Bulanan",INDEX(FORM!$K:$K,ROW()))),1,0))</f>
        <v/>
      </c>
      <c r="O710" s="8" t="str">
        <f>IF($A710="","",IF(ISNUMBER(SEARCH("Overview Cabang",INDEX(FORM!$K:$K,ROW()))),1,0))</f>
        <v/>
      </c>
      <c r="P710" s="8" t="str">
        <f>IF($A710="","",IFERROR(VLOOKUP(I710,DATA!$AH$9:$AI$13,2,0),""))</f>
        <v/>
      </c>
      <c r="Q710" s="8" t="str">
        <f>IF($A710="","",IFERROR(VLOOKUP(J710,DATA!$AH$9:$AI$13,2,0),""))</f>
        <v/>
      </c>
      <c r="R710" s="8" t="str">
        <f>IF($A710="","",IFERROR(VLOOKUP(K710,DATA!$AH$9:$AI$13,2,0),""))</f>
        <v/>
      </c>
      <c r="S710" s="42" t="str">
        <f t="shared" si="242"/>
        <v/>
      </c>
      <c r="T710" s="8" t="str">
        <f>IF($A710="","",IF(COUNTIF($D$2:D710,D710)=1,1,0))</f>
        <v/>
      </c>
      <c r="U710" s="8" t="str">
        <f>IF($A710="","",IF(F710="-","Cabang tdk ada",IF(IFERROR(VLOOKUP(G710,#REF!,1,0),"")="","",IF(INDEX(DATA!$AH$2:$AH$5,MATCH(G710,DATA!$AI$2:$AI$5,0))&lt;&gt;F710,"Wilayah beda","OK"))))</f>
        <v/>
      </c>
      <c r="V710" s="8" t="str">
        <f>IF($A710="","",TRIM(INDEX(FORM!$I:$I,ROW())&amp;""))</f>
        <v/>
      </c>
      <c r="W710" s="8" t="str">
        <f>IF($A710="","",TRIM(INDEX(FORM!$L:$L,ROW())&amp;""))</f>
        <v/>
      </c>
      <c r="X710" s="8" t="str">
        <f>IF($A710="","",TRIM(INDEX(FORM!$M:$M,ROW())&amp;""))</f>
        <v/>
      </c>
      <c r="Y710" s="8" t="str">
        <f>IF($A710="","",IFERROR(MATCH(F710,DATA!$AH$2:$AH$5,0),9)*10000+A710)</f>
        <v/>
      </c>
      <c r="Z710" s="8" t="str">
        <f t="shared" si="243"/>
        <v/>
      </c>
      <c r="AA710" s="8" t="str">
        <f t="shared" si="244"/>
        <v/>
      </c>
      <c r="AB710" s="8" t="str">
        <f t="shared" si="245"/>
        <v/>
      </c>
      <c r="AC710" s="8"/>
      <c r="AD710" s="8"/>
      <c r="AE710" s="8"/>
      <c r="AK710" s="5" t="str">
        <f t="shared" si="246"/>
        <v/>
      </c>
      <c r="AL710" s="5" t="str">
        <f t="shared" si="247"/>
        <v/>
      </c>
      <c r="AM710" s="5" t="str">
        <f t="shared" si="248"/>
        <v/>
      </c>
      <c r="AN710" s="5" t="str">
        <f t="shared" si="249"/>
        <v/>
      </c>
      <c r="AO710" s="5" t="str">
        <f t="shared" si="250"/>
        <v/>
      </c>
      <c r="AP710" s="5" t="str">
        <f t="shared" si="251"/>
        <v/>
      </c>
      <c r="AQ710" s="5" t="str">
        <f t="shared" si="252"/>
        <v/>
      </c>
      <c r="AR710" s="5" t="str">
        <f t="shared" si="253"/>
        <v/>
      </c>
      <c r="AS710" s="5" t="str">
        <f t="shared" si="254"/>
        <v/>
      </c>
      <c r="AT710" s="5" t="str">
        <f t="shared" si="255"/>
        <v/>
      </c>
      <c r="AU710" s="5" t="str">
        <f t="shared" si="256"/>
        <v/>
      </c>
      <c r="AV710" s="5" t="str">
        <f t="shared" si="257"/>
        <v/>
      </c>
      <c r="AW710" s="5" t="str">
        <f t="shared" si="258"/>
        <v/>
      </c>
      <c r="AX710" s="5" t="str">
        <f t="shared" si="259"/>
        <v/>
      </c>
      <c r="AY710" s="5" t="str">
        <f t="shared" si="260"/>
        <v/>
      </c>
      <c r="AZ710" s="5" t="str">
        <f t="shared" si="261"/>
        <v/>
      </c>
      <c r="BA710" s="5" t="str">
        <f t="shared" si="262"/>
        <v/>
      </c>
      <c r="BB710" s="5" t="str">
        <f t="shared" si="263"/>
        <v/>
      </c>
    </row>
    <row r="711" spans="1:54" s="5" customFormat="1" hidden="1">
      <c r="A711" s="8" t="str">
        <f>IF(INDEX(FORM!$A:$A,ROW())="","",ROW()-1)</f>
        <v/>
      </c>
      <c r="B711" s="41" t="str">
        <f>IF($A711="","",INDEX(FORM!$A:$A,ROW()))</f>
        <v/>
      </c>
      <c r="C711" s="8" t="str">
        <f>IF($A711="","",TRIM(INDEX(FORM!$B:$B,ROW())))</f>
        <v/>
      </c>
      <c r="D711" s="8" t="str">
        <f>IF($A711="","",TRIM(INDEX(FORM!$C:$C,ROW())&amp;""))</f>
        <v/>
      </c>
      <c r="E711" s="8" t="str">
        <f>IF($A711="","",UPPER(TRIM(INDEX(FORM!$D:$D,ROW()))))</f>
        <v/>
      </c>
      <c r="F711" s="8" t="str">
        <f>IF($A711="","",IFERROR(INDEX(PROGRES!$A$2:$A$92,MATCH(E711,PROGRES!$B$2:$B$92,0)),"-"))</f>
        <v/>
      </c>
      <c r="G711" s="8" t="str">
        <f>IF($A711="","",UPPER(TRIM(INDEX(FORM!$F:$F,ROW()))))</f>
        <v/>
      </c>
      <c r="H711" s="8" t="str">
        <f>IF($A711="","",UPPER(TRIM(INDEX(FORM!$E:$E,ROW()))))</f>
        <v/>
      </c>
      <c r="I711" s="8" t="str">
        <f>IF($A711="","",UPPER(TRIM(INDEX(FORM!$G:$G,ROW()))))</f>
        <v/>
      </c>
      <c r="J711" s="8" t="str">
        <f>IF($A711="","",IF(ISNUMBER(SEARCH("Ya,",INDEX(FORM!$H:$H,ROW()))),"YA",IF(ISNUMBER(SEARCH("Cukup,",INDEX(FORM!$H:$H,ROW()))),"CUKUP",IF(ISNUMBER(SEARCH("Kurang,",INDEX(FORM!$H:$H,ROW()))),"KURANG",""))))</f>
        <v/>
      </c>
      <c r="K711" s="8" t="str">
        <f>IF($A711="","",UPPER(TRIM(INDEX(FORM!$J:$J,ROW()))))</f>
        <v/>
      </c>
      <c r="L711" s="8" t="str">
        <f>IF($A711="","",IF(ISNUMBER(SEARCH("Aktivitas Harian",INDEX(FORM!$K:$K,ROW()))),1,0))</f>
        <v/>
      </c>
      <c r="M711" s="8" t="str">
        <f>IF($A711="","",IF(ISNUMBER(SEARCH("Aktivitas Mingguan",INDEX(FORM!$K:$K,ROW()))),1,0))</f>
        <v/>
      </c>
      <c r="N711" s="8" t="str">
        <f>IF($A711="","",IF(ISNUMBER(SEARCH("Aktivitas Bulanan",INDEX(FORM!$K:$K,ROW()))),1,0))</f>
        <v/>
      </c>
      <c r="O711" s="8" t="str">
        <f>IF($A711="","",IF(ISNUMBER(SEARCH("Overview Cabang",INDEX(FORM!$K:$K,ROW()))),1,0))</f>
        <v/>
      </c>
      <c r="P711" s="8" t="str">
        <f>IF($A711="","",IFERROR(VLOOKUP(I711,DATA!$AH$9:$AI$13,2,0),""))</f>
        <v/>
      </c>
      <c r="Q711" s="8" t="str">
        <f>IF($A711="","",IFERROR(VLOOKUP(J711,DATA!$AH$9:$AI$13,2,0),""))</f>
        <v/>
      </c>
      <c r="R711" s="8" t="str">
        <f>IF($A711="","",IFERROR(VLOOKUP(K711,DATA!$AH$9:$AI$13,2,0),""))</f>
        <v/>
      </c>
      <c r="S711" s="42" t="str">
        <f t="shared" si="242"/>
        <v/>
      </c>
      <c r="T711" s="8" t="str">
        <f>IF($A711="","",IF(COUNTIF($D$2:D711,D711)=1,1,0))</f>
        <v/>
      </c>
      <c r="U711" s="8" t="str">
        <f>IF($A711="","",IF(F711="-","Cabang tdk ada",IF(IFERROR(VLOOKUP(G711,#REF!,1,0),"")="","",IF(INDEX(DATA!$AH$2:$AH$5,MATCH(G711,DATA!$AI$2:$AI$5,0))&lt;&gt;F711,"Wilayah beda","OK"))))</f>
        <v/>
      </c>
      <c r="V711" s="8" t="str">
        <f>IF($A711="","",TRIM(INDEX(FORM!$I:$I,ROW())&amp;""))</f>
        <v/>
      </c>
      <c r="W711" s="8" t="str">
        <f>IF($A711="","",TRIM(INDEX(FORM!$L:$L,ROW())&amp;""))</f>
        <v/>
      </c>
      <c r="X711" s="8" t="str">
        <f>IF($A711="","",TRIM(INDEX(FORM!$M:$M,ROW())&amp;""))</f>
        <v/>
      </c>
      <c r="Y711" s="8" t="str">
        <f>IF($A711="","",IFERROR(MATCH(F711,DATA!$AH$2:$AH$5,0),9)*10000+A711)</f>
        <v/>
      </c>
      <c r="Z711" s="8" t="str">
        <f t="shared" si="243"/>
        <v/>
      </c>
      <c r="AA711" s="8" t="str">
        <f t="shared" si="244"/>
        <v/>
      </c>
      <c r="AB711" s="8" t="str">
        <f t="shared" si="245"/>
        <v/>
      </c>
      <c r="AC711" s="8"/>
      <c r="AD711" s="8"/>
      <c r="AE711" s="8"/>
      <c r="AK711" s="5" t="str">
        <f t="shared" si="246"/>
        <v/>
      </c>
      <c r="AL711" s="5" t="str">
        <f t="shared" si="247"/>
        <v/>
      </c>
      <c r="AM711" s="5" t="str">
        <f t="shared" si="248"/>
        <v/>
      </c>
      <c r="AN711" s="5" t="str">
        <f t="shared" si="249"/>
        <v/>
      </c>
      <c r="AO711" s="5" t="str">
        <f t="shared" si="250"/>
        <v/>
      </c>
      <c r="AP711" s="5" t="str">
        <f t="shared" si="251"/>
        <v/>
      </c>
      <c r="AQ711" s="5" t="str">
        <f t="shared" si="252"/>
        <v/>
      </c>
      <c r="AR711" s="5" t="str">
        <f t="shared" si="253"/>
        <v/>
      </c>
      <c r="AS711" s="5" t="str">
        <f t="shared" si="254"/>
        <v/>
      </c>
      <c r="AT711" s="5" t="str">
        <f t="shared" si="255"/>
        <v/>
      </c>
      <c r="AU711" s="5" t="str">
        <f t="shared" si="256"/>
        <v/>
      </c>
      <c r="AV711" s="5" t="str">
        <f t="shared" si="257"/>
        <v/>
      </c>
      <c r="AW711" s="5" t="str">
        <f t="shared" si="258"/>
        <v/>
      </c>
      <c r="AX711" s="5" t="str">
        <f t="shared" si="259"/>
        <v/>
      </c>
      <c r="AY711" s="5" t="str">
        <f t="shared" si="260"/>
        <v/>
      </c>
      <c r="AZ711" s="5" t="str">
        <f t="shared" si="261"/>
        <v/>
      </c>
      <c r="BA711" s="5" t="str">
        <f t="shared" si="262"/>
        <v/>
      </c>
      <c r="BB711" s="5" t="str">
        <f t="shared" si="263"/>
        <v/>
      </c>
    </row>
    <row r="712" spans="1:54" s="5" customFormat="1" hidden="1">
      <c r="A712" s="8" t="str">
        <f>IF(INDEX(FORM!$A:$A,ROW())="","",ROW()-1)</f>
        <v/>
      </c>
      <c r="B712" s="41" t="str">
        <f>IF($A712="","",INDEX(FORM!$A:$A,ROW()))</f>
        <v/>
      </c>
      <c r="C712" s="8" t="str">
        <f>IF($A712="","",TRIM(INDEX(FORM!$B:$B,ROW())))</f>
        <v/>
      </c>
      <c r="D712" s="8" t="str">
        <f>IF($A712="","",TRIM(INDEX(FORM!$C:$C,ROW())&amp;""))</f>
        <v/>
      </c>
      <c r="E712" s="8" t="str">
        <f>IF($A712="","",UPPER(TRIM(INDEX(FORM!$D:$D,ROW()))))</f>
        <v/>
      </c>
      <c r="F712" s="8" t="str">
        <f>IF($A712="","",IFERROR(INDEX(PROGRES!$A$2:$A$92,MATCH(E712,PROGRES!$B$2:$B$92,0)),"-"))</f>
        <v/>
      </c>
      <c r="G712" s="8" t="str">
        <f>IF($A712="","",UPPER(TRIM(INDEX(FORM!$F:$F,ROW()))))</f>
        <v/>
      </c>
      <c r="H712" s="8" t="str">
        <f>IF($A712="","",UPPER(TRIM(INDEX(FORM!$E:$E,ROW()))))</f>
        <v/>
      </c>
      <c r="I712" s="8" t="str">
        <f>IF($A712="","",UPPER(TRIM(INDEX(FORM!$G:$G,ROW()))))</f>
        <v/>
      </c>
      <c r="J712" s="8" t="str">
        <f>IF($A712="","",IF(ISNUMBER(SEARCH("Ya,",INDEX(FORM!$H:$H,ROW()))),"YA",IF(ISNUMBER(SEARCH("Cukup,",INDEX(FORM!$H:$H,ROW()))),"CUKUP",IF(ISNUMBER(SEARCH("Kurang,",INDEX(FORM!$H:$H,ROW()))),"KURANG",""))))</f>
        <v/>
      </c>
      <c r="K712" s="8" t="str">
        <f>IF($A712="","",UPPER(TRIM(INDEX(FORM!$J:$J,ROW()))))</f>
        <v/>
      </c>
      <c r="L712" s="8" t="str">
        <f>IF($A712="","",IF(ISNUMBER(SEARCH("Aktivitas Harian",INDEX(FORM!$K:$K,ROW()))),1,0))</f>
        <v/>
      </c>
      <c r="M712" s="8" t="str">
        <f>IF($A712="","",IF(ISNUMBER(SEARCH("Aktivitas Mingguan",INDEX(FORM!$K:$K,ROW()))),1,0))</f>
        <v/>
      </c>
      <c r="N712" s="8" t="str">
        <f>IF($A712="","",IF(ISNUMBER(SEARCH("Aktivitas Bulanan",INDEX(FORM!$K:$K,ROW()))),1,0))</f>
        <v/>
      </c>
      <c r="O712" s="8" t="str">
        <f>IF($A712="","",IF(ISNUMBER(SEARCH("Overview Cabang",INDEX(FORM!$K:$K,ROW()))),1,0))</f>
        <v/>
      </c>
      <c r="P712" s="8" t="str">
        <f>IF($A712="","",IFERROR(VLOOKUP(I712,DATA!$AH$9:$AI$13,2,0),""))</f>
        <v/>
      </c>
      <c r="Q712" s="8" t="str">
        <f>IF($A712="","",IFERROR(VLOOKUP(J712,DATA!$AH$9:$AI$13,2,0),""))</f>
        <v/>
      </c>
      <c r="R712" s="8" t="str">
        <f>IF($A712="","",IFERROR(VLOOKUP(K712,DATA!$AH$9:$AI$13,2,0),""))</f>
        <v/>
      </c>
      <c r="S712" s="42" t="str">
        <f t="shared" si="242"/>
        <v/>
      </c>
      <c r="T712" s="8" t="str">
        <f>IF($A712="","",IF(COUNTIF($D$2:D712,D712)=1,1,0))</f>
        <v/>
      </c>
      <c r="U712" s="8" t="str">
        <f>IF($A712="","",IF(F712="-","Cabang tdk ada",IF(IFERROR(VLOOKUP(G712,#REF!,1,0),"")="","",IF(INDEX(DATA!$AH$2:$AH$5,MATCH(G712,DATA!$AI$2:$AI$5,0))&lt;&gt;F712,"Wilayah beda","OK"))))</f>
        <v/>
      </c>
      <c r="V712" s="8" t="str">
        <f>IF($A712="","",TRIM(INDEX(FORM!$I:$I,ROW())&amp;""))</f>
        <v/>
      </c>
      <c r="W712" s="8" t="str">
        <f>IF($A712="","",TRIM(INDEX(FORM!$L:$L,ROW())&amp;""))</f>
        <v/>
      </c>
      <c r="X712" s="8" t="str">
        <f>IF($A712="","",TRIM(INDEX(FORM!$M:$M,ROW())&amp;""))</f>
        <v/>
      </c>
      <c r="Y712" s="8" t="str">
        <f>IF($A712="","",IFERROR(MATCH(F712,DATA!$AH$2:$AH$5,0),9)*10000+A712)</f>
        <v/>
      </c>
      <c r="Z712" s="8" t="str">
        <f t="shared" si="243"/>
        <v/>
      </c>
      <c r="AA712" s="8" t="str">
        <f t="shared" si="244"/>
        <v/>
      </c>
      <c r="AB712" s="8" t="str">
        <f t="shared" si="245"/>
        <v/>
      </c>
      <c r="AC712" s="8"/>
      <c r="AD712" s="8"/>
      <c r="AE712" s="8"/>
      <c r="AK712" s="5" t="str">
        <f t="shared" si="246"/>
        <v/>
      </c>
      <c r="AL712" s="5" t="str">
        <f t="shared" si="247"/>
        <v/>
      </c>
      <c r="AM712" s="5" t="str">
        <f t="shared" si="248"/>
        <v/>
      </c>
      <c r="AN712" s="5" t="str">
        <f t="shared" si="249"/>
        <v/>
      </c>
      <c r="AO712" s="5" t="str">
        <f t="shared" si="250"/>
        <v/>
      </c>
      <c r="AP712" s="5" t="str">
        <f t="shared" si="251"/>
        <v/>
      </c>
      <c r="AQ712" s="5" t="str">
        <f t="shared" si="252"/>
        <v/>
      </c>
      <c r="AR712" s="5" t="str">
        <f t="shared" si="253"/>
        <v/>
      </c>
      <c r="AS712" s="5" t="str">
        <f t="shared" si="254"/>
        <v/>
      </c>
      <c r="AT712" s="5" t="str">
        <f t="shared" si="255"/>
        <v/>
      </c>
      <c r="AU712" s="5" t="str">
        <f t="shared" si="256"/>
        <v/>
      </c>
      <c r="AV712" s="5" t="str">
        <f t="shared" si="257"/>
        <v/>
      </c>
      <c r="AW712" s="5" t="str">
        <f t="shared" si="258"/>
        <v/>
      </c>
      <c r="AX712" s="5" t="str">
        <f t="shared" si="259"/>
        <v/>
      </c>
      <c r="AY712" s="5" t="str">
        <f t="shared" si="260"/>
        <v/>
      </c>
      <c r="AZ712" s="5" t="str">
        <f t="shared" si="261"/>
        <v/>
      </c>
      <c r="BA712" s="5" t="str">
        <f t="shared" si="262"/>
        <v/>
      </c>
      <c r="BB712" s="5" t="str">
        <f t="shared" si="263"/>
        <v/>
      </c>
    </row>
    <row r="713" spans="1:54" s="5" customFormat="1" hidden="1">
      <c r="A713" s="8" t="str">
        <f>IF(INDEX(FORM!$A:$A,ROW())="","",ROW()-1)</f>
        <v/>
      </c>
      <c r="B713" s="41" t="str">
        <f>IF($A713="","",INDEX(FORM!$A:$A,ROW()))</f>
        <v/>
      </c>
      <c r="C713" s="8" t="str">
        <f>IF($A713="","",TRIM(INDEX(FORM!$B:$B,ROW())))</f>
        <v/>
      </c>
      <c r="D713" s="8" t="str">
        <f>IF($A713="","",TRIM(INDEX(FORM!$C:$C,ROW())&amp;""))</f>
        <v/>
      </c>
      <c r="E713" s="8" t="str">
        <f>IF($A713="","",UPPER(TRIM(INDEX(FORM!$D:$D,ROW()))))</f>
        <v/>
      </c>
      <c r="F713" s="8" t="str">
        <f>IF($A713="","",IFERROR(INDEX(PROGRES!$A$2:$A$92,MATCH(E713,PROGRES!$B$2:$B$92,0)),"-"))</f>
        <v/>
      </c>
      <c r="G713" s="8" t="str">
        <f>IF($A713="","",UPPER(TRIM(INDEX(FORM!$F:$F,ROW()))))</f>
        <v/>
      </c>
      <c r="H713" s="8" t="str">
        <f>IF($A713="","",UPPER(TRIM(INDEX(FORM!$E:$E,ROW()))))</f>
        <v/>
      </c>
      <c r="I713" s="8" t="str">
        <f>IF($A713="","",UPPER(TRIM(INDEX(FORM!$G:$G,ROW()))))</f>
        <v/>
      </c>
      <c r="J713" s="8" t="str">
        <f>IF($A713="","",IF(ISNUMBER(SEARCH("Ya,",INDEX(FORM!$H:$H,ROW()))),"YA",IF(ISNUMBER(SEARCH("Cukup,",INDEX(FORM!$H:$H,ROW()))),"CUKUP",IF(ISNUMBER(SEARCH("Kurang,",INDEX(FORM!$H:$H,ROW()))),"KURANG",""))))</f>
        <v/>
      </c>
      <c r="K713" s="8" t="str">
        <f>IF($A713="","",UPPER(TRIM(INDEX(FORM!$J:$J,ROW()))))</f>
        <v/>
      </c>
      <c r="L713" s="8" t="str">
        <f>IF($A713="","",IF(ISNUMBER(SEARCH("Aktivitas Harian",INDEX(FORM!$K:$K,ROW()))),1,0))</f>
        <v/>
      </c>
      <c r="M713" s="8" t="str">
        <f>IF($A713="","",IF(ISNUMBER(SEARCH("Aktivitas Mingguan",INDEX(FORM!$K:$K,ROW()))),1,0))</f>
        <v/>
      </c>
      <c r="N713" s="8" t="str">
        <f>IF($A713="","",IF(ISNUMBER(SEARCH("Aktivitas Bulanan",INDEX(FORM!$K:$K,ROW()))),1,0))</f>
        <v/>
      </c>
      <c r="O713" s="8" t="str">
        <f>IF($A713="","",IF(ISNUMBER(SEARCH("Overview Cabang",INDEX(FORM!$K:$K,ROW()))),1,0))</f>
        <v/>
      </c>
      <c r="P713" s="8" t="str">
        <f>IF($A713="","",IFERROR(VLOOKUP(I713,DATA!$AH$9:$AI$13,2,0),""))</f>
        <v/>
      </c>
      <c r="Q713" s="8" t="str">
        <f>IF($A713="","",IFERROR(VLOOKUP(J713,DATA!$AH$9:$AI$13,2,0),""))</f>
        <v/>
      </c>
      <c r="R713" s="8" t="str">
        <f>IF($A713="","",IFERROR(VLOOKUP(K713,DATA!$AH$9:$AI$13,2,0),""))</f>
        <v/>
      </c>
      <c r="S713" s="42" t="str">
        <f t="shared" si="242"/>
        <v/>
      </c>
      <c r="T713" s="8" t="str">
        <f>IF($A713="","",IF(COUNTIF($D$2:D713,D713)=1,1,0))</f>
        <v/>
      </c>
      <c r="U713" s="8" t="str">
        <f>IF($A713="","",IF(F713="-","Cabang tdk ada",IF(IFERROR(VLOOKUP(G713,#REF!,1,0),"")="","",IF(INDEX(DATA!$AH$2:$AH$5,MATCH(G713,DATA!$AI$2:$AI$5,0))&lt;&gt;F713,"Wilayah beda","OK"))))</f>
        <v/>
      </c>
      <c r="V713" s="8" t="str">
        <f>IF($A713="","",TRIM(INDEX(FORM!$I:$I,ROW())&amp;""))</f>
        <v/>
      </c>
      <c r="W713" s="8" t="str">
        <f>IF($A713="","",TRIM(INDEX(FORM!$L:$L,ROW())&amp;""))</f>
        <v/>
      </c>
      <c r="X713" s="8" t="str">
        <f>IF($A713="","",TRIM(INDEX(FORM!$M:$M,ROW())&amp;""))</f>
        <v/>
      </c>
      <c r="Y713" s="8" t="str">
        <f>IF($A713="","",IFERROR(MATCH(F713,DATA!$AH$2:$AH$5,0),9)*10000+A713)</f>
        <v/>
      </c>
      <c r="Z713" s="8" t="str">
        <f t="shared" si="243"/>
        <v/>
      </c>
      <c r="AA713" s="8" t="str">
        <f t="shared" si="244"/>
        <v/>
      </c>
      <c r="AB713" s="8" t="str">
        <f t="shared" si="245"/>
        <v/>
      </c>
      <c r="AC713" s="8"/>
      <c r="AD713" s="8"/>
      <c r="AE713" s="8"/>
      <c r="AK713" s="5" t="str">
        <f t="shared" si="246"/>
        <v/>
      </c>
      <c r="AL713" s="5" t="str">
        <f t="shared" si="247"/>
        <v/>
      </c>
      <c r="AM713" s="5" t="str">
        <f t="shared" si="248"/>
        <v/>
      </c>
      <c r="AN713" s="5" t="str">
        <f t="shared" si="249"/>
        <v/>
      </c>
      <c r="AO713" s="5" t="str">
        <f t="shared" si="250"/>
        <v/>
      </c>
      <c r="AP713" s="5" t="str">
        <f t="shared" si="251"/>
        <v/>
      </c>
      <c r="AQ713" s="5" t="str">
        <f t="shared" si="252"/>
        <v/>
      </c>
      <c r="AR713" s="5" t="str">
        <f t="shared" si="253"/>
        <v/>
      </c>
      <c r="AS713" s="5" t="str">
        <f t="shared" si="254"/>
        <v/>
      </c>
      <c r="AT713" s="5" t="str">
        <f t="shared" si="255"/>
        <v/>
      </c>
      <c r="AU713" s="5" t="str">
        <f t="shared" si="256"/>
        <v/>
      </c>
      <c r="AV713" s="5" t="str">
        <f t="shared" si="257"/>
        <v/>
      </c>
      <c r="AW713" s="5" t="str">
        <f t="shared" si="258"/>
        <v/>
      </c>
      <c r="AX713" s="5" t="str">
        <f t="shared" si="259"/>
        <v/>
      </c>
      <c r="AY713" s="5" t="str">
        <f t="shared" si="260"/>
        <v/>
      </c>
      <c r="AZ713" s="5" t="str">
        <f t="shared" si="261"/>
        <v/>
      </c>
      <c r="BA713" s="5" t="str">
        <f t="shared" si="262"/>
        <v/>
      </c>
      <c r="BB713" s="5" t="str">
        <f t="shared" si="263"/>
        <v/>
      </c>
    </row>
    <row r="714" spans="1:54" s="5" customFormat="1" hidden="1">
      <c r="A714" s="8" t="str">
        <f>IF(INDEX(FORM!$A:$A,ROW())="","",ROW()-1)</f>
        <v/>
      </c>
      <c r="B714" s="41" t="str">
        <f>IF($A714="","",INDEX(FORM!$A:$A,ROW()))</f>
        <v/>
      </c>
      <c r="C714" s="8" t="str">
        <f>IF($A714="","",TRIM(INDEX(FORM!$B:$B,ROW())))</f>
        <v/>
      </c>
      <c r="D714" s="8" t="str">
        <f>IF($A714="","",TRIM(INDEX(FORM!$C:$C,ROW())&amp;""))</f>
        <v/>
      </c>
      <c r="E714" s="8" t="str">
        <f>IF($A714="","",UPPER(TRIM(INDEX(FORM!$D:$D,ROW()))))</f>
        <v/>
      </c>
      <c r="F714" s="8" t="str">
        <f>IF($A714="","",IFERROR(INDEX(PROGRES!$A$2:$A$92,MATCH(E714,PROGRES!$B$2:$B$92,0)),"-"))</f>
        <v/>
      </c>
      <c r="G714" s="8" t="str">
        <f>IF($A714="","",UPPER(TRIM(INDEX(FORM!$F:$F,ROW()))))</f>
        <v/>
      </c>
      <c r="H714" s="8" t="str">
        <f>IF($A714="","",UPPER(TRIM(INDEX(FORM!$E:$E,ROW()))))</f>
        <v/>
      </c>
      <c r="I714" s="8" t="str">
        <f>IF($A714="","",UPPER(TRIM(INDEX(FORM!$G:$G,ROW()))))</f>
        <v/>
      </c>
      <c r="J714" s="8" t="str">
        <f>IF($A714="","",IF(ISNUMBER(SEARCH("Ya,",INDEX(FORM!$H:$H,ROW()))),"YA",IF(ISNUMBER(SEARCH("Cukup,",INDEX(FORM!$H:$H,ROW()))),"CUKUP",IF(ISNUMBER(SEARCH("Kurang,",INDEX(FORM!$H:$H,ROW()))),"KURANG",""))))</f>
        <v/>
      </c>
      <c r="K714" s="8" t="str">
        <f>IF($A714="","",UPPER(TRIM(INDEX(FORM!$J:$J,ROW()))))</f>
        <v/>
      </c>
      <c r="L714" s="8" t="str">
        <f>IF($A714="","",IF(ISNUMBER(SEARCH("Aktivitas Harian",INDEX(FORM!$K:$K,ROW()))),1,0))</f>
        <v/>
      </c>
      <c r="M714" s="8" t="str">
        <f>IF($A714="","",IF(ISNUMBER(SEARCH("Aktivitas Mingguan",INDEX(FORM!$K:$K,ROW()))),1,0))</f>
        <v/>
      </c>
      <c r="N714" s="8" t="str">
        <f>IF($A714="","",IF(ISNUMBER(SEARCH("Aktivitas Bulanan",INDEX(FORM!$K:$K,ROW()))),1,0))</f>
        <v/>
      </c>
      <c r="O714" s="8" t="str">
        <f>IF($A714="","",IF(ISNUMBER(SEARCH("Overview Cabang",INDEX(FORM!$K:$K,ROW()))),1,0))</f>
        <v/>
      </c>
      <c r="P714" s="8" t="str">
        <f>IF($A714="","",IFERROR(VLOOKUP(I714,DATA!$AH$9:$AI$13,2,0),""))</f>
        <v/>
      </c>
      <c r="Q714" s="8" t="str">
        <f>IF($A714="","",IFERROR(VLOOKUP(J714,DATA!$AH$9:$AI$13,2,0),""))</f>
        <v/>
      </c>
      <c r="R714" s="8" t="str">
        <f>IF($A714="","",IFERROR(VLOOKUP(K714,DATA!$AH$9:$AI$13,2,0),""))</f>
        <v/>
      </c>
      <c r="S714" s="42" t="str">
        <f t="shared" si="242"/>
        <v/>
      </c>
      <c r="T714" s="8" t="str">
        <f>IF($A714="","",IF(COUNTIF($D$2:D714,D714)=1,1,0))</f>
        <v/>
      </c>
      <c r="U714" s="8" t="str">
        <f>IF($A714="","",IF(F714="-","Cabang tdk ada",IF(IFERROR(VLOOKUP(G714,#REF!,1,0),"")="","",IF(INDEX(DATA!$AH$2:$AH$5,MATCH(G714,DATA!$AI$2:$AI$5,0))&lt;&gt;F714,"Wilayah beda","OK"))))</f>
        <v/>
      </c>
      <c r="V714" s="8" t="str">
        <f>IF($A714="","",TRIM(INDEX(FORM!$I:$I,ROW())&amp;""))</f>
        <v/>
      </c>
      <c r="W714" s="8" t="str">
        <f>IF($A714="","",TRIM(INDEX(FORM!$L:$L,ROW())&amp;""))</f>
        <v/>
      </c>
      <c r="X714" s="8" t="str">
        <f>IF($A714="","",TRIM(INDEX(FORM!$M:$M,ROW())&amp;""))</f>
        <v/>
      </c>
      <c r="Y714" s="8" t="str">
        <f>IF($A714="","",IFERROR(MATCH(F714,DATA!$AH$2:$AH$5,0),9)*10000+A714)</f>
        <v/>
      </c>
      <c r="Z714" s="8" t="str">
        <f t="shared" si="243"/>
        <v/>
      </c>
      <c r="AA714" s="8" t="str">
        <f t="shared" si="244"/>
        <v/>
      </c>
      <c r="AB714" s="8" t="str">
        <f t="shared" si="245"/>
        <v/>
      </c>
      <c r="AC714" s="8"/>
      <c r="AD714" s="8"/>
      <c r="AE714" s="8"/>
      <c r="AK714" s="5" t="str">
        <f t="shared" si="246"/>
        <v/>
      </c>
      <c r="AL714" s="5" t="str">
        <f t="shared" si="247"/>
        <v/>
      </c>
      <c r="AM714" s="5" t="str">
        <f t="shared" si="248"/>
        <v/>
      </c>
      <c r="AN714" s="5" t="str">
        <f t="shared" si="249"/>
        <v/>
      </c>
      <c r="AO714" s="5" t="str">
        <f t="shared" si="250"/>
        <v/>
      </c>
      <c r="AP714" s="5" t="str">
        <f t="shared" si="251"/>
        <v/>
      </c>
      <c r="AQ714" s="5" t="str">
        <f t="shared" si="252"/>
        <v/>
      </c>
      <c r="AR714" s="5" t="str">
        <f t="shared" si="253"/>
        <v/>
      </c>
      <c r="AS714" s="5" t="str">
        <f t="shared" si="254"/>
        <v/>
      </c>
      <c r="AT714" s="5" t="str">
        <f t="shared" si="255"/>
        <v/>
      </c>
      <c r="AU714" s="5" t="str">
        <f t="shared" si="256"/>
        <v/>
      </c>
      <c r="AV714" s="5" t="str">
        <f t="shared" si="257"/>
        <v/>
      </c>
      <c r="AW714" s="5" t="str">
        <f t="shared" si="258"/>
        <v/>
      </c>
      <c r="AX714" s="5" t="str">
        <f t="shared" si="259"/>
        <v/>
      </c>
      <c r="AY714" s="5" t="str">
        <f t="shared" si="260"/>
        <v/>
      </c>
      <c r="AZ714" s="5" t="str">
        <f t="shared" si="261"/>
        <v/>
      </c>
      <c r="BA714" s="5" t="str">
        <f t="shared" si="262"/>
        <v/>
      </c>
      <c r="BB714" s="5" t="str">
        <f t="shared" si="263"/>
        <v/>
      </c>
    </row>
    <row r="715" spans="1:54" s="5" customFormat="1" hidden="1">
      <c r="A715" s="8" t="str">
        <f>IF(INDEX(FORM!$A:$A,ROW())="","",ROW()-1)</f>
        <v/>
      </c>
      <c r="B715" s="41" t="str">
        <f>IF($A715="","",INDEX(FORM!$A:$A,ROW()))</f>
        <v/>
      </c>
      <c r="C715" s="8" t="str">
        <f>IF($A715="","",TRIM(INDEX(FORM!$B:$B,ROW())))</f>
        <v/>
      </c>
      <c r="D715" s="8" t="str">
        <f>IF($A715="","",TRIM(INDEX(FORM!$C:$C,ROW())&amp;""))</f>
        <v/>
      </c>
      <c r="E715" s="8" t="str">
        <f>IF($A715="","",UPPER(TRIM(INDEX(FORM!$D:$D,ROW()))))</f>
        <v/>
      </c>
      <c r="F715" s="8" t="str">
        <f>IF($A715="","",IFERROR(INDEX(PROGRES!$A$2:$A$92,MATCH(E715,PROGRES!$B$2:$B$92,0)),"-"))</f>
        <v/>
      </c>
      <c r="G715" s="8" t="str">
        <f>IF($A715="","",UPPER(TRIM(INDEX(FORM!$F:$F,ROW()))))</f>
        <v/>
      </c>
      <c r="H715" s="8" t="str">
        <f>IF($A715="","",UPPER(TRIM(INDEX(FORM!$E:$E,ROW()))))</f>
        <v/>
      </c>
      <c r="I715" s="8" t="str">
        <f>IF($A715="","",UPPER(TRIM(INDEX(FORM!$G:$G,ROW()))))</f>
        <v/>
      </c>
      <c r="J715" s="8" t="str">
        <f>IF($A715="","",IF(ISNUMBER(SEARCH("Ya,",INDEX(FORM!$H:$H,ROW()))),"YA",IF(ISNUMBER(SEARCH("Cukup,",INDEX(FORM!$H:$H,ROW()))),"CUKUP",IF(ISNUMBER(SEARCH("Kurang,",INDEX(FORM!$H:$H,ROW()))),"KURANG",""))))</f>
        <v/>
      </c>
      <c r="K715" s="8" t="str">
        <f>IF($A715="","",UPPER(TRIM(INDEX(FORM!$J:$J,ROW()))))</f>
        <v/>
      </c>
      <c r="L715" s="8" t="str">
        <f>IF($A715="","",IF(ISNUMBER(SEARCH("Aktivitas Harian",INDEX(FORM!$K:$K,ROW()))),1,0))</f>
        <v/>
      </c>
      <c r="M715" s="8" t="str">
        <f>IF($A715="","",IF(ISNUMBER(SEARCH("Aktivitas Mingguan",INDEX(FORM!$K:$K,ROW()))),1,0))</f>
        <v/>
      </c>
      <c r="N715" s="8" t="str">
        <f>IF($A715="","",IF(ISNUMBER(SEARCH("Aktivitas Bulanan",INDEX(FORM!$K:$K,ROW()))),1,0))</f>
        <v/>
      </c>
      <c r="O715" s="8" t="str">
        <f>IF($A715="","",IF(ISNUMBER(SEARCH("Overview Cabang",INDEX(FORM!$K:$K,ROW()))),1,0))</f>
        <v/>
      </c>
      <c r="P715" s="8" t="str">
        <f>IF($A715="","",IFERROR(VLOOKUP(I715,DATA!$AH$9:$AI$13,2,0),""))</f>
        <v/>
      </c>
      <c r="Q715" s="8" t="str">
        <f>IF($A715="","",IFERROR(VLOOKUP(J715,DATA!$AH$9:$AI$13,2,0),""))</f>
        <v/>
      </c>
      <c r="R715" s="8" t="str">
        <f>IF($A715="","",IFERROR(VLOOKUP(K715,DATA!$AH$9:$AI$13,2,0),""))</f>
        <v/>
      </c>
      <c r="S715" s="42" t="str">
        <f t="shared" si="242"/>
        <v/>
      </c>
      <c r="T715" s="8" t="str">
        <f>IF($A715="","",IF(COUNTIF($D$2:D715,D715)=1,1,0))</f>
        <v/>
      </c>
      <c r="U715" s="8" t="str">
        <f>IF($A715="","",IF(F715="-","Cabang tdk ada",IF(IFERROR(VLOOKUP(G715,#REF!,1,0),"")="","",IF(INDEX(DATA!$AH$2:$AH$5,MATCH(G715,DATA!$AI$2:$AI$5,0))&lt;&gt;F715,"Wilayah beda","OK"))))</f>
        <v/>
      </c>
      <c r="V715" s="8" t="str">
        <f>IF($A715="","",TRIM(INDEX(FORM!$I:$I,ROW())&amp;""))</f>
        <v/>
      </c>
      <c r="W715" s="8" t="str">
        <f>IF($A715="","",TRIM(INDEX(FORM!$L:$L,ROW())&amp;""))</f>
        <v/>
      </c>
      <c r="X715" s="8" t="str">
        <f>IF($A715="","",TRIM(INDEX(FORM!$M:$M,ROW())&amp;""))</f>
        <v/>
      </c>
      <c r="Y715" s="8" t="str">
        <f>IF($A715="","",IFERROR(MATCH(F715,DATA!$AH$2:$AH$5,0),9)*10000+A715)</f>
        <v/>
      </c>
      <c r="Z715" s="8" t="str">
        <f t="shared" si="243"/>
        <v/>
      </c>
      <c r="AA715" s="8" t="str">
        <f t="shared" si="244"/>
        <v/>
      </c>
      <c r="AB715" s="8" t="str">
        <f t="shared" si="245"/>
        <v/>
      </c>
      <c r="AC715" s="8"/>
      <c r="AD715" s="8"/>
      <c r="AE715" s="8"/>
      <c r="AK715" s="5" t="str">
        <f t="shared" si="246"/>
        <v/>
      </c>
      <c r="AL715" s="5" t="str">
        <f t="shared" si="247"/>
        <v/>
      </c>
      <c r="AM715" s="5" t="str">
        <f t="shared" si="248"/>
        <v/>
      </c>
      <c r="AN715" s="5" t="str">
        <f t="shared" si="249"/>
        <v/>
      </c>
      <c r="AO715" s="5" t="str">
        <f t="shared" si="250"/>
        <v/>
      </c>
      <c r="AP715" s="5" t="str">
        <f t="shared" si="251"/>
        <v/>
      </c>
      <c r="AQ715" s="5" t="str">
        <f t="shared" si="252"/>
        <v/>
      </c>
      <c r="AR715" s="5" t="str">
        <f t="shared" si="253"/>
        <v/>
      </c>
      <c r="AS715" s="5" t="str">
        <f t="shared" si="254"/>
        <v/>
      </c>
      <c r="AT715" s="5" t="str">
        <f t="shared" si="255"/>
        <v/>
      </c>
      <c r="AU715" s="5" t="str">
        <f t="shared" si="256"/>
        <v/>
      </c>
      <c r="AV715" s="5" t="str">
        <f t="shared" si="257"/>
        <v/>
      </c>
      <c r="AW715" s="5" t="str">
        <f t="shared" si="258"/>
        <v/>
      </c>
      <c r="AX715" s="5" t="str">
        <f t="shared" si="259"/>
        <v/>
      </c>
      <c r="AY715" s="5" t="str">
        <f t="shared" si="260"/>
        <v/>
      </c>
      <c r="AZ715" s="5" t="str">
        <f t="shared" si="261"/>
        <v/>
      </c>
      <c r="BA715" s="5" t="str">
        <f t="shared" si="262"/>
        <v/>
      </c>
      <c r="BB715" s="5" t="str">
        <f t="shared" si="263"/>
        <v/>
      </c>
    </row>
    <row r="716" spans="1:54" s="5" customFormat="1" hidden="1">
      <c r="A716" s="8" t="str">
        <f>IF(INDEX(FORM!$A:$A,ROW())="","",ROW()-1)</f>
        <v/>
      </c>
      <c r="B716" s="41" t="str">
        <f>IF($A716="","",INDEX(FORM!$A:$A,ROW()))</f>
        <v/>
      </c>
      <c r="C716" s="8" t="str">
        <f>IF($A716="","",TRIM(INDEX(FORM!$B:$B,ROW())))</f>
        <v/>
      </c>
      <c r="D716" s="8" t="str">
        <f>IF($A716="","",TRIM(INDEX(FORM!$C:$C,ROW())&amp;""))</f>
        <v/>
      </c>
      <c r="E716" s="8" t="str">
        <f>IF($A716="","",UPPER(TRIM(INDEX(FORM!$D:$D,ROW()))))</f>
        <v/>
      </c>
      <c r="F716" s="8" t="str">
        <f>IF($A716="","",IFERROR(INDEX(PROGRES!$A$2:$A$92,MATCH(E716,PROGRES!$B$2:$B$92,0)),"-"))</f>
        <v/>
      </c>
      <c r="G716" s="8" t="str">
        <f>IF($A716="","",UPPER(TRIM(INDEX(FORM!$F:$F,ROW()))))</f>
        <v/>
      </c>
      <c r="H716" s="8" t="str">
        <f>IF($A716="","",UPPER(TRIM(INDEX(FORM!$E:$E,ROW()))))</f>
        <v/>
      </c>
      <c r="I716" s="8" t="str">
        <f>IF($A716="","",UPPER(TRIM(INDEX(FORM!$G:$G,ROW()))))</f>
        <v/>
      </c>
      <c r="J716" s="8" t="str">
        <f>IF($A716="","",IF(ISNUMBER(SEARCH("Ya,",INDEX(FORM!$H:$H,ROW()))),"YA",IF(ISNUMBER(SEARCH("Cukup,",INDEX(FORM!$H:$H,ROW()))),"CUKUP",IF(ISNUMBER(SEARCH("Kurang,",INDEX(FORM!$H:$H,ROW()))),"KURANG",""))))</f>
        <v/>
      </c>
      <c r="K716" s="8" t="str">
        <f>IF($A716="","",UPPER(TRIM(INDEX(FORM!$J:$J,ROW()))))</f>
        <v/>
      </c>
      <c r="L716" s="8" t="str">
        <f>IF($A716="","",IF(ISNUMBER(SEARCH("Aktivitas Harian",INDEX(FORM!$K:$K,ROW()))),1,0))</f>
        <v/>
      </c>
      <c r="M716" s="8" t="str">
        <f>IF($A716="","",IF(ISNUMBER(SEARCH("Aktivitas Mingguan",INDEX(FORM!$K:$K,ROW()))),1,0))</f>
        <v/>
      </c>
      <c r="N716" s="8" t="str">
        <f>IF($A716="","",IF(ISNUMBER(SEARCH("Aktivitas Bulanan",INDEX(FORM!$K:$K,ROW()))),1,0))</f>
        <v/>
      </c>
      <c r="O716" s="8" t="str">
        <f>IF($A716="","",IF(ISNUMBER(SEARCH("Overview Cabang",INDEX(FORM!$K:$K,ROW()))),1,0))</f>
        <v/>
      </c>
      <c r="P716" s="8" t="str">
        <f>IF($A716="","",IFERROR(VLOOKUP(I716,DATA!$AH$9:$AI$13,2,0),""))</f>
        <v/>
      </c>
      <c r="Q716" s="8" t="str">
        <f>IF($A716="","",IFERROR(VLOOKUP(J716,DATA!$AH$9:$AI$13,2,0),""))</f>
        <v/>
      </c>
      <c r="R716" s="8" t="str">
        <f>IF($A716="","",IFERROR(VLOOKUP(K716,DATA!$AH$9:$AI$13,2,0),""))</f>
        <v/>
      </c>
      <c r="S716" s="42" t="str">
        <f t="shared" si="242"/>
        <v/>
      </c>
      <c r="T716" s="8" t="str">
        <f>IF($A716="","",IF(COUNTIF($D$2:D716,D716)=1,1,0))</f>
        <v/>
      </c>
      <c r="U716" s="8" t="str">
        <f>IF($A716="","",IF(F716="-","Cabang tdk ada",IF(IFERROR(VLOOKUP(G716,#REF!,1,0),"")="","",IF(INDEX(DATA!$AH$2:$AH$5,MATCH(G716,DATA!$AI$2:$AI$5,0))&lt;&gt;F716,"Wilayah beda","OK"))))</f>
        <v/>
      </c>
      <c r="V716" s="8" t="str">
        <f>IF($A716="","",TRIM(INDEX(FORM!$I:$I,ROW())&amp;""))</f>
        <v/>
      </c>
      <c r="W716" s="8" t="str">
        <f>IF($A716="","",TRIM(INDEX(FORM!$L:$L,ROW())&amp;""))</f>
        <v/>
      </c>
      <c r="X716" s="8" t="str">
        <f>IF($A716="","",TRIM(INDEX(FORM!$M:$M,ROW())&amp;""))</f>
        <v/>
      </c>
      <c r="Y716" s="8" t="str">
        <f>IF($A716="","",IFERROR(MATCH(F716,DATA!$AH$2:$AH$5,0),9)*10000+A716)</f>
        <v/>
      </c>
      <c r="Z716" s="8" t="str">
        <f t="shared" si="243"/>
        <v/>
      </c>
      <c r="AA716" s="8" t="str">
        <f t="shared" si="244"/>
        <v/>
      </c>
      <c r="AB716" s="8" t="str">
        <f t="shared" si="245"/>
        <v/>
      </c>
      <c r="AC716" s="8"/>
      <c r="AD716" s="8"/>
      <c r="AE716" s="8"/>
      <c r="AK716" s="5" t="str">
        <f t="shared" si="246"/>
        <v/>
      </c>
      <c r="AL716" s="5" t="str">
        <f t="shared" si="247"/>
        <v/>
      </c>
      <c r="AM716" s="5" t="str">
        <f t="shared" si="248"/>
        <v/>
      </c>
      <c r="AN716" s="5" t="str">
        <f t="shared" si="249"/>
        <v/>
      </c>
      <c r="AO716" s="5" t="str">
        <f t="shared" si="250"/>
        <v/>
      </c>
      <c r="AP716" s="5" t="str">
        <f t="shared" si="251"/>
        <v/>
      </c>
      <c r="AQ716" s="5" t="str">
        <f t="shared" si="252"/>
        <v/>
      </c>
      <c r="AR716" s="5" t="str">
        <f t="shared" si="253"/>
        <v/>
      </c>
      <c r="AS716" s="5" t="str">
        <f t="shared" si="254"/>
        <v/>
      </c>
      <c r="AT716" s="5" t="str">
        <f t="shared" si="255"/>
        <v/>
      </c>
      <c r="AU716" s="5" t="str">
        <f t="shared" si="256"/>
        <v/>
      </c>
      <c r="AV716" s="5" t="str">
        <f t="shared" si="257"/>
        <v/>
      </c>
      <c r="AW716" s="5" t="str">
        <f t="shared" si="258"/>
        <v/>
      </c>
      <c r="AX716" s="5" t="str">
        <f t="shared" si="259"/>
        <v/>
      </c>
      <c r="AY716" s="5" t="str">
        <f t="shared" si="260"/>
        <v/>
      </c>
      <c r="AZ716" s="5" t="str">
        <f t="shared" si="261"/>
        <v/>
      </c>
      <c r="BA716" s="5" t="str">
        <f t="shared" si="262"/>
        <v/>
      </c>
      <c r="BB716" s="5" t="str">
        <f t="shared" si="263"/>
        <v/>
      </c>
    </row>
    <row r="717" spans="1:54" s="5" customFormat="1" hidden="1">
      <c r="A717" s="8" t="str">
        <f>IF(INDEX(FORM!$A:$A,ROW())="","",ROW()-1)</f>
        <v/>
      </c>
      <c r="B717" s="41" t="str">
        <f>IF($A717="","",INDEX(FORM!$A:$A,ROW()))</f>
        <v/>
      </c>
      <c r="C717" s="8" t="str">
        <f>IF($A717="","",TRIM(INDEX(FORM!$B:$B,ROW())))</f>
        <v/>
      </c>
      <c r="D717" s="8" t="str">
        <f>IF($A717="","",TRIM(INDEX(FORM!$C:$C,ROW())&amp;""))</f>
        <v/>
      </c>
      <c r="E717" s="8" t="str">
        <f>IF($A717="","",UPPER(TRIM(INDEX(FORM!$D:$D,ROW()))))</f>
        <v/>
      </c>
      <c r="F717" s="8" t="str">
        <f>IF($A717="","",IFERROR(INDEX(PROGRES!$A$2:$A$92,MATCH(E717,PROGRES!$B$2:$B$92,0)),"-"))</f>
        <v/>
      </c>
      <c r="G717" s="8" t="str">
        <f>IF($A717="","",UPPER(TRIM(INDEX(FORM!$F:$F,ROW()))))</f>
        <v/>
      </c>
      <c r="H717" s="8" t="str">
        <f>IF($A717="","",UPPER(TRIM(INDEX(FORM!$E:$E,ROW()))))</f>
        <v/>
      </c>
      <c r="I717" s="8" t="str">
        <f>IF($A717="","",UPPER(TRIM(INDEX(FORM!$G:$G,ROW()))))</f>
        <v/>
      </c>
      <c r="J717" s="8" t="str">
        <f>IF($A717="","",IF(ISNUMBER(SEARCH("Ya,",INDEX(FORM!$H:$H,ROW()))),"YA",IF(ISNUMBER(SEARCH("Cukup,",INDEX(FORM!$H:$H,ROW()))),"CUKUP",IF(ISNUMBER(SEARCH("Kurang,",INDEX(FORM!$H:$H,ROW()))),"KURANG",""))))</f>
        <v/>
      </c>
      <c r="K717" s="8" t="str">
        <f>IF($A717="","",UPPER(TRIM(INDEX(FORM!$J:$J,ROW()))))</f>
        <v/>
      </c>
      <c r="L717" s="8" t="str">
        <f>IF($A717="","",IF(ISNUMBER(SEARCH("Aktivitas Harian",INDEX(FORM!$K:$K,ROW()))),1,0))</f>
        <v/>
      </c>
      <c r="M717" s="8" t="str">
        <f>IF($A717="","",IF(ISNUMBER(SEARCH("Aktivitas Mingguan",INDEX(FORM!$K:$K,ROW()))),1,0))</f>
        <v/>
      </c>
      <c r="N717" s="8" t="str">
        <f>IF($A717="","",IF(ISNUMBER(SEARCH("Aktivitas Bulanan",INDEX(FORM!$K:$K,ROW()))),1,0))</f>
        <v/>
      </c>
      <c r="O717" s="8" t="str">
        <f>IF($A717="","",IF(ISNUMBER(SEARCH("Overview Cabang",INDEX(FORM!$K:$K,ROW()))),1,0))</f>
        <v/>
      </c>
      <c r="P717" s="8" t="str">
        <f>IF($A717="","",IFERROR(VLOOKUP(I717,DATA!$AH$9:$AI$13,2,0),""))</f>
        <v/>
      </c>
      <c r="Q717" s="8" t="str">
        <f>IF($A717="","",IFERROR(VLOOKUP(J717,DATA!$AH$9:$AI$13,2,0),""))</f>
        <v/>
      </c>
      <c r="R717" s="8" t="str">
        <f>IF($A717="","",IFERROR(VLOOKUP(K717,DATA!$AH$9:$AI$13,2,0),""))</f>
        <v/>
      </c>
      <c r="S717" s="42" t="str">
        <f t="shared" si="242"/>
        <v/>
      </c>
      <c r="T717" s="8" t="str">
        <f>IF($A717="","",IF(COUNTIF($D$2:D717,D717)=1,1,0))</f>
        <v/>
      </c>
      <c r="U717" s="8" t="str">
        <f>IF($A717="","",IF(F717="-","Cabang tdk ada",IF(IFERROR(VLOOKUP(G717,#REF!,1,0),"")="","",IF(INDEX(DATA!$AH$2:$AH$5,MATCH(G717,DATA!$AI$2:$AI$5,0))&lt;&gt;F717,"Wilayah beda","OK"))))</f>
        <v/>
      </c>
      <c r="V717" s="8" t="str">
        <f>IF($A717="","",TRIM(INDEX(FORM!$I:$I,ROW())&amp;""))</f>
        <v/>
      </c>
      <c r="W717" s="8" t="str">
        <f>IF($A717="","",TRIM(INDEX(FORM!$L:$L,ROW())&amp;""))</f>
        <v/>
      </c>
      <c r="X717" s="8" t="str">
        <f>IF($A717="","",TRIM(INDEX(FORM!$M:$M,ROW())&amp;""))</f>
        <v/>
      </c>
      <c r="Y717" s="8" t="str">
        <f>IF($A717="","",IFERROR(MATCH(F717,DATA!$AH$2:$AH$5,0),9)*10000+A717)</f>
        <v/>
      </c>
      <c r="Z717" s="8" t="str">
        <f t="shared" si="243"/>
        <v/>
      </c>
      <c r="AA717" s="8" t="str">
        <f t="shared" si="244"/>
        <v/>
      </c>
      <c r="AB717" s="8" t="str">
        <f t="shared" si="245"/>
        <v/>
      </c>
      <c r="AC717" s="8"/>
      <c r="AD717" s="8"/>
      <c r="AE717" s="8"/>
      <c r="AK717" s="5" t="str">
        <f t="shared" si="246"/>
        <v/>
      </c>
      <c r="AL717" s="5" t="str">
        <f t="shared" si="247"/>
        <v/>
      </c>
      <c r="AM717" s="5" t="str">
        <f t="shared" si="248"/>
        <v/>
      </c>
      <c r="AN717" s="5" t="str">
        <f t="shared" si="249"/>
        <v/>
      </c>
      <c r="AO717" s="5" t="str">
        <f t="shared" si="250"/>
        <v/>
      </c>
      <c r="AP717" s="5" t="str">
        <f t="shared" si="251"/>
        <v/>
      </c>
      <c r="AQ717" s="5" t="str">
        <f t="shared" si="252"/>
        <v/>
      </c>
      <c r="AR717" s="5" t="str">
        <f t="shared" si="253"/>
        <v/>
      </c>
      <c r="AS717" s="5" t="str">
        <f t="shared" si="254"/>
        <v/>
      </c>
      <c r="AT717" s="5" t="str">
        <f t="shared" si="255"/>
        <v/>
      </c>
      <c r="AU717" s="5" t="str">
        <f t="shared" si="256"/>
        <v/>
      </c>
      <c r="AV717" s="5" t="str">
        <f t="shared" si="257"/>
        <v/>
      </c>
      <c r="AW717" s="5" t="str">
        <f t="shared" si="258"/>
        <v/>
      </c>
      <c r="AX717" s="5" t="str">
        <f t="shared" si="259"/>
        <v/>
      </c>
      <c r="AY717" s="5" t="str">
        <f t="shared" si="260"/>
        <v/>
      </c>
      <c r="AZ717" s="5" t="str">
        <f t="shared" si="261"/>
        <v/>
      </c>
      <c r="BA717" s="5" t="str">
        <f t="shared" si="262"/>
        <v/>
      </c>
      <c r="BB717" s="5" t="str">
        <f t="shared" si="263"/>
        <v/>
      </c>
    </row>
    <row r="718" spans="1:54" s="5" customFormat="1" hidden="1">
      <c r="A718" s="8" t="str">
        <f>IF(INDEX(FORM!$A:$A,ROW())="","",ROW()-1)</f>
        <v/>
      </c>
      <c r="B718" s="41" t="str">
        <f>IF($A718="","",INDEX(FORM!$A:$A,ROW()))</f>
        <v/>
      </c>
      <c r="C718" s="8" t="str">
        <f>IF($A718="","",TRIM(INDEX(FORM!$B:$B,ROW())))</f>
        <v/>
      </c>
      <c r="D718" s="8" t="str">
        <f>IF($A718="","",TRIM(INDEX(FORM!$C:$C,ROW())&amp;""))</f>
        <v/>
      </c>
      <c r="E718" s="8" t="str">
        <f>IF($A718="","",UPPER(TRIM(INDEX(FORM!$D:$D,ROW()))))</f>
        <v/>
      </c>
      <c r="F718" s="8" t="str">
        <f>IF($A718="","",IFERROR(INDEX(PROGRES!$A$2:$A$92,MATCH(E718,PROGRES!$B$2:$B$92,0)),"-"))</f>
        <v/>
      </c>
      <c r="G718" s="8" t="str">
        <f>IF($A718="","",UPPER(TRIM(INDEX(FORM!$F:$F,ROW()))))</f>
        <v/>
      </c>
      <c r="H718" s="8" t="str">
        <f>IF($A718="","",UPPER(TRIM(INDEX(FORM!$E:$E,ROW()))))</f>
        <v/>
      </c>
      <c r="I718" s="8" t="str">
        <f>IF($A718="","",UPPER(TRIM(INDEX(FORM!$G:$G,ROW()))))</f>
        <v/>
      </c>
      <c r="J718" s="8" t="str">
        <f>IF($A718="","",IF(ISNUMBER(SEARCH("Ya,",INDEX(FORM!$H:$H,ROW()))),"YA",IF(ISNUMBER(SEARCH("Cukup,",INDEX(FORM!$H:$H,ROW()))),"CUKUP",IF(ISNUMBER(SEARCH("Kurang,",INDEX(FORM!$H:$H,ROW()))),"KURANG",""))))</f>
        <v/>
      </c>
      <c r="K718" s="8" t="str">
        <f>IF($A718="","",UPPER(TRIM(INDEX(FORM!$J:$J,ROW()))))</f>
        <v/>
      </c>
      <c r="L718" s="8" t="str">
        <f>IF($A718="","",IF(ISNUMBER(SEARCH("Aktivitas Harian",INDEX(FORM!$K:$K,ROW()))),1,0))</f>
        <v/>
      </c>
      <c r="M718" s="8" t="str">
        <f>IF($A718="","",IF(ISNUMBER(SEARCH("Aktivitas Mingguan",INDEX(FORM!$K:$K,ROW()))),1,0))</f>
        <v/>
      </c>
      <c r="N718" s="8" t="str">
        <f>IF($A718="","",IF(ISNUMBER(SEARCH("Aktivitas Bulanan",INDEX(FORM!$K:$K,ROW()))),1,0))</f>
        <v/>
      </c>
      <c r="O718" s="8" t="str">
        <f>IF($A718="","",IF(ISNUMBER(SEARCH("Overview Cabang",INDEX(FORM!$K:$K,ROW()))),1,0))</f>
        <v/>
      </c>
      <c r="P718" s="8" t="str">
        <f>IF($A718="","",IFERROR(VLOOKUP(I718,DATA!$AH$9:$AI$13,2,0),""))</f>
        <v/>
      </c>
      <c r="Q718" s="8" t="str">
        <f>IF($A718="","",IFERROR(VLOOKUP(J718,DATA!$AH$9:$AI$13,2,0),""))</f>
        <v/>
      </c>
      <c r="R718" s="8" t="str">
        <f>IF($A718="","",IFERROR(VLOOKUP(K718,DATA!$AH$9:$AI$13,2,0),""))</f>
        <v/>
      </c>
      <c r="S718" s="42" t="str">
        <f t="shared" si="242"/>
        <v/>
      </c>
      <c r="T718" s="8" t="str">
        <f>IF($A718="","",IF(COUNTIF($D$2:D718,D718)=1,1,0))</f>
        <v/>
      </c>
      <c r="U718" s="8" t="str">
        <f>IF($A718="","",IF(F718="-","Cabang tdk ada",IF(IFERROR(VLOOKUP(G718,#REF!,1,0),"")="","",IF(INDEX(DATA!$AH$2:$AH$5,MATCH(G718,DATA!$AI$2:$AI$5,0))&lt;&gt;F718,"Wilayah beda","OK"))))</f>
        <v/>
      </c>
      <c r="V718" s="8" t="str">
        <f>IF($A718="","",TRIM(INDEX(FORM!$I:$I,ROW())&amp;""))</f>
        <v/>
      </c>
      <c r="W718" s="8" t="str">
        <f>IF($A718="","",TRIM(INDEX(FORM!$L:$L,ROW())&amp;""))</f>
        <v/>
      </c>
      <c r="X718" s="8" t="str">
        <f>IF($A718="","",TRIM(INDEX(FORM!$M:$M,ROW())&amp;""))</f>
        <v/>
      </c>
      <c r="Y718" s="8" t="str">
        <f>IF($A718="","",IFERROR(MATCH(F718,DATA!$AH$2:$AH$5,0),9)*10000+A718)</f>
        <v/>
      </c>
      <c r="Z718" s="8" t="str">
        <f t="shared" si="243"/>
        <v/>
      </c>
      <c r="AA718" s="8" t="str">
        <f t="shared" si="244"/>
        <v/>
      </c>
      <c r="AB718" s="8" t="str">
        <f t="shared" si="245"/>
        <v/>
      </c>
      <c r="AC718" s="8"/>
      <c r="AD718" s="8"/>
      <c r="AE718" s="8"/>
      <c r="AK718" s="5" t="str">
        <f t="shared" si="246"/>
        <v/>
      </c>
      <c r="AL718" s="5" t="str">
        <f t="shared" si="247"/>
        <v/>
      </c>
      <c r="AM718" s="5" t="str">
        <f t="shared" si="248"/>
        <v/>
      </c>
      <c r="AN718" s="5" t="str">
        <f t="shared" si="249"/>
        <v/>
      </c>
      <c r="AO718" s="5" t="str">
        <f t="shared" si="250"/>
        <v/>
      </c>
      <c r="AP718" s="5" t="str">
        <f t="shared" si="251"/>
        <v/>
      </c>
      <c r="AQ718" s="5" t="str">
        <f t="shared" si="252"/>
        <v/>
      </c>
      <c r="AR718" s="5" t="str">
        <f t="shared" si="253"/>
        <v/>
      </c>
      <c r="AS718" s="5" t="str">
        <f t="shared" si="254"/>
        <v/>
      </c>
      <c r="AT718" s="5" t="str">
        <f t="shared" si="255"/>
        <v/>
      </c>
      <c r="AU718" s="5" t="str">
        <f t="shared" si="256"/>
        <v/>
      </c>
      <c r="AV718" s="5" t="str">
        <f t="shared" si="257"/>
        <v/>
      </c>
      <c r="AW718" s="5" t="str">
        <f t="shared" si="258"/>
        <v/>
      </c>
      <c r="AX718" s="5" t="str">
        <f t="shared" si="259"/>
        <v/>
      </c>
      <c r="AY718" s="5" t="str">
        <f t="shared" si="260"/>
        <v/>
      </c>
      <c r="AZ718" s="5" t="str">
        <f t="shared" si="261"/>
        <v/>
      </c>
      <c r="BA718" s="5" t="str">
        <f t="shared" si="262"/>
        <v/>
      </c>
      <c r="BB718" s="5" t="str">
        <f t="shared" si="263"/>
        <v/>
      </c>
    </row>
    <row r="719" spans="1:54" s="5" customFormat="1" hidden="1">
      <c r="A719" s="8" t="str">
        <f>IF(INDEX(FORM!$A:$A,ROW())="","",ROW()-1)</f>
        <v/>
      </c>
      <c r="B719" s="41" t="str">
        <f>IF($A719="","",INDEX(FORM!$A:$A,ROW()))</f>
        <v/>
      </c>
      <c r="C719" s="8" t="str">
        <f>IF($A719="","",TRIM(INDEX(FORM!$B:$B,ROW())))</f>
        <v/>
      </c>
      <c r="D719" s="8" t="str">
        <f>IF($A719="","",TRIM(INDEX(FORM!$C:$C,ROW())&amp;""))</f>
        <v/>
      </c>
      <c r="E719" s="8" t="str">
        <f>IF($A719="","",UPPER(TRIM(INDEX(FORM!$D:$D,ROW()))))</f>
        <v/>
      </c>
      <c r="F719" s="8" t="str">
        <f>IF($A719="","",IFERROR(INDEX(PROGRES!$A$2:$A$92,MATCH(E719,PROGRES!$B$2:$B$92,0)),"-"))</f>
        <v/>
      </c>
      <c r="G719" s="8" t="str">
        <f>IF($A719="","",UPPER(TRIM(INDEX(FORM!$F:$F,ROW()))))</f>
        <v/>
      </c>
      <c r="H719" s="8" t="str">
        <f>IF($A719="","",UPPER(TRIM(INDEX(FORM!$E:$E,ROW()))))</f>
        <v/>
      </c>
      <c r="I719" s="8" t="str">
        <f>IF($A719="","",UPPER(TRIM(INDEX(FORM!$G:$G,ROW()))))</f>
        <v/>
      </c>
      <c r="J719" s="8" t="str">
        <f>IF($A719="","",IF(ISNUMBER(SEARCH("Ya,",INDEX(FORM!$H:$H,ROW()))),"YA",IF(ISNUMBER(SEARCH("Cukup,",INDEX(FORM!$H:$H,ROW()))),"CUKUP",IF(ISNUMBER(SEARCH("Kurang,",INDEX(FORM!$H:$H,ROW()))),"KURANG",""))))</f>
        <v/>
      </c>
      <c r="K719" s="8" t="str">
        <f>IF($A719="","",UPPER(TRIM(INDEX(FORM!$J:$J,ROW()))))</f>
        <v/>
      </c>
      <c r="L719" s="8" t="str">
        <f>IF($A719="","",IF(ISNUMBER(SEARCH("Aktivitas Harian",INDEX(FORM!$K:$K,ROW()))),1,0))</f>
        <v/>
      </c>
      <c r="M719" s="8" t="str">
        <f>IF($A719="","",IF(ISNUMBER(SEARCH("Aktivitas Mingguan",INDEX(FORM!$K:$K,ROW()))),1,0))</f>
        <v/>
      </c>
      <c r="N719" s="8" t="str">
        <f>IF($A719="","",IF(ISNUMBER(SEARCH("Aktivitas Bulanan",INDEX(FORM!$K:$K,ROW()))),1,0))</f>
        <v/>
      </c>
      <c r="O719" s="8" t="str">
        <f>IF($A719="","",IF(ISNUMBER(SEARCH("Overview Cabang",INDEX(FORM!$K:$K,ROW()))),1,0))</f>
        <v/>
      </c>
      <c r="P719" s="8" t="str">
        <f>IF($A719="","",IFERROR(VLOOKUP(I719,DATA!$AH$9:$AI$13,2,0),""))</f>
        <v/>
      </c>
      <c r="Q719" s="8" t="str">
        <f>IF($A719="","",IFERROR(VLOOKUP(J719,DATA!$AH$9:$AI$13,2,0),""))</f>
        <v/>
      </c>
      <c r="R719" s="8" t="str">
        <f>IF($A719="","",IFERROR(VLOOKUP(K719,DATA!$AH$9:$AI$13,2,0),""))</f>
        <v/>
      </c>
      <c r="S719" s="42" t="str">
        <f t="shared" si="242"/>
        <v/>
      </c>
      <c r="T719" s="8" t="str">
        <f>IF($A719="","",IF(COUNTIF($D$2:D719,D719)=1,1,0))</f>
        <v/>
      </c>
      <c r="U719" s="8" t="str">
        <f>IF($A719="","",IF(F719="-","Cabang tdk ada",IF(IFERROR(VLOOKUP(G719,#REF!,1,0),"")="","",IF(INDEX(DATA!$AH$2:$AH$5,MATCH(G719,DATA!$AI$2:$AI$5,0))&lt;&gt;F719,"Wilayah beda","OK"))))</f>
        <v/>
      </c>
      <c r="V719" s="8" t="str">
        <f>IF($A719="","",TRIM(INDEX(FORM!$I:$I,ROW())&amp;""))</f>
        <v/>
      </c>
      <c r="W719" s="8" t="str">
        <f>IF($A719="","",TRIM(INDEX(FORM!$L:$L,ROW())&amp;""))</f>
        <v/>
      </c>
      <c r="X719" s="8" t="str">
        <f>IF($A719="","",TRIM(INDEX(FORM!$M:$M,ROW())&amp;""))</f>
        <v/>
      </c>
      <c r="Y719" s="8" t="str">
        <f>IF($A719="","",IFERROR(MATCH(F719,DATA!$AH$2:$AH$5,0),9)*10000+A719)</f>
        <v/>
      </c>
      <c r="Z719" s="8" t="str">
        <f t="shared" si="243"/>
        <v/>
      </c>
      <c r="AA719" s="8" t="str">
        <f t="shared" si="244"/>
        <v/>
      </c>
      <c r="AB719" s="8" t="str">
        <f t="shared" si="245"/>
        <v/>
      </c>
      <c r="AC719" s="8"/>
      <c r="AD719" s="8"/>
      <c r="AE719" s="8"/>
      <c r="AK719" s="5" t="str">
        <f t="shared" si="246"/>
        <v/>
      </c>
      <c r="AL719" s="5" t="str">
        <f t="shared" si="247"/>
        <v/>
      </c>
      <c r="AM719" s="5" t="str">
        <f t="shared" si="248"/>
        <v/>
      </c>
      <c r="AN719" s="5" t="str">
        <f t="shared" si="249"/>
        <v/>
      </c>
      <c r="AO719" s="5" t="str">
        <f t="shared" si="250"/>
        <v/>
      </c>
      <c r="AP719" s="5" t="str">
        <f t="shared" si="251"/>
        <v/>
      </c>
      <c r="AQ719" s="5" t="str">
        <f t="shared" si="252"/>
        <v/>
      </c>
      <c r="AR719" s="5" t="str">
        <f t="shared" si="253"/>
        <v/>
      </c>
      <c r="AS719" s="5" t="str">
        <f t="shared" si="254"/>
        <v/>
      </c>
      <c r="AT719" s="5" t="str">
        <f t="shared" si="255"/>
        <v/>
      </c>
      <c r="AU719" s="5" t="str">
        <f t="shared" si="256"/>
        <v/>
      </c>
      <c r="AV719" s="5" t="str">
        <f t="shared" si="257"/>
        <v/>
      </c>
      <c r="AW719" s="5" t="str">
        <f t="shared" si="258"/>
        <v/>
      </c>
      <c r="AX719" s="5" t="str">
        <f t="shared" si="259"/>
        <v/>
      </c>
      <c r="AY719" s="5" t="str">
        <f t="shared" si="260"/>
        <v/>
      </c>
      <c r="AZ719" s="5" t="str">
        <f t="shared" si="261"/>
        <v/>
      </c>
      <c r="BA719" s="5" t="str">
        <f t="shared" si="262"/>
        <v/>
      </c>
      <c r="BB719" s="5" t="str">
        <f t="shared" si="263"/>
        <v/>
      </c>
    </row>
    <row r="720" spans="1:54" s="5" customFormat="1" hidden="1">
      <c r="A720" s="8" t="str">
        <f>IF(INDEX(FORM!$A:$A,ROW())="","",ROW()-1)</f>
        <v/>
      </c>
      <c r="B720" s="41" t="str">
        <f>IF($A720="","",INDEX(FORM!$A:$A,ROW()))</f>
        <v/>
      </c>
      <c r="C720" s="8" t="str">
        <f>IF($A720="","",TRIM(INDEX(FORM!$B:$B,ROW())))</f>
        <v/>
      </c>
      <c r="D720" s="8" t="str">
        <f>IF($A720="","",TRIM(INDEX(FORM!$C:$C,ROW())&amp;""))</f>
        <v/>
      </c>
      <c r="E720" s="8" t="str">
        <f>IF($A720="","",UPPER(TRIM(INDEX(FORM!$D:$D,ROW()))))</f>
        <v/>
      </c>
      <c r="F720" s="8" t="str">
        <f>IF($A720="","",IFERROR(INDEX(PROGRES!$A$2:$A$92,MATCH(E720,PROGRES!$B$2:$B$92,0)),"-"))</f>
        <v/>
      </c>
      <c r="G720" s="8" t="str">
        <f>IF($A720="","",UPPER(TRIM(INDEX(FORM!$F:$F,ROW()))))</f>
        <v/>
      </c>
      <c r="H720" s="8" t="str">
        <f>IF($A720="","",UPPER(TRIM(INDEX(FORM!$E:$E,ROW()))))</f>
        <v/>
      </c>
      <c r="I720" s="8" t="str">
        <f>IF($A720="","",UPPER(TRIM(INDEX(FORM!$G:$G,ROW()))))</f>
        <v/>
      </c>
      <c r="J720" s="8" t="str">
        <f>IF($A720="","",IF(ISNUMBER(SEARCH("Ya,",INDEX(FORM!$H:$H,ROW()))),"YA",IF(ISNUMBER(SEARCH("Cukup,",INDEX(FORM!$H:$H,ROW()))),"CUKUP",IF(ISNUMBER(SEARCH("Kurang,",INDEX(FORM!$H:$H,ROW()))),"KURANG",""))))</f>
        <v/>
      </c>
      <c r="K720" s="8" t="str">
        <f>IF($A720="","",UPPER(TRIM(INDEX(FORM!$J:$J,ROW()))))</f>
        <v/>
      </c>
      <c r="L720" s="8" t="str">
        <f>IF($A720="","",IF(ISNUMBER(SEARCH("Aktivitas Harian",INDEX(FORM!$K:$K,ROW()))),1,0))</f>
        <v/>
      </c>
      <c r="M720" s="8" t="str">
        <f>IF($A720="","",IF(ISNUMBER(SEARCH("Aktivitas Mingguan",INDEX(FORM!$K:$K,ROW()))),1,0))</f>
        <v/>
      </c>
      <c r="N720" s="8" t="str">
        <f>IF($A720="","",IF(ISNUMBER(SEARCH("Aktivitas Bulanan",INDEX(FORM!$K:$K,ROW()))),1,0))</f>
        <v/>
      </c>
      <c r="O720" s="8" t="str">
        <f>IF($A720="","",IF(ISNUMBER(SEARCH("Overview Cabang",INDEX(FORM!$K:$K,ROW()))),1,0))</f>
        <v/>
      </c>
      <c r="P720" s="8" t="str">
        <f>IF($A720="","",IFERROR(VLOOKUP(I720,DATA!$AH$9:$AI$13,2,0),""))</f>
        <v/>
      </c>
      <c r="Q720" s="8" t="str">
        <f>IF($A720="","",IFERROR(VLOOKUP(J720,DATA!$AH$9:$AI$13,2,0),""))</f>
        <v/>
      </c>
      <c r="R720" s="8" t="str">
        <f>IF($A720="","",IFERROR(VLOOKUP(K720,DATA!$AH$9:$AI$13,2,0),""))</f>
        <v/>
      </c>
      <c r="S720" s="42" t="str">
        <f t="shared" si="242"/>
        <v/>
      </c>
      <c r="T720" s="8" t="str">
        <f>IF($A720="","",IF(COUNTIF($D$2:D720,D720)=1,1,0))</f>
        <v/>
      </c>
      <c r="U720" s="8" t="str">
        <f>IF($A720="","",IF(F720="-","Cabang tdk ada",IF(IFERROR(VLOOKUP(G720,#REF!,1,0),"")="","",IF(INDEX(DATA!$AH$2:$AH$5,MATCH(G720,DATA!$AI$2:$AI$5,0))&lt;&gt;F720,"Wilayah beda","OK"))))</f>
        <v/>
      </c>
      <c r="V720" s="8" t="str">
        <f>IF($A720="","",TRIM(INDEX(FORM!$I:$I,ROW())&amp;""))</f>
        <v/>
      </c>
      <c r="W720" s="8" t="str">
        <f>IF($A720="","",TRIM(INDEX(FORM!$L:$L,ROW())&amp;""))</f>
        <v/>
      </c>
      <c r="X720" s="8" t="str">
        <f>IF($A720="","",TRIM(INDEX(FORM!$M:$M,ROW())&amp;""))</f>
        <v/>
      </c>
      <c r="Y720" s="8" t="str">
        <f>IF($A720="","",IFERROR(MATCH(F720,DATA!$AH$2:$AH$5,0),9)*10000+A720)</f>
        <v/>
      </c>
      <c r="Z720" s="8" t="str">
        <f t="shared" si="243"/>
        <v/>
      </c>
      <c r="AA720" s="8" t="str">
        <f t="shared" si="244"/>
        <v/>
      </c>
      <c r="AB720" s="8" t="str">
        <f t="shared" si="245"/>
        <v/>
      </c>
      <c r="AC720" s="8"/>
      <c r="AD720" s="8"/>
      <c r="AE720" s="8"/>
      <c r="AK720" s="5" t="str">
        <f t="shared" si="246"/>
        <v/>
      </c>
      <c r="AL720" s="5" t="str">
        <f t="shared" si="247"/>
        <v/>
      </c>
      <c r="AM720" s="5" t="str">
        <f t="shared" si="248"/>
        <v/>
      </c>
      <c r="AN720" s="5" t="str">
        <f t="shared" si="249"/>
        <v/>
      </c>
      <c r="AO720" s="5" t="str">
        <f t="shared" si="250"/>
        <v/>
      </c>
      <c r="AP720" s="5" t="str">
        <f t="shared" si="251"/>
        <v/>
      </c>
      <c r="AQ720" s="5" t="str">
        <f t="shared" si="252"/>
        <v/>
      </c>
      <c r="AR720" s="5" t="str">
        <f t="shared" si="253"/>
        <v/>
      </c>
      <c r="AS720" s="5" t="str">
        <f t="shared" si="254"/>
        <v/>
      </c>
      <c r="AT720" s="5" t="str">
        <f t="shared" si="255"/>
        <v/>
      </c>
      <c r="AU720" s="5" t="str">
        <f t="shared" si="256"/>
        <v/>
      </c>
      <c r="AV720" s="5" t="str">
        <f t="shared" si="257"/>
        <v/>
      </c>
      <c r="AW720" s="5" t="str">
        <f t="shared" si="258"/>
        <v/>
      </c>
      <c r="AX720" s="5" t="str">
        <f t="shared" si="259"/>
        <v/>
      </c>
      <c r="AY720" s="5" t="str">
        <f t="shared" si="260"/>
        <v/>
      </c>
      <c r="AZ720" s="5" t="str">
        <f t="shared" si="261"/>
        <v/>
      </c>
      <c r="BA720" s="5" t="str">
        <f t="shared" si="262"/>
        <v/>
      </c>
      <c r="BB720" s="5" t="str">
        <f t="shared" si="263"/>
        <v/>
      </c>
    </row>
    <row r="721" spans="1:54" s="5" customFormat="1" hidden="1">
      <c r="A721" s="8" t="str">
        <f>IF(INDEX(FORM!$A:$A,ROW())="","",ROW()-1)</f>
        <v/>
      </c>
      <c r="B721" s="41" t="str">
        <f>IF($A721="","",INDEX(FORM!$A:$A,ROW()))</f>
        <v/>
      </c>
      <c r="C721" s="8" t="str">
        <f>IF($A721="","",TRIM(INDEX(FORM!$B:$B,ROW())))</f>
        <v/>
      </c>
      <c r="D721" s="8" t="str">
        <f>IF($A721="","",TRIM(INDEX(FORM!$C:$C,ROW())&amp;""))</f>
        <v/>
      </c>
      <c r="E721" s="8" t="str">
        <f>IF($A721="","",UPPER(TRIM(INDEX(FORM!$D:$D,ROW()))))</f>
        <v/>
      </c>
      <c r="F721" s="8" t="str">
        <f>IF($A721="","",IFERROR(INDEX(PROGRES!$A$2:$A$92,MATCH(E721,PROGRES!$B$2:$B$92,0)),"-"))</f>
        <v/>
      </c>
      <c r="G721" s="8" t="str">
        <f>IF($A721="","",UPPER(TRIM(INDEX(FORM!$F:$F,ROW()))))</f>
        <v/>
      </c>
      <c r="H721" s="8" t="str">
        <f>IF($A721="","",UPPER(TRIM(INDEX(FORM!$E:$E,ROW()))))</f>
        <v/>
      </c>
      <c r="I721" s="8" t="str">
        <f>IF($A721="","",UPPER(TRIM(INDEX(FORM!$G:$G,ROW()))))</f>
        <v/>
      </c>
      <c r="J721" s="8" t="str">
        <f>IF($A721="","",IF(ISNUMBER(SEARCH("Ya,",INDEX(FORM!$H:$H,ROW()))),"YA",IF(ISNUMBER(SEARCH("Cukup,",INDEX(FORM!$H:$H,ROW()))),"CUKUP",IF(ISNUMBER(SEARCH("Kurang,",INDEX(FORM!$H:$H,ROW()))),"KURANG",""))))</f>
        <v/>
      </c>
      <c r="K721" s="8" t="str">
        <f>IF($A721="","",UPPER(TRIM(INDEX(FORM!$J:$J,ROW()))))</f>
        <v/>
      </c>
      <c r="L721" s="8" t="str">
        <f>IF($A721="","",IF(ISNUMBER(SEARCH("Aktivitas Harian",INDEX(FORM!$K:$K,ROW()))),1,0))</f>
        <v/>
      </c>
      <c r="M721" s="8" t="str">
        <f>IF($A721="","",IF(ISNUMBER(SEARCH("Aktivitas Mingguan",INDEX(FORM!$K:$K,ROW()))),1,0))</f>
        <v/>
      </c>
      <c r="N721" s="8" t="str">
        <f>IF($A721="","",IF(ISNUMBER(SEARCH("Aktivitas Bulanan",INDEX(FORM!$K:$K,ROW()))),1,0))</f>
        <v/>
      </c>
      <c r="O721" s="8" t="str">
        <f>IF($A721="","",IF(ISNUMBER(SEARCH("Overview Cabang",INDEX(FORM!$K:$K,ROW()))),1,0))</f>
        <v/>
      </c>
      <c r="P721" s="8" t="str">
        <f>IF($A721="","",IFERROR(VLOOKUP(I721,DATA!$AH$9:$AI$13,2,0),""))</f>
        <v/>
      </c>
      <c r="Q721" s="8" t="str">
        <f>IF($A721="","",IFERROR(VLOOKUP(J721,DATA!$AH$9:$AI$13,2,0),""))</f>
        <v/>
      </c>
      <c r="R721" s="8" t="str">
        <f>IF($A721="","",IFERROR(VLOOKUP(K721,DATA!$AH$9:$AI$13,2,0),""))</f>
        <v/>
      </c>
      <c r="S721" s="42" t="str">
        <f t="shared" si="242"/>
        <v/>
      </c>
      <c r="T721" s="8" t="str">
        <f>IF($A721="","",IF(COUNTIF($D$2:D721,D721)=1,1,0))</f>
        <v/>
      </c>
      <c r="U721" s="8" t="str">
        <f>IF($A721="","",IF(F721="-","Cabang tdk ada",IF(IFERROR(VLOOKUP(G721,#REF!,1,0),"")="","",IF(INDEX(DATA!$AH$2:$AH$5,MATCH(G721,DATA!$AI$2:$AI$5,0))&lt;&gt;F721,"Wilayah beda","OK"))))</f>
        <v/>
      </c>
      <c r="V721" s="8" t="str">
        <f>IF($A721="","",TRIM(INDEX(FORM!$I:$I,ROW())&amp;""))</f>
        <v/>
      </c>
      <c r="W721" s="8" t="str">
        <f>IF($A721="","",TRIM(INDEX(FORM!$L:$L,ROW())&amp;""))</f>
        <v/>
      </c>
      <c r="X721" s="8" t="str">
        <f>IF($A721="","",TRIM(INDEX(FORM!$M:$M,ROW())&amp;""))</f>
        <v/>
      </c>
      <c r="Y721" s="8" t="str">
        <f>IF($A721="","",IFERROR(MATCH(F721,DATA!$AH$2:$AH$5,0),9)*10000+A721)</f>
        <v/>
      </c>
      <c r="Z721" s="8" t="str">
        <f t="shared" si="243"/>
        <v/>
      </c>
      <c r="AA721" s="8" t="str">
        <f t="shared" si="244"/>
        <v/>
      </c>
      <c r="AB721" s="8" t="str">
        <f t="shared" si="245"/>
        <v/>
      </c>
      <c r="AC721" s="8"/>
      <c r="AD721" s="8"/>
      <c r="AE721" s="8"/>
      <c r="AK721" s="5" t="str">
        <f t="shared" si="246"/>
        <v/>
      </c>
      <c r="AL721" s="5" t="str">
        <f t="shared" si="247"/>
        <v/>
      </c>
      <c r="AM721" s="5" t="str">
        <f t="shared" si="248"/>
        <v/>
      </c>
      <c r="AN721" s="5" t="str">
        <f t="shared" si="249"/>
        <v/>
      </c>
      <c r="AO721" s="5" t="str">
        <f t="shared" si="250"/>
        <v/>
      </c>
      <c r="AP721" s="5" t="str">
        <f t="shared" si="251"/>
        <v/>
      </c>
      <c r="AQ721" s="5" t="str">
        <f t="shared" si="252"/>
        <v/>
      </c>
      <c r="AR721" s="5" t="str">
        <f t="shared" si="253"/>
        <v/>
      </c>
      <c r="AS721" s="5" t="str">
        <f t="shared" si="254"/>
        <v/>
      </c>
      <c r="AT721" s="5" t="str">
        <f t="shared" si="255"/>
        <v/>
      </c>
      <c r="AU721" s="5" t="str">
        <f t="shared" si="256"/>
        <v/>
      </c>
      <c r="AV721" s="5" t="str">
        <f t="shared" si="257"/>
        <v/>
      </c>
      <c r="AW721" s="5" t="str">
        <f t="shared" si="258"/>
        <v/>
      </c>
      <c r="AX721" s="5" t="str">
        <f t="shared" si="259"/>
        <v/>
      </c>
      <c r="AY721" s="5" t="str">
        <f t="shared" si="260"/>
        <v/>
      </c>
      <c r="AZ721" s="5" t="str">
        <f t="shared" si="261"/>
        <v/>
      </c>
      <c r="BA721" s="5" t="str">
        <f t="shared" si="262"/>
        <v/>
      </c>
      <c r="BB721" s="5" t="str">
        <f t="shared" si="263"/>
        <v/>
      </c>
    </row>
    <row r="722" spans="1:54" s="5" customFormat="1" hidden="1">
      <c r="A722" s="8" t="str">
        <f>IF(INDEX(FORM!$A:$A,ROW())="","",ROW()-1)</f>
        <v/>
      </c>
      <c r="B722" s="41" t="str">
        <f>IF($A722="","",INDEX(FORM!$A:$A,ROW()))</f>
        <v/>
      </c>
      <c r="C722" s="8" t="str">
        <f>IF($A722="","",TRIM(INDEX(FORM!$B:$B,ROW())))</f>
        <v/>
      </c>
      <c r="D722" s="8" t="str">
        <f>IF($A722="","",TRIM(INDEX(FORM!$C:$C,ROW())&amp;""))</f>
        <v/>
      </c>
      <c r="E722" s="8" t="str">
        <f>IF($A722="","",UPPER(TRIM(INDEX(FORM!$D:$D,ROW()))))</f>
        <v/>
      </c>
      <c r="F722" s="8" t="str">
        <f>IF($A722="","",IFERROR(INDEX(PROGRES!$A$2:$A$92,MATCH(E722,PROGRES!$B$2:$B$92,0)),"-"))</f>
        <v/>
      </c>
      <c r="G722" s="8" t="str">
        <f>IF($A722="","",UPPER(TRIM(INDEX(FORM!$F:$F,ROW()))))</f>
        <v/>
      </c>
      <c r="H722" s="8" t="str">
        <f>IF($A722="","",UPPER(TRIM(INDEX(FORM!$E:$E,ROW()))))</f>
        <v/>
      </c>
      <c r="I722" s="8" t="str">
        <f>IF($A722="","",UPPER(TRIM(INDEX(FORM!$G:$G,ROW()))))</f>
        <v/>
      </c>
      <c r="J722" s="8" t="str">
        <f>IF($A722="","",IF(ISNUMBER(SEARCH("Ya,",INDEX(FORM!$H:$H,ROW()))),"YA",IF(ISNUMBER(SEARCH("Cukup,",INDEX(FORM!$H:$H,ROW()))),"CUKUP",IF(ISNUMBER(SEARCH("Kurang,",INDEX(FORM!$H:$H,ROW()))),"KURANG",""))))</f>
        <v/>
      </c>
      <c r="K722" s="8" t="str">
        <f>IF($A722="","",UPPER(TRIM(INDEX(FORM!$J:$J,ROW()))))</f>
        <v/>
      </c>
      <c r="L722" s="8" t="str">
        <f>IF($A722="","",IF(ISNUMBER(SEARCH("Aktivitas Harian",INDEX(FORM!$K:$K,ROW()))),1,0))</f>
        <v/>
      </c>
      <c r="M722" s="8" t="str">
        <f>IF($A722="","",IF(ISNUMBER(SEARCH("Aktivitas Mingguan",INDEX(FORM!$K:$K,ROW()))),1,0))</f>
        <v/>
      </c>
      <c r="N722" s="8" t="str">
        <f>IF($A722="","",IF(ISNUMBER(SEARCH("Aktivitas Bulanan",INDEX(FORM!$K:$K,ROW()))),1,0))</f>
        <v/>
      </c>
      <c r="O722" s="8" t="str">
        <f>IF($A722="","",IF(ISNUMBER(SEARCH("Overview Cabang",INDEX(FORM!$K:$K,ROW()))),1,0))</f>
        <v/>
      </c>
      <c r="P722" s="8" t="str">
        <f>IF($A722="","",IFERROR(VLOOKUP(I722,DATA!$AH$9:$AI$13,2,0),""))</f>
        <v/>
      </c>
      <c r="Q722" s="8" t="str">
        <f>IF($A722="","",IFERROR(VLOOKUP(J722,DATA!$AH$9:$AI$13,2,0),""))</f>
        <v/>
      </c>
      <c r="R722" s="8" t="str">
        <f>IF($A722="","",IFERROR(VLOOKUP(K722,DATA!$AH$9:$AI$13,2,0),""))</f>
        <v/>
      </c>
      <c r="S722" s="42" t="str">
        <f t="shared" si="242"/>
        <v/>
      </c>
      <c r="T722" s="8" t="str">
        <f>IF($A722="","",IF(COUNTIF($D$2:D722,D722)=1,1,0))</f>
        <v/>
      </c>
      <c r="U722" s="8" t="str">
        <f>IF($A722="","",IF(F722="-","Cabang tdk ada",IF(IFERROR(VLOOKUP(G722,#REF!,1,0),"")="","",IF(INDEX(DATA!$AH$2:$AH$5,MATCH(G722,DATA!$AI$2:$AI$5,0))&lt;&gt;F722,"Wilayah beda","OK"))))</f>
        <v/>
      </c>
      <c r="V722" s="8" t="str">
        <f>IF($A722="","",TRIM(INDEX(FORM!$I:$I,ROW())&amp;""))</f>
        <v/>
      </c>
      <c r="W722" s="8" t="str">
        <f>IF($A722="","",TRIM(INDEX(FORM!$L:$L,ROW())&amp;""))</f>
        <v/>
      </c>
      <c r="X722" s="8" t="str">
        <f>IF($A722="","",TRIM(INDEX(FORM!$M:$M,ROW())&amp;""))</f>
        <v/>
      </c>
      <c r="Y722" s="8" t="str">
        <f>IF($A722="","",IFERROR(MATCH(F722,DATA!$AH$2:$AH$5,0),9)*10000+A722)</f>
        <v/>
      </c>
      <c r="Z722" s="8" t="str">
        <f t="shared" si="243"/>
        <v/>
      </c>
      <c r="AA722" s="8" t="str">
        <f t="shared" si="244"/>
        <v/>
      </c>
      <c r="AB722" s="8" t="str">
        <f t="shared" si="245"/>
        <v/>
      </c>
      <c r="AC722" s="8"/>
      <c r="AD722" s="8"/>
      <c r="AE722" s="8"/>
      <c r="AK722" s="5" t="str">
        <f t="shared" si="246"/>
        <v/>
      </c>
      <c r="AL722" s="5" t="str">
        <f t="shared" si="247"/>
        <v/>
      </c>
      <c r="AM722" s="5" t="str">
        <f t="shared" si="248"/>
        <v/>
      </c>
      <c r="AN722" s="5" t="str">
        <f t="shared" si="249"/>
        <v/>
      </c>
      <c r="AO722" s="5" t="str">
        <f t="shared" si="250"/>
        <v/>
      </c>
      <c r="AP722" s="5" t="str">
        <f t="shared" si="251"/>
        <v/>
      </c>
      <c r="AQ722" s="5" t="str">
        <f t="shared" si="252"/>
        <v/>
      </c>
      <c r="AR722" s="5" t="str">
        <f t="shared" si="253"/>
        <v/>
      </c>
      <c r="AS722" s="5" t="str">
        <f t="shared" si="254"/>
        <v/>
      </c>
      <c r="AT722" s="5" t="str">
        <f t="shared" si="255"/>
        <v/>
      </c>
      <c r="AU722" s="5" t="str">
        <f t="shared" si="256"/>
        <v/>
      </c>
      <c r="AV722" s="5" t="str">
        <f t="shared" si="257"/>
        <v/>
      </c>
      <c r="AW722" s="5" t="str">
        <f t="shared" si="258"/>
        <v/>
      </c>
      <c r="AX722" s="5" t="str">
        <f t="shared" si="259"/>
        <v/>
      </c>
      <c r="AY722" s="5" t="str">
        <f t="shared" si="260"/>
        <v/>
      </c>
      <c r="AZ722" s="5" t="str">
        <f t="shared" si="261"/>
        <v/>
      </c>
      <c r="BA722" s="5" t="str">
        <f t="shared" si="262"/>
        <v/>
      </c>
      <c r="BB722" s="5" t="str">
        <f t="shared" si="263"/>
        <v/>
      </c>
    </row>
    <row r="723" spans="1:54" s="5" customFormat="1" hidden="1">
      <c r="A723" s="8" t="str">
        <f>IF(INDEX(FORM!$A:$A,ROW())="","",ROW()-1)</f>
        <v/>
      </c>
      <c r="B723" s="41" t="str">
        <f>IF($A723="","",INDEX(FORM!$A:$A,ROW()))</f>
        <v/>
      </c>
      <c r="C723" s="8" t="str">
        <f>IF($A723="","",TRIM(INDEX(FORM!$B:$B,ROW())))</f>
        <v/>
      </c>
      <c r="D723" s="8" t="str">
        <f>IF($A723="","",TRIM(INDEX(FORM!$C:$C,ROW())&amp;""))</f>
        <v/>
      </c>
      <c r="E723" s="8" t="str">
        <f>IF($A723="","",UPPER(TRIM(INDEX(FORM!$D:$D,ROW()))))</f>
        <v/>
      </c>
      <c r="F723" s="8" t="str">
        <f>IF($A723="","",IFERROR(INDEX(PROGRES!$A$2:$A$92,MATCH(E723,PROGRES!$B$2:$B$92,0)),"-"))</f>
        <v/>
      </c>
      <c r="G723" s="8" t="str">
        <f>IF($A723="","",UPPER(TRIM(INDEX(FORM!$F:$F,ROW()))))</f>
        <v/>
      </c>
      <c r="H723" s="8" t="str">
        <f>IF($A723="","",UPPER(TRIM(INDEX(FORM!$E:$E,ROW()))))</f>
        <v/>
      </c>
      <c r="I723" s="8" t="str">
        <f>IF($A723="","",UPPER(TRIM(INDEX(FORM!$G:$G,ROW()))))</f>
        <v/>
      </c>
      <c r="J723" s="8" t="str">
        <f>IF($A723="","",IF(ISNUMBER(SEARCH("Ya,",INDEX(FORM!$H:$H,ROW()))),"YA",IF(ISNUMBER(SEARCH("Cukup,",INDEX(FORM!$H:$H,ROW()))),"CUKUP",IF(ISNUMBER(SEARCH("Kurang,",INDEX(FORM!$H:$H,ROW()))),"KURANG",""))))</f>
        <v/>
      </c>
      <c r="K723" s="8" t="str">
        <f>IF($A723="","",UPPER(TRIM(INDEX(FORM!$J:$J,ROW()))))</f>
        <v/>
      </c>
      <c r="L723" s="8" t="str">
        <f>IF($A723="","",IF(ISNUMBER(SEARCH("Aktivitas Harian",INDEX(FORM!$K:$K,ROW()))),1,0))</f>
        <v/>
      </c>
      <c r="M723" s="8" t="str">
        <f>IF($A723="","",IF(ISNUMBER(SEARCH("Aktivitas Mingguan",INDEX(FORM!$K:$K,ROW()))),1,0))</f>
        <v/>
      </c>
      <c r="N723" s="8" t="str">
        <f>IF($A723="","",IF(ISNUMBER(SEARCH("Aktivitas Bulanan",INDEX(FORM!$K:$K,ROW()))),1,0))</f>
        <v/>
      </c>
      <c r="O723" s="8" t="str">
        <f>IF($A723="","",IF(ISNUMBER(SEARCH("Overview Cabang",INDEX(FORM!$K:$K,ROW()))),1,0))</f>
        <v/>
      </c>
      <c r="P723" s="8" t="str">
        <f>IF($A723="","",IFERROR(VLOOKUP(I723,DATA!$AH$9:$AI$13,2,0),""))</f>
        <v/>
      </c>
      <c r="Q723" s="8" t="str">
        <f>IF($A723="","",IFERROR(VLOOKUP(J723,DATA!$AH$9:$AI$13,2,0),""))</f>
        <v/>
      </c>
      <c r="R723" s="8" t="str">
        <f>IF($A723="","",IFERROR(VLOOKUP(K723,DATA!$AH$9:$AI$13,2,0),""))</f>
        <v/>
      </c>
      <c r="S723" s="42" t="str">
        <f t="shared" si="242"/>
        <v/>
      </c>
      <c r="T723" s="8" t="str">
        <f>IF($A723="","",IF(COUNTIF($D$2:D723,D723)=1,1,0))</f>
        <v/>
      </c>
      <c r="U723" s="8" t="str">
        <f>IF($A723="","",IF(F723="-","Cabang tdk ada",IF(IFERROR(VLOOKUP(G723,#REF!,1,0),"")="","",IF(INDEX(DATA!$AH$2:$AH$5,MATCH(G723,DATA!$AI$2:$AI$5,0))&lt;&gt;F723,"Wilayah beda","OK"))))</f>
        <v/>
      </c>
      <c r="V723" s="8" t="str">
        <f>IF($A723="","",TRIM(INDEX(FORM!$I:$I,ROW())&amp;""))</f>
        <v/>
      </c>
      <c r="W723" s="8" t="str">
        <f>IF($A723="","",TRIM(INDEX(FORM!$L:$L,ROW())&amp;""))</f>
        <v/>
      </c>
      <c r="X723" s="8" t="str">
        <f>IF($A723="","",TRIM(INDEX(FORM!$M:$M,ROW())&amp;""))</f>
        <v/>
      </c>
      <c r="Y723" s="8" t="str">
        <f>IF($A723="","",IFERROR(MATCH(F723,DATA!$AH$2:$AH$5,0),9)*10000+A723)</f>
        <v/>
      </c>
      <c r="Z723" s="8" t="str">
        <f t="shared" si="243"/>
        <v/>
      </c>
      <c r="AA723" s="8" t="str">
        <f t="shared" si="244"/>
        <v/>
      </c>
      <c r="AB723" s="8" t="str">
        <f t="shared" si="245"/>
        <v/>
      </c>
      <c r="AC723" s="8"/>
      <c r="AD723" s="8"/>
      <c r="AE723" s="8"/>
      <c r="AK723" s="5" t="str">
        <f t="shared" si="246"/>
        <v/>
      </c>
      <c r="AL723" s="5" t="str">
        <f t="shared" si="247"/>
        <v/>
      </c>
      <c r="AM723" s="5" t="str">
        <f t="shared" si="248"/>
        <v/>
      </c>
      <c r="AN723" s="5" t="str">
        <f t="shared" si="249"/>
        <v/>
      </c>
      <c r="AO723" s="5" t="str">
        <f t="shared" si="250"/>
        <v/>
      </c>
      <c r="AP723" s="5" t="str">
        <f t="shared" si="251"/>
        <v/>
      </c>
      <c r="AQ723" s="5" t="str">
        <f t="shared" si="252"/>
        <v/>
      </c>
      <c r="AR723" s="5" t="str">
        <f t="shared" si="253"/>
        <v/>
      </c>
      <c r="AS723" s="5" t="str">
        <f t="shared" si="254"/>
        <v/>
      </c>
      <c r="AT723" s="5" t="str">
        <f t="shared" si="255"/>
        <v/>
      </c>
      <c r="AU723" s="5" t="str">
        <f t="shared" si="256"/>
        <v/>
      </c>
      <c r="AV723" s="5" t="str">
        <f t="shared" si="257"/>
        <v/>
      </c>
      <c r="AW723" s="5" t="str">
        <f t="shared" si="258"/>
        <v/>
      </c>
      <c r="AX723" s="5" t="str">
        <f t="shared" si="259"/>
        <v/>
      </c>
      <c r="AY723" s="5" t="str">
        <f t="shared" si="260"/>
        <v/>
      </c>
      <c r="AZ723" s="5" t="str">
        <f t="shared" si="261"/>
        <v/>
      </c>
      <c r="BA723" s="5" t="str">
        <f t="shared" si="262"/>
        <v/>
      </c>
      <c r="BB723" s="5" t="str">
        <f t="shared" si="263"/>
        <v/>
      </c>
    </row>
    <row r="724" spans="1:54" s="5" customFormat="1" hidden="1">
      <c r="A724" s="8" t="str">
        <f>IF(INDEX(FORM!$A:$A,ROW())="","",ROW()-1)</f>
        <v/>
      </c>
      <c r="B724" s="41" t="str">
        <f>IF($A724="","",INDEX(FORM!$A:$A,ROW()))</f>
        <v/>
      </c>
      <c r="C724" s="8" t="str">
        <f>IF($A724="","",TRIM(INDEX(FORM!$B:$B,ROW())))</f>
        <v/>
      </c>
      <c r="D724" s="8" t="str">
        <f>IF($A724="","",TRIM(INDEX(FORM!$C:$C,ROW())&amp;""))</f>
        <v/>
      </c>
      <c r="E724" s="8" t="str">
        <f>IF($A724="","",UPPER(TRIM(INDEX(FORM!$D:$D,ROW()))))</f>
        <v/>
      </c>
      <c r="F724" s="8" t="str">
        <f>IF($A724="","",IFERROR(INDEX(PROGRES!$A$2:$A$92,MATCH(E724,PROGRES!$B$2:$B$92,0)),"-"))</f>
        <v/>
      </c>
      <c r="G724" s="8" t="str">
        <f>IF($A724="","",UPPER(TRIM(INDEX(FORM!$F:$F,ROW()))))</f>
        <v/>
      </c>
      <c r="H724" s="8" t="str">
        <f>IF($A724="","",UPPER(TRIM(INDEX(FORM!$E:$E,ROW()))))</f>
        <v/>
      </c>
      <c r="I724" s="8" t="str">
        <f>IF($A724="","",UPPER(TRIM(INDEX(FORM!$G:$G,ROW()))))</f>
        <v/>
      </c>
      <c r="J724" s="8" t="str">
        <f>IF($A724="","",IF(ISNUMBER(SEARCH("Ya,",INDEX(FORM!$H:$H,ROW()))),"YA",IF(ISNUMBER(SEARCH("Cukup,",INDEX(FORM!$H:$H,ROW()))),"CUKUP",IF(ISNUMBER(SEARCH("Kurang,",INDEX(FORM!$H:$H,ROW()))),"KURANG",""))))</f>
        <v/>
      </c>
      <c r="K724" s="8" t="str">
        <f>IF($A724="","",UPPER(TRIM(INDEX(FORM!$J:$J,ROW()))))</f>
        <v/>
      </c>
      <c r="L724" s="8" t="str">
        <f>IF($A724="","",IF(ISNUMBER(SEARCH("Aktivitas Harian",INDEX(FORM!$K:$K,ROW()))),1,0))</f>
        <v/>
      </c>
      <c r="M724" s="8" t="str">
        <f>IF($A724="","",IF(ISNUMBER(SEARCH("Aktivitas Mingguan",INDEX(FORM!$K:$K,ROW()))),1,0))</f>
        <v/>
      </c>
      <c r="N724" s="8" t="str">
        <f>IF($A724="","",IF(ISNUMBER(SEARCH("Aktivitas Bulanan",INDEX(FORM!$K:$K,ROW()))),1,0))</f>
        <v/>
      </c>
      <c r="O724" s="8" t="str">
        <f>IF($A724="","",IF(ISNUMBER(SEARCH("Overview Cabang",INDEX(FORM!$K:$K,ROW()))),1,0))</f>
        <v/>
      </c>
      <c r="P724" s="8" t="str">
        <f>IF($A724="","",IFERROR(VLOOKUP(I724,DATA!$AH$9:$AI$13,2,0),""))</f>
        <v/>
      </c>
      <c r="Q724" s="8" t="str">
        <f>IF($A724="","",IFERROR(VLOOKUP(J724,DATA!$AH$9:$AI$13,2,0),""))</f>
        <v/>
      </c>
      <c r="R724" s="8" t="str">
        <f>IF($A724="","",IFERROR(VLOOKUP(K724,DATA!$AH$9:$AI$13,2,0),""))</f>
        <v/>
      </c>
      <c r="S724" s="42" t="str">
        <f t="shared" si="242"/>
        <v/>
      </c>
      <c r="T724" s="8" t="str">
        <f>IF($A724="","",IF(COUNTIF($D$2:D724,D724)=1,1,0))</f>
        <v/>
      </c>
      <c r="U724" s="8" t="str">
        <f>IF($A724="","",IF(F724="-","Cabang tdk ada",IF(IFERROR(VLOOKUP(G724,#REF!,1,0),"")="","",IF(INDEX(DATA!$AH$2:$AH$5,MATCH(G724,DATA!$AI$2:$AI$5,0))&lt;&gt;F724,"Wilayah beda","OK"))))</f>
        <v/>
      </c>
      <c r="V724" s="8" t="str">
        <f>IF($A724="","",TRIM(INDEX(FORM!$I:$I,ROW())&amp;""))</f>
        <v/>
      </c>
      <c r="W724" s="8" t="str">
        <f>IF($A724="","",TRIM(INDEX(FORM!$L:$L,ROW())&amp;""))</f>
        <v/>
      </c>
      <c r="X724" s="8" t="str">
        <f>IF($A724="","",TRIM(INDEX(FORM!$M:$M,ROW())&amp;""))</f>
        <v/>
      </c>
      <c r="Y724" s="8" t="str">
        <f>IF($A724="","",IFERROR(MATCH(F724,DATA!$AH$2:$AH$5,0),9)*10000+A724)</f>
        <v/>
      </c>
      <c r="Z724" s="8" t="str">
        <f t="shared" si="243"/>
        <v/>
      </c>
      <c r="AA724" s="8" t="str">
        <f t="shared" si="244"/>
        <v/>
      </c>
      <c r="AB724" s="8" t="str">
        <f t="shared" si="245"/>
        <v/>
      </c>
      <c r="AC724" s="8"/>
      <c r="AD724" s="8"/>
      <c r="AE724" s="8"/>
      <c r="AK724" s="5" t="str">
        <f t="shared" si="246"/>
        <v/>
      </c>
      <c r="AL724" s="5" t="str">
        <f t="shared" si="247"/>
        <v/>
      </c>
      <c r="AM724" s="5" t="str">
        <f t="shared" si="248"/>
        <v/>
      </c>
      <c r="AN724" s="5" t="str">
        <f t="shared" si="249"/>
        <v/>
      </c>
      <c r="AO724" s="5" t="str">
        <f t="shared" si="250"/>
        <v/>
      </c>
      <c r="AP724" s="5" t="str">
        <f t="shared" si="251"/>
        <v/>
      </c>
      <c r="AQ724" s="5" t="str">
        <f t="shared" si="252"/>
        <v/>
      </c>
      <c r="AR724" s="5" t="str">
        <f t="shared" si="253"/>
        <v/>
      </c>
      <c r="AS724" s="5" t="str">
        <f t="shared" si="254"/>
        <v/>
      </c>
      <c r="AT724" s="5" t="str">
        <f t="shared" si="255"/>
        <v/>
      </c>
      <c r="AU724" s="5" t="str">
        <f t="shared" si="256"/>
        <v/>
      </c>
      <c r="AV724" s="5" t="str">
        <f t="shared" si="257"/>
        <v/>
      </c>
      <c r="AW724" s="5" t="str">
        <f t="shared" si="258"/>
        <v/>
      </c>
      <c r="AX724" s="5" t="str">
        <f t="shared" si="259"/>
        <v/>
      </c>
      <c r="AY724" s="5" t="str">
        <f t="shared" si="260"/>
        <v/>
      </c>
      <c r="AZ724" s="5" t="str">
        <f t="shared" si="261"/>
        <v/>
      </c>
      <c r="BA724" s="5" t="str">
        <f t="shared" si="262"/>
        <v/>
      </c>
      <c r="BB724" s="5" t="str">
        <f t="shared" si="263"/>
        <v/>
      </c>
    </row>
    <row r="725" spans="1:54" s="5" customFormat="1" hidden="1">
      <c r="A725" s="8" t="str">
        <f>IF(INDEX(FORM!$A:$A,ROW())="","",ROW()-1)</f>
        <v/>
      </c>
      <c r="B725" s="41" t="str">
        <f>IF($A725="","",INDEX(FORM!$A:$A,ROW()))</f>
        <v/>
      </c>
      <c r="C725" s="8" t="str">
        <f>IF($A725="","",TRIM(INDEX(FORM!$B:$B,ROW())))</f>
        <v/>
      </c>
      <c r="D725" s="8" t="str">
        <f>IF($A725="","",TRIM(INDEX(FORM!$C:$C,ROW())&amp;""))</f>
        <v/>
      </c>
      <c r="E725" s="8" t="str">
        <f>IF($A725="","",UPPER(TRIM(INDEX(FORM!$D:$D,ROW()))))</f>
        <v/>
      </c>
      <c r="F725" s="8" t="str">
        <f>IF($A725="","",IFERROR(INDEX(PROGRES!$A$2:$A$92,MATCH(E725,PROGRES!$B$2:$B$92,0)),"-"))</f>
        <v/>
      </c>
      <c r="G725" s="8" t="str">
        <f>IF($A725="","",UPPER(TRIM(INDEX(FORM!$F:$F,ROW()))))</f>
        <v/>
      </c>
      <c r="H725" s="8" t="str">
        <f>IF($A725="","",UPPER(TRIM(INDEX(FORM!$E:$E,ROW()))))</f>
        <v/>
      </c>
      <c r="I725" s="8" t="str">
        <f>IF($A725="","",UPPER(TRIM(INDEX(FORM!$G:$G,ROW()))))</f>
        <v/>
      </c>
      <c r="J725" s="8" t="str">
        <f>IF($A725="","",IF(ISNUMBER(SEARCH("Ya,",INDEX(FORM!$H:$H,ROW()))),"YA",IF(ISNUMBER(SEARCH("Cukup,",INDEX(FORM!$H:$H,ROW()))),"CUKUP",IF(ISNUMBER(SEARCH("Kurang,",INDEX(FORM!$H:$H,ROW()))),"KURANG",""))))</f>
        <v/>
      </c>
      <c r="K725" s="8" t="str">
        <f>IF($A725="","",UPPER(TRIM(INDEX(FORM!$J:$J,ROW()))))</f>
        <v/>
      </c>
      <c r="L725" s="8" t="str">
        <f>IF($A725="","",IF(ISNUMBER(SEARCH("Aktivitas Harian",INDEX(FORM!$K:$K,ROW()))),1,0))</f>
        <v/>
      </c>
      <c r="M725" s="8" t="str">
        <f>IF($A725="","",IF(ISNUMBER(SEARCH("Aktivitas Mingguan",INDEX(FORM!$K:$K,ROW()))),1,0))</f>
        <v/>
      </c>
      <c r="N725" s="8" t="str">
        <f>IF($A725="","",IF(ISNUMBER(SEARCH("Aktivitas Bulanan",INDEX(FORM!$K:$K,ROW()))),1,0))</f>
        <v/>
      </c>
      <c r="O725" s="8" t="str">
        <f>IF($A725="","",IF(ISNUMBER(SEARCH("Overview Cabang",INDEX(FORM!$K:$K,ROW()))),1,0))</f>
        <v/>
      </c>
      <c r="P725" s="8" t="str">
        <f>IF($A725="","",IFERROR(VLOOKUP(I725,DATA!$AH$9:$AI$13,2,0),""))</f>
        <v/>
      </c>
      <c r="Q725" s="8" t="str">
        <f>IF($A725="","",IFERROR(VLOOKUP(J725,DATA!$AH$9:$AI$13,2,0),""))</f>
        <v/>
      </c>
      <c r="R725" s="8" t="str">
        <f>IF($A725="","",IFERROR(VLOOKUP(K725,DATA!$AH$9:$AI$13,2,0),""))</f>
        <v/>
      </c>
      <c r="S725" s="42" t="str">
        <f t="shared" si="242"/>
        <v/>
      </c>
      <c r="T725" s="8" t="str">
        <f>IF($A725="","",IF(COUNTIF($D$2:D725,D725)=1,1,0))</f>
        <v/>
      </c>
      <c r="U725" s="8" t="str">
        <f>IF($A725="","",IF(F725="-","Cabang tdk ada",IF(IFERROR(VLOOKUP(G725,#REF!,1,0),"")="","",IF(INDEX(DATA!$AH$2:$AH$5,MATCH(G725,DATA!$AI$2:$AI$5,0))&lt;&gt;F725,"Wilayah beda","OK"))))</f>
        <v/>
      </c>
      <c r="V725" s="8" t="str">
        <f>IF($A725="","",TRIM(INDEX(FORM!$I:$I,ROW())&amp;""))</f>
        <v/>
      </c>
      <c r="W725" s="8" t="str">
        <f>IF($A725="","",TRIM(INDEX(FORM!$L:$L,ROW())&amp;""))</f>
        <v/>
      </c>
      <c r="X725" s="8" t="str">
        <f>IF($A725="","",TRIM(INDEX(FORM!$M:$M,ROW())&amp;""))</f>
        <v/>
      </c>
      <c r="Y725" s="8" t="str">
        <f>IF($A725="","",IFERROR(MATCH(F725,DATA!$AH$2:$AH$5,0),9)*10000+A725)</f>
        <v/>
      </c>
      <c r="Z725" s="8" t="str">
        <f t="shared" si="243"/>
        <v/>
      </c>
      <c r="AA725" s="8" t="str">
        <f t="shared" si="244"/>
        <v/>
      </c>
      <c r="AB725" s="8" t="str">
        <f t="shared" si="245"/>
        <v/>
      </c>
      <c r="AC725" s="8"/>
      <c r="AD725" s="8"/>
      <c r="AE725" s="8"/>
      <c r="AK725" s="5" t="str">
        <f t="shared" si="246"/>
        <v/>
      </c>
      <c r="AL725" s="5" t="str">
        <f t="shared" si="247"/>
        <v/>
      </c>
      <c r="AM725" s="5" t="str">
        <f t="shared" si="248"/>
        <v/>
      </c>
      <c r="AN725" s="5" t="str">
        <f t="shared" si="249"/>
        <v/>
      </c>
      <c r="AO725" s="5" t="str">
        <f t="shared" si="250"/>
        <v/>
      </c>
      <c r="AP725" s="5" t="str">
        <f t="shared" si="251"/>
        <v/>
      </c>
      <c r="AQ725" s="5" t="str">
        <f t="shared" si="252"/>
        <v/>
      </c>
      <c r="AR725" s="5" t="str">
        <f t="shared" si="253"/>
        <v/>
      </c>
      <c r="AS725" s="5" t="str">
        <f t="shared" si="254"/>
        <v/>
      </c>
      <c r="AT725" s="5" t="str">
        <f t="shared" si="255"/>
        <v/>
      </c>
      <c r="AU725" s="5" t="str">
        <f t="shared" si="256"/>
        <v/>
      </c>
      <c r="AV725" s="5" t="str">
        <f t="shared" si="257"/>
        <v/>
      </c>
      <c r="AW725" s="5" t="str">
        <f t="shared" si="258"/>
        <v/>
      </c>
      <c r="AX725" s="5" t="str">
        <f t="shared" si="259"/>
        <v/>
      </c>
      <c r="AY725" s="5" t="str">
        <f t="shared" si="260"/>
        <v/>
      </c>
      <c r="AZ725" s="5" t="str">
        <f t="shared" si="261"/>
        <v/>
      </c>
      <c r="BA725" s="5" t="str">
        <f t="shared" si="262"/>
        <v/>
      </c>
      <c r="BB725" s="5" t="str">
        <f t="shared" si="263"/>
        <v/>
      </c>
    </row>
    <row r="726" spans="1:54" s="5" customFormat="1" hidden="1">
      <c r="A726" s="8" t="str">
        <f>IF(INDEX(FORM!$A:$A,ROW())="","",ROW()-1)</f>
        <v/>
      </c>
      <c r="B726" s="41" t="str">
        <f>IF($A726="","",INDEX(FORM!$A:$A,ROW()))</f>
        <v/>
      </c>
      <c r="C726" s="8" t="str">
        <f>IF($A726="","",TRIM(INDEX(FORM!$B:$B,ROW())))</f>
        <v/>
      </c>
      <c r="D726" s="8" t="str">
        <f>IF($A726="","",TRIM(INDEX(FORM!$C:$C,ROW())&amp;""))</f>
        <v/>
      </c>
      <c r="E726" s="8" t="str">
        <f>IF($A726="","",UPPER(TRIM(INDEX(FORM!$D:$D,ROW()))))</f>
        <v/>
      </c>
      <c r="F726" s="8" t="str">
        <f>IF($A726="","",IFERROR(INDEX(PROGRES!$A$2:$A$92,MATCH(E726,PROGRES!$B$2:$B$92,0)),"-"))</f>
        <v/>
      </c>
      <c r="G726" s="8" t="str">
        <f>IF($A726="","",UPPER(TRIM(INDEX(FORM!$F:$F,ROW()))))</f>
        <v/>
      </c>
      <c r="H726" s="8" t="str">
        <f>IF($A726="","",UPPER(TRIM(INDEX(FORM!$E:$E,ROW()))))</f>
        <v/>
      </c>
      <c r="I726" s="8" t="str">
        <f>IF($A726="","",UPPER(TRIM(INDEX(FORM!$G:$G,ROW()))))</f>
        <v/>
      </c>
      <c r="J726" s="8" t="str">
        <f>IF($A726="","",IF(ISNUMBER(SEARCH("Ya,",INDEX(FORM!$H:$H,ROW()))),"YA",IF(ISNUMBER(SEARCH("Cukup,",INDEX(FORM!$H:$H,ROW()))),"CUKUP",IF(ISNUMBER(SEARCH("Kurang,",INDEX(FORM!$H:$H,ROW()))),"KURANG",""))))</f>
        <v/>
      </c>
      <c r="K726" s="8" t="str">
        <f>IF($A726="","",UPPER(TRIM(INDEX(FORM!$J:$J,ROW()))))</f>
        <v/>
      </c>
      <c r="L726" s="8" t="str">
        <f>IF($A726="","",IF(ISNUMBER(SEARCH("Aktivitas Harian",INDEX(FORM!$K:$K,ROW()))),1,0))</f>
        <v/>
      </c>
      <c r="M726" s="8" t="str">
        <f>IF($A726="","",IF(ISNUMBER(SEARCH("Aktivitas Mingguan",INDEX(FORM!$K:$K,ROW()))),1,0))</f>
        <v/>
      </c>
      <c r="N726" s="8" t="str">
        <f>IF($A726="","",IF(ISNUMBER(SEARCH("Aktivitas Bulanan",INDEX(FORM!$K:$K,ROW()))),1,0))</f>
        <v/>
      </c>
      <c r="O726" s="8" t="str">
        <f>IF($A726="","",IF(ISNUMBER(SEARCH("Overview Cabang",INDEX(FORM!$K:$K,ROW()))),1,0))</f>
        <v/>
      </c>
      <c r="P726" s="8" t="str">
        <f>IF($A726="","",IFERROR(VLOOKUP(I726,DATA!$AH$9:$AI$13,2,0),""))</f>
        <v/>
      </c>
      <c r="Q726" s="8" t="str">
        <f>IF($A726="","",IFERROR(VLOOKUP(J726,DATA!$AH$9:$AI$13,2,0),""))</f>
        <v/>
      </c>
      <c r="R726" s="8" t="str">
        <f>IF($A726="","",IFERROR(VLOOKUP(K726,DATA!$AH$9:$AI$13,2,0),""))</f>
        <v/>
      </c>
      <c r="S726" s="42" t="str">
        <f t="shared" si="242"/>
        <v/>
      </c>
      <c r="T726" s="8" t="str">
        <f>IF($A726="","",IF(COUNTIF($D$2:D726,D726)=1,1,0))</f>
        <v/>
      </c>
      <c r="U726" s="8" t="str">
        <f>IF($A726="","",IF(F726="-","Cabang tdk ada",IF(IFERROR(VLOOKUP(G726,#REF!,1,0),"")="","",IF(INDEX(DATA!$AH$2:$AH$5,MATCH(G726,DATA!$AI$2:$AI$5,0))&lt;&gt;F726,"Wilayah beda","OK"))))</f>
        <v/>
      </c>
      <c r="V726" s="8" t="str">
        <f>IF($A726="","",TRIM(INDEX(FORM!$I:$I,ROW())&amp;""))</f>
        <v/>
      </c>
      <c r="W726" s="8" t="str">
        <f>IF($A726="","",TRIM(INDEX(FORM!$L:$L,ROW())&amp;""))</f>
        <v/>
      </c>
      <c r="X726" s="8" t="str">
        <f>IF($A726="","",TRIM(INDEX(FORM!$M:$M,ROW())&amp;""))</f>
        <v/>
      </c>
      <c r="Y726" s="8" t="str">
        <f>IF($A726="","",IFERROR(MATCH(F726,DATA!$AH$2:$AH$5,0),9)*10000+A726)</f>
        <v/>
      </c>
      <c r="Z726" s="8" t="str">
        <f t="shared" si="243"/>
        <v/>
      </c>
      <c r="AA726" s="8" t="str">
        <f t="shared" si="244"/>
        <v/>
      </c>
      <c r="AB726" s="8" t="str">
        <f t="shared" si="245"/>
        <v/>
      </c>
      <c r="AC726" s="8"/>
      <c r="AD726" s="8"/>
      <c r="AE726" s="8"/>
      <c r="AK726" s="5" t="str">
        <f t="shared" si="246"/>
        <v/>
      </c>
      <c r="AL726" s="5" t="str">
        <f t="shared" si="247"/>
        <v/>
      </c>
      <c r="AM726" s="5" t="str">
        <f t="shared" si="248"/>
        <v/>
      </c>
      <c r="AN726" s="5" t="str">
        <f t="shared" si="249"/>
        <v/>
      </c>
      <c r="AO726" s="5" t="str">
        <f t="shared" si="250"/>
        <v/>
      </c>
      <c r="AP726" s="5" t="str">
        <f t="shared" si="251"/>
        <v/>
      </c>
      <c r="AQ726" s="5" t="str">
        <f t="shared" si="252"/>
        <v/>
      </c>
      <c r="AR726" s="5" t="str">
        <f t="shared" si="253"/>
        <v/>
      </c>
      <c r="AS726" s="5" t="str">
        <f t="shared" si="254"/>
        <v/>
      </c>
      <c r="AT726" s="5" t="str">
        <f t="shared" si="255"/>
        <v/>
      </c>
      <c r="AU726" s="5" t="str">
        <f t="shared" si="256"/>
        <v/>
      </c>
      <c r="AV726" s="5" t="str">
        <f t="shared" si="257"/>
        <v/>
      </c>
      <c r="AW726" s="5" t="str">
        <f t="shared" si="258"/>
        <v/>
      </c>
      <c r="AX726" s="5" t="str">
        <f t="shared" si="259"/>
        <v/>
      </c>
      <c r="AY726" s="5" t="str">
        <f t="shared" si="260"/>
        <v/>
      </c>
      <c r="AZ726" s="5" t="str">
        <f t="shared" si="261"/>
        <v/>
      </c>
      <c r="BA726" s="5" t="str">
        <f t="shared" si="262"/>
        <v/>
      </c>
      <c r="BB726" s="5" t="str">
        <f t="shared" si="263"/>
        <v/>
      </c>
    </row>
    <row r="727" spans="1:54" s="5" customFormat="1" hidden="1">
      <c r="A727" s="8" t="str">
        <f>IF(INDEX(FORM!$A:$A,ROW())="","",ROW()-1)</f>
        <v/>
      </c>
      <c r="B727" s="41" t="str">
        <f>IF($A727="","",INDEX(FORM!$A:$A,ROW()))</f>
        <v/>
      </c>
      <c r="C727" s="8" t="str">
        <f>IF($A727="","",TRIM(INDEX(FORM!$B:$B,ROW())))</f>
        <v/>
      </c>
      <c r="D727" s="8" t="str">
        <f>IF($A727="","",TRIM(INDEX(FORM!$C:$C,ROW())&amp;""))</f>
        <v/>
      </c>
      <c r="E727" s="8" t="str">
        <f>IF($A727="","",UPPER(TRIM(INDEX(FORM!$D:$D,ROW()))))</f>
        <v/>
      </c>
      <c r="F727" s="8" t="str">
        <f>IF($A727="","",IFERROR(INDEX(PROGRES!$A$2:$A$92,MATCH(E727,PROGRES!$B$2:$B$92,0)),"-"))</f>
        <v/>
      </c>
      <c r="G727" s="8" t="str">
        <f>IF($A727="","",UPPER(TRIM(INDEX(FORM!$F:$F,ROW()))))</f>
        <v/>
      </c>
      <c r="H727" s="8" t="str">
        <f>IF($A727="","",UPPER(TRIM(INDEX(FORM!$E:$E,ROW()))))</f>
        <v/>
      </c>
      <c r="I727" s="8" t="str">
        <f>IF($A727="","",UPPER(TRIM(INDEX(FORM!$G:$G,ROW()))))</f>
        <v/>
      </c>
      <c r="J727" s="8" t="str">
        <f>IF($A727="","",IF(ISNUMBER(SEARCH("Ya,",INDEX(FORM!$H:$H,ROW()))),"YA",IF(ISNUMBER(SEARCH("Cukup,",INDEX(FORM!$H:$H,ROW()))),"CUKUP",IF(ISNUMBER(SEARCH("Kurang,",INDEX(FORM!$H:$H,ROW()))),"KURANG",""))))</f>
        <v/>
      </c>
      <c r="K727" s="8" t="str">
        <f>IF($A727="","",UPPER(TRIM(INDEX(FORM!$J:$J,ROW()))))</f>
        <v/>
      </c>
      <c r="L727" s="8" t="str">
        <f>IF($A727="","",IF(ISNUMBER(SEARCH("Aktivitas Harian",INDEX(FORM!$K:$K,ROW()))),1,0))</f>
        <v/>
      </c>
      <c r="M727" s="8" t="str">
        <f>IF($A727="","",IF(ISNUMBER(SEARCH("Aktivitas Mingguan",INDEX(FORM!$K:$K,ROW()))),1,0))</f>
        <v/>
      </c>
      <c r="N727" s="8" t="str">
        <f>IF($A727="","",IF(ISNUMBER(SEARCH("Aktivitas Bulanan",INDEX(FORM!$K:$K,ROW()))),1,0))</f>
        <v/>
      </c>
      <c r="O727" s="8" t="str">
        <f>IF($A727="","",IF(ISNUMBER(SEARCH("Overview Cabang",INDEX(FORM!$K:$K,ROW()))),1,0))</f>
        <v/>
      </c>
      <c r="P727" s="8" t="str">
        <f>IF($A727="","",IFERROR(VLOOKUP(I727,DATA!$AH$9:$AI$13,2,0),""))</f>
        <v/>
      </c>
      <c r="Q727" s="8" t="str">
        <f>IF($A727="","",IFERROR(VLOOKUP(J727,DATA!$AH$9:$AI$13,2,0),""))</f>
        <v/>
      </c>
      <c r="R727" s="8" t="str">
        <f>IF($A727="","",IFERROR(VLOOKUP(K727,DATA!$AH$9:$AI$13,2,0),""))</f>
        <v/>
      </c>
      <c r="S727" s="42" t="str">
        <f t="shared" si="242"/>
        <v/>
      </c>
      <c r="T727" s="8" t="str">
        <f>IF($A727="","",IF(COUNTIF($D$2:D727,D727)=1,1,0))</f>
        <v/>
      </c>
      <c r="U727" s="8" t="str">
        <f>IF($A727="","",IF(F727="-","Cabang tdk ada",IF(IFERROR(VLOOKUP(G727,#REF!,1,0),"")="","",IF(INDEX(DATA!$AH$2:$AH$5,MATCH(G727,DATA!$AI$2:$AI$5,0))&lt;&gt;F727,"Wilayah beda","OK"))))</f>
        <v/>
      </c>
      <c r="V727" s="8" t="str">
        <f>IF($A727="","",TRIM(INDEX(FORM!$I:$I,ROW())&amp;""))</f>
        <v/>
      </c>
      <c r="W727" s="8" t="str">
        <f>IF($A727="","",TRIM(INDEX(FORM!$L:$L,ROW())&amp;""))</f>
        <v/>
      </c>
      <c r="X727" s="8" t="str">
        <f>IF($A727="","",TRIM(INDEX(FORM!$M:$M,ROW())&amp;""))</f>
        <v/>
      </c>
      <c r="Y727" s="8" t="str">
        <f>IF($A727="","",IFERROR(MATCH(F727,DATA!$AH$2:$AH$5,0),9)*10000+A727)</f>
        <v/>
      </c>
      <c r="Z727" s="8" t="str">
        <f t="shared" si="243"/>
        <v/>
      </c>
      <c r="AA727" s="8" t="str">
        <f t="shared" si="244"/>
        <v/>
      </c>
      <c r="AB727" s="8" t="str">
        <f t="shared" si="245"/>
        <v/>
      </c>
      <c r="AC727" s="8"/>
      <c r="AD727" s="8"/>
      <c r="AE727" s="8"/>
      <c r="AK727" s="5" t="str">
        <f t="shared" si="246"/>
        <v/>
      </c>
      <c r="AL727" s="5" t="str">
        <f t="shared" si="247"/>
        <v/>
      </c>
      <c r="AM727" s="5" t="str">
        <f t="shared" si="248"/>
        <v/>
      </c>
      <c r="AN727" s="5" t="str">
        <f t="shared" si="249"/>
        <v/>
      </c>
      <c r="AO727" s="5" t="str">
        <f t="shared" si="250"/>
        <v/>
      </c>
      <c r="AP727" s="5" t="str">
        <f t="shared" si="251"/>
        <v/>
      </c>
      <c r="AQ727" s="5" t="str">
        <f t="shared" si="252"/>
        <v/>
      </c>
      <c r="AR727" s="5" t="str">
        <f t="shared" si="253"/>
        <v/>
      </c>
      <c r="AS727" s="5" t="str">
        <f t="shared" si="254"/>
        <v/>
      </c>
      <c r="AT727" s="5" t="str">
        <f t="shared" si="255"/>
        <v/>
      </c>
      <c r="AU727" s="5" t="str">
        <f t="shared" si="256"/>
        <v/>
      </c>
      <c r="AV727" s="5" t="str">
        <f t="shared" si="257"/>
        <v/>
      </c>
      <c r="AW727" s="5" t="str">
        <f t="shared" si="258"/>
        <v/>
      </c>
      <c r="AX727" s="5" t="str">
        <f t="shared" si="259"/>
        <v/>
      </c>
      <c r="AY727" s="5" t="str">
        <f t="shared" si="260"/>
        <v/>
      </c>
      <c r="AZ727" s="5" t="str">
        <f t="shared" si="261"/>
        <v/>
      </c>
      <c r="BA727" s="5" t="str">
        <f t="shared" si="262"/>
        <v/>
      </c>
      <c r="BB727" s="5" t="str">
        <f t="shared" si="263"/>
        <v/>
      </c>
    </row>
    <row r="728" spans="1:54" s="5" customFormat="1" hidden="1">
      <c r="A728" s="8" t="str">
        <f>IF(INDEX(FORM!$A:$A,ROW())="","",ROW()-1)</f>
        <v/>
      </c>
      <c r="B728" s="41" t="str">
        <f>IF($A728="","",INDEX(FORM!$A:$A,ROW()))</f>
        <v/>
      </c>
      <c r="C728" s="8" t="str">
        <f>IF($A728="","",TRIM(INDEX(FORM!$B:$B,ROW())))</f>
        <v/>
      </c>
      <c r="D728" s="8" t="str">
        <f>IF($A728="","",TRIM(INDEX(FORM!$C:$C,ROW())&amp;""))</f>
        <v/>
      </c>
      <c r="E728" s="8" t="str">
        <f>IF($A728="","",UPPER(TRIM(INDEX(FORM!$D:$D,ROW()))))</f>
        <v/>
      </c>
      <c r="F728" s="8" t="str">
        <f>IF($A728="","",IFERROR(INDEX(PROGRES!$A$2:$A$92,MATCH(E728,PROGRES!$B$2:$B$92,0)),"-"))</f>
        <v/>
      </c>
      <c r="G728" s="8" t="str">
        <f>IF($A728="","",UPPER(TRIM(INDEX(FORM!$F:$F,ROW()))))</f>
        <v/>
      </c>
      <c r="H728" s="8" t="str">
        <f>IF($A728="","",UPPER(TRIM(INDEX(FORM!$E:$E,ROW()))))</f>
        <v/>
      </c>
      <c r="I728" s="8" t="str">
        <f>IF($A728="","",UPPER(TRIM(INDEX(FORM!$G:$G,ROW()))))</f>
        <v/>
      </c>
      <c r="J728" s="8" t="str">
        <f>IF($A728="","",IF(ISNUMBER(SEARCH("Ya,",INDEX(FORM!$H:$H,ROW()))),"YA",IF(ISNUMBER(SEARCH("Cukup,",INDEX(FORM!$H:$H,ROW()))),"CUKUP",IF(ISNUMBER(SEARCH("Kurang,",INDEX(FORM!$H:$H,ROW()))),"KURANG",""))))</f>
        <v/>
      </c>
      <c r="K728" s="8" t="str">
        <f>IF($A728="","",UPPER(TRIM(INDEX(FORM!$J:$J,ROW()))))</f>
        <v/>
      </c>
      <c r="L728" s="8" t="str">
        <f>IF($A728="","",IF(ISNUMBER(SEARCH("Aktivitas Harian",INDEX(FORM!$K:$K,ROW()))),1,0))</f>
        <v/>
      </c>
      <c r="M728" s="8" t="str">
        <f>IF($A728="","",IF(ISNUMBER(SEARCH("Aktivitas Mingguan",INDEX(FORM!$K:$K,ROW()))),1,0))</f>
        <v/>
      </c>
      <c r="N728" s="8" t="str">
        <f>IF($A728="","",IF(ISNUMBER(SEARCH("Aktivitas Bulanan",INDEX(FORM!$K:$K,ROW()))),1,0))</f>
        <v/>
      </c>
      <c r="O728" s="8" t="str">
        <f>IF($A728="","",IF(ISNUMBER(SEARCH("Overview Cabang",INDEX(FORM!$K:$K,ROW()))),1,0))</f>
        <v/>
      </c>
      <c r="P728" s="8" t="str">
        <f>IF($A728="","",IFERROR(VLOOKUP(I728,DATA!$AH$9:$AI$13,2,0),""))</f>
        <v/>
      </c>
      <c r="Q728" s="8" t="str">
        <f>IF($A728="","",IFERROR(VLOOKUP(J728,DATA!$AH$9:$AI$13,2,0),""))</f>
        <v/>
      </c>
      <c r="R728" s="8" t="str">
        <f>IF($A728="","",IFERROR(VLOOKUP(K728,DATA!$AH$9:$AI$13,2,0),""))</f>
        <v/>
      </c>
      <c r="S728" s="42" t="str">
        <f t="shared" si="242"/>
        <v/>
      </c>
      <c r="T728" s="8" t="str">
        <f>IF($A728="","",IF(COUNTIF($D$2:D728,D728)=1,1,0))</f>
        <v/>
      </c>
      <c r="U728" s="8" t="str">
        <f>IF($A728="","",IF(F728="-","Cabang tdk ada",IF(IFERROR(VLOOKUP(G728,#REF!,1,0),"")="","",IF(INDEX(DATA!$AH$2:$AH$5,MATCH(G728,DATA!$AI$2:$AI$5,0))&lt;&gt;F728,"Wilayah beda","OK"))))</f>
        <v/>
      </c>
      <c r="V728" s="8" t="str">
        <f>IF($A728="","",TRIM(INDEX(FORM!$I:$I,ROW())&amp;""))</f>
        <v/>
      </c>
      <c r="W728" s="8" t="str">
        <f>IF($A728="","",TRIM(INDEX(FORM!$L:$L,ROW())&amp;""))</f>
        <v/>
      </c>
      <c r="X728" s="8" t="str">
        <f>IF($A728="","",TRIM(INDEX(FORM!$M:$M,ROW())&amp;""))</f>
        <v/>
      </c>
      <c r="Y728" s="8" t="str">
        <f>IF($A728="","",IFERROR(MATCH(F728,DATA!$AH$2:$AH$5,0),9)*10000+A728)</f>
        <v/>
      </c>
      <c r="Z728" s="8" t="str">
        <f t="shared" si="243"/>
        <v/>
      </c>
      <c r="AA728" s="8" t="str">
        <f t="shared" si="244"/>
        <v/>
      </c>
      <c r="AB728" s="8" t="str">
        <f t="shared" si="245"/>
        <v/>
      </c>
      <c r="AC728" s="8"/>
      <c r="AD728" s="8"/>
      <c r="AE728" s="8"/>
      <c r="AK728" s="5" t="str">
        <f t="shared" si="246"/>
        <v/>
      </c>
      <c r="AL728" s="5" t="str">
        <f t="shared" si="247"/>
        <v/>
      </c>
      <c r="AM728" s="5" t="str">
        <f t="shared" si="248"/>
        <v/>
      </c>
      <c r="AN728" s="5" t="str">
        <f t="shared" si="249"/>
        <v/>
      </c>
      <c r="AO728" s="5" t="str">
        <f t="shared" si="250"/>
        <v/>
      </c>
      <c r="AP728" s="5" t="str">
        <f t="shared" si="251"/>
        <v/>
      </c>
      <c r="AQ728" s="5" t="str">
        <f t="shared" si="252"/>
        <v/>
      </c>
      <c r="AR728" s="5" t="str">
        <f t="shared" si="253"/>
        <v/>
      </c>
      <c r="AS728" s="5" t="str">
        <f t="shared" si="254"/>
        <v/>
      </c>
      <c r="AT728" s="5" t="str">
        <f t="shared" si="255"/>
        <v/>
      </c>
      <c r="AU728" s="5" t="str">
        <f t="shared" si="256"/>
        <v/>
      </c>
      <c r="AV728" s="5" t="str">
        <f t="shared" si="257"/>
        <v/>
      </c>
      <c r="AW728" s="5" t="str">
        <f t="shared" si="258"/>
        <v/>
      </c>
      <c r="AX728" s="5" t="str">
        <f t="shared" si="259"/>
        <v/>
      </c>
      <c r="AY728" s="5" t="str">
        <f t="shared" si="260"/>
        <v/>
      </c>
      <c r="AZ728" s="5" t="str">
        <f t="shared" si="261"/>
        <v/>
      </c>
      <c r="BA728" s="5" t="str">
        <f t="shared" si="262"/>
        <v/>
      </c>
      <c r="BB728" s="5" t="str">
        <f t="shared" si="263"/>
        <v/>
      </c>
    </row>
    <row r="729" spans="1:54" s="5" customFormat="1" hidden="1">
      <c r="A729" s="8" t="str">
        <f>IF(INDEX(FORM!$A:$A,ROW())="","",ROW()-1)</f>
        <v/>
      </c>
      <c r="B729" s="41" t="str">
        <f>IF($A729="","",INDEX(FORM!$A:$A,ROW()))</f>
        <v/>
      </c>
      <c r="C729" s="8" t="str">
        <f>IF($A729="","",TRIM(INDEX(FORM!$B:$B,ROW())))</f>
        <v/>
      </c>
      <c r="D729" s="8" t="str">
        <f>IF($A729="","",TRIM(INDEX(FORM!$C:$C,ROW())&amp;""))</f>
        <v/>
      </c>
      <c r="E729" s="8" t="str">
        <f>IF($A729="","",UPPER(TRIM(INDEX(FORM!$D:$D,ROW()))))</f>
        <v/>
      </c>
      <c r="F729" s="8" t="str">
        <f>IF($A729="","",IFERROR(INDEX(PROGRES!$A$2:$A$92,MATCH(E729,PROGRES!$B$2:$B$92,0)),"-"))</f>
        <v/>
      </c>
      <c r="G729" s="8" t="str">
        <f>IF($A729="","",UPPER(TRIM(INDEX(FORM!$F:$F,ROW()))))</f>
        <v/>
      </c>
      <c r="H729" s="8" t="str">
        <f>IF($A729="","",UPPER(TRIM(INDEX(FORM!$E:$E,ROW()))))</f>
        <v/>
      </c>
      <c r="I729" s="8" t="str">
        <f>IF($A729="","",UPPER(TRIM(INDEX(FORM!$G:$G,ROW()))))</f>
        <v/>
      </c>
      <c r="J729" s="8" t="str">
        <f>IF($A729="","",IF(ISNUMBER(SEARCH("Ya,",INDEX(FORM!$H:$H,ROW()))),"YA",IF(ISNUMBER(SEARCH("Cukup,",INDEX(FORM!$H:$H,ROW()))),"CUKUP",IF(ISNUMBER(SEARCH("Kurang,",INDEX(FORM!$H:$H,ROW()))),"KURANG",""))))</f>
        <v/>
      </c>
      <c r="K729" s="8" t="str">
        <f>IF($A729="","",UPPER(TRIM(INDEX(FORM!$J:$J,ROW()))))</f>
        <v/>
      </c>
      <c r="L729" s="8" t="str">
        <f>IF($A729="","",IF(ISNUMBER(SEARCH("Aktivitas Harian",INDEX(FORM!$K:$K,ROW()))),1,0))</f>
        <v/>
      </c>
      <c r="M729" s="8" t="str">
        <f>IF($A729="","",IF(ISNUMBER(SEARCH("Aktivitas Mingguan",INDEX(FORM!$K:$K,ROW()))),1,0))</f>
        <v/>
      </c>
      <c r="N729" s="8" t="str">
        <f>IF($A729="","",IF(ISNUMBER(SEARCH("Aktivitas Bulanan",INDEX(FORM!$K:$K,ROW()))),1,0))</f>
        <v/>
      </c>
      <c r="O729" s="8" t="str">
        <f>IF($A729="","",IF(ISNUMBER(SEARCH("Overview Cabang",INDEX(FORM!$K:$K,ROW()))),1,0))</f>
        <v/>
      </c>
      <c r="P729" s="8" t="str">
        <f>IF($A729="","",IFERROR(VLOOKUP(I729,DATA!$AH$9:$AI$13,2,0),""))</f>
        <v/>
      </c>
      <c r="Q729" s="8" t="str">
        <f>IF($A729="","",IFERROR(VLOOKUP(J729,DATA!$AH$9:$AI$13,2,0),""))</f>
        <v/>
      </c>
      <c r="R729" s="8" t="str">
        <f>IF($A729="","",IFERROR(VLOOKUP(K729,DATA!$AH$9:$AI$13,2,0),""))</f>
        <v/>
      </c>
      <c r="S729" s="42" t="str">
        <f t="shared" si="242"/>
        <v/>
      </c>
      <c r="T729" s="8" t="str">
        <f>IF($A729="","",IF(COUNTIF($D$2:D729,D729)=1,1,0))</f>
        <v/>
      </c>
      <c r="U729" s="8" t="str">
        <f>IF($A729="","",IF(F729="-","Cabang tdk ada",IF(IFERROR(VLOOKUP(G729,#REF!,1,0),"")="","",IF(INDEX(DATA!$AH$2:$AH$5,MATCH(G729,DATA!$AI$2:$AI$5,0))&lt;&gt;F729,"Wilayah beda","OK"))))</f>
        <v/>
      </c>
      <c r="V729" s="8" t="str">
        <f>IF($A729="","",TRIM(INDEX(FORM!$I:$I,ROW())&amp;""))</f>
        <v/>
      </c>
      <c r="W729" s="8" t="str">
        <f>IF($A729="","",TRIM(INDEX(FORM!$L:$L,ROW())&amp;""))</f>
        <v/>
      </c>
      <c r="X729" s="8" t="str">
        <f>IF($A729="","",TRIM(INDEX(FORM!$M:$M,ROW())&amp;""))</f>
        <v/>
      </c>
      <c r="Y729" s="8" t="str">
        <f>IF($A729="","",IFERROR(MATCH(F729,DATA!$AH$2:$AH$5,0),9)*10000+A729)</f>
        <v/>
      </c>
      <c r="Z729" s="8" t="str">
        <f t="shared" si="243"/>
        <v/>
      </c>
      <c r="AA729" s="8" t="str">
        <f t="shared" si="244"/>
        <v/>
      </c>
      <c r="AB729" s="8" t="str">
        <f t="shared" si="245"/>
        <v/>
      </c>
      <c r="AC729" s="8"/>
      <c r="AD729" s="8"/>
      <c r="AE729" s="8"/>
      <c r="AK729" s="5" t="str">
        <f t="shared" si="246"/>
        <v/>
      </c>
      <c r="AL729" s="5" t="str">
        <f t="shared" si="247"/>
        <v/>
      </c>
      <c r="AM729" s="5" t="str">
        <f t="shared" si="248"/>
        <v/>
      </c>
      <c r="AN729" s="5" t="str">
        <f t="shared" si="249"/>
        <v/>
      </c>
      <c r="AO729" s="5" t="str">
        <f t="shared" si="250"/>
        <v/>
      </c>
      <c r="AP729" s="5" t="str">
        <f t="shared" si="251"/>
        <v/>
      </c>
      <c r="AQ729" s="5" t="str">
        <f t="shared" si="252"/>
        <v/>
      </c>
      <c r="AR729" s="5" t="str">
        <f t="shared" si="253"/>
        <v/>
      </c>
      <c r="AS729" s="5" t="str">
        <f t="shared" si="254"/>
        <v/>
      </c>
      <c r="AT729" s="5" t="str">
        <f t="shared" si="255"/>
        <v/>
      </c>
      <c r="AU729" s="5" t="str">
        <f t="shared" si="256"/>
        <v/>
      </c>
      <c r="AV729" s="5" t="str">
        <f t="shared" si="257"/>
        <v/>
      </c>
      <c r="AW729" s="5" t="str">
        <f t="shared" si="258"/>
        <v/>
      </c>
      <c r="AX729" s="5" t="str">
        <f t="shared" si="259"/>
        <v/>
      </c>
      <c r="AY729" s="5" t="str">
        <f t="shared" si="260"/>
        <v/>
      </c>
      <c r="AZ729" s="5" t="str">
        <f t="shared" si="261"/>
        <v/>
      </c>
      <c r="BA729" s="5" t="str">
        <f t="shared" si="262"/>
        <v/>
      </c>
      <c r="BB729" s="5" t="str">
        <f t="shared" si="263"/>
        <v/>
      </c>
    </row>
    <row r="730" spans="1:54" s="5" customFormat="1" hidden="1">
      <c r="A730" s="8" t="str">
        <f>IF(INDEX(FORM!$A:$A,ROW())="","",ROW()-1)</f>
        <v/>
      </c>
      <c r="B730" s="41" t="str">
        <f>IF($A730="","",INDEX(FORM!$A:$A,ROW()))</f>
        <v/>
      </c>
      <c r="C730" s="8" t="str">
        <f>IF($A730="","",TRIM(INDEX(FORM!$B:$B,ROW())))</f>
        <v/>
      </c>
      <c r="D730" s="8" t="str">
        <f>IF($A730="","",TRIM(INDEX(FORM!$C:$C,ROW())&amp;""))</f>
        <v/>
      </c>
      <c r="E730" s="8" t="str">
        <f>IF($A730="","",UPPER(TRIM(INDEX(FORM!$D:$D,ROW()))))</f>
        <v/>
      </c>
      <c r="F730" s="8" t="str">
        <f>IF($A730="","",IFERROR(INDEX(PROGRES!$A$2:$A$92,MATCH(E730,PROGRES!$B$2:$B$92,0)),"-"))</f>
        <v/>
      </c>
      <c r="G730" s="8" t="str">
        <f>IF($A730="","",UPPER(TRIM(INDEX(FORM!$F:$F,ROW()))))</f>
        <v/>
      </c>
      <c r="H730" s="8" t="str">
        <f>IF($A730="","",UPPER(TRIM(INDEX(FORM!$E:$E,ROW()))))</f>
        <v/>
      </c>
      <c r="I730" s="8" t="str">
        <f>IF($A730="","",UPPER(TRIM(INDEX(FORM!$G:$G,ROW()))))</f>
        <v/>
      </c>
      <c r="J730" s="8" t="str">
        <f>IF($A730="","",IF(ISNUMBER(SEARCH("Ya,",INDEX(FORM!$H:$H,ROW()))),"YA",IF(ISNUMBER(SEARCH("Cukup,",INDEX(FORM!$H:$H,ROW()))),"CUKUP",IF(ISNUMBER(SEARCH("Kurang,",INDEX(FORM!$H:$H,ROW()))),"KURANG",""))))</f>
        <v/>
      </c>
      <c r="K730" s="8" t="str">
        <f>IF($A730="","",UPPER(TRIM(INDEX(FORM!$J:$J,ROW()))))</f>
        <v/>
      </c>
      <c r="L730" s="8" t="str">
        <f>IF($A730="","",IF(ISNUMBER(SEARCH("Aktivitas Harian",INDEX(FORM!$K:$K,ROW()))),1,0))</f>
        <v/>
      </c>
      <c r="M730" s="8" t="str">
        <f>IF($A730="","",IF(ISNUMBER(SEARCH("Aktivitas Mingguan",INDEX(FORM!$K:$K,ROW()))),1,0))</f>
        <v/>
      </c>
      <c r="N730" s="8" t="str">
        <f>IF($A730="","",IF(ISNUMBER(SEARCH("Aktivitas Bulanan",INDEX(FORM!$K:$K,ROW()))),1,0))</f>
        <v/>
      </c>
      <c r="O730" s="8" t="str">
        <f>IF($A730="","",IF(ISNUMBER(SEARCH("Overview Cabang",INDEX(FORM!$K:$K,ROW()))),1,0))</f>
        <v/>
      </c>
      <c r="P730" s="8" t="str">
        <f>IF($A730="","",IFERROR(VLOOKUP(I730,DATA!$AH$9:$AI$13,2,0),""))</f>
        <v/>
      </c>
      <c r="Q730" s="8" t="str">
        <f>IF($A730="","",IFERROR(VLOOKUP(J730,DATA!$AH$9:$AI$13,2,0),""))</f>
        <v/>
      </c>
      <c r="R730" s="8" t="str">
        <f>IF($A730="","",IFERROR(VLOOKUP(K730,DATA!$AH$9:$AI$13,2,0),""))</f>
        <v/>
      </c>
      <c r="S730" s="42" t="str">
        <f t="shared" si="242"/>
        <v/>
      </c>
      <c r="T730" s="8" t="str">
        <f>IF($A730="","",IF(COUNTIF($D$2:D730,D730)=1,1,0))</f>
        <v/>
      </c>
      <c r="U730" s="8" t="str">
        <f>IF($A730="","",IF(F730="-","Cabang tdk ada",IF(IFERROR(VLOOKUP(G730,#REF!,1,0),"")="","",IF(INDEX(DATA!$AH$2:$AH$5,MATCH(G730,DATA!$AI$2:$AI$5,0))&lt;&gt;F730,"Wilayah beda","OK"))))</f>
        <v/>
      </c>
      <c r="V730" s="8" t="str">
        <f>IF($A730="","",TRIM(INDEX(FORM!$I:$I,ROW())&amp;""))</f>
        <v/>
      </c>
      <c r="W730" s="8" t="str">
        <f>IF($A730="","",TRIM(INDEX(FORM!$L:$L,ROW())&amp;""))</f>
        <v/>
      </c>
      <c r="X730" s="8" t="str">
        <f>IF($A730="","",TRIM(INDEX(FORM!$M:$M,ROW())&amp;""))</f>
        <v/>
      </c>
      <c r="Y730" s="8" t="str">
        <f>IF($A730="","",IFERROR(MATCH(F730,DATA!$AH$2:$AH$5,0),9)*10000+A730)</f>
        <v/>
      </c>
      <c r="Z730" s="8" t="str">
        <f t="shared" si="243"/>
        <v/>
      </c>
      <c r="AA730" s="8" t="str">
        <f t="shared" si="244"/>
        <v/>
      </c>
      <c r="AB730" s="8" t="str">
        <f t="shared" si="245"/>
        <v/>
      </c>
      <c r="AC730" s="8"/>
      <c r="AD730" s="8"/>
      <c r="AE730" s="8"/>
      <c r="AK730" s="5" t="str">
        <f t="shared" si="246"/>
        <v/>
      </c>
      <c r="AL730" s="5" t="str">
        <f t="shared" si="247"/>
        <v/>
      </c>
      <c r="AM730" s="5" t="str">
        <f t="shared" si="248"/>
        <v/>
      </c>
      <c r="AN730" s="5" t="str">
        <f t="shared" si="249"/>
        <v/>
      </c>
      <c r="AO730" s="5" t="str">
        <f t="shared" si="250"/>
        <v/>
      </c>
      <c r="AP730" s="5" t="str">
        <f t="shared" si="251"/>
        <v/>
      </c>
      <c r="AQ730" s="5" t="str">
        <f t="shared" si="252"/>
        <v/>
      </c>
      <c r="AR730" s="5" t="str">
        <f t="shared" si="253"/>
        <v/>
      </c>
      <c r="AS730" s="5" t="str">
        <f t="shared" si="254"/>
        <v/>
      </c>
      <c r="AT730" s="5" t="str">
        <f t="shared" si="255"/>
        <v/>
      </c>
      <c r="AU730" s="5" t="str">
        <f t="shared" si="256"/>
        <v/>
      </c>
      <c r="AV730" s="5" t="str">
        <f t="shared" si="257"/>
        <v/>
      </c>
      <c r="AW730" s="5" t="str">
        <f t="shared" si="258"/>
        <v/>
      </c>
      <c r="AX730" s="5" t="str">
        <f t="shared" si="259"/>
        <v/>
      </c>
      <c r="AY730" s="5" t="str">
        <f t="shared" si="260"/>
        <v/>
      </c>
      <c r="AZ730" s="5" t="str">
        <f t="shared" si="261"/>
        <v/>
      </c>
      <c r="BA730" s="5" t="str">
        <f t="shared" si="262"/>
        <v/>
      </c>
      <c r="BB730" s="5" t="str">
        <f t="shared" si="263"/>
        <v/>
      </c>
    </row>
    <row r="731" spans="1:54" s="5" customFormat="1" hidden="1">
      <c r="A731" s="8" t="str">
        <f>IF(INDEX(FORM!$A:$A,ROW())="","",ROW()-1)</f>
        <v/>
      </c>
      <c r="B731" s="41" t="str">
        <f>IF($A731="","",INDEX(FORM!$A:$A,ROW()))</f>
        <v/>
      </c>
      <c r="C731" s="8" t="str">
        <f>IF($A731="","",TRIM(INDEX(FORM!$B:$B,ROW())))</f>
        <v/>
      </c>
      <c r="D731" s="8" t="str">
        <f>IF($A731="","",TRIM(INDEX(FORM!$C:$C,ROW())&amp;""))</f>
        <v/>
      </c>
      <c r="E731" s="8" t="str">
        <f>IF($A731="","",UPPER(TRIM(INDEX(FORM!$D:$D,ROW()))))</f>
        <v/>
      </c>
      <c r="F731" s="8" t="str">
        <f>IF($A731="","",IFERROR(INDEX(PROGRES!$A$2:$A$92,MATCH(E731,PROGRES!$B$2:$B$92,0)),"-"))</f>
        <v/>
      </c>
      <c r="G731" s="8" t="str">
        <f>IF($A731="","",UPPER(TRIM(INDEX(FORM!$F:$F,ROW()))))</f>
        <v/>
      </c>
      <c r="H731" s="8" t="str">
        <f>IF($A731="","",UPPER(TRIM(INDEX(FORM!$E:$E,ROW()))))</f>
        <v/>
      </c>
      <c r="I731" s="8" t="str">
        <f>IF($A731="","",UPPER(TRIM(INDEX(FORM!$G:$G,ROW()))))</f>
        <v/>
      </c>
      <c r="J731" s="8" t="str">
        <f>IF($A731="","",IF(ISNUMBER(SEARCH("Ya,",INDEX(FORM!$H:$H,ROW()))),"YA",IF(ISNUMBER(SEARCH("Cukup,",INDEX(FORM!$H:$H,ROW()))),"CUKUP",IF(ISNUMBER(SEARCH("Kurang,",INDEX(FORM!$H:$H,ROW()))),"KURANG",""))))</f>
        <v/>
      </c>
      <c r="K731" s="8" t="str">
        <f>IF($A731="","",UPPER(TRIM(INDEX(FORM!$J:$J,ROW()))))</f>
        <v/>
      </c>
      <c r="L731" s="8" t="str">
        <f>IF($A731="","",IF(ISNUMBER(SEARCH("Aktivitas Harian",INDEX(FORM!$K:$K,ROW()))),1,0))</f>
        <v/>
      </c>
      <c r="M731" s="8" t="str">
        <f>IF($A731="","",IF(ISNUMBER(SEARCH("Aktivitas Mingguan",INDEX(FORM!$K:$K,ROW()))),1,0))</f>
        <v/>
      </c>
      <c r="N731" s="8" t="str">
        <f>IF($A731="","",IF(ISNUMBER(SEARCH("Aktivitas Bulanan",INDEX(FORM!$K:$K,ROW()))),1,0))</f>
        <v/>
      </c>
      <c r="O731" s="8" t="str">
        <f>IF($A731="","",IF(ISNUMBER(SEARCH("Overview Cabang",INDEX(FORM!$K:$K,ROW()))),1,0))</f>
        <v/>
      </c>
      <c r="P731" s="8" t="str">
        <f>IF($A731="","",IFERROR(VLOOKUP(I731,DATA!$AH$9:$AI$13,2,0),""))</f>
        <v/>
      </c>
      <c r="Q731" s="8" t="str">
        <f>IF($A731="","",IFERROR(VLOOKUP(J731,DATA!$AH$9:$AI$13,2,0),""))</f>
        <v/>
      </c>
      <c r="R731" s="8" t="str">
        <f>IF($A731="","",IFERROR(VLOOKUP(K731,DATA!$AH$9:$AI$13,2,0),""))</f>
        <v/>
      </c>
      <c r="S731" s="42" t="str">
        <f t="shared" si="242"/>
        <v/>
      </c>
      <c r="T731" s="8" t="str">
        <f>IF($A731="","",IF(COUNTIF($D$2:D731,D731)=1,1,0))</f>
        <v/>
      </c>
      <c r="U731" s="8" t="str">
        <f>IF($A731="","",IF(F731="-","Cabang tdk ada",IF(IFERROR(VLOOKUP(G731,#REF!,1,0),"")="","",IF(INDEX(DATA!$AH$2:$AH$5,MATCH(G731,DATA!$AI$2:$AI$5,0))&lt;&gt;F731,"Wilayah beda","OK"))))</f>
        <v/>
      </c>
      <c r="V731" s="8" t="str">
        <f>IF($A731="","",TRIM(INDEX(FORM!$I:$I,ROW())&amp;""))</f>
        <v/>
      </c>
      <c r="W731" s="8" t="str">
        <f>IF($A731="","",TRIM(INDEX(FORM!$L:$L,ROW())&amp;""))</f>
        <v/>
      </c>
      <c r="X731" s="8" t="str">
        <f>IF($A731="","",TRIM(INDEX(FORM!$M:$M,ROW())&amp;""))</f>
        <v/>
      </c>
      <c r="Y731" s="8" t="str">
        <f>IF($A731="","",IFERROR(MATCH(F731,DATA!$AH$2:$AH$5,0),9)*10000+A731)</f>
        <v/>
      </c>
      <c r="Z731" s="8" t="str">
        <f t="shared" si="243"/>
        <v/>
      </c>
      <c r="AA731" s="8" t="str">
        <f t="shared" si="244"/>
        <v/>
      </c>
      <c r="AB731" s="8" t="str">
        <f t="shared" si="245"/>
        <v/>
      </c>
      <c r="AC731" s="8"/>
      <c r="AD731" s="8"/>
      <c r="AE731" s="8"/>
      <c r="AK731" s="5" t="str">
        <f t="shared" si="246"/>
        <v/>
      </c>
      <c r="AL731" s="5" t="str">
        <f t="shared" si="247"/>
        <v/>
      </c>
      <c r="AM731" s="5" t="str">
        <f t="shared" si="248"/>
        <v/>
      </c>
      <c r="AN731" s="5" t="str">
        <f t="shared" si="249"/>
        <v/>
      </c>
      <c r="AO731" s="5" t="str">
        <f t="shared" si="250"/>
        <v/>
      </c>
      <c r="AP731" s="5" t="str">
        <f t="shared" si="251"/>
        <v/>
      </c>
      <c r="AQ731" s="5" t="str">
        <f t="shared" si="252"/>
        <v/>
      </c>
      <c r="AR731" s="5" t="str">
        <f t="shared" si="253"/>
        <v/>
      </c>
      <c r="AS731" s="5" t="str">
        <f t="shared" si="254"/>
        <v/>
      </c>
      <c r="AT731" s="5" t="str">
        <f t="shared" si="255"/>
        <v/>
      </c>
      <c r="AU731" s="5" t="str">
        <f t="shared" si="256"/>
        <v/>
      </c>
      <c r="AV731" s="5" t="str">
        <f t="shared" si="257"/>
        <v/>
      </c>
      <c r="AW731" s="5" t="str">
        <f t="shared" si="258"/>
        <v/>
      </c>
      <c r="AX731" s="5" t="str">
        <f t="shared" si="259"/>
        <v/>
      </c>
      <c r="AY731" s="5" t="str">
        <f t="shared" si="260"/>
        <v/>
      </c>
      <c r="AZ731" s="5" t="str">
        <f t="shared" si="261"/>
        <v/>
      </c>
      <c r="BA731" s="5" t="str">
        <f t="shared" si="262"/>
        <v/>
      </c>
      <c r="BB731" s="5" t="str">
        <f t="shared" si="263"/>
        <v/>
      </c>
    </row>
    <row r="732" spans="1:54" s="5" customFormat="1" hidden="1">
      <c r="A732" s="8" t="str">
        <f>IF(INDEX(FORM!$A:$A,ROW())="","",ROW()-1)</f>
        <v/>
      </c>
      <c r="B732" s="41" t="str">
        <f>IF($A732="","",INDEX(FORM!$A:$A,ROW()))</f>
        <v/>
      </c>
      <c r="C732" s="8" t="str">
        <f>IF($A732="","",TRIM(INDEX(FORM!$B:$B,ROW())))</f>
        <v/>
      </c>
      <c r="D732" s="8" t="str">
        <f>IF($A732="","",TRIM(INDEX(FORM!$C:$C,ROW())&amp;""))</f>
        <v/>
      </c>
      <c r="E732" s="8" t="str">
        <f>IF($A732="","",UPPER(TRIM(INDEX(FORM!$D:$D,ROW()))))</f>
        <v/>
      </c>
      <c r="F732" s="8" t="str">
        <f>IF($A732="","",IFERROR(INDEX(PROGRES!$A$2:$A$92,MATCH(E732,PROGRES!$B$2:$B$92,0)),"-"))</f>
        <v/>
      </c>
      <c r="G732" s="8" t="str">
        <f>IF($A732="","",UPPER(TRIM(INDEX(FORM!$F:$F,ROW()))))</f>
        <v/>
      </c>
      <c r="H732" s="8" t="str">
        <f>IF($A732="","",UPPER(TRIM(INDEX(FORM!$E:$E,ROW()))))</f>
        <v/>
      </c>
      <c r="I732" s="8" t="str">
        <f>IF($A732="","",UPPER(TRIM(INDEX(FORM!$G:$G,ROW()))))</f>
        <v/>
      </c>
      <c r="J732" s="8" t="str">
        <f>IF($A732="","",IF(ISNUMBER(SEARCH("Ya,",INDEX(FORM!$H:$H,ROW()))),"YA",IF(ISNUMBER(SEARCH("Cukup,",INDEX(FORM!$H:$H,ROW()))),"CUKUP",IF(ISNUMBER(SEARCH("Kurang,",INDEX(FORM!$H:$H,ROW()))),"KURANG",""))))</f>
        <v/>
      </c>
      <c r="K732" s="8" t="str">
        <f>IF($A732="","",UPPER(TRIM(INDEX(FORM!$J:$J,ROW()))))</f>
        <v/>
      </c>
      <c r="L732" s="8" t="str">
        <f>IF($A732="","",IF(ISNUMBER(SEARCH("Aktivitas Harian",INDEX(FORM!$K:$K,ROW()))),1,0))</f>
        <v/>
      </c>
      <c r="M732" s="8" t="str">
        <f>IF($A732="","",IF(ISNUMBER(SEARCH("Aktivitas Mingguan",INDEX(FORM!$K:$K,ROW()))),1,0))</f>
        <v/>
      </c>
      <c r="N732" s="8" t="str">
        <f>IF($A732="","",IF(ISNUMBER(SEARCH("Aktivitas Bulanan",INDEX(FORM!$K:$K,ROW()))),1,0))</f>
        <v/>
      </c>
      <c r="O732" s="8" t="str">
        <f>IF($A732="","",IF(ISNUMBER(SEARCH("Overview Cabang",INDEX(FORM!$K:$K,ROW()))),1,0))</f>
        <v/>
      </c>
      <c r="P732" s="8" t="str">
        <f>IF($A732="","",IFERROR(VLOOKUP(I732,DATA!$AH$9:$AI$13,2,0),""))</f>
        <v/>
      </c>
      <c r="Q732" s="8" t="str">
        <f>IF($A732="","",IFERROR(VLOOKUP(J732,DATA!$AH$9:$AI$13,2,0),""))</f>
        <v/>
      </c>
      <c r="R732" s="8" t="str">
        <f>IF($A732="","",IFERROR(VLOOKUP(K732,DATA!$AH$9:$AI$13,2,0),""))</f>
        <v/>
      </c>
      <c r="S732" s="42" t="str">
        <f t="shared" si="242"/>
        <v/>
      </c>
      <c r="T732" s="8" t="str">
        <f>IF($A732="","",IF(COUNTIF($D$2:D732,D732)=1,1,0))</f>
        <v/>
      </c>
      <c r="U732" s="8" t="str">
        <f>IF($A732="","",IF(F732="-","Cabang tdk ada",IF(IFERROR(VLOOKUP(G732,#REF!,1,0),"")="","",IF(INDEX(DATA!$AH$2:$AH$5,MATCH(G732,DATA!$AI$2:$AI$5,0))&lt;&gt;F732,"Wilayah beda","OK"))))</f>
        <v/>
      </c>
      <c r="V732" s="8" t="str">
        <f>IF($A732="","",TRIM(INDEX(FORM!$I:$I,ROW())&amp;""))</f>
        <v/>
      </c>
      <c r="W732" s="8" t="str">
        <f>IF($A732="","",TRIM(INDEX(FORM!$L:$L,ROW())&amp;""))</f>
        <v/>
      </c>
      <c r="X732" s="8" t="str">
        <f>IF($A732="","",TRIM(INDEX(FORM!$M:$M,ROW())&amp;""))</f>
        <v/>
      </c>
      <c r="Y732" s="8" t="str">
        <f>IF($A732="","",IFERROR(MATCH(F732,DATA!$AH$2:$AH$5,0),9)*10000+A732)</f>
        <v/>
      </c>
      <c r="Z732" s="8" t="str">
        <f t="shared" si="243"/>
        <v/>
      </c>
      <c r="AA732" s="8" t="str">
        <f t="shared" si="244"/>
        <v/>
      </c>
      <c r="AB732" s="8" t="str">
        <f t="shared" si="245"/>
        <v/>
      </c>
      <c r="AC732" s="8"/>
      <c r="AD732" s="8"/>
      <c r="AE732" s="8"/>
      <c r="AK732" s="5" t="str">
        <f t="shared" si="246"/>
        <v/>
      </c>
      <c r="AL732" s="5" t="str">
        <f t="shared" si="247"/>
        <v/>
      </c>
      <c r="AM732" s="5" t="str">
        <f t="shared" si="248"/>
        <v/>
      </c>
      <c r="AN732" s="5" t="str">
        <f t="shared" si="249"/>
        <v/>
      </c>
      <c r="AO732" s="5" t="str">
        <f t="shared" si="250"/>
        <v/>
      </c>
      <c r="AP732" s="5" t="str">
        <f t="shared" si="251"/>
        <v/>
      </c>
      <c r="AQ732" s="5" t="str">
        <f t="shared" si="252"/>
        <v/>
      </c>
      <c r="AR732" s="5" t="str">
        <f t="shared" si="253"/>
        <v/>
      </c>
      <c r="AS732" s="5" t="str">
        <f t="shared" si="254"/>
        <v/>
      </c>
      <c r="AT732" s="5" t="str">
        <f t="shared" si="255"/>
        <v/>
      </c>
      <c r="AU732" s="5" t="str">
        <f t="shared" si="256"/>
        <v/>
      </c>
      <c r="AV732" s="5" t="str">
        <f t="shared" si="257"/>
        <v/>
      </c>
      <c r="AW732" s="5" t="str">
        <f t="shared" si="258"/>
        <v/>
      </c>
      <c r="AX732" s="5" t="str">
        <f t="shared" si="259"/>
        <v/>
      </c>
      <c r="AY732" s="5" t="str">
        <f t="shared" si="260"/>
        <v/>
      </c>
      <c r="AZ732" s="5" t="str">
        <f t="shared" si="261"/>
        <v/>
      </c>
      <c r="BA732" s="5" t="str">
        <f t="shared" si="262"/>
        <v/>
      </c>
      <c r="BB732" s="5" t="str">
        <f t="shared" si="263"/>
        <v/>
      </c>
    </row>
    <row r="733" spans="1:54" s="5" customFormat="1" hidden="1">
      <c r="A733" s="8" t="str">
        <f>IF(INDEX(FORM!$A:$A,ROW())="","",ROW()-1)</f>
        <v/>
      </c>
      <c r="B733" s="41" t="str">
        <f>IF($A733="","",INDEX(FORM!$A:$A,ROW()))</f>
        <v/>
      </c>
      <c r="C733" s="8" t="str">
        <f>IF($A733="","",TRIM(INDEX(FORM!$B:$B,ROW())))</f>
        <v/>
      </c>
      <c r="D733" s="8" t="str">
        <f>IF($A733="","",TRIM(INDEX(FORM!$C:$C,ROW())&amp;""))</f>
        <v/>
      </c>
      <c r="E733" s="8" t="str">
        <f>IF($A733="","",UPPER(TRIM(INDEX(FORM!$D:$D,ROW()))))</f>
        <v/>
      </c>
      <c r="F733" s="8" t="str">
        <f>IF($A733="","",IFERROR(INDEX(PROGRES!$A$2:$A$92,MATCH(E733,PROGRES!$B$2:$B$92,0)),"-"))</f>
        <v/>
      </c>
      <c r="G733" s="8" t="str">
        <f>IF($A733="","",UPPER(TRIM(INDEX(FORM!$F:$F,ROW()))))</f>
        <v/>
      </c>
      <c r="H733" s="8" t="str">
        <f>IF($A733="","",UPPER(TRIM(INDEX(FORM!$E:$E,ROW()))))</f>
        <v/>
      </c>
      <c r="I733" s="8" t="str">
        <f>IF($A733="","",UPPER(TRIM(INDEX(FORM!$G:$G,ROW()))))</f>
        <v/>
      </c>
      <c r="J733" s="8" t="str">
        <f>IF($A733="","",IF(ISNUMBER(SEARCH("Ya,",INDEX(FORM!$H:$H,ROW()))),"YA",IF(ISNUMBER(SEARCH("Cukup,",INDEX(FORM!$H:$H,ROW()))),"CUKUP",IF(ISNUMBER(SEARCH("Kurang,",INDEX(FORM!$H:$H,ROW()))),"KURANG",""))))</f>
        <v/>
      </c>
      <c r="K733" s="8" t="str">
        <f>IF($A733="","",UPPER(TRIM(INDEX(FORM!$J:$J,ROW()))))</f>
        <v/>
      </c>
      <c r="L733" s="8" t="str">
        <f>IF($A733="","",IF(ISNUMBER(SEARCH("Aktivitas Harian",INDEX(FORM!$K:$K,ROW()))),1,0))</f>
        <v/>
      </c>
      <c r="M733" s="8" t="str">
        <f>IF($A733="","",IF(ISNUMBER(SEARCH("Aktivitas Mingguan",INDEX(FORM!$K:$K,ROW()))),1,0))</f>
        <v/>
      </c>
      <c r="N733" s="8" t="str">
        <f>IF($A733="","",IF(ISNUMBER(SEARCH("Aktivitas Bulanan",INDEX(FORM!$K:$K,ROW()))),1,0))</f>
        <v/>
      </c>
      <c r="O733" s="8" t="str">
        <f>IF($A733="","",IF(ISNUMBER(SEARCH("Overview Cabang",INDEX(FORM!$K:$K,ROW()))),1,0))</f>
        <v/>
      </c>
      <c r="P733" s="8" t="str">
        <f>IF($A733="","",IFERROR(VLOOKUP(I733,DATA!$AH$9:$AI$13,2,0),""))</f>
        <v/>
      </c>
      <c r="Q733" s="8" t="str">
        <f>IF($A733="","",IFERROR(VLOOKUP(J733,DATA!$AH$9:$AI$13,2,0),""))</f>
        <v/>
      </c>
      <c r="R733" s="8" t="str">
        <f>IF($A733="","",IFERROR(VLOOKUP(K733,DATA!$AH$9:$AI$13,2,0),""))</f>
        <v/>
      </c>
      <c r="S733" s="42" t="str">
        <f t="shared" si="242"/>
        <v/>
      </c>
      <c r="T733" s="8" t="str">
        <f>IF($A733="","",IF(COUNTIF($D$2:D733,D733)=1,1,0))</f>
        <v/>
      </c>
      <c r="U733" s="8" t="str">
        <f>IF($A733="","",IF(F733="-","Cabang tdk ada",IF(IFERROR(VLOOKUP(G733,#REF!,1,0),"")="","",IF(INDEX(DATA!$AH$2:$AH$5,MATCH(G733,DATA!$AI$2:$AI$5,0))&lt;&gt;F733,"Wilayah beda","OK"))))</f>
        <v/>
      </c>
      <c r="V733" s="8" t="str">
        <f>IF($A733="","",TRIM(INDEX(FORM!$I:$I,ROW())&amp;""))</f>
        <v/>
      </c>
      <c r="W733" s="8" t="str">
        <f>IF($A733="","",TRIM(INDEX(FORM!$L:$L,ROW())&amp;""))</f>
        <v/>
      </c>
      <c r="X733" s="8" t="str">
        <f>IF($A733="","",TRIM(INDEX(FORM!$M:$M,ROW())&amp;""))</f>
        <v/>
      </c>
      <c r="Y733" s="8" t="str">
        <f>IF($A733="","",IFERROR(MATCH(F733,DATA!$AH$2:$AH$5,0),9)*10000+A733)</f>
        <v/>
      </c>
      <c r="Z733" s="8" t="str">
        <f t="shared" si="243"/>
        <v/>
      </c>
      <c r="AA733" s="8" t="str">
        <f t="shared" si="244"/>
        <v/>
      </c>
      <c r="AB733" s="8" t="str">
        <f t="shared" si="245"/>
        <v/>
      </c>
      <c r="AC733" s="8"/>
      <c r="AD733" s="8"/>
      <c r="AE733" s="8"/>
      <c r="AK733" s="5" t="str">
        <f t="shared" si="246"/>
        <v/>
      </c>
      <c r="AL733" s="5" t="str">
        <f t="shared" si="247"/>
        <v/>
      </c>
      <c r="AM733" s="5" t="str">
        <f t="shared" si="248"/>
        <v/>
      </c>
      <c r="AN733" s="5" t="str">
        <f t="shared" si="249"/>
        <v/>
      </c>
      <c r="AO733" s="5" t="str">
        <f t="shared" si="250"/>
        <v/>
      </c>
      <c r="AP733" s="5" t="str">
        <f t="shared" si="251"/>
        <v/>
      </c>
      <c r="AQ733" s="5" t="str">
        <f t="shared" si="252"/>
        <v/>
      </c>
      <c r="AR733" s="5" t="str">
        <f t="shared" si="253"/>
        <v/>
      </c>
      <c r="AS733" s="5" t="str">
        <f t="shared" si="254"/>
        <v/>
      </c>
      <c r="AT733" s="5" t="str">
        <f t="shared" si="255"/>
        <v/>
      </c>
      <c r="AU733" s="5" t="str">
        <f t="shared" si="256"/>
        <v/>
      </c>
      <c r="AV733" s="5" t="str">
        <f t="shared" si="257"/>
        <v/>
      </c>
      <c r="AW733" s="5" t="str">
        <f t="shared" si="258"/>
        <v/>
      </c>
      <c r="AX733" s="5" t="str">
        <f t="shared" si="259"/>
        <v/>
      </c>
      <c r="AY733" s="5" t="str">
        <f t="shared" si="260"/>
        <v/>
      </c>
      <c r="AZ733" s="5" t="str">
        <f t="shared" si="261"/>
        <v/>
      </c>
      <c r="BA733" s="5" t="str">
        <f t="shared" si="262"/>
        <v/>
      </c>
      <c r="BB733" s="5" t="str">
        <f t="shared" si="263"/>
        <v/>
      </c>
    </row>
    <row r="734" spans="1:54" s="5" customFormat="1" hidden="1">
      <c r="A734" s="8" t="str">
        <f>IF(INDEX(FORM!$A:$A,ROW())="","",ROW()-1)</f>
        <v/>
      </c>
      <c r="B734" s="41" t="str">
        <f>IF($A734="","",INDEX(FORM!$A:$A,ROW()))</f>
        <v/>
      </c>
      <c r="C734" s="8" t="str">
        <f>IF($A734="","",TRIM(INDEX(FORM!$B:$B,ROW())))</f>
        <v/>
      </c>
      <c r="D734" s="8" t="str">
        <f>IF($A734="","",TRIM(INDEX(FORM!$C:$C,ROW())&amp;""))</f>
        <v/>
      </c>
      <c r="E734" s="8" t="str">
        <f>IF($A734="","",UPPER(TRIM(INDEX(FORM!$D:$D,ROW()))))</f>
        <v/>
      </c>
      <c r="F734" s="8" t="str">
        <f>IF($A734="","",IFERROR(INDEX(PROGRES!$A$2:$A$92,MATCH(E734,PROGRES!$B$2:$B$92,0)),"-"))</f>
        <v/>
      </c>
      <c r="G734" s="8" t="str">
        <f>IF($A734="","",UPPER(TRIM(INDEX(FORM!$F:$F,ROW()))))</f>
        <v/>
      </c>
      <c r="H734" s="8" t="str">
        <f>IF($A734="","",UPPER(TRIM(INDEX(FORM!$E:$E,ROW()))))</f>
        <v/>
      </c>
      <c r="I734" s="8" t="str">
        <f>IF($A734="","",UPPER(TRIM(INDEX(FORM!$G:$G,ROW()))))</f>
        <v/>
      </c>
      <c r="J734" s="8" t="str">
        <f>IF($A734="","",IF(ISNUMBER(SEARCH("Ya,",INDEX(FORM!$H:$H,ROW()))),"YA",IF(ISNUMBER(SEARCH("Cukup,",INDEX(FORM!$H:$H,ROW()))),"CUKUP",IF(ISNUMBER(SEARCH("Kurang,",INDEX(FORM!$H:$H,ROW()))),"KURANG",""))))</f>
        <v/>
      </c>
      <c r="K734" s="8" t="str">
        <f>IF($A734="","",UPPER(TRIM(INDEX(FORM!$J:$J,ROW()))))</f>
        <v/>
      </c>
      <c r="L734" s="8" t="str">
        <f>IF($A734="","",IF(ISNUMBER(SEARCH("Aktivitas Harian",INDEX(FORM!$K:$K,ROW()))),1,0))</f>
        <v/>
      </c>
      <c r="M734" s="8" t="str">
        <f>IF($A734="","",IF(ISNUMBER(SEARCH("Aktivitas Mingguan",INDEX(FORM!$K:$K,ROW()))),1,0))</f>
        <v/>
      </c>
      <c r="N734" s="8" t="str">
        <f>IF($A734="","",IF(ISNUMBER(SEARCH("Aktivitas Bulanan",INDEX(FORM!$K:$K,ROW()))),1,0))</f>
        <v/>
      </c>
      <c r="O734" s="8" t="str">
        <f>IF($A734="","",IF(ISNUMBER(SEARCH("Overview Cabang",INDEX(FORM!$K:$K,ROW()))),1,0))</f>
        <v/>
      </c>
      <c r="P734" s="8" t="str">
        <f>IF($A734="","",IFERROR(VLOOKUP(I734,DATA!$AH$9:$AI$13,2,0),""))</f>
        <v/>
      </c>
      <c r="Q734" s="8" t="str">
        <f>IF($A734="","",IFERROR(VLOOKUP(J734,DATA!$AH$9:$AI$13,2,0),""))</f>
        <v/>
      </c>
      <c r="R734" s="8" t="str">
        <f>IF($A734="","",IFERROR(VLOOKUP(K734,DATA!$AH$9:$AI$13,2,0),""))</f>
        <v/>
      </c>
      <c r="S734" s="42" t="str">
        <f t="shared" si="242"/>
        <v/>
      </c>
      <c r="T734" s="8" t="str">
        <f>IF($A734="","",IF(COUNTIF($D$2:D734,D734)=1,1,0))</f>
        <v/>
      </c>
      <c r="U734" s="8" t="str">
        <f>IF($A734="","",IF(F734="-","Cabang tdk ada",IF(IFERROR(VLOOKUP(G734,#REF!,1,0),"")="","",IF(INDEX(DATA!$AH$2:$AH$5,MATCH(G734,DATA!$AI$2:$AI$5,0))&lt;&gt;F734,"Wilayah beda","OK"))))</f>
        <v/>
      </c>
      <c r="V734" s="8" t="str">
        <f>IF($A734="","",TRIM(INDEX(FORM!$I:$I,ROW())&amp;""))</f>
        <v/>
      </c>
      <c r="W734" s="8" t="str">
        <f>IF($A734="","",TRIM(INDEX(FORM!$L:$L,ROW())&amp;""))</f>
        <v/>
      </c>
      <c r="X734" s="8" t="str">
        <f>IF($A734="","",TRIM(INDEX(FORM!$M:$M,ROW())&amp;""))</f>
        <v/>
      </c>
      <c r="Y734" s="8" t="str">
        <f>IF($A734="","",IFERROR(MATCH(F734,DATA!$AH$2:$AH$5,0),9)*10000+A734)</f>
        <v/>
      </c>
      <c r="Z734" s="8" t="str">
        <f t="shared" si="243"/>
        <v/>
      </c>
      <c r="AA734" s="8" t="str">
        <f t="shared" si="244"/>
        <v/>
      </c>
      <c r="AB734" s="8" t="str">
        <f t="shared" si="245"/>
        <v/>
      </c>
      <c r="AC734" s="8"/>
      <c r="AD734" s="8"/>
      <c r="AE734" s="8"/>
      <c r="AK734" s="5" t="str">
        <f t="shared" si="246"/>
        <v/>
      </c>
      <c r="AL734" s="5" t="str">
        <f t="shared" si="247"/>
        <v/>
      </c>
      <c r="AM734" s="5" t="str">
        <f t="shared" si="248"/>
        <v/>
      </c>
      <c r="AN734" s="5" t="str">
        <f t="shared" si="249"/>
        <v/>
      </c>
      <c r="AO734" s="5" t="str">
        <f t="shared" si="250"/>
        <v/>
      </c>
      <c r="AP734" s="5" t="str">
        <f t="shared" si="251"/>
        <v/>
      </c>
      <c r="AQ734" s="5" t="str">
        <f t="shared" si="252"/>
        <v/>
      </c>
      <c r="AR734" s="5" t="str">
        <f t="shared" si="253"/>
        <v/>
      </c>
      <c r="AS734" s="5" t="str">
        <f t="shared" si="254"/>
        <v/>
      </c>
      <c r="AT734" s="5" t="str">
        <f t="shared" si="255"/>
        <v/>
      </c>
      <c r="AU734" s="5" t="str">
        <f t="shared" si="256"/>
        <v/>
      </c>
      <c r="AV734" s="5" t="str">
        <f t="shared" si="257"/>
        <v/>
      </c>
      <c r="AW734" s="5" t="str">
        <f t="shared" si="258"/>
        <v/>
      </c>
      <c r="AX734" s="5" t="str">
        <f t="shared" si="259"/>
        <v/>
      </c>
      <c r="AY734" s="5" t="str">
        <f t="shared" si="260"/>
        <v/>
      </c>
      <c r="AZ734" s="5" t="str">
        <f t="shared" si="261"/>
        <v/>
      </c>
      <c r="BA734" s="5" t="str">
        <f t="shared" si="262"/>
        <v/>
      </c>
      <c r="BB734" s="5" t="str">
        <f t="shared" si="263"/>
        <v/>
      </c>
    </row>
    <row r="735" spans="1:54" s="5" customFormat="1" hidden="1">
      <c r="A735" s="8" t="str">
        <f>IF(INDEX(FORM!$A:$A,ROW())="","",ROW()-1)</f>
        <v/>
      </c>
      <c r="B735" s="41" t="str">
        <f>IF($A735="","",INDEX(FORM!$A:$A,ROW()))</f>
        <v/>
      </c>
      <c r="C735" s="8" t="str">
        <f>IF($A735="","",TRIM(INDEX(FORM!$B:$B,ROW())))</f>
        <v/>
      </c>
      <c r="D735" s="8" t="str">
        <f>IF($A735="","",TRIM(INDEX(FORM!$C:$C,ROW())&amp;""))</f>
        <v/>
      </c>
      <c r="E735" s="8" t="str">
        <f>IF($A735="","",UPPER(TRIM(INDEX(FORM!$D:$D,ROW()))))</f>
        <v/>
      </c>
      <c r="F735" s="8" t="str">
        <f>IF($A735="","",IFERROR(INDEX(PROGRES!$A$2:$A$92,MATCH(E735,PROGRES!$B$2:$B$92,0)),"-"))</f>
        <v/>
      </c>
      <c r="G735" s="8" t="str">
        <f>IF($A735="","",UPPER(TRIM(INDEX(FORM!$F:$F,ROW()))))</f>
        <v/>
      </c>
      <c r="H735" s="8" t="str">
        <f>IF($A735="","",UPPER(TRIM(INDEX(FORM!$E:$E,ROW()))))</f>
        <v/>
      </c>
      <c r="I735" s="8" t="str">
        <f>IF($A735="","",UPPER(TRIM(INDEX(FORM!$G:$G,ROW()))))</f>
        <v/>
      </c>
      <c r="J735" s="8" t="str">
        <f>IF($A735="","",IF(ISNUMBER(SEARCH("Ya,",INDEX(FORM!$H:$H,ROW()))),"YA",IF(ISNUMBER(SEARCH("Cukup,",INDEX(FORM!$H:$H,ROW()))),"CUKUP",IF(ISNUMBER(SEARCH("Kurang,",INDEX(FORM!$H:$H,ROW()))),"KURANG",""))))</f>
        <v/>
      </c>
      <c r="K735" s="8" t="str">
        <f>IF($A735="","",UPPER(TRIM(INDEX(FORM!$J:$J,ROW()))))</f>
        <v/>
      </c>
      <c r="L735" s="8" t="str">
        <f>IF($A735="","",IF(ISNUMBER(SEARCH("Aktivitas Harian",INDEX(FORM!$K:$K,ROW()))),1,0))</f>
        <v/>
      </c>
      <c r="M735" s="8" t="str">
        <f>IF($A735="","",IF(ISNUMBER(SEARCH("Aktivitas Mingguan",INDEX(FORM!$K:$K,ROW()))),1,0))</f>
        <v/>
      </c>
      <c r="N735" s="8" t="str">
        <f>IF($A735="","",IF(ISNUMBER(SEARCH("Aktivitas Bulanan",INDEX(FORM!$K:$K,ROW()))),1,0))</f>
        <v/>
      </c>
      <c r="O735" s="8" t="str">
        <f>IF($A735="","",IF(ISNUMBER(SEARCH("Overview Cabang",INDEX(FORM!$K:$K,ROW()))),1,0))</f>
        <v/>
      </c>
      <c r="P735" s="8" t="str">
        <f>IF($A735="","",IFERROR(VLOOKUP(I735,DATA!$AH$9:$AI$13,2,0),""))</f>
        <v/>
      </c>
      <c r="Q735" s="8" t="str">
        <f>IF($A735="","",IFERROR(VLOOKUP(J735,DATA!$AH$9:$AI$13,2,0),""))</f>
        <v/>
      </c>
      <c r="R735" s="8" t="str">
        <f>IF($A735="","",IFERROR(VLOOKUP(K735,DATA!$AH$9:$AI$13,2,0),""))</f>
        <v/>
      </c>
      <c r="S735" s="42" t="str">
        <f t="shared" si="242"/>
        <v/>
      </c>
      <c r="T735" s="8" t="str">
        <f>IF($A735="","",IF(COUNTIF($D$2:D735,D735)=1,1,0))</f>
        <v/>
      </c>
      <c r="U735" s="8" t="str">
        <f>IF($A735="","",IF(F735="-","Cabang tdk ada",IF(IFERROR(VLOOKUP(G735,#REF!,1,0),"")="","",IF(INDEX(DATA!$AH$2:$AH$5,MATCH(G735,DATA!$AI$2:$AI$5,0))&lt;&gt;F735,"Wilayah beda","OK"))))</f>
        <v/>
      </c>
      <c r="V735" s="8" t="str">
        <f>IF($A735="","",TRIM(INDEX(FORM!$I:$I,ROW())&amp;""))</f>
        <v/>
      </c>
      <c r="W735" s="8" t="str">
        <f>IF($A735="","",TRIM(INDEX(FORM!$L:$L,ROW())&amp;""))</f>
        <v/>
      </c>
      <c r="X735" s="8" t="str">
        <f>IF($A735="","",TRIM(INDEX(FORM!$M:$M,ROW())&amp;""))</f>
        <v/>
      </c>
      <c r="Y735" s="8" t="str">
        <f>IF($A735="","",IFERROR(MATCH(F735,DATA!$AH$2:$AH$5,0),9)*10000+A735)</f>
        <v/>
      </c>
      <c r="Z735" s="8" t="str">
        <f t="shared" si="243"/>
        <v/>
      </c>
      <c r="AA735" s="8" t="str">
        <f t="shared" si="244"/>
        <v/>
      </c>
      <c r="AB735" s="8" t="str">
        <f t="shared" si="245"/>
        <v/>
      </c>
      <c r="AC735" s="8"/>
      <c r="AD735" s="8"/>
      <c r="AE735" s="8"/>
      <c r="AK735" s="5" t="str">
        <f t="shared" si="246"/>
        <v/>
      </c>
      <c r="AL735" s="5" t="str">
        <f t="shared" si="247"/>
        <v/>
      </c>
      <c r="AM735" s="5" t="str">
        <f t="shared" si="248"/>
        <v/>
      </c>
      <c r="AN735" s="5" t="str">
        <f t="shared" si="249"/>
        <v/>
      </c>
      <c r="AO735" s="5" t="str">
        <f t="shared" si="250"/>
        <v/>
      </c>
      <c r="AP735" s="5" t="str">
        <f t="shared" si="251"/>
        <v/>
      </c>
      <c r="AQ735" s="5" t="str">
        <f t="shared" si="252"/>
        <v/>
      </c>
      <c r="AR735" s="5" t="str">
        <f t="shared" si="253"/>
        <v/>
      </c>
      <c r="AS735" s="5" t="str">
        <f t="shared" si="254"/>
        <v/>
      </c>
      <c r="AT735" s="5" t="str">
        <f t="shared" si="255"/>
        <v/>
      </c>
      <c r="AU735" s="5" t="str">
        <f t="shared" si="256"/>
        <v/>
      </c>
      <c r="AV735" s="5" t="str">
        <f t="shared" si="257"/>
        <v/>
      </c>
      <c r="AW735" s="5" t="str">
        <f t="shared" si="258"/>
        <v/>
      </c>
      <c r="AX735" s="5" t="str">
        <f t="shared" si="259"/>
        <v/>
      </c>
      <c r="AY735" s="5" t="str">
        <f t="shared" si="260"/>
        <v/>
      </c>
      <c r="AZ735" s="5" t="str">
        <f t="shared" si="261"/>
        <v/>
      </c>
      <c r="BA735" s="5" t="str">
        <f t="shared" si="262"/>
        <v/>
      </c>
      <c r="BB735" s="5" t="str">
        <f t="shared" si="263"/>
        <v/>
      </c>
    </row>
    <row r="736" spans="1:54" s="5" customFormat="1" hidden="1">
      <c r="A736" s="8" t="str">
        <f>IF(INDEX(FORM!$A:$A,ROW())="","",ROW()-1)</f>
        <v/>
      </c>
      <c r="B736" s="41" t="str">
        <f>IF($A736="","",INDEX(FORM!$A:$A,ROW()))</f>
        <v/>
      </c>
      <c r="C736" s="8" t="str">
        <f>IF($A736="","",TRIM(INDEX(FORM!$B:$B,ROW())))</f>
        <v/>
      </c>
      <c r="D736" s="8" t="str">
        <f>IF($A736="","",TRIM(INDEX(FORM!$C:$C,ROW())&amp;""))</f>
        <v/>
      </c>
      <c r="E736" s="8" t="str">
        <f>IF($A736="","",UPPER(TRIM(INDEX(FORM!$D:$D,ROW()))))</f>
        <v/>
      </c>
      <c r="F736" s="8" t="str">
        <f>IF($A736="","",IFERROR(INDEX(PROGRES!$A$2:$A$92,MATCH(E736,PROGRES!$B$2:$B$92,0)),"-"))</f>
        <v/>
      </c>
      <c r="G736" s="8" t="str">
        <f>IF($A736="","",UPPER(TRIM(INDEX(FORM!$F:$F,ROW()))))</f>
        <v/>
      </c>
      <c r="H736" s="8" t="str">
        <f>IF($A736="","",UPPER(TRIM(INDEX(FORM!$E:$E,ROW()))))</f>
        <v/>
      </c>
      <c r="I736" s="8" t="str">
        <f>IF($A736="","",UPPER(TRIM(INDEX(FORM!$G:$G,ROW()))))</f>
        <v/>
      </c>
      <c r="J736" s="8" t="str">
        <f>IF($A736="","",IF(ISNUMBER(SEARCH("Ya,",INDEX(FORM!$H:$H,ROW()))),"YA",IF(ISNUMBER(SEARCH("Cukup,",INDEX(FORM!$H:$H,ROW()))),"CUKUP",IF(ISNUMBER(SEARCH("Kurang,",INDEX(FORM!$H:$H,ROW()))),"KURANG",""))))</f>
        <v/>
      </c>
      <c r="K736" s="8" t="str">
        <f>IF($A736="","",UPPER(TRIM(INDEX(FORM!$J:$J,ROW()))))</f>
        <v/>
      </c>
      <c r="L736" s="8" t="str">
        <f>IF($A736="","",IF(ISNUMBER(SEARCH("Aktivitas Harian",INDEX(FORM!$K:$K,ROW()))),1,0))</f>
        <v/>
      </c>
      <c r="M736" s="8" t="str">
        <f>IF($A736="","",IF(ISNUMBER(SEARCH("Aktivitas Mingguan",INDEX(FORM!$K:$K,ROW()))),1,0))</f>
        <v/>
      </c>
      <c r="N736" s="8" t="str">
        <f>IF($A736="","",IF(ISNUMBER(SEARCH("Aktivitas Bulanan",INDEX(FORM!$K:$K,ROW()))),1,0))</f>
        <v/>
      </c>
      <c r="O736" s="8" t="str">
        <f>IF($A736="","",IF(ISNUMBER(SEARCH("Overview Cabang",INDEX(FORM!$K:$K,ROW()))),1,0))</f>
        <v/>
      </c>
      <c r="P736" s="8" t="str">
        <f>IF($A736="","",IFERROR(VLOOKUP(I736,DATA!$AH$9:$AI$13,2,0),""))</f>
        <v/>
      </c>
      <c r="Q736" s="8" t="str">
        <f>IF($A736="","",IFERROR(VLOOKUP(J736,DATA!$AH$9:$AI$13,2,0),""))</f>
        <v/>
      </c>
      <c r="R736" s="8" t="str">
        <f>IF($A736="","",IFERROR(VLOOKUP(K736,DATA!$AH$9:$AI$13,2,0),""))</f>
        <v/>
      </c>
      <c r="S736" s="42" t="str">
        <f t="shared" si="242"/>
        <v/>
      </c>
      <c r="T736" s="8" t="str">
        <f>IF($A736="","",IF(COUNTIF($D$2:D736,D736)=1,1,0))</f>
        <v/>
      </c>
      <c r="U736" s="8" t="str">
        <f>IF($A736="","",IF(F736="-","Cabang tdk ada",IF(IFERROR(VLOOKUP(G736,#REF!,1,0),"")="","",IF(INDEX(DATA!$AH$2:$AH$5,MATCH(G736,DATA!$AI$2:$AI$5,0))&lt;&gt;F736,"Wilayah beda","OK"))))</f>
        <v/>
      </c>
      <c r="V736" s="8" t="str">
        <f>IF($A736="","",TRIM(INDEX(FORM!$I:$I,ROW())&amp;""))</f>
        <v/>
      </c>
      <c r="W736" s="8" t="str">
        <f>IF($A736="","",TRIM(INDEX(FORM!$L:$L,ROW())&amp;""))</f>
        <v/>
      </c>
      <c r="X736" s="8" t="str">
        <f>IF($A736="","",TRIM(INDEX(FORM!$M:$M,ROW())&amp;""))</f>
        <v/>
      </c>
      <c r="Y736" s="8" t="str">
        <f>IF($A736="","",IFERROR(MATCH(F736,DATA!$AH$2:$AH$5,0),9)*10000+A736)</f>
        <v/>
      </c>
      <c r="Z736" s="8" t="str">
        <f t="shared" si="243"/>
        <v/>
      </c>
      <c r="AA736" s="8" t="str">
        <f t="shared" si="244"/>
        <v/>
      </c>
      <c r="AB736" s="8" t="str">
        <f t="shared" si="245"/>
        <v/>
      </c>
      <c r="AC736" s="8"/>
      <c r="AD736" s="8"/>
      <c r="AE736" s="8"/>
      <c r="AK736" s="5" t="str">
        <f t="shared" si="246"/>
        <v/>
      </c>
      <c r="AL736" s="5" t="str">
        <f t="shared" si="247"/>
        <v/>
      </c>
      <c r="AM736" s="5" t="str">
        <f t="shared" si="248"/>
        <v/>
      </c>
      <c r="AN736" s="5" t="str">
        <f t="shared" si="249"/>
        <v/>
      </c>
      <c r="AO736" s="5" t="str">
        <f t="shared" si="250"/>
        <v/>
      </c>
      <c r="AP736" s="5" t="str">
        <f t="shared" si="251"/>
        <v/>
      </c>
      <c r="AQ736" s="5" t="str">
        <f t="shared" si="252"/>
        <v/>
      </c>
      <c r="AR736" s="5" t="str">
        <f t="shared" si="253"/>
        <v/>
      </c>
      <c r="AS736" s="5" t="str">
        <f t="shared" si="254"/>
        <v/>
      </c>
      <c r="AT736" s="5" t="str">
        <f t="shared" si="255"/>
        <v/>
      </c>
      <c r="AU736" s="5" t="str">
        <f t="shared" si="256"/>
        <v/>
      </c>
      <c r="AV736" s="5" t="str">
        <f t="shared" si="257"/>
        <v/>
      </c>
      <c r="AW736" s="5" t="str">
        <f t="shared" si="258"/>
        <v/>
      </c>
      <c r="AX736" s="5" t="str">
        <f t="shared" si="259"/>
        <v/>
      </c>
      <c r="AY736" s="5" t="str">
        <f t="shared" si="260"/>
        <v/>
      </c>
      <c r="AZ736" s="5" t="str">
        <f t="shared" si="261"/>
        <v/>
      </c>
      <c r="BA736" s="5" t="str">
        <f t="shared" si="262"/>
        <v/>
      </c>
      <c r="BB736" s="5" t="str">
        <f t="shared" si="263"/>
        <v/>
      </c>
    </row>
    <row r="737" spans="1:54" s="5" customFormat="1" hidden="1">
      <c r="A737" s="8" t="str">
        <f>IF(INDEX(FORM!$A:$A,ROW())="","",ROW()-1)</f>
        <v/>
      </c>
      <c r="B737" s="41" t="str">
        <f>IF($A737="","",INDEX(FORM!$A:$A,ROW()))</f>
        <v/>
      </c>
      <c r="C737" s="8" t="str">
        <f>IF($A737="","",TRIM(INDEX(FORM!$B:$B,ROW())))</f>
        <v/>
      </c>
      <c r="D737" s="8" t="str">
        <f>IF($A737="","",TRIM(INDEX(FORM!$C:$C,ROW())&amp;""))</f>
        <v/>
      </c>
      <c r="E737" s="8" t="str">
        <f>IF($A737="","",UPPER(TRIM(INDEX(FORM!$D:$D,ROW()))))</f>
        <v/>
      </c>
      <c r="F737" s="8" t="str">
        <f>IF($A737="","",IFERROR(INDEX(PROGRES!$A$2:$A$92,MATCH(E737,PROGRES!$B$2:$B$92,0)),"-"))</f>
        <v/>
      </c>
      <c r="G737" s="8" t="str">
        <f>IF($A737="","",UPPER(TRIM(INDEX(FORM!$F:$F,ROW()))))</f>
        <v/>
      </c>
      <c r="H737" s="8" t="str">
        <f>IF($A737="","",UPPER(TRIM(INDEX(FORM!$E:$E,ROW()))))</f>
        <v/>
      </c>
      <c r="I737" s="8" t="str">
        <f>IF($A737="","",UPPER(TRIM(INDEX(FORM!$G:$G,ROW()))))</f>
        <v/>
      </c>
      <c r="J737" s="8" t="str">
        <f>IF($A737="","",IF(ISNUMBER(SEARCH("Ya,",INDEX(FORM!$H:$H,ROW()))),"YA",IF(ISNUMBER(SEARCH("Cukup,",INDEX(FORM!$H:$H,ROW()))),"CUKUP",IF(ISNUMBER(SEARCH("Kurang,",INDEX(FORM!$H:$H,ROW()))),"KURANG",""))))</f>
        <v/>
      </c>
      <c r="K737" s="8" t="str">
        <f>IF($A737="","",UPPER(TRIM(INDEX(FORM!$J:$J,ROW()))))</f>
        <v/>
      </c>
      <c r="L737" s="8" t="str">
        <f>IF($A737="","",IF(ISNUMBER(SEARCH("Aktivitas Harian",INDEX(FORM!$K:$K,ROW()))),1,0))</f>
        <v/>
      </c>
      <c r="M737" s="8" t="str">
        <f>IF($A737="","",IF(ISNUMBER(SEARCH("Aktivitas Mingguan",INDEX(FORM!$K:$K,ROW()))),1,0))</f>
        <v/>
      </c>
      <c r="N737" s="8" t="str">
        <f>IF($A737="","",IF(ISNUMBER(SEARCH("Aktivitas Bulanan",INDEX(FORM!$K:$K,ROW()))),1,0))</f>
        <v/>
      </c>
      <c r="O737" s="8" t="str">
        <f>IF($A737="","",IF(ISNUMBER(SEARCH("Overview Cabang",INDEX(FORM!$K:$K,ROW()))),1,0))</f>
        <v/>
      </c>
      <c r="P737" s="8" t="str">
        <f>IF($A737="","",IFERROR(VLOOKUP(I737,DATA!$AH$9:$AI$13,2,0),""))</f>
        <v/>
      </c>
      <c r="Q737" s="8" t="str">
        <f>IF($A737="","",IFERROR(VLOOKUP(J737,DATA!$AH$9:$AI$13,2,0),""))</f>
        <v/>
      </c>
      <c r="R737" s="8" t="str">
        <f>IF($A737="","",IFERROR(VLOOKUP(K737,DATA!$AH$9:$AI$13,2,0),""))</f>
        <v/>
      </c>
      <c r="S737" s="42" t="str">
        <f t="shared" si="242"/>
        <v/>
      </c>
      <c r="T737" s="8" t="str">
        <f>IF($A737="","",IF(COUNTIF($D$2:D737,D737)=1,1,0))</f>
        <v/>
      </c>
      <c r="U737" s="8" t="str">
        <f>IF($A737="","",IF(F737="-","Cabang tdk ada",IF(IFERROR(VLOOKUP(G737,#REF!,1,0),"")="","",IF(INDEX(DATA!$AH$2:$AH$5,MATCH(G737,DATA!$AI$2:$AI$5,0))&lt;&gt;F737,"Wilayah beda","OK"))))</f>
        <v/>
      </c>
      <c r="V737" s="8" t="str">
        <f>IF($A737="","",TRIM(INDEX(FORM!$I:$I,ROW())&amp;""))</f>
        <v/>
      </c>
      <c r="W737" s="8" t="str">
        <f>IF($A737="","",TRIM(INDEX(FORM!$L:$L,ROW())&amp;""))</f>
        <v/>
      </c>
      <c r="X737" s="8" t="str">
        <f>IF($A737="","",TRIM(INDEX(FORM!$M:$M,ROW())&amp;""))</f>
        <v/>
      </c>
      <c r="Y737" s="8" t="str">
        <f>IF($A737="","",IFERROR(MATCH(F737,DATA!$AH$2:$AH$5,0),9)*10000+A737)</f>
        <v/>
      </c>
      <c r="Z737" s="8" t="str">
        <f t="shared" si="243"/>
        <v/>
      </c>
      <c r="AA737" s="8" t="str">
        <f t="shared" si="244"/>
        <v/>
      </c>
      <c r="AB737" s="8" t="str">
        <f t="shared" si="245"/>
        <v/>
      </c>
      <c r="AC737" s="8"/>
      <c r="AD737" s="8"/>
      <c r="AE737" s="8"/>
      <c r="AK737" s="5" t="str">
        <f t="shared" si="246"/>
        <v/>
      </c>
      <c r="AL737" s="5" t="str">
        <f t="shared" si="247"/>
        <v/>
      </c>
      <c r="AM737" s="5" t="str">
        <f t="shared" si="248"/>
        <v/>
      </c>
      <c r="AN737" s="5" t="str">
        <f t="shared" si="249"/>
        <v/>
      </c>
      <c r="AO737" s="5" t="str">
        <f t="shared" si="250"/>
        <v/>
      </c>
      <c r="AP737" s="5" t="str">
        <f t="shared" si="251"/>
        <v/>
      </c>
      <c r="AQ737" s="5" t="str">
        <f t="shared" si="252"/>
        <v/>
      </c>
      <c r="AR737" s="5" t="str">
        <f t="shared" si="253"/>
        <v/>
      </c>
      <c r="AS737" s="5" t="str">
        <f t="shared" si="254"/>
        <v/>
      </c>
      <c r="AT737" s="5" t="str">
        <f t="shared" si="255"/>
        <v/>
      </c>
      <c r="AU737" s="5" t="str">
        <f t="shared" si="256"/>
        <v/>
      </c>
      <c r="AV737" s="5" t="str">
        <f t="shared" si="257"/>
        <v/>
      </c>
      <c r="AW737" s="5" t="str">
        <f t="shared" si="258"/>
        <v/>
      </c>
      <c r="AX737" s="5" t="str">
        <f t="shared" si="259"/>
        <v/>
      </c>
      <c r="AY737" s="5" t="str">
        <f t="shared" si="260"/>
        <v/>
      </c>
      <c r="AZ737" s="5" t="str">
        <f t="shared" si="261"/>
        <v/>
      </c>
      <c r="BA737" s="5" t="str">
        <f t="shared" si="262"/>
        <v/>
      </c>
      <c r="BB737" s="5" t="str">
        <f t="shared" si="263"/>
        <v/>
      </c>
    </row>
    <row r="738" spans="1:54" s="5" customFormat="1" hidden="1">
      <c r="A738" s="8" t="str">
        <f>IF(INDEX(FORM!$A:$A,ROW())="","",ROW()-1)</f>
        <v/>
      </c>
      <c r="B738" s="41" t="str">
        <f>IF($A738="","",INDEX(FORM!$A:$A,ROW()))</f>
        <v/>
      </c>
      <c r="C738" s="8" t="str">
        <f>IF($A738="","",TRIM(INDEX(FORM!$B:$B,ROW())))</f>
        <v/>
      </c>
      <c r="D738" s="8" t="str">
        <f>IF($A738="","",TRIM(INDEX(FORM!$C:$C,ROW())&amp;""))</f>
        <v/>
      </c>
      <c r="E738" s="8" t="str">
        <f>IF($A738="","",UPPER(TRIM(INDEX(FORM!$D:$D,ROW()))))</f>
        <v/>
      </c>
      <c r="F738" s="8" t="str">
        <f>IF($A738="","",IFERROR(INDEX(PROGRES!$A$2:$A$92,MATCH(E738,PROGRES!$B$2:$B$92,0)),"-"))</f>
        <v/>
      </c>
      <c r="G738" s="8" t="str">
        <f>IF($A738="","",UPPER(TRIM(INDEX(FORM!$F:$F,ROW()))))</f>
        <v/>
      </c>
      <c r="H738" s="8" t="str">
        <f>IF($A738="","",UPPER(TRIM(INDEX(FORM!$E:$E,ROW()))))</f>
        <v/>
      </c>
      <c r="I738" s="8" t="str">
        <f>IF($A738="","",UPPER(TRIM(INDEX(FORM!$G:$G,ROW()))))</f>
        <v/>
      </c>
      <c r="J738" s="8" t="str">
        <f>IF($A738="","",IF(ISNUMBER(SEARCH("Ya,",INDEX(FORM!$H:$H,ROW()))),"YA",IF(ISNUMBER(SEARCH("Cukup,",INDEX(FORM!$H:$H,ROW()))),"CUKUP",IF(ISNUMBER(SEARCH("Kurang,",INDEX(FORM!$H:$H,ROW()))),"KURANG",""))))</f>
        <v/>
      </c>
      <c r="K738" s="8" t="str">
        <f>IF($A738="","",UPPER(TRIM(INDEX(FORM!$J:$J,ROW()))))</f>
        <v/>
      </c>
      <c r="L738" s="8" t="str">
        <f>IF($A738="","",IF(ISNUMBER(SEARCH("Aktivitas Harian",INDEX(FORM!$K:$K,ROW()))),1,0))</f>
        <v/>
      </c>
      <c r="M738" s="8" t="str">
        <f>IF($A738="","",IF(ISNUMBER(SEARCH("Aktivitas Mingguan",INDEX(FORM!$K:$K,ROW()))),1,0))</f>
        <v/>
      </c>
      <c r="N738" s="8" t="str">
        <f>IF($A738="","",IF(ISNUMBER(SEARCH("Aktivitas Bulanan",INDEX(FORM!$K:$K,ROW()))),1,0))</f>
        <v/>
      </c>
      <c r="O738" s="8" t="str">
        <f>IF($A738="","",IF(ISNUMBER(SEARCH("Overview Cabang",INDEX(FORM!$K:$K,ROW()))),1,0))</f>
        <v/>
      </c>
      <c r="P738" s="8" t="str">
        <f>IF($A738="","",IFERROR(VLOOKUP(I738,DATA!$AH$9:$AI$13,2,0),""))</f>
        <v/>
      </c>
      <c r="Q738" s="8" t="str">
        <f>IF($A738="","",IFERROR(VLOOKUP(J738,DATA!$AH$9:$AI$13,2,0),""))</f>
        <v/>
      </c>
      <c r="R738" s="8" t="str">
        <f>IF($A738="","",IFERROR(VLOOKUP(K738,DATA!$AH$9:$AI$13,2,0),""))</f>
        <v/>
      </c>
      <c r="S738" s="42" t="str">
        <f t="shared" si="242"/>
        <v/>
      </c>
      <c r="T738" s="8" t="str">
        <f>IF($A738="","",IF(COUNTIF($D$2:D738,D738)=1,1,0))</f>
        <v/>
      </c>
      <c r="U738" s="8" t="str">
        <f>IF($A738="","",IF(F738="-","Cabang tdk ada",IF(IFERROR(VLOOKUP(G738,#REF!,1,0),"")="","",IF(INDEX(DATA!$AH$2:$AH$5,MATCH(G738,DATA!$AI$2:$AI$5,0))&lt;&gt;F738,"Wilayah beda","OK"))))</f>
        <v/>
      </c>
      <c r="V738" s="8" t="str">
        <f>IF($A738="","",TRIM(INDEX(FORM!$I:$I,ROW())&amp;""))</f>
        <v/>
      </c>
      <c r="W738" s="8" t="str">
        <f>IF($A738="","",TRIM(INDEX(FORM!$L:$L,ROW())&amp;""))</f>
        <v/>
      </c>
      <c r="X738" s="8" t="str">
        <f>IF($A738="","",TRIM(INDEX(FORM!$M:$M,ROW())&amp;""))</f>
        <v/>
      </c>
      <c r="Y738" s="8" t="str">
        <f>IF($A738="","",IFERROR(MATCH(F738,DATA!$AH$2:$AH$5,0),9)*10000+A738)</f>
        <v/>
      </c>
      <c r="Z738" s="8" t="str">
        <f t="shared" si="243"/>
        <v/>
      </c>
      <c r="AA738" s="8" t="str">
        <f t="shared" si="244"/>
        <v/>
      </c>
      <c r="AB738" s="8" t="str">
        <f t="shared" si="245"/>
        <v/>
      </c>
      <c r="AC738" s="8"/>
      <c r="AD738" s="8"/>
      <c r="AE738" s="8"/>
      <c r="AK738" s="5" t="str">
        <f t="shared" si="246"/>
        <v/>
      </c>
      <c r="AL738" s="5" t="str">
        <f t="shared" si="247"/>
        <v/>
      </c>
      <c r="AM738" s="5" t="str">
        <f t="shared" si="248"/>
        <v/>
      </c>
      <c r="AN738" s="5" t="str">
        <f t="shared" si="249"/>
        <v/>
      </c>
      <c r="AO738" s="5" t="str">
        <f t="shared" si="250"/>
        <v/>
      </c>
      <c r="AP738" s="5" t="str">
        <f t="shared" si="251"/>
        <v/>
      </c>
      <c r="AQ738" s="5" t="str">
        <f t="shared" si="252"/>
        <v/>
      </c>
      <c r="AR738" s="5" t="str">
        <f t="shared" si="253"/>
        <v/>
      </c>
      <c r="AS738" s="5" t="str">
        <f t="shared" si="254"/>
        <v/>
      </c>
      <c r="AT738" s="5" t="str">
        <f t="shared" si="255"/>
        <v/>
      </c>
      <c r="AU738" s="5" t="str">
        <f t="shared" si="256"/>
        <v/>
      </c>
      <c r="AV738" s="5" t="str">
        <f t="shared" si="257"/>
        <v/>
      </c>
      <c r="AW738" s="5" t="str">
        <f t="shared" si="258"/>
        <v/>
      </c>
      <c r="AX738" s="5" t="str">
        <f t="shared" si="259"/>
        <v/>
      </c>
      <c r="AY738" s="5" t="str">
        <f t="shared" si="260"/>
        <v/>
      </c>
      <c r="AZ738" s="5" t="str">
        <f t="shared" si="261"/>
        <v/>
      </c>
      <c r="BA738" s="5" t="str">
        <f t="shared" si="262"/>
        <v/>
      </c>
      <c r="BB738" s="5" t="str">
        <f t="shared" si="263"/>
        <v/>
      </c>
    </row>
    <row r="739" spans="1:54" s="5" customFormat="1" hidden="1">
      <c r="A739" s="8" t="str">
        <f>IF(INDEX(FORM!$A:$A,ROW())="","",ROW()-1)</f>
        <v/>
      </c>
      <c r="B739" s="41" t="str">
        <f>IF($A739="","",INDEX(FORM!$A:$A,ROW()))</f>
        <v/>
      </c>
      <c r="C739" s="8" t="str">
        <f>IF($A739="","",TRIM(INDEX(FORM!$B:$B,ROW())))</f>
        <v/>
      </c>
      <c r="D739" s="8" t="str">
        <f>IF($A739="","",TRIM(INDEX(FORM!$C:$C,ROW())&amp;""))</f>
        <v/>
      </c>
      <c r="E739" s="8" t="str">
        <f>IF($A739="","",UPPER(TRIM(INDEX(FORM!$D:$D,ROW()))))</f>
        <v/>
      </c>
      <c r="F739" s="8" t="str">
        <f>IF($A739="","",IFERROR(INDEX(PROGRES!$A$2:$A$92,MATCH(E739,PROGRES!$B$2:$B$92,0)),"-"))</f>
        <v/>
      </c>
      <c r="G739" s="8" t="str">
        <f>IF($A739="","",UPPER(TRIM(INDEX(FORM!$F:$F,ROW()))))</f>
        <v/>
      </c>
      <c r="H739" s="8" t="str">
        <f>IF($A739="","",UPPER(TRIM(INDEX(FORM!$E:$E,ROW()))))</f>
        <v/>
      </c>
      <c r="I739" s="8" t="str">
        <f>IF($A739="","",UPPER(TRIM(INDEX(FORM!$G:$G,ROW()))))</f>
        <v/>
      </c>
      <c r="J739" s="8" t="str">
        <f>IF($A739="","",IF(ISNUMBER(SEARCH("Ya,",INDEX(FORM!$H:$H,ROW()))),"YA",IF(ISNUMBER(SEARCH("Cukup,",INDEX(FORM!$H:$H,ROW()))),"CUKUP",IF(ISNUMBER(SEARCH("Kurang,",INDEX(FORM!$H:$H,ROW()))),"KURANG",""))))</f>
        <v/>
      </c>
      <c r="K739" s="8" t="str">
        <f>IF($A739="","",UPPER(TRIM(INDEX(FORM!$J:$J,ROW()))))</f>
        <v/>
      </c>
      <c r="L739" s="8" t="str">
        <f>IF($A739="","",IF(ISNUMBER(SEARCH("Aktivitas Harian",INDEX(FORM!$K:$K,ROW()))),1,0))</f>
        <v/>
      </c>
      <c r="M739" s="8" t="str">
        <f>IF($A739="","",IF(ISNUMBER(SEARCH("Aktivitas Mingguan",INDEX(FORM!$K:$K,ROW()))),1,0))</f>
        <v/>
      </c>
      <c r="N739" s="8" t="str">
        <f>IF($A739="","",IF(ISNUMBER(SEARCH("Aktivitas Bulanan",INDEX(FORM!$K:$K,ROW()))),1,0))</f>
        <v/>
      </c>
      <c r="O739" s="8" t="str">
        <f>IF($A739="","",IF(ISNUMBER(SEARCH("Overview Cabang",INDEX(FORM!$K:$K,ROW()))),1,0))</f>
        <v/>
      </c>
      <c r="P739" s="8" t="str">
        <f>IF($A739="","",IFERROR(VLOOKUP(I739,DATA!$AH$9:$AI$13,2,0),""))</f>
        <v/>
      </c>
      <c r="Q739" s="8" t="str">
        <f>IF($A739="","",IFERROR(VLOOKUP(J739,DATA!$AH$9:$AI$13,2,0),""))</f>
        <v/>
      </c>
      <c r="R739" s="8" t="str">
        <f>IF($A739="","",IFERROR(VLOOKUP(K739,DATA!$AH$9:$AI$13,2,0),""))</f>
        <v/>
      </c>
      <c r="S739" s="42" t="str">
        <f t="shared" si="242"/>
        <v/>
      </c>
      <c r="T739" s="8" t="str">
        <f>IF($A739="","",IF(COUNTIF($D$2:D739,D739)=1,1,0))</f>
        <v/>
      </c>
      <c r="U739" s="8" t="str">
        <f>IF($A739="","",IF(F739="-","Cabang tdk ada",IF(IFERROR(VLOOKUP(G739,#REF!,1,0),"")="","",IF(INDEX(DATA!$AH$2:$AH$5,MATCH(G739,DATA!$AI$2:$AI$5,0))&lt;&gt;F739,"Wilayah beda","OK"))))</f>
        <v/>
      </c>
      <c r="V739" s="8" t="str">
        <f>IF($A739="","",TRIM(INDEX(FORM!$I:$I,ROW())&amp;""))</f>
        <v/>
      </c>
      <c r="W739" s="8" t="str">
        <f>IF($A739="","",TRIM(INDEX(FORM!$L:$L,ROW())&amp;""))</f>
        <v/>
      </c>
      <c r="X739" s="8" t="str">
        <f>IF($A739="","",TRIM(INDEX(FORM!$M:$M,ROW())&amp;""))</f>
        <v/>
      </c>
      <c r="Y739" s="8" t="str">
        <f>IF($A739="","",IFERROR(MATCH(F739,DATA!$AH$2:$AH$5,0),9)*10000+A739)</f>
        <v/>
      </c>
      <c r="Z739" s="8" t="str">
        <f t="shared" si="243"/>
        <v/>
      </c>
      <c r="AA739" s="8" t="str">
        <f t="shared" si="244"/>
        <v/>
      </c>
      <c r="AB739" s="8" t="str">
        <f t="shared" si="245"/>
        <v/>
      </c>
      <c r="AC739" s="8"/>
      <c r="AD739" s="8"/>
      <c r="AE739" s="8"/>
      <c r="AK739" s="5" t="str">
        <f t="shared" si="246"/>
        <v/>
      </c>
      <c r="AL739" s="5" t="str">
        <f t="shared" si="247"/>
        <v/>
      </c>
      <c r="AM739" s="5" t="str">
        <f t="shared" si="248"/>
        <v/>
      </c>
      <c r="AN739" s="5" t="str">
        <f t="shared" si="249"/>
        <v/>
      </c>
      <c r="AO739" s="5" t="str">
        <f t="shared" si="250"/>
        <v/>
      </c>
      <c r="AP739" s="5" t="str">
        <f t="shared" si="251"/>
        <v/>
      </c>
      <c r="AQ739" s="5" t="str">
        <f t="shared" si="252"/>
        <v/>
      </c>
      <c r="AR739" s="5" t="str">
        <f t="shared" si="253"/>
        <v/>
      </c>
      <c r="AS739" s="5" t="str">
        <f t="shared" si="254"/>
        <v/>
      </c>
      <c r="AT739" s="5" t="str">
        <f t="shared" si="255"/>
        <v/>
      </c>
      <c r="AU739" s="5" t="str">
        <f t="shared" si="256"/>
        <v/>
      </c>
      <c r="AV739" s="5" t="str">
        <f t="shared" si="257"/>
        <v/>
      </c>
      <c r="AW739" s="5" t="str">
        <f t="shared" si="258"/>
        <v/>
      </c>
      <c r="AX739" s="5" t="str">
        <f t="shared" si="259"/>
        <v/>
      </c>
      <c r="AY739" s="5" t="str">
        <f t="shared" si="260"/>
        <v/>
      </c>
      <c r="AZ739" s="5" t="str">
        <f t="shared" si="261"/>
        <v/>
      </c>
      <c r="BA739" s="5" t="str">
        <f t="shared" si="262"/>
        <v/>
      </c>
      <c r="BB739" s="5" t="str">
        <f t="shared" si="263"/>
        <v/>
      </c>
    </row>
    <row r="740" spans="1:54" s="5" customFormat="1" hidden="1">
      <c r="A740" s="8" t="str">
        <f>IF(INDEX(FORM!$A:$A,ROW())="","",ROW()-1)</f>
        <v/>
      </c>
      <c r="B740" s="41" t="str">
        <f>IF($A740="","",INDEX(FORM!$A:$A,ROW()))</f>
        <v/>
      </c>
      <c r="C740" s="8" t="str">
        <f>IF($A740="","",TRIM(INDEX(FORM!$B:$B,ROW())))</f>
        <v/>
      </c>
      <c r="D740" s="8" t="str">
        <f>IF($A740="","",TRIM(INDEX(FORM!$C:$C,ROW())&amp;""))</f>
        <v/>
      </c>
      <c r="E740" s="8" t="str">
        <f>IF($A740="","",UPPER(TRIM(INDEX(FORM!$D:$D,ROW()))))</f>
        <v/>
      </c>
      <c r="F740" s="8" t="str">
        <f>IF($A740="","",IFERROR(INDEX(PROGRES!$A$2:$A$92,MATCH(E740,PROGRES!$B$2:$B$92,0)),"-"))</f>
        <v/>
      </c>
      <c r="G740" s="8" t="str">
        <f>IF($A740="","",UPPER(TRIM(INDEX(FORM!$F:$F,ROW()))))</f>
        <v/>
      </c>
      <c r="H740" s="8" t="str">
        <f>IF($A740="","",UPPER(TRIM(INDEX(FORM!$E:$E,ROW()))))</f>
        <v/>
      </c>
      <c r="I740" s="8" t="str">
        <f>IF($A740="","",UPPER(TRIM(INDEX(FORM!$G:$G,ROW()))))</f>
        <v/>
      </c>
      <c r="J740" s="8" t="str">
        <f>IF($A740="","",IF(ISNUMBER(SEARCH("Ya,",INDEX(FORM!$H:$H,ROW()))),"YA",IF(ISNUMBER(SEARCH("Cukup,",INDEX(FORM!$H:$H,ROW()))),"CUKUP",IF(ISNUMBER(SEARCH("Kurang,",INDEX(FORM!$H:$H,ROW()))),"KURANG",""))))</f>
        <v/>
      </c>
      <c r="K740" s="8" t="str">
        <f>IF($A740="","",UPPER(TRIM(INDEX(FORM!$J:$J,ROW()))))</f>
        <v/>
      </c>
      <c r="L740" s="8" t="str">
        <f>IF($A740="","",IF(ISNUMBER(SEARCH("Aktivitas Harian",INDEX(FORM!$K:$K,ROW()))),1,0))</f>
        <v/>
      </c>
      <c r="M740" s="8" t="str">
        <f>IF($A740="","",IF(ISNUMBER(SEARCH("Aktivitas Mingguan",INDEX(FORM!$K:$K,ROW()))),1,0))</f>
        <v/>
      </c>
      <c r="N740" s="8" t="str">
        <f>IF($A740="","",IF(ISNUMBER(SEARCH("Aktivitas Bulanan",INDEX(FORM!$K:$K,ROW()))),1,0))</f>
        <v/>
      </c>
      <c r="O740" s="8" t="str">
        <f>IF($A740="","",IF(ISNUMBER(SEARCH("Overview Cabang",INDEX(FORM!$K:$K,ROW()))),1,0))</f>
        <v/>
      </c>
      <c r="P740" s="8" t="str">
        <f>IF($A740="","",IFERROR(VLOOKUP(I740,DATA!$AH$9:$AI$13,2,0),""))</f>
        <v/>
      </c>
      <c r="Q740" s="8" t="str">
        <f>IF($A740="","",IFERROR(VLOOKUP(J740,DATA!$AH$9:$AI$13,2,0),""))</f>
        <v/>
      </c>
      <c r="R740" s="8" t="str">
        <f>IF($A740="","",IFERROR(VLOOKUP(K740,DATA!$AH$9:$AI$13,2,0),""))</f>
        <v/>
      </c>
      <c r="S740" s="42" t="str">
        <f t="shared" si="242"/>
        <v/>
      </c>
      <c r="T740" s="8" t="str">
        <f>IF($A740="","",IF(COUNTIF($D$2:D740,D740)=1,1,0))</f>
        <v/>
      </c>
      <c r="U740" s="8" t="str">
        <f>IF($A740="","",IF(F740="-","Cabang tdk ada",IF(IFERROR(VLOOKUP(G740,#REF!,1,0),"")="","",IF(INDEX(DATA!$AH$2:$AH$5,MATCH(G740,DATA!$AI$2:$AI$5,0))&lt;&gt;F740,"Wilayah beda","OK"))))</f>
        <v/>
      </c>
      <c r="V740" s="8" t="str">
        <f>IF($A740="","",TRIM(INDEX(FORM!$I:$I,ROW())&amp;""))</f>
        <v/>
      </c>
      <c r="W740" s="8" t="str">
        <f>IF($A740="","",TRIM(INDEX(FORM!$L:$L,ROW())&amp;""))</f>
        <v/>
      </c>
      <c r="X740" s="8" t="str">
        <f>IF($A740="","",TRIM(INDEX(FORM!$M:$M,ROW())&amp;""))</f>
        <v/>
      </c>
      <c r="Y740" s="8" t="str">
        <f>IF($A740="","",IFERROR(MATCH(F740,DATA!$AH$2:$AH$5,0),9)*10000+A740)</f>
        <v/>
      </c>
      <c r="Z740" s="8" t="str">
        <f t="shared" si="243"/>
        <v/>
      </c>
      <c r="AA740" s="8" t="str">
        <f t="shared" si="244"/>
        <v/>
      </c>
      <c r="AB740" s="8" t="str">
        <f t="shared" si="245"/>
        <v/>
      </c>
      <c r="AC740" s="8"/>
      <c r="AD740" s="8"/>
      <c r="AE740" s="8"/>
      <c r="AK740" s="5" t="str">
        <f t="shared" si="246"/>
        <v/>
      </c>
      <c r="AL740" s="5" t="str">
        <f t="shared" si="247"/>
        <v/>
      </c>
      <c r="AM740" s="5" t="str">
        <f t="shared" si="248"/>
        <v/>
      </c>
      <c r="AN740" s="5" t="str">
        <f t="shared" si="249"/>
        <v/>
      </c>
      <c r="AO740" s="5" t="str">
        <f t="shared" si="250"/>
        <v/>
      </c>
      <c r="AP740" s="5" t="str">
        <f t="shared" si="251"/>
        <v/>
      </c>
      <c r="AQ740" s="5" t="str">
        <f t="shared" si="252"/>
        <v/>
      </c>
      <c r="AR740" s="5" t="str">
        <f t="shared" si="253"/>
        <v/>
      </c>
      <c r="AS740" s="5" t="str">
        <f t="shared" si="254"/>
        <v/>
      </c>
      <c r="AT740" s="5" t="str">
        <f t="shared" si="255"/>
        <v/>
      </c>
      <c r="AU740" s="5" t="str">
        <f t="shared" si="256"/>
        <v/>
      </c>
      <c r="AV740" s="5" t="str">
        <f t="shared" si="257"/>
        <v/>
      </c>
      <c r="AW740" s="5" t="str">
        <f t="shared" si="258"/>
        <v/>
      </c>
      <c r="AX740" s="5" t="str">
        <f t="shared" si="259"/>
        <v/>
      </c>
      <c r="AY740" s="5" t="str">
        <f t="shared" si="260"/>
        <v/>
      </c>
      <c r="AZ740" s="5" t="str">
        <f t="shared" si="261"/>
        <v/>
      </c>
      <c r="BA740" s="5" t="str">
        <f t="shared" si="262"/>
        <v/>
      </c>
      <c r="BB740" s="5" t="str">
        <f t="shared" si="263"/>
        <v/>
      </c>
    </row>
    <row r="741" spans="1:54" s="5" customFormat="1" hidden="1">
      <c r="A741" s="8" t="str">
        <f>IF(INDEX(FORM!$A:$A,ROW())="","",ROW()-1)</f>
        <v/>
      </c>
      <c r="B741" s="41" t="str">
        <f>IF($A741="","",INDEX(FORM!$A:$A,ROW()))</f>
        <v/>
      </c>
      <c r="C741" s="8" t="str">
        <f>IF($A741="","",TRIM(INDEX(FORM!$B:$B,ROW())))</f>
        <v/>
      </c>
      <c r="D741" s="8" t="str">
        <f>IF($A741="","",TRIM(INDEX(FORM!$C:$C,ROW())&amp;""))</f>
        <v/>
      </c>
      <c r="E741" s="8" t="str">
        <f>IF($A741="","",UPPER(TRIM(INDEX(FORM!$D:$D,ROW()))))</f>
        <v/>
      </c>
      <c r="F741" s="8" t="str">
        <f>IF($A741="","",IFERROR(INDEX(PROGRES!$A$2:$A$92,MATCH(E741,PROGRES!$B$2:$B$92,0)),"-"))</f>
        <v/>
      </c>
      <c r="G741" s="8" t="str">
        <f>IF($A741="","",UPPER(TRIM(INDEX(FORM!$F:$F,ROW()))))</f>
        <v/>
      </c>
      <c r="H741" s="8" t="str">
        <f>IF($A741="","",UPPER(TRIM(INDEX(FORM!$E:$E,ROW()))))</f>
        <v/>
      </c>
      <c r="I741" s="8" t="str">
        <f>IF($A741="","",UPPER(TRIM(INDEX(FORM!$G:$G,ROW()))))</f>
        <v/>
      </c>
      <c r="J741" s="8" t="str">
        <f>IF($A741="","",IF(ISNUMBER(SEARCH("Ya,",INDEX(FORM!$H:$H,ROW()))),"YA",IF(ISNUMBER(SEARCH("Cukup,",INDEX(FORM!$H:$H,ROW()))),"CUKUP",IF(ISNUMBER(SEARCH("Kurang,",INDEX(FORM!$H:$H,ROW()))),"KURANG",""))))</f>
        <v/>
      </c>
      <c r="K741" s="8" t="str">
        <f>IF($A741="","",UPPER(TRIM(INDEX(FORM!$J:$J,ROW()))))</f>
        <v/>
      </c>
      <c r="L741" s="8" t="str">
        <f>IF($A741="","",IF(ISNUMBER(SEARCH("Aktivitas Harian",INDEX(FORM!$K:$K,ROW()))),1,0))</f>
        <v/>
      </c>
      <c r="M741" s="8" t="str">
        <f>IF($A741="","",IF(ISNUMBER(SEARCH("Aktivitas Mingguan",INDEX(FORM!$K:$K,ROW()))),1,0))</f>
        <v/>
      </c>
      <c r="N741" s="8" t="str">
        <f>IF($A741="","",IF(ISNUMBER(SEARCH("Aktivitas Bulanan",INDEX(FORM!$K:$K,ROW()))),1,0))</f>
        <v/>
      </c>
      <c r="O741" s="8" t="str">
        <f>IF($A741="","",IF(ISNUMBER(SEARCH("Overview Cabang",INDEX(FORM!$K:$K,ROW()))),1,0))</f>
        <v/>
      </c>
      <c r="P741" s="8" t="str">
        <f>IF($A741="","",IFERROR(VLOOKUP(I741,DATA!$AH$9:$AI$13,2,0),""))</f>
        <v/>
      </c>
      <c r="Q741" s="8" t="str">
        <f>IF($A741="","",IFERROR(VLOOKUP(J741,DATA!$AH$9:$AI$13,2,0),""))</f>
        <v/>
      </c>
      <c r="R741" s="8" t="str">
        <f>IF($A741="","",IFERROR(VLOOKUP(K741,DATA!$AH$9:$AI$13,2,0),""))</f>
        <v/>
      </c>
      <c r="S741" s="42" t="str">
        <f t="shared" si="242"/>
        <v/>
      </c>
      <c r="T741" s="8" t="str">
        <f>IF($A741="","",IF(COUNTIF($D$2:D741,D741)=1,1,0))</f>
        <v/>
      </c>
      <c r="U741" s="8" t="str">
        <f>IF($A741="","",IF(F741="-","Cabang tdk ada",IF(IFERROR(VLOOKUP(G741,#REF!,1,0),"")="","",IF(INDEX(DATA!$AH$2:$AH$5,MATCH(G741,DATA!$AI$2:$AI$5,0))&lt;&gt;F741,"Wilayah beda","OK"))))</f>
        <v/>
      </c>
      <c r="V741" s="8" t="str">
        <f>IF($A741="","",TRIM(INDEX(FORM!$I:$I,ROW())&amp;""))</f>
        <v/>
      </c>
      <c r="W741" s="8" t="str">
        <f>IF($A741="","",TRIM(INDEX(FORM!$L:$L,ROW())&amp;""))</f>
        <v/>
      </c>
      <c r="X741" s="8" t="str">
        <f>IF($A741="","",TRIM(INDEX(FORM!$M:$M,ROW())&amp;""))</f>
        <v/>
      </c>
      <c r="Y741" s="8" t="str">
        <f>IF($A741="","",IFERROR(MATCH(F741,DATA!$AH$2:$AH$5,0),9)*10000+A741)</f>
        <v/>
      </c>
      <c r="Z741" s="8" t="str">
        <f t="shared" si="243"/>
        <v/>
      </c>
      <c r="AA741" s="8" t="str">
        <f t="shared" si="244"/>
        <v/>
      </c>
      <c r="AB741" s="8" t="str">
        <f t="shared" si="245"/>
        <v/>
      </c>
      <c r="AC741" s="8"/>
      <c r="AD741" s="8"/>
      <c r="AE741" s="8"/>
      <c r="AK741" s="5" t="str">
        <f t="shared" si="246"/>
        <v/>
      </c>
      <c r="AL741" s="5" t="str">
        <f t="shared" si="247"/>
        <v/>
      </c>
      <c r="AM741" s="5" t="str">
        <f t="shared" si="248"/>
        <v/>
      </c>
      <c r="AN741" s="5" t="str">
        <f t="shared" si="249"/>
        <v/>
      </c>
      <c r="AO741" s="5" t="str">
        <f t="shared" si="250"/>
        <v/>
      </c>
      <c r="AP741" s="5" t="str">
        <f t="shared" si="251"/>
        <v/>
      </c>
      <c r="AQ741" s="5" t="str">
        <f t="shared" si="252"/>
        <v/>
      </c>
      <c r="AR741" s="5" t="str">
        <f t="shared" si="253"/>
        <v/>
      </c>
      <c r="AS741" s="5" t="str">
        <f t="shared" si="254"/>
        <v/>
      </c>
      <c r="AT741" s="5" t="str">
        <f t="shared" si="255"/>
        <v/>
      </c>
      <c r="AU741" s="5" t="str">
        <f t="shared" si="256"/>
        <v/>
      </c>
      <c r="AV741" s="5" t="str">
        <f t="shared" si="257"/>
        <v/>
      </c>
      <c r="AW741" s="5" t="str">
        <f t="shared" si="258"/>
        <v/>
      </c>
      <c r="AX741" s="5" t="str">
        <f t="shared" si="259"/>
        <v/>
      </c>
      <c r="AY741" s="5" t="str">
        <f t="shared" si="260"/>
        <v/>
      </c>
      <c r="AZ741" s="5" t="str">
        <f t="shared" si="261"/>
        <v/>
      </c>
      <c r="BA741" s="5" t="str">
        <f t="shared" si="262"/>
        <v/>
      </c>
      <c r="BB741" s="5" t="str">
        <f t="shared" si="263"/>
        <v/>
      </c>
    </row>
    <row r="742" spans="1:54" s="5" customFormat="1" hidden="1">
      <c r="A742" s="8" t="str">
        <f>IF(INDEX(FORM!$A:$A,ROW())="","",ROW()-1)</f>
        <v/>
      </c>
      <c r="B742" s="41" t="str">
        <f>IF($A742="","",INDEX(FORM!$A:$A,ROW()))</f>
        <v/>
      </c>
      <c r="C742" s="8" t="str">
        <f>IF($A742="","",TRIM(INDEX(FORM!$B:$B,ROW())))</f>
        <v/>
      </c>
      <c r="D742" s="8" t="str">
        <f>IF($A742="","",TRIM(INDEX(FORM!$C:$C,ROW())&amp;""))</f>
        <v/>
      </c>
      <c r="E742" s="8" t="str">
        <f>IF($A742="","",UPPER(TRIM(INDEX(FORM!$D:$D,ROW()))))</f>
        <v/>
      </c>
      <c r="F742" s="8" t="str">
        <f>IF($A742="","",IFERROR(INDEX(PROGRES!$A$2:$A$92,MATCH(E742,PROGRES!$B$2:$B$92,0)),"-"))</f>
        <v/>
      </c>
      <c r="G742" s="8" t="str">
        <f>IF($A742="","",UPPER(TRIM(INDEX(FORM!$F:$F,ROW()))))</f>
        <v/>
      </c>
      <c r="H742" s="8" t="str">
        <f>IF($A742="","",UPPER(TRIM(INDEX(FORM!$E:$E,ROW()))))</f>
        <v/>
      </c>
      <c r="I742" s="8" t="str">
        <f>IF($A742="","",UPPER(TRIM(INDEX(FORM!$G:$G,ROW()))))</f>
        <v/>
      </c>
      <c r="J742" s="8" t="str">
        <f>IF($A742="","",IF(ISNUMBER(SEARCH("Ya,",INDEX(FORM!$H:$H,ROW()))),"YA",IF(ISNUMBER(SEARCH("Cukup,",INDEX(FORM!$H:$H,ROW()))),"CUKUP",IF(ISNUMBER(SEARCH("Kurang,",INDEX(FORM!$H:$H,ROW()))),"KURANG",""))))</f>
        <v/>
      </c>
      <c r="K742" s="8" t="str">
        <f>IF($A742="","",UPPER(TRIM(INDEX(FORM!$J:$J,ROW()))))</f>
        <v/>
      </c>
      <c r="L742" s="8" t="str">
        <f>IF($A742="","",IF(ISNUMBER(SEARCH("Aktivitas Harian",INDEX(FORM!$K:$K,ROW()))),1,0))</f>
        <v/>
      </c>
      <c r="M742" s="8" t="str">
        <f>IF($A742="","",IF(ISNUMBER(SEARCH("Aktivitas Mingguan",INDEX(FORM!$K:$K,ROW()))),1,0))</f>
        <v/>
      </c>
      <c r="N742" s="8" t="str">
        <f>IF($A742="","",IF(ISNUMBER(SEARCH("Aktivitas Bulanan",INDEX(FORM!$K:$K,ROW()))),1,0))</f>
        <v/>
      </c>
      <c r="O742" s="8" t="str">
        <f>IF($A742="","",IF(ISNUMBER(SEARCH("Overview Cabang",INDEX(FORM!$K:$K,ROW()))),1,0))</f>
        <v/>
      </c>
      <c r="P742" s="8" t="str">
        <f>IF($A742="","",IFERROR(VLOOKUP(I742,DATA!$AH$9:$AI$13,2,0),""))</f>
        <v/>
      </c>
      <c r="Q742" s="8" t="str">
        <f>IF($A742="","",IFERROR(VLOOKUP(J742,DATA!$AH$9:$AI$13,2,0),""))</f>
        <v/>
      </c>
      <c r="R742" s="8" t="str">
        <f>IF($A742="","",IFERROR(VLOOKUP(K742,DATA!$AH$9:$AI$13,2,0),""))</f>
        <v/>
      </c>
      <c r="S742" s="42" t="str">
        <f t="shared" si="242"/>
        <v/>
      </c>
      <c r="T742" s="8" t="str">
        <f>IF($A742="","",IF(COUNTIF($D$2:D742,D742)=1,1,0))</f>
        <v/>
      </c>
      <c r="U742" s="8" t="str">
        <f>IF($A742="","",IF(F742="-","Cabang tdk ada",IF(IFERROR(VLOOKUP(G742,#REF!,1,0),"")="","",IF(INDEX(DATA!$AH$2:$AH$5,MATCH(G742,DATA!$AI$2:$AI$5,0))&lt;&gt;F742,"Wilayah beda","OK"))))</f>
        <v/>
      </c>
      <c r="V742" s="8" t="str">
        <f>IF($A742="","",TRIM(INDEX(FORM!$I:$I,ROW())&amp;""))</f>
        <v/>
      </c>
      <c r="W742" s="8" t="str">
        <f>IF($A742="","",TRIM(INDEX(FORM!$L:$L,ROW())&amp;""))</f>
        <v/>
      </c>
      <c r="X742" s="8" t="str">
        <f>IF($A742="","",TRIM(INDEX(FORM!$M:$M,ROW())&amp;""))</f>
        <v/>
      </c>
      <c r="Y742" s="8" t="str">
        <f>IF($A742="","",IFERROR(MATCH(F742,DATA!$AH$2:$AH$5,0),9)*10000+A742)</f>
        <v/>
      </c>
      <c r="Z742" s="8" t="str">
        <f t="shared" si="243"/>
        <v/>
      </c>
      <c r="AA742" s="8" t="str">
        <f t="shared" si="244"/>
        <v/>
      </c>
      <c r="AB742" s="8" t="str">
        <f t="shared" si="245"/>
        <v/>
      </c>
      <c r="AC742" s="8"/>
      <c r="AD742" s="8"/>
      <c r="AE742" s="8"/>
      <c r="AK742" s="5" t="str">
        <f t="shared" si="246"/>
        <v/>
      </c>
      <c r="AL742" s="5" t="str">
        <f t="shared" si="247"/>
        <v/>
      </c>
      <c r="AM742" s="5" t="str">
        <f t="shared" si="248"/>
        <v/>
      </c>
      <c r="AN742" s="5" t="str">
        <f t="shared" si="249"/>
        <v/>
      </c>
      <c r="AO742" s="5" t="str">
        <f t="shared" si="250"/>
        <v/>
      </c>
      <c r="AP742" s="5" t="str">
        <f t="shared" si="251"/>
        <v/>
      </c>
      <c r="AQ742" s="5" t="str">
        <f t="shared" si="252"/>
        <v/>
      </c>
      <c r="AR742" s="5" t="str">
        <f t="shared" si="253"/>
        <v/>
      </c>
      <c r="AS742" s="5" t="str">
        <f t="shared" si="254"/>
        <v/>
      </c>
      <c r="AT742" s="5" t="str">
        <f t="shared" si="255"/>
        <v/>
      </c>
      <c r="AU742" s="5" t="str">
        <f t="shared" si="256"/>
        <v/>
      </c>
      <c r="AV742" s="5" t="str">
        <f t="shared" si="257"/>
        <v/>
      </c>
      <c r="AW742" s="5" t="str">
        <f t="shared" si="258"/>
        <v/>
      </c>
      <c r="AX742" s="5" t="str">
        <f t="shared" si="259"/>
        <v/>
      </c>
      <c r="AY742" s="5" t="str">
        <f t="shared" si="260"/>
        <v/>
      </c>
      <c r="AZ742" s="5" t="str">
        <f t="shared" si="261"/>
        <v/>
      </c>
      <c r="BA742" s="5" t="str">
        <f t="shared" si="262"/>
        <v/>
      </c>
      <c r="BB742" s="5" t="str">
        <f t="shared" si="263"/>
        <v/>
      </c>
    </row>
    <row r="743" spans="1:54" s="5" customFormat="1" hidden="1">
      <c r="A743" s="8" t="str">
        <f>IF(INDEX(FORM!$A:$A,ROW())="","",ROW()-1)</f>
        <v/>
      </c>
      <c r="B743" s="41" t="str">
        <f>IF($A743="","",INDEX(FORM!$A:$A,ROW()))</f>
        <v/>
      </c>
      <c r="C743" s="8" t="str">
        <f>IF($A743="","",TRIM(INDEX(FORM!$B:$B,ROW())))</f>
        <v/>
      </c>
      <c r="D743" s="8" t="str">
        <f>IF($A743="","",TRIM(INDEX(FORM!$C:$C,ROW())&amp;""))</f>
        <v/>
      </c>
      <c r="E743" s="8" t="str">
        <f>IF($A743="","",UPPER(TRIM(INDEX(FORM!$D:$D,ROW()))))</f>
        <v/>
      </c>
      <c r="F743" s="8" t="str">
        <f>IF($A743="","",IFERROR(INDEX(PROGRES!$A$2:$A$92,MATCH(E743,PROGRES!$B$2:$B$92,0)),"-"))</f>
        <v/>
      </c>
      <c r="G743" s="8" t="str">
        <f>IF($A743="","",UPPER(TRIM(INDEX(FORM!$F:$F,ROW()))))</f>
        <v/>
      </c>
      <c r="H743" s="8" t="str">
        <f>IF($A743="","",UPPER(TRIM(INDEX(FORM!$E:$E,ROW()))))</f>
        <v/>
      </c>
      <c r="I743" s="8" t="str">
        <f>IF($A743="","",UPPER(TRIM(INDEX(FORM!$G:$G,ROW()))))</f>
        <v/>
      </c>
      <c r="J743" s="8" t="str">
        <f>IF($A743="","",IF(ISNUMBER(SEARCH("Ya,",INDEX(FORM!$H:$H,ROW()))),"YA",IF(ISNUMBER(SEARCH("Cukup,",INDEX(FORM!$H:$H,ROW()))),"CUKUP",IF(ISNUMBER(SEARCH("Kurang,",INDEX(FORM!$H:$H,ROW()))),"KURANG",""))))</f>
        <v/>
      </c>
      <c r="K743" s="8" t="str">
        <f>IF($A743="","",UPPER(TRIM(INDEX(FORM!$J:$J,ROW()))))</f>
        <v/>
      </c>
      <c r="L743" s="8" t="str">
        <f>IF($A743="","",IF(ISNUMBER(SEARCH("Aktivitas Harian",INDEX(FORM!$K:$K,ROW()))),1,0))</f>
        <v/>
      </c>
      <c r="M743" s="8" t="str">
        <f>IF($A743="","",IF(ISNUMBER(SEARCH("Aktivitas Mingguan",INDEX(FORM!$K:$K,ROW()))),1,0))</f>
        <v/>
      </c>
      <c r="N743" s="8" t="str">
        <f>IF($A743="","",IF(ISNUMBER(SEARCH("Aktivitas Bulanan",INDEX(FORM!$K:$K,ROW()))),1,0))</f>
        <v/>
      </c>
      <c r="O743" s="8" t="str">
        <f>IF($A743="","",IF(ISNUMBER(SEARCH("Overview Cabang",INDEX(FORM!$K:$K,ROW()))),1,0))</f>
        <v/>
      </c>
      <c r="P743" s="8" t="str">
        <f>IF($A743="","",IFERROR(VLOOKUP(I743,DATA!$AH$9:$AI$13,2,0),""))</f>
        <v/>
      </c>
      <c r="Q743" s="8" t="str">
        <f>IF($A743="","",IFERROR(VLOOKUP(J743,DATA!$AH$9:$AI$13,2,0),""))</f>
        <v/>
      </c>
      <c r="R743" s="8" t="str">
        <f>IF($A743="","",IFERROR(VLOOKUP(K743,DATA!$AH$9:$AI$13,2,0),""))</f>
        <v/>
      </c>
      <c r="S743" s="42" t="str">
        <f t="shared" si="242"/>
        <v/>
      </c>
      <c r="T743" s="8" t="str">
        <f>IF($A743="","",IF(COUNTIF($D$2:D743,D743)=1,1,0))</f>
        <v/>
      </c>
      <c r="U743" s="8" t="str">
        <f>IF($A743="","",IF(F743="-","Cabang tdk ada",IF(IFERROR(VLOOKUP(G743,#REF!,1,0),"")="","",IF(INDEX(DATA!$AH$2:$AH$5,MATCH(G743,DATA!$AI$2:$AI$5,0))&lt;&gt;F743,"Wilayah beda","OK"))))</f>
        <v/>
      </c>
      <c r="V743" s="8" t="str">
        <f>IF($A743="","",TRIM(INDEX(FORM!$I:$I,ROW())&amp;""))</f>
        <v/>
      </c>
      <c r="W743" s="8" t="str">
        <f>IF($A743="","",TRIM(INDEX(FORM!$L:$L,ROW())&amp;""))</f>
        <v/>
      </c>
      <c r="X743" s="8" t="str">
        <f>IF($A743="","",TRIM(INDEX(FORM!$M:$M,ROW())&amp;""))</f>
        <v/>
      </c>
      <c r="Y743" s="8" t="str">
        <f>IF($A743="","",IFERROR(MATCH(F743,DATA!$AH$2:$AH$5,0),9)*10000+A743)</f>
        <v/>
      </c>
      <c r="Z743" s="8" t="str">
        <f t="shared" si="243"/>
        <v/>
      </c>
      <c r="AA743" s="8" t="str">
        <f t="shared" si="244"/>
        <v/>
      </c>
      <c r="AB743" s="8" t="str">
        <f t="shared" si="245"/>
        <v/>
      </c>
      <c r="AC743" s="8"/>
      <c r="AD743" s="8"/>
      <c r="AE743" s="8"/>
      <c r="AK743" s="5" t="str">
        <f t="shared" si="246"/>
        <v/>
      </c>
      <c r="AL743" s="5" t="str">
        <f t="shared" si="247"/>
        <v/>
      </c>
      <c r="AM743" s="5" t="str">
        <f t="shared" si="248"/>
        <v/>
      </c>
      <c r="AN743" s="5" t="str">
        <f t="shared" si="249"/>
        <v/>
      </c>
      <c r="AO743" s="5" t="str">
        <f t="shared" si="250"/>
        <v/>
      </c>
      <c r="AP743" s="5" t="str">
        <f t="shared" si="251"/>
        <v/>
      </c>
      <c r="AQ743" s="5" t="str">
        <f t="shared" si="252"/>
        <v/>
      </c>
      <c r="AR743" s="5" t="str">
        <f t="shared" si="253"/>
        <v/>
      </c>
      <c r="AS743" s="5" t="str">
        <f t="shared" si="254"/>
        <v/>
      </c>
      <c r="AT743" s="5" t="str">
        <f t="shared" si="255"/>
        <v/>
      </c>
      <c r="AU743" s="5" t="str">
        <f t="shared" si="256"/>
        <v/>
      </c>
      <c r="AV743" s="5" t="str">
        <f t="shared" si="257"/>
        <v/>
      </c>
      <c r="AW743" s="5" t="str">
        <f t="shared" si="258"/>
        <v/>
      </c>
      <c r="AX743" s="5" t="str">
        <f t="shared" si="259"/>
        <v/>
      </c>
      <c r="AY743" s="5" t="str">
        <f t="shared" si="260"/>
        <v/>
      </c>
      <c r="AZ743" s="5" t="str">
        <f t="shared" si="261"/>
        <v/>
      </c>
      <c r="BA743" s="5" t="str">
        <f t="shared" si="262"/>
        <v/>
      </c>
      <c r="BB743" s="5" t="str">
        <f t="shared" si="263"/>
        <v/>
      </c>
    </row>
    <row r="744" spans="1:54" s="5" customFormat="1" hidden="1">
      <c r="A744" s="8" t="str">
        <f>IF(INDEX(FORM!$A:$A,ROW())="","",ROW()-1)</f>
        <v/>
      </c>
      <c r="B744" s="41" t="str">
        <f>IF($A744="","",INDEX(FORM!$A:$A,ROW()))</f>
        <v/>
      </c>
      <c r="C744" s="8" t="str">
        <f>IF($A744="","",TRIM(INDEX(FORM!$B:$B,ROW())))</f>
        <v/>
      </c>
      <c r="D744" s="8" t="str">
        <f>IF($A744="","",TRIM(INDEX(FORM!$C:$C,ROW())&amp;""))</f>
        <v/>
      </c>
      <c r="E744" s="8" t="str">
        <f>IF($A744="","",UPPER(TRIM(INDEX(FORM!$D:$D,ROW()))))</f>
        <v/>
      </c>
      <c r="F744" s="8" t="str">
        <f>IF($A744="","",IFERROR(INDEX(PROGRES!$A$2:$A$92,MATCH(E744,PROGRES!$B$2:$B$92,0)),"-"))</f>
        <v/>
      </c>
      <c r="G744" s="8" t="str">
        <f>IF($A744="","",UPPER(TRIM(INDEX(FORM!$F:$F,ROW()))))</f>
        <v/>
      </c>
      <c r="H744" s="8" t="str">
        <f>IF($A744="","",UPPER(TRIM(INDEX(FORM!$E:$E,ROW()))))</f>
        <v/>
      </c>
      <c r="I744" s="8" t="str">
        <f>IF($A744="","",UPPER(TRIM(INDEX(FORM!$G:$G,ROW()))))</f>
        <v/>
      </c>
      <c r="J744" s="8" t="str">
        <f>IF($A744="","",IF(ISNUMBER(SEARCH("Ya,",INDEX(FORM!$H:$H,ROW()))),"YA",IF(ISNUMBER(SEARCH("Cukup,",INDEX(FORM!$H:$H,ROW()))),"CUKUP",IF(ISNUMBER(SEARCH("Kurang,",INDEX(FORM!$H:$H,ROW()))),"KURANG",""))))</f>
        <v/>
      </c>
      <c r="K744" s="8" t="str">
        <f>IF($A744="","",UPPER(TRIM(INDEX(FORM!$J:$J,ROW()))))</f>
        <v/>
      </c>
      <c r="L744" s="8" t="str">
        <f>IF($A744="","",IF(ISNUMBER(SEARCH("Aktivitas Harian",INDEX(FORM!$K:$K,ROW()))),1,0))</f>
        <v/>
      </c>
      <c r="M744" s="8" t="str">
        <f>IF($A744="","",IF(ISNUMBER(SEARCH("Aktivitas Mingguan",INDEX(FORM!$K:$K,ROW()))),1,0))</f>
        <v/>
      </c>
      <c r="N744" s="8" t="str">
        <f>IF($A744="","",IF(ISNUMBER(SEARCH("Aktivitas Bulanan",INDEX(FORM!$K:$K,ROW()))),1,0))</f>
        <v/>
      </c>
      <c r="O744" s="8" t="str">
        <f>IF($A744="","",IF(ISNUMBER(SEARCH("Overview Cabang",INDEX(FORM!$K:$K,ROW()))),1,0))</f>
        <v/>
      </c>
      <c r="P744" s="8" t="str">
        <f>IF($A744="","",IFERROR(VLOOKUP(I744,DATA!$AH$9:$AI$13,2,0),""))</f>
        <v/>
      </c>
      <c r="Q744" s="8" t="str">
        <f>IF($A744="","",IFERROR(VLOOKUP(J744,DATA!$AH$9:$AI$13,2,0),""))</f>
        <v/>
      </c>
      <c r="R744" s="8" t="str">
        <f>IF($A744="","",IFERROR(VLOOKUP(K744,DATA!$AH$9:$AI$13,2,0),""))</f>
        <v/>
      </c>
      <c r="S744" s="42" t="str">
        <f t="shared" si="242"/>
        <v/>
      </c>
      <c r="T744" s="8" t="str">
        <f>IF($A744="","",IF(COUNTIF($D$2:D744,D744)=1,1,0))</f>
        <v/>
      </c>
      <c r="U744" s="8" t="str">
        <f>IF($A744="","",IF(F744="-","Cabang tdk ada",IF(IFERROR(VLOOKUP(G744,#REF!,1,0),"")="","",IF(INDEX(DATA!$AH$2:$AH$5,MATCH(G744,DATA!$AI$2:$AI$5,0))&lt;&gt;F744,"Wilayah beda","OK"))))</f>
        <v/>
      </c>
      <c r="V744" s="8" t="str">
        <f>IF($A744="","",TRIM(INDEX(FORM!$I:$I,ROW())&amp;""))</f>
        <v/>
      </c>
      <c r="W744" s="8" t="str">
        <f>IF($A744="","",TRIM(INDEX(FORM!$L:$L,ROW())&amp;""))</f>
        <v/>
      </c>
      <c r="X744" s="8" t="str">
        <f>IF($A744="","",TRIM(INDEX(FORM!$M:$M,ROW())&amp;""))</f>
        <v/>
      </c>
      <c r="Y744" s="8" t="str">
        <f>IF($A744="","",IFERROR(MATCH(F744,DATA!$AH$2:$AH$5,0),9)*10000+A744)</f>
        <v/>
      </c>
      <c r="Z744" s="8" t="str">
        <f t="shared" si="243"/>
        <v/>
      </c>
      <c r="AA744" s="8" t="str">
        <f t="shared" si="244"/>
        <v/>
      </c>
      <c r="AB744" s="8" t="str">
        <f t="shared" si="245"/>
        <v/>
      </c>
      <c r="AC744" s="8"/>
      <c r="AD744" s="8"/>
      <c r="AE744" s="8"/>
      <c r="AK744" s="5" t="str">
        <f t="shared" si="246"/>
        <v/>
      </c>
      <c r="AL744" s="5" t="str">
        <f t="shared" si="247"/>
        <v/>
      </c>
      <c r="AM744" s="5" t="str">
        <f t="shared" si="248"/>
        <v/>
      </c>
      <c r="AN744" s="5" t="str">
        <f t="shared" si="249"/>
        <v/>
      </c>
      <c r="AO744" s="5" t="str">
        <f t="shared" si="250"/>
        <v/>
      </c>
      <c r="AP744" s="5" t="str">
        <f t="shared" si="251"/>
        <v/>
      </c>
      <c r="AQ744" s="5" t="str">
        <f t="shared" si="252"/>
        <v/>
      </c>
      <c r="AR744" s="5" t="str">
        <f t="shared" si="253"/>
        <v/>
      </c>
      <c r="AS744" s="5" t="str">
        <f t="shared" si="254"/>
        <v/>
      </c>
      <c r="AT744" s="5" t="str">
        <f t="shared" si="255"/>
        <v/>
      </c>
      <c r="AU744" s="5" t="str">
        <f t="shared" si="256"/>
        <v/>
      </c>
      <c r="AV744" s="5" t="str">
        <f t="shared" si="257"/>
        <v/>
      </c>
      <c r="AW744" s="5" t="str">
        <f t="shared" si="258"/>
        <v/>
      </c>
      <c r="AX744" s="5" t="str">
        <f t="shared" si="259"/>
        <v/>
      </c>
      <c r="AY744" s="5" t="str">
        <f t="shared" si="260"/>
        <v/>
      </c>
      <c r="AZ744" s="5" t="str">
        <f t="shared" si="261"/>
        <v/>
      </c>
      <c r="BA744" s="5" t="str">
        <f t="shared" si="262"/>
        <v/>
      </c>
      <c r="BB744" s="5" t="str">
        <f t="shared" si="263"/>
        <v/>
      </c>
    </row>
    <row r="745" spans="1:54" s="5" customFormat="1" hidden="1">
      <c r="A745" s="8" t="str">
        <f>IF(INDEX(FORM!$A:$A,ROW())="","",ROW()-1)</f>
        <v/>
      </c>
      <c r="B745" s="41" t="str">
        <f>IF($A745="","",INDEX(FORM!$A:$A,ROW()))</f>
        <v/>
      </c>
      <c r="C745" s="8" t="str">
        <f>IF($A745="","",TRIM(INDEX(FORM!$B:$B,ROW())))</f>
        <v/>
      </c>
      <c r="D745" s="8" t="str">
        <f>IF($A745="","",TRIM(INDEX(FORM!$C:$C,ROW())&amp;""))</f>
        <v/>
      </c>
      <c r="E745" s="8" t="str">
        <f>IF($A745="","",UPPER(TRIM(INDEX(FORM!$D:$D,ROW()))))</f>
        <v/>
      </c>
      <c r="F745" s="8" t="str">
        <f>IF($A745="","",IFERROR(INDEX(PROGRES!$A$2:$A$92,MATCH(E745,PROGRES!$B$2:$B$92,0)),"-"))</f>
        <v/>
      </c>
      <c r="G745" s="8" t="str">
        <f>IF($A745="","",UPPER(TRIM(INDEX(FORM!$F:$F,ROW()))))</f>
        <v/>
      </c>
      <c r="H745" s="8" t="str">
        <f>IF($A745="","",UPPER(TRIM(INDEX(FORM!$E:$E,ROW()))))</f>
        <v/>
      </c>
      <c r="I745" s="8" t="str">
        <f>IF($A745="","",UPPER(TRIM(INDEX(FORM!$G:$G,ROW()))))</f>
        <v/>
      </c>
      <c r="J745" s="8" t="str">
        <f>IF($A745="","",IF(ISNUMBER(SEARCH("Ya,",INDEX(FORM!$H:$H,ROW()))),"YA",IF(ISNUMBER(SEARCH("Cukup,",INDEX(FORM!$H:$H,ROW()))),"CUKUP",IF(ISNUMBER(SEARCH("Kurang,",INDEX(FORM!$H:$H,ROW()))),"KURANG",""))))</f>
        <v/>
      </c>
      <c r="K745" s="8" t="str">
        <f>IF($A745="","",UPPER(TRIM(INDEX(FORM!$J:$J,ROW()))))</f>
        <v/>
      </c>
      <c r="L745" s="8" t="str">
        <f>IF($A745="","",IF(ISNUMBER(SEARCH("Aktivitas Harian",INDEX(FORM!$K:$K,ROW()))),1,0))</f>
        <v/>
      </c>
      <c r="M745" s="8" t="str">
        <f>IF($A745="","",IF(ISNUMBER(SEARCH("Aktivitas Mingguan",INDEX(FORM!$K:$K,ROW()))),1,0))</f>
        <v/>
      </c>
      <c r="N745" s="8" t="str">
        <f>IF($A745="","",IF(ISNUMBER(SEARCH("Aktivitas Bulanan",INDEX(FORM!$K:$K,ROW()))),1,0))</f>
        <v/>
      </c>
      <c r="O745" s="8" t="str">
        <f>IF($A745="","",IF(ISNUMBER(SEARCH("Overview Cabang",INDEX(FORM!$K:$K,ROW()))),1,0))</f>
        <v/>
      </c>
      <c r="P745" s="8" t="str">
        <f>IF($A745="","",IFERROR(VLOOKUP(I745,DATA!$AH$9:$AI$13,2,0),""))</f>
        <v/>
      </c>
      <c r="Q745" s="8" t="str">
        <f>IF($A745="","",IFERROR(VLOOKUP(J745,DATA!$AH$9:$AI$13,2,0),""))</f>
        <v/>
      </c>
      <c r="R745" s="8" t="str">
        <f>IF($A745="","",IFERROR(VLOOKUP(K745,DATA!$AH$9:$AI$13,2,0),""))</f>
        <v/>
      </c>
      <c r="S745" s="42" t="str">
        <f t="shared" si="242"/>
        <v/>
      </c>
      <c r="T745" s="8" t="str">
        <f>IF($A745="","",IF(COUNTIF($D$2:D745,D745)=1,1,0))</f>
        <v/>
      </c>
      <c r="U745" s="8" t="str">
        <f>IF($A745="","",IF(F745="-","Cabang tdk ada",IF(IFERROR(VLOOKUP(G745,#REF!,1,0),"")="","",IF(INDEX(DATA!$AH$2:$AH$5,MATCH(G745,DATA!$AI$2:$AI$5,0))&lt;&gt;F745,"Wilayah beda","OK"))))</f>
        <v/>
      </c>
      <c r="V745" s="8" t="str">
        <f>IF($A745="","",TRIM(INDEX(FORM!$I:$I,ROW())&amp;""))</f>
        <v/>
      </c>
      <c r="W745" s="8" t="str">
        <f>IF($A745="","",TRIM(INDEX(FORM!$L:$L,ROW())&amp;""))</f>
        <v/>
      </c>
      <c r="X745" s="8" t="str">
        <f>IF($A745="","",TRIM(INDEX(FORM!$M:$M,ROW())&amp;""))</f>
        <v/>
      </c>
      <c r="Y745" s="8" t="str">
        <f>IF($A745="","",IFERROR(MATCH(F745,DATA!$AH$2:$AH$5,0),9)*10000+A745)</f>
        <v/>
      </c>
      <c r="Z745" s="8" t="str">
        <f t="shared" si="243"/>
        <v/>
      </c>
      <c r="AA745" s="8" t="str">
        <f t="shared" si="244"/>
        <v/>
      </c>
      <c r="AB745" s="8" t="str">
        <f t="shared" si="245"/>
        <v/>
      </c>
      <c r="AC745" s="8"/>
      <c r="AD745" s="8"/>
      <c r="AE745" s="8"/>
      <c r="AK745" s="5" t="str">
        <f t="shared" si="246"/>
        <v/>
      </c>
      <c r="AL745" s="5" t="str">
        <f t="shared" si="247"/>
        <v/>
      </c>
      <c r="AM745" s="5" t="str">
        <f t="shared" si="248"/>
        <v/>
      </c>
      <c r="AN745" s="5" t="str">
        <f t="shared" si="249"/>
        <v/>
      </c>
      <c r="AO745" s="5" t="str">
        <f t="shared" si="250"/>
        <v/>
      </c>
      <c r="AP745" s="5" t="str">
        <f t="shared" si="251"/>
        <v/>
      </c>
      <c r="AQ745" s="5" t="str">
        <f t="shared" si="252"/>
        <v/>
      </c>
      <c r="AR745" s="5" t="str">
        <f t="shared" si="253"/>
        <v/>
      </c>
      <c r="AS745" s="5" t="str">
        <f t="shared" si="254"/>
        <v/>
      </c>
      <c r="AT745" s="5" t="str">
        <f t="shared" si="255"/>
        <v/>
      </c>
      <c r="AU745" s="5" t="str">
        <f t="shared" si="256"/>
        <v/>
      </c>
      <c r="AV745" s="5" t="str">
        <f t="shared" si="257"/>
        <v/>
      </c>
      <c r="AW745" s="5" t="str">
        <f t="shared" si="258"/>
        <v/>
      </c>
      <c r="AX745" s="5" t="str">
        <f t="shared" si="259"/>
        <v/>
      </c>
      <c r="AY745" s="5" t="str">
        <f t="shared" si="260"/>
        <v/>
      </c>
      <c r="AZ745" s="5" t="str">
        <f t="shared" si="261"/>
        <v/>
      </c>
      <c r="BA745" s="5" t="str">
        <f t="shared" si="262"/>
        <v/>
      </c>
      <c r="BB745" s="5" t="str">
        <f t="shared" si="263"/>
        <v/>
      </c>
    </row>
    <row r="746" spans="1:54" s="5" customFormat="1" hidden="1">
      <c r="A746" s="8" t="str">
        <f>IF(INDEX(FORM!$A:$A,ROW())="","",ROW()-1)</f>
        <v/>
      </c>
      <c r="B746" s="41" t="str">
        <f>IF($A746="","",INDEX(FORM!$A:$A,ROW()))</f>
        <v/>
      </c>
      <c r="C746" s="8" t="str">
        <f>IF($A746="","",TRIM(INDEX(FORM!$B:$B,ROW())))</f>
        <v/>
      </c>
      <c r="D746" s="8" t="str">
        <f>IF($A746="","",TRIM(INDEX(FORM!$C:$C,ROW())&amp;""))</f>
        <v/>
      </c>
      <c r="E746" s="8" t="str">
        <f>IF($A746="","",UPPER(TRIM(INDEX(FORM!$D:$D,ROW()))))</f>
        <v/>
      </c>
      <c r="F746" s="8" t="str">
        <f>IF($A746="","",IFERROR(INDEX(PROGRES!$A$2:$A$92,MATCH(E746,PROGRES!$B$2:$B$92,0)),"-"))</f>
        <v/>
      </c>
      <c r="G746" s="8" t="str">
        <f>IF($A746="","",UPPER(TRIM(INDEX(FORM!$F:$F,ROW()))))</f>
        <v/>
      </c>
      <c r="H746" s="8" t="str">
        <f>IF($A746="","",UPPER(TRIM(INDEX(FORM!$E:$E,ROW()))))</f>
        <v/>
      </c>
      <c r="I746" s="8" t="str">
        <f>IF($A746="","",UPPER(TRIM(INDEX(FORM!$G:$G,ROW()))))</f>
        <v/>
      </c>
      <c r="J746" s="8" t="str">
        <f>IF($A746="","",IF(ISNUMBER(SEARCH("Ya,",INDEX(FORM!$H:$H,ROW()))),"YA",IF(ISNUMBER(SEARCH("Cukup,",INDEX(FORM!$H:$H,ROW()))),"CUKUP",IF(ISNUMBER(SEARCH("Kurang,",INDEX(FORM!$H:$H,ROW()))),"KURANG",""))))</f>
        <v/>
      </c>
      <c r="K746" s="8" t="str">
        <f>IF($A746="","",UPPER(TRIM(INDEX(FORM!$J:$J,ROW()))))</f>
        <v/>
      </c>
      <c r="L746" s="8" t="str">
        <f>IF($A746="","",IF(ISNUMBER(SEARCH("Aktivitas Harian",INDEX(FORM!$K:$K,ROW()))),1,0))</f>
        <v/>
      </c>
      <c r="M746" s="8" t="str">
        <f>IF($A746="","",IF(ISNUMBER(SEARCH("Aktivitas Mingguan",INDEX(FORM!$K:$K,ROW()))),1,0))</f>
        <v/>
      </c>
      <c r="N746" s="8" t="str">
        <f>IF($A746="","",IF(ISNUMBER(SEARCH("Aktivitas Bulanan",INDEX(FORM!$K:$K,ROW()))),1,0))</f>
        <v/>
      </c>
      <c r="O746" s="8" t="str">
        <f>IF($A746="","",IF(ISNUMBER(SEARCH("Overview Cabang",INDEX(FORM!$K:$K,ROW()))),1,0))</f>
        <v/>
      </c>
      <c r="P746" s="8" t="str">
        <f>IF($A746="","",IFERROR(VLOOKUP(I746,DATA!$AH$9:$AI$13,2,0),""))</f>
        <v/>
      </c>
      <c r="Q746" s="8" t="str">
        <f>IF($A746="","",IFERROR(VLOOKUP(J746,DATA!$AH$9:$AI$13,2,0),""))</f>
        <v/>
      </c>
      <c r="R746" s="8" t="str">
        <f>IF($A746="","",IFERROR(VLOOKUP(K746,DATA!$AH$9:$AI$13,2,0),""))</f>
        <v/>
      </c>
      <c r="S746" s="42" t="str">
        <f t="shared" si="242"/>
        <v/>
      </c>
      <c r="T746" s="8" t="str">
        <f>IF($A746="","",IF(COUNTIF($D$2:D746,D746)=1,1,0))</f>
        <v/>
      </c>
      <c r="U746" s="8" t="str">
        <f>IF($A746="","",IF(F746="-","Cabang tdk ada",IF(IFERROR(VLOOKUP(G746,#REF!,1,0),"")="","",IF(INDEX(DATA!$AH$2:$AH$5,MATCH(G746,DATA!$AI$2:$AI$5,0))&lt;&gt;F746,"Wilayah beda","OK"))))</f>
        <v/>
      </c>
      <c r="V746" s="8" t="str">
        <f>IF($A746="","",TRIM(INDEX(FORM!$I:$I,ROW())&amp;""))</f>
        <v/>
      </c>
      <c r="W746" s="8" t="str">
        <f>IF($A746="","",TRIM(INDEX(FORM!$L:$L,ROW())&amp;""))</f>
        <v/>
      </c>
      <c r="X746" s="8" t="str">
        <f>IF($A746="","",TRIM(INDEX(FORM!$M:$M,ROW())&amp;""))</f>
        <v/>
      </c>
      <c r="Y746" s="8" t="str">
        <f>IF($A746="","",IFERROR(MATCH(F746,DATA!$AH$2:$AH$5,0),9)*10000+A746)</f>
        <v/>
      </c>
      <c r="Z746" s="8" t="str">
        <f t="shared" si="243"/>
        <v/>
      </c>
      <c r="AA746" s="8" t="str">
        <f t="shared" si="244"/>
        <v/>
      </c>
      <c r="AB746" s="8" t="str">
        <f t="shared" si="245"/>
        <v/>
      </c>
      <c r="AC746" s="8"/>
      <c r="AD746" s="8"/>
      <c r="AE746" s="8"/>
      <c r="AK746" s="5" t="str">
        <f t="shared" si="246"/>
        <v/>
      </c>
      <c r="AL746" s="5" t="str">
        <f t="shared" si="247"/>
        <v/>
      </c>
      <c r="AM746" s="5" t="str">
        <f t="shared" si="248"/>
        <v/>
      </c>
      <c r="AN746" s="5" t="str">
        <f t="shared" si="249"/>
        <v/>
      </c>
      <c r="AO746" s="5" t="str">
        <f t="shared" si="250"/>
        <v/>
      </c>
      <c r="AP746" s="5" t="str">
        <f t="shared" si="251"/>
        <v/>
      </c>
      <c r="AQ746" s="5" t="str">
        <f t="shared" si="252"/>
        <v/>
      </c>
      <c r="AR746" s="5" t="str">
        <f t="shared" si="253"/>
        <v/>
      </c>
      <c r="AS746" s="5" t="str">
        <f t="shared" si="254"/>
        <v/>
      </c>
      <c r="AT746" s="5" t="str">
        <f t="shared" si="255"/>
        <v/>
      </c>
      <c r="AU746" s="5" t="str">
        <f t="shared" si="256"/>
        <v/>
      </c>
      <c r="AV746" s="5" t="str">
        <f t="shared" si="257"/>
        <v/>
      </c>
      <c r="AW746" s="5" t="str">
        <f t="shared" si="258"/>
        <v/>
      </c>
      <c r="AX746" s="5" t="str">
        <f t="shared" si="259"/>
        <v/>
      </c>
      <c r="AY746" s="5" t="str">
        <f t="shared" si="260"/>
        <v/>
      </c>
      <c r="AZ746" s="5" t="str">
        <f t="shared" si="261"/>
        <v/>
      </c>
      <c r="BA746" s="5" t="str">
        <f t="shared" si="262"/>
        <v/>
      </c>
      <c r="BB746" s="5" t="str">
        <f t="shared" si="263"/>
        <v/>
      </c>
    </row>
    <row r="747" spans="1:54" s="5" customFormat="1" hidden="1">
      <c r="A747" s="8" t="str">
        <f>IF(INDEX(FORM!$A:$A,ROW())="","",ROW()-1)</f>
        <v/>
      </c>
      <c r="B747" s="41" t="str">
        <f>IF($A747="","",INDEX(FORM!$A:$A,ROW()))</f>
        <v/>
      </c>
      <c r="C747" s="8" t="str">
        <f>IF($A747="","",TRIM(INDEX(FORM!$B:$B,ROW())))</f>
        <v/>
      </c>
      <c r="D747" s="8" t="str">
        <f>IF($A747="","",TRIM(INDEX(FORM!$C:$C,ROW())&amp;""))</f>
        <v/>
      </c>
      <c r="E747" s="8" t="str">
        <f>IF($A747="","",UPPER(TRIM(INDEX(FORM!$D:$D,ROW()))))</f>
        <v/>
      </c>
      <c r="F747" s="8" t="str">
        <f>IF($A747="","",IFERROR(INDEX(PROGRES!$A$2:$A$92,MATCH(E747,PROGRES!$B$2:$B$92,0)),"-"))</f>
        <v/>
      </c>
      <c r="G747" s="8" t="str">
        <f>IF($A747="","",UPPER(TRIM(INDEX(FORM!$F:$F,ROW()))))</f>
        <v/>
      </c>
      <c r="H747" s="8" t="str">
        <f>IF($A747="","",UPPER(TRIM(INDEX(FORM!$E:$E,ROW()))))</f>
        <v/>
      </c>
      <c r="I747" s="8" t="str">
        <f>IF($A747="","",UPPER(TRIM(INDEX(FORM!$G:$G,ROW()))))</f>
        <v/>
      </c>
      <c r="J747" s="8" t="str">
        <f>IF($A747="","",IF(ISNUMBER(SEARCH("Ya,",INDEX(FORM!$H:$H,ROW()))),"YA",IF(ISNUMBER(SEARCH("Cukup,",INDEX(FORM!$H:$H,ROW()))),"CUKUP",IF(ISNUMBER(SEARCH("Kurang,",INDEX(FORM!$H:$H,ROW()))),"KURANG",""))))</f>
        <v/>
      </c>
      <c r="K747" s="8" t="str">
        <f>IF($A747="","",UPPER(TRIM(INDEX(FORM!$J:$J,ROW()))))</f>
        <v/>
      </c>
      <c r="L747" s="8" t="str">
        <f>IF($A747="","",IF(ISNUMBER(SEARCH("Aktivitas Harian",INDEX(FORM!$K:$K,ROW()))),1,0))</f>
        <v/>
      </c>
      <c r="M747" s="8" t="str">
        <f>IF($A747="","",IF(ISNUMBER(SEARCH("Aktivitas Mingguan",INDEX(FORM!$K:$K,ROW()))),1,0))</f>
        <v/>
      </c>
      <c r="N747" s="8" t="str">
        <f>IF($A747="","",IF(ISNUMBER(SEARCH("Aktivitas Bulanan",INDEX(FORM!$K:$K,ROW()))),1,0))</f>
        <v/>
      </c>
      <c r="O747" s="8" t="str">
        <f>IF($A747="","",IF(ISNUMBER(SEARCH("Overview Cabang",INDEX(FORM!$K:$K,ROW()))),1,0))</f>
        <v/>
      </c>
      <c r="P747" s="8" t="str">
        <f>IF($A747="","",IFERROR(VLOOKUP(I747,DATA!$AH$9:$AI$13,2,0),""))</f>
        <v/>
      </c>
      <c r="Q747" s="8" t="str">
        <f>IF($A747="","",IFERROR(VLOOKUP(J747,DATA!$AH$9:$AI$13,2,0),""))</f>
        <v/>
      </c>
      <c r="R747" s="8" t="str">
        <f>IF($A747="","",IFERROR(VLOOKUP(K747,DATA!$AH$9:$AI$13,2,0),""))</f>
        <v/>
      </c>
      <c r="S747" s="42" t="str">
        <f t="shared" si="242"/>
        <v/>
      </c>
      <c r="T747" s="8" t="str">
        <f>IF($A747="","",IF(COUNTIF($D$2:D747,D747)=1,1,0))</f>
        <v/>
      </c>
      <c r="U747" s="8" t="str">
        <f>IF($A747="","",IF(F747="-","Cabang tdk ada",IF(IFERROR(VLOOKUP(G747,#REF!,1,0),"")="","",IF(INDEX(DATA!$AH$2:$AH$5,MATCH(G747,DATA!$AI$2:$AI$5,0))&lt;&gt;F747,"Wilayah beda","OK"))))</f>
        <v/>
      </c>
      <c r="V747" s="8" t="str">
        <f>IF($A747="","",TRIM(INDEX(FORM!$I:$I,ROW())&amp;""))</f>
        <v/>
      </c>
      <c r="W747" s="8" t="str">
        <f>IF($A747="","",TRIM(INDEX(FORM!$L:$L,ROW())&amp;""))</f>
        <v/>
      </c>
      <c r="X747" s="8" t="str">
        <f>IF($A747="","",TRIM(INDEX(FORM!$M:$M,ROW())&amp;""))</f>
        <v/>
      </c>
      <c r="Y747" s="8" t="str">
        <f>IF($A747="","",IFERROR(MATCH(F747,DATA!$AH$2:$AH$5,0),9)*10000+A747)</f>
        <v/>
      </c>
      <c r="Z747" s="8" t="str">
        <f t="shared" si="243"/>
        <v/>
      </c>
      <c r="AA747" s="8" t="str">
        <f t="shared" si="244"/>
        <v/>
      </c>
      <c r="AB747" s="8" t="str">
        <f t="shared" si="245"/>
        <v/>
      </c>
      <c r="AC747" s="8"/>
      <c r="AD747" s="8"/>
      <c r="AE747" s="8"/>
      <c r="AK747" s="5" t="str">
        <f t="shared" si="246"/>
        <v/>
      </c>
      <c r="AL747" s="5" t="str">
        <f t="shared" si="247"/>
        <v/>
      </c>
      <c r="AM747" s="5" t="str">
        <f t="shared" si="248"/>
        <v/>
      </c>
      <c r="AN747" s="5" t="str">
        <f t="shared" si="249"/>
        <v/>
      </c>
      <c r="AO747" s="5" t="str">
        <f t="shared" si="250"/>
        <v/>
      </c>
      <c r="AP747" s="5" t="str">
        <f t="shared" si="251"/>
        <v/>
      </c>
      <c r="AQ747" s="5" t="str">
        <f t="shared" si="252"/>
        <v/>
      </c>
      <c r="AR747" s="5" t="str">
        <f t="shared" si="253"/>
        <v/>
      </c>
      <c r="AS747" s="5" t="str">
        <f t="shared" si="254"/>
        <v/>
      </c>
      <c r="AT747" s="5" t="str">
        <f t="shared" si="255"/>
        <v/>
      </c>
      <c r="AU747" s="5" t="str">
        <f t="shared" si="256"/>
        <v/>
      </c>
      <c r="AV747" s="5" t="str">
        <f t="shared" si="257"/>
        <v/>
      </c>
      <c r="AW747" s="5" t="str">
        <f t="shared" si="258"/>
        <v/>
      </c>
      <c r="AX747" s="5" t="str">
        <f t="shared" si="259"/>
        <v/>
      </c>
      <c r="AY747" s="5" t="str">
        <f t="shared" si="260"/>
        <v/>
      </c>
      <c r="AZ747" s="5" t="str">
        <f t="shared" si="261"/>
        <v/>
      </c>
      <c r="BA747" s="5" t="str">
        <f t="shared" si="262"/>
        <v/>
      </c>
      <c r="BB747" s="5" t="str">
        <f t="shared" si="263"/>
        <v/>
      </c>
    </row>
    <row r="748" spans="1:54" s="5" customFormat="1" hidden="1">
      <c r="A748" s="8" t="str">
        <f>IF(INDEX(FORM!$A:$A,ROW())="","",ROW()-1)</f>
        <v/>
      </c>
      <c r="B748" s="41" t="str">
        <f>IF($A748="","",INDEX(FORM!$A:$A,ROW()))</f>
        <v/>
      </c>
      <c r="C748" s="8" t="str">
        <f>IF($A748="","",TRIM(INDEX(FORM!$B:$B,ROW())))</f>
        <v/>
      </c>
      <c r="D748" s="8" t="str">
        <f>IF($A748="","",TRIM(INDEX(FORM!$C:$C,ROW())&amp;""))</f>
        <v/>
      </c>
      <c r="E748" s="8" t="str">
        <f>IF($A748="","",UPPER(TRIM(INDEX(FORM!$D:$D,ROW()))))</f>
        <v/>
      </c>
      <c r="F748" s="8" t="str">
        <f>IF($A748="","",IFERROR(INDEX(PROGRES!$A$2:$A$92,MATCH(E748,PROGRES!$B$2:$B$92,0)),"-"))</f>
        <v/>
      </c>
      <c r="G748" s="8" t="str">
        <f>IF($A748="","",UPPER(TRIM(INDEX(FORM!$F:$F,ROW()))))</f>
        <v/>
      </c>
      <c r="H748" s="8" t="str">
        <f>IF($A748="","",UPPER(TRIM(INDEX(FORM!$E:$E,ROW()))))</f>
        <v/>
      </c>
      <c r="I748" s="8" t="str">
        <f>IF($A748="","",UPPER(TRIM(INDEX(FORM!$G:$G,ROW()))))</f>
        <v/>
      </c>
      <c r="J748" s="8" t="str">
        <f>IF($A748="","",IF(ISNUMBER(SEARCH("Ya,",INDEX(FORM!$H:$H,ROW()))),"YA",IF(ISNUMBER(SEARCH("Cukup,",INDEX(FORM!$H:$H,ROW()))),"CUKUP",IF(ISNUMBER(SEARCH("Kurang,",INDEX(FORM!$H:$H,ROW()))),"KURANG",""))))</f>
        <v/>
      </c>
      <c r="K748" s="8" t="str">
        <f>IF($A748="","",UPPER(TRIM(INDEX(FORM!$J:$J,ROW()))))</f>
        <v/>
      </c>
      <c r="L748" s="8" t="str">
        <f>IF($A748="","",IF(ISNUMBER(SEARCH("Aktivitas Harian",INDEX(FORM!$K:$K,ROW()))),1,0))</f>
        <v/>
      </c>
      <c r="M748" s="8" t="str">
        <f>IF($A748="","",IF(ISNUMBER(SEARCH("Aktivitas Mingguan",INDEX(FORM!$K:$K,ROW()))),1,0))</f>
        <v/>
      </c>
      <c r="N748" s="8" t="str">
        <f>IF($A748="","",IF(ISNUMBER(SEARCH("Aktivitas Bulanan",INDEX(FORM!$K:$K,ROW()))),1,0))</f>
        <v/>
      </c>
      <c r="O748" s="8" t="str">
        <f>IF($A748="","",IF(ISNUMBER(SEARCH("Overview Cabang",INDEX(FORM!$K:$K,ROW()))),1,0))</f>
        <v/>
      </c>
      <c r="P748" s="8" t="str">
        <f>IF($A748="","",IFERROR(VLOOKUP(I748,DATA!$AH$9:$AI$13,2,0),""))</f>
        <v/>
      </c>
      <c r="Q748" s="8" t="str">
        <f>IF($A748="","",IFERROR(VLOOKUP(J748,DATA!$AH$9:$AI$13,2,0),""))</f>
        <v/>
      </c>
      <c r="R748" s="8" t="str">
        <f>IF($A748="","",IFERROR(VLOOKUP(K748,DATA!$AH$9:$AI$13,2,0),""))</f>
        <v/>
      </c>
      <c r="S748" s="42" t="str">
        <f t="shared" si="242"/>
        <v/>
      </c>
      <c r="T748" s="8" t="str">
        <f>IF($A748="","",IF(COUNTIF($D$2:D748,D748)=1,1,0))</f>
        <v/>
      </c>
      <c r="U748" s="8" t="str">
        <f>IF($A748="","",IF(F748="-","Cabang tdk ada",IF(IFERROR(VLOOKUP(G748,#REF!,1,0),"")="","",IF(INDEX(DATA!$AH$2:$AH$5,MATCH(G748,DATA!$AI$2:$AI$5,0))&lt;&gt;F748,"Wilayah beda","OK"))))</f>
        <v/>
      </c>
      <c r="V748" s="8" t="str">
        <f>IF($A748="","",TRIM(INDEX(FORM!$I:$I,ROW())&amp;""))</f>
        <v/>
      </c>
      <c r="W748" s="8" t="str">
        <f>IF($A748="","",TRIM(INDEX(FORM!$L:$L,ROW())&amp;""))</f>
        <v/>
      </c>
      <c r="X748" s="8" t="str">
        <f>IF($A748="","",TRIM(INDEX(FORM!$M:$M,ROW())&amp;""))</f>
        <v/>
      </c>
      <c r="Y748" s="8" t="str">
        <f>IF($A748="","",IFERROR(MATCH(F748,DATA!$AH$2:$AH$5,0),9)*10000+A748)</f>
        <v/>
      </c>
      <c r="Z748" s="8" t="str">
        <f t="shared" si="243"/>
        <v/>
      </c>
      <c r="AA748" s="8" t="str">
        <f t="shared" si="244"/>
        <v/>
      </c>
      <c r="AB748" s="8" t="str">
        <f t="shared" si="245"/>
        <v/>
      </c>
      <c r="AC748" s="8"/>
      <c r="AD748" s="8"/>
      <c r="AE748" s="8"/>
      <c r="AK748" s="5" t="str">
        <f t="shared" si="246"/>
        <v/>
      </c>
      <c r="AL748" s="5" t="str">
        <f t="shared" si="247"/>
        <v/>
      </c>
      <c r="AM748" s="5" t="str">
        <f t="shared" si="248"/>
        <v/>
      </c>
      <c r="AN748" s="5" t="str">
        <f t="shared" si="249"/>
        <v/>
      </c>
      <c r="AO748" s="5" t="str">
        <f t="shared" si="250"/>
        <v/>
      </c>
      <c r="AP748" s="5" t="str">
        <f t="shared" si="251"/>
        <v/>
      </c>
      <c r="AQ748" s="5" t="str">
        <f t="shared" si="252"/>
        <v/>
      </c>
      <c r="AR748" s="5" t="str">
        <f t="shared" si="253"/>
        <v/>
      </c>
      <c r="AS748" s="5" t="str">
        <f t="shared" si="254"/>
        <v/>
      </c>
      <c r="AT748" s="5" t="str">
        <f t="shared" si="255"/>
        <v/>
      </c>
      <c r="AU748" s="5" t="str">
        <f t="shared" si="256"/>
        <v/>
      </c>
      <c r="AV748" s="5" t="str">
        <f t="shared" si="257"/>
        <v/>
      </c>
      <c r="AW748" s="5" t="str">
        <f t="shared" si="258"/>
        <v/>
      </c>
      <c r="AX748" s="5" t="str">
        <f t="shared" si="259"/>
        <v/>
      </c>
      <c r="AY748" s="5" t="str">
        <f t="shared" si="260"/>
        <v/>
      </c>
      <c r="AZ748" s="5" t="str">
        <f t="shared" si="261"/>
        <v/>
      </c>
      <c r="BA748" s="5" t="str">
        <f t="shared" si="262"/>
        <v/>
      </c>
      <c r="BB748" s="5" t="str">
        <f t="shared" si="263"/>
        <v/>
      </c>
    </row>
    <row r="749" spans="1:54" s="5" customFormat="1" hidden="1">
      <c r="A749" s="8" t="str">
        <f>IF(INDEX(FORM!$A:$A,ROW())="","",ROW()-1)</f>
        <v/>
      </c>
      <c r="B749" s="41" t="str">
        <f>IF($A749="","",INDEX(FORM!$A:$A,ROW()))</f>
        <v/>
      </c>
      <c r="C749" s="8" t="str">
        <f>IF($A749="","",TRIM(INDEX(FORM!$B:$B,ROW())))</f>
        <v/>
      </c>
      <c r="D749" s="8" t="str">
        <f>IF($A749="","",TRIM(INDEX(FORM!$C:$C,ROW())&amp;""))</f>
        <v/>
      </c>
      <c r="E749" s="8" t="str">
        <f>IF($A749="","",UPPER(TRIM(INDEX(FORM!$D:$D,ROW()))))</f>
        <v/>
      </c>
      <c r="F749" s="8" t="str">
        <f>IF($A749="","",IFERROR(INDEX(PROGRES!$A$2:$A$92,MATCH(E749,PROGRES!$B$2:$B$92,0)),"-"))</f>
        <v/>
      </c>
      <c r="G749" s="8" t="str">
        <f>IF($A749="","",UPPER(TRIM(INDEX(FORM!$F:$F,ROW()))))</f>
        <v/>
      </c>
      <c r="H749" s="8" t="str">
        <f>IF($A749="","",UPPER(TRIM(INDEX(FORM!$E:$E,ROW()))))</f>
        <v/>
      </c>
      <c r="I749" s="8" t="str">
        <f>IF($A749="","",UPPER(TRIM(INDEX(FORM!$G:$G,ROW()))))</f>
        <v/>
      </c>
      <c r="J749" s="8" t="str">
        <f>IF($A749="","",IF(ISNUMBER(SEARCH("Ya,",INDEX(FORM!$H:$H,ROW()))),"YA",IF(ISNUMBER(SEARCH("Cukup,",INDEX(FORM!$H:$H,ROW()))),"CUKUP",IF(ISNUMBER(SEARCH("Kurang,",INDEX(FORM!$H:$H,ROW()))),"KURANG",""))))</f>
        <v/>
      </c>
      <c r="K749" s="8" t="str">
        <f>IF($A749="","",UPPER(TRIM(INDEX(FORM!$J:$J,ROW()))))</f>
        <v/>
      </c>
      <c r="L749" s="8" t="str">
        <f>IF($A749="","",IF(ISNUMBER(SEARCH("Aktivitas Harian",INDEX(FORM!$K:$K,ROW()))),1,0))</f>
        <v/>
      </c>
      <c r="M749" s="8" t="str">
        <f>IF($A749="","",IF(ISNUMBER(SEARCH("Aktivitas Mingguan",INDEX(FORM!$K:$K,ROW()))),1,0))</f>
        <v/>
      </c>
      <c r="N749" s="8" t="str">
        <f>IF($A749="","",IF(ISNUMBER(SEARCH("Aktivitas Bulanan",INDEX(FORM!$K:$K,ROW()))),1,0))</f>
        <v/>
      </c>
      <c r="O749" s="8" t="str">
        <f>IF($A749="","",IF(ISNUMBER(SEARCH("Overview Cabang",INDEX(FORM!$K:$K,ROW()))),1,0))</f>
        <v/>
      </c>
      <c r="P749" s="8" t="str">
        <f>IF($A749="","",IFERROR(VLOOKUP(I749,DATA!$AH$9:$AI$13,2,0),""))</f>
        <v/>
      </c>
      <c r="Q749" s="8" t="str">
        <f>IF($A749="","",IFERROR(VLOOKUP(J749,DATA!$AH$9:$AI$13,2,0),""))</f>
        <v/>
      </c>
      <c r="R749" s="8" t="str">
        <f>IF($A749="","",IFERROR(VLOOKUP(K749,DATA!$AH$9:$AI$13,2,0),""))</f>
        <v/>
      </c>
      <c r="S749" s="42" t="str">
        <f t="shared" si="242"/>
        <v/>
      </c>
      <c r="T749" s="8" t="str">
        <f>IF($A749="","",IF(COUNTIF($D$2:D749,D749)=1,1,0))</f>
        <v/>
      </c>
      <c r="U749" s="8" t="str">
        <f>IF($A749="","",IF(F749="-","Cabang tdk ada",IF(IFERROR(VLOOKUP(G749,#REF!,1,0),"")="","",IF(INDEX(DATA!$AH$2:$AH$5,MATCH(G749,DATA!$AI$2:$AI$5,0))&lt;&gt;F749,"Wilayah beda","OK"))))</f>
        <v/>
      </c>
      <c r="V749" s="8" t="str">
        <f>IF($A749="","",TRIM(INDEX(FORM!$I:$I,ROW())&amp;""))</f>
        <v/>
      </c>
      <c r="W749" s="8" t="str">
        <f>IF($A749="","",TRIM(INDEX(FORM!$L:$L,ROW())&amp;""))</f>
        <v/>
      </c>
      <c r="X749" s="8" t="str">
        <f>IF($A749="","",TRIM(INDEX(FORM!$M:$M,ROW())&amp;""))</f>
        <v/>
      </c>
      <c r="Y749" s="8" t="str">
        <f>IF($A749="","",IFERROR(MATCH(F749,DATA!$AH$2:$AH$5,0),9)*10000+A749)</f>
        <v/>
      </c>
      <c r="Z749" s="8" t="str">
        <f t="shared" si="243"/>
        <v/>
      </c>
      <c r="AA749" s="8" t="str">
        <f t="shared" si="244"/>
        <v/>
      </c>
      <c r="AB749" s="8" t="str">
        <f t="shared" si="245"/>
        <v/>
      </c>
      <c r="AC749" s="8"/>
      <c r="AD749" s="8"/>
      <c r="AE749" s="8"/>
      <c r="AK749" s="5" t="str">
        <f t="shared" si="246"/>
        <v/>
      </c>
      <c r="AL749" s="5" t="str">
        <f t="shared" si="247"/>
        <v/>
      </c>
      <c r="AM749" s="5" t="str">
        <f t="shared" si="248"/>
        <v/>
      </c>
      <c r="AN749" s="5" t="str">
        <f t="shared" si="249"/>
        <v/>
      </c>
      <c r="AO749" s="5" t="str">
        <f t="shared" si="250"/>
        <v/>
      </c>
      <c r="AP749" s="5" t="str">
        <f t="shared" si="251"/>
        <v/>
      </c>
      <c r="AQ749" s="5" t="str">
        <f t="shared" si="252"/>
        <v/>
      </c>
      <c r="AR749" s="5" t="str">
        <f t="shared" si="253"/>
        <v/>
      </c>
      <c r="AS749" s="5" t="str">
        <f t="shared" si="254"/>
        <v/>
      </c>
      <c r="AT749" s="5" t="str">
        <f t="shared" si="255"/>
        <v/>
      </c>
      <c r="AU749" s="5" t="str">
        <f t="shared" si="256"/>
        <v/>
      </c>
      <c r="AV749" s="5" t="str">
        <f t="shared" si="257"/>
        <v/>
      </c>
      <c r="AW749" s="5" t="str">
        <f t="shared" si="258"/>
        <v/>
      </c>
      <c r="AX749" s="5" t="str">
        <f t="shared" si="259"/>
        <v/>
      </c>
      <c r="AY749" s="5" t="str">
        <f t="shared" si="260"/>
        <v/>
      </c>
      <c r="AZ749" s="5" t="str">
        <f t="shared" si="261"/>
        <v/>
      </c>
      <c r="BA749" s="5" t="str">
        <f t="shared" si="262"/>
        <v/>
      </c>
      <c r="BB749" s="5" t="str">
        <f t="shared" si="263"/>
        <v/>
      </c>
    </row>
    <row r="750" spans="1:54" s="5" customFormat="1" hidden="1">
      <c r="A750" s="8" t="str">
        <f>IF(INDEX(FORM!$A:$A,ROW())="","",ROW()-1)</f>
        <v/>
      </c>
      <c r="B750" s="41" t="str">
        <f>IF($A750="","",INDEX(FORM!$A:$A,ROW()))</f>
        <v/>
      </c>
      <c r="C750" s="8" t="str">
        <f>IF($A750="","",TRIM(INDEX(FORM!$B:$B,ROW())))</f>
        <v/>
      </c>
      <c r="D750" s="8" t="str">
        <f>IF($A750="","",TRIM(INDEX(FORM!$C:$C,ROW())&amp;""))</f>
        <v/>
      </c>
      <c r="E750" s="8" t="str">
        <f>IF($A750="","",UPPER(TRIM(INDEX(FORM!$D:$D,ROW()))))</f>
        <v/>
      </c>
      <c r="F750" s="8" t="str">
        <f>IF($A750="","",IFERROR(INDEX(PROGRES!$A$2:$A$92,MATCH(E750,PROGRES!$B$2:$B$92,0)),"-"))</f>
        <v/>
      </c>
      <c r="G750" s="8" t="str">
        <f>IF($A750="","",UPPER(TRIM(INDEX(FORM!$F:$F,ROW()))))</f>
        <v/>
      </c>
      <c r="H750" s="8" t="str">
        <f>IF($A750="","",UPPER(TRIM(INDEX(FORM!$E:$E,ROW()))))</f>
        <v/>
      </c>
      <c r="I750" s="8" t="str">
        <f>IF($A750="","",UPPER(TRIM(INDEX(FORM!$G:$G,ROW()))))</f>
        <v/>
      </c>
      <c r="J750" s="8" t="str">
        <f>IF($A750="","",IF(ISNUMBER(SEARCH("Ya,",INDEX(FORM!$H:$H,ROW()))),"YA",IF(ISNUMBER(SEARCH("Cukup,",INDEX(FORM!$H:$H,ROW()))),"CUKUP",IF(ISNUMBER(SEARCH("Kurang,",INDEX(FORM!$H:$H,ROW()))),"KURANG",""))))</f>
        <v/>
      </c>
      <c r="K750" s="8" t="str">
        <f>IF($A750="","",UPPER(TRIM(INDEX(FORM!$J:$J,ROW()))))</f>
        <v/>
      </c>
      <c r="L750" s="8" t="str">
        <f>IF($A750="","",IF(ISNUMBER(SEARCH("Aktivitas Harian",INDEX(FORM!$K:$K,ROW()))),1,0))</f>
        <v/>
      </c>
      <c r="M750" s="8" t="str">
        <f>IF($A750="","",IF(ISNUMBER(SEARCH("Aktivitas Mingguan",INDEX(FORM!$K:$K,ROW()))),1,0))</f>
        <v/>
      </c>
      <c r="N750" s="8" t="str">
        <f>IF($A750="","",IF(ISNUMBER(SEARCH("Aktivitas Bulanan",INDEX(FORM!$K:$K,ROW()))),1,0))</f>
        <v/>
      </c>
      <c r="O750" s="8" t="str">
        <f>IF($A750="","",IF(ISNUMBER(SEARCH("Overview Cabang",INDEX(FORM!$K:$K,ROW()))),1,0))</f>
        <v/>
      </c>
      <c r="P750" s="8" t="str">
        <f>IF($A750="","",IFERROR(VLOOKUP(I750,DATA!$AH$9:$AI$13,2,0),""))</f>
        <v/>
      </c>
      <c r="Q750" s="8" t="str">
        <f>IF($A750="","",IFERROR(VLOOKUP(J750,DATA!$AH$9:$AI$13,2,0),""))</f>
        <v/>
      </c>
      <c r="R750" s="8" t="str">
        <f>IF($A750="","",IFERROR(VLOOKUP(K750,DATA!$AH$9:$AI$13,2,0),""))</f>
        <v/>
      </c>
      <c r="S750" s="42" t="str">
        <f t="shared" si="242"/>
        <v/>
      </c>
      <c r="T750" s="8" t="str">
        <f>IF($A750="","",IF(COUNTIF($D$2:D750,D750)=1,1,0))</f>
        <v/>
      </c>
      <c r="U750" s="8" t="str">
        <f>IF($A750="","",IF(F750="-","Cabang tdk ada",IF(IFERROR(VLOOKUP(G750,#REF!,1,0),"")="","",IF(INDEX(DATA!$AH$2:$AH$5,MATCH(G750,DATA!$AI$2:$AI$5,0))&lt;&gt;F750,"Wilayah beda","OK"))))</f>
        <v/>
      </c>
      <c r="V750" s="8" t="str">
        <f>IF($A750="","",TRIM(INDEX(FORM!$I:$I,ROW())&amp;""))</f>
        <v/>
      </c>
      <c r="W750" s="8" t="str">
        <f>IF($A750="","",TRIM(INDEX(FORM!$L:$L,ROW())&amp;""))</f>
        <v/>
      </c>
      <c r="X750" s="8" t="str">
        <f>IF($A750="","",TRIM(INDEX(FORM!$M:$M,ROW())&amp;""))</f>
        <v/>
      </c>
      <c r="Y750" s="8" t="str">
        <f>IF($A750="","",IFERROR(MATCH(F750,DATA!$AH$2:$AH$5,0),9)*10000+A750)</f>
        <v/>
      </c>
      <c r="Z750" s="8" t="str">
        <f t="shared" si="243"/>
        <v/>
      </c>
      <c r="AA750" s="8" t="str">
        <f t="shared" si="244"/>
        <v/>
      </c>
      <c r="AB750" s="8" t="str">
        <f t="shared" si="245"/>
        <v/>
      </c>
      <c r="AC750" s="8"/>
      <c r="AD750" s="8"/>
      <c r="AE750" s="8"/>
      <c r="AK750" s="5" t="str">
        <f t="shared" si="246"/>
        <v/>
      </c>
      <c r="AL750" s="5" t="str">
        <f t="shared" si="247"/>
        <v/>
      </c>
      <c r="AM750" s="5" t="str">
        <f t="shared" si="248"/>
        <v/>
      </c>
      <c r="AN750" s="5" t="str">
        <f t="shared" si="249"/>
        <v/>
      </c>
      <c r="AO750" s="5" t="str">
        <f t="shared" si="250"/>
        <v/>
      </c>
      <c r="AP750" s="5" t="str">
        <f t="shared" si="251"/>
        <v/>
      </c>
      <c r="AQ750" s="5" t="str">
        <f t="shared" si="252"/>
        <v/>
      </c>
      <c r="AR750" s="5" t="str">
        <f t="shared" si="253"/>
        <v/>
      </c>
      <c r="AS750" s="5" t="str">
        <f t="shared" si="254"/>
        <v/>
      </c>
      <c r="AT750" s="5" t="str">
        <f t="shared" si="255"/>
        <v/>
      </c>
      <c r="AU750" s="5" t="str">
        <f t="shared" si="256"/>
        <v/>
      </c>
      <c r="AV750" s="5" t="str">
        <f t="shared" si="257"/>
        <v/>
      </c>
      <c r="AW750" s="5" t="str">
        <f t="shared" si="258"/>
        <v/>
      </c>
      <c r="AX750" s="5" t="str">
        <f t="shared" si="259"/>
        <v/>
      </c>
      <c r="AY750" s="5" t="str">
        <f t="shared" si="260"/>
        <v/>
      </c>
      <c r="AZ750" s="5" t="str">
        <f t="shared" si="261"/>
        <v/>
      </c>
      <c r="BA750" s="5" t="str">
        <f t="shared" si="262"/>
        <v/>
      </c>
      <c r="BB750" s="5" t="str">
        <f t="shared" si="263"/>
        <v/>
      </c>
    </row>
    <row r="751" spans="1:54" s="5" customFormat="1" hidden="1">
      <c r="A751" s="8" t="str">
        <f>IF(INDEX(FORM!$A:$A,ROW())="","",ROW()-1)</f>
        <v/>
      </c>
      <c r="B751" s="41" t="str">
        <f>IF($A751="","",INDEX(FORM!$A:$A,ROW()))</f>
        <v/>
      </c>
      <c r="C751" s="8" t="str">
        <f>IF($A751="","",TRIM(INDEX(FORM!$B:$B,ROW())))</f>
        <v/>
      </c>
      <c r="D751" s="8" t="str">
        <f>IF($A751="","",TRIM(INDEX(FORM!$C:$C,ROW())&amp;""))</f>
        <v/>
      </c>
      <c r="E751" s="8" t="str">
        <f>IF($A751="","",UPPER(TRIM(INDEX(FORM!$D:$D,ROW()))))</f>
        <v/>
      </c>
      <c r="F751" s="8" t="str">
        <f>IF($A751="","",IFERROR(INDEX(PROGRES!$A$2:$A$92,MATCH(E751,PROGRES!$B$2:$B$92,0)),"-"))</f>
        <v/>
      </c>
      <c r="G751" s="8" t="str">
        <f>IF($A751="","",UPPER(TRIM(INDEX(FORM!$F:$F,ROW()))))</f>
        <v/>
      </c>
      <c r="H751" s="8" t="str">
        <f>IF($A751="","",UPPER(TRIM(INDEX(FORM!$E:$E,ROW()))))</f>
        <v/>
      </c>
      <c r="I751" s="8" t="str">
        <f>IF($A751="","",UPPER(TRIM(INDEX(FORM!$G:$G,ROW()))))</f>
        <v/>
      </c>
      <c r="J751" s="8" t="str">
        <f>IF($A751="","",IF(ISNUMBER(SEARCH("Ya,",INDEX(FORM!$H:$H,ROW()))),"YA",IF(ISNUMBER(SEARCH("Cukup,",INDEX(FORM!$H:$H,ROW()))),"CUKUP",IF(ISNUMBER(SEARCH("Kurang,",INDEX(FORM!$H:$H,ROW()))),"KURANG",""))))</f>
        <v/>
      </c>
      <c r="K751" s="8" t="str">
        <f>IF($A751="","",UPPER(TRIM(INDEX(FORM!$J:$J,ROW()))))</f>
        <v/>
      </c>
      <c r="L751" s="8" t="str">
        <f>IF($A751="","",IF(ISNUMBER(SEARCH("Aktivitas Harian",INDEX(FORM!$K:$K,ROW()))),1,0))</f>
        <v/>
      </c>
      <c r="M751" s="8" t="str">
        <f>IF($A751="","",IF(ISNUMBER(SEARCH("Aktivitas Mingguan",INDEX(FORM!$K:$K,ROW()))),1,0))</f>
        <v/>
      </c>
      <c r="N751" s="8" t="str">
        <f>IF($A751="","",IF(ISNUMBER(SEARCH("Aktivitas Bulanan",INDEX(FORM!$K:$K,ROW()))),1,0))</f>
        <v/>
      </c>
      <c r="O751" s="8" t="str">
        <f>IF($A751="","",IF(ISNUMBER(SEARCH("Overview Cabang",INDEX(FORM!$K:$K,ROW()))),1,0))</f>
        <v/>
      </c>
      <c r="P751" s="8" t="str">
        <f>IF($A751="","",IFERROR(VLOOKUP(I751,DATA!$AH$9:$AI$13,2,0),""))</f>
        <v/>
      </c>
      <c r="Q751" s="8" t="str">
        <f>IF($A751="","",IFERROR(VLOOKUP(J751,DATA!$AH$9:$AI$13,2,0),""))</f>
        <v/>
      </c>
      <c r="R751" s="8" t="str">
        <f>IF($A751="","",IFERROR(VLOOKUP(K751,DATA!$AH$9:$AI$13,2,0),""))</f>
        <v/>
      </c>
      <c r="S751" s="42" t="str">
        <f t="shared" si="242"/>
        <v/>
      </c>
      <c r="T751" s="8" t="str">
        <f>IF($A751="","",IF(COUNTIF($D$2:D751,D751)=1,1,0))</f>
        <v/>
      </c>
      <c r="U751" s="8" t="str">
        <f>IF($A751="","",IF(F751="-","Cabang tdk ada",IF(IFERROR(VLOOKUP(G751,#REF!,1,0),"")="","",IF(INDEX(DATA!$AH$2:$AH$5,MATCH(G751,DATA!$AI$2:$AI$5,0))&lt;&gt;F751,"Wilayah beda","OK"))))</f>
        <v/>
      </c>
      <c r="V751" s="8" t="str">
        <f>IF($A751="","",TRIM(INDEX(FORM!$I:$I,ROW())&amp;""))</f>
        <v/>
      </c>
      <c r="W751" s="8" t="str">
        <f>IF($A751="","",TRIM(INDEX(FORM!$L:$L,ROW())&amp;""))</f>
        <v/>
      </c>
      <c r="X751" s="8" t="str">
        <f>IF($A751="","",TRIM(INDEX(FORM!$M:$M,ROW())&amp;""))</f>
        <v/>
      </c>
      <c r="Y751" s="8" t="str">
        <f>IF($A751="","",IFERROR(MATCH(F751,DATA!$AH$2:$AH$5,0),9)*10000+A751)</f>
        <v/>
      </c>
      <c r="Z751" s="8" t="str">
        <f t="shared" si="243"/>
        <v/>
      </c>
      <c r="AA751" s="8" t="str">
        <f t="shared" si="244"/>
        <v/>
      </c>
      <c r="AB751" s="8" t="str">
        <f t="shared" si="245"/>
        <v/>
      </c>
      <c r="AC751" s="8"/>
      <c r="AD751" s="8"/>
      <c r="AE751" s="8"/>
      <c r="AK751" s="5" t="str">
        <f t="shared" si="246"/>
        <v/>
      </c>
      <c r="AL751" s="5" t="str">
        <f t="shared" si="247"/>
        <v/>
      </c>
      <c r="AM751" s="5" t="str">
        <f t="shared" si="248"/>
        <v/>
      </c>
      <c r="AN751" s="5" t="str">
        <f t="shared" si="249"/>
        <v/>
      </c>
      <c r="AO751" s="5" t="str">
        <f t="shared" si="250"/>
        <v/>
      </c>
      <c r="AP751" s="5" t="str">
        <f t="shared" si="251"/>
        <v/>
      </c>
      <c r="AQ751" s="5" t="str">
        <f t="shared" si="252"/>
        <v/>
      </c>
      <c r="AR751" s="5" t="str">
        <f t="shared" si="253"/>
        <v/>
      </c>
      <c r="AS751" s="5" t="str">
        <f t="shared" si="254"/>
        <v/>
      </c>
      <c r="AT751" s="5" t="str">
        <f t="shared" si="255"/>
        <v/>
      </c>
      <c r="AU751" s="5" t="str">
        <f t="shared" si="256"/>
        <v/>
      </c>
      <c r="AV751" s="5" t="str">
        <f t="shared" si="257"/>
        <v/>
      </c>
      <c r="AW751" s="5" t="str">
        <f t="shared" si="258"/>
        <v/>
      </c>
      <c r="AX751" s="5" t="str">
        <f t="shared" si="259"/>
        <v/>
      </c>
      <c r="AY751" s="5" t="str">
        <f t="shared" si="260"/>
        <v/>
      </c>
      <c r="AZ751" s="5" t="str">
        <f t="shared" si="261"/>
        <v/>
      </c>
      <c r="BA751" s="5" t="str">
        <f t="shared" si="262"/>
        <v/>
      </c>
      <c r="BB751" s="5" t="str">
        <f t="shared" si="263"/>
        <v/>
      </c>
    </row>
    <row r="752" spans="1:54" s="5" customFormat="1" hidden="1">
      <c r="A752" s="8" t="str">
        <f>IF(INDEX(FORM!$A:$A,ROW())="","",ROW()-1)</f>
        <v/>
      </c>
      <c r="B752" s="41" t="str">
        <f>IF($A752="","",INDEX(FORM!$A:$A,ROW()))</f>
        <v/>
      </c>
      <c r="C752" s="8" t="str">
        <f>IF($A752="","",TRIM(INDEX(FORM!$B:$B,ROW())))</f>
        <v/>
      </c>
      <c r="D752" s="8" t="str">
        <f>IF($A752="","",TRIM(INDEX(FORM!$C:$C,ROW())&amp;""))</f>
        <v/>
      </c>
      <c r="E752" s="8" t="str">
        <f>IF($A752="","",UPPER(TRIM(INDEX(FORM!$D:$D,ROW()))))</f>
        <v/>
      </c>
      <c r="F752" s="8" t="str">
        <f>IF($A752="","",IFERROR(INDEX(PROGRES!$A$2:$A$92,MATCH(E752,PROGRES!$B$2:$B$92,0)),"-"))</f>
        <v/>
      </c>
      <c r="G752" s="8" t="str">
        <f>IF($A752="","",UPPER(TRIM(INDEX(FORM!$F:$F,ROW()))))</f>
        <v/>
      </c>
      <c r="H752" s="8" t="str">
        <f>IF($A752="","",UPPER(TRIM(INDEX(FORM!$E:$E,ROW()))))</f>
        <v/>
      </c>
      <c r="I752" s="8" t="str">
        <f>IF($A752="","",UPPER(TRIM(INDEX(FORM!$G:$G,ROW()))))</f>
        <v/>
      </c>
      <c r="J752" s="8" t="str">
        <f>IF($A752="","",IF(ISNUMBER(SEARCH("Ya,",INDEX(FORM!$H:$H,ROW()))),"YA",IF(ISNUMBER(SEARCH("Cukup,",INDEX(FORM!$H:$H,ROW()))),"CUKUP",IF(ISNUMBER(SEARCH("Kurang,",INDEX(FORM!$H:$H,ROW()))),"KURANG",""))))</f>
        <v/>
      </c>
      <c r="K752" s="8" t="str">
        <f>IF($A752="","",UPPER(TRIM(INDEX(FORM!$J:$J,ROW()))))</f>
        <v/>
      </c>
      <c r="L752" s="8" t="str">
        <f>IF($A752="","",IF(ISNUMBER(SEARCH("Aktivitas Harian",INDEX(FORM!$K:$K,ROW()))),1,0))</f>
        <v/>
      </c>
      <c r="M752" s="8" t="str">
        <f>IF($A752="","",IF(ISNUMBER(SEARCH("Aktivitas Mingguan",INDEX(FORM!$K:$K,ROW()))),1,0))</f>
        <v/>
      </c>
      <c r="N752" s="8" t="str">
        <f>IF($A752="","",IF(ISNUMBER(SEARCH("Aktivitas Bulanan",INDEX(FORM!$K:$K,ROW()))),1,0))</f>
        <v/>
      </c>
      <c r="O752" s="8" t="str">
        <f>IF($A752="","",IF(ISNUMBER(SEARCH("Overview Cabang",INDEX(FORM!$K:$K,ROW()))),1,0))</f>
        <v/>
      </c>
      <c r="P752" s="8" t="str">
        <f>IF($A752="","",IFERROR(VLOOKUP(I752,DATA!$AH$9:$AI$13,2,0),""))</f>
        <v/>
      </c>
      <c r="Q752" s="8" t="str">
        <f>IF($A752="","",IFERROR(VLOOKUP(J752,DATA!$AH$9:$AI$13,2,0),""))</f>
        <v/>
      </c>
      <c r="R752" s="8" t="str">
        <f>IF($A752="","",IFERROR(VLOOKUP(K752,DATA!$AH$9:$AI$13,2,0),""))</f>
        <v/>
      </c>
      <c r="S752" s="42" t="str">
        <f t="shared" si="242"/>
        <v/>
      </c>
      <c r="T752" s="8" t="str">
        <f>IF($A752="","",IF(COUNTIF($D$2:D752,D752)=1,1,0))</f>
        <v/>
      </c>
      <c r="U752" s="8" t="str">
        <f>IF($A752="","",IF(F752="-","Cabang tdk ada",IF(IFERROR(VLOOKUP(G752,#REF!,1,0),"")="","",IF(INDEX(DATA!$AH$2:$AH$5,MATCH(G752,DATA!$AI$2:$AI$5,0))&lt;&gt;F752,"Wilayah beda","OK"))))</f>
        <v/>
      </c>
      <c r="V752" s="8" t="str">
        <f>IF($A752="","",TRIM(INDEX(FORM!$I:$I,ROW())&amp;""))</f>
        <v/>
      </c>
      <c r="W752" s="8" t="str">
        <f>IF($A752="","",TRIM(INDEX(FORM!$L:$L,ROW())&amp;""))</f>
        <v/>
      </c>
      <c r="X752" s="8" t="str">
        <f>IF($A752="","",TRIM(INDEX(FORM!$M:$M,ROW())&amp;""))</f>
        <v/>
      </c>
      <c r="Y752" s="8" t="str">
        <f>IF($A752="","",IFERROR(MATCH(F752,DATA!$AH$2:$AH$5,0),9)*10000+A752)</f>
        <v/>
      </c>
      <c r="Z752" s="8" t="str">
        <f t="shared" si="243"/>
        <v/>
      </c>
      <c r="AA752" s="8" t="str">
        <f t="shared" si="244"/>
        <v/>
      </c>
      <c r="AB752" s="8" t="str">
        <f t="shared" si="245"/>
        <v/>
      </c>
      <c r="AC752" s="8"/>
      <c r="AD752" s="8"/>
      <c r="AE752" s="8"/>
      <c r="AK752" s="5" t="str">
        <f t="shared" si="246"/>
        <v/>
      </c>
      <c r="AL752" s="5" t="str">
        <f t="shared" si="247"/>
        <v/>
      </c>
      <c r="AM752" s="5" t="str">
        <f t="shared" si="248"/>
        <v/>
      </c>
      <c r="AN752" s="5" t="str">
        <f t="shared" si="249"/>
        <v/>
      </c>
      <c r="AO752" s="5" t="str">
        <f t="shared" si="250"/>
        <v/>
      </c>
      <c r="AP752" s="5" t="str">
        <f t="shared" si="251"/>
        <v/>
      </c>
      <c r="AQ752" s="5" t="str">
        <f t="shared" si="252"/>
        <v/>
      </c>
      <c r="AR752" s="5" t="str">
        <f t="shared" si="253"/>
        <v/>
      </c>
      <c r="AS752" s="5" t="str">
        <f t="shared" si="254"/>
        <v/>
      </c>
      <c r="AT752" s="5" t="str">
        <f t="shared" si="255"/>
        <v/>
      </c>
      <c r="AU752" s="5" t="str">
        <f t="shared" si="256"/>
        <v/>
      </c>
      <c r="AV752" s="5" t="str">
        <f t="shared" si="257"/>
        <v/>
      </c>
      <c r="AW752" s="5" t="str">
        <f t="shared" si="258"/>
        <v/>
      </c>
      <c r="AX752" s="5" t="str">
        <f t="shared" si="259"/>
        <v/>
      </c>
      <c r="AY752" s="5" t="str">
        <f t="shared" si="260"/>
        <v/>
      </c>
      <c r="AZ752" s="5" t="str">
        <f t="shared" si="261"/>
        <v/>
      </c>
      <c r="BA752" s="5" t="str">
        <f t="shared" si="262"/>
        <v/>
      </c>
      <c r="BB752" s="5" t="str">
        <f t="shared" si="263"/>
        <v/>
      </c>
    </row>
    <row r="753" spans="1:54" s="5" customFormat="1" hidden="1">
      <c r="A753" s="8" t="str">
        <f>IF(INDEX(FORM!$A:$A,ROW())="","",ROW()-1)</f>
        <v/>
      </c>
      <c r="B753" s="41" t="str">
        <f>IF($A753="","",INDEX(FORM!$A:$A,ROW()))</f>
        <v/>
      </c>
      <c r="C753" s="8" t="str">
        <f>IF($A753="","",TRIM(INDEX(FORM!$B:$B,ROW())))</f>
        <v/>
      </c>
      <c r="D753" s="8" t="str">
        <f>IF($A753="","",TRIM(INDEX(FORM!$C:$C,ROW())&amp;""))</f>
        <v/>
      </c>
      <c r="E753" s="8" t="str">
        <f>IF($A753="","",UPPER(TRIM(INDEX(FORM!$D:$D,ROW()))))</f>
        <v/>
      </c>
      <c r="F753" s="8" t="str">
        <f>IF($A753="","",IFERROR(INDEX(PROGRES!$A$2:$A$92,MATCH(E753,PROGRES!$B$2:$B$92,0)),"-"))</f>
        <v/>
      </c>
      <c r="G753" s="8" t="str">
        <f>IF($A753="","",UPPER(TRIM(INDEX(FORM!$F:$F,ROW()))))</f>
        <v/>
      </c>
      <c r="H753" s="8" t="str">
        <f>IF($A753="","",UPPER(TRIM(INDEX(FORM!$E:$E,ROW()))))</f>
        <v/>
      </c>
      <c r="I753" s="8" t="str">
        <f>IF($A753="","",UPPER(TRIM(INDEX(FORM!$G:$G,ROW()))))</f>
        <v/>
      </c>
      <c r="J753" s="8" t="str">
        <f>IF($A753="","",IF(ISNUMBER(SEARCH("Ya,",INDEX(FORM!$H:$H,ROW()))),"YA",IF(ISNUMBER(SEARCH("Cukup,",INDEX(FORM!$H:$H,ROW()))),"CUKUP",IF(ISNUMBER(SEARCH("Kurang,",INDEX(FORM!$H:$H,ROW()))),"KURANG",""))))</f>
        <v/>
      </c>
      <c r="K753" s="8" t="str">
        <f>IF($A753="","",UPPER(TRIM(INDEX(FORM!$J:$J,ROW()))))</f>
        <v/>
      </c>
      <c r="L753" s="8" t="str">
        <f>IF($A753="","",IF(ISNUMBER(SEARCH("Aktivitas Harian",INDEX(FORM!$K:$K,ROW()))),1,0))</f>
        <v/>
      </c>
      <c r="M753" s="8" t="str">
        <f>IF($A753="","",IF(ISNUMBER(SEARCH("Aktivitas Mingguan",INDEX(FORM!$K:$K,ROW()))),1,0))</f>
        <v/>
      </c>
      <c r="N753" s="8" t="str">
        <f>IF($A753="","",IF(ISNUMBER(SEARCH("Aktivitas Bulanan",INDEX(FORM!$K:$K,ROW()))),1,0))</f>
        <v/>
      </c>
      <c r="O753" s="8" t="str">
        <f>IF($A753="","",IF(ISNUMBER(SEARCH("Overview Cabang",INDEX(FORM!$K:$K,ROW()))),1,0))</f>
        <v/>
      </c>
      <c r="P753" s="8" t="str">
        <f>IF($A753="","",IFERROR(VLOOKUP(I753,DATA!$AH$9:$AI$13,2,0),""))</f>
        <v/>
      </c>
      <c r="Q753" s="8" t="str">
        <f>IF($A753="","",IFERROR(VLOOKUP(J753,DATA!$AH$9:$AI$13,2,0),""))</f>
        <v/>
      </c>
      <c r="R753" s="8" t="str">
        <f>IF($A753="","",IFERROR(VLOOKUP(K753,DATA!$AH$9:$AI$13,2,0),""))</f>
        <v/>
      </c>
      <c r="S753" s="42" t="str">
        <f t="shared" si="242"/>
        <v/>
      </c>
      <c r="T753" s="8" t="str">
        <f>IF($A753="","",IF(COUNTIF($D$2:D753,D753)=1,1,0))</f>
        <v/>
      </c>
      <c r="U753" s="8" t="str">
        <f>IF($A753="","",IF(F753="-","Cabang tdk ada",IF(IFERROR(VLOOKUP(G753,#REF!,1,0),"")="","",IF(INDEX(DATA!$AH$2:$AH$5,MATCH(G753,DATA!$AI$2:$AI$5,0))&lt;&gt;F753,"Wilayah beda","OK"))))</f>
        <v/>
      </c>
      <c r="V753" s="8" t="str">
        <f>IF($A753="","",TRIM(INDEX(FORM!$I:$I,ROW())&amp;""))</f>
        <v/>
      </c>
      <c r="W753" s="8" t="str">
        <f>IF($A753="","",TRIM(INDEX(FORM!$L:$L,ROW())&amp;""))</f>
        <v/>
      </c>
      <c r="X753" s="8" t="str">
        <f>IF($A753="","",TRIM(INDEX(FORM!$M:$M,ROW())&amp;""))</f>
        <v/>
      </c>
      <c r="Y753" s="8" t="str">
        <f>IF($A753="","",IFERROR(MATCH(F753,DATA!$AH$2:$AH$5,0),9)*10000+A753)</f>
        <v/>
      </c>
      <c r="Z753" s="8" t="str">
        <f t="shared" si="243"/>
        <v/>
      </c>
      <c r="AA753" s="8" t="str">
        <f t="shared" si="244"/>
        <v/>
      </c>
      <c r="AB753" s="8" t="str">
        <f t="shared" si="245"/>
        <v/>
      </c>
      <c r="AC753" s="8"/>
      <c r="AD753" s="8"/>
      <c r="AE753" s="8"/>
      <c r="AK753" s="5" t="str">
        <f t="shared" si="246"/>
        <v/>
      </c>
      <c r="AL753" s="5" t="str">
        <f t="shared" si="247"/>
        <v/>
      </c>
      <c r="AM753" s="5" t="str">
        <f t="shared" si="248"/>
        <v/>
      </c>
      <c r="AN753" s="5" t="str">
        <f t="shared" si="249"/>
        <v/>
      </c>
      <c r="AO753" s="5" t="str">
        <f t="shared" si="250"/>
        <v/>
      </c>
      <c r="AP753" s="5" t="str">
        <f t="shared" si="251"/>
        <v/>
      </c>
      <c r="AQ753" s="5" t="str">
        <f t="shared" si="252"/>
        <v/>
      </c>
      <c r="AR753" s="5" t="str">
        <f t="shared" si="253"/>
        <v/>
      </c>
      <c r="AS753" s="5" t="str">
        <f t="shared" si="254"/>
        <v/>
      </c>
      <c r="AT753" s="5" t="str">
        <f t="shared" si="255"/>
        <v/>
      </c>
      <c r="AU753" s="5" t="str">
        <f t="shared" si="256"/>
        <v/>
      </c>
      <c r="AV753" s="5" t="str">
        <f t="shared" si="257"/>
        <v/>
      </c>
      <c r="AW753" s="5" t="str">
        <f t="shared" si="258"/>
        <v/>
      </c>
      <c r="AX753" s="5" t="str">
        <f t="shared" si="259"/>
        <v/>
      </c>
      <c r="AY753" s="5" t="str">
        <f t="shared" si="260"/>
        <v/>
      </c>
      <c r="AZ753" s="5" t="str">
        <f t="shared" si="261"/>
        <v/>
      </c>
      <c r="BA753" s="5" t="str">
        <f t="shared" si="262"/>
        <v/>
      </c>
      <c r="BB753" s="5" t="str">
        <f t="shared" si="263"/>
        <v/>
      </c>
    </row>
    <row r="754" spans="1:54" s="5" customFormat="1" hidden="1">
      <c r="A754" s="8" t="str">
        <f>IF(INDEX(FORM!$A:$A,ROW())="","",ROW()-1)</f>
        <v/>
      </c>
      <c r="B754" s="41" t="str">
        <f>IF($A754="","",INDEX(FORM!$A:$A,ROW()))</f>
        <v/>
      </c>
      <c r="C754" s="8" t="str">
        <f>IF($A754="","",TRIM(INDEX(FORM!$B:$B,ROW())))</f>
        <v/>
      </c>
      <c r="D754" s="8" t="str">
        <f>IF($A754="","",TRIM(INDEX(FORM!$C:$C,ROW())&amp;""))</f>
        <v/>
      </c>
      <c r="E754" s="8" t="str">
        <f>IF($A754="","",UPPER(TRIM(INDEX(FORM!$D:$D,ROW()))))</f>
        <v/>
      </c>
      <c r="F754" s="8" t="str">
        <f>IF($A754="","",IFERROR(INDEX(PROGRES!$A$2:$A$92,MATCH(E754,PROGRES!$B$2:$B$92,0)),"-"))</f>
        <v/>
      </c>
      <c r="G754" s="8" t="str">
        <f>IF($A754="","",UPPER(TRIM(INDEX(FORM!$F:$F,ROW()))))</f>
        <v/>
      </c>
      <c r="H754" s="8" t="str">
        <f>IF($A754="","",UPPER(TRIM(INDEX(FORM!$E:$E,ROW()))))</f>
        <v/>
      </c>
      <c r="I754" s="8" t="str">
        <f>IF($A754="","",UPPER(TRIM(INDEX(FORM!$G:$G,ROW()))))</f>
        <v/>
      </c>
      <c r="J754" s="8" t="str">
        <f>IF($A754="","",IF(ISNUMBER(SEARCH("Ya,",INDEX(FORM!$H:$H,ROW()))),"YA",IF(ISNUMBER(SEARCH("Cukup,",INDEX(FORM!$H:$H,ROW()))),"CUKUP",IF(ISNUMBER(SEARCH("Kurang,",INDEX(FORM!$H:$H,ROW()))),"KURANG",""))))</f>
        <v/>
      </c>
      <c r="K754" s="8" t="str">
        <f>IF($A754="","",UPPER(TRIM(INDEX(FORM!$J:$J,ROW()))))</f>
        <v/>
      </c>
      <c r="L754" s="8" t="str">
        <f>IF($A754="","",IF(ISNUMBER(SEARCH("Aktivitas Harian",INDEX(FORM!$K:$K,ROW()))),1,0))</f>
        <v/>
      </c>
      <c r="M754" s="8" t="str">
        <f>IF($A754="","",IF(ISNUMBER(SEARCH("Aktivitas Mingguan",INDEX(FORM!$K:$K,ROW()))),1,0))</f>
        <v/>
      </c>
      <c r="N754" s="8" t="str">
        <f>IF($A754="","",IF(ISNUMBER(SEARCH("Aktivitas Bulanan",INDEX(FORM!$K:$K,ROW()))),1,0))</f>
        <v/>
      </c>
      <c r="O754" s="8" t="str">
        <f>IF($A754="","",IF(ISNUMBER(SEARCH("Overview Cabang",INDEX(FORM!$K:$K,ROW()))),1,0))</f>
        <v/>
      </c>
      <c r="P754" s="8" t="str">
        <f>IF($A754="","",IFERROR(VLOOKUP(I754,DATA!$AH$9:$AI$13,2,0),""))</f>
        <v/>
      </c>
      <c r="Q754" s="8" t="str">
        <f>IF($A754="","",IFERROR(VLOOKUP(J754,DATA!$AH$9:$AI$13,2,0),""))</f>
        <v/>
      </c>
      <c r="R754" s="8" t="str">
        <f>IF($A754="","",IFERROR(VLOOKUP(K754,DATA!$AH$9:$AI$13,2,0),""))</f>
        <v/>
      </c>
      <c r="S754" s="42" t="str">
        <f t="shared" si="242"/>
        <v/>
      </c>
      <c r="T754" s="8" t="str">
        <f>IF($A754="","",IF(COUNTIF($D$2:D754,D754)=1,1,0))</f>
        <v/>
      </c>
      <c r="U754" s="8" t="str">
        <f>IF($A754="","",IF(F754="-","Cabang tdk ada",IF(IFERROR(VLOOKUP(G754,#REF!,1,0),"")="","",IF(INDEX(DATA!$AH$2:$AH$5,MATCH(G754,DATA!$AI$2:$AI$5,0))&lt;&gt;F754,"Wilayah beda","OK"))))</f>
        <v/>
      </c>
      <c r="V754" s="8" t="str">
        <f>IF($A754="","",TRIM(INDEX(FORM!$I:$I,ROW())&amp;""))</f>
        <v/>
      </c>
      <c r="W754" s="8" t="str">
        <f>IF($A754="","",TRIM(INDEX(FORM!$L:$L,ROW())&amp;""))</f>
        <v/>
      </c>
      <c r="X754" s="8" t="str">
        <f>IF($A754="","",TRIM(INDEX(FORM!$M:$M,ROW())&amp;""))</f>
        <v/>
      </c>
      <c r="Y754" s="8" t="str">
        <f>IF($A754="","",IFERROR(MATCH(F754,DATA!$AH$2:$AH$5,0),9)*10000+A754)</f>
        <v/>
      </c>
      <c r="Z754" s="8" t="str">
        <f t="shared" si="243"/>
        <v/>
      </c>
      <c r="AA754" s="8" t="str">
        <f t="shared" si="244"/>
        <v/>
      </c>
      <c r="AB754" s="8" t="str">
        <f t="shared" si="245"/>
        <v/>
      </c>
      <c r="AC754" s="8"/>
      <c r="AD754" s="8"/>
      <c r="AE754" s="8"/>
      <c r="AK754" s="5" t="str">
        <f t="shared" si="246"/>
        <v/>
      </c>
      <c r="AL754" s="5" t="str">
        <f t="shared" si="247"/>
        <v/>
      </c>
      <c r="AM754" s="5" t="str">
        <f t="shared" si="248"/>
        <v/>
      </c>
      <c r="AN754" s="5" t="str">
        <f t="shared" si="249"/>
        <v/>
      </c>
      <c r="AO754" s="5" t="str">
        <f t="shared" si="250"/>
        <v/>
      </c>
      <c r="AP754" s="5" t="str">
        <f t="shared" si="251"/>
        <v/>
      </c>
      <c r="AQ754" s="5" t="str">
        <f t="shared" si="252"/>
        <v/>
      </c>
      <c r="AR754" s="5" t="str">
        <f t="shared" si="253"/>
        <v/>
      </c>
      <c r="AS754" s="5" t="str">
        <f t="shared" si="254"/>
        <v/>
      </c>
      <c r="AT754" s="5" t="str">
        <f t="shared" si="255"/>
        <v/>
      </c>
      <c r="AU754" s="5" t="str">
        <f t="shared" si="256"/>
        <v/>
      </c>
      <c r="AV754" s="5" t="str">
        <f t="shared" si="257"/>
        <v/>
      </c>
      <c r="AW754" s="5" t="str">
        <f t="shared" si="258"/>
        <v/>
      </c>
      <c r="AX754" s="5" t="str">
        <f t="shared" si="259"/>
        <v/>
      </c>
      <c r="AY754" s="5" t="str">
        <f t="shared" si="260"/>
        <v/>
      </c>
      <c r="AZ754" s="5" t="str">
        <f t="shared" si="261"/>
        <v/>
      </c>
      <c r="BA754" s="5" t="str">
        <f t="shared" si="262"/>
        <v/>
      </c>
      <c r="BB754" s="5" t="str">
        <f t="shared" si="263"/>
        <v/>
      </c>
    </row>
    <row r="755" spans="1:54" s="5" customFormat="1" hidden="1">
      <c r="A755" s="8" t="str">
        <f>IF(INDEX(FORM!$A:$A,ROW())="","",ROW()-1)</f>
        <v/>
      </c>
      <c r="B755" s="41" t="str">
        <f>IF($A755="","",INDEX(FORM!$A:$A,ROW()))</f>
        <v/>
      </c>
      <c r="C755" s="8" t="str">
        <f>IF($A755="","",TRIM(INDEX(FORM!$B:$B,ROW())))</f>
        <v/>
      </c>
      <c r="D755" s="8" t="str">
        <f>IF($A755="","",TRIM(INDEX(FORM!$C:$C,ROW())&amp;""))</f>
        <v/>
      </c>
      <c r="E755" s="8" t="str">
        <f>IF($A755="","",UPPER(TRIM(INDEX(FORM!$D:$D,ROW()))))</f>
        <v/>
      </c>
      <c r="F755" s="8" t="str">
        <f>IF($A755="","",IFERROR(INDEX(PROGRES!$A$2:$A$92,MATCH(E755,PROGRES!$B$2:$B$92,0)),"-"))</f>
        <v/>
      </c>
      <c r="G755" s="8" t="str">
        <f>IF($A755="","",UPPER(TRIM(INDEX(FORM!$F:$F,ROW()))))</f>
        <v/>
      </c>
      <c r="H755" s="8" t="str">
        <f>IF($A755="","",UPPER(TRIM(INDEX(FORM!$E:$E,ROW()))))</f>
        <v/>
      </c>
      <c r="I755" s="8" t="str">
        <f>IF($A755="","",UPPER(TRIM(INDEX(FORM!$G:$G,ROW()))))</f>
        <v/>
      </c>
      <c r="J755" s="8" t="str">
        <f>IF($A755="","",IF(ISNUMBER(SEARCH("Ya,",INDEX(FORM!$H:$H,ROW()))),"YA",IF(ISNUMBER(SEARCH("Cukup,",INDEX(FORM!$H:$H,ROW()))),"CUKUP",IF(ISNUMBER(SEARCH("Kurang,",INDEX(FORM!$H:$H,ROW()))),"KURANG",""))))</f>
        <v/>
      </c>
      <c r="K755" s="8" t="str">
        <f>IF($A755="","",UPPER(TRIM(INDEX(FORM!$J:$J,ROW()))))</f>
        <v/>
      </c>
      <c r="L755" s="8" t="str">
        <f>IF($A755="","",IF(ISNUMBER(SEARCH("Aktivitas Harian",INDEX(FORM!$K:$K,ROW()))),1,0))</f>
        <v/>
      </c>
      <c r="M755" s="8" t="str">
        <f>IF($A755="","",IF(ISNUMBER(SEARCH("Aktivitas Mingguan",INDEX(FORM!$K:$K,ROW()))),1,0))</f>
        <v/>
      </c>
      <c r="N755" s="8" t="str">
        <f>IF($A755="","",IF(ISNUMBER(SEARCH("Aktivitas Bulanan",INDEX(FORM!$K:$K,ROW()))),1,0))</f>
        <v/>
      </c>
      <c r="O755" s="8" t="str">
        <f>IF($A755="","",IF(ISNUMBER(SEARCH("Overview Cabang",INDEX(FORM!$K:$K,ROW()))),1,0))</f>
        <v/>
      </c>
      <c r="P755" s="8" t="str">
        <f>IF($A755="","",IFERROR(VLOOKUP(I755,DATA!$AH$9:$AI$13,2,0),""))</f>
        <v/>
      </c>
      <c r="Q755" s="8" t="str">
        <f>IF($A755="","",IFERROR(VLOOKUP(J755,DATA!$AH$9:$AI$13,2,0),""))</f>
        <v/>
      </c>
      <c r="R755" s="8" t="str">
        <f>IF($A755="","",IFERROR(VLOOKUP(K755,DATA!$AH$9:$AI$13,2,0),""))</f>
        <v/>
      </c>
      <c r="S755" s="42" t="str">
        <f t="shared" si="242"/>
        <v/>
      </c>
      <c r="T755" s="8" t="str">
        <f>IF($A755="","",IF(COUNTIF($D$2:D755,D755)=1,1,0))</f>
        <v/>
      </c>
      <c r="U755" s="8" t="str">
        <f>IF($A755="","",IF(F755="-","Cabang tdk ada",IF(IFERROR(VLOOKUP(G755,#REF!,1,0),"")="","",IF(INDEX(DATA!$AH$2:$AH$5,MATCH(G755,DATA!$AI$2:$AI$5,0))&lt;&gt;F755,"Wilayah beda","OK"))))</f>
        <v/>
      </c>
      <c r="V755" s="8" t="str">
        <f>IF($A755="","",TRIM(INDEX(FORM!$I:$I,ROW())&amp;""))</f>
        <v/>
      </c>
      <c r="W755" s="8" t="str">
        <f>IF($A755="","",TRIM(INDEX(FORM!$L:$L,ROW())&amp;""))</f>
        <v/>
      </c>
      <c r="X755" s="8" t="str">
        <f>IF($A755="","",TRIM(INDEX(FORM!$M:$M,ROW())&amp;""))</f>
        <v/>
      </c>
      <c r="Y755" s="8" t="str">
        <f>IF($A755="","",IFERROR(MATCH(F755,DATA!$AH$2:$AH$5,0),9)*10000+A755)</f>
        <v/>
      </c>
      <c r="Z755" s="8" t="str">
        <f t="shared" si="243"/>
        <v/>
      </c>
      <c r="AA755" s="8" t="str">
        <f t="shared" si="244"/>
        <v/>
      </c>
      <c r="AB755" s="8" t="str">
        <f t="shared" si="245"/>
        <v/>
      </c>
      <c r="AC755" s="8"/>
      <c r="AD755" s="8"/>
      <c r="AE755" s="8"/>
      <c r="AK755" s="5" t="str">
        <f t="shared" si="246"/>
        <v/>
      </c>
      <c r="AL755" s="5" t="str">
        <f t="shared" si="247"/>
        <v/>
      </c>
      <c r="AM755" s="5" t="str">
        <f t="shared" si="248"/>
        <v/>
      </c>
      <c r="AN755" s="5" t="str">
        <f t="shared" si="249"/>
        <v/>
      </c>
      <c r="AO755" s="5" t="str">
        <f t="shared" si="250"/>
        <v/>
      </c>
      <c r="AP755" s="5" t="str">
        <f t="shared" si="251"/>
        <v/>
      </c>
      <c r="AQ755" s="5" t="str">
        <f t="shared" si="252"/>
        <v/>
      </c>
      <c r="AR755" s="5" t="str">
        <f t="shared" si="253"/>
        <v/>
      </c>
      <c r="AS755" s="5" t="str">
        <f t="shared" si="254"/>
        <v/>
      </c>
      <c r="AT755" s="5" t="str">
        <f t="shared" si="255"/>
        <v/>
      </c>
      <c r="AU755" s="5" t="str">
        <f t="shared" si="256"/>
        <v/>
      </c>
      <c r="AV755" s="5" t="str">
        <f t="shared" si="257"/>
        <v/>
      </c>
      <c r="AW755" s="5" t="str">
        <f t="shared" si="258"/>
        <v/>
      </c>
      <c r="AX755" s="5" t="str">
        <f t="shared" si="259"/>
        <v/>
      </c>
      <c r="AY755" s="5" t="str">
        <f t="shared" si="260"/>
        <v/>
      </c>
      <c r="AZ755" s="5" t="str">
        <f t="shared" si="261"/>
        <v/>
      </c>
      <c r="BA755" s="5" t="str">
        <f t="shared" si="262"/>
        <v/>
      </c>
      <c r="BB755" s="5" t="str">
        <f t="shared" si="263"/>
        <v/>
      </c>
    </row>
    <row r="756" spans="1:54" s="5" customFormat="1" hidden="1">
      <c r="A756" s="8" t="str">
        <f>IF(INDEX(FORM!$A:$A,ROW())="","",ROW()-1)</f>
        <v/>
      </c>
      <c r="B756" s="41" t="str">
        <f>IF($A756="","",INDEX(FORM!$A:$A,ROW()))</f>
        <v/>
      </c>
      <c r="C756" s="8" t="str">
        <f>IF($A756="","",TRIM(INDEX(FORM!$B:$B,ROW())))</f>
        <v/>
      </c>
      <c r="D756" s="8" t="str">
        <f>IF($A756="","",TRIM(INDEX(FORM!$C:$C,ROW())&amp;""))</f>
        <v/>
      </c>
      <c r="E756" s="8" t="str">
        <f>IF($A756="","",UPPER(TRIM(INDEX(FORM!$D:$D,ROW()))))</f>
        <v/>
      </c>
      <c r="F756" s="8" t="str">
        <f>IF($A756="","",IFERROR(INDEX(PROGRES!$A$2:$A$92,MATCH(E756,PROGRES!$B$2:$B$92,0)),"-"))</f>
        <v/>
      </c>
      <c r="G756" s="8" t="str">
        <f>IF($A756="","",UPPER(TRIM(INDEX(FORM!$F:$F,ROW()))))</f>
        <v/>
      </c>
      <c r="H756" s="8" t="str">
        <f>IF($A756="","",UPPER(TRIM(INDEX(FORM!$E:$E,ROW()))))</f>
        <v/>
      </c>
      <c r="I756" s="8" t="str">
        <f>IF($A756="","",UPPER(TRIM(INDEX(FORM!$G:$G,ROW()))))</f>
        <v/>
      </c>
      <c r="J756" s="8" t="str">
        <f>IF($A756="","",IF(ISNUMBER(SEARCH("Ya,",INDEX(FORM!$H:$H,ROW()))),"YA",IF(ISNUMBER(SEARCH("Cukup,",INDEX(FORM!$H:$H,ROW()))),"CUKUP",IF(ISNUMBER(SEARCH("Kurang,",INDEX(FORM!$H:$H,ROW()))),"KURANG",""))))</f>
        <v/>
      </c>
      <c r="K756" s="8" t="str">
        <f>IF($A756="","",UPPER(TRIM(INDEX(FORM!$J:$J,ROW()))))</f>
        <v/>
      </c>
      <c r="L756" s="8" t="str">
        <f>IF($A756="","",IF(ISNUMBER(SEARCH("Aktivitas Harian",INDEX(FORM!$K:$K,ROW()))),1,0))</f>
        <v/>
      </c>
      <c r="M756" s="8" t="str">
        <f>IF($A756="","",IF(ISNUMBER(SEARCH("Aktivitas Mingguan",INDEX(FORM!$K:$K,ROW()))),1,0))</f>
        <v/>
      </c>
      <c r="N756" s="8" t="str">
        <f>IF($A756="","",IF(ISNUMBER(SEARCH("Aktivitas Bulanan",INDEX(FORM!$K:$K,ROW()))),1,0))</f>
        <v/>
      </c>
      <c r="O756" s="8" t="str">
        <f>IF($A756="","",IF(ISNUMBER(SEARCH("Overview Cabang",INDEX(FORM!$K:$K,ROW()))),1,0))</f>
        <v/>
      </c>
      <c r="P756" s="8" t="str">
        <f>IF($A756="","",IFERROR(VLOOKUP(I756,DATA!$AH$9:$AI$13,2,0),""))</f>
        <v/>
      </c>
      <c r="Q756" s="8" t="str">
        <f>IF($A756="","",IFERROR(VLOOKUP(J756,DATA!$AH$9:$AI$13,2,0),""))</f>
        <v/>
      </c>
      <c r="R756" s="8" t="str">
        <f>IF($A756="","",IFERROR(VLOOKUP(K756,DATA!$AH$9:$AI$13,2,0),""))</f>
        <v/>
      </c>
      <c r="S756" s="42" t="str">
        <f t="shared" si="242"/>
        <v/>
      </c>
      <c r="T756" s="8" t="str">
        <f>IF($A756="","",IF(COUNTIF($D$2:D756,D756)=1,1,0))</f>
        <v/>
      </c>
      <c r="U756" s="8" t="str">
        <f>IF($A756="","",IF(F756="-","Cabang tdk ada",IF(IFERROR(VLOOKUP(G756,#REF!,1,0),"")="","",IF(INDEX(DATA!$AH$2:$AH$5,MATCH(G756,DATA!$AI$2:$AI$5,0))&lt;&gt;F756,"Wilayah beda","OK"))))</f>
        <v/>
      </c>
      <c r="V756" s="8" t="str">
        <f>IF($A756="","",TRIM(INDEX(FORM!$I:$I,ROW())&amp;""))</f>
        <v/>
      </c>
      <c r="W756" s="8" t="str">
        <f>IF($A756="","",TRIM(INDEX(FORM!$L:$L,ROW())&amp;""))</f>
        <v/>
      </c>
      <c r="X756" s="8" t="str">
        <f>IF($A756="","",TRIM(INDEX(FORM!$M:$M,ROW())&amp;""))</f>
        <v/>
      </c>
      <c r="Y756" s="8" t="str">
        <f>IF($A756="","",IFERROR(MATCH(F756,DATA!$AH$2:$AH$5,0),9)*10000+A756)</f>
        <v/>
      </c>
      <c r="Z756" s="8" t="str">
        <f t="shared" si="243"/>
        <v/>
      </c>
      <c r="AA756" s="8" t="str">
        <f t="shared" si="244"/>
        <v/>
      </c>
      <c r="AB756" s="8" t="str">
        <f t="shared" si="245"/>
        <v/>
      </c>
      <c r="AC756" s="8"/>
      <c r="AD756" s="8"/>
      <c r="AE756" s="8"/>
      <c r="AK756" s="5" t="str">
        <f t="shared" si="246"/>
        <v/>
      </c>
      <c r="AL756" s="5" t="str">
        <f t="shared" si="247"/>
        <v/>
      </c>
      <c r="AM756" s="5" t="str">
        <f t="shared" si="248"/>
        <v/>
      </c>
      <c r="AN756" s="5" t="str">
        <f t="shared" si="249"/>
        <v/>
      </c>
      <c r="AO756" s="5" t="str">
        <f t="shared" si="250"/>
        <v/>
      </c>
      <c r="AP756" s="5" t="str">
        <f t="shared" si="251"/>
        <v/>
      </c>
      <c r="AQ756" s="5" t="str">
        <f t="shared" si="252"/>
        <v/>
      </c>
      <c r="AR756" s="5" t="str">
        <f t="shared" si="253"/>
        <v/>
      </c>
      <c r="AS756" s="5" t="str">
        <f t="shared" si="254"/>
        <v/>
      </c>
      <c r="AT756" s="5" t="str">
        <f t="shared" si="255"/>
        <v/>
      </c>
      <c r="AU756" s="5" t="str">
        <f t="shared" si="256"/>
        <v/>
      </c>
      <c r="AV756" s="5" t="str">
        <f t="shared" si="257"/>
        <v/>
      </c>
      <c r="AW756" s="5" t="str">
        <f t="shared" si="258"/>
        <v/>
      </c>
      <c r="AX756" s="5" t="str">
        <f t="shared" si="259"/>
        <v/>
      </c>
      <c r="AY756" s="5" t="str">
        <f t="shared" si="260"/>
        <v/>
      </c>
      <c r="AZ756" s="5" t="str">
        <f t="shared" si="261"/>
        <v/>
      </c>
      <c r="BA756" s="5" t="str">
        <f t="shared" si="262"/>
        <v/>
      </c>
      <c r="BB756" s="5" t="str">
        <f t="shared" si="263"/>
        <v/>
      </c>
    </row>
    <row r="757" spans="1:54" s="5" customFormat="1" hidden="1">
      <c r="A757" s="8" t="str">
        <f>IF(INDEX(FORM!$A:$A,ROW())="","",ROW()-1)</f>
        <v/>
      </c>
      <c r="B757" s="41" t="str">
        <f>IF($A757="","",INDEX(FORM!$A:$A,ROW()))</f>
        <v/>
      </c>
      <c r="C757" s="8" t="str">
        <f>IF($A757="","",TRIM(INDEX(FORM!$B:$B,ROW())))</f>
        <v/>
      </c>
      <c r="D757" s="8" t="str">
        <f>IF($A757="","",TRIM(INDEX(FORM!$C:$C,ROW())&amp;""))</f>
        <v/>
      </c>
      <c r="E757" s="8" t="str">
        <f>IF($A757="","",UPPER(TRIM(INDEX(FORM!$D:$D,ROW()))))</f>
        <v/>
      </c>
      <c r="F757" s="8" t="str">
        <f>IF($A757="","",IFERROR(INDEX(PROGRES!$A$2:$A$92,MATCH(E757,PROGRES!$B$2:$B$92,0)),"-"))</f>
        <v/>
      </c>
      <c r="G757" s="8" t="str">
        <f>IF($A757="","",UPPER(TRIM(INDEX(FORM!$F:$F,ROW()))))</f>
        <v/>
      </c>
      <c r="H757" s="8" t="str">
        <f>IF($A757="","",UPPER(TRIM(INDEX(FORM!$E:$E,ROW()))))</f>
        <v/>
      </c>
      <c r="I757" s="8" t="str">
        <f>IF($A757="","",UPPER(TRIM(INDEX(FORM!$G:$G,ROW()))))</f>
        <v/>
      </c>
      <c r="J757" s="8" t="str">
        <f>IF($A757="","",IF(ISNUMBER(SEARCH("Ya,",INDEX(FORM!$H:$H,ROW()))),"YA",IF(ISNUMBER(SEARCH("Cukup,",INDEX(FORM!$H:$H,ROW()))),"CUKUP",IF(ISNUMBER(SEARCH("Kurang,",INDEX(FORM!$H:$H,ROW()))),"KURANG",""))))</f>
        <v/>
      </c>
      <c r="K757" s="8" t="str">
        <f>IF($A757="","",UPPER(TRIM(INDEX(FORM!$J:$J,ROW()))))</f>
        <v/>
      </c>
      <c r="L757" s="8" t="str">
        <f>IF($A757="","",IF(ISNUMBER(SEARCH("Aktivitas Harian",INDEX(FORM!$K:$K,ROW()))),1,0))</f>
        <v/>
      </c>
      <c r="M757" s="8" t="str">
        <f>IF($A757="","",IF(ISNUMBER(SEARCH("Aktivitas Mingguan",INDEX(FORM!$K:$K,ROW()))),1,0))</f>
        <v/>
      </c>
      <c r="N757" s="8" t="str">
        <f>IF($A757="","",IF(ISNUMBER(SEARCH("Aktivitas Bulanan",INDEX(FORM!$K:$K,ROW()))),1,0))</f>
        <v/>
      </c>
      <c r="O757" s="8" t="str">
        <f>IF($A757="","",IF(ISNUMBER(SEARCH("Overview Cabang",INDEX(FORM!$K:$K,ROW()))),1,0))</f>
        <v/>
      </c>
      <c r="P757" s="8" t="str">
        <f>IF($A757="","",IFERROR(VLOOKUP(I757,DATA!$AH$9:$AI$13,2,0),""))</f>
        <v/>
      </c>
      <c r="Q757" s="8" t="str">
        <f>IF($A757="","",IFERROR(VLOOKUP(J757,DATA!$AH$9:$AI$13,2,0),""))</f>
        <v/>
      </c>
      <c r="R757" s="8" t="str">
        <f>IF($A757="","",IFERROR(VLOOKUP(K757,DATA!$AH$9:$AI$13,2,0),""))</f>
        <v/>
      </c>
      <c r="S757" s="42" t="str">
        <f t="shared" si="242"/>
        <v/>
      </c>
      <c r="T757" s="8" t="str">
        <f>IF($A757="","",IF(COUNTIF($D$2:D757,D757)=1,1,0))</f>
        <v/>
      </c>
      <c r="U757" s="8" t="str">
        <f>IF($A757="","",IF(F757="-","Cabang tdk ada",IF(IFERROR(VLOOKUP(G757,#REF!,1,0),"")="","",IF(INDEX(DATA!$AH$2:$AH$5,MATCH(G757,DATA!$AI$2:$AI$5,0))&lt;&gt;F757,"Wilayah beda","OK"))))</f>
        <v/>
      </c>
      <c r="V757" s="8" t="str">
        <f>IF($A757="","",TRIM(INDEX(FORM!$I:$I,ROW())&amp;""))</f>
        <v/>
      </c>
      <c r="W757" s="8" t="str">
        <f>IF($A757="","",TRIM(INDEX(FORM!$L:$L,ROW())&amp;""))</f>
        <v/>
      </c>
      <c r="X757" s="8" t="str">
        <f>IF($A757="","",TRIM(INDEX(FORM!$M:$M,ROW())&amp;""))</f>
        <v/>
      </c>
      <c r="Y757" s="8" t="str">
        <f>IF($A757="","",IFERROR(MATCH(F757,DATA!$AH$2:$AH$5,0),9)*10000+A757)</f>
        <v/>
      </c>
      <c r="Z757" s="8" t="str">
        <f t="shared" si="243"/>
        <v/>
      </c>
      <c r="AA757" s="8" t="str">
        <f t="shared" si="244"/>
        <v/>
      </c>
      <c r="AB757" s="8" t="str">
        <f t="shared" si="245"/>
        <v/>
      </c>
      <c r="AC757" s="8"/>
      <c r="AD757" s="8"/>
      <c r="AE757" s="8"/>
      <c r="AK757" s="5" t="str">
        <f t="shared" si="246"/>
        <v/>
      </c>
      <c r="AL757" s="5" t="str">
        <f t="shared" si="247"/>
        <v/>
      </c>
      <c r="AM757" s="5" t="str">
        <f t="shared" si="248"/>
        <v/>
      </c>
      <c r="AN757" s="5" t="str">
        <f t="shared" si="249"/>
        <v/>
      </c>
      <c r="AO757" s="5" t="str">
        <f t="shared" si="250"/>
        <v/>
      </c>
      <c r="AP757" s="5" t="str">
        <f t="shared" si="251"/>
        <v/>
      </c>
      <c r="AQ757" s="5" t="str">
        <f t="shared" si="252"/>
        <v/>
      </c>
      <c r="AR757" s="5" t="str">
        <f t="shared" si="253"/>
        <v/>
      </c>
      <c r="AS757" s="5" t="str">
        <f t="shared" si="254"/>
        <v/>
      </c>
      <c r="AT757" s="5" t="str">
        <f t="shared" si="255"/>
        <v/>
      </c>
      <c r="AU757" s="5" t="str">
        <f t="shared" si="256"/>
        <v/>
      </c>
      <c r="AV757" s="5" t="str">
        <f t="shared" si="257"/>
        <v/>
      </c>
      <c r="AW757" s="5" t="str">
        <f t="shared" si="258"/>
        <v/>
      </c>
      <c r="AX757" s="5" t="str">
        <f t="shared" si="259"/>
        <v/>
      </c>
      <c r="AY757" s="5" t="str">
        <f t="shared" si="260"/>
        <v/>
      </c>
      <c r="AZ757" s="5" t="str">
        <f t="shared" si="261"/>
        <v/>
      </c>
      <c r="BA757" s="5" t="str">
        <f t="shared" si="262"/>
        <v/>
      </c>
      <c r="BB757" s="5" t="str">
        <f t="shared" si="263"/>
        <v/>
      </c>
    </row>
    <row r="758" spans="1:54" s="5" customFormat="1" hidden="1">
      <c r="A758" s="8" t="str">
        <f>IF(INDEX(FORM!$A:$A,ROW())="","",ROW()-1)</f>
        <v/>
      </c>
      <c r="B758" s="41" t="str">
        <f>IF($A758="","",INDEX(FORM!$A:$A,ROW()))</f>
        <v/>
      </c>
      <c r="C758" s="8" t="str">
        <f>IF($A758="","",TRIM(INDEX(FORM!$B:$B,ROW())))</f>
        <v/>
      </c>
      <c r="D758" s="8" t="str">
        <f>IF($A758="","",TRIM(INDEX(FORM!$C:$C,ROW())&amp;""))</f>
        <v/>
      </c>
      <c r="E758" s="8" t="str">
        <f>IF($A758="","",UPPER(TRIM(INDEX(FORM!$D:$D,ROW()))))</f>
        <v/>
      </c>
      <c r="F758" s="8" t="str">
        <f>IF($A758="","",IFERROR(INDEX(PROGRES!$A$2:$A$92,MATCH(E758,PROGRES!$B$2:$B$92,0)),"-"))</f>
        <v/>
      </c>
      <c r="G758" s="8" t="str">
        <f>IF($A758="","",UPPER(TRIM(INDEX(FORM!$F:$F,ROW()))))</f>
        <v/>
      </c>
      <c r="H758" s="8" t="str">
        <f>IF($A758="","",UPPER(TRIM(INDEX(FORM!$E:$E,ROW()))))</f>
        <v/>
      </c>
      <c r="I758" s="8" t="str">
        <f>IF($A758="","",UPPER(TRIM(INDEX(FORM!$G:$G,ROW()))))</f>
        <v/>
      </c>
      <c r="J758" s="8" t="str">
        <f>IF($A758="","",IF(ISNUMBER(SEARCH("Ya,",INDEX(FORM!$H:$H,ROW()))),"YA",IF(ISNUMBER(SEARCH("Cukup,",INDEX(FORM!$H:$H,ROW()))),"CUKUP",IF(ISNUMBER(SEARCH("Kurang,",INDEX(FORM!$H:$H,ROW()))),"KURANG",""))))</f>
        <v/>
      </c>
      <c r="K758" s="8" t="str">
        <f>IF($A758="","",UPPER(TRIM(INDEX(FORM!$J:$J,ROW()))))</f>
        <v/>
      </c>
      <c r="L758" s="8" t="str">
        <f>IF($A758="","",IF(ISNUMBER(SEARCH("Aktivitas Harian",INDEX(FORM!$K:$K,ROW()))),1,0))</f>
        <v/>
      </c>
      <c r="M758" s="8" t="str">
        <f>IF($A758="","",IF(ISNUMBER(SEARCH("Aktivitas Mingguan",INDEX(FORM!$K:$K,ROW()))),1,0))</f>
        <v/>
      </c>
      <c r="N758" s="8" t="str">
        <f>IF($A758="","",IF(ISNUMBER(SEARCH("Aktivitas Bulanan",INDEX(FORM!$K:$K,ROW()))),1,0))</f>
        <v/>
      </c>
      <c r="O758" s="8" t="str">
        <f>IF($A758="","",IF(ISNUMBER(SEARCH("Overview Cabang",INDEX(FORM!$K:$K,ROW()))),1,0))</f>
        <v/>
      </c>
      <c r="P758" s="8" t="str">
        <f>IF($A758="","",IFERROR(VLOOKUP(I758,DATA!$AH$9:$AI$13,2,0),""))</f>
        <v/>
      </c>
      <c r="Q758" s="8" t="str">
        <f>IF($A758="","",IFERROR(VLOOKUP(J758,DATA!$AH$9:$AI$13,2,0),""))</f>
        <v/>
      </c>
      <c r="R758" s="8" t="str">
        <f>IF($A758="","",IFERROR(VLOOKUP(K758,DATA!$AH$9:$AI$13,2,0),""))</f>
        <v/>
      </c>
      <c r="S758" s="42" t="str">
        <f t="shared" si="242"/>
        <v/>
      </c>
      <c r="T758" s="8" t="str">
        <f>IF($A758="","",IF(COUNTIF($D$2:D758,D758)=1,1,0))</f>
        <v/>
      </c>
      <c r="U758" s="8" t="str">
        <f>IF($A758="","",IF(F758="-","Cabang tdk ada",IF(IFERROR(VLOOKUP(G758,#REF!,1,0),"")="","",IF(INDEX(DATA!$AH$2:$AH$5,MATCH(G758,DATA!$AI$2:$AI$5,0))&lt;&gt;F758,"Wilayah beda","OK"))))</f>
        <v/>
      </c>
      <c r="V758" s="8" t="str">
        <f>IF($A758="","",TRIM(INDEX(FORM!$I:$I,ROW())&amp;""))</f>
        <v/>
      </c>
      <c r="W758" s="8" t="str">
        <f>IF($A758="","",TRIM(INDEX(FORM!$L:$L,ROW())&amp;""))</f>
        <v/>
      </c>
      <c r="X758" s="8" t="str">
        <f>IF($A758="","",TRIM(INDEX(FORM!$M:$M,ROW())&amp;""))</f>
        <v/>
      </c>
      <c r="Y758" s="8" t="str">
        <f>IF($A758="","",IFERROR(MATCH(F758,DATA!$AH$2:$AH$5,0),9)*10000+A758)</f>
        <v/>
      </c>
      <c r="Z758" s="8" t="str">
        <f t="shared" si="243"/>
        <v/>
      </c>
      <c r="AA758" s="8" t="str">
        <f t="shared" si="244"/>
        <v/>
      </c>
      <c r="AB758" s="8" t="str">
        <f t="shared" si="245"/>
        <v/>
      </c>
      <c r="AC758" s="8"/>
      <c r="AD758" s="8"/>
      <c r="AE758" s="8"/>
      <c r="AK758" s="5" t="str">
        <f t="shared" si="246"/>
        <v/>
      </c>
      <c r="AL758" s="5" t="str">
        <f t="shared" si="247"/>
        <v/>
      </c>
      <c r="AM758" s="5" t="str">
        <f t="shared" si="248"/>
        <v/>
      </c>
      <c r="AN758" s="5" t="str">
        <f t="shared" si="249"/>
        <v/>
      </c>
      <c r="AO758" s="5" t="str">
        <f t="shared" si="250"/>
        <v/>
      </c>
      <c r="AP758" s="5" t="str">
        <f t="shared" si="251"/>
        <v/>
      </c>
      <c r="AQ758" s="5" t="str">
        <f t="shared" si="252"/>
        <v/>
      </c>
      <c r="AR758" s="5" t="str">
        <f t="shared" si="253"/>
        <v/>
      </c>
      <c r="AS758" s="5" t="str">
        <f t="shared" si="254"/>
        <v/>
      </c>
      <c r="AT758" s="5" t="str">
        <f t="shared" si="255"/>
        <v/>
      </c>
      <c r="AU758" s="5" t="str">
        <f t="shared" si="256"/>
        <v/>
      </c>
      <c r="AV758" s="5" t="str">
        <f t="shared" si="257"/>
        <v/>
      </c>
      <c r="AW758" s="5" t="str">
        <f t="shared" si="258"/>
        <v/>
      </c>
      <c r="AX758" s="5" t="str">
        <f t="shared" si="259"/>
        <v/>
      </c>
      <c r="AY758" s="5" t="str">
        <f t="shared" si="260"/>
        <v/>
      </c>
      <c r="AZ758" s="5" t="str">
        <f t="shared" si="261"/>
        <v/>
      </c>
      <c r="BA758" s="5" t="str">
        <f t="shared" si="262"/>
        <v/>
      </c>
      <c r="BB758" s="5" t="str">
        <f t="shared" si="263"/>
        <v/>
      </c>
    </row>
    <row r="759" spans="1:54" s="5" customFormat="1" hidden="1">
      <c r="A759" s="8" t="str">
        <f>IF(INDEX(FORM!$A:$A,ROW())="","",ROW()-1)</f>
        <v/>
      </c>
      <c r="B759" s="41" t="str">
        <f>IF($A759="","",INDEX(FORM!$A:$A,ROW()))</f>
        <v/>
      </c>
      <c r="C759" s="8" t="str">
        <f>IF($A759="","",TRIM(INDEX(FORM!$B:$B,ROW())))</f>
        <v/>
      </c>
      <c r="D759" s="8" t="str">
        <f>IF($A759="","",TRIM(INDEX(FORM!$C:$C,ROW())&amp;""))</f>
        <v/>
      </c>
      <c r="E759" s="8" t="str">
        <f>IF($A759="","",UPPER(TRIM(INDEX(FORM!$D:$D,ROW()))))</f>
        <v/>
      </c>
      <c r="F759" s="8" t="str">
        <f>IF($A759="","",IFERROR(INDEX(PROGRES!$A$2:$A$92,MATCH(E759,PROGRES!$B$2:$B$92,0)),"-"))</f>
        <v/>
      </c>
      <c r="G759" s="8" t="str">
        <f>IF($A759="","",UPPER(TRIM(INDEX(FORM!$F:$F,ROW()))))</f>
        <v/>
      </c>
      <c r="H759" s="8" t="str">
        <f>IF($A759="","",UPPER(TRIM(INDEX(FORM!$E:$E,ROW()))))</f>
        <v/>
      </c>
      <c r="I759" s="8" t="str">
        <f>IF($A759="","",UPPER(TRIM(INDEX(FORM!$G:$G,ROW()))))</f>
        <v/>
      </c>
      <c r="J759" s="8" t="str">
        <f>IF($A759="","",IF(ISNUMBER(SEARCH("Ya,",INDEX(FORM!$H:$H,ROW()))),"YA",IF(ISNUMBER(SEARCH("Cukup,",INDEX(FORM!$H:$H,ROW()))),"CUKUP",IF(ISNUMBER(SEARCH("Kurang,",INDEX(FORM!$H:$H,ROW()))),"KURANG",""))))</f>
        <v/>
      </c>
      <c r="K759" s="8" t="str">
        <f>IF($A759="","",UPPER(TRIM(INDEX(FORM!$J:$J,ROW()))))</f>
        <v/>
      </c>
      <c r="L759" s="8" t="str">
        <f>IF($A759="","",IF(ISNUMBER(SEARCH("Aktivitas Harian",INDEX(FORM!$K:$K,ROW()))),1,0))</f>
        <v/>
      </c>
      <c r="M759" s="8" t="str">
        <f>IF($A759="","",IF(ISNUMBER(SEARCH("Aktivitas Mingguan",INDEX(FORM!$K:$K,ROW()))),1,0))</f>
        <v/>
      </c>
      <c r="N759" s="8" t="str">
        <f>IF($A759="","",IF(ISNUMBER(SEARCH("Aktivitas Bulanan",INDEX(FORM!$K:$K,ROW()))),1,0))</f>
        <v/>
      </c>
      <c r="O759" s="8" t="str">
        <f>IF($A759="","",IF(ISNUMBER(SEARCH("Overview Cabang",INDEX(FORM!$K:$K,ROW()))),1,0))</f>
        <v/>
      </c>
      <c r="P759" s="8" t="str">
        <f>IF($A759="","",IFERROR(VLOOKUP(I759,DATA!$AH$9:$AI$13,2,0),""))</f>
        <v/>
      </c>
      <c r="Q759" s="8" t="str">
        <f>IF($A759="","",IFERROR(VLOOKUP(J759,DATA!$AH$9:$AI$13,2,0),""))</f>
        <v/>
      </c>
      <c r="R759" s="8" t="str">
        <f>IF($A759="","",IFERROR(VLOOKUP(K759,DATA!$AH$9:$AI$13,2,0),""))</f>
        <v/>
      </c>
      <c r="S759" s="42" t="str">
        <f t="shared" si="242"/>
        <v/>
      </c>
      <c r="T759" s="8" t="str">
        <f>IF($A759="","",IF(COUNTIF($D$2:D759,D759)=1,1,0))</f>
        <v/>
      </c>
      <c r="U759" s="8" t="str">
        <f>IF($A759="","",IF(F759="-","Cabang tdk ada",IF(IFERROR(VLOOKUP(G759,#REF!,1,0),"")="","",IF(INDEX(DATA!$AH$2:$AH$5,MATCH(G759,DATA!$AI$2:$AI$5,0))&lt;&gt;F759,"Wilayah beda","OK"))))</f>
        <v/>
      </c>
      <c r="V759" s="8" t="str">
        <f>IF($A759="","",TRIM(INDEX(FORM!$I:$I,ROW())&amp;""))</f>
        <v/>
      </c>
      <c r="W759" s="8" t="str">
        <f>IF($A759="","",TRIM(INDEX(FORM!$L:$L,ROW())&amp;""))</f>
        <v/>
      </c>
      <c r="X759" s="8" t="str">
        <f>IF($A759="","",TRIM(INDEX(FORM!$M:$M,ROW())&amp;""))</f>
        <v/>
      </c>
      <c r="Y759" s="8" t="str">
        <f>IF($A759="","",IFERROR(MATCH(F759,DATA!$AH$2:$AH$5,0),9)*10000+A759)</f>
        <v/>
      </c>
      <c r="Z759" s="8" t="str">
        <f t="shared" si="243"/>
        <v/>
      </c>
      <c r="AA759" s="8" t="str">
        <f t="shared" si="244"/>
        <v/>
      </c>
      <c r="AB759" s="8" t="str">
        <f t="shared" si="245"/>
        <v/>
      </c>
      <c r="AC759" s="8"/>
      <c r="AD759" s="8"/>
      <c r="AE759" s="8"/>
      <c r="AK759" s="5" t="str">
        <f t="shared" si="246"/>
        <v/>
      </c>
      <c r="AL759" s="5" t="str">
        <f t="shared" si="247"/>
        <v/>
      </c>
      <c r="AM759" s="5" t="str">
        <f t="shared" si="248"/>
        <v/>
      </c>
      <c r="AN759" s="5" t="str">
        <f t="shared" si="249"/>
        <v/>
      </c>
      <c r="AO759" s="5" t="str">
        <f t="shared" si="250"/>
        <v/>
      </c>
      <c r="AP759" s="5" t="str">
        <f t="shared" si="251"/>
        <v/>
      </c>
      <c r="AQ759" s="5" t="str">
        <f t="shared" si="252"/>
        <v/>
      </c>
      <c r="AR759" s="5" t="str">
        <f t="shared" si="253"/>
        <v/>
      </c>
      <c r="AS759" s="5" t="str">
        <f t="shared" si="254"/>
        <v/>
      </c>
      <c r="AT759" s="5" t="str">
        <f t="shared" si="255"/>
        <v/>
      </c>
      <c r="AU759" s="5" t="str">
        <f t="shared" si="256"/>
        <v/>
      </c>
      <c r="AV759" s="5" t="str">
        <f t="shared" si="257"/>
        <v/>
      </c>
      <c r="AW759" s="5" t="str">
        <f t="shared" si="258"/>
        <v/>
      </c>
      <c r="AX759" s="5" t="str">
        <f t="shared" si="259"/>
        <v/>
      </c>
      <c r="AY759" s="5" t="str">
        <f t="shared" si="260"/>
        <v/>
      </c>
      <c r="AZ759" s="5" t="str">
        <f t="shared" si="261"/>
        <v/>
      </c>
      <c r="BA759" s="5" t="str">
        <f t="shared" si="262"/>
        <v/>
      </c>
      <c r="BB759" s="5" t="str">
        <f t="shared" si="263"/>
        <v/>
      </c>
    </row>
    <row r="760" spans="1:54" s="5" customFormat="1" hidden="1">
      <c r="A760" s="8" t="str">
        <f>IF(INDEX(FORM!$A:$A,ROW())="","",ROW()-1)</f>
        <v/>
      </c>
      <c r="B760" s="41" t="str">
        <f>IF($A760="","",INDEX(FORM!$A:$A,ROW()))</f>
        <v/>
      </c>
      <c r="C760" s="8" t="str">
        <f>IF($A760="","",TRIM(INDEX(FORM!$B:$B,ROW())))</f>
        <v/>
      </c>
      <c r="D760" s="8" t="str">
        <f>IF($A760="","",TRIM(INDEX(FORM!$C:$C,ROW())&amp;""))</f>
        <v/>
      </c>
      <c r="E760" s="8" t="str">
        <f>IF($A760="","",UPPER(TRIM(INDEX(FORM!$D:$D,ROW()))))</f>
        <v/>
      </c>
      <c r="F760" s="8" t="str">
        <f>IF($A760="","",IFERROR(INDEX(PROGRES!$A$2:$A$92,MATCH(E760,PROGRES!$B$2:$B$92,0)),"-"))</f>
        <v/>
      </c>
      <c r="G760" s="8" t="str">
        <f>IF($A760="","",UPPER(TRIM(INDEX(FORM!$F:$F,ROW()))))</f>
        <v/>
      </c>
      <c r="H760" s="8" t="str">
        <f>IF($A760="","",UPPER(TRIM(INDEX(FORM!$E:$E,ROW()))))</f>
        <v/>
      </c>
      <c r="I760" s="8" t="str">
        <f>IF($A760="","",UPPER(TRIM(INDEX(FORM!$G:$G,ROW()))))</f>
        <v/>
      </c>
      <c r="J760" s="8" t="str">
        <f>IF($A760="","",IF(ISNUMBER(SEARCH("Ya,",INDEX(FORM!$H:$H,ROW()))),"YA",IF(ISNUMBER(SEARCH("Cukup,",INDEX(FORM!$H:$H,ROW()))),"CUKUP",IF(ISNUMBER(SEARCH("Kurang,",INDEX(FORM!$H:$H,ROW()))),"KURANG",""))))</f>
        <v/>
      </c>
      <c r="K760" s="8" t="str">
        <f>IF($A760="","",UPPER(TRIM(INDEX(FORM!$J:$J,ROW()))))</f>
        <v/>
      </c>
      <c r="L760" s="8" t="str">
        <f>IF($A760="","",IF(ISNUMBER(SEARCH("Aktivitas Harian",INDEX(FORM!$K:$K,ROW()))),1,0))</f>
        <v/>
      </c>
      <c r="M760" s="8" t="str">
        <f>IF($A760="","",IF(ISNUMBER(SEARCH("Aktivitas Mingguan",INDEX(FORM!$K:$K,ROW()))),1,0))</f>
        <v/>
      </c>
      <c r="N760" s="8" t="str">
        <f>IF($A760="","",IF(ISNUMBER(SEARCH("Aktivitas Bulanan",INDEX(FORM!$K:$K,ROW()))),1,0))</f>
        <v/>
      </c>
      <c r="O760" s="8" t="str">
        <f>IF($A760="","",IF(ISNUMBER(SEARCH("Overview Cabang",INDEX(FORM!$K:$K,ROW()))),1,0))</f>
        <v/>
      </c>
      <c r="P760" s="8" t="str">
        <f>IF($A760="","",IFERROR(VLOOKUP(I760,DATA!$AH$9:$AI$13,2,0),""))</f>
        <v/>
      </c>
      <c r="Q760" s="8" t="str">
        <f>IF($A760="","",IFERROR(VLOOKUP(J760,DATA!$AH$9:$AI$13,2,0),""))</f>
        <v/>
      </c>
      <c r="R760" s="8" t="str">
        <f>IF($A760="","",IFERROR(VLOOKUP(K760,DATA!$AH$9:$AI$13,2,0),""))</f>
        <v/>
      </c>
      <c r="S760" s="42" t="str">
        <f t="shared" si="242"/>
        <v/>
      </c>
      <c r="T760" s="8" t="str">
        <f>IF($A760="","",IF(COUNTIF($D$2:D760,D760)=1,1,0))</f>
        <v/>
      </c>
      <c r="U760" s="8" t="str">
        <f>IF($A760="","",IF(F760="-","Cabang tdk ada",IF(IFERROR(VLOOKUP(G760,#REF!,1,0),"")="","",IF(INDEX(DATA!$AH$2:$AH$5,MATCH(G760,DATA!$AI$2:$AI$5,0))&lt;&gt;F760,"Wilayah beda","OK"))))</f>
        <v/>
      </c>
      <c r="V760" s="8" t="str">
        <f>IF($A760="","",TRIM(INDEX(FORM!$I:$I,ROW())&amp;""))</f>
        <v/>
      </c>
      <c r="W760" s="8" t="str">
        <f>IF($A760="","",TRIM(INDEX(FORM!$L:$L,ROW())&amp;""))</f>
        <v/>
      </c>
      <c r="X760" s="8" t="str">
        <f>IF($A760="","",TRIM(INDEX(FORM!$M:$M,ROW())&amp;""))</f>
        <v/>
      </c>
      <c r="Y760" s="8" t="str">
        <f>IF($A760="","",IFERROR(MATCH(F760,DATA!$AH$2:$AH$5,0),9)*10000+A760)</f>
        <v/>
      </c>
      <c r="Z760" s="8" t="str">
        <f t="shared" si="243"/>
        <v/>
      </c>
      <c r="AA760" s="8" t="str">
        <f t="shared" si="244"/>
        <v/>
      </c>
      <c r="AB760" s="8" t="str">
        <f t="shared" si="245"/>
        <v/>
      </c>
      <c r="AC760" s="8"/>
      <c r="AD760" s="8"/>
      <c r="AE760" s="8"/>
      <c r="AK760" s="5" t="str">
        <f t="shared" si="246"/>
        <v/>
      </c>
      <c r="AL760" s="5" t="str">
        <f t="shared" si="247"/>
        <v/>
      </c>
      <c r="AM760" s="5" t="str">
        <f t="shared" si="248"/>
        <v/>
      </c>
      <c r="AN760" s="5" t="str">
        <f t="shared" si="249"/>
        <v/>
      </c>
      <c r="AO760" s="5" t="str">
        <f t="shared" si="250"/>
        <v/>
      </c>
      <c r="AP760" s="5" t="str">
        <f t="shared" si="251"/>
        <v/>
      </c>
      <c r="AQ760" s="5" t="str">
        <f t="shared" si="252"/>
        <v/>
      </c>
      <c r="AR760" s="5" t="str">
        <f t="shared" si="253"/>
        <v/>
      </c>
      <c r="AS760" s="5" t="str">
        <f t="shared" si="254"/>
        <v/>
      </c>
      <c r="AT760" s="5" t="str">
        <f t="shared" si="255"/>
        <v/>
      </c>
      <c r="AU760" s="5" t="str">
        <f t="shared" si="256"/>
        <v/>
      </c>
      <c r="AV760" s="5" t="str">
        <f t="shared" si="257"/>
        <v/>
      </c>
      <c r="AW760" s="5" t="str">
        <f t="shared" si="258"/>
        <v/>
      </c>
      <c r="AX760" s="5" t="str">
        <f t="shared" si="259"/>
        <v/>
      </c>
      <c r="AY760" s="5" t="str">
        <f t="shared" si="260"/>
        <v/>
      </c>
      <c r="AZ760" s="5" t="str">
        <f t="shared" si="261"/>
        <v/>
      </c>
      <c r="BA760" s="5" t="str">
        <f t="shared" si="262"/>
        <v/>
      </c>
      <c r="BB760" s="5" t="str">
        <f t="shared" si="263"/>
        <v/>
      </c>
    </row>
    <row r="761" spans="1:54" s="5" customFormat="1" hidden="1">
      <c r="A761" s="8" t="str">
        <f>IF(INDEX(FORM!$A:$A,ROW())="","",ROW()-1)</f>
        <v/>
      </c>
      <c r="B761" s="41" t="str">
        <f>IF($A761="","",INDEX(FORM!$A:$A,ROW()))</f>
        <v/>
      </c>
      <c r="C761" s="8" t="str">
        <f>IF($A761="","",TRIM(INDEX(FORM!$B:$B,ROW())))</f>
        <v/>
      </c>
      <c r="D761" s="8" t="str">
        <f>IF($A761="","",TRIM(INDEX(FORM!$C:$C,ROW())&amp;""))</f>
        <v/>
      </c>
      <c r="E761" s="8" t="str">
        <f>IF($A761="","",UPPER(TRIM(INDEX(FORM!$D:$D,ROW()))))</f>
        <v/>
      </c>
      <c r="F761" s="8" t="str">
        <f>IF($A761="","",IFERROR(INDEX(PROGRES!$A$2:$A$92,MATCH(E761,PROGRES!$B$2:$B$92,0)),"-"))</f>
        <v/>
      </c>
      <c r="G761" s="8" t="str">
        <f>IF($A761="","",UPPER(TRIM(INDEX(FORM!$F:$F,ROW()))))</f>
        <v/>
      </c>
      <c r="H761" s="8" t="str">
        <f>IF($A761="","",UPPER(TRIM(INDEX(FORM!$E:$E,ROW()))))</f>
        <v/>
      </c>
      <c r="I761" s="8" t="str">
        <f>IF($A761="","",UPPER(TRIM(INDEX(FORM!$G:$G,ROW()))))</f>
        <v/>
      </c>
      <c r="J761" s="8" t="str">
        <f>IF($A761="","",IF(ISNUMBER(SEARCH("Ya,",INDEX(FORM!$H:$H,ROW()))),"YA",IF(ISNUMBER(SEARCH("Cukup,",INDEX(FORM!$H:$H,ROW()))),"CUKUP",IF(ISNUMBER(SEARCH("Kurang,",INDEX(FORM!$H:$H,ROW()))),"KURANG",""))))</f>
        <v/>
      </c>
      <c r="K761" s="8" t="str">
        <f>IF($A761="","",UPPER(TRIM(INDEX(FORM!$J:$J,ROW()))))</f>
        <v/>
      </c>
      <c r="L761" s="8" t="str">
        <f>IF($A761="","",IF(ISNUMBER(SEARCH("Aktivitas Harian",INDEX(FORM!$K:$K,ROW()))),1,0))</f>
        <v/>
      </c>
      <c r="M761" s="8" t="str">
        <f>IF($A761="","",IF(ISNUMBER(SEARCH("Aktivitas Mingguan",INDEX(FORM!$K:$K,ROW()))),1,0))</f>
        <v/>
      </c>
      <c r="N761" s="8" t="str">
        <f>IF($A761="","",IF(ISNUMBER(SEARCH("Aktivitas Bulanan",INDEX(FORM!$K:$K,ROW()))),1,0))</f>
        <v/>
      </c>
      <c r="O761" s="8" t="str">
        <f>IF($A761="","",IF(ISNUMBER(SEARCH("Overview Cabang",INDEX(FORM!$K:$K,ROW()))),1,0))</f>
        <v/>
      </c>
      <c r="P761" s="8" t="str">
        <f>IF($A761="","",IFERROR(VLOOKUP(I761,DATA!$AH$9:$AI$13,2,0),""))</f>
        <v/>
      </c>
      <c r="Q761" s="8" t="str">
        <f>IF($A761="","",IFERROR(VLOOKUP(J761,DATA!$AH$9:$AI$13,2,0),""))</f>
        <v/>
      </c>
      <c r="R761" s="8" t="str">
        <f>IF($A761="","",IFERROR(VLOOKUP(K761,DATA!$AH$9:$AI$13,2,0),""))</f>
        <v/>
      </c>
      <c r="S761" s="42" t="str">
        <f t="shared" si="242"/>
        <v/>
      </c>
      <c r="T761" s="8" t="str">
        <f>IF($A761="","",IF(COUNTIF($D$2:D761,D761)=1,1,0))</f>
        <v/>
      </c>
      <c r="U761" s="8" t="str">
        <f>IF($A761="","",IF(F761="-","Cabang tdk ada",IF(IFERROR(VLOOKUP(G761,#REF!,1,0),"")="","",IF(INDEX(DATA!$AH$2:$AH$5,MATCH(G761,DATA!$AI$2:$AI$5,0))&lt;&gt;F761,"Wilayah beda","OK"))))</f>
        <v/>
      </c>
      <c r="V761" s="8" t="str">
        <f>IF($A761="","",TRIM(INDEX(FORM!$I:$I,ROW())&amp;""))</f>
        <v/>
      </c>
      <c r="W761" s="8" t="str">
        <f>IF($A761="","",TRIM(INDEX(FORM!$L:$L,ROW())&amp;""))</f>
        <v/>
      </c>
      <c r="X761" s="8" t="str">
        <f>IF($A761="","",TRIM(INDEX(FORM!$M:$M,ROW())&amp;""))</f>
        <v/>
      </c>
      <c r="Y761" s="8" t="str">
        <f>IF($A761="","",IFERROR(MATCH(F761,DATA!$AH$2:$AH$5,0),9)*10000+A761)</f>
        <v/>
      </c>
      <c r="Z761" s="8" t="str">
        <f t="shared" si="243"/>
        <v/>
      </c>
      <c r="AA761" s="8" t="str">
        <f t="shared" si="244"/>
        <v/>
      </c>
      <c r="AB761" s="8" t="str">
        <f t="shared" si="245"/>
        <v/>
      </c>
      <c r="AC761" s="8"/>
      <c r="AD761" s="8"/>
      <c r="AE761" s="8"/>
      <c r="AK761" s="5" t="str">
        <f t="shared" si="246"/>
        <v/>
      </c>
      <c r="AL761" s="5" t="str">
        <f t="shared" si="247"/>
        <v/>
      </c>
      <c r="AM761" s="5" t="str">
        <f t="shared" si="248"/>
        <v/>
      </c>
      <c r="AN761" s="5" t="str">
        <f t="shared" si="249"/>
        <v/>
      </c>
      <c r="AO761" s="5" t="str">
        <f t="shared" si="250"/>
        <v/>
      </c>
      <c r="AP761" s="5" t="str">
        <f t="shared" si="251"/>
        <v/>
      </c>
      <c r="AQ761" s="5" t="str">
        <f t="shared" si="252"/>
        <v/>
      </c>
      <c r="AR761" s="5" t="str">
        <f t="shared" si="253"/>
        <v/>
      </c>
      <c r="AS761" s="5" t="str">
        <f t="shared" si="254"/>
        <v/>
      </c>
      <c r="AT761" s="5" t="str">
        <f t="shared" si="255"/>
        <v/>
      </c>
      <c r="AU761" s="5" t="str">
        <f t="shared" si="256"/>
        <v/>
      </c>
      <c r="AV761" s="5" t="str">
        <f t="shared" si="257"/>
        <v/>
      </c>
      <c r="AW761" s="5" t="str">
        <f t="shared" si="258"/>
        <v/>
      </c>
      <c r="AX761" s="5" t="str">
        <f t="shared" si="259"/>
        <v/>
      </c>
      <c r="AY761" s="5" t="str">
        <f t="shared" si="260"/>
        <v/>
      </c>
      <c r="AZ761" s="5" t="str">
        <f t="shared" si="261"/>
        <v/>
      </c>
      <c r="BA761" s="5" t="str">
        <f t="shared" si="262"/>
        <v/>
      </c>
      <c r="BB761" s="5" t="str">
        <f t="shared" si="263"/>
        <v/>
      </c>
    </row>
    <row r="762" spans="1:54" s="5" customFormat="1" hidden="1">
      <c r="A762" s="8" t="str">
        <f>IF(INDEX(FORM!$A:$A,ROW())="","",ROW()-1)</f>
        <v/>
      </c>
      <c r="B762" s="41" t="str">
        <f>IF($A762="","",INDEX(FORM!$A:$A,ROW()))</f>
        <v/>
      </c>
      <c r="C762" s="8" t="str">
        <f>IF($A762="","",TRIM(INDEX(FORM!$B:$B,ROW())))</f>
        <v/>
      </c>
      <c r="D762" s="8" t="str">
        <f>IF($A762="","",TRIM(INDEX(FORM!$C:$C,ROW())&amp;""))</f>
        <v/>
      </c>
      <c r="E762" s="8" t="str">
        <f>IF($A762="","",UPPER(TRIM(INDEX(FORM!$D:$D,ROW()))))</f>
        <v/>
      </c>
      <c r="F762" s="8" t="str">
        <f>IF($A762="","",IFERROR(INDEX(PROGRES!$A$2:$A$92,MATCH(E762,PROGRES!$B$2:$B$92,0)),"-"))</f>
        <v/>
      </c>
      <c r="G762" s="8" t="str">
        <f>IF($A762="","",UPPER(TRIM(INDEX(FORM!$F:$F,ROW()))))</f>
        <v/>
      </c>
      <c r="H762" s="8" t="str">
        <f>IF($A762="","",UPPER(TRIM(INDEX(FORM!$E:$E,ROW()))))</f>
        <v/>
      </c>
      <c r="I762" s="8" t="str">
        <f>IF($A762="","",UPPER(TRIM(INDEX(FORM!$G:$G,ROW()))))</f>
        <v/>
      </c>
      <c r="J762" s="8" t="str">
        <f>IF($A762="","",IF(ISNUMBER(SEARCH("Ya,",INDEX(FORM!$H:$H,ROW()))),"YA",IF(ISNUMBER(SEARCH("Cukup,",INDEX(FORM!$H:$H,ROW()))),"CUKUP",IF(ISNUMBER(SEARCH("Kurang,",INDEX(FORM!$H:$H,ROW()))),"KURANG",""))))</f>
        <v/>
      </c>
      <c r="K762" s="8" t="str">
        <f>IF($A762="","",UPPER(TRIM(INDEX(FORM!$J:$J,ROW()))))</f>
        <v/>
      </c>
      <c r="L762" s="8" t="str">
        <f>IF($A762="","",IF(ISNUMBER(SEARCH("Aktivitas Harian",INDEX(FORM!$K:$K,ROW()))),1,0))</f>
        <v/>
      </c>
      <c r="M762" s="8" t="str">
        <f>IF($A762="","",IF(ISNUMBER(SEARCH("Aktivitas Mingguan",INDEX(FORM!$K:$K,ROW()))),1,0))</f>
        <v/>
      </c>
      <c r="N762" s="8" t="str">
        <f>IF($A762="","",IF(ISNUMBER(SEARCH("Aktivitas Bulanan",INDEX(FORM!$K:$K,ROW()))),1,0))</f>
        <v/>
      </c>
      <c r="O762" s="8" t="str">
        <f>IF($A762="","",IF(ISNUMBER(SEARCH("Overview Cabang",INDEX(FORM!$K:$K,ROW()))),1,0))</f>
        <v/>
      </c>
      <c r="P762" s="8" t="str">
        <f>IF($A762="","",IFERROR(VLOOKUP(I762,DATA!$AH$9:$AI$13,2,0),""))</f>
        <v/>
      </c>
      <c r="Q762" s="8" t="str">
        <f>IF($A762="","",IFERROR(VLOOKUP(J762,DATA!$AH$9:$AI$13,2,0),""))</f>
        <v/>
      </c>
      <c r="R762" s="8" t="str">
        <f>IF($A762="","",IFERROR(VLOOKUP(K762,DATA!$AH$9:$AI$13,2,0),""))</f>
        <v/>
      </c>
      <c r="S762" s="42" t="str">
        <f t="shared" si="242"/>
        <v/>
      </c>
      <c r="T762" s="8" t="str">
        <f>IF($A762="","",IF(COUNTIF($D$2:D762,D762)=1,1,0))</f>
        <v/>
      </c>
      <c r="U762" s="8" t="str">
        <f>IF($A762="","",IF(F762="-","Cabang tdk ada",IF(IFERROR(VLOOKUP(G762,#REF!,1,0),"")="","",IF(INDEX(DATA!$AH$2:$AH$5,MATCH(G762,DATA!$AI$2:$AI$5,0))&lt;&gt;F762,"Wilayah beda","OK"))))</f>
        <v/>
      </c>
      <c r="V762" s="8" t="str">
        <f>IF($A762="","",TRIM(INDEX(FORM!$I:$I,ROW())&amp;""))</f>
        <v/>
      </c>
      <c r="W762" s="8" t="str">
        <f>IF($A762="","",TRIM(INDEX(FORM!$L:$L,ROW())&amp;""))</f>
        <v/>
      </c>
      <c r="X762" s="8" t="str">
        <f>IF($A762="","",TRIM(INDEX(FORM!$M:$M,ROW())&amp;""))</f>
        <v/>
      </c>
      <c r="Y762" s="8" t="str">
        <f>IF($A762="","",IFERROR(MATCH(F762,DATA!$AH$2:$AH$5,0),9)*10000+A762)</f>
        <v/>
      </c>
      <c r="Z762" s="8" t="str">
        <f t="shared" si="243"/>
        <v/>
      </c>
      <c r="AA762" s="8" t="str">
        <f t="shared" si="244"/>
        <v/>
      </c>
      <c r="AB762" s="8" t="str">
        <f t="shared" si="245"/>
        <v/>
      </c>
      <c r="AC762" s="8"/>
      <c r="AD762" s="8"/>
      <c r="AE762" s="8"/>
      <c r="AK762" s="5" t="str">
        <f t="shared" si="246"/>
        <v/>
      </c>
      <c r="AL762" s="5" t="str">
        <f t="shared" si="247"/>
        <v/>
      </c>
      <c r="AM762" s="5" t="str">
        <f t="shared" si="248"/>
        <v/>
      </c>
      <c r="AN762" s="5" t="str">
        <f t="shared" si="249"/>
        <v/>
      </c>
      <c r="AO762" s="5" t="str">
        <f t="shared" si="250"/>
        <v/>
      </c>
      <c r="AP762" s="5" t="str">
        <f t="shared" si="251"/>
        <v/>
      </c>
      <c r="AQ762" s="5" t="str">
        <f t="shared" si="252"/>
        <v/>
      </c>
      <c r="AR762" s="5" t="str">
        <f t="shared" si="253"/>
        <v/>
      </c>
      <c r="AS762" s="5" t="str">
        <f t="shared" si="254"/>
        <v/>
      </c>
      <c r="AT762" s="5" t="str">
        <f t="shared" si="255"/>
        <v/>
      </c>
      <c r="AU762" s="5" t="str">
        <f t="shared" si="256"/>
        <v/>
      </c>
      <c r="AV762" s="5" t="str">
        <f t="shared" si="257"/>
        <v/>
      </c>
      <c r="AW762" s="5" t="str">
        <f t="shared" si="258"/>
        <v/>
      </c>
      <c r="AX762" s="5" t="str">
        <f t="shared" si="259"/>
        <v/>
      </c>
      <c r="AY762" s="5" t="str">
        <f t="shared" si="260"/>
        <v/>
      </c>
      <c r="AZ762" s="5" t="str">
        <f t="shared" si="261"/>
        <v/>
      </c>
      <c r="BA762" s="5" t="str">
        <f t="shared" si="262"/>
        <v/>
      </c>
      <c r="BB762" s="5" t="str">
        <f t="shared" si="263"/>
        <v/>
      </c>
    </row>
    <row r="763" spans="1:54" s="5" customFormat="1" hidden="1">
      <c r="A763" s="8" t="str">
        <f>IF(INDEX(FORM!$A:$A,ROW())="","",ROW()-1)</f>
        <v/>
      </c>
      <c r="B763" s="41" t="str">
        <f>IF($A763="","",INDEX(FORM!$A:$A,ROW()))</f>
        <v/>
      </c>
      <c r="C763" s="8" t="str">
        <f>IF($A763="","",TRIM(INDEX(FORM!$B:$B,ROW())))</f>
        <v/>
      </c>
      <c r="D763" s="8" t="str">
        <f>IF($A763="","",TRIM(INDEX(FORM!$C:$C,ROW())&amp;""))</f>
        <v/>
      </c>
      <c r="E763" s="8" t="str">
        <f>IF($A763="","",UPPER(TRIM(INDEX(FORM!$D:$D,ROW()))))</f>
        <v/>
      </c>
      <c r="F763" s="8" t="str">
        <f>IF($A763="","",IFERROR(INDEX(PROGRES!$A$2:$A$92,MATCH(E763,PROGRES!$B$2:$B$92,0)),"-"))</f>
        <v/>
      </c>
      <c r="G763" s="8" t="str">
        <f>IF($A763="","",UPPER(TRIM(INDEX(FORM!$F:$F,ROW()))))</f>
        <v/>
      </c>
      <c r="H763" s="8" t="str">
        <f>IF($A763="","",UPPER(TRIM(INDEX(FORM!$E:$E,ROW()))))</f>
        <v/>
      </c>
      <c r="I763" s="8" t="str">
        <f>IF($A763="","",UPPER(TRIM(INDEX(FORM!$G:$G,ROW()))))</f>
        <v/>
      </c>
      <c r="J763" s="8" t="str">
        <f>IF($A763="","",IF(ISNUMBER(SEARCH("Ya,",INDEX(FORM!$H:$H,ROW()))),"YA",IF(ISNUMBER(SEARCH("Cukup,",INDEX(FORM!$H:$H,ROW()))),"CUKUP",IF(ISNUMBER(SEARCH("Kurang,",INDEX(FORM!$H:$H,ROW()))),"KURANG",""))))</f>
        <v/>
      </c>
      <c r="K763" s="8" t="str">
        <f>IF($A763="","",UPPER(TRIM(INDEX(FORM!$J:$J,ROW()))))</f>
        <v/>
      </c>
      <c r="L763" s="8" t="str">
        <f>IF($A763="","",IF(ISNUMBER(SEARCH("Aktivitas Harian",INDEX(FORM!$K:$K,ROW()))),1,0))</f>
        <v/>
      </c>
      <c r="M763" s="8" t="str">
        <f>IF($A763="","",IF(ISNUMBER(SEARCH("Aktivitas Mingguan",INDEX(FORM!$K:$K,ROW()))),1,0))</f>
        <v/>
      </c>
      <c r="N763" s="8" t="str">
        <f>IF($A763="","",IF(ISNUMBER(SEARCH("Aktivitas Bulanan",INDEX(FORM!$K:$K,ROW()))),1,0))</f>
        <v/>
      </c>
      <c r="O763" s="8" t="str">
        <f>IF($A763="","",IF(ISNUMBER(SEARCH("Overview Cabang",INDEX(FORM!$K:$K,ROW()))),1,0))</f>
        <v/>
      </c>
      <c r="P763" s="8" t="str">
        <f>IF($A763="","",IFERROR(VLOOKUP(I763,DATA!$AH$9:$AI$13,2,0),""))</f>
        <v/>
      </c>
      <c r="Q763" s="8" t="str">
        <f>IF($A763="","",IFERROR(VLOOKUP(J763,DATA!$AH$9:$AI$13,2,0),""))</f>
        <v/>
      </c>
      <c r="R763" s="8" t="str">
        <f>IF($A763="","",IFERROR(VLOOKUP(K763,DATA!$AH$9:$AI$13,2,0),""))</f>
        <v/>
      </c>
      <c r="S763" s="42" t="str">
        <f t="shared" si="242"/>
        <v/>
      </c>
      <c r="T763" s="8" t="str">
        <f>IF($A763="","",IF(COUNTIF($D$2:D763,D763)=1,1,0))</f>
        <v/>
      </c>
      <c r="U763" s="8" t="str">
        <f>IF($A763="","",IF(F763="-","Cabang tdk ada",IF(IFERROR(VLOOKUP(G763,#REF!,1,0),"")="","",IF(INDEX(DATA!$AH$2:$AH$5,MATCH(G763,DATA!$AI$2:$AI$5,0))&lt;&gt;F763,"Wilayah beda","OK"))))</f>
        <v/>
      </c>
      <c r="V763" s="8" t="str">
        <f>IF($A763="","",TRIM(INDEX(FORM!$I:$I,ROW())&amp;""))</f>
        <v/>
      </c>
      <c r="W763" s="8" t="str">
        <f>IF($A763="","",TRIM(INDEX(FORM!$L:$L,ROW())&amp;""))</f>
        <v/>
      </c>
      <c r="X763" s="8" t="str">
        <f>IF($A763="","",TRIM(INDEX(FORM!$M:$M,ROW())&amp;""))</f>
        <v/>
      </c>
      <c r="Y763" s="8" t="str">
        <f>IF($A763="","",IFERROR(MATCH(F763,DATA!$AH$2:$AH$5,0),9)*10000+A763)</f>
        <v/>
      </c>
      <c r="Z763" s="8" t="str">
        <f t="shared" si="243"/>
        <v/>
      </c>
      <c r="AA763" s="8" t="str">
        <f t="shared" si="244"/>
        <v/>
      </c>
      <c r="AB763" s="8" t="str">
        <f t="shared" si="245"/>
        <v/>
      </c>
      <c r="AC763" s="8"/>
      <c r="AD763" s="8"/>
      <c r="AE763" s="8"/>
      <c r="AK763" s="5" t="str">
        <f t="shared" si="246"/>
        <v/>
      </c>
      <c r="AL763" s="5" t="str">
        <f t="shared" si="247"/>
        <v/>
      </c>
      <c r="AM763" s="5" t="str">
        <f t="shared" si="248"/>
        <v/>
      </c>
      <c r="AN763" s="5" t="str">
        <f t="shared" si="249"/>
        <v/>
      </c>
      <c r="AO763" s="5" t="str">
        <f t="shared" si="250"/>
        <v/>
      </c>
      <c r="AP763" s="5" t="str">
        <f t="shared" si="251"/>
        <v/>
      </c>
      <c r="AQ763" s="5" t="str">
        <f t="shared" si="252"/>
        <v/>
      </c>
      <c r="AR763" s="5" t="str">
        <f t="shared" si="253"/>
        <v/>
      </c>
      <c r="AS763" s="5" t="str">
        <f t="shared" si="254"/>
        <v/>
      </c>
      <c r="AT763" s="5" t="str">
        <f t="shared" si="255"/>
        <v/>
      </c>
      <c r="AU763" s="5" t="str">
        <f t="shared" si="256"/>
        <v/>
      </c>
      <c r="AV763" s="5" t="str">
        <f t="shared" si="257"/>
        <v/>
      </c>
      <c r="AW763" s="5" t="str">
        <f t="shared" si="258"/>
        <v/>
      </c>
      <c r="AX763" s="5" t="str">
        <f t="shared" si="259"/>
        <v/>
      </c>
      <c r="AY763" s="5" t="str">
        <f t="shared" si="260"/>
        <v/>
      </c>
      <c r="AZ763" s="5" t="str">
        <f t="shared" si="261"/>
        <v/>
      </c>
      <c r="BA763" s="5" t="str">
        <f t="shared" si="262"/>
        <v/>
      </c>
      <c r="BB763" s="5" t="str">
        <f t="shared" si="263"/>
        <v/>
      </c>
    </row>
    <row r="764" spans="1:54" s="5" customFormat="1" hidden="1">
      <c r="A764" s="8" t="str">
        <f>IF(INDEX(FORM!$A:$A,ROW())="","",ROW()-1)</f>
        <v/>
      </c>
      <c r="B764" s="41" t="str">
        <f>IF($A764="","",INDEX(FORM!$A:$A,ROW()))</f>
        <v/>
      </c>
      <c r="C764" s="8" t="str">
        <f>IF($A764="","",TRIM(INDEX(FORM!$B:$B,ROW())))</f>
        <v/>
      </c>
      <c r="D764" s="8" t="str">
        <f>IF($A764="","",TRIM(INDEX(FORM!$C:$C,ROW())&amp;""))</f>
        <v/>
      </c>
      <c r="E764" s="8" t="str">
        <f>IF($A764="","",UPPER(TRIM(INDEX(FORM!$D:$D,ROW()))))</f>
        <v/>
      </c>
      <c r="F764" s="8" t="str">
        <f>IF($A764="","",IFERROR(INDEX(PROGRES!$A$2:$A$92,MATCH(E764,PROGRES!$B$2:$B$92,0)),"-"))</f>
        <v/>
      </c>
      <c r="G764" s="8" t="str">
        <f>IF($A764="","",UPPER(TRIM(INDEX(FORM!$F:$F,ROW()))))</f>
        <v/>
      </c>
      <c r="H764" s="8" t="str">
        <f>IF($A764="","",UPPER(TRIM(INDEX(FORM!$E:$E,ROW()))))</f>
        <v/>
      </c>
      <c r="I764" s="8" t="str">
        <f>IF($A764="","",UPPER(TRIM(INDEX(FORM!$G:$G,ROW()))))</f>
        <v/>
      </c>
      <c r="J764" s="8" t="str">
        <f>IF($A764="","",IF(ISNUMBER(SEARCH("Ya,",INDEX(FORM!$H:$H,ROW()))),"YA",IF(ISNUMBER(SEARCH("Cukup,",INDEX(FORM!$H:$H,ROW()))),"CUKUP",IF(ISNUMBER(SEARCH("Kurang,",INDEX(FORM!$H:$H,ROW()))),"KURANG",""))))</f>
        <v/>
      </c>
      <c r="K764" s="8" t="str">
        <f>IF($A764="","",UPPER(TRIM(INDEX(FORM!$J:$J,ROW()))))</f>
        <v/>
      </c>
      <c r="L764" s="8" t="str">
        <f>IF($A764="","",IF(ISNUMBER(SEARCH("Aktivitas Harian",INDEX(FORM!$K:$K,ROW()))),1,0))</f>
        <v/>
      </c>
      <c r="M764" s="8" t="str">
        <f>IF($A764="","",IF(ISNUMBER(SEARCH("Aktivitas Mingguan",INDEX(FORM!$K:$K,ROW()))),1,0))</f>
        <v/>
      </c>
      <c r="N764" s="8" t="str">
        <f>IF($A764="","",IF(ISNUMBER(SEARCH("Aktivitas Bulanan",INDEX(FORM!$K:$K,ROW()))),1,0))</f>
        <v/>
      </c>
      <c r="O764" s="8" t="str">
        <f>IF($A764="","",IF(ISNUMBER(SEARCH("Overview Cabang",INDEX(FORM!$K:$K,ROW()))),1,0))</f>
        <v/>
      </c>
      <c r="P764" s="8" t="str">
        <f>IF($A764="","",IFERROR(VLOOKUP(I764,DATA!$AH$9:$AI$13,2,0),""))</f>
        <v/>
      </c>
      <c r="Q764" s="8" t="str">
        <f>IF($A764="","",IFERROR(VLOOKUP(J764,DATA!$AH$9:$AI$13,2,0),""))</f>
        <v/>
      </c>
      <c r="R764" s="8" t="str">
        <f>IF($A764="","",IFERROR(VLOOKUP(K764,DATA!$AH$9:$AI$13,2,0),""))</f>
        <v/>
      </c>
      <c r="S764" s="42" t="str">
        <f t="shared" si="242"/>
        <v/>
      </c>
      <c r="T764" s="8" t="str">
        <f>IF($A764="","",IF(COUNTIF($D$2:D764,D764)=1,1,0))</f>
        <v/>
      </c>
      <c r="U764" s="8" t="str">
        <f>IF($A764="","",IF(F764="-","Cabang tdk ada",IF(IFERROR(VLOOKUP(G764,#REF!,1,0),"")="","",IF(INDEX(DATA!$AH$2:$AH$5,MATCH(G764,DATA!$AI$2:$AI$5,0))&lt;&gt;F764,"Wilayah beda","OK"))))</f>
        <v/>
      </c>
      <c r="V764" s="8" t="str">
        <f>IF($A764="","",TRIM(INDEX(FORM!$I:$I,ROW())&amp;""))</f>
        <v/>
      </c>
      <c r="W764" s="8" t="str">
        <f>IF($A764="","",TRIM(INDEX(FORM!$L:$L,ROW())&amp;""))</f>
        <v/>
      </c>
      <c r="X764" s="8" t="str">
        <f>IF($A764="","",TRIM(INDEX(FORM!$M:$M,ROW())&amp;""))</f>
        <v/>
      </c>
      <c r="Y764" s="8" t="str">
        <f>IF($A764="","",IFERROR(MATCH(F764,DATA!$AH$2:$AH$5,0),9)*10000+A764)</f>
        <v/>
      </c>
      <c r="Z764" s="8" t="str">
        <f t="shared" si="243"/>
        <v/>
      </c>
      <c r="AA764" s="8" t="str">
        <f t="shared" si="244"/>
        <v/>
      </c>
      <c r="AB764" s="8" t="str">
        <f t="shared" si="245"/>
        <v/>
      </c>
      <c r="AC764" s="8"/>
      <c r="AD764" s="8"/>
      <c r="AE764" s="8"/>
      <c r="AK764" s="5" t="str">
        <f t="shared" si="246"/>
        <v/>
      </c>
      <c r="AL764" s="5" t="str">
        <f t="shared" si="247"/>
        <v/>
      </c>
      <c r="AM764" s="5" t="str">
        <f t="shared" si="248"/>
        <v/>
      </c>
      <c r="AN764" s="5" t="str">
        <f t="shared" si="249"/>
        <v/>
      </c>
      <c r="AO764" s="5" t="str">
        <f t="shared" si="250"/>
        <v/>
      </c>
      <c r="AP764" s="5" t="str">
        <f t="shared" si="251"/>
        <v/>
      </c>
      <c r="AQ764" s="5" t="str">
        <f t="shared" si="252"/>
        <v/>
      </c>
      <c r="AR764" s="5" t="str">
        <f t="shared" si="253"/>
        <v/>
      </c>
      <c r="AS764" s="5" t="str">
        <f t="shared" si="254"/>
        <v/>
      </c>
      <c r="AT764" s="5" t="str">
        <f t="shared" si="255"/>
        <v/>
      </c>
      <c r="AU764" s="5" t="str">
        <f t="shared" si="256"/>
        <v/>
      </c>
      <c r="AV764" s="5" t="str">
        <f t="shared" si="257"/>
        <v/>
      </c>
      <c r="AW764" s="5" t="str">
        <f t="shared" si="258"/>
        <v/>
      </c>
      <c r="AX764" s="5" t="str">
        <f t="shared" si="259"/>
        <v/>
      </c>
      <c r="AY764" s="5" t="str">
        <f t="shared" si="260"/>
        <v/>
      </c>
      <c r="AZ764" s="5" t="str">
        <f t="shared" si="261"/>
        <v/>
      </c>
      <c r="BA764" s="5" t="str">
        <f t="shared" si="262"/>
        <v/>
      </c>
      <c r="BB764" s="5" t="str">
        <f t="shared" si="263"/>
        <v/>
      </c>
    </row>
    <row r="765" spans="1:54" s="5" customFormat="1" hidden="1">
      <c r="A765" s="8" t="str">
        <f>IF(INDEX(FORM!$A:$A,ROW())="","",ROW()-1)</f>
        <v/>
      </c>
      <c r="B765" s="41" t="str">
        <f>IF($A765="","",INDEX(FORM!$A:$A,ROW()))</f>
        <v/>
      </c>
      <c r="C765" s="8" t="str">
        <f>IF($A765="","",TRIM(INDEX(FORM!$B:$B,ROW())))</f>
        <v/>
      </c>
      <c r="D765" s="8" t="str">
        <f>IF($A765="","",TRIM(INDEX(FORM!$C:$C,ROW())&amp;""))</f>
        <v/>
      </c>
      <c r="E765" s="8" t="str">
        <f>IF($A765="","",UPPER(TRIM(INDEX(FORM!$D:$D,ROW()))))</f>
        <v/>
      </c>
      <c r="F765" s="8" t="str">
        <f>IF($A765="","",IFERROR(INDEX(PROGRES!$A$2:$A$92,MATCH(E765,PROGRES!$B$2:$B$92,0)),"-"))</f>
        <v/>
      </c>
      <c r="G765" s="8" t="str">
        <f>IF($A765="","",UPPER(TRIM(INDEX(FORM!$F:$F,ROW()))))</f>
        <v/>
      </c>
      <c r="H765" s="8" t="str">
        <f>IF($A765="","",UPPER(TRIM(INDEX(FORM!$E:$E,ROW()))))</f>
        <v/>
      </c>
      <c r="I765" s="8" t="str">
        <f>IF($A765="","",UPPER(TRIM(INDEX(FORM!$G:$G,ROW()))))</f>
        <v/>
      </c>
      <c r="J765" s="8" t="str">
        <f>IF($A765="","",IF(ISNUMBER(SEARCH("Ya,",INDEX(FORM!$H:$H,ROW()))),"YA",IF(ISNUMBER(SEARCH("Cukup,",INDEX(FORM!$H:$H,ROW()))),"CUKUP",IF(ISNUMBER(SEARCH("Kurang,",INDEX(FORM!$H:$H,ROW()))),"KURANG",""))))</f>
        <v/>
      </c>
      <c r="K765" s="8" t="str">
        <f>IF($A765="","",UPPER(TRIM(INDEX(FORM!$J:$J,ROW()))))</f>
        <v/>
      </c>
      <c r="L765" s="8" t="str">
        <f>IF($A765="","",IF(ISNUMBER(SEARCH("Aktivitas Harian",INDEX(FORM!$K:$K,ROW()))),1,0))</f>
        <v/>
      </c>
      <c r="M765" s="8" t="str">
        <f>IF($A765="","",IF(ISNUMBER(SEARCH("Aktivitas Mingguan",INDEX(FORM!$K:$K,ROW()))),1,0))</f>
        <v/>
      </c>
      <c r="N765" s="8" t="str">
        <f>IF($A765="","",IF(ISNUMBER(SEARCH("Aktivitas Bulanan",INDEX(FORM!$K:$K,ROW()))),1,0))</f>
        <v/>
      </c>
      <c r="O765" s="8" t="str">
        <f>IF($A765="","",IF(ISNUMBER(SEARCH("Overview Cabang",INDEX(FORM!$K:$K,ROW()))),1,0))</f>
        <v/>
      </c>
      <c r="P765" s="8" t="str">
        <f>IF($A765="","",IFERROR(VLOOKUP(I765,DATA!$AH$9:$AI$13,2,0),""))</f>
        <v/>
      </c>
      <c r="Q765" s="8" t="str">
        <f>IF($A765="","",IFERROR(VLOOKUP(J765,DATA!$AH$9:$AI$13,2,0),""))</f>
        <v/>
      </c>
      <c r="R765" s="8" t="str">
        <f>IF($A765="","",IFERROR(VLOOKUP(K765,DATA!$AH$9:$AI$13,2,0),""))</f>
        <v/>
      </c>
      <c r="S765" s="42" t="str">
        <f t="shared" si="242"/>
        <v/>
      </c>
      <c r="T765" s="8" t="str">
        <f>IF($A765="","",IF(COUNTIF($D$2:D765,D765)=1,1,0))</f>
        <v/>
      </c>
      <c r="U765" s="8" t="str">
        <f>IF($A765="","",IF(F765="-","Cabang tdk ada",IF(IFERROR(VLOOKUP(G765,#REF!,1,0),"")="","",IF(INDEX(DATA!$AH$2:$AH$5,MATCH(G765,DATA!$AI$2:$AI$5,0))&lt;&gt;F765,"Wilayah beda","OK"))))</f>
        <v/>
      </c>
      <c r="V765" s="8" t="str">
        <f>IF($A765="","",TRIM(INDEX(FORM!$I:$I,ROW())&amp;""))</f>
        <v/>
      </c>
      <c r="W765" s="8" t="str">
        <f>IF($A765="","",TRIM(INDEX(FORM!$L:$L,ROW())&amp;""))</f>
        <v/>
      </c>
      <c r="X765" s="8" t="str">
        <f>IF($A765="","",TRIM(INDEX(FORM!$M:$M,ROW())&amp;""))</f>
        <v/>
      </c>
      <c r="Y765" s="8" t="str">
        <f>IF($A765="","",IFERROR(MATCH(F765,DATA!$AH$2:$AH$5,0),9)*10000+A765)</f>
        <v/>
      </c>
      <c r="Z765" s="8" t="str">
        <f t="shared" si="243"/>
        <v/>
      </c>
      <c r="AA765" s="8" t="str">
        <f t="shared" si="244"/>
        <v/>
      </c>
      <c r="AB765" s="8" t="str">
        <f t="shared" si="245"/>
        <v/>
      </c>
      <c r="AC765" s="8"/>
      <c r="AD765" s="8"/>
      <c r="AE765" s="8"/>
      <c r="AK765" s="5" t="str">
        <f t="shared" si="246"/>
        <v/>
      </c>
      <c r="AL765" s="5" t="str">
        <f t="shared" si="247"/>
        <v/>
      </c>
      <c r="AM765" s="5" t="str">
        <f t="shared" si="248"/>
        <v/>
      </c>
      <c r="AN765" s="5" t="str">
        <f t="shared" si="249"/>
        <v/>
      </c>
      <c r="AO765" s="5" t="str">
        <f t="shared" si="250"/>
        <v/>
      </c>
      <c r="AP765" s="5" t="str">
        <f t="shared" si="251"/>
        <v/>
      </c>
      <c r="AQ765" s="5" t="str">
        <f t="shared" si="252"/>
        <v/>
      </c>
      <c r="AR765" s="5" t="str">
        <f t="shared" si="253"/>
        <v/>
      </c>
      <c r="AS765" s="5" t="str">
        <f t="shared" si="254"/>
        <v/>
      </c>
      <c r="AT765" s="5" t="str">
        <f t="shared" si="255"/>
        <v/>
      </c>
      <c r="AU765" s="5" t="str">
        <f t="shared" si="256"/>
        <v/>
      </c>
      <c r="AV765" s="5" t="str">
        <f t="shared" si="257"/>
        <v/>
      </c>
      <c r="AW765" s="5" t="str">
        <f t="shared" si="258"/>
        <v/>
      </c>
      <c r="AX765" s="5" t="str">
        <f t="shared" si="259"/>
        <v/>
      </c>
      <c r="AY765" s="5" t="str">
        <f t="shared" si="260"/>
        <v/>
      </c>
      <c r="AZ765" s="5" t="str">
        <f t="shared" si="261"/>
        <v/>
      </c>
      <c r="BA765" s="5" t="str">
        <f t="shared" si="262"/>
        <v/>
      </c>
      <c r="BB765" s="5" t="str">
        <f t="shared" si="263"/>
        <v/>
      </c>
    </row>
    <row r="766" spans="1:54" s="5" customFormat="1" hidden="1">
      <c r="A766" s="8" t="str">
        <f>IF(INDEX(FORM!$A:$A,ROW())="","",ROW()-1)</f>
        <v/>
      </c>
      <c r="B766" s="41" t="str">
        <f>IF($A766="","",INDEX(FORM!$A:$A,ROW()))</f>
        <v/>
      </c>
      <c r="C766" s="8" t="str">
        <f>IF($A766="","",TRIM(INDEX(FORM!$B:$B,ROW())))</f>
        <v/>
      </c>
      <c r="D766" s="8" t="str">
        <f>IF($A766="","",TRIM(INDEX(FORM!$C:$C,ROW())&amp;""))</f>
        <v/>
      </c>
      <c r="E766" s="8" t="str">
        <f>IF($A766="","",UPPER(TRIM(INDEX(FORM!$D:$D,ROW()))))</f>
        <v/>
      </c>
      <c r="F766" s="8" t="str">
        <f>IF($A766="","",IFERROR(INDEX(PROGRES!$A$2:$A$92,MATCH(E766,PROGRES!$B$2:$B$92,0)),"-"))</f>
        <v/>
      </c>
      <c r="G766" s="8" t="str">
        <f>IF($A766="","",UPPER(TRIM(INDEX(FORM!$F:$F,ROW()))))</f>
        <v/>
      </c>
      <c r="H766" s="8" t="str">
        <f>IF($A766="","",UPPER(TRIM(INDEX(FORM!$E:$E,ROW()))))</f>
        <v/>
      </c>
      <c r="I766" s="8" t="str">
        <f>IF($A766="","",UPPER(TRIM(INDEX(FORM!$G:$G,ROW()))))</f>
        <v/>
      </c>
      <c r="J766" s="8" t="str">
        <f>IF($A766="","",IF(ISNUMBER(SEARCH("Ya,",INDEX(FORM!$H:$H,ROW()))),"YA",IF(ISNUMBER(SEARCH("Cukup,",INDEX(FORM!$H:$H,ROW()))),"CUKUP",IF(ISNUMBER(SEARCH("Kurang,",INDEX(FORM!$H:$H,ROW()))),"KURANG",""))))</f>
        <v/>
      </c>
      <c r="K766" s="8" t="str">
        <f>IF($A766="","",UPPER(TRIM(INDEX(FORM!$J:$J,ROW()))))</f>
        <v/>
      </c>
      <c r="L766" s="8" t="str">
        <f>IF($A766="","",IF(ISNUMBER(SEARCH("Aktivitas Harian",INDEX(FORM!$K:$K,ROW()))),1,0))</f>
        <v/>
      </c>
      <c r="M766" s="8" t="str">
        <f>IF($A766="","",IF(ISNUMBER(SEARCH("Aktivitas Mingguan",INDEX(FORM!$K:$K,ROW()))),1,0))</f>
        <v/>
      </c>
      <c r="N766" s="8" t="str">
        <f>IF($A766="","",IF(ISNUMBER(SEARCH("Aktivitas Bulanan",INDEX(FORM!$K:$K,ROW()))),1,0))</f>
        <v/>
      </c>
      <c r="O766" s="8" t="str">
        <f>IF($A766="","",IF(ISNUMBER(SEARCH("Overview Cabang",INDEX(FORM!$K:$K,ROW()))),1,0))</f>
        <v/>
      </c>
      <c r="P766" s="8" t="str">
        <f>IF($A766="","",IFERROR(VLOOKUP(I766,DATA!$AH$9:$AI$13,2,0),""))</f>
        <v/>
      </c>
      <c r="Q766" s="8" t="str">
        <f>IF($A766="","",IFERROR(VLOOKUP(J766,DATA!$AH$9:$AI$13,2,0),""))</f>
        <v/>
      </c>
      <c r="R766" s="8" t="str">
        <f>IF($A766="","",IFERROR(VLOOKUP(K766,DATA!$AH$9:$AI$13,2,0),""))</f>
        <v/>
      </c>
      <c r="S766" s="42" t="str">
        <f t="shared" si="242"/>
        <v/>
      </c>
      <c r="T766" s="8" t="str">
        <f>IF($A766="","",IF(COUNTIF($D$2:D766,D766)=1,1,0))</f>
        <v/>
      </c>
      <c r="U766" s="8" t="str">
        <f>IF($A766="","",IF(F766="-","Cabang tdk ada",IF(IFERROR(VLOOKUP(G766,#REF!,1,0),"")="","",IF(INDEX(DATA!$AH$2:$AH$5,MATCH(G766,DATA!$AI$2:$AI$5,0))&lt;&gt;F766,"Wilayah beda","OK"))))</f>
        <v/>
      </c>
      <c r="V766" s="8" t="str">
        <f>IF($A766="","",TRIM(INDEX(FORM!$I:$I,ROW())&amp;""))</f>
        <v/>
      </c>
      <c r="W766" s="8" t="str">
        <f>IF($A766="","",TRIM(INDEX(FORM!$L:$L,ROW())&amp;""))</f>
        <v/>
      </c>
      <c r="X766" s="8" t="str">
        <f>IF($A766="","",TRIM(INDEX(FORM!$M:$M,ROW())&amp;""))</f>
        <v/>
      </c>
      <c r="Y766" s="8" t="str">
        <f>IF($A766="","",IFERROR(MATCH(F766,DATA!$AH$2:$AH$5,0),9)*10000+A766)</f>
        <v/>
      </c>
      <c r="Z766" s="8" t="str">
        <f t="shared" si="243"/>
        <v/>
      </c>
      <c r="AA766" s="8" t="str">
        <f t="shared" si="244"/>
        <v/>
      </c>
      <c r="AB766" s="8" t="str">
        <f t="shared" si="245"/>
        <v/>
      </c>
      <c r="AC766" s="8"/>
      <c r="AD766" s="8"/>
      <c r="AE766" s="8"/>
      <c r="AK766" s="5" t="str">
        <f t="shared" si="246"/>
        <v/>
      </c>
      <c r="AL766" s="5" t="str">
        <f t="shared" si="247"/>
        <v/>
      </c>
      <c r="AM766" s="5" t="str">
        <f t="shared" si="248"/>
        <v/>
      </c>
      <c r="AN766" s="5" t="str">
        <f t="shared" si="249"/>
        <v/>
      </c>
      <c r="AO766" s="5" t="str">
        <f t="shared" si="250"/>
        <v/>
      </c>
      <c r="AP766" s="5" t="str">
        <f t="shared" si="251"/>
        <v/>
      </c>
      <c r="AQ766" s="5" t="str">
        <f t="shared" si="252"/>
        <v/>
      </c>
      <c r="AR766" s="5" t="str">
        <f t="shared" si="253"/>
        <v/>
      </c>
      <c r="AS766" s="5" t="str">
        <f t="shared" si="254"/>
        <v/>
      </c>
      <c r="AT766" s="5" t="str">
        <f t="shared" si="255"/>
        <v/>
      </c>
      <c r="AU766" s="5" t="str">
        <f t="shared" si="256"/>
        <v/>
      </c>
      <c r="AV766" s="5" t="str">
        <f t="shared" si="257"/>
        <v/>
      </c>
      <c r="AW766" s="5" t="str">
        <f t="shared" si="258"/>
        <v/>
      </c>
      <c r="AX766" s="5" t="str">
        <f t="shared" si="259"/>
        <v/>
      </c>
      <c r="AY766" s="5" t="str">
        <f t="shared" si="260"/>
        <v/>
      </c>
      <c r="AZ766" s="5" t="str">
        <f t="shared" si="261"/>
        <v/>
      </c>
      <c r="BA766" s="5" t="str">
        <f t="shared" si="262"/>
        <v/>
      </c>
      <c r="BB766" s="5" t="str">
        <f t="shared" si="263"/>
        <v/>
      </c>
    </row>
    <row r="767" spans="1:54" s="5" customFormat="1" hidden="1">
      <c r="A767" s="8" t="str">
        <f>IF(INDEX(FORM!$A:$A,ROW())="","",ROW()-1)</f>
        <v/>
      </c>
      <c r="B767" s="41" t="str">
        <f>IF($A767="","",INDEX(FORM!$A:$A,ROW()))</f>
        <v/>
      </c>
      <c r="C767" s="8" t="str">
        <f>IF($A767="","",TRIM(INDEX(FORM!$B:$B,ROW())))</f>
        <v/>
      </c>
      <c r="D767" s="8" t="str">
        <f>IF($A767="","",TRIM(INDEX(FORM!$C:$C,ROW())&amp;""))</f>
        <v/>
      </c>
      <c r="E767" s="8" t="str">
        <f>IF($A767="","",UPPER(TRIM(INDEX(FORM!$D:$D,ROW()))))</f>
        <v/>
      </c>
      <c r="F767" s="8" t="str">
        <f>IF($A767="","",IFERROR(INDEX(PROGRES!$A$2:$A$92,MATCH(E767,PROGRES!$B$2:$B$92,0)),"-"))</f>
        <v/>
      </c>
      <c r="G767" s="8" t="str">
        <f>IF($A767="","",UPPER(TRIM(INDEX(FORM!$F:$F,ROW()))))</f>
        <v/>
      </c>
      <c r="H767" s="8" t="str">
        <f>IF($A767="","",UPPER(TRIM(INDEX(FORM!$E:$E,ROW()))))</f>
        <v/>
      </c>
      <c r="I767" s="8" t="str">
        <f>IF($A767="","",UPPER(TRIM(INDEX(FORM!$G:$G,ROW()))))</f>
        <v/>
      </c>
      <c r="J767" s="8" t="str">
        <f>IF($A767="","",IF(ISNUMBER(SEARCH("Ya,",INDEX(FORM!$H:$H,ROW()))),"YA",IF(ISNUMBER(SEARCH("Cukup,",INDEX(FORM!$H:$H,ROW()))),"CUKUP",IF(ISNUMBER(SEARCH("Kurang,",INDEX(FORM!$H:$H,ROW()))),"KURANG",""))))</f>
        <v/>
      </c>
      <c r="K767" s="8" t="str">
        <f>IF($A767="","",UPPER(TRIM(INDEX(FORM!$J:$J,ROW()))))</f>
        <v/>
      </c>
      <c r="L767" s="8" t="str">
        <f>IF($A767="","",IF(ISNUMBER(SEARCH("Aktivitas Harian",INDEX(FORM!$K:$K,ROW()))),1,0))</f>
        <v/>
      </c>
      <c r="M767" s="8" t="str">
        <f>IF($A767="","",IF(ISNUMBER(SEARCH("Aktivitas Mingguan",INDEX(FORM!$K:$K,ROW()))),1,0))</f>
        <v/>
      </c>
      <c r="N767" s="8" t="str">
        <f>IF($A767="","",IF(ISNUMBER(SEARCH("Aktivitas Bulanan",INDEX(FORM!$K:$K,ROW()))),1,0))</f>
        <v/>
      </c>
      <c r="O767" s="8" t="str">
        <f>IF($A767="","",IF(ISNUMBER(SEARCH("Overview Cabang",INDEX(FORM!$K:$K,ROW()))),1,0))</f>
        <v/>
      </c>
      <c r="P767" s="8" t="str">
        <f>IF($A767="","",IFERROR(VLOOKUP(I767,DATA!$AH$9:$AI$13,2,0),""))</f>
        <v/>
      </c>
      <c r="Q767" s="8" t="str">
        <f>IF($A767="","",IFERROR(VLOOKUP(J767,DATA!$AH$9:$AI$13,2,0),""))</f>
        <v/>
      </c>
      <c r="R767" s="8" t="str">
        <f>IF($A767="","",IFERROR(VLOOKUP(K767,DATA!$AH$9:$AI$13,2,0),""))</f>
        <v/>
      </c>
      <c r="S767" s="42" t="str">
        <f t="shared" si="242"/>
        <v/>
      </c>
      <c r="T767" s="8" t="str">
        <f>IF($A767="","",IF(COUNTIF($D$2:D767,D767)=1,1,0))</f>
        <v/>
      </c>
      <c r="U767" s="8" t="str">
        <f>IF($A767="","",IF(F767="-","Cabang tdk ada",IF(IFERROR(VLOOKUP(G767,#REF!,1,0),"")="","",IF(INDEX(DATA!$AH$2:$AH$5,MATCH(G767,DATA!$AI$2:$AI$5,0))&lt;&gt;F767,"Wilayah beda","OK"))))</f>
        <v/>
      </c>
      <c r="V767" s="8" t="str">
        <f>IF($A767="","",TRIM(INDEX(FORM!$I:$I,ROW())&amp;""))</f>
        <v/>
      </c>
      <c r="W767" s="8" t="str">
        <f>IF($A767="","",TRIM(INDEX(FORM!$L:$L,ROW())&amp;""))</f>
        <v/>
      </c>
      <c r="X767" s="8" t="str">
        <f>IF($A767="","",TRIM(INDEX(FORM!$M:$M,ROW())&amp;""))</f>
        <v/>
      </c>
      <c r="Y767" s="8" t="str">
        <f>IF($A767="","",IFERROR(MATCH(F767,DATA!$AH$2:$AH$5,0),9)*10000+A767)</f>
        <v/>
      </c>
      <c r="Z767" s="8" t="str">
        <f t="shared" si="243"/>
        <v/>
      </c>
      <c r="AA767" s="8" t="str">
        <f t="shared" si="244"/>
        <v/>
      </c>
      <c r="AB767" s="8" t="str">
        <f t="shared" si="245"/>
        <v/>
      </c>
      <c r="AC767" s="8"/>
      <c r="AD767" s="8"/>
      <c r="AE767" s="8"/>
      <c r="AK767" s="5" t="str">
        <f t="shared" si="246"/>
        <v/>
      </c>
      <c r="AL767" s="5" t="str">
        <f t="shared" si="247"/>
        <v/>
      </c>
      <c r="AM767" s="5" t="str">
        <f t="shared" si="248"/>
        <v/>
      </c>
      <c r="AN767" s="5" t="str">
        <f t="shared" si="249"/>
        <v/>
      </c>
      <c r="AO767" s="5" t="str">
        <f t="shared" si="250"/>
        <v/>
      </c>
      <c r="AP767" s="5" t="str">
        <f t="shared" si="251"/>
        <v/>
      </c>
      <c r="AQ767" s="5" t="str">
        <f t="shared" si="252"/>
        <v/>
      </c>
      <c r="AR767" s="5" t="str">
        <f t="shared" si="253"/>
        <v/>
      </c>
      <c r="AS767" s="5" t="str">
        <f t="shared" si="254"/>
        <v/>
      </c>
      <c r="AT767" s="5" t="str">
        <f t="shared" si="255"/>
        <v/>
      </c>
      <c r="AU767" s="5" t="str">
        <f t="shared" si="256"/>
        <v/>
      </c>
      <c r="AV767" s="5" t="str">
        <f t="shared" si="257"/>
        <v/>
      </c>
      <c r="AW767" s="5" t="str">
        <f t="shared" si="258"/>
        <v/>
      </c>
      <c r="AX767" s="5" t="str">
        <f t="shared" si="259"/>
        <v/>
      </c>
      <c r="AY767" s="5" t="str">
        <f t="shared" si="260"/>
        <v/>
      </c>
      <c r="AZ767" s="5" t="str">
        <f t="shared" si="261"/>
        <v/>
      </c>
      <c r="BA767" s="5" t="str">
        <f t="shared" si="262"/>
        <v/>
      </c>
      <c r="BB767" s="5" t="str">
        <f t="shared" si="263"/>
        <v/>
      </c>
    </row>
    <row r="768" spans="1:54" s="5" customFormat="1" hidden="1">
      <c r="A768" s="8" t="str">
        <f>IF(INDEX(FORM!$A:$A,ROW())="","",ROW()-1)</f>
        <v/>
      </c>
      <c r="B768" s="41" t="str">
        <f>IF($A768="","",INDEX(FORM!$A:$A,ROW()))</f>
        <v/>
      </c>
      <c r="C768" s="8" t="str">
        <f>IF($A768="","",TRIM(INDEX(FORM!$B:$B,ROW())))</f>
        <v/>
      </c>
      <c r="D768" s="8" t="str">
        <f>IF($A768="","",TRIM(INDEX(FORM!$C:$C,ROW())&amp;""))</f>
        <v/>
      </c>
      <c r="E768" s="8" t="str">
        <f>IF($A768="","",UPPER(TRIM(INDEX(FORM!$D:$D,ROW()))))</f>
        <v/>
      </c>
      <c r="F768" s="8" t="str">
        <f>IF($A768="","",IFERROR(INDEX(PROGRES!$A$2:$A$92,MATCH(E768,PROGRES!$B$2:$B$92,0)),"-"))</f>
        <v/>
      </c>
      <c r="G768" s="8" t="str">
        <f>IF($A768="","",UPPER(TRIM(INDEX(FORM!$F:$F,ROW()))))</f>
        <v/>
      </c>
      <c r="H768" s="8" t="str">
        <f>IF($A768="","",UPPER(TRIM(INDEX(FORM!$E:$E,ROW()))))</f>
        <v/>
      </c>
      <c r="I768" s="8" t="str">
        <f>IF($A768="","",UPPER(TRIM(INDEX(FORM!$G:$G,ROW()))))</f>
        <v/>
      </c>
      <c r="J768" s="8" t="str">
        <f>IF($A768="","",IF(ISNUMBER(SEARCH("Ya,",INDEX(FORM!$H:$H,ROW()))),"YA",IF(ISNUMBER(SEARCH("Cukup,",INDEX(FORM!$H:$H,ROW()))),"CUKUP",IF(ISNUMBER(SEARCH("Kurang,",INDEX(FORM!$H:$H,ROW()))),"KURANG",""))))</f>
        <v/>
      </c>
      <c r="K768" s="8" t="str">
        <f>IF($A768="","",UPPER(TRIM(INDEX(FORM!$J:$J,ROW()))))</f>
        <v/>
      </c>
      <c r="L768" s="8" t="str">
        <f>IF($A768="","",IF(ISNUMBER(SEARCH("Aktivitas Harian",INDEX(FORM!$K:$K,ROW()))),1,0))</f>
        <v/>
      </c>
      <c r="M768" s="8" t="str">
        <f>IF($A768="","",IF(ISNUMBER(SEARCH("Aktivitas Mingguan",INDEX(FORM!$K:$K,ROW()))),1,0))</f>
        <v/>
      </c>
      <c r="N768" s="8" t="str">
        <f>IF($A768="","",IF(ISNUMBER(SEARCH("Aktivitas Bulanan",INDEX(FORM!$K:$K,ROW()))),1,0))</f>
        <v/>
      </c>
      <c r="O768" s="8" t="str">
        <f>IF($A768="","",IF(ISNUMBER(SEARCH("Overview Cabang",INDEX(FORM!$K:$K,ROW()))),1,0))</f>
        <v/>
      </c>
      <c r="P768" s="8" t="str">
        <f>IF($A768="","",IFERROR(VLOOKUP(I768,DATA!$AH$9:$AI$13,2,0),""))</f>
        <v/>
      </c>
      <c r="Q768" s="8" t="str">
        <f>IF($A768="","",IFERROR(VLOOKUP(J768,DATA!$AH$9:$AI$13,2,0),""))</f>
        <v/>
      </c>
      <c r="R768" s="8" t="str">
        <f>IF($A768="","",IFERROR(VLOOKUP(K768,DATA!$AH$9:$AI$13,2,0),""))</f>
        <v/>
      </c>
      <c r="S768" s="42" t="str">
        <f t="shared" si="242"/>
        <v/>
      </c>
      <c r="T768" s="8" t="str">
        <f>IF($A768="","",IF(COUNTIF($D$2:D768,D768)=1,1,0))</f>
        <v/>
      </c>
      <c r="U768" s="8" t="str">
        <f>IF($A768="","",IF(F768="-","Cabang tdk ada",IF(IFERROR(VLOOKUP(G768,#REF!,1,0),"")="","",IF(INDEX(DATA!$AH$2:$AH$5,MATCH(G768,DATA!$AI$2:$AI$5,0))&lt;&gt;F768,"Wilayah beda","OK"))))</f>
        <v/>
      </c>
      <c r="V768" s="8" t="str">
        <f>IF($A768="","",TRIM(INDEX(FORM!$I:$I,ROW())&amp;""))</f>
        <v/>
      </c>
      <c r="W768" s="8" t="str">
        <f>IF($A768="","",TRIM(INDEX(FORM!$L:$L,ROW())&amp;""))</f>
        <v/>
      </c>
      <c r="X768" s="8" t="str">
        <f>IF($A768="","",TRIM(INDEX(FORM!$M:$M,ROW())&amp;""))</f>
        <v/>
      </c>
      <c r="Y768" s="8" t="str">
        <f>IF($A768="","",IFERROR(MATCH(F768,DATA!$AH$2:$AH$5,0),9)*10000+A768)</f>
        <v/>
      </c>
      <c r="Z768" s="8" t="str">
        <f t="shared" si="243"/>
        <v/>
      </c>
      <c r="AA768" s="8" t="str">
        <f t="shared" si="244"/>
        <v/>
      </c>
      <c r="AB768" s="8" t="str">
        <f t="shared" si="245"/>
        <v/>
      </c>
      <c r="AC768" s="8"/>
      <c r="AD768" s="8"/>
      <c r="AE768" s="8"/>
      <c r="AK768" s="5" t="str">
        <f t="shared" si="246"/>
        <v/>
      </c>
      <c r="AL768" s="5" t="str">
        <f t="shared" si="247"/>
        <v/>
      </c>
      <c r="AM768" s="5" t="str">
        <f t="shared" si="248"/>
        <v/>
      </c>
      <c r="AN768" s="5" t="str">
        <f t="shared" si="249"/>
        <v/>
      </c>
      <c r="AO768" s="5" t="str">
        <f t="shared" si="250"/>
        <v/>
      </c>
      <c r="AP768" s="5" t="str">
        <f t="shared" si="251"/>
        <v/>
      </c>
      <c r="AQ768" s="5" t="str">
        <f t="shared" si="252"/>
        <v/>
      </c>
      <c r="AR768" s="5" t="str">
        <f t="shared" si="253"/>
        <v/>
      </c>
      <c r="AS768" s="5" t="str">
        <f t="shared" si="254"/>
        <v/>
      </c>
      <c r="AT768" s="5" t="str">
        <f t="shared" si="255"/>
        <v/>
      </c>
      <c r="AU768" s="5" t="str">
        <f t="shared" si="256"/>
        <v/>
      </c>
      <c r="AV768" s="5" t="str">
        <f t="shared" si="257"/>
        <v/>
      </c>
      <c r="AW768" s="5" t="str">
        <f t="shared" si="258"/>
        <v/>
      </c>
      <c r="AX768" s="5" t="str">
        <f t="shared" si="259"/>
        <v/>
      </c>
      <c r="AY768" s="5" t="str">
        <f t="shared" si="260"/>
        <v/>
      </c>
      <c r="AZ768" s="5" t="str">
        <f t="shared" si="261"/>
        <v/>
      </c>
      <c r="BA768" s="5" t="str">
        <f t="shared" si="262"/>
        <v/>
      </c>
      <c r="BB768" s="5" t="str">
        <f t="shared" si="263"/>
        <v/>
      </c>
    </row>
    <row r="769" spans="1:54" s="5" customFormat="1" hidden="1">
      <c r="A769" s="8" t="str">
        <f>IF(INDEX(FORM!$A:$A,ROW())="","",ROW()-1)</f>
        <v/>
      </c>
      <c r="B769" s="41" t="str">
        <f>IF($A769="","",INDEX(FORM!$A:$A,ROW()))</f>
        <v/>
      </c>
      <c r="C769" s="8" t="str">
        <f>IF($A769="","",TRIM(INDEX(FORM!$B:$B,ROW())))</f>
        <v/>
      </c>
      <c r="D769" s="8" t="str">
        <f>IF($A769="","",TRIM(INDEX(FORM!$C:$C,ROW())&amp;""))</f>
        <v/>
      </c>
      <c r="E769" s="8" t="str">
        <f>IF($A769="","",UPPER(TRIM(INDEX(FORM!$D:$D,ROW()))))</f>
        <v/>
      </c>
      <c r="F769" s="8" t="str">
        <f>IF($A769="","",IFERROR(INDEX(PROGRES!$A$2:$A$92,MATCH(E769,PROGRES!$B$2:$B$92,0)),"-"))</f>
        <v/>
      </c>
      <c r="G769" s="8" t="str">
        <f>IF($A769="","",UPPER(TRIM(INDEX(FORM!$F:$F,ROW()))))</f>
        <v/>
      </c>
      <c r="H769" s="8" t="str">
        <f>IF($A769="","",UPPER(TRIM(INDEX(FORM!$E:$E,ROW()))))</f>
        <v/>
      </c>
      <c r="I769" s="8" t="str">
        <f>IF($A769="","",UPPER(TRIM(INDEX(FORM!$G:$G,ROW()))))</f>
        <v/>
      </c>
      <c r="J769" s="8" t="str">
        <f>IF($A769="","",IF(ISNUMBER(SEARCH("Ya,",INDEX(FORM!$H:$H,ROW()))),"YA",IF(ISNUMBER(SEARCH("Cukup,",INDEX(FORM!$H:$H,ROW()))),"CUKUP",IF(ISNUMBER(SEARCH("Kurang,",INDEX(FORM!$H:$H,ROW()))),"KURANG",""))))</f>
        <v/>
      </c>
      <c r="K769" s="8" t="str">
        <f>IF($A769="","",UPPER(TRIM(INDEX(FORM!$J:$J,ROW()))))</f>
        <v/>
      </c>
      <c r="L769" s="8" t="str">
        <f>IF($A769="","",IF(ISNUMBER(SEARCH("Aktivitas Harian",INDEX(FORM!$K:$K,ROW()))),1,0))</f>
        <v/>
      </c>
      <c r="M769" s="8" t="str">
        <f>IF($A769="","",IF(ISNUMBER(SEARCH("Aktivitas Mingguan",INDEX(FORM!$K:$K,ROW()))),1,0))</f>
        <v/>
      </c>
      <c r="N769" s="8" t="str">
        <f>IF($A769="","",IF(ISNUMBER(SEARCH("Aktivitas Bulanan",INDEX(FORM!$K:$K,ROW()))),1,0))</f>
        <v/>
      </c>
      <c r="O769" s="8" t="str">
        <f>IF($A769="","",IF(ISNUMBER(SEARCH("Overview Cabang",INDEX(FORM!$K:$K,ROW()))),1,0))</f>
        <v/>
      </c>
      <c r="P769" s="8" t="str">
        <f>IF($A769="","",IFERROR(VLOOKUP(I769,DATA!$AH$9:$AI$13,2,0),""))</f>
        <v/>
      </c>
      <c r="Q769" s="8" t="str">
        <f>IF($A769="","",IFERROR(VLOOKUP(J769,DATA!$AH$9:$AI$13,2,0),""))</f>
        <v/>
      </c>
      <c r="R769" s="8" t="str">
        <f>IF($A769="","",IFERROR(VLOOKUP(K769,DATA!$AH$9:$AI$13,2,0),""))</f>
        <v/>
      </c>
      <c r="S769" s="42" t="str">
        <f t="shared" si="242"/>
        <v/>
      </c>
      <c r="T769" s="8" t="str">
        <f>IF($A769="","",IF(COUNTIF($D$2:D769,D769)=1,1,0))</f>
        <v/>
      </c>
      <c r="U769" s="8" t="str">
        <f>IF($A769="","",IF(F769="-","Cabang tdk ada",IF(IFERROR(VLOOKUP(G769,#REF!,1,0),"")="","",IF(INDEX(DATA!$AH$2:$AH$5,MATCH(G769,DATA!$AI$2:$AI$5,0))&lt;&gt;F769,"Wilayah beda","OK"))))</f>
        <v/>
      </c>
      <c r="V769" s="8" t="str">
        <f>IF($A769="","",TRIM(INDEX(FORM!$I:$I,ROW())&amp;""))</f>
        <v/>
      </c>
      <c r="W769" s="8" t="str">
        <f>IF($A769="","",TRIM(INDEX(FORM!$L:$L,ROW())&amp;""))</f>
        <v/>
      </c>
      <c r="X769" s="8" t="str">
        <f>IF($A769="","",TRIM(INDEX(FORM!$M:$M,ROW())&amp;""))</f>
        <v/>
      </c>
      <c r="Y769" s="8" t="str">
        <f>IF($A769="","",IFERROR(MATCH(F769,DATA!$AH$2:$AH$5,0),9)*10000+A769)</f>
        <v/>
      </c>
      <c r="Z769" s="8" t="str">
        <f t="shared" si="243"/>
        <v/>
      </c>
      <c r="AA769" s="8" t="str">
        <f t="shared" si="244"/>
        <v/>
      </c>
      <c r="AB769" s="8" t="str">
        <f t="shared" si="245"/>
        <v/>
      </c>
      <c r="AC769" s="8"/>
      <c r="AD769" s="8"/>
      <c r="AE769" s="8"/>
      <c r="AK769" s="5" t="str">
        <f t="shared" si="246"/>
        <v/>
      </c>
      <c r="AL769" s="5" t="str">
        <f t="shared" si="247"/>
        <v/>
      </c>
      <c r="AM769" s="5" t="str">
        <f t="shared" si="248"/>
        <v/>
      </c>
      <c r="AN769" s="5" t="str">
        <f t="shared" si="249"/>
        <v/>
      </c>
      <c r="AO769" s="5" t="str">
        <f t="shared" si="250"/>
        <v/>
      </c>
      <c r="AP769" s="5" t="str">
        <f t="shared" si="251"/>
        <v/>
      </c>
      <c r="AQ769" s="5" t="str">
        <f t="shared" si="252"/>
        <v/>
      </c>
      <c r="AR769" s="5" t="str">
        <f t="shared" si="253"/>
        <v/>
      </c>
      <c r="AS769" s="5" t="str">
        <f t="shared" si="254"/>
        <v/>
      </c>
      <c r="AT769" s="5" t="str">
        <f t="shared" si="255"/>
        <v/>
      </c>
      <c r="AU769" s="5" t="str">
        <f t="shared" si="256"/>
        <v/>
      </c>
      <c r="AV769" s="5" t="str">
        <f t="shared" si="257"/>
        <v/>
      </c>
      <c r="AW769" s="5" t="str">
        <f t="shared" si="258"/>
        <v/>
      </c>
      <c r="AX769" s="5" t="str">
        <f t="shared" si="259"/>
        <v/>
      </c>
      <c r="AY769" s="5" t="str">
        <f t="shared" si="260"/>
        <v/>
      </c>
      <c r="AZ769" s="5" t="str">
        <f t="shared" si="261"/>
        <v/>
      </c>
      <c r="BA769" s="5" t="str">
        <f t="shared" si="262"/>
        <v/>
      </c>
      <c r="BB769" s="5" t="str">
        <f t="shared" si="263"/>
        <v/>
      </c>
    </row>
    <row r="770" spans="1:54" s="5" customFormat="1" hidden="1">
      <c r="A770" s="8" t="str">
        <f>IF(INDEX(FORM!$A:$A,ROW())="","",ROW()-1)</f>
        <v/>
      </c>
      <c r="B770" s="41" t="str">
        <f>IF($A770="","",INDEX(FORM!$A:$A,ROW()))</f>
        <v/>
      </c>
      <c r="C770" s="8" t="str">
        <f>IF($A770="","",TRIM(INDEX(FORM!$B:$B,ROW())))</f>
        <v/>
      </c>
      <c r="D770" s="8" t="str">
        <f>IF($A770="","",TRIM(INDEX(FORM!$C:$C,ROW())&amp;""))</f>
        <v/>
      </c>
      <c r="E770" s="8" t="str">
        <f>IF($A770="","",UPPER(TRIM(INDEX(FORM!$D:$D,ROW()))))</f>
        <v/>
      </c>
      <c r="F770" s="8" t="str">
        <f>IF($A770="","",IFERROR(INDEX(PROGRES!$A$2:$A$92,MATCH(E770,PROGRES!$B$2:$B$92,0)),"-"))</f>
        <v/>
      </c>
      <c r="G770" s="8" t="str">
        <f>IF($A770="","",UPPER(TRIM(INDEX(FORM!$F:$F,ROW()))))</f>
        <v/>
      </c>
      <c r="H770" s="8" t="str">
        <f>IF($A770="","",UPPER(TRIM(INDEX(FORM!$E:$E,ROW()))))</f>
        <v/>
      </c>
      <c r="I770" s="8" t="str">
        <f>IF($A770="","",UPPER(TRIM(INDEX(FORM!$G:$G,ROW()))))</f>
        <v/>
      </c>
      <c r="J770" s="8" t="str">
        <f>IF($A770="","",IF(ISNUMBER(SEARCH("Ya,",INDEX(FORM!$H:$H,ROW()))),"YA",IF(ISNUMBER(SEARCH("Cukup,",INDEX(FORM!$H:$H,ROW()))),"CUKUP",IF(ISNUMBER(SEARCH("Kurang,",INDEX(FORM!$H:$H,ROW()))),"KURANG",""))))</f>
        <v/>
      </c>
      <c r="K770" s="8" t="str">
        <f>IF($A770="","",UPPER(TRIM(INDEX(FORM!$J:$J,ROW()))))</f>
        <v/>
      </c>
      <c r="L770" s="8" t="str">
        <f>IF($A770="","",IF(ISNUMBER(SEARCH("Aktivitas Harian",INDEX(FORM!$K:$K,ROW()))),1,0))</f>
        <v/>
      </c>
      <c r="M770" s="8" t="str">
        <f>IF($A770="","",IF(ISNUMBER(SEARCH("Aktivitas Mingguan",INDEX(FORM!$K:$K,ROW()))),1,0))</f>
        <v/>
      </c>
      <c r="N770" s="8" t="str">
        <f>IF($A770="","",IF(ISNUMBER(SEARCH("Aktivitas Bulanan",INDEX(FORM!$K:$K,ROW()))),1,0))</f>
        <v/>
      </c>
      <c r="O770" s="8" t="str">
        <f>IF($A770="","",IF(ISNUMBER(SEARCH("Overview Cabang",INDEX(FORM!$K:$K,ROW()))),1,0))</f>
        <v/>
      </c>
      <c r="P770" s="8" t="str">
        <f>IF($A770="","",IFERROR(VLOOKUP(I770,DATA!$AH$9:$AI$13,2,0),""))</f>
        <v/>
      </c>
      <c r="Q770" s="8" t="str">
        <f>IF($A770="","",IFERROR(VLOOKUP(J770,DATA!$AH$9:$AI$13,2,0),""))</f>
        <v/>
      </c>
      <c r="R770" s="8" t="str">
        <f>IF($A770="","",IFERROR(VLOOKUP(K770,DATA!$AH$9:$AI$13,2,0),""))</f>
        <v/>
      </c>
      <c r="S770" s="42" t="str">
        <f t="shared" ref="S770:S833" si="264">IF($A770="","",IFERROR(AVERAGE(P770:R770),""))</f>
        <v/>
      </c>
      <c r="T770" s="8" t="str">
        <f>IF($A770="","",IF(COUNTIF($D$2:D770,D770)=1,1,0))</f>
        <v/>
      </c>
      <c r="U770" s="8" t="str">
        <f>IF($A770="","",IF(F770="-","Cabang tdk ada",IF(IFERROR(VLOOKUP(G770,#REF!,1,0),"")="","",IF(INDEX(DATA!$AH$2:$AH$5,MATCH(G770,DATA!$AI$2:$AI$5,0))&lt;&gt;F770,"Wilayah beda","OK"))))</f>
        <v/>
      </c>
      <c r="V770" s="8" t="str">
        <f>IF($A770="","",TRIM(INDEX(FORM!$I:$I,ROW())&amp;""))</f>
        <v/>
      </c>
      <c r="W770" s="8" t="str">
        <f>IF($A770="","",TRIM(INDEX(FORM!$L:$L,ROW())&amp;""))</f>
        <v/>
      </c>
      <c r="X770" s="8" t="str">
        <f>IF($A770="","",TRIM(INDEX(FORM!$M:$M,ROW())&amp;""))</f>
        <v/>
      </c>
      <c r="Y770" s="8" t="str">
        <f>IF($A770="","",IFERROR(MATCH(F770,DATA!$AH$2:$AH$5,0),9)*10000+A770)</f>
        <v/>
      </c>
      <c r="Z770" s="8" t="str">
        <f t="shared" ref="Z770:Z833" si="265">IF($A770="","",IF(LEN(SUBSTITUTE(SUBSTITUTE(SUBSTITUTE(V770,"-",""),".",""),"?",""))&lt;2,"Tidak ada masukan / sudah baik",IF(OR(ISNUMBER(SEARCH("memang harus",V770&amp;" "))),"Tidak ada masukan / sudah baik",IF(OR(ISNUMBER(SEARCH("lemot",V770&amp;" ")),ISNUMBER(SEARCH("loading",V770&amp;" ")),ISNUMBER(SEARCH("lambat",V770&amp;" ")),ISNUMBER(SEARCH("kecepatan",V770&amp;" ")),ISNUMBER(SEARCH("koneksi",V770&amp;" ")),ISNUMBER(SEARCH("eroro",V770&amp;" ")),ISNUMBER(SEARCH("error",V770&amp;" ")),ISNUMBER(SEARCH("ketutup",V770&amp;" "))),"Kecepatan &amp; Loading Website",IF(OR(ISNUMBER(SEARCH("kontak",V770&amp;" ")),ISNUMBER(SEARCH("pic",V770&amp;" ")),ISNUMBER(SEARCH("darurat",V770&amp;" "))),"Kontak &amp; Informasi PIC",IF(OR(ISNUMBER(SEARCH("sacs",V770&amp;" ")),ISNUMBER(SEARCH("aplikasi",V770&amp;" ")),ISNUMBER(SEARCH("kinerja",V770&amp;" ")),ISNUMBER(SEARCH("seluruh cabang",V770&amp;" "))),"Integrasi dengan SACS / Aplikasi",IF(OR(ISNUMBER(SEARCH("mobile",V770&amp;" ")),ISNUMBER(SEARCH("lebih responsif",V770&amp;" ")),ISNUMBER(SEARCH("scroll",V770&amp;" ")),ISNUMBER(SEARCH("melebar",V770&amp;" "))),"Tampilan di HP (Responsif)",IF(OR(ISNUMBER(SEARCH("simpel",V770&amp;" ")),ISNUMBER(SEARCH("simple",V770&amp;" ")),ISNUMBER(SEARCH("sederhana",V770&amp;" ")),ISNUMBER(SEARCH("ringkas",V770&amp;" ")),ISNUMBER(SEARCH("intinya",V770&amp;" ")),ISNUMBER(SEARCH("panjang lebar",V770&amp;" ")),ISNUMBER(SEARCH("mudah dipahami lagi",V770&amp;" ")),ISNUMBER(SEARCH("tata letak",V770&amp;" ")),ISNUMBER(SEARCH("harus mencari",V770&amp;" "))),"Penyederhanaan &amp; Ringkas Isi",IF(OR(ISNUMBER(SEARCH("menu ",V770&amp;" ")),ISNUMBER(SEARCH("tiap posisi",V770&amp;" ")),ISNUMBER(SEARCH("pilihan antara",V770&amp;" "))),"Menu per Jabatan / Navigasi",IF(OR(ISNUMBER(SEARCH("video",V770&amp;" ")),ISNUMBER(SEARCH("vidio",V770&amp;" ")),ISNUMBER(SEARCH("bagan",V770&amp;" ")),ISNUMBER(SEARCH("gambar",V770&amp;" ")),ISNUMBER(SEARCH("qna",V770&amp;" "))),"Tambah Video / Bagan",IF(OR(ISNUMBER(SEARCH("menarik",V770&amp;" ")),ISNUMBER(SEARCH("design",V770&amp;" ")),ISNUMBER(SEARCH("desain",V770&amp;" ")),ISNUMBER(SEARCH("font",V770&amp;" ")),ISNUMBER(SEARCH("warna",V770&amp;" ")),ISNUMBER(SEARCH("soft",V770&amp;" ")),ISNUMBER(SEARCH("kaku",V770&amp;" ")),ISNUMBER(SEARCH("elegan",V770&amp;" ")),ISNUMBER(SEARCH("grafis",V770&amp;" ")),ISNUMBER(SEARCH("visual",V770&amp;" ")),ISNUMBER(SEARCH("logo",V770&amp;" ")),ISNUMBER(SEARCH("jenuh",V770&amp;" ")),ISNUMBER(SEARCH("abu",V770&amp;" ")),ISNUMBER(SEARCH("tampilannya",V770&amp;" ")),ISNUMBER(SEARCH("tampilan dibuat",V770&amp;" ")),ISNUMBER(SEARCH("tamoilan",V770&amp;" ")),ISNUMBER(SEARCH("lebih user friendly",V770&amp;" "))),"Desain, Warna &amp; Font",IF(OR(ISNUMBER(SEARCH("perbanyak",V770&amp;" ")),ISNUMBER(SEARCH("jabarkan",V770&amp;" ")),ISNUMBER(SEARCH("jobdesk",V770&amp;" ")),ISNUMBER(SEARCH("pengajuan",V770&amp;" ")),ISNUMBER(SEARCH("informasi",V770&amp;" "))),"Penambahan Isi / Penjelasan",IF(OR(ISNUMBER(SEARCH("tingkat",V770&amp;" ")),ISNUMBER(SEARCH("kembang",V770&amp;" ")),ISNUMBER(SEARCH("lebih baik lagi",V770&amp;" ")),ISNUMBER(SEARCH("maksimal",V770&amp;" ")),ISNUMBER(SEARCH("penikatan",V770&amp;" "))),"Saran Umum Peningkatan",IF(OR(ISNUMBER(SEARCH("tidak",V770&amp;" ")),ISNUMBER(SEARCH("tdk",V770&amp;" ")),ISNUMBER(SEARCH("sudah",V770&amp;" ")),ISNUMBER(SEARCH("sdh",V770&amp;" ")),ISNUMBER(SEARCH("cukup",V770&amp;" ")),ISNUMBER(SEARCH("baik",V770&amp;" ")),ISNUMBER(SEARCH("bagus",V770&amp;" ")),ISNUMBER(SEARCH("ok",V770&amp;" ")),ISNUMBER(SEARCH("good",V770&amp;" ")),ISNUMBER(SEARCH("aman",V770&amp;" ")),ISNUMBER(SEARCH("lanjut",V770&amp;" ")),ISNUMBER(SEARCH("mantap",V770&amp;" ")),ISNUMBER(SEARCH("josjis",V770&amp;" ")),ISNUMBER(SEARCH("lumayan",V770&amp;" ")),ISNUMBER(SEARCH("mudah",V770&amp;" ")),ISNUMBER(SEARCH("belum",V770&amp;" ")),ISNUMBER(SEARCH("membantu",V770&amp;" ")),ISNUMBER(SEARCH("comment",V770&amp;" ")),ISNUMBER(SEARCH("lengkap",V770&amp;" ")),ISNUMBER(SEARCH("tercakup",V770&amp;" ")),ISNUMBER(SEARCH("mencakup",V770&amp;" ")),ISNUMBER(SEARCH("semua",V770&amp;" ")),ISNUMBER(SEARCH("penting",V770&amp;" ")),ISNUMBER(SEARCH("terangkum",V770&amp;" ")),ISNUMBER(SEARCH("pas",V770&amp;" ")),ISNUMBER(SEARCH("berjalan",V770&amp;" ")),ISNUMBER(SEARCH("sesuai",V770&amp;" "))),"Tidak ada masukan / sudah baik","Lainnya (perlu dibaca manual)"))))))))))))))</f>
        <v/>
      </c>
      <c r="AA770" s="8" t="str">
        <f t="shared" ref="AA770:AA833" si="266">IF($A770="","",IF(LEN(SUBSTITUTE(SUBSTITUTE(SUBSTITUTE(W770,"-",""),".",""),"?",""))&lt;2,"Tidak ada masukan / sudah baik",IF(OR(ISNUMBER(SEARCH("tampilan",W770&amp;" ")),ISNUMBER(SEARCH("lemot",W770&amp;" "))),"Bukan Terkait SOP (Tampilan / Akses)",IF(OR(ISNUMBER(SEARCH("sanksi",W770&amp;" ")),ISNUMBER(SEARCH("pelanggaran",W770&amp;" ")),ISNUMBER(SEARCH("larangan",W770&amp;" ")),ISNUMBER(SEARCH("rekening pribadi",W770&amp;" "))),"Sanksi &amp; Pelanggaran SOP",IF(OR(ISNUMBER(SEARCH("npl",W770&amp;" ")),ISNUMBER(SEARCH("piutang",W770&amp;" ")),ISNUMBER(SEARCH("rekon",W770&amp;" ")),ISNUMBER(SEARCH("overdue",W770&amp;" ")),ISNUMBER(SEARCH("restruk",W770&amp;" ")),ISNUMBER(SEARCH("tempo",W770&amp;" "))),"Piutang &amp; Pelanggan Bermasalah",IF(OR(ISNUMBER(SEARCH("kiriman",W770&amp;" ")),ISNUMBER(SEARCH("pengiriman",W770&amp;" ")),ISNUMBER(SEARCH("retur",W770&amp;" ")),ISNUMBER(SEARCH("barang",W770&amp;" "))),"Pengiriman, Retur &amp; Logistik",IF(OR(ISNUMBER(SEARCH("contact",W770&amp;" ")),ISNUMBER(SEARCH("kontak",W770&amp;" ")),ISNUMBER(SEARCH("pic",W770&amp;" ")),ISNUMBER(SEARCH("berwenang",W770&amp;" ")),ISNUMBER(SEARCH("follow up",W770&amp;" ")),ISNUMBER(SEARCH("eskalasi",W770&amp;" "))),"Kontak PIC &amp; Eskalasi",IF(OR(ISNUMBER(SEARCH("laporan evaluasi",W770&amp;" ")),ISNUMBER(SEARCH("aplikasi cp",W770&amp;" ")),ISNUMBER(SEARCH("flowchart",W770&amp;" ")),ISNUMBER(SEARCH("acuan",W770&amp;" ")),ISNUMBER(SEARCH("poa",W770&amp;" ")),ISNUMBER(SEARCH("aktifitas",W770&amp;" ")),ISNUMBER(SEARCH("aktivitas",W770&amp;" "))),"Panduan Laporan &amp; Alur Kerja",IF(OR(ISNUMBER(SEARCH("notifikasi",W770&amp;" ")),ISNUMBER(SEARCH("pembaruan",W770&amp;" ")),ISNUMBER(SEARCH("perubahan",W770&amp;" ")),ISNUMBER(SEARCH("update",W770&amp;" "))),"Pembaruan &amp; Notifikasi SOP",IF(OR(ISNUMBER(SEARCH("tidak",W770&amp;" ")),ISNUMBER(SEARCH("tdk",W770&amp;" ")),ISNUMBER(SEARCH("sudah",W770&amp;" ")),ISNUMBER(SEARCH("sdh",W770&amp;" ")),ISNUMBER(SEARCH("cukup",W770&amp;" ")),ISNUMBER(SEARCH("baik",W770&amp;" ")),ISNUMBER(SEARCH("bagus",W770&amp;" ")),ISNUMBER(SEARCH("ok",W770&amp;" ")),ISNUMBER(SEARCH("good",W770&amp;" ")),ISNUMBER(SEARCH("aman",W770&amp;" ")),ISNUMBER(SEARCH("lanjut",W770&amp;" ")),ISNUMBER(SEARCH("mantap",W770&amp;" ")),ISNUMBER(SEARCH("josjis",W770&amp;" ")),ISNUMBER(SEARCH("lumayan",W770&amp;" ")),ISNUMBER(SEARCH("mudah",W770&amp;" ")),ISNUMBER(SEARCH("belum",W770&amp;" ")),ISNUMBER(SEARCH("membantu",W770&amp;" ")),ISNUMBER(SEARCH("comment",W770&amp;" ")),ISNUMBER(SEARCH("lengkap",W770&amp;" ")),ISNUMBER(SEARCH("tercakup",W770&amp;" ")),ISNUMBER(SEARCH("mencakup",W770&amp;" ")),ISNUMBER(SEARCH("semua",W770&amp;" ")),ISNUMBER(SEARCH("penting",W770&amp;" ")),ISNUMBER(SEARCH("terangkum",W770&amp;" ")),ISNUMBER(SEARCH("pas",W770&amp;" ")),ISNUMBER(SEARCH("berjalan",W770&amp;" ")),ISNUMBER(SEARCH("sesuai",W770&amp;" "))),"Tidak ada masukan / sudah baik","Lainnya (perlu dibaca manual)"))))))))))</f>
        <v/>
      </c>
      <c r="AB770" s="8" t="str">
        <f t="shared" ref="AB770:AB833" si="267">IF($A770="","",IF(LEN(SUBSTITUTE(SUBSTITUTE(SUBSTITUTE(X770,"-",""),".",""),"?",""))&lt;2,"Tidak ada masukan / sudah baik",IF(OR(ISNUMBER(SEARCH("urgent",X770&amp;" "))),"Lainnya (perlu dibaca manual)",IF(OR(ISNUMBER(SEARCH("struktur organisasi",X770&amp;" ")),ISNUMBER(SEARCH("pic",X770&amp;" ")),ISNUMBER(SEARCH("cp",X770&amp;" ")),ISNUMBER(SEARCH("personil",X770&amp;" ")),ISNUMBER(SEARCH("sales",X770&amp;" ")),ISNUMBER(SEARCH("muka",X770&amp;" ")),ISNUMBER(SEARCH("eskalasi",X770&amp;" "))),"Struktur Organisasi, PIC &amp; Tim",IF(OR(ISNUMBER(SEARCH("lemot",X770&amp;" ")),ISNUMBER(SEARCH("lambat",X770&amp;" ")),ISNUMBER(SEARCH("memuat",X770&amp;" ")),ISNUMBER(SEARCH("koneksi",X770&amp;" "))),"Kecepatan Akses Website",IF(OR(ISNUMBER(SEARCH("sacs",X770&amp;" ")),ISNUMBER(SEARCH("aplikasi",X770&amp;" "))),"Integrasi ke SACS / Aplikasi Kerja",IF(OR(ISNUMBER(SEARCH("dashboard",X770&amp;" ")),ISNUMBER(SEARCH("kpi",X770&amp;" ")),ISNUMBER(SEARCH("database",X770&amp;" ")),ISNUMBER(SEARCH("kinerja",X770&amp;" ")),ISNUMBER(SEARCH("seluruh cabang",X770&amp;" "))),"Fitur Baru (Dashboard / KPI / Database)",IF(OR(ISNUMBER(SEARCH("video",X770&amp;" ")),ISNUMBER(SEARCH("gambar",X770&amp;" ")),ISNUMBER(SEARCH("jpg",X770&amp;" ")),ISNUMBER(SEARCH("flowchart",X770&amp;" ")),ISNUMBER(SEARCH("tutorial",X770&amp;" "))),"Tambah Video / Gambar / Flowchart",IF(OR(ISNUMBER(SEARCH("template",X770&amp;" ")),ISNUMBER(SEARCH("surat",X770&amp;" ")),ISNUMBER(SEARCH("korin",X770&amp;" ")),ISNUMBER(SEARCH("overdue",X770&amp;" ")),ISNUMBER(SEARCH("restruk",X770&amp;" ")),ISNUMBER(SEARCH("tempo",X770&amp;" ")),ISNUMBER(SEARCH("larangan",X770&amp;" ")),ISNUMBER(SEARCH("posisi lain",X770&amp;" ")),ISNUMBER(SEARCH("jobdesk",X770&amp;" ")),ISNUMBER(SEARCH("jobdisk",X770&amp;" ")),ISNUMBER(SEARCH("langkah",X770&amp;" ")),ISNUMBER(SEARCH("detail",X770&amp;" ")),ISNUMBER(SEARCH("panduan",X770&amp;" ")),ISNUMBER(SEARCH("lengkap lagi",X770&amp;" ")),ISNUMBER(SEARCH("tips",X770&amp;" "))),"Penambahan Materi &amp; Template",IF(OR(ISNUMBER(SEARCH("simpel",X770&amp;" ")),ISNUMBER(SEARCH("simple",X770&amp;" ")),ISNUMBER(SEARCH("ringkas",X770&amp;" ")),ISNUMBER(SEARCH("monoton",X770&amp;" ")),ISNUMBER(SEARCH("penataan",X770&amp;" "))),"Penyederhanaan Isi",IF(OR(ISNUMBER(SEARCH("menarik",X770&amp;" ")),ISNUMBER(SEARCH("design",X770&amp;" ")),ISNUMBER(SEARCH("desain",X770&amp;" ")),ISNUMBER(SEARCH("tampilan",X770&amp;" ")),ISNUMBER(SEARCH("kaku",X770&amp;" ")),ISNUMBER(SEARCH("user friendly",X770&amp;" "))),"Desain Tampilan",IF(OR(ISNUMBER(SEARCH("update",X770&amp;" ")),ISNUMBER(SEARCH("terbaru",X770&amp;" ")),ISNUMBER(SEARCH("terkini",X770&amp;" ")),ISNUMBER(SEARCH("uptodate",X770&amp;" "))),"Update Informasi Berkala",IF(OR(ISNUMBER(SEARCH("tingkat",X770&amp;" ")),ISNUMBER(SEARCH("kembang",X770&amp;" ")),ISNUMBER(SEARCH("inovasi",X770&amp;" ")),ISNUMBER(SEARCH("maintenance",X770&amp;" "))),"Saran Umum Peningkatan",IF(OR(ISNUMBER(SEARCH("tidak",X770&amp;" ")),ISNUMBER(SEARCH("tdk",X770&amp;" ")),ISNUMBER(SEARCH("sudah",X770&amp;" ")),ISNUMBER(SEARCH("sdh",X770&amp;" ")),ISNUMBER(SEARCH("cukup",X770&amp;" ")),ISNUMBER(SEARCH("baik",X770&amp;" ")),ISNUMBER(SEARCH("bagus",X770&amp;" ")),ISNUMBER(SEARCH("ok",X770&amp;" ")),ISNUMBER(SEARCH("good",X770&amp;" ")),ISNUMBER(SEARCH("aman",X770&amp;" ")),ISNUMBER(SEARCH("lanjut",X770&amp;" ")),ISNUMBER(SEARCH("mantap",X770&amp;" ")),ISNUMBER(SEARCH("josjis",X770&amp;" ")),ISNUMBER(SEARCH("lumayan",X770&amp;" ")),ISNUMBER(SEARCH("mudah",X770&amp;" ")),ISNUMBER(SEARCH("belum",X770&amp;" ")),ISNUMBER(SEARCH("membantu",X770&amp;" ")),ISNUMBER(SEARCH("comment",X770&amp;" ")),ISNUMBER(SEARCH("lengkap",X770&amp;" ")),ISNUMBER(SEARCH("tercakup",X770&amp;" ")),ISNUMBER(SEARCH("mencakup",X770&amp;" ")),ISNUMBER(SEARCH("semua",X770&amp;" ")),ISNUMBER(SEARCH("penting",X770&amp;" ")),ISNUMBER(SEARCH("terangkum",X770&amp;" ")),ISNUMBER(SEARCH("pas",X770&amp;" ")),ISNUMBER(SEARCH("berjalan",X770&amp;" ")),ISNUMBER(SEARCH("sesuai",X770&amp;" "))),"Tidak ada masukan / sudah baik","Lainnya (perlu dibaca manual)"))))))))))))))</f>
        <v/>
      </c>
      <c r="AC770" s="8"/>
      <c r="AD770" s="8"/>
      <c r="AE770" s="8"/>
      <c r="AK770" s="5" t="str">
        <f t="shared" ref="AK770:AK833" si="268">IF($A770="","",IF(OR($Z770="Kecepatan &amp; Loading Website",$AB770="Kecepatan Akses Website",AND($AA770="Bukan Terkait SOP (Tampilan / Akses)",OR(ISNUMBER(SEARCH("lemot",$W770)),ISNUMBER(SEARCH("loading",$W770)),ISNUMBER(SEARCH("lambat",$W770))))),1,0))</f>
        <v/>
      </c>
      <c r="AL770" s="5" t="str">
        <f t="shared" ref="AL770:AL833" si="269">IF($A770="","",IF(OR($Z770="Tampilan di HP (Responsif)"),1,0))</f>
        <v/>
      </c>
      <c r="AM770" s="5" t="str">
        <f t="shared" ref="AM770:AM833" si="270">IF($A770="","",IF(OR($Z770="Desain, Warna &amp; Font",$AB770="Desain Tampilan",AND($AA770="Bukan Terkait SOP (Tampilan / Akses)",NOT(OR(ISNUMBER(SEARCH("lemot",$W770)),ISNUMBER(SEARCH("loading",$W770)),ISNUMBER(SEARCH("lambat",$W770)))))),1,0))</f>
        <v/>
      </c>
      <c r="AN770" s="5" t="str">
        <f t="shared" ref="AN770:AN833" si="271">IF($A770="","",IF(OR($Z770="Menu per Jabatan / Navigasi"),1,0))</f>
        <v/>
      </c>
      <c r="AO770" s="5" t="str">
        <f t="shared" ref="AO770:AO833" si="272">IF($A770="","",IF(OR($Z770="Integrasi dengan SACS / Aplikasi",$AB770="Integrasi ke SACS / Aplikasi Kerja"),1,0))</f>
        <v/>
      </c>
      <c r="AP770" s="5" t="str">
        <f t="shared" ref="AP770:AP833" si="273">IF($A770="","",IF(OR($AB770="Fitur Baru (Dashboard / KPI / Database)"),1,0))</f>
        <v/>
      </c>
      <c r="AQ770" s="5" t="str">
        <f t="shared" ref="AQ770:AQ833" si="274">IF($A770="","",IF(OR($Z770="Penyederhanaan &amp; Ringkas Isi",$AB770="Penyederhanaan Isi"),1,0))</f>
        <v/>
      </c>
      <c r="AR770" s="5" t="str">
        <f t="shared" ref="AR770:AR833" si="275">IF($A770="","",IF(OR($Z770="Penambahan Isi / Penjelasan",$AB770="Penambahan Materi &amp; Template"),1,0))</f>
        <v/>
      </c>
      <c r="AS770" s="5" t="str">
        <f t="shared" ref="AS770:AS833" si="276">IF($A770="","",IF(OR($Z770="Tambah Video / Bagan",$AB770="Tambah Video / Gambar / Flowchart"),1,0))</f>
        <v/>
      </c>
      <c r="AT770" s="5" t="str">
        <f t="shared" ref="AT770:AT833" si="277">IF($A770="","",IF(OR($Z770="Kontak &amp; Informasi PIC",$AA770="Kontak PIC &amp; Eskalasi",$AB770="Struktur Organisasi, PIC &amp; Tim"),1,0))</f>
        <v/>
      </c>
      <c r="AU770" s="5" t="str">
        <f t="shared" ref="AU770:AU833" si="278">IF($A770="","",IF(OR($AA770="Pembaruan &amp; Notifikasi SOP",$AB770="Update Informasi Berkala"),1,0))</f>
        <v/>
      </c>
      <c r="AV770" s="5" t="str">
        <f t="shared" ref="AV770:AV833" si="279">IF($A770="","",IF(OR($AA770="Sanksi &amp; Pelanggaran SOP"),1,0))</f>
        <v/>
      </c>
      <c r="AW770" s="5" t="str">
        <f t="shared" ref="AW770:AW833" si="280">IF($A770="","",IF(OR($AA770="Piutang &amp; Pelanggan Bermasalah"),1,0))</f>
        <v/>
      </c>
      <c r="AX770" s="5" t="str">
        <f t="shared" ref="AX770:AX833" si="281">IF($A770="","",IF(OR($AA770="Pengiriman, Retur &amp; Logistik"),1,0))</f>
        <v/>
      </c>
      <c r="AY770" s="5" t="str">
        <f t="shared" ref="AY770:AY833" si="282">IF($A770="","",IF(OR($AA770="Panduan Laporan &amp; Alur Kerja"),1,0))</f>
        <v/>
      </c>
      <c r="AZ770" s="5" t="str">
        <f t="shared" ref="AZ770:AZ833" si="283">IF($A770="","",IF(OR($Z770="Saran Umum Peningkatan",$AB770="Saran Umum Peningkatan"),1,0))</f>
        <v/>
      </c>
      <c r="BA770" s="5" t="str">
        <f t="shared" ref="BA770:BA833" si="284">IF($A770="","",IF(OR($Z770="Lainnya (perlu dibaca manual)",$AA770="Lainnya (perlu dibaca manual)",$AB770="Lainnya (perlu dibaca manual)"),1,0))</f>
        <v/>
      </c>
      <c r="BB770" s="5" t="str">
        <f t="shared" ref="BB770:BB833" si="285">IF($A770="","",IF(AND($Z770="Tidak ada masukan / sudah baik",$AA770="Tidak ada masukan / sudah baik",$AB770="Tidak ada masukan / sudah baik"),0,1))</f>
        <v/>
      </c>
    </row>
    <row r="771" spans="1:54" s="5" customFormat="1" hidden="1">
      <c r="A771" s="8" t="str">
        <f>IF(INDEX(FORM!$A:$A,ROW())="","",ROW()-1)</f>
        <v/>
      </c>
      <c r="B771" s="41" t="str">
        <f>IF($A771="","",INDEX(FORM!$A:$A,ROW()))</f>
        <v/>
      </c>
      <c r="C771" s="8" t="str">
        <f>IF($A771="","",TRIM(INDEX(FORM!$B:$B,ROW())))</f>
        <v/>
      </c>
      <c r="D771" s="8" t="str">
        <f>IF($A771="","",TRIM(INDEX(FORM!$C:$C,ROW())&amp;""))</f>
        <v/>
      </c>
      <c r="E771" s="8" t="str">
        <f>IF($A771="","",UPPER(TRIM(INDEX(FORM!$D:$D,ROW()))))</f>
        <v/>
      </c>
      <c r="F771" s="8" t="str">
        <f>IF($A771="","",IFERROR(INDEX(PROGRES!$A$2:$A$92,MATCH(E771,PROGRES!$B$2:$B$92,0)),"-"))</f>
        <v/>
      </c>
      <c r="G771" s="8" t="str">
        <f>IF($A771="","",UPPER(TRIM(INDEX(FORM!$F:$F,ROW()))))</f>
        <v/>
      </c>
      <c r="H771" s="8" t="str">
        <f>IF($A771="","",UPPER(TRIM(INDEX(FORM!$E:$E,ROW()))))</f>
        <v/>
      </c>
      <c r="I771" s="8" t="str">
        <f>IF($A771="","",UPPER(TRIM(INDEX(FORM!$G:$G,ROW()))))</f>
        <v/>
      </c>
      <c r="J771" s="8" t="str">
        <f>IF($A771="","",IF(ISNUMBER(SEARCH("Ya,",INDEX(FORM!$H:$H,ROW()))),"YA",IF(ISNUMBER(SEARCH("Cukup,",INDEX(FORM!$H:$H,ROW()))),"CUKUP",IF(ISNUMBER(SEARCH("Kurang,",INDEX(FORM!$H:$H,ROW()))),"KURANG",""))))</f>
        <v/>
      </c>
      <c r="K771" s="8" t="str">
        <f>IF($A771="","",UPPER(TRIM(INDEX(FORM!$J:$J,ROW()))))</f>
        <v/>
      </c>
      <c r="L771" s="8" t="str">
        <f>IF($A771="","",IF(ISNUMBER(SEARCH("Aktivitas Harian",INDEX(FORM!$K:$K,ROW()))),1,0))</f>
        <v/>
      </c>
      <c r="M771" s="8" t="str">
        <f>IF($A771="","",IF(ISNUMBER(SEARCH("Aktivitas Mingguan",INDEX(FORM!$K:$K,ROW()))),1,0))</f>
        <v/>
      </c>
      <c r="N771" s="8" t="str">
        <f>IF($A771="","",IF(ISNUMBER(SEARCH("Aktivitas Bulanan",INDEX(FORM!$K:$K,ROW()))),1,0))</f>
        <v/>
      </c>
      <c r="O771" s="8" t="str">
        <f>IF($A771="","",IF(ISNUMBER(SEARCH("Overview Cabang",INDEX(FORM!$K:$K,ROW()))),1,0))</f>
        <v/>
      </c>
      <c r="P771" s="8" t="str">
        <f>IF($A771="","",IFERROR(VLOOKUP(I771,DATA!$AH$9:$AI$13,2,0),""))</f>
        <v/>
      </c>
      <c r="Q771" s="8" t="str">
        <f>IF($A771="","",IFERROR(VLOOKUP(J771,DATA!$AH$9:$AI$13,2,0),""))</f>
        <v/>
      </c>
      <c r="R771" s="8" t="str">
        <f>IF($A771="","",IFERROR(VLOOKUP(K771,DATA!$AH$9:$AI$13,2,0),""))</f>
        <v/>
      </c>
      <c r="S771" s="42" t="str">
        <f t="shared" si="264"/>
        <v/>
      </c>
      <c r="T771" s="8" t="str">
        <f>IF($A771="","",IF(COUNTIF($D$2:D771,D771)=1,1,0))</f>
        <v/>
      </c>
      <c r="U771" s="8" t="str">
        <f>IF($A771="","",IF(F771="-","Cabang tdk ada",IF(IFERROR(VLOOKUP(G771,#REF!,1,0),"")="","",IF(INDEX(DATA!$AH$2:$AH$5,MATCH(G771,DATA!$AI$2:$AI$5,0))&lt;&gt;F771,"Wilayah beda","OK"))))</f>
        <v/>
      </c>
      <c r="V771" s="8" t="str">
        <f>IF($A771="","",TRIM(INDEX(FORM!$I:$I,ROW())&amp;""))</f>
        <v/>
      </c>
      <c r="W771" s="8" t="str">
        <f>IF($A771="","",TRIM(INDEX(FORM!$L:$L,ROW())&amp;""))</f>
        <v/>
      </c>
      <c r="X771" s="8" t="str">
        <f>IF($A771="","",TRIM(INDEX(FORM!$M:$M,ROW())&amp;""))</f>
        <v/>
      </c>
      <c r="Y771" s="8" t="str">
        <f>IF($A771="","",IFERROR(MATCH(F771,DATA!$AH$2:$AH$5,0),9)*10000+A771)</f>
        <v/>
      </c>
      <c r="Z771" s="8" t="str">
        <f t="shared" si="265"/>
        <v/>
      </c>
      <c r="AA771" s="8" t="str">
        <f t="shared" si="266"/>
        <v/>
      </c>
      <c r="AB771" s="8" t="str">
        <f t="shared" si="267"/>
        <v/>
      </c>
      <c r="AC771" s="8"/>
      <c r="AD771" s="8"/>
      <c r="AE771" s="8"/>
      <c r="AK771" s="5" t="str">
        <f t="shared" si="268"/>
        <v/>
      </c>
      <c r="AL771" s="5" t="str">
        <f t="shared" si="269"/>
        <v/>
      </c>
      <c r="AM771" s="5" t="str">
        <f t="shared" si="270"/>
        <v/>
      </c>
      <c r="AN771" s="5" t="str">
        <f t="shared" si="271"/>
        <v/>
      </c>
      <c r="AO771" s="5" t="str">
        <f t="shared" si="272"/>
        <v/>
      </c>
      <c r="AP771" s="5" t="str">
        <f t="shared" si="273"/>
        <v/>
      </c>
      <c r="AQ771" s="5" t="str">
        <f t="shared" si="274"/>
        <v/>
      </c>
      <c r="AR771" s="5" t="str">
        <f t="shared" si="275"/>
        <v/>
      </c>
      <c r="AS771" s="5" t="str">
        <f t="shared" si="276"/>
        <v/>
      </c>
      <c r="AT771" s="5" t="str">
        <f t="shared" si="277"/>
        <v/>
      </c>
      <c r="AU771" s="5" t="str">
        <f t="shared" si="278"/>
        <v/>
      </c>
      <c r="AV771" s="5" t="str">
        <f t="shared" si="279"/>
        <v/>
      </c>
      <c r="AW771" s="5" t="str">
        <f t="shared" si="280"/>
        <v/>
      </c>
      <c r="AX771" s="5" t="str">
        <f t="shared" si="281"/>
        <v/>
      </c>
      <c r="AY771" s="5" t="str">
        <f t="shared" si="282"/>
        <v/>
      </c>
      <c r="AZ771" s="5" t="str">
        <f t="shared" si="283"/>
        <v/>
      </c>
      <c r="BA771" s="5" t="str">
        <f t="shared" si="284"/>
        <v/>
      </c>
      <c r="BB771" s="5" t="str">
        <f t="shared" si="285"/>
        <v/>
      </c>
    </row>
    <row r="772" spans="1:54" s="5" customFormat="1" hidden="1">
      <c r="A772" s="8" t="str">
        <f>IF(INDEX(FORM!$A:$A,ROW())="","",ROW()-1)</f>
        <v/>
      </c>
      <c r="B772" s="41" t="str">
        <f>IF($A772="","",INDEX(FORM!$A:$A,ROW()))</f>
        <v/>
      </c>
      <c r="C772" s="8" t="str">
        <f>IF($A772="","",TRIM(INDEX(FORM!$B:$B,ROW())))</f>
        <v/>
      </c>
      <c r="D772" s="8" t="str">
        <f>IF($A772="","",TRIM(INDEX(FORM!$C:$C,ROW())&amp;""))</f>
        <v/>
      </c>
      <c r="E772" s="8" t="str">
        <f>IF($A772="","",UPPER(TRIM(INDEX(FORM!$D:$D,ROW()))))</f>
        <v/>
      </c>
      <c r="F772" s="8" t="str">
        <f>IF($A772="","",IFERROR(INDEX(PROGRES!$A$2:$A$92,MATCH(E772,PROGRES!$B$2:$B$92,0)),"-"))</f>
        <v/>
      </c>
      <c r="G772" s="8" t="str">
        <f>IF($A772="","",UPPER(TRIM(INDEX(FORM!$F:$F,ROW()))))</f>
        <v/>
      </c>
      <c r="H772" s="8" t="str">
        <f>IF($A772="","",UPPER(TRIM(INDEX(FORM!$E:$E,ROW()))))</f>
        <v/>
      </c>
      <c r="I772" s="8" t="str">
        <f>IF($A772="","",UPPER(TRIM(INDEX(FORM!$G:$G,ROW()))))</f>
        <v/>
      </c>
      <c r="J772" s="8" t="str">
        <f>IF($A772="","",IF(ISNUMBER(SEARCH("Ya,",INDEX(FORM!$H:$H,ROW()))),"YA",IF(ISNUMBER(SEARCH("Cukup,",INDEX(FORM!$H:$H,ROW()))),"CUKUP",IF(ISNUMBER(SEARCH("Kurang,",INDEX(FORM!$H:$H,ROW()))),"KURANG",""))))</f>
        <v/>
      </c>
      <c r="K772" s="8" t="str">
        <f>IF($A772="","",UPPER(TRIM(INDEX(FORM!$J:$J,ROW()))))</f>
        <v/>
      </c>
      <c r="L772" s="8" t="str">
        <f>IF($A772="","",IF(ISNUMBER(SEARCH("Aktivitas Harian",INDEX(FORM!$K:$K,ROW()))),1,0))</f>
        <v/>
      </c>
      <c r="M772" s="8" t="str">
        <f>IF($A772="","",IF(ISNUMBER(SEARCH("Aktivitas Mingguan",INDEX(FORM!$K:$K,ROW()))),1,0))</f>
        <v/>
      </c>
      <c r="N772" s="8" t="str">
        <f>IF($A772="","",IF(ISNUMBER(SEARCH("Aktivitas Bulanan",INDEX(FORM!$K:$K,ROW()))),1,0))</f>
        <v/>
      </c>
      <c r="O772" s="8" t="str">
        <f>IF($A772="","",IF(ISNUMBER(SEARCH("Overview Cabang",INDEX(FORM!$K:$K,ROW()))),1,0))</f>
        <v/>
      </c>
      <c r="P772" s="8" t="str">
        <f>IF($A772="","",IFERROR(VLOOKUP(I772,DATA!$AH$9:$AI$13,2,0),""))</f>
        <v/>
      </c>
      <c r="Q772" s="8" t="str">
        <f>IF($A772="","",IFERROR(VLOOKUP(J772,DATA!$AH$9:$AI$13,2,0),""))</f>
        <v/>
      </c>
      <c r="R772" s="8" t="str">
        <f>IF($A772="","",IFERROR(VLOOKUP(K772,DATA!$AH$9:$AI$13,2,0),""))</f>
        <v/>
      </c>
      <c r="S772" s="42" t="str">
        <f t="shared" si="264"/>
        <v/>
      </c>
      <c r="T772" s="8" t="str">
        <f>IF($A772="","",IF(COUNTIF($D$2:D772,D772)=1,1,0))</f>
        <v/>
      </c>
      <c r="U772" s="8" t="str">
        <f>IF($A772="","",IF(F772="-","Cabang tdk ada",IF(IFERROR(VLOOKUP(G772,#REF!,1,0),"")="","",IF(INDEX(DATA!$AH$2:$AH$5,MATCH(G772,DATA!$AI$2:$AI$5,0))&lt;&gt;F772,"Wilayah beda","OK"))))</f>
        <v/>
      </c>
      <c r="V772" s="8" t="str">
        <f>IF($A772="","",TRIM(INDEX(FORM!$I:$I,ROW())&amp;""))</f>
        <v/>
      </c>
      <c r="W772" s="8" t="str">
        <f>IF($A772="","",TRIM(INDEX(FORM!$L:$L,ROW())&amp;""))</f>
        <v/>
      </c>
      <c r="X772" s="8" t="str">
        <f>IF($A772="","",TRIM(INDEX(FORM!$M:$M,ROW())&amp;""))</f>
        <v/>
      </c>
      <c r="Y772" s="8" t="str">
        <f>IF($A772="","",IFERROR(MATCH(F772,DATA!$AH$2:$AH$5,0),9)*10000+A772)</f>
        <v/>
      </c>
      <c r="Z772" s="8" t="str">
        <f t="shared" si="265"/>
        <v/>
      </c>
      <c r="AA772" s="8" t="str">
        <f t="shared" si="266"/>
        <v/>
      </c>
      <c r="AB772" s="8" t="str">
        <f t="shared" si="267"/>
        <v/>
      </c>
      <c r="AC772" s="8"/>
      <c r="AD772" s="8"/>
      <c r="AE772" s="8"/>
      <c r="AK772" s="5" t="str">
        <f t="shared" si="268"/>
        <v/>
      </c>
      <c r="AL772" s="5" t="str">
        <f t="shared" si="269"/>
        <v/>
      </c>
      <c r="AM772" s="5" t="str">
        <f t="shared" si="270"/>
        <v/>
      </c>
      <c r="AN772" s="5" t="str">
        <f t="shared" si="271"/>
        <v/>
      </c>
      <c r="AO772" s="5" t="str">
        <f t="shared" si="272"/>
        <v/>
      </c>
      <c r="AP772" s="5" t="str">
        <f t="shared" si="273"/>
        <v/>
      </c>
      <c r="AQ772" s="5" t="str">
        <f t="shared" si="274"/>
        <v/>
      </c>
      <c r="AR772" s="5" t="str">
        <f t="shared" si="275"/>
        <v/>
      </c>
      <c r="AS772" s="5" t="str">
        <f t="shared" si="276"/>
        <v/>
      </c>
      <c r="AT772" s="5" t="str">
        <f t="shared" si="277"/>
        <v/>
      </c>
      <c r="AU772" s="5" t="str">
        <f t="shared" si="278"/>
        <v/>
      </c>
      <c r="AV772" s="5" t="str">
        <f t="shared" si="279"/>
        <v/>
      </c>
      <c r="AW772" s="5" t="str">
        <f t="shared" si="280"/>
        <v/>
      </c>
      <c r="AX772" s="5" t="str">
        <f t="shared" si="281"/>
        <v/>
      </c>
      <c r="AY772" s="5" t="str">
        <f t="shared" si="282"/>
        <v/>
      </c>
      <c r="AZ772" s="5" t="str">
        <f t="shared" si="283"/>
        <v/>
      </c>
      <c r="BA772" s="5" t="str">
        <f t="shared" si="284"/>
        <v/>
      </c>
      <c r="BB772" s="5" t="str">
        <f t="shared" si="285"/>
        <v/>
      </c>
    </row>
    <row r="773" spans="1:54" s="5" customFormat="1" hidden="1">
      <c r="A773" s="8" t="str">
        <f>IF(INDEX(FORM!$A:$A,ROW())="","",ROW()-1)</f>
        <v/>
      </c>
      <c r="B773" s="41" t="str">
        <f>IF($A773="","",INDEX(FORM!$A:$A,ROW()))</f>
        <v/>
      </c>
      <c r="C773" s="8" t="str">
        <f>IF($A773="","",TRIM(INDEX(FORM!$B:$B,ROW())))</f>
        <v/>
      </c>
      <c r="D773" s="8" t="str">
        <f>IF($A773="","",TRIM(INDEX(FORM!$C:$C,ROW())&amp;""))</f>
        <v/>
      </c>
      <c r="E773" s="8" t="str">
        <f>IF($A773="","",UPPER(TRIM(INDEX(FORM!$D:$D,ROW()))))</f>
        <v/>
      </c>
      <c r="F773" s="8" t="str">
        <f>IF($A773="","",IFERROR(INDEX(PROGRES!$A$2:$A$92,MATCH(E773,PROGRES!$B$2:$B$92,0)),"-"))</f>
        <v/>
      </c>
      <c r="G773" s="8" t="str">
        <f>IF($A773="","",UPPER(TRIM(INDEX(FORM!$F:$F,ROW()))))</f>
        <v/>
      </c>
      <c r="H773" s="8" t="str">
        <f>IF($A773="","",UPPER(TRIM(INDEX(FORM!$E:$E,ROW()))))</f>
        <v/>
      </c>
      <c r="I773" s="8" t="str">
        <f>IF($A773="","",UPPER(TRIM(INDEX(FORM!$G:$G,ROW()))))</f>
        <v/>
      </c>
      <c r="J773" s="8" t="str">
        <f>IF($A773="","",IF(ISNUMBER(SEARCH("Ya,",INDEX(FORM!$H:$H,ROW()))),"YA",IF(ISNUMBER(SEARCH("Cukup,",INDEX(FORM!$H:$H,ROW()))),"CUKUP",IF(ISNUMBER(SEARCH("Kurang,",INDEX(FORM!$H:$H,ROW()))),"KURANG",""))))</f>
        <v/>
      </c>
      <c r="K773" s="8" t="str">
        <f>IF($A773="","",UPPER(TRIM(INDEX(FORM!$J:$J,ROW()))))</f>
        <v/>
      </c>
      <c r="L773" s="8" t="str">
        <f>IF($A773="","",IF(ISNUMBER(SEARCH("Aktivitas Harian",INDEX(FORM!$K:$K,ROW()))),1,0))</f>
        <v/>
      </c>
      <c r="M773" s="8" t="str">
        <f>IF($A773="","",IF(ISNUMBER(SEARCH("Aktivitas Mingguan",INDEX(FORM!$K:$K,ROW()))),1,0))</f>
        <v/>
      </c>
      <c r="N773" s="8" t="str">
        <f>IF($A773="","",IF(ISNUMBER(SEARCH("Aktivitas Bulanan",INDEX(FORM!$K:$K,ROW()))),1,0))</f>
        <v/>
      </c>
      <c r="O773" s="8" t="str">
        <f>IF($A773="","",IF(ISNUMBER(SEARCH("Overview Cabang",INDEX(FORM!$K:$K,ROW()))),1,0))</f>
        <v/>
      </c>
      <c r="P773" s="8" t="str">
        <f>IF($A773="","",IFERROR(VLOOKUP(I773,DATA!$AH$9:$AI$13,2,0),""))</f>
        <v/>
      </c>
      <c r="Q773" s="8" t="str">
        <f>IF($A773="","",IFERROR(VLOOKUP(J773,DATA!$AH$9:$AI$13,2,0),""))</f>
        <v/>
      </c>
      <c r="R773" s="8" t="str">
        <f>IF($A773="","",IFERROR(VLOOKUP(K773,DATA!$AH$9:$AI$13,2,0),""))</f>
        <v/>
      </c>
      <c r="S773" s="42" t="str">
        <f t="shared" si="264"/>
        <v/>
      </c>
      <c r="T773" s="8" t="str">
        <f>IF($A773="","",IF(COUNTIF($D$2:D773,D773)=1,1,0))</f>
        <v/>
      </c>
      <c r="U773" s="8" t="str">
        <f>IF($A773="","",IF(F773="-","Cabang tdk ada",IF(IFERROR(VLOOKUP(G773,#REF!,1,0),"")="","",IF(INDEX(DATA!$AH$2:$AH$5,MATCH(G773,DATA!$AI$2:$AI$5,0))&lt;&gt;F773,"Wilayah beda","OK"))))</f>
        <v/>
      </c>
      <c r="V773" s="8" t="str">
        <f>IF($A773="","",TRIM(INDEX(FORM!$I:$I,ROW())&amp;""))</f>
        <v/>
      </c>
      <c r="W773" s="8" t="str">
        <f>IF($A773="","",TRIM(INDEX(FORM!$L:$L,ROW())&amp;""))</f>
        <v/>
      </c>
      <c r="X773" s="8" t="str">
        <f>IF($A773="","",TRIM(INDEX(FORM!$M:$M,ROW())&amp;""))</f>
        <v/>
      </c>
      <c r="Y773" s="8" t="str">
        <f>IF($A773="","",IFERROR(MATCH(F773,DATA!$AH$2:$AH$5,0),9)*10000+A773)</f>
        <v/>
      </c>
      <c r="Z773" s="8" t="str">
        <f t="shared" si="265"/>
        <v/>
      </c>
      <c r="AA773" s="8" t="str">
        <f t="shared" si="266"/>
        <v/>
      </c>
      <c r="AB773" s="8" t="str">
        <f t="shared" si="267"/>
        <v/>
      </c>
      <c r="AC773" s="8"/>
      <c r="AD773" s="8"/>
      <c r="AE773" s="8"/>
      <c r="AK773" s="5" t="str">
        <f t="shared" si="268"/>
        <v/>
      </c>
      <c r="AL773" s="5" t="str">
        <f t="shared" si="269"/>
        <v/>
      </c>
      <c r="AM773" s="5" t="str">
        <f t="shared" si="270"/>
        <v/>
      </c>
      <c r="AN773" s="5" t="str">
        <f t="shared" si="271"/>
        <v/>
      </c>
      <c r="AO773" s="5" t="str">
        <f t="shared" si="272"/>
        <v/>
      </c>
      <c r="AP773" s="5" t="str">
        <f t="shared" si="273"/>
        <v/>
      </c>
      <c r="AQ773" s="5" t="str">
        <f t="shared" si="274"/>
        <v/>
      </c>
      <c r="AR773" s="5" t="str">
        <f t="shared" si="275"/>
        <v/>
      </c>
      <c r="AS773" s="5" t="str">
        <f t="shared" si="276"/>
        <v/>
      </c>
      <c r="AT773" s="5" t="str">
        <f t="shared" si="277"/>
        <v/>
      </c>
      <c r="AU773" s="5" t="str">
        <f t="shared" si="278"/>
        <v/>
      </c>
      <c r="AV773" s="5" t="str">
        <f t="shared" si="279"/>
        <v/>
      </c>
      <c r="AW773" s="5" t="str">
        <f t="shared" si="280"/>
        <v/>
      </c>
      <c r="AX773" s="5" t="str">
        <f t="shared" si="281"/>
        <v/>
      </c>
      <c r="AY773" s="5" t="str">
        <f t="shared" si="282"/>
        <v/>
      </c>
      <c r="AZ773" s="5" t="str">
        <f t="shared" si="283"/>
        <v/>
      </c>
      <c r="BA773" s="5" t="str">
        <f t="shared" si="284"/>
        <v/>
      </c>
      <c r="BB773" s="5" t="str">
        <f t="shared" si="285"/>
        <v/>
      </c>
    </row>
    <row r="774" spans="1:54" s="5" customFormat="1" hidden="1">
      <c r="A774" s="8" t="str">
        <f>IF(INDEX(FORM!$A:$A,ROW())="","",ROW()-1)</f>
        <v/>
      </c>
      <c r="B774" s="41" t="str">
        <f>IF($A774="","",INDEX(FORM!$A:$A,ROW()))</f>
        <v/>
      </c>
      <c r="C774" s="8" t="str">
        <f>IF($A774="","",TRIM(INDEX(FORM!$B:$B,ROW())))</f>
        <v/>
      </c>
      <c r="D774" s="8" t="str">
        <f>IF($A774="","",TRIM(INDEX(FORM!$C:$C,ROW())&amp;""))</f>
        <v/>
      </c>
      <c r="E774" s="8" t="str">
        <f>IF($A774="","",UPPER(TRIM(INDEX(FORM!$D:$D,ROW()))))</f>
        <v/>
      </c>
      <c r="F774" s="8" t="str">
        <f>IF($A774="","",IFERROR(INDEX(PROGRES!$A$2:$A$92,MATCH(E774,PROGRES!$B$2:$B$92,0)),"-"))</f>
        <v/>
      </c>
      <c r="G774" s="8" t="str">
        <f>IF($A774="","",UPPER(TRIM(INDEX(FORM!$F:$F,ROW()))))</f>
        <v/>
      </c>
      <c r="H774" s="8" t="str">
        <f>IF($A774="","",UPPER(TRIM(INDEX(FORM!$E:$E,ROW()))))</f>
        <v/>
      </c>
      <c r="I774" s="8" t="str">
        <f>IF($A774="","",UPPER(TRIM(INDEX(FORM!$G:$G,ROW()))))</f>
        <v/>
      </c>
      <c r="J774" s="8" t="str">
        <f>IF($A774="","",IF(ISNUMBER(SEARCH("Ya,",INDEX(FORM!$H:$H,ROW()))),"YA",IF(ISNUMBER(SEARCH("Cukup,",INDEX(FORM!$H:$H,ROW()))),"CUKUP",IF(ISNUMBER(SEARCH("Kurang,",INDEX(FORM!$H:$H,ROW()))),"KURANG",""))))</f>
        <v/>
      </c>
      <c r="K774" s="8" t="str">
        <f>IF($A774="","",UPPER(TRIM(INDEX(FORM!$J:$J,ROW()))))</f>
        <v/>
      </c>
      <c r="L774" s="8" t="str">
        <f>IF($A774="","",IF(ISNUMBER(SEARCH("Aktivitas Harian",INDEX(FORM!$K:$K,ROW()))),1,0))</f>
        <v/>
      </c>
      <c r="M774" s="8" t="str">
        <f>IF($A774="","",IF(ISNUMBER(SEARCH("Aktivitas Mingguan",INDEX(FORM!$K:$K,ROW()))),1,0))</f>
        <v/>
      </c>
      <c r="N774" s="8" t="str">
        <f>IF($A774="","",IF(ISNUMBER(SEARCH("Aktivitas Bulanan",INDEX(FORM!$K:$K,ROW()))),1,0))</f>
        <v/>
      </c>
      <c r="O774" s="8" t="str">
        <f>IF($A774="","",IF(ISNUMBER(SEARCH("Overview Cabang",INDEX(FORM!$K:$K,ROW()))),1,0))</f>
        <v/>
      </c>
      <c r="P774" s="8" t="str">
        <f>IF($A774="","",IFERROR(VLOOKUP(I774,DATA!$AH$9:$AI$13,2,0),""))</f>
        <v/>
      </c>
      <c r="Q774" s="8" t="str">
        <f>IF($A774="","",IFERROR(VLOOKUP(J774,DATA!$AH$9:$AI$13,2,0),""))</f>
        <v/>
      </c>
      <c r="R774" s="8" t="str">
        <f>IF($A774="","",IFERROR(VLOOKUP(K774,DATA!$AH$9:$AI$13,2,0),""))</f>
        <v/>
      </c>
      <c r="S774" s="42" t="str">
        <f t="shared" si="264"/>
        <v/>
      </c>
      <c r="T774" s="8" t="str">
        <f>IF($A774="","",IF(COUNTIF($D$2:D774,D774)=1,1,0))</f>
        <v/>
      </c>
      <c r="U774" s="8" t="str">
        <f>IF($A774="","",IF(F774="-","Cabang tdk ada",IF(IFERROR(VLOOKUP(G774,#REF!,1,0),"")="","",IF(INDEX(DATA!$AH$2:$AH$5,MATCH(G774,DATA!$AI$2:$AI$5,0))&lt;&gt;F774,"Wilayah beda","OK"))))</f>
        <v/>
      </c>
      <c r="V774" s="8" t="str">
        <f>IF($A774="","",TRIM(INDEX(FORM!$I:$I,ROW())&amp;""))</f>
        <v/>
      </c>
      <c r="W774" s="8" t="str">
        <f>IF($A774="","",TRIM(INDEX(FORM!$L:$L,ROW())&amp;""))</f>
        <v/>
      </c>
      <c r="X774" s="8" t="str">
        <f>IF($A774="","",TRIM(INDEX(FORM!$M:$M,ROW())&amp;""))</f>
        <v/>
      </c>
      <c r="Y774" s="8" t="str">
        <f>IF($A774="","",IFERROR(MATCH(F774,DATA!$AH$2:$AH$5,0),9)*10000+A774)</f>
        <v/>
      </c>
      <c r="Z774" s="8" t="str">
        <f t="shared" si="265"/>
        <v/>
      </c>
      <c r="AA774" s="8" t="str">
        <f t="shared" si="266"/>
        <v/>
      </c>
      <c r="AB774" s="8" t="str">
        <f t="shared" si="267"/>
        <v/>
      </c>
      <c r="AC774" s="8"/>
      <c r="AD774" s="8"/>
      <c r="AE774" s="8"/>
      <c r="AK774" s="5" t="str">
        <f t="shared" si="268"/>
        <v/>
      </c>
      <c r="AL774" s="5" t="str">
        <f t="shared" si="269"/>
        <v/>
      </c>
      <c r="AM774" s="5" t="str">
        <f t="shared" si="270"/>
        <v/>
      </c>
      <c r="AN774" s="5" t="str">
        <f t="shared" si="271"/>
        <v/>
      </c>
      <c r="AO774" s="5" t="str">
        <f t="shared" si="272"/>
        <v/>
      </c>
      <c r="AP774" s="5" t="str">
        <f t="shared" si="273"/>
        <v/>
      </c>
      <c r="AQ774" s="5" t="str">
        <f t="shared" si="274"/>
        <v/>
      </c>
      <c r="AR774" s="5" t="str">
        <f t="shared" si="275"/>
        <v/>
      </c>
      <c r="AS774" s="5" t="str">
        <f t="shared" si="276"/>
        <v/>
      </c>
      <c r="AT774" s="5" t="str">
        <f t="shared" si="277"/>
        <v/>
      </c>
      <c r="AU774" s="5" t="str">
        <f t="shared" si="278"/>
        <v/>
      </c>
      <c r="AV774" s="5" t="str">
        <f t="shared" si="279"/>
        <v/>
      </c>
      <c r="AW774" s="5" t="str">
        <f t="shared" si="280"/>
        <v/>
      </c>
      <c r="AX774" s="5" t="str">
        <f t="shared" si="281"/>
        <v/>
      </c>
      <c r="AY774" s="5" t="str">
        <f t="shared" si="282"/>
        <v/>
      </c>
      <c r="AZ774" s="5" t="str">
        <f t="shared" si="283"/>
        <v/>
      </c>
      <c r="BA774" s="5" t="str">
        <f t="shared" si="284"/>
        <v/>
      </c>
      <c r="BB774" s="5" t="str">
        <f t="shared" si="285"/>
        <v/>
      </c>
    </row>
    <row r="775" spans="1:54" s="5" customFormat="1" hidden="1">
      <c r="A775" s="8" t="str">
        <f>IF(INDEX(FORM!$A:$A,ROW())="","",ROW()-1)</f>
        <v/>
      </c>
      <c r="B775" s="41" t="str">
        <f>IF($A775="","",INDEX(FORM!$A:$A,ROW()))</f>
        <v/>
      </c>
      <c r="C775" s="8" t="str">
        <f>IF($A775="","",TRIM(INDEX(FORM!$B:$B,ROW())))</f>
        <v/>
      </c>
      <c r="D775" s="8" t="str">
        <f>IF($A775="","",TRIM(INDEX(FORM!$C:$C,ROW())&amp;""))</f>
        <v/>
      </c>
      <c r="E775" s="8" t="str">
        <f>IF($A775="","",UPPER(TRIM(INDEX(FORM!$D:$D,ROW()))))</f>
        <v/>
      </c>
      <c r="F775" s="8" t="str">
        <f>IF($A775="","",IFERROR(INDEX(PROGRES!$A$2:$A$92,MATCH(E775,PROGRES!$B$2:$B$92,0)),"-"))</f>
        <v/>
      </c>
      <c r="G775" s="8" t="str">
        <f>IF($A775="","",UPPER(TRIM(INDEX(FORM!$F:$F,ROW()))))</f>
        <v/>
      </c>
      <c r="H775" s="8" t="str">
        <f>IF($A775="","",UPPER(TRIM(INDEX(FORM!$E:$E,ROW()))))</f>
        <v/>
      </c>
      <c r="I775" s="8" t="str">
        <f>IF($A775="","",UPPER(TRIM(INDEX(FORM!$G:$G,ROW()))))</f>
        <v/>
      </c>
      <c r="J775" s="8" t="str">
        <f>IF($A775="","",IF(ISNUMBER(SEARCH("Ya,",INDEX(FORM!$H:$H,ROW()))),"YA",IF(ISNUMBER(SEARCH("Cukup,",INDEX(FORM!$H:$H,ROW()))),"CUKUP",IF(ISNUMBER(SEARCH("Kurang,",INDEX(FORM!$H:$H,ROW()))),"KURANG",""))))</f>
        <v/>
      </c>
      <c r="K775" s="8" t="str">
        <f>IF($A775="","",UPPER(TRIM(INDEX(FORM!$J:$J,ROW()))))</f>
        <v/>
      </c>
      <c r="L775" s="8" t="str">
        <f>IF($A775="","",IF(ISNUMBER(SEARCH("Aktivitas Harian",INDEX(FORM!$K:$K,ROW()))),1,0))</f>
        <v/>
      </c>
      <c r="M775" s="8" t="str">
        <f>IF($A775="","",IF(ISNUMBER(SEARCH("Aktivitas Mingguan",INDEX(FORM!$K:$K,ROW()))),1,0))</f>
        <v/>
      </c>
      <c r="N775" s="8" t="str">
        <f>IF($A775="","",IF(ISNUMBER(SEARCH("Aktivitas Bulanan",INDEX(FORM!$K:$K,ROW()))),1,0))</f>
        <v/>
      </c>
      <c r="O775" s="8" t="str">
        <f>IF($A775="","",IF(ISNUMBER(SEARCH("Overview Cabang",INDEX(FORM!$K:$K,ROW()))),1,0))</f>
        <v/>
      </c>
      <c r="P775" s="8" t="str">
        <f>IF($A775="","",IFERROR(VLOOKUP(I775,DATA!$AH$9:$AI$13,2,0),""))</f>
        <v/>
      </c>
      <c r="Q775" s="8" t="str">
        <f>IF($A775="","",IFERROR(VLOOKUP(J775,DATA!$AH$9:$AI$13,2,0),""))</f>
        <v/>
      </c>
      <c r="R775" s="8" t="str">
        <f>IF($A775="","",IFERROR(VLOOKUP(K775,DATA!$AH$9:$AI$13,2,0),""))</f>
        <v/>
      </c>
      <c r="S775" s="42" t="str">
        <f t="shared" si="264"/>
        <v/>
      </c>
      <c r="T775" s="8" t="str">
        <f>IF($A775="","",IF(COUNTIF($D$2:D775,D775)=1,1,0))</f>
        <v/>
      </c>
      <c r="U775" s="8" t="str">
        <f>IF($A775="","",IF(F775="-","Cabang tdk ada",IF(IFERROR(VLOOKUP(G775,#REF!,1,0),"")="","",IF(INDEX(DATA!$AH$2:$AH$5,MATCH(G775,DATA!$AI$2:$AI$5,0))&lt;&gt;F775,"Wilayah beda","OK"))))</f>
        <v/>
      </c>
      <c r="V775" s="8" t="str">
        <f>IF($A775="","",TRIM(INDEX(FORM!$I:$I,ROW())&amp;""))</f>
        <v/>
      </c>
      <c r="W775" s="8" t="str">
        <f>IF($A775="","",TRIM(INDEX(FORM!$L:$L,ROW())&amp;""))</f>
        <v/>
      </c>
      <c r="X775" s="8" t="str">
        <f>IF($A775="","",TRIM(INDEX(FORM!$M:$M,ROW())&amp;""))</f>
        <v/>
      </c>
      <c r="Y775" s="8" t="str">
        <f>IF($A775="","",IFERROR(MATCH(F775,DATA!$AH$2:$AH$5,0),9)*10000+A775)</f>
        <v/>
      </c>
      <c r="Z775" s="8" t="str">
        <f t="shared" si="265"/>
        <v/>
      </c>
      <c r="AA775" s="8" t="str">
        <f t="shared" si="266"/>
        <v/>
      </c>
      <c r="AB775" s="8" t="str">
        <f t="shared" si="267"/>
        <v/>
      </c>
      <c r="AC775" s="8"/>
      <c r="AD775" s="8"/>
      <c r="AE775" s="8"/>
      <c r="AK775" s="5" t="str">
        <f t="shared" si="268"/>
        <v/>
      </c>
      <c r="AL775" s="5" t="str">
        <f t="shared" si="269"/>
        <v/>
      </c>
      <c r="AM775" s="5" t="str">
        <f t="shared" si="270"/>
        <v/>
      </c>
      <c r="AN775" s="5" t="str">
        <f t="shared" si="271"/>
        <v/>
      </c>
      <c r="AO775" s="5" t="str">
        <f t="shared" si="272"/>
        <v/>
      </c>
      <c r="AP775" s="5" t="str">
        <f t="shared" si="273"/>
        <v/>
      </c>
      <c r="AQ775" s="5" t="str">
        <f t="shared" si="274"/>
        <v/>
      </c>
      <c r="AR775" s="5" t="str">
        <f t="shared" si="275"/>
        <v/>
      </c>
      <c r="AS775" s="5" t="str">
        <f t="shared" si="276"/>
        <v/>
      </c>
      <c r="AT775" s="5" t="str">
        <f t="shared" si="277"/>
        <v/>
      </c>
      <c r="AU775" s="5" t="str">
        <f t="shared" si="278"/>
        <v/>
      </c>
      <c r="AV775" s="5" t="str">
        <f t="shared" si="279"/>
        <v/>
      </c>
      <c r="AW775" s="5" t="str">
        <f t="shared" si="280"/>
        <v/>
      </c>
      <c r="AX775" s="5" t="str">
        <f t="shared" si="281"/>
        <v/>
      </c>
      <c r="AY775" s="5" t="str">
        <f t="shared" si="282"/>
        <v/>
      </c>
      <c r="AZ775" s="5" t="str">
        <f t="shared" si="283"/>
        <v/>
      </c>
      <c r="BA775" s="5" t="str">
        <f t="shared" si="284"/>
        <v/>
      </c>
      <c r="BB775" s="5" t="str">
        <f t="shared" si="285"/>
        <v/>
      </c>
    </row>
    <row r="776" spans="1:54" s="5" customFormat="1" hidden="1">
      <c r="A776" s="8" t="str">
        <f>IF(INDEX(FORM!$A:$A,ROW())="","",ROW()-1)</f>
        <v/>
      </c>
      <c r="B776" s="41" t="str">
        <f>IF($A776="","",INDEX(FORM!$A:$A,ROW()))</f>
        <v/>
      </c>
      <c r="C776" s="8" t="str">
        <f>IF($A776="","",TRIM(INDEX(FORM!$B:$B,ROW())))</f>
        <v/>
      </c>
      <c r="D776" s="8" t="str">
        <f>IF($A776="","",TRIM(INDEX(FORM!$C:$C,ROW())&amp;""))</f>
        <v/>
      </c>
      <c r="E776" s="8" t="str">
        <f>IF($A776="","",UPPER(TRIM(INDEX(FORM!$D:$D,ROW()))))</f>
        <v/>
      </c>
      <c r="F776" s="8" t="str">
        <f>IF($A776="","",IFERROR(INDEX(PROGRES!$A$2:$A$92,MATCH(E776,PROGRES!$B$2:$B$92,0)),"-"))</f>
        <v/>
      </c>
      <c r="G776" s="8" t="str">
        <f>IF($A776="","",UPPER(TRIM(INDEX(FORM!$F:$F,ROW()))))</f>
        <v/>
      </c>
      <c r="H776" s="8" t="str">
        <f>IF($A776="","",UPPER(TRIM(INDEX(FORM!$E:$E,ROW()))))</f>
        <v/>
      </c>
      <c r="I776" s="8" t="str">
        <f>IF($A776="","",UPPER(TRIM(INDEX(FORM!$G:$G,ROW()))))</f>
        <v/>
      </c>
      <c r="J776" s="8" t="str">
        <f>IF($A776="","",IF(ISNUMBER(SEARCH("Ya,",INDEX(FORM!$H:$H,ROW()))),"YA",IF(ISNUMBER(SEARCH("Cukup,",INDEX(FORM!$H:$H,ROW()))),"CUKUP",IF(ISNUMBER(SEARCH("Kurang,",INDEX(FORM!$H:$H,ROW()))),"KURANG",""))))</f>
        <v/>
      </c>
      <c r="K776" s="8" t="str">
        <f>IF($A776="","",UPPER(TRIM(INDEX(FORM!$J:$J,ROW()))))</f>
        <v/>
      </c>
      <c r="L776" s="8" t="str">
        <f>IF($A776="","",IF(ISNUMBER(SEARCH("Aktivitas Harian",INDEX(FORM!$K:$K,ROW()))),1,0))</f>
        <v/>
      </c>
      <c r="M776" s="8" t="str">
        <f>IF($A776="","",IF(ISNUMBER(SEARCH("Aktivitas Mingguan",INDEX(FORM!$K:$K,ROW()))),1,0))</f>
        <v/>
      </c>
      <c r="N776" s="8" t="str">
        <f>IF($A776="","",IF(ISNUMBER(SEARCH("Aktivitas Bulanan",INDEX(FORM!$K:$K,ROW()))),1,0))</f>
        <v/>
      </c>
      <c r="O776" s="8" t="str">
        <f>IF($A776="","",IF(ISNUMBER(SEARCH("Overview Cabang",INDEX(FORM!$K:$K,ROW()))),1,0))</f>
        <v/>
      </c>
      <c r="P776" s="8" t="str">
        <f>IF($A776="","",IFERROR(VLOOKUP(I776,DATA!$AH$9:$AI$13,2,0),""))</f>
        <v/>
      </c>
      <c r="Q776" s="8" t="str">
        <f>IF($A776="","",IFERROR(VLOOKUP(J776,DATA!$AH$9:$AI$13,2,0),""))</f>
        <v/>
      </c>
      <c r="R776" s="8" t="str">
        <f>IF($A776="","",IFERROR(VLOOKUP(K776,DATA!$AH$9:$AI$13,2,0),""))</f>
        <v/>
      </c>
      <c r="S776" s="42" t="str">
        <f t="shared" si="264"/>
        <v/>
      </c>
      <c r="T776" s="8" t="str">
        <f>IF($A776="","",IF(COUNTIF($D$2:D776,D776)=1,1,0))</f>
        <v/>
      </c>
      <c r="U776" s="8" t="str">
        <f>IF($A776="","",IF(F776="-","Cabang tdk ada",IF(IFERROR(VLOOKUP(G776,#REF!,1,0),"")="","",IF(INDEX(DATA!$AH$2:$AH$5,MATCH(G776,DATA!$AI$2:$AI$5,0))&lt;&gt;F776,"Wilayah beda","OK"))))</f>
        <v/>
      </c>
      <c r="V776" s="8" t="str">
        <f>IF($A776="","",TRIM(INDEX(FORM!$I:$I,ROW())&amp;""))</f>
        <v/>
      </c>
      <c r="W776" s="8" t="str">
        <f>IF($A776="","",TRIM(INDEX(FORM!$L:$L,ROW())&amp;""))</f>
        <v/>
      </c>
      <c r="X776" s="8" t="str">
        <f>IF($A776="","",TRIM(INDEX(FORM!$M:$M,ROW())&amp;""))</f>
        <v/>
      </c>
      <c r="Y776" s="8" t="str">
        <f>IF($A776="","",IFERROR(MATCH(F776,DATA!$AH$2:$AH$5,0),9)*10000+A776)</f>
        <v/>
      </c>
      <c r="Z776" s="8" t="str">
        <f t="shared" si="265"/>
        <v/>
      </c>
      <c r="AA776" s="8" t="str">
        <f t="shared" si="266"/>
        <v/>
      </c>
      <c r="AB776" s="8" t="str">
        <f t="shared" si="267"/>
        <v/>
      </c>
      <c r="AC776" s="8"/>
      <c r="AD776" s="8"/>
      <c r="AE776" s="8"/>
      <c r="AK776" s="5" t="str">
        <f t="shared" si="268"/>
        <v/>
      </c>
      <c r="AL776" s="5" t="str">
        <f t="shared" si="269"/>
        <v/>
      </c>
      <c r="AM776" s="5" t="str">
        <f t="shared" si="270"/>
        <v/>
      </c>
      <c r="AN776" s="5" t="str">
        <f t="shared" si="271"/>
        <v/>
      </c>
      <c r="AO776" s="5" t="str">
        <f t="shared" si="272"/>
        <v/>
      </c>
      <c r="AP776" s="5" t="str">
        <f t="shared" si="273"/>
        <v/>
      </c>
      <c r="AQ776" s="5" t="str">
        <f t="shared" si="274"/>
        <v/>
      </c>
      <c r="AR776" s="5" t="str">
        <f t="shared" si="275"/>
        <v/>
      </c>
      <c r="AS776" s="5" t="str">
        <f t="shared" si="276"/>
        <v/>
      </c>
      <c r="AT776" s="5" t="str">
        <f t="shared" si="277"/>
        <v/>
      </c>
      <c r="AU776" s="5" t="str">
        <f t="shared" si="278"/>
        <v/>
      </c>
      <c r="AV776" s="5" t="str">
        <f t="shared" si="279"/>
        <v/>
      </c>
      <c r="AW776" s="5" t="str">
        <f t="shared" si="280"/>
        <v/>
      </c>
      <c r="AX776" s="5" t="str">
        <f t="shared" si="281"/>
        <v/>
      </c>
      <c r="AY776" s="5" t="str">
        <f t="shared" si="282"/>
        <v/>
      </c>
      <c r="AZ776" s="5" t="str">
        <f t="shared" si="283"/>
        <v/>
      </c>
      <c r="BA776" s="5" t="str">
        <f t="shared" si="284"/>
        <v/>
      </c>
      <c r="BB776" s="5" t="str">
        <f t="shared" si="285"/>
        <v/>
      </c>
    </row>
    <row r="777" spans="1:54" s="5" customFormat="1" hidden="1">
      <c r="A777" s="8" t="str">
        <f>IF(INDEX(FORM!$A:$A,ROW())="","",ROW()-1)</f>
        <v/>
      </c>
      <c r="B777" s="41" t="str">
        <f>IF($A777="","",INDEX(FORM!$A:$A,ROW()))</f>
        <v/>
      </c>
      <c r="C777" s="8" t="str">
        <f>IF($A777="","",TRIM(INDEX(FORM!$B:$B,ROW())))</f>
        <v/>
      </c>
      <c r="D777" s="8" t="str">
        <f>IF($A777="","",TRIM(INDEX(FORM!$C:$C,ROW())&amp;""))</f>
        <v/>
      </c>
      <c r="E777" s="8" t="str">
        <f>IF($A777="","",UPPER(TRIM(INDEX(FORM!$D:$D,ROW()))))</f>
        <v/>
      </c>
      <c r="F777" s="8" t="str">
        <f>IF($A777="","",IFERROR(INDEX(PROGRES!$A$2:$A$92,MATCH(E777,PROGRES!$B$2:$B$92,0)),"-"))</f>
        <v/>
      </c>
      <c r="G777" s="8" t="str">
        <f>IF($A777="","",UPPER(TRIM(INDEX(FORM!$F:$F,ROW()))))</f>
        <v/>
      </c>
      <c r="H777" s="8" t="str">
        <f>IF($A777="","",UPPER(TRIM(INDEX(FORM!$E:$E,ROW()))))</f>
        <v/>
      </c>
      <c r="I777" s="8" t="str">
        <f>IF($A777="","",UPPER(TRIM(INDEX(FORM!$G:$G,ROW()))))</f>
        <v/>
      </c>
      <c r="J777" s="8" t="str">
        <f>IF($A777="","",IF(ISNUMBER(SEARCH("Ya,",INDEX(FORM!$H:$H,ROW()))),"YA",IF(ISNUMBER(SEARCH("Cukup,",INDEX(FORM!$H:$H,ROW()))),"CUKUP",IF(ISNUMBER(SEARCH("Kurang,",INDEX(FORM!$H:$H,ROW()))),"KURANG",""))))</f>
        <v/>
      </c>
      <c r="K777" s="8" t="str">
        <f>IF($A777="","",UPPER(TRIM(INDEX(FORM!$J:$J,ROW()))))</f>
        <v/>
      </c>
      <c r="L777" s="8" t="str">
        <f>IF($A777="","",IF(ISNUMBER(SEARCH("Aktivitas Harian",INDEX(FORM!$K:$K,ROW()))),1,0))</f>
        <v/>
      </c>
      <c r="M777" s="8" t="str">
        <f>IF($A777="","",IF(ISNUMBER(SEARCH("Aktivitas Mingguan",INDEX(FORM!$K:$K,ROW()))),1,0))</f>
        <v/>
      </c>
      <c r="N777" s="8" t="str">
        <f>IF($A777="","",IF(ISNUMBER(SEARCH("Aktivitas Bulanan",INDEX(FORM!$K:$K,ROW()))),1,0))</f>
        <v/>
      </c>
      <c r="O777" s="8" t="str">
        <f>IF($A777="","",IF(ISNUMBER(SEARCH("Overview Cabang",INDEX(FORM!$K:$K,ROW()))),1,0))</f>
        <v/>
      </c>
      <c r="P777" s="8" t="str">
        <f>IF($A777="","",IFERROR(VLOOKUP(I777,DATA!$AH$9:$AI$13,2,0),""))</f>
        <v/>
      </c>
      <c r="Q777" s="8" t="str">
        <f>IF($A777="","",IFERROR(VLOOKUP(J777,DATA!$AH$9:$AI$13,2,0),""))</f>
        <v/>
      </c>
      <c r="R777" s="8" t="str">
        <f>IF($A777="","",IFERROR(VLOOKUP(K777,DATA!$AH$9:$AI$13,2,0),""))</f>
        <v/>
      </c>
      <c r="S777" s="42" t="str">
        <f t="shared" si="264"/>
        <v/>
      </c>
      <c r="T777" s="8" t="str">
        <f>IF($A777="","",IF(COUNTIF($D$2:D777,D777)=1,1,0))</f>
        <v/>
      </c>
      <c r="U777" s="8" t="str">
        <f>IF($A777="","",IF(F777="-","Cabang tdk ada",IF(IFERROR(VLOOKUP(G777,#REF!,1,0),"")="","",IF(INDEX(DATA!$AH$2:$AH$5,MATCH(G777,DATA!$AI$2:$AI$5,0))&lt;&gt;F777,"Wilayah beda","OK"))))</f>
        <v/>
      </c>
      <c r="V777" s="8" t="str">
        <f>IF($A777="","",TRIM(INDEX(FORM!$I:$I,ROW())&amp;""))</f>
        <v/>
      </c>
      <c r="W777" s="8" t="str">
        <f>IF($A777="","",TRIM(INDEX(FORM!$L:$L,ROW())&amp;""))</f>
        <v/>
      </c>
      <c r="X777" s="8" t="str">
        <f>IF($A777="","",TRIM(INDEX(FORM!$M:$M,ROW())&amp;""))</f>
        <v/>
      </c>
      <c r="Y777" s="8" t="str">
        <f>IF($A777="","",IFERROR(MATCH(F777,DATA!$AH$2:$AH$5,0),9)*10000+A777)</f>
        <v/>
      </c>
      <c r="Z777" s="8" t="str">
        <f t="shared" si="265"/>
        <v/>
      </c>
      <c r="AA777" s="8" t="str">
        <f t="shared" si="266"/>
        <v/>
      </c>
      <c r="AB777" s="8" t="str">
        <f t="shared" si="267"/>
        <v/>
      </c>
      <c r="AC777" s="8"/>
      <c r="AD777" s="8"/>
      <c r="AE777" s="8"/>
      <c r="AK777" s="5" t="str">
        <f t="shared" si="268"/>
        <v/>
      </c>
      <c r="AL777" s="5" t="str">
        <f t="shared" si="269"/>
        <v/>
      </c>
      <c r="AM777" s="5" t="str">
        <f t="shared" si="270"/>
        <v/>
      </c>
      <c r="AN777" s="5" t="str">
        <f t="shared" si="271"/>
        <v/>
      </c>
      <c r="AO777" s="5" t="str">
        <f t="shared" si="272"/>
        <v/>
      </c>
      <c r="AP777" s="5" t="str">
        <f t="shared" si="273"/>
        <v/>
      </c>
      <c r="AQ777" s="5" t="str">
        <f t="shared" si="274"/>
        <v/>
      </c>
      <c r="AR777" s="5" t="str">
        <f t="shared" si="275"/>
        <v/>
      </c>
      <c r="AS777" s="5" t="str">
        <f t="shared" si="276"/>
        <v/>
      </c>
      <c r="AT777" s="5" t="str">
        <f t="shared" si="277"/>
        <v/>
      </c>
      <c r="AU777" s="5" t="str">
        <f t="shared" si="278"/>
        <v/>
      </c>
      <c r="AV777" s="5" t="str">
        <f t="shared" si="279"/>
        <v/>
      </c>
      <c r="AW777" s="5" t="str">
        <f t="shared" si="280"/>
        <v/>
      </c>
      <c r="AX777" s="5" t="str">
        <f t="shared" si="281"/>
        <v/>
      </c>
      <c r="AY777" s="5" t="str">
        <f t="shared" si="282"/>
        <v/>
      </c>
      <c r="AZ777" s="5" t="str">
        <f t="shared" si="283"/>
        <v/>
      </c>
      <c r="BA777" s="5" t="str">
        <f t="shared" si="284"/>
        <v/>
      </c>
      <c r="BB777" s="5" t="str">
        <f t="shared" si="285"/>
        <v/>
      </c>
    </row>
    <row r="778" spans="1:54" s="5" customFormat="1" hidden="1">
      <c r="A778" s="8" t="str">
        <f>IF(INDEX(FORM!$A:$A,ROW())="","",ROW()-1)</f>
        <v/>
      </c>
      <c r="B778" s="41" t="str">
        <f>IF($A778="","",INDEX(FORM!$A:$A,ROW()))</f>
        <v/>
      </c>
      <c r="C778" s="8" t="str">
        <f>IF($A778="","",TRIM(INDEX(FORM!$B:$B,ROW())))</f>
        <v/>
      </c>
      <c r="D778" s="8" t="str">
        <f>IF($A778="","",TRIM(INDEX(FORM!$C:$C,ROW())&amp;""))</f>
        <v/>
      </c>
      <c r="E778" s="8" t="str">
        <f>IF($A778="","",UPPER(TRIM(INDEX(FORM!$D:$D,ROW()))))</f>
        <v/>
      </c>
      <c r="F778" s="8" t="str">
        <f>IF($A778="","",IFERROR(INDEX(PROGRES!$A$2:$A$92,MATCH(E778,PROGRES!$B$2:$B$92,0)),"-"))</f>
        <v/>
      </c>
      <c r="G778" s="8" t="str">
        <f>IF($A778="","",UPPER(TRIM(INDEX(FORM!$F:$F,ROW()))))</f>
        <v/>
      </c>
      <c r="H778" s="8" t="str">
        <f>IF($A778="","",UPPER(TRIM(INDEX(FORM!$E:$E,ROW()))))</f>
        <v/>
      </c>
      <c r="I778" s="8" t="str">
        <f>IF($A778="","",UPPER(TRIM(INDEX(FORM!$G:$G,ROW()))))</f>
        <v/>
      </c>
      <c r="J778" s="8" t="str">
        <f>IF($A778="","",IF(ISNUMBER(SEARCH("Ya,",INDEX(FORM!$H:$H,ROW()))),"YA",IF(ISNUMBER(SEARCH("Cukup,",INDEX(FORM!$H:$H,ROW()))),"CUKUP",IF(ISNUMBER(SEARCH("Kurang,",INDEX(FORM!$H:$H,ROW()))),"KURANG",""))))</f>
        <v/>
      </c>
      <c r="K778" s="8" t="str">
        <f>IF($A778="","",UPPER(TRIM(INDEX(FORM!$J:$J,ROW()))))</f>
        <v/>
      </c>
      <c r="L778" s="8" t="str">
        <f>IF($A778="","",IF(ISNUMBER(SEARCH("Aktivitas Harian",INDEX(FORM!$K:$K,ROW()))),1,0))</f>
        <v/>
      </c>
      <c r="M778" s="8" t="str">
        <f>IF($A778="","",IF(ISNUMBER(SEARCH("Aktivitas Mingguan",INDEX(FORM!$K:$K,ROW()))),1,0))</f>
        <v/>
      </c>
      <c r="N778" s="8" t="str">
        <f>IF($A778="","",IF(ISNUMBER(SEARCH("Aktivitas Bulanan",INDEX(FORM!$K:$K,ROW()))),1,0))</f>
        <v/>
      </c>
      <c r="O778" s="8" t="str">
        <f>IF($A778="","",IF(ISNUMBER(SEARCH("Overview Cabang",INDEX(FORM!$K:$K,ROW()))),1,0))</f>
        <v/>
      </c>
      <c r="P778" s="8" t="str">
        <f>IF($A778="","",IFERROR(VLOOKUP(I778,DATA!$AH$9:$AI$13,2,0),""))</f>
        <v/>
      </c>
      <c r="Q778" s="8" t="str">
        <f>IF($A778="","",IFERROR(VLOOKUP(J778,DATA!$AH$9:$AI$13,2,0),""))</f>
        <v/>
      </c>
      <c r="R778" s="8" t="str">
        <f>IF($A778="","",IFERROR(VLOOKUP(K778,DATA!$AH$9:$AI$13,2,0),""))</f>
        <v/>
      </c>
      <c r="S778" s="42" t="str">
        <f t="shared" si="264"/>
        <v/>
      </c>
      <c r="T778" s="8" t="str">
        <f>IF($A778="","",IF(COUNTIF($D$2:D778,D778)=1,1,0))</f>
        <v/>
      </c>
      <c r="U778" s="8" t="str">
        <f>IF($A778="","",IF(F778="-","Cabang tdk ada",IF(IFERROR(VLOOKUP(G778,#REF!,1,0),"")="","",IF(INDEX(DATA!$AH$2:$AH$5,MATCH(G778,DATA!$AI$2:$AI$5,0))&lt;&gt;F778,"Wilayah beda","OK"))))</f>
        <v/>
      </c>
      <c r="V778" s="8" t="str">
        <f>IF($A778="","",TRIM(INDEX(FORM!$I:$I,ROW())&amp;""))</f>
        <v/>
      </c>
      <c r="W778" s="8" t="str">
        <f>IF($A778="","",TRIM(INDEX(FORM!$L:$L,ROW())&amp;""))</f>
        <v/>
      </c>
      <c r="X778" s="8" t="str">
        <f>IF($A778="","",TRIM(INDEX(FORM!$M:$M,ROW())&amp;""))</f>
        <v/>
      </c>
      <c r="Y778" s="8" t="str">
        <f>IF($A778="","",IFERROR(MATCH(F778,DATA!$AH$2:$AH$5,0),9)*10000+A778)</f>
        <v/>
      </c>
      <c r="Z778" s="8" t="str">
        <f t="shared" si="265"/>
        <v/>
      </c>
      <c r="AA778" s="8" t="str">
        <f t="shared" si="266"/>
        <v/>
      </c>
      <c r="AB778" s="8" t="str">
        <f t="shared" si="267"/>
        <v/>
      </c>
      <c r="AC778" s="8"/>
      <c r="AD778" s="8"/>
      <c r="AE778" s="8"/>
      <c r="AK778" s="5" t="str">
        <f t="shared" si="268"/>
        <v/>
      </c>
      <c r="AL778" s="5" t="str">
        <f t="shared" si="269"/>
        <v/>
      </c>
      <c r="AM778" s="5" t="str">
        <f t="shared" si="270"/>
        <v/>
      </c>
      <c r="AN778" s="5" t="str">
        <f t="shared" si="271"/>
        <v/>
      </c>
      <c r="AO778" s="5" t="str">
        <f t="shared" si="272"/>
        <v/>
      </c>
      <c r="AP778" s="5" t="str">
        <f t="shared" si="273"/>
        <v/>
      </c>
      <c r="AQ778" s="5" t="str">
        <f t="shared" si="274"/>
        <v/>
      </c>
      <c r="AR778" s="5" t="str">
        <f t="shared" si="275"/>
        <v/>
      </c>
      <c r="AS778" s="5" t="str">
        <f t="shared" si="276"/>
        <v/>
      </c>
      <c r="AT778" s="5" t="str">
        <f t="shared" si="277"/>
        <v/>
      </c>
      <c r="AU778" s="5" t="str">
        <f t="shared" si="278"/>
        <v/>
      </c>
      <c r="AV778" s="5" t="str">
        <f t="shared" si="279"/>
        <v/>
      </c>
      <c r="AW778" s="5" t="str">
        <f t="shared" si="280"/>
        <v/>
      </c>
      <c r="AX778" s="5" t="str">
        <f t="shared" si="281"/>
        <v/>
      </c>
      <c r="AY778" s="5" t="str">
        <f t="shared" si="282"/>
        <v/>
      </c>
      <c r="AZ778" s="5" t="str">
        <f t="shared" si="283"/>
        <v/>
      </c>
      <c r="BA778" s="5" t="str">
        <f t="shared" si="284"/>
        <v/>
      </c>
      <c r="BB778" s="5" t="str">
        <f t="shared" si="285"/>
        <v/>
      </c>
    </row>
    <row r="779" spans="1:54" s="5" customFormat="1" hidden="1">
      <c r="A779" s="8" t="str">
        <f>IF(INDEX(FORM!$A:$A,ROW())="","",ROW()-1)</f>
        <v/>
      </c>
      <c r="B779" s="41" t="str">
        <f>IF($A779="","",INDEX(FORM!$A:$A,ROW()))</f>
        <v/>
      </c>
      <c r="C779" s="8" t="str">
        <f>IF($A779="","",TRIM(INDEX(FORM!$B:$B,ROW())))</f>
        <v/>
      </c>
      <c r="D779" s="8" t="str">
        <f>IF($A779="","",TRIM(INDEX(FORM!$C:$C,ROW())&amp;""))</f>
        <v/>
      </c>
      <c r="E779" s="8" t="str">
        <f>IF($A779="","",UPPER(TRIM(INDEX(FORM!$D:$D,ROW()))))</f>
        <v/>
      </c>
      <c r="F779" s="8" t="str">
        <f>IF($A779="","",IFERROR(INDEX(PROGRES!$A$2:$A$92,MATCH(E779,PROGRES!$B$2:$B$92,0)),"-"))</f>
        <v/>
      </c>
      <c r="G779" s="8" t="str">
        <f>IF($A779="","",UPPER(TRIM(INDEX(FORM!$F:$F,ROW()))))</f>
        <v/>
      </c>
      <c r="H779" s="8" t="str">
        <f>IF($A779="","",UPPER(TRIM(INDEX(FORM!$E:$E,ROW()))))</f>
        <v/>
      </c>
      <c r="I779" s="8" t="str">
        <f>IF($A779="","",UPPER(TRIM(INDEX(FORM!$G:$G,ROW()))))</f>
        <v/>
      </c>
      <c r="J779" s="8" t="str">
        <f>IF($A779="","",IF(ISNUMBER(SEARCH("Ya,",INDEX(FORM!$H:$H,ROW()))),"YA",IF(ISNUMBER(SEARCH("Cukup,",INDEX(FORM!$H:$H,ROW()))),"CUKUP",IF(ISNUMBER(SEARCH("Kurang,",INDEX(FORM!$H:$H,ROW()))),"KURANG",""))))</f>
        <v/>
      </c>
      <c r="K779" s="8" t="str">
        <f>IF($A779="","",UPPER(TRIM(INDEX(FORM!$J:$J,ROW()))))</f>
        <v/>
      </c>
      <c r="L779" s="8" t="str">
        <f>IF($A779="","",IF(ISNUMBER(SEARCH("Aktivitas Harian",INDEX(FORM!$K:$K,ROW()))),1,0))</f>
        <v/>
      </c>
      <c r="M779" s="8" t="str">
        <f>IF($A779="","",IF(ISNUMBER(SEARCH("Aktivitas Mingguan",INDEX(FORM!$K:$K,ROW()))),1,0))</f>
        <v/>
      </c>
      <c r="N779" s="8" t="str">
        <f>IF($A779="","",IF(ISNUMBER(SEARCH("Aktivitas Bulanan",INDEX(FORM!$K:$K,ROW()))),1,0))</f>
        <v/>
      </c>
      <c r="O779" s="8" t="str">
        <f>IF($A779="","",IF(ISNUMBER(SEARCH("Overview Cabang",INDEX(FORM!$K:$K,ROW()))),1,0))</f>
        <v/>
      </c>
      <c r="P779" s="8" t="str">
        <f>IF($A779="","",IFERROR(VLOOKUP(I779,DATA!$AH$9:$AI$13,2,0),""))</f>
        <v/>
      </c>
      <c r="Q779" s="8" t="str">
        <f>IF($A779="","",IFERROR(VLOOKUP(J779,DATA!$AH$9:$AI$13,2,0),""))</f>
        <v/>
      </c>
      <c r="R779" s="8" t="str">
        <f>IF($A779="","",IFERROR(VLOOKUP(K779,DATA!$AH$9:$AI$13,2,0),""))</f>
        <v/>
      </c>
      <c r="S779" s="42" t="str">
        <f t="shared" si="264"/>
        <v/>
      </c>
      <c r="T779" s="8" t="str">
        <f>IF($A779="","",IF(COUNTIF($D$2:D779,D779)=1,1,0))</f>
        <v/>
      </c>
      <c r="U779" s="8" t="str">
        <f>IF($A779="","",IF(F779="-","Cabang tdk ada",IF(IFERROR(VLOOKUP(G779,#REF!,1,0),"")="","",IF(INDEX(DATA!$AH$2:$AH$5,MATCH(G779,DATA!$AI$2:$AI$5,0))&lt;&gt;F779,"Wilayah beda","OK"))))</f>
        <v/>
      </c>
      <c r="V779" s="8" t="str">
        <f>IF($A779="","",TRIM(INDEX(FORM!$I:$I,ROW())&amp;""))</f>
        <v/>
      </c>
      <c r="W779" s="8" t="str">
        <f>IF($A779="","",TRIM(INDEX(FORM!$L:$L,ROW())&amp;""))</f>
        <v/>
      </c>
      <c r="X779" s="8" t="str">
        <f>IF($A779="","",TRIM(INDEX(FORM!$M:$M,ROW())&amp;""))</f>
        <v/>
      </c>
      <c r="Y779" s="8" t="str">
        <f>IF($A779="","",IFERROR(MATCH(F779,DATA!$AH$2:$AH$5,0),9)*10000+A779)</f>
        <v/>
      </c>
      <c r="Z779" s="8" t="str">
        <f t="shared" si="265"/>
        <v/>
      </c>
      <c r="AA779" s="8" t="str">
        <f t="shared" si="266"/>
        <v/>
      </c>
      <c r="AB779" s="8" t="str">
        <f t="shared" si="267"/>
        <v/>
      </c>
      <c r="AC779" s="8"/>
      <c r="AD779" s="8"/>
      <c r="AE779" s="8"/>
      <c r="AK779" s="5" t="str">
        <f t="shared" si="268"/>
        <v/>
      </c>
      <c r="AL779" s="5" t="str">
        <f t="shared" si="269"/>
        <v/>
      </c>
      <c r="AM779" s="5" t="str">
        <f t="shared" si="270"/>
        <v/>
      </c>
      <c r="AN779" s="5" t="str">
        <f t="shared" si="271"/>
        <v/>
      </c>
      <c r="AO779" s="5" t="str">
        <f t="shared" si="272"/>
        <v/>
      </c>
      <c r="AP779" s="5" t="str">
        <f t="shared" si="273"/>
        <v/>
      </c>
      <c r="AQ779" s="5" t="str">
        <f t="shared" si="274"/>
        <v/>
      </c>
      <c r="AR779" s="5" t="str">
        <f t="shared" si="275"/>
        <v/>
      </c>
      <c r="AS779" s="5" t="str">
        <f t="shared" si="276"/>
        <v/>
      </c>
      <c r="AT779" s="5" t="str">
        <f t="shared" si="277"/>
        <v/>
      </c>
      <c r="AU779" s="5" t="str">
        <f t="shared" si="278"/>
        <v/>
      </c>
      <c r="AV779" s="5" t="str">
        <f t="shared" si="279"/>
        <v/>
      </c>
      <c r="AW779" s="5" t="str">
        <f t="shared" si="280"/>
        <v/>
      </c>
      <c r="AX779" s="5" t="str">
        <f t="shared" si="281"/>
        <v/>
      </c>
      <c r="AY779" s="5" t="str">
        <f t="shared" si="282"/>
        <v/>
      </c>
      <c r="AZ779" s="5" t="str">
        <f t="shared" si="283"/>
        <v/>
      </c>
      <c r="BA779" s="5" t="str">
        <f t="shared" si="284"/>
        <v/>
      </c>
      <c r="BB779" s="5" t="str">
        <f t="shared" si="285"/>
        <v/>
      </c>
    </row>
    <row r="780" spans="1:54" s="5" customFormat="1" hidden="1">
      <c r="A780" s="8" t="str">
        <f>IF(INDEX(FORM!$A:$A,ROW())="","",ROW()-1)</f>
        <v/>
      </c>
      <c r="B780" s="41" t="str">
        <f>IF($A780="","",INDEX(FORM!$A:$A,ROW()))</f>
        <v/>
      </c>
      <c r="C780" s="8" t="str">
        <f>IF($A780="","",TRIM(INDEX(FORM!$B:$B,ROW())))</f>
        <v/>
      </c>
      <c r="D780" s="8" t="str">
        <f>IF($A780="","",TRIM(INDEX(FORM!$C:$C,ROW())&amp;""))</f>
        <v/>
      </c>
      <c r="E780" s="8" t="str">
        <f>IF($A780="","",UPPER(TRIM(INDEX(FORM!$D:$D,ROW()))))</f>
        <v/>
      </c>
      <c r="F780" s="8" t="str">
        <f>IF($A780="","",IFERROR(INDEX(PROGRES!$A$2:$A$92,MATCH(E780,PROGRES!$B$2:$B$92,0)),"-"))</f>
        <v/>
      </c>
      <c r="G780" s="8" t="str">
        <f>IF($A780="","",UPPER(TRIM(INDEX(FORM!$F:$F,ROW()))))</f>
        <v/>
      </c>
      <c r="H780" s="8" t="str">
        <f>IF($A780="","",UPPER(TRIM(INDEX(FORM!$E:$E,ROW()))))</f>
        <v/>
      </c>
      <c r="I780" s="8" t="str">
        <f>IF($A780="","",UPPER(TRIM(INDEX(FORM!$G:$G,ROW()))))</f>
        <v/>
      </c>
      <c r="J780" s="8" t="str">
        <f>IF($A780="","",IF(ISNUMBER(SEARCH("Ya,",INDEX(FORM!$H:$H,ROW()))),"YA",IF(ISNUMBER(SEARCH("Cukup,",INDEX(FORM!$H:$H,ROW()))),"CUKUP",IF(ISNUMBER(SEARCH("Kurang,",INDEX(FORM!$H:$H,ROW()))),"KURANG",""))))</f>
        <v/>
      </c>
      <c r="K780" s="8" t="str">
        <f>IF($A780="","",UPPER(TRIM(INDEX(FORM!$J:$J,ROW()))))</f>
        <v/>
      </c>
      <c r="L780" s="8" t="str">
        <f>IF($A780="","",IF(ISNUMBER(SEARCH("Aktivitas Harian",INDEX(FORM!$K:$K,ROW()))),1,0))</f>
        <v/>
      </c>
      <c r="M780" s="8" t="str">
        <f>IF($A780="","",IF(ISNUMBER(SEARCH("Aktivitas Mingguan",INDEX(FORM!$K:$K,ROW()))),1,0))</f>
        <v/>
      </c>
      <c r="N780" s="8" t="str">
        <f>IF($A780="","",IF(ISNUMBER(SEARCH("Aktivitas Bulanan",INDEX(FORM!$K:$K,ROW()))),1,0))</f>
        <v/>
      </c>
      <c r="O780" s="8" t="str">
        <f>IF($A780="","",IF(ISNUMBER(SEARCH("Overview Cabang",INDEX(FORM!$K:$K,ROW()))),1,0))</f>
        <v/>
      </c>
      <c r="P780" s="8" t="str">
        <f>IF($A780="","",IFERROR(VLOOKUP(I780,DATA!$AH$9:$AI$13,2,0),""))</f>
        <v/>
      </c>
      <c r="Q780" s="8" t="str">
        <f>IF($A780="","",IFERROR(VLOOKUP(J780,DATA!$AH$9:$AI$13,2,0),""))</f>
        <v/>
      </c>
      <c r="R780" s="8" t="str">
        <f>IF($A780="","",IFERROR(VLOOKUP(K780,DATA!$AH$9:$AI$13,2,0),""))</f>
        <v/>
      </c>
      <c r="S780" s="42" t="str">
        <f t="shared" si="264"/>
        <v/>
      </c>
      <c r="T780" s="8" t="str">
        <f>IF($A780="","",IF(COUNTIF($D$2:D780,D780)=1,1,0))</f>
        <v/>
      </c>
      <c r="U780" s="8" t="str">
        <f>IF($A780="","",IF(F780="-","Cabang tdk ada",IF(IFERROR(VLOOKUP(G780,#REF!,1,0),"")="","",IF(INDEX(DATA!$AH$2:$AH$5,MATCH(G780,DATA!$AI$2:$AI$5,0))&lt;&gt;F780,"Wilayah beda","OK"))))</f>
        <v/>
      </c>
      <c r="V780" s="8" t="str">
        <f>IF($A780="","",TRIM(INDEX(FORM!$I:$I,ROW())&amp;""))</f>
        <v/>
      </c>
      <c r="W780" s="8" t="str">
        <f>IF($A780="","",TRIM(INDEX(FORM!$L:$L,ROW())&amp;""))</f>
        <v/>
      </c>
      <c r="X780" s="8" t="str">
        <f>IF($A780="","",TRIM(INDEX(FORM!$M:$M,ROW())&amp;""))</f>
        <v/>
      </c>
      <c r="Y780" s="8" t="str">
        <f>IF($A780="","",IFERROR(MATCH(F780,DATA!$AH$2:$AH$5,0),9)*10000+A780)</f>
        <v/>
      </c>
      <c r="Z780" s="8" t="str">
        <f t="shared" si="265"/>
        <v/>
      </c>
      <c r="AA780" s="8" t="str">
        <f t="shared" si="266"/>
        <v/>
      </c>
      <c r="AB780" s="8" t="str">
        <f t="shared" si="267"/>
        <v/>
      </c>
      <c r="AC780" s="8"/>
      <c r="AD780" s="8"/>
      <c r="AE780" s="8"/>
      <c r="AK780" s="5" t="str">
        <f t="shared" si="268"/>
        <v/>
      </c>
      <c r="AL780" s="5" t="str">
        <f t="shared" si="269"/>
        <v/>
      </c>
      <c r="AM780" s="5" t="str">
        <f t="shared" si="270"/>
        <v/>
      </c>
      <c r="AN780" s="5" t="str">
        <f t="shared" si="271"/>
        <v/>
      </c>
      <c r="AO780" s="5" t="str">
        <f t="shared" si="272"/>
        <v/>
      </c>
      <c r="AP780" s="5" t="str">
        <f t="shared" si="273"/>
        <v/>
      </c>
      <c r="AQ780" s="5" t="str">
        <f t="shared" si="274"/>
        <v/>
      </c>
      <c r="AR780" s="5" t="str">
        <f t="shared" si="275"/>
        <v/>
      </c>
      <c r="AS780" s="5" t="str">
        <f t="shared" si="276"/>
        <v/>
      </c>
      <c r="AT780" s="5" t="str">
        <f t="shared" si="277"/>
        <v/>
      </c>
      <c r="AU780" s="5" t="str">
        <f t="shared" si="278"/>
        <v/>
      </c>
      <c r="AV780" s="5" t="str">
        <f t="shared" si="279"/>
        <v/>
      </c>
      <c r="AW780" s="5" t="str">
        <f t="shared" si="280"/>
        <v/>
      </c>
      <c r="AX780" s="5" t="str">
        <f t="shared" si="281"/>
        <v/>
      </c>
      <c r="AY780" s="5" t="str">
        <f t="shared" si="282"/>
        <v/>
      </c>
      <c r="AZ780" s="5" t="str">
        <f t="shared" si="283"/>
        <v/>
      </c>
      <c r="BA780" s="5" t="str">
        <f t="shared" si="284"/>
        <v/>
      </c>
      <c r="BB780" s="5" t="str">
        <f t="shared" si="285"/>
        <v/>
      </c>
    </row>
    <row r="781" spans="1:54" s="5" customFormat="1" hidden="1">
      <c r="A781" s="8" t="str">
        <f>IF(INDEX(FORM!$A:$A,ROW())="","",ROW()-1)</f>
        <v/>
      </c>
      <c r="B781" s="41" t="str">
        <f>IF($A781="","",INDEX(FORM!$A:$A,ROW()))</f>
        <v/>
      </c>
      <c r="C781" s="8" t="str">
        <f>IF($A781="","",TRIM(INDEX(FORM!$B:$B,ROW())))</f>
        <v/>
      </c>
      <c r="D781" s="8" t="str">
        <f>IF($A781="","",TRIM(INDEX(FORM!$C:$C,ROW())&amp;""))</f>
        <v/>
      </c>
      <c r="E781" s="8" t="str">
        <f>IF($A781="","",UPPER(TRIM(INDEX(FORM!$D:$D,ROW()))))</f>
        <v/>
      </c>
      <c r="F781" s="8" t="str">
        <f>IF($A781="","",IFERROR(INDEX(PROGRES!$A$2:$A$92,MATCH(E781,PROGRES!$B$2:$B$92,0)),"-"))</f>
        <v/>
      </c>
      <c r="G781" s="8" t="str">
        <f>IF($A781="","",UPPER(TRIM(INDEX(FORM!$F:$F,ROW()))))</f>
        <v/>
      </c>
      <c r="H781" s="8" t="str">
        <f>IF($A781="","",UPPER(TRIM(INDEX(FORM!$E:$E,ROW()))))</f>
        <v/>
      </c>
      <c r="I781" s="8" t="str">
        <f>IF($A781="","",UPPER(TRIM(INDEX(FORM!$G:$G,ROW()))))</f>
        <v/>
      </c>
      <c r="J781" s="8" t="str">
        <f>IF($A781="","",IF(ISNUMBER(SEARCH("Ya,",INDEX(FORM!$H:$H,ROW()))),"YA",IF(ISNUMBER(SEARCH("Cukup,",INDEX(FORM!$H:$H,ROW()))),"CUKUP",IF(ISNUMBER(SEARCH("Kurang,",INDEX(FORM!$H:$H,ROW()))),"KURANG",""))))</f>
        <v/>
      </c>
      <c r="K781" s="8" t="str">
        <f>IF($A781="","",UPPER(TRIM(INDEX(FORM!$J:$J,ROW()))))</f>
        <v/>
      </c>
      <c r="L781" s="8" t="str">
        <f>IF($A781="","",IF(ISNUMBER(SEARCH("Aktivitas Harian",INDEX(FORM!$K:$K,ROW()))),1,0))</f>
        <v/>
      </c>
      <c r="M781" s="8" t="str">
        <f>IF($A781="","",IF(ISNUMBER(SEARCH("Aktivitas Mingguan",INDEX(FORM!$K:$K,ROW()))),1,0))</f>
        <v/>
      </c>
      <c r="N781" s="8" t="str">
        <f>IF($A781="","",IF(ISNUMBER(SEARCH("Aktivitas Bulanan",INDEX(FORM!$K:$K,ROW()))),1,0))</f>
        <v/>
      </c>
      <c r="O781" s="8" t="str">
        <f>IF($A781="","",IF(ISNUMBER(SEARCH("Overview Cabang",INDEX(FORM!$K:$K,ROW()))),1,0))</f>
        <v/>
      </c>
      <c r="P781" s="8" t="str">
        <f>IF($A781="","",IFERROR(VLOOKUP(I781,DATA!$AH$9:$AI$13,2,0),""))</f>
        <v/>
      </c>
      <c r="Q781" s="8" t="str">
        <f>IF($A781="","",IFERROR(VLOOKUP(J781,DATA!$AH$9:$AI$13,2,0),""))</f>
        <v/>
      </c>
      <c r="R781" s="8" t="str">
        <f>IF($A781="","",IFERROR(VLOOKUP(K781,DATA!$AH$9:$AI$13,2,0),""))</f>
        <v/>
      </c>
      <c r="S781" s="42" t="str">
        <f t="shared" si="264"/>
        <v/>
      </c>
      <c r="T781" s="8" t="str">
        <f>IF($A781="","",IF(COUNTIF($D$2:D781,D781)=1,1,0))</f>
        <v/>
      </c>
      <c r="U781" s="8" t="str">
        <f>IF($A781="","",IF(F781="-","Cabang tdk ada",IF(IFERROR(VLOOKUP(G781,#REF!,1,0),"")="","",IF(INDEX(DATA!$AH$2:$AH$5,MATCH(G781,DATA!$AI$2:$AI$5,0))&lt;&gt;F781,"Wilayah beda","OK"))))</f>
        <v/>
      </c>
      <c r="V781" s="8" t="str">
        <f>IF($A781="","",TRIM(INDEX(FORM!$I:$I,ROW())&amp;""))</f>
        <v/>
      </c>
      <c r="W781" s="8" t="str">
        <f>IF($A781="","",TRIM(INDEX(FORM!$L:$L,ROW())&amp;""))</f>
        <v/>
      </c>
      <c r="X781" s="8" t="str">
        <f>IF($A781="","",TRIM(INDEX(FORM!$M:$M,ROW())&amp;""))</f>
        <v/>
      </c>
      <c r="Y781" s="8" t="str">
        <f>IF($A781="","",IFERROR(MATCH(F781,DATA!$AH$2:$AH$5,0),9)*10000+A781)</f>
        <v/>
      </c>
      <c r="Z781" s="8" t="str">
        <f t="shared" si="265"/>
        <v/>
      </c>
      <c r="AA781" s="8" t="str">
        <f t="shared" si="266"/>
        <v/>
      </c>
      <c r="AB781" s="8" t="str">
        <f t="shared" si="267"/>
        <v/>
      </c>
      <c r="AC781" s="8"/>
      <c r="AD781" s="8"/>
      <c r="AE781" s="8"/>
      <c r="AK781" s="5" t="str">
        <f t="shared" si="268"/>
        <v/>
      </c>
      <c r="AL781" s="5" t="str">
        <f t="shared" si="269"/>
        <v/>
      </c>
      <c r="AM781" s="5" t="str">
        <f t="shared" si="270"/>
        <v/>
      </c>
      <c r="AN781" s="5" t="str">
        <f t="shared" si="271"/>
        <v/>
      </c>
      <c r="AO781" s="5" t="str">
        <f t="shared" si="272"/>
        <v/>
      </c>
      <c r="AP781" s="5" t="str">
        <f t="shared" si="273"/>
        <v/>
      </c>
      <c r="AQ781" s="5" t="str">
        <f t="shared" si="274"/>
        <v/>
      </c>
      <c r="AR781" s="5" t="str">
        <f t="shared" si="275"/>
        <v/>
      </c>
      <c r="AS781" s="5" t="str">
        <f t="shared" si="276"/>
        <v/>
      </c>
      <c r="AT781" s="5" t="str">
        <f t="shared" si="277"/>
        <v/>
      </c>
      <c r="AU781" s="5" t="str">
        <f t="shared" si="278"/>
        <v/>
      </c>
      <c r="AV781" s="5" t="str">
        <f t="shared" si="279"/>
        <v/>
      </c>
      <c r="AW781" s="5" t="str">
        <f t="shared" si="280"/>
        <v/>
      </c>
      <c r="AX781" s="5" t="str">
        <f t="shared" si="281"/>
        <v/>
      </c>
      <c r="AY781" s="5" t="str">
        <f t="shared" si="282"/>
        <v/>
      </c>
      <c r="AZ781" s="5" t="str">
        <f t="shared" si="283"/>
        <v/>
      </c>
      <c r="BA781" s="5" t="str">
        <f t="shared" si="284"/>
        <v/>
      </c>
      <c r="BB781" s="5" t="str">
        <f t="shared" si="285"/>
        <v/>
      </c>
    </row>
    <row r="782" spans="1:54" s="5" customFormat="1" hidden="1">
      <c r="A782" s="8" t="str">
        <f>IF(INDEX(FORM!$A:$A,ROW())="","",ROW()-1)</f>
        <v/>
      </c>
      <c r="B782" s="41" t="str">
        <f>IF($A782="","",INDEX(FORM!$A:$A,ROW()))</f>
        <v/>
      </c>
      <c r="C782" s="8" t="str">
        <f>IF($A782="","",TRIM(INDEX(FORM!$B:$B,ROW())))</f>
        <v/>
      </c>
      <c r="D782" s="8" t="str">
        <f>IF($A782="","",TRIM(INDEX(FORM!$C:$C,ROW())&amp;""))</f>
        <v/>
      </c>
      <c r="E782" s="8" t="str">
        <f>IF($A782="","",UPPER(TRIM(INDEX(FORM!$D:$D,ROW()))))</f>
        <v/>
      </c>
      <c r="F782" s="8" t="str">
        <f>IF($A782="","",IFERROR(INDEX(PROGRES!$A$2:$A$92,MATCH(E782,PROGRES!$B$2:$B$92,0)),"-"))</f>
        <v/>
      </c>
      <c r="G782" s="8" t="str">
        <f>IF($A782="","",UPPER(TRIM(INDEX(FORM!$F:$F,ROW()))))</f>
        <v/>
      </c>
      <c r="H782" s="8" t="str">
        <f>IF($A782="","",UPPER(TRIM(INDEX(FORM!$E:$E,ROW()))))</f>
        <v/>
      </c>
      <c r="I782" s="8" t="str">
        <f>IF($A782="","",UPPER(TRIM(INDEX(FORM!$G:$G,ROW()))))</f>
        <v/>
      </c>
      <c r="J782" s="8" t="str">
        <f>IF($A782="","",IF(ISNUMBER(SEARCH("Ya,",INDEX(FORM!$H:$H,ROW()))),"YA",IF(ISNUMBER(SEARCH("Cukup,",INDEX(FORM!$H:$H,ROW()))),"CUKUP",IF(ISNUMBER(SEARCH("Kurang,",INDEX(FORM!$H:$H,ROW()))),"KURANG",""))))</f>
        <v/>
      </c>
      <c r="K782" s="8" t="str">
        <f>IF($A782="","",UPPER(TRIM(INDEX(FORM!$J:$J,ROW()))))</f>
        <v/>
      </c>
      <c r="L782" s="8" t="str">
        <f>IF($A782="","",IF(ISNUMBER(SEARCH("Aktivitas Harian",INDEX(FORM!$K:$K,ROW()))),1,0))</f>
        <v/>
      </c>
      <c r="M782" s="8" t="str">
        <f>IF($A782="","",IF(ISNUMBER(SEARCH("Aktivitas Mingguan",INDEX(FORM!$K:$K,ROW()))),1,0))</f>
        <v/>
      </c>
      <c r="N782" s="8" t="str">
        <f>IF($A782="","",IF(ISNUMBER(SEARCH("Aktivitas Bulanan",INDEX(FORM!$K:$K,ROW()))),1,0))</f>
        <v/>
      </c>
      <c r="O782" s="8" t="str">
        <f>IF($A782="","",IF(ISNUMBER(SEARCH("Overview Cabang",INDEX(FORM!$K:$K,ROW()))),1,0))</f>
        <v/>
      </c>
      <c r="P782" s="8" t="str">
        <f>IF($A782="","",IFERROR(VLOOKUP(I782,DATA!$AH$9:$AI$13,2,0),""))</f>
        <v/>
      </c>
      <c r="Q782" s="8" t="str">
        <f>IF($A782="","",IFERROR(VLOOKUP(J782,DATA!$AH$9:$AI$13,2,0),""))</f>
        <v/>
      </c>
      <c r="R782" s="8" t="str">
        <f>IF($A782="","",IFERROR(VLOOKUP(K782,DATA!$AH$9:$AI$13,2,0),""))</f>
        <v/>
      </c>
      <c r="S782" s="42" t="str">
        <f t="shared" si="264"/>
        <v/>
      </c>
      <c r="T782" s="8" t="str">
        <f>IF($A782="","",IF(COUNTIF($D$2:D782,D782)=1,1,0))</f>
        <v/>
      </c>
      <c r="U782" s="8" t="str">
        <f>IF($A782="","",IF(F782="-","Cabang tdk ada",IF(IFERROR(VLOOKUP(G782,#REF!,1,0),"")="","",IF(INDEX(DATA!$AH$2:$AH$5,MATCH(G782,DATA!$AI$2:$AI$5,0))&lt;&gt;F782,"Wilayah beda","OK"))))</f>
        <v/>
      </c>
      <c r="V782" s="8" t="str">
        <f>IF($A782="","",TRIM(INDEX(FORM!$I:$I,ROW())&amp;""))</f>
        <v/>
      </c>
      <c r="W782" s="8" t="str">
        <f>IF($A782="","",TRIM(INDEX(FORM!$L:$L,ROW())&amp;""))</f>
        <v/>
      </c>
      <c r="X782" s="8" t="str">
        <f>IF($A782="","",TRIM(INDEX(FORM!$M:$M,ROW())&amp;""))</f>
        <v/>
      </c>
      <c r="Y782" s="8" t="str">
        <f>IF($A782="","",IFERROR(MATCH(F782,DATA!$AH$2:$AH$5,0),9)*10000+A782)</f>
        <v/>
      </c>
      <c r="Z782" s="8" t="str">
        <f t="shared" si="265"/>
        <v/>
      </c>
      <c r="AA782" s="8" t="str">
        <f t="shared" si="266"/>
        <v/>
      </c>
      <c r="AB782" s="8" t="str">
        <f t="shared" si="267"/>
        <v/>
      </c>
      <c r="AC782" s="8"/>
      <c r="AD782" s="8"/>
      <c r="AE782" s="8"/>
      <c r="AK782" s="5" t="str">
        <f t="shared" si="268"/>
        <v/>
      </c>
      <c r="AL782" s="5" t="str">
        <f t="shared" si="269"/>
        <v/>
      </c>
      <c r="AM782" s="5" t="str">
        <f t="shared" si="270"/>
        <v/>
      </c>
      <c r="AN782" s="5" t="str">
        <f t="shared" si="271"/>
        <v/>
      </c>
      <c r="AO782" s="5" t="str">
        <f t="shared" si="272"/>
        <v/>
      </c>
      <c r="AP782" s="5" t="str">
        <f t="shared" si="273"/>
        <v/>
      </c>
      <c r="AQ782" s="5" t="str">
        <f t="shared" si="274"/>
        <v/>
      </c>
      <c r="AR782" s="5" t="str">
        <f t="shared" si="275"/>
        <v/>
      </c>
      <c r="AS782" s="5" t="str">
        <f t="shared" si="276"/>
        <v/>
      </c>
      <c r="AT782" s="5" t="str">
        <f t="shared" si="277"/>
        <v/>
      </c>
      <c r="AU782" s="5" t="str">
        <f t="shared" si="278"/>
        <v/>
      </c>
      <c r="AV782" s="5" t="str">
        <f t="shared" si="279"/>
        <v/>
      </c>
      <c r="AW782" s="5" t="str">
        <f t="shared" si="280"/>
        <v/>
      </c>
      <c r="AX782" s="5" t="str">
        <f t="shared" si="281"/>
        <v/>
      </c>
      <c r="AY782" s="5" t="str">
        <f t="shared" si="282"/>
        <v/>
      </c>
      <c r="AZ782" s="5" t="str">
        <f t="shared" si="283"/>
        <v/>
      </c>
      <c r="BA782" s="5" t="str">
        <f t="shared" si="284"/>
        <v/>
      </c>
      <c r="BB782" s="5" t="str">
        <f t="shared" si="285"/>
        <v/>
      </c>
    </row>
    <row r="783" spans="1:54" s="5" customFormat="1" hidden="1">
      <c r="A783" s="8" t="str">
        <f>IF(INDEX(FORM!$A:$A,ROW())="","",ROW()-1)</f>
        <v/>
      </c>
      <c r="B783" s="41" t="str">
        <f>IF($A783="","",INDEX(FORM!$A:$A,ROW()))</f>
        <v/>
      </c>
      <c r="C783" s="8" t="str">
        <f>IF($A783="","",TRIM(INDEX(FORM!$B:$B,ROW())))</f>
        <v/>
      </c>
      <c r="D783" s="8" t="str">
        <f>IF($A783="","",TRIM(INDEX(FORM!$C:$C,ROW())&amp;""))</f>
        <v/>
      </c>
      <c r="E783" s="8" t="str">
        <f>IF($A783="","",UPPER(TRIM(INDEX(FORM!$D:$D,ROW()))))</f>
        <v/>
      </c>
      <c r="F783" s="8" t="str">
        <f>IF($A783="","",IFERROR(INDEX(PROGRES!$A$2:$A$92,MATCH(E783,PROGRES!$B$2:$B$92,0)),"-"))</f>
        <v/>
      </c>
      <c r="G783" s="8" t="str">
        <f>IF($A783="","",UPPER(TRIM(INDEX(FORM!$F:$F,ROW()))))</f>
        <v/>
      </c>
      <c r="H783" s="8" t="str">
        <f>IF($A783="","",UPPER(TRIM(INDEX(FORM!$E:$E,ROW()))))</f>
        <v/>
      </c>
      <c r="I783" s="8" t="str">
        <f>IF($A783="","",UPPER(TRIM(INDEX(FORM!$G:$G,ROW()))))</f>
        <v/>
      </c>
      <c r="J783" s="8" t="str">
        <f>IF($A783="","",IF(ISNUMBER(SEARCH("Ya,",INDEX(FORM!$H:$H,ROW()))),"YA",IF(ISNUMBER(SEARCH("Cukup,",INDEX(FORM!$H:$H,ROW()))),"CUKUP",IF(ISNUMBER(SEARCH("Kurang,",INDEX(FORM!$H:$H,ROW()))),"KURANG",""))))</f>
        <v/>
      </c>
      <c r="K783" s="8" t="str">
        <f>IF($A783="","",UPPER(TRIM(INDEX(FORM!$J:$J,ROW()))))</f>
        <v/>
      </c>
      <c r="L783" s="8" t="str">
        <f>IF($A783="","",IF(ISNUMBER(SEARCH("Aktivitas Harian",INDEX(FORM!$K:$K,ROW()))),1,0))</f>
        <v/>
      </c>
      <c r="M783" s="8" t="str">
        <f>IF($A783="","",IF(ISNUMBER(SEARCH("Aktivitas Mingguan",INDEX(FORM!$K:$K,ROW()))),1,0))</f>
        <v/>
      </c>
      <c r="N783" s="8" t="str">
        <f>IF($A783="","",IF(ISNUMBER(SEARCH("Aktivitas Bulanan",INDEX(FORM!$K:$K,ROW()))),1,0))</f>
        <v/>
      </c>
      <c r="O783" s="8" t="str">
        <f>IF($A783="","",IF(ISNUMBER(SEARCH("Overview Cabang",INDEX(FORM!$K:$K,ROW()))),1,0))</f>
        <v/>
      </c>
      <c r="P783" s="8" t="str">
        <f>IF($A783="","",IFERROR(VLOOKUP(I783,DATA!$AH$9:$AI$13,2,0),""))</f>
        <v/>
      </c>
      <c r="Q783" s="8" t="str">
        <f>IF($A783="","",IFERROR(VLOOKUP(J783,DATA!$AH$9:$AI$13,2,0),""))</f>
        <v/>
      </c>
      <c r="R783" s="8" t="str">
        <f>IF($A783="","",IFERROR(VLOOKUP(K783,DATA!$AH$9:$AI$13,2,0),""))</f>
        <v/>
      </c>
      <c r="S783" s="42" t="str">
        <f t="shared" si="264"/>
        <v/>
      </c>
      <c r="T783" s="8" t="str">
        <f>IF($A783="","",IF(COUNTIF($D$2:D783,D783)=1,1,0))</f>
        <v/>
      </c>
      <c r="U783" s="8" t="str">
        <f>IF($A783="","",IF(F783="-","Cabang tdk ada",IF(IFERROR(VLOOKUP(G783,#REF!,1,0),"")="","",IF(INDEX(DATA!$AH$2:$AH$5,MATCH(G783,DATA!$AI$2:$AI$5,0))&lt;&gt;F783,"Wilayah beda","OK"))))</f>
        <v/>
      </c>
      <c r="V783" s="8" t="str">
        <f>IF($A783="","",TRIM(INDEX(FORM!$I:$I,ROW())&amp;""))</f>
        <v/>
      </c>
      <c r="W783" s="8" t="str">
        <f>IF($A783="","",TRIM(INDEX(FORM!$L:$L,ROW())&amp;""))</f>
        <v/>
      </c>
      <c r="X783" s="8" t="str">
        <f>IF($A783="","",TRIM(INDEX(FORM!$M:$M,ROW())&amp;""))</f>
        <v/>
      </c>
      <c r="Y783" s="8" t="str">
        <f>IF($A783="","",IFERROR(MATCH(F783,DATA!$AH$2:$AH$5,0),9)*10000+A783)</f>
        <v/>
      </c>
      <c r="Z783" s="8" t="str">
        <f t="shared" si="265"/>
        <v/>
      </c>
      <c r="AA783" s="8" t="str">
        <f t="shared" si="266"/>
        <v/>
      </c>
      <c r="AB783" s="8" t="str">
        <f t="shared" si="267"/>
        <v/>
      </c>
      <c r="AC783" s="8"/>
      <c r="AD783" s="8"/>
      <c r="AE783" s="8"/>
      <c r="AK783" s="5" t="str">
        <f t="shared" si="268"/>
        <v/>
      </c>
      <c r="AL783" s="5" t="str">
        <f t="shared" si="269"/>
        <v/>
      </c>
      <c r="AM783" s="5" t="str">
        <f t="shared" si="270"/>
        <v/>
      </c>
      <c r="AN783" s="5" t="str">
        <f t="shared" si="271"/>
        <v/>
      </c>
      <c r="AO783" s="5" t="str">
        <f t="shared" si="272"/>
        <v/>
      </c>
      <c r="AP783" s="5" t="str">
        <f t="shared" si="273"/>
        <v/>
      </c>
      <c r="AQ783" s="5" t="str">
        <f t="shared" si="274"/>
        <v/>
      </c>
      <c r="AR783" s="5" t="str">
        <f t="shared" si="275"/>
        <v/>
      </c>
      <c r="AS783" s="5" t="str">
        <f t="shared" si="276"/>
        <v/>
      </c>
      <c r="AT783" s="5" t="str">
        <f t="shared" si="277"/>
        <v/>
      </c>
      <c r="AU783" s="5" t="str">
        <f t="shared" si="278"/>
        <v/>
      </c>
      <c r="AV783" s="5" t="str">
        <f t="shared" si="279"/>
        <v/>
      </c>
      <c r="AW783" s="5" t="str">
        <f t="shared" si="280"/>
        <v/>
      </c>
      <c r="AX783" s="5" t="str">
        <f t="shared" si="281"/>
        <v/>
      </c>
      <c r="AY783" s="5" t="str">
        <f t="shared" si="282"/>
        <v/>
      </c>
      <c r="AZ783" s="5" t="str">
        <f t="shared" si="283"/>
        <v/>
      </c>
      <c r="BA783" s="5" t="str">
        <f t="shared" si="284"/>
        <v/>
      </c>
      <c r="BB783" s="5" t="str">
        <f t="shared" si="285"/>
        <v/>
      </c>
    </row>
    <row r="784" spans="1:54" s="5" customFormat="1" hidden="1">
      <c r="A784" s="8" t="str">
        <f>IF(INDEX(FORM!$A:$A,ROW())="","",ROW()-1)</f>
        <v/>
      </c>
      <c r="B784" s="41" t="str">
        <f>IF($A784="","",INDEX(FORM!$A:$A,ROW()))</f>
        <v/>
      </c>
      <c r="C784" s="8" t="str">
        <f>IF($A784="","",TRIM(INDEX(FORM!$B:$B,ROW())))</f>
        <v/>
      </c>
      <c r="D784" s="8" t="str">
        <f>IF($A784="","",TRIM(INDEX(FORM!$C:$C,ROW())&amp;""))</f>
        <v/>
      </c>
      <c r="E784" s="8" t="str">
        <f>IF($A784="","",UPPER(TRIM(INDEX(FORM!$D:$D,ROW()))))</f>
        <v/>
      </c>
      <c r="F784" s="8" t="str">
        <f>IF($A784="","",IFERROR(INDEX(PROGRES!$A$2:$A$92,MATCH(E784,PROGRES!$B$2:$B$92,0)),"-"))</f>
        <v/>
      </c>
      <c r="G784" s="8" t="str">
        <f>IF($A784="","",UPPER(TRIM(INDEX(FORM!$F:$F,ROW()))))</f>
        <v/>
      </c>
      <c r="H784" s="8" t="str">
        <f>IF($A784="","",UPPER(TRIM(INDEX(FORM!$E:$E,ROW()))))</f>
        <v/>
      </c>
      <c r="I784" s="8" t="str">
        <f>IF($A784="","",UPPER(TRIM(INDEX(FORM!$G:$G,ROW()))))</f>
        <v/>
      </c>
      <c r="J784" s="8" t="str">
        <f>IF($A784="","",IF(ISNUMBER(SEARCH("Ya,",INDEX(FORM!$H:$H,ROW()))),"YA",IF(ISNUMBER(SEARCH("Cukup,",INDEX(FORM!$H:$H,ROW()))),"CUKUP",IF(ISNUMBER(SEARCH("Kurang,",INDEX(FORM!$H:$H,ROW()))),"KURANG",""))))</f>
        <v/>
      </c>
      <c r="K784" s="8" t="str">
        <f>IF($A784="","",UPPER(TRIM(INDEX(FORM!$J:$J,ROW()))))</f>
        <v/>
      </c>
      <c r="L784" s="8" t="str">
        <f>IF($A784="","",IF(ISNUMBER(SEARCH("Aktivitas Harian",INDEX(FORM!$K:$K,ROW()))),1,0))</f>
        <v/>
      </c>
      <c r="M784" s="8" t="str">
        <f>IF($A784="","",IF(ISNUMBER(SEARCH("Aktivitas Mingguan",INDEX(FORM!$K:$K,ROW()))),1,0))</f>
        <v/>
      </c>
      <c r="N784" s="8" t="str">
        <f>IF($A784="","",IF(ISNUMBER(SEARCH("Aktivitas Bulanan",INDEX(FORM!$K:$K,ROW()))),1,0))</f>
        <v/>
      </c>
      <c r="O784" s="8" t="str">
        <f>IF($A784="","",IF(ISNUMBER(SEARCH("Overview Cabang",INDEX(FORM!$K:$K,ROW()))),1,0))</f>
        <v/>
      </c>
      <c r="P784" s="8" t="str">
        <f>IF($A784="","",IFERROR(VLOOKUP(I784,DATA!$AH$9:$AI$13,2,0),""))</f>
        <v/>
      </c>
      <c r="Q784" s="8" t="str">
        <f>IF($A784="","",IFERROR(VLOOKUP(J784,DATA!$AH$9:$AI$13,2,0),""))</f>
        <v/>
      </c>
      <c r="R784" s="8" t="str">
        <f>IF($A784="","",IFERROR(VLOOKUP(K784,DATA!$AH$9:$AI$13,2,0),""))</f>
        <v/>
      </c>
      <c r="S784" s="42" t="str">
        <f t="shared" si="264"/>
        <v/>
      </c>
      <c r="T784" s="8" t="str">
        <f>IF($A784="","",IF(COUNTIF($D$2:D784,D784)=1,1,0))</f>
        <v/>
      </c>
      <c r="U784" s="8" t="str">
        <f>IF($A784="","",IF(F784="-","Cabang tdk ada",IF(IFERROR(VLOOKUP(G784,#REF!,1,0),"")="","",IF(INDEX(DATA!$AH$2:$AH$5,MATCH(G784,DATA!$AI$2:$AI$5,0))&lt;&gt;F784,"Wilayah beda","OK"))))</f>
        <v/>
      </c>
      <c r="V784" s="8" t="str">
        <f>IF($A784="","",TRIM(INDEX(FORM!$I:$I,ROW())&amp;""))</f>
        <v/>
      </c>
      <c r="W784" s="8" t="str">
        <f>IF($A784="","",TRIM(INDEX(FORM!$L:$L,ROW())&amp;""))</f>
        <v/>
      </c>
      <c r="X784" s="8" t="str">
        <f>IF($A784="","",TRIM(INDEX(FORM!$M:$M,ROW())&amp;""))</f>
        <v/>
      </c>
      <c r="Y784" s="8" t="str">
        <f>IF($A784="","",IFERROR(MATCH(F784,DATA!$AH$2:$AH$5,0),9)*10000+A784)</f>
        <v/>
      </c>
      <c r="Z784" s="8" t="str">
        <f t="shared" si="265"/>
        <v/>
      </c>
      <c r="AA784" s="8" t="str">
        <f t="shared" si="266"/>
        <v/>
      </c>
      <c r="AB784" s="8" t="str">
        <f t="shared" si="267"/>
        <v/>
      </c>
      <c r="AC784" s="8"/>
      <c r="AD784" s="8"/>
      <c r="AE784" s="8"/>
      <c r="AK784" s="5" t="str">
        <f t="shared" si="268"/>
        <v/>
      </c>
      <c r="AL784" s="5" t="str">
        <f t="shared" si="269"/>
        <v/>
      </c>
      <c r="AM784" s="5" t="str">
        <f t="shared" si="270"/>
        <v/>
      </c>
      <c r="AN784" s="5" t="str">
        <f t="shared" si="271"/>
        <v/>
      </c>
      <c r="AO784" s="5" t="str">
        <f t="shared" si="272"/>
        <v/>
      </c>
      <c r="AP784" s="5" t="str">
        <f t="shared" si="273"/>
        <v/>
      </c>
      <c r="AQ784" s="5" t="str">
        <f t="shared" si="274"/>
        <v/>
      </c>
      <c r="AR784" s="5" t="str">
        <f t="shared" si="275"/>
        <v/>
      </c>
      <c r="AS784" s="5" t="str">
        <f t="shared" si="276"/>
        <v/>
      </c>
      <c r="AT784" s="5" t="str">
        <f t="shared" si="277"/>
        <v/>
      </c>
      <c r="AU784" s="5" t="str">
        <f t="shared" si="278"/>
        <v/>
      </c>
      <c r="AV784" s="5" t="str">
        <f t="shared" si="279"/>
        <v/>
      </c>
      <c r="AW784" s="5" t="str">
        <f t="shared" si="280"/>
        <v/>
      </c>
      <c r="AX784" s="5" t="str">
        <f t="shared" si="281"/>
        <v/>
      </c>
      <c r="AY784" s="5" t="str">
        <f t="shared" si="282"/>
        <v/>
      </c>
      <c r="AZ784" s="5" t="str">
        <f t="shared" si="283"/>
        <v/>
      </c>
      <c r="BA784" s="5" t="str">
        <f t="shared" si="284"/>
        <v/>
      </c>
      <c r="BB784" s="5" t="str">
        <f t="shared" si="285"/>
        <v/>
      </c>
    </row>
    <row r="785" spans="1:54" s="5" customFormat="1" hidden="1">
      <c r="A785" s="8" t="str">
        <f>IF(INDEX(FORM!$A:$A,ROW())="","",ROW()-1)</f>
        <v/>
      </c>
      <c r="B785" s="41" t="str">
        <f>IF($A785="","",INDEX(FORM!$A:$A,ROW()))</f>
        <v/>
      </c>
      <c r="C785" s="8" t="str">
        <f>IF($A785="","",TRIM(INDEX(FORM!$B:$B,ROW())))</f>
        <v/>
      </c>
      <c r="D785" s="8" t="str">
        <f>IF($A785="","",TRIM(INDEX(FORM!$C:$C,ROW())&amp;""))</f>
        <v/>
      </c>
      <c r="E785" s="8" t="str">
        <f>IF($A785="","",UPPER(TRIM(INDEX(FORM!$D:$D,ROW()))))</f>
        <v/>
      </c>
      <c r="F785" s="8" t="str">
        <f>IF($A785="","",IFERROR(INDEX(PROGRES!$A$2:$A$92,MATCH(E785,PROGRES!$B$2:$B$92,0)),"-"))</f>
        <v/>
      </c>
      <c r="G785" s="8" t="str">
        <f>IF($A785="","",UPPER(TRIM(INDEX(FORM!$F:$F,ROW()))))</f>
        <v/>
      </c>
      <c r="H785" s="8" t="str">
        <f>IF($A785="","",UPPER(TRIM(INDEX(FORM!$E:$E,ROW()))))</f>
        <v/>
      </c>
      <c r="I785" s="8" t="str">
        <f>IF($A785="","",UPPER(TRIM(INDEX(FORM!$G:$G,ROW()))))</f>
        <v/>
      </c>
      <c r="J785" s="8" t="str">
        <f>IF($A785="","",IF(ISNUMBER(SEARCH("Ya,",INDEX(FORM!$H:$H,ROW()))),"YA",IF(ISNUMBER(SEARCH("Cukup,",INDEX(FORM!$H:$H,ROW()))),"CUKUP",IF(ISNUMBER(SEARCH("Kurang,",INDEX(FORM!$H:$H,ROW()))),"KURANG",""))))</f>
        <v/>
      </c>
      <c r="K785" s="8" t="str">
        <f>IF($A785="","",UPPER(TRIM(INDEX(FORM!$J:$J,ROW()))))</f>
        <v/>
      </c>
      <c r="L785" s="8" t="str">
        <f>IF($A785="","",IF(ISNUMBER(SEARCH("Aktivitas Harian",INDEX(FORM!$K:$K,ROW()))),1,0))</f>
        <v/>
      </c>
      <c r="M785" s="8" t="str">
        <f>IF($A785="","",IF(ISNUMBER(SEARCH("Aktivitas Mingguan",INDEX(FORM!$K:$K,ROW()))),1,0))</f>
        <v/>
      </c>
      <c r="N785" s="8" t="str">
        <f>IF($A785="","",IF(ISNUMBER(SEARCH("Aktivitas Bulanan",INDEX(FORM!$K:$K,ROW()))),1,0))</f>
        <v/>
      </c>
      <c r="O785" s="8" t="str">
        <f>IF($A785="","",IF(ISNUMBER(SEARCH("Overview Cabang",INDEX(FORM!$K:$K,ROW()))),1,0))</f>
        <v/>
      </c>
      <c r="P785" s="8" t="str">
        <f>IF($A785="","",IFERROR(VLOOKUP(I785,DATA!$AH$9:$AI$13,2,0),""))</f>
        <v/>
      </c>
      <c r="Q785" s="8" t="str">
        <f>IF($A785="","",IFERROR(VLOOKUP(J785,DATA!$AH$9:$AI$13,2,0),""))</f>
        <v/>
      </c>
      <c r="R785" s="8" t="str">
        <f>IF($A785="","",IFERROR(VLOOKUP(K785,DATA!$AH$9:$AI$13,2,0),""))</f>
        <v/>
      </c>
      <c r="S785" s="42" t="str">
        <f t="shared" si="264"/>
        <v/>
      </c>
      <c r="T785" s="8" t="str">
        <f>IF($A785="","",IF(COUNTIF($D$2:D785,D785)=1,1,0))</f>
        <v/>
      </c>
      <c r="U785" s="8" t="str">
        <f>IF($A785="","",IF(F785="-","Cabang tdk ada",IF(IFERROR(VLOOKUP(G785,#REF!,1,0),"")="","",IF(INDEX(DATA!$AH$2:$AH$5,MATCH(G785,DATA!$AI$2:$AI$5,0))&lt;&gt;F785,"Wilayah beda","OK"))))</f>
        <v/>
      </c>
      <c r="V785" s="8" t="str">
        <f>IF($A785="","",TRIM(INDEX(FORM!$I:$I,ROW())&amp;""))</f>
        <v/>
      </c>
      <c r="W785" s="8" t="str">
        <f>IF($A785="","",TRIM(INDEX(FORM!$L:$L,ROW())&amp;""))</f>
        <v/>
      </c>
      <c r="X785" s="8" t="str">
        <f>IF($A785="","",TRIM(INDEX(FORM!$M:$M,ROW())&amp;""))</f>
        <v/>
      </c>
      <c r="Y785" s="8" t="str">
        <f>IF($A785="","",IFERROR(MATCH(F785,DATA!$AH$2:$AH$5,0),9)*10000+A785)</f>
        <v/>
      </c>
      <c r="Z785" s="8" t="str">
        <f t="shared" si="265"/>
        <v/>
      </c>
      <c r="AA785" s="8" t="str">
        <f t="shared" si="266"/>
        <v/>
      </c>
      <c r="AB785" s="8" t="str">
        <f t="shared" si="267"/>
        <v/>
      </c>
      <c r="AC785" s="8"/>
      <c r="AD785" s="8"/>
      <c r="AE785" s="8"/>
      <c r="AK785" s="5" t="str">
        <f t="shared" si="268"/>
        <v/>
      </c>
      <c r="AL785" s="5" t="str">
        <f t="shared" si="269"/>
        <v/>
      </c>
      <c r="AM785" s="5" t="str">
        <f t="shared" si="270"/>
        <v/>
      </c>
      <c r="AN785" s="5" t="str">
        <f t="shared" si="271"/>
        <v/>
      </c>
      <c r="AO785" s="5" t="str">
        <f t="shared" si="272"/>
        <v/>
      </c>
      <c r="AP785" s="5" t="str">
        <f t="shared" si="273"/>
        <v/>
      </c>
      <c r="AQ785" s="5" t="str">
        <f t="shared" si="274"/>
        <v/>
      </c>
      <c r="AR785" s="5" t="str">
        <f t="shared" si="275"/>
        <v/>
      </c>
      <c r="AS785" s="5" t="str">
        <f t="shared" si="276"/>
        <v/>
      </c>
      <c r="AT785" s="5" t="str">
        <f t="shared" si="277"/>
        <v/>
      </c>
      <c r="AU785" s="5" t="str">
        <f t="shared" si="278"/>
        <v/>
      </c>
      <c r="AV785" s="5" t="str">
        <f t="shared" si="279"/>
        <v/>
      </c>
      <c r="AW785" s="5" t="str">
        <f t="shared" si="280"/>
        <v/>
      </c>
      <c r="AX785" s="5" t="str">
        <f t="shared" si="281"/>
        <v/>
      </c>
      <c r="AY785" s="5" t="str">
        <f t="shared" si="282"/>
        <v/>
      </c>
      <c r="AZ785" s="5" t="str">
        <f t="shared" si="283"/>
        <v/>
      </c>
      <c r="BA785" s="5" t="str">
        <f t="shared" si="284"/>
        <v/>
      </c>
      <c r="BB785" s="5" t="str">
        <f t="shared" si="285"/>
        <v/>
      </c>
    </row>
    <row r="786" spans="1:54" s="5" customFormat="1" hidden="1">
      <c r="A786" s="8" t="str">
        <f>IF(INDEX(FORM!$A:$A,ROW())="","",ROW()-1)</f>
        <v/>
      </c>
      <c r="B786" s="41" t="str">
        <f>IF($A786="","",INDEX(FORM!$A:$A,ROW()))</f>
        <v/>
      </c>
      <c r="C786" s="8" t="str">
        <f>IF($A786="","",TRIM(INDEX(FORM!$B:$B,ROW())))</f>
        <v/>
      </c>
      <c r="D786" s="8" t="str">
        <f>IF($A786="","",TRIM(INDEX(FORM!$C:$C,ROW())&amp;""))</f>
        <v/>
      </c>
      <c r="E786" s="8" t="str">
        <f>IF($A786="","",UPPER(TRIM(INDEX(FORM!$D:$D,ROW()))))</f>
        <v/>
      </c>
      <c r="F786" s="8" t="str">
        <f>IF($A786="","",IFERROR(INDEX(PROGRES!$A$2:$A$92,MATCH(E786,PROGRES!$B$2:$B$92,0)),"-"))</f>
        <v/>
      </c>
      <c r="G786" s="8" t="str">
        <f>IF($A786="","",UPPER(TRIM(INDEX(FORM!$F:$F,ROW()))))</f>
        <v/>
      </c>
      <c r="H786" s="8" t="str">
        <f>IF($A786="","",UPPER(TRIM(INDEX(FORM!$E:$E,ROW()))))</f>
        <v/>
      </c>
      <c r="I786" s="8" t="str">
        <f>IF($A786="","",UPPER(TRIM(INDEX(FORM!$G:$G,ROW()))))</f>
        <v/>
      </c>
      <c r="J786" s="8" t="str">
        <f>IF($A786="","",IF(ISNUMBER(SEARCH("Ya,",INDEX(FORM!$H:$H,ROW()))),"YA",IF(ISNUMBER(SEARCH("Cukup,",INDEX(FORM!$H:$H,ROW()))),"CUKUP",IF(ISNUMBER(SEARCH("Kurang,",INDEX(FORM!$H:$H,ROW()))),"KURANG",""))))</f>
        <v/>
      </c>
      <c r="K786" s="8" t="str">
        <f>IF($A786="","",UPPER(TRIM(INDEX(FORM!$J:$J,ROW()))))</f>
        <v/>
      </c>
      <c r="L786" s="8" t="str">
        <f>IF($A786="","",IF(ISNUMBER(SEARCH("Aktivitas Harian",INDEX(FORM!$K:$K,ROW()))),1,0))</f>
        <v/>
      </c>
      <c r="M786" s="8" t="str">
        <f>IF($A786="","",IF(ISNUMBER(SEARCH("Aktivitas Mingguan",INDEX(FORM!$K:$K,ROW()))),1,0))</f>
        <v/>
      </c>
      <c r="N786" s="8" t="str">
        <f>IF($A786="","",IF(ISNUMBER(SEARCH("Aktivitas Bulanan",INDEX(FORM!$K:$K,ROW()))),1,0))</f>
        <v/>
      </c>
      <c r="O786" s="8" t="str">
        <f>IF($A786="","",IF(ISNUMBER(SEARCH("Overview Cabang",INDEX(FORM!$K:$K,ROW()))),1,0))</f>
        <v/>
      </c>
      <c r="P786" s="8" t="str">
        <f>IF($A786="","",IFERROR(VLOOKUP(I786,DATA!$AH$9:$AI$13,2,0),""))</f>
        <v/>
      </c>
      <c r="Q786" s="8" t="str">
        <f>IF($A786="","",IFERROR(VLOOKUP(J786,DATA!$AH$9:$AI$13,2,0),""))</f>
        <v/>
      </c>
      <c r="R786" s="8" t="str">
        <f>IF($A786="","",IFERROR(VLOOKUP(K786,DATA!$AH$9:$AI$13,2,0),""))</f>
        <v/>
      </c>
      <c r="S786" s="42" t="str">
        <f t="shared" si="264"/>
        <v/>
      </c>
      <c r="T786" s="8" t="str">
        <f>IF($A786="","",IF(COUNTIF($D$2:D786,D786)=1,1,0))</f>
        <v/>
      </c>
      <c r="U786" s="8" t="str">
        <f>IF($A786="","",IF(F786="-","Cabang tdk ada",IF(IFERROR(VLOOKUP(G786,#REF!,1,0),"")="","",IF(INDEX(DATA!$AH$2:$AH$5,MATCH(G786,DATA!$AI$2:$AI$5,0))&lt;&gt;F786,"Wilayah beda","OK"))))</f>
        <v/>
      </c>
      <c r="V786" s="8" t="str">
        <f>IF($A786="","",TRIM(INDEX(FORM!$I:$I,ROW())&amp;""))</f>
        <v/>
      </c>
      <c r="W786" s="8" t="str">
        <f>IF($A786="","",TRIM(INDEX(FORM!$L:$L,ROW())&amp;""))</f>
        <v/>
      </c>
      <c r="X786" s="8" t="str">
        <f>IF($A786="","",TRIM(INDEX(FORM!$M:$M,ROW())&amp;""))</f>
        <v/>
      </c>
      <c r="Y786" s="8" t="str">
        <f>IF($A786="","",IFERROR(MATCH(F786,DATA!$AH$2:$AH$5,0),9)*10000+A786)</f>
        <v/>
      </c>
      <c r="Z786" s="8" t="str">
        <f t="shared" si="265"/>
        <v/>
      </c>
      <c r="AA786" s="8" t="str">
        <f t="shared" si="266"/>
        <v/>
      </c>
      <c r="AB786" s="8" t="str">
        <f t="shared" si="267"/>
        <v/>
      </c>
      <c r="AC786" s="8"/>
      <c r="AD786" s="8"/>
      <c r="AE786" s="8"/>
      <c r="AK786" s="5" t="str">
        <f t="shared" si="268"/>
        <v/>
      </c>
      <c r="AL786" s="5" t="str">
        <f t="shared" si="269"/>
        <v/>
      </c>
      <c r="AM786" s="5" t="str">
        <f t="shared" si="270"/>
        <v/>
      </c>
      <c r="AN786" s="5" t="str">
        <f t="shared" si="271"/>
        <v/>
      </c>
      <c r="AO786" s="5" t="str">
        <f t="shared" si="272"/>
        <v/>
      </c>
      <c r="AP786" s="5" t="str">
        <f t="shared" si="273"/>
        <v/>
      </c>
      <c r="AQ786" s="5" t="str">
        <f t="shared" si="274"/>
        <v/>
      </c>
      <c r="AR786" s="5" t="str">
        <f t="shared" si="275"/>
        <v/>
      </c>
      <c r="AS786" s="5" t="str">
        <f t="shared" si="276"/>
        <v/>
      </c>
      <c r="AT786" s="5" t="str">
        <f t="shared" si="277"/>
        <v/>
      </c>
      <c r="AU786" s="5" t="str">
        <f t="shared" si="278"/>
        <v/>
      </c>
      <c r="AV786" s="5" t="str">
        <f t="shared" si="279"/>
        <v/>
      </c>
      <c r="AW786" s="5" t="str">
        <f t="shared" si="280"/>
        <v/>
      </c>
      <c r="AX786" s="5" t="str">
        <f t="shared" si="281"/>
        <v/>
      </c>
      <c r="AY786" s="5" t="str">
        <f t="shared" si="282"/>
        <v/>
      </c>
      <c r="AZ786" s="5" t="str">
        <f t="shared" si="283"/>
        <v/>
      </c>
      <c r="BA786" s="5" t="str">
        <f t="shared" si="284"/>
        <v/>
      </c>
      <c r="BB786" s="5" t="str">
        <f t="shared" si="285"/>
        <v/>
      </c>
    </row>
    <row r="787" spans="1:54" s="5" customFormat="1" hidden="1">
      <c r="A787" s="8" t="str">
        <f>IF(INDEX(FORM!$A:$A,ROW())="","",ROW()-1)</f>
        <v/>
      </c>
      <c r="B787" s="41" t="str">
        <f>IF($A787="","",INDEX(FORM!$A:$A,ROW()))</f>
        <v/>
      </c>
      <c r="C787" s="8" t="str">
        <f>IF($A787="","",TRIM(INDEX(FORM!$B:$B,ROW())))</f>
        <v/>
      </c>
      <c r="D787" s="8" t="str">
        <f>IF($A787="","",TRIM(INDEX(FORM!$C:$C,ROW())&amp;""))</f>
        <v/>
      </c>
      <c r="E787" s="8" t="str">
        <f>IF($A787="","",UPPER(TRIM(INDEX(FORM!$D:$D,ROW()))))</f>
        <v/>
      </c>
      <c r="F787" s="8" t="str">
        <f>IF($A787="","",IFERROR(INDEX(PROGRES!$A$2:$A$92,MATCH(E787,PROGRES!$B$2:$B$92,0)),"-"))</f>
        <v/>
      </c>
      <c r="G787" s="8" t="str">
        <f>IF($A787="","",UPPER(TRIM(INDEX(FORM!$F:$F,ROW()))))</f>
        <v/>
      </c>
      <c r="H787" s="8" t="str">
        <f>IF($A787="","",UPPER(TRIM(INDEX(FORM!$E:$E,ROW()))))</f>
        <v/>
      </c>
      <c r="I787" s="8" t="str">
        <f>IF($A787="","",UPPER(TRIM(INDEX(FORM!$G:$G,ROW()))))</f>
        <v/>
      </c>
      <c r="J787" s="8" t="str">
        <f>IF($A787="","",IF(ISNUMBER(SEARCH("Ya,",INDEX(FORM!$H:$H,ROW()))),"YA",IF(ISNUMBER(SEARCH("Cukup,",INDEX(FORM!$H:$H,ROW()))),"CUKUP",IF(ISNUMBER(SEARCH("Kurang,",INDEX(FORM!$H:$H,ROW()))),"KURANG",""))))</f>
        <v/>
      </c>
      <c r="K787" s="8" t="str">
        <f>IF($A787="","",UPPER(TRIM(INDEX(FORM!$J:$J,ROW()))))</f>
        <v/>
      </c>
      <c r="L787" s="8" t="str">
        <f>IF($A787="","",IF(ISNUMBER(SEARCH("Aktivitas Harian",INDEX(FORM!$K:$K,ROW()))),1,0))</f>
        <v/>
      </c>
      <c r="M787" s="8" t="str">
        <f>IF($A787="","",IF(ISNUMBER(SEARCH("Aktivitas Mingguan",INDEX(FORM!$K:$K,ROW()))),1,0))</f>
        <v/>
      </c>
      <c r="N787" s="8" t="str">
        <f>IF($A787="","",IF(ISNUMBER(SEARCH("Aktivitas Bulanan",INDEX(FORM!$K:$K,ROW()))),1,0))</f>
        <v/>
      </c>
      <c r="O787" s="8" t="str">
        <f>IF($A787="","",IF(ISNUMBER(SEARCH("Overview Cabang",INDEX(FORM!$K:$K,ROW()))),1,0))</f>
        <v/>
      </c>
      <c r="P787" s="8" t="str">
        <f>IF($A787="","",IFERROR(VLOOKUP(I787,DATA!$AH$9:$AI$13,2,0),""))</f>
        <v/>
      </c>
      <c r="Q787" s="8" t="str">
        <f>IF($A787="","",IFERROR(VLOOKUP(J787,DATA!$AH$9:$AI$13,2,0),""))</f>
        <v/>
      </c>
      <c r="R787" s="8" t="str">
        <f>IF($A787="","",IFERROR(VLOOKUP(K787,DATA!$AH$9:$AI$13,2,0),""))</f>
        <v/>
      </c>
      <c r="S787" s="42" t="str">
        <f t="shared" si="264"/>
        <v/>
      </c>
      <c r="T787" s="8" t="str">
        <f>IF($A787="","",IF(COUNTIF($D$2:D787,D787)=1,1,0))</f>
        <v/>
      </c>
      <c r="U787" s="8" t="str">
        <f>IF($A787="","",IF(F787="-","Cabang tdk ada",IF(IFERROR(VLOOKUP(G787,#REF!,1,0),"")="","",IF(INDEX(DATA!$AH$2:$AH$5,MATCH(G787,DATA!$AI$2:$AI$5,0))&lt;&gt;F787,"Wilayah beda","OK"))))</f>
        <v/>
      </c>
      <c r="V787" s="8" t="str">
        <f>IF($A787="","",TRIM(INDEX(FORM!$I:$I,ROW())&amp;""))</f>
        <v/>
      </c>
      <c r="W787" s="8" t="str">
        <f>IF($A787="","",TRIM(INDEX(FORM!$L:$L,ROW())&amp;""))</f>
        <v/>
      </c>
      <c r="X787" s="8" t="str">
        <f>IF($A787="","",TRIM(INDEX(FORM!$M:$M,ROW())&amp;""))</f>
        <v/>
      </c>
      <c r="Y787" s="8" t="str">
        <f>IF($A787="","",IFERROR(MATCH(F787,DATA!$AH$2:$AH$5,0),9)*10000+A787)</f>
        <v/>
      </c>
      <c r="Z787" s="8" t="str">
        <f t="shared" si="265"/>
        <v/>
      </c>
      <c r="AA787" s="8" t="str">
        <f t="shared" si="266"/>
        <v/>
      </c>
      <c r="AB787" s="8" t="str">
        <f t="shared" si="267"/>
        <v/>
      </c>
      <c r="AC787" s="8"/>
      <c r="AD787" s="8"/>
      <c r="AE787" s="8"/>
      <c r="AK787" s="5" t="str">
        <f t="shared" si="268"/>
        <v/>
      </c>
      <c r="AL787" s="5" t="str">
        <f t="shared" si="269"/>
        <v/>
      </c>
      <c r="AM787" s="5" t="str">
        <f t="shared" si="270"/>
        <v/>
      </c>
      <c r="AN787" s="5" t="str">
        <f t="shared" si="271"/>
        <v/>
      </c>
      <c r="AO787" s="5" t="str">
        <f t="shared" si="272"/>
        <v/>
      </c>
      <c r="AP787" s="5" t="str">
        <f t="shared" si="273"/>
        <v/>
      </c>
      <c r="AQ787" s="5" t="str">
        <f t="shared" si="274"/>
        <v/>
      </c>
      <c r="AR787" s="5" t="str">
        <f t="shared" si="275"/>
        <v/>
      </c>
      <c r="AS787" s="5" t="str">
        <f t="shared" si="276"/>
        <v/>
      </c>
      <c r="AT787" s="5" t="str">
        <f t="shared" si="277"/>
        <v/>
      </c>
      <c r="AU787" s="5" t="str">
        <f t="shared" si="278"/>
        <v/>
      </c>
      <c r="AV787" s="5" t="str">
        <f t="shared" si="279"/>
        <v/>
      </c>
      <c r="AW787" s="5" t="str">
        <f t="shared" si="280"/>
        <v/>
      </c>
      <c r="AX787" s="5" t="str">
        <f t="shared" si="281"/>
        <v/>
      </c>
      <c r="AY787" s="5" t="str">
        <f t="shared" si="282"/>
        <v/>
      </c>
      <c r="AZ787" s="5" t="str">
        <f t="shared" si="283"/>
        <v/>
      </c>
      <c r="BA787" s="5" t="str">
        <f t="shared" si="284"/>
        <v/>
      </c>
      <c r="BB787" s="5" t="str">
        <f t="shared" si="285"/>
        <v/>
      </c>
    </row>
    <row r="788" spans="1:54" s="5" customFormat="1" hidden="1">
      <c r="A788" s="8" t="str">
        <f>IF(INDEX(FORM!$A:$A,ROW())="","",ROW()-1)</f>
        <v/>
      </c>
      <c r="B788" s="41" t="str">
        <f>IF($A788="","",INDEX(FORM!$A:$A,ROW()))</f>
        <v/>
      </c>
      <c r="C788" s="8" t="str">
        <f>IF($A788="","",TRIM(INDEX(FORM!$B:$B,ROW())))</f>
        <v/>
      </c>
      <c r="D788" s="8" t="str">
        <f>IF($A788="","",TRIM(INDEX(FORM!$C:$C,ROW())&amp;""))</f>
        <v/>
      </c>
      <c r="E788" s="8" t="str">
        <f>IF($A788="","",UPPER(TRIM(INDEX(FORM!$D:$D,ROW()))))</f>
        <v/>
      </c>
      <c r="F788" s="8" t="str">
        <f>IF($A788="","",IFERROR(INDEX(PROGRES!$A$2:$A$92,MATCH(E788,PROGRES!$B$2:$B$92,0)),"-"))</f>
        <v/>
      </c>
      <c r="G788" s="8" t="str">
        <f>IF($A788="","",UPPER(TRIM(INDEX(FORM!$F:$F,ROW()))))</f>
        <v/>
      </c>
      <c r="H788" s="8" t="str">
        <f>IF($A788="","",UPPER(TRIM(INDEX(FORM!$E:$E,ROW()))))</f>
        <v/>
      </c>
      <c r="I788" s="8" t="str">
        <f>IF($A788="","",UPPER(TRIM(INDEX(FORM!$G:$G,ROW()))))</f>
        <v/>
      </c>
      <c r="J788" s="8" t="str">
        <f>IF($A788="","",IF(ISNUMBER(SEARCH("Ya,",INDEX(FORM!$H:$H,ROW()))),"YA",IF(ISNUMBER(SEARCH("Cukup,",INDEX(FORM!$H:$H,ROW()))),"CUKUP",IF(ISNUMBER(SEARCH("Kurang,",INDEX(FORM!$H:$H,ROW()))),"KURANG",""))))</f>
        <v/>
      </c>
      <c r="K788" s="8" t="str">
        <f>IF($A788="","",UPPER(TRIM(INDEX(FORM!$J:$J,ROW()))))</f>
        <v/>
      </c>
      <c r="L788" s="8" t="str">
        <f>IF($A788="","",IF(ISNUMBER(SEARCH("Aktivitas Harian",INDEX(FORM!$K:$K,ROW()))),1,0))</f>
        <v/>
      </c>
      <c r="M788" s="8" t="str">
        <f>IF($A788="","",IF(ISNUMBER(SEARCH("Aktivitas Mingguan",INDEX(FORM!$K:$K,ROW()))),1,0))</f>
        <v/>
      </c>
      <c r="N788" s="8" t="str">
        <f>IF($A788="","",IF(ISNUMBER(SEARCH("Aktivitas Bulanan",INDEX(FORM!$K:$K,ROW()))),1,0))</f>
        <v/>
      </c>
      <c r="O788" s="8" t="str">
        <f>IF($A788="","",IF(ISNUMBER(SEARCH("Overview Cabang",INDEX(FORM!$K:$K,ROW()))),1,0))</f>
        <v/>
      </c>
      <c r="P788" s="8" t="str">
        <f>IF($A788="","",IFERROR(VLOOKUP(I788,DATA!$AH$9:$AI$13,2,0),""))</f>
        <v/>
      </c>
      <c r="Q788" s="8" t="str">
        <f>IF($A788="","",IFERROR(VLOOKUP(J788,DATA!$AH$9:$AI$13,2,0),""))</f>
        <v/>
      </c>
      <c r="R788" s="8" t="str">
        <f>IF($A788="","",IFERROR(VLOOKUP(K788,DATA!$AH$9:$AI$13,2,0),""))</f>
        <v/>
      </c>
      <c r="S788" s="42" t="str">
        <f t="shared" si="264"/>
        <v/>
      </c>
      <c r="T788" s="8" t="str">
        <f>IF($A788="","",IF(COUNTIF($D$2:D788,D788)=1,1,0))</f>
        <v/>
      </c>
      <c r="U788" s="8" t="str">
        <f>IF($A788="","",IF(F788="-","Cabang tdk ada",IF(IFERROR(VLOOKUP(G788,#REF!,1,0),"")="","",IF(INDEX(DATA!$AH$2:$AH$5,MATCH(G788,DATA!$AI$2:$AI$5,0))&lt;&gt;F788,"Wilayah beda","OK"))))</f>
        <v/>
      </c>
      <c r="V788" s="8" t="str">
        <f>IF($A788="","",TRIM(INDEX(FORM!$I:$I,ROW())&amp;""))</f>
        <v/>
      </c>
      <c r="W788" s="8" t="str">
        <f>IF($A788="","",TRIM(INDEX(FORM!$L:$L,ROW())&amp;""))</f>
        <v/>
      </c>
      <c r="X788" s="8" t="str">
        <f>IF($A788="","",TRIM(INDEX(FORM!$M:$M,ROW())&amp;""))</f>
        <v/>
      </c>
      <c r="Y788" s="8" t="str">
        <f>IF($A788="","",IFERROR(MATCH(F788,DATA!$AH$2:$AH$5,0),9)*10000+A788)</f>
        <v/>
      </c>
      <c r="Z788" s="8" t="str">
        <f t="shared" si="265"/>
        <v/>
      </c>
      <c r="AA788" s="8" t="str">
        <f t="shared" si="266"/>
        <v/>
      </c>
      <c r="AB788" s="8" t="str">
        <f t="shared" si="267"/>
        <v/>
      </c>
      <c r="AC788" s="8"/>
      <c r="AD788" s="8"/>
      <c r="AE788" s="8"/>
      <c r="AK788" s="5" t="str">
        <f t="shared" si="268"/>
        <v/>
      </c>
      <c r="AL788" s="5" t="str">
        <f t="shared" si="269"/>
        <v/>
      </c>
      <c r="AM788" s="5" t="str">
        <f t="shared" si="270"/>
        <v/>
      </c>
      <c r="AN788" s="5" t="str">
        <f t="shared" si="271"/>
        <v/>
      </c>
      <c r="AO788" s="5" t="str">
        <f t="shared" si="272"/>
        <v/>
      </c>
      <c r="AP788" s="5" t="str">
        <f t="shared" si="273"/>
        <v/>
      </c>
      <c r="AQ788" s="5" t="str">
        <f t="shared" si="274"/>
        <v/>
      </c>
      <c r="AR788" s="5" t="str">
        <f t="shared" si="275"/>
        <v/>
      </c>
      <c r="AS788" s="5" t="str">
        <f t="shared" si="276"/>
        <v/>
      </c>
      <c r="AT788" s="5" t="str">
        <f t="shared" si="277"/>
        <v/>
      </c>
      <c r="AU788" s="5" t="str">
        <f t="shared" si="278"/>
        <v/>
      </c>
      <c r="AV788" s="5" t="str">
        <f t="shared" si="279"/>
        <v/>
      </c>
      <c r="AW788" s="5" t="str">
        <f t="shared" si="280"/>
        <v/>
      </c>
      <c r="AX788" s="5" t="str">
        <f t="shared" si="281"/>
        <v/>
      </c>
      <c r="AY788" s="5" t="str">
        <f t="shared" si="282"/>
        <v/>
      </c>
      <c r="AZ788" s="5" t="str">
        <f t="shared" si="283"/>
        <v/>
      </c>
      <c r="BA788" s="5" t="str">
        <f t="shared" si="284"/>
        <v/>
      </c>
      <c r="BB788" s="5" t="str">
        <f t="shared" si="285"/>
        <v/>
      </c>
    </row>
    <row r="789" spans="1:54" s="5" customFormat="1" hidden="1">
      <c r="A789" s="8" t="str">
        <f>IF(INDEX(FORM!$A:$A,ROW())="","",ROW()-1)</f>
        <v/>
      </c>
      <c r="B789" s="41" t="str">
        <f>IF($A789="","",INDEX(FORM!$A:$A,ROW()))</f>
        <v/>
      </c>
      <c r="C789" s="8" t="str">
        <f>IF($A789="","",TRIM(INDEX(FORM!$B:$B,ROW())))</f>
        <v/>
      </c>
      <c r="D789" s="8" t="str">
        <f>IF($A789="","",TRIM(INDEX(FORM!$C:$C,ROW())&amp;""))</f>
        <v/>
      </c>
      <c r="E789" s="8" t="str">
        <f>IF($A789="","",UPPER(TRIM(INDEX(FORM!$D:$D,ROW()))))</f>
        <v/>
      </c>
      <c r="F789" s="8" t="str">
        <f>IF($A789="","",IFERROR(INDEX(PROGRES!$A$2:$A$92,MATCH(E789,PROGRES!$B$2:$B$92,0)),"-"))</f>
        <v/>
      </c>
      <c r="G789" s="8" t="str">
        <f>IF($A789="","",UPPER(TRIM(INDEX(FORM!$F:$F,ROW()))))</f>
        <v/>
      </c>
      <c r="H789" s="8" t="str">
        <f>IF($A789="","",UPPER(TRIM(INDEX(FORM!$E:$E,ROW()))))</f>
        <v/>
      </c>
      <c r="I789" s="8" t="str">
        <f>IF($A789="","",UPPER(TRIM(INDEX(FORM!$G:$G,ROW()))))</f>
        <v/>
      </c>
      <c r="J789" s="8" t="str">
        <f>IF($A789="","",IF(ISNUMBER(SEARCH("Ya,",INDEX(FORM!$H:$H,ROW()))),"YA",IF(ISNUMBER(SEARCH("Cukup,",INDEX(FORM!$H:$H,ROW()))),"CUKUP",IF(ISNUMBER(SEARCH("Kurang,",INDEX(FORM!$H:$H,ROW()))),"KURANG",""))))</f>
        <v/>
      </c>
      <c r="K789" s="8" t="str">
        <f>IF($A789="","",UPPER(TRIM(INDEX(FORM!$J:$J,ROW()))))</f>
        <v/>
      </c>
      <c r="L789" s="8" t="str">
        <f>IF($A789="","",IF(ISNUMBER(SEARCH("Aktivitas Harian",INDEX(FORM!$K:$K,ROW()))),1,0))</f>
        <v/>
      </c>
      <c r="M789" s="8" t="str">
        <f>IF($A789="","",IF(ISNUMBER(SEARCH("Aktivitas Mingguan",INDEX(FORM!$K:$K,ROW()))),1,0))</f>
        <v/>
      </c>
      <c r="N789" s="8" t="str">
        <f>IF($A789="","",IF(ISNUMBER(SEARCH("Aktivitas Bulanan",INDEX(FORM!$K:$K,ROW()))),1,0))</f>
        <v/>
      </c>
      <c r="O789" s="8" t="str">
        <f>IF($A789="","",IF(ISNUMBER(SEARCH("Overview Cabang",INDEX(FORM!$K:$K,ROW()))),1,0))</f>
        <v/>
      </c>
      <c r="P789" s="8" t="str">
        <f>IF($A789="","",IFERROR(VLOOKUP(I789,DATA!$AH$9:$AI$13,2,0),""))</f>
        <v/>
      </c>
      <c r="Q789" s="8" t="str">
        <f>IF($A789="","",IFERROR(VLOOKUP(J789,DATA!$AH$9:$AI$13,2,0),""))</f>
        <v/>
      </c>
      <c r="R789" s="8" t="str">
        <f>IF($A789="","",IFERROR(VLOOKUP(K789,DATA!$AH$9:$AI$13,2,0),""))</f>
        <v/>
      </c>
      <c r="S789" s="42" t="str">
        <f t="shared" si="264"/>
        <v/>
      </c>
      <c r="T789" s="8" t="str">
        <f>IF($A789="","",IF(COUNTIF($D$2:D789,D789)=1,1,0))</f>
        <v/>
      </c>
      <c r="U789" s="8" t="str">
        <f>IF($A789="","",IF(F789="-","Cabang tdk ada",IF(IFERROR(VLOOKUP(G789,#REF!,1,0),"")="","",IF(INDEX(DATA!$AH$2:$AH$5,MATCH(G789,DATA!$AI$2:$AI$5,0))&lt;&gt;F789,"Wilayah beda","OK"))))</f>
        <v/>
      </c>
      <c r="V789" s="8" t="str">
        <f>IF($A789="","",TRIM(INDEX(FORM!$I:$I,ROW())&amp;""))</f>
        <v/>
      </c>
      <c r="W789" s="8" t="str">
        <f>IF($A789="","",TRIM(INDEX(FORM!$L:$L,ROW())&amp;""))</f>
        <v/>
      </c>
      <c r="X789" s="8" t="str">
        <f>IF($A789="","",TRIM(INDEX(FORM!$M:$M,ROW())&amp;""))</f>
        <v/>
      </c>
      <c r="Y789" s="8" t="str">
        <f>IF($A789="","",IFERROR(MATCH(F789,DATA!$AH$2:$AH$5,0),9)*10000+A789)</f>
        <v/>
      </c>
      <c r="Z789" s="8" t="str">
        <f t="shared" si="265"/>
        <v/>
      </c>
      <c r="AA789" s="8" t="str">
        <f t="shared" si="266"/>
        <v/>
      </c>
      <c r="AB789" s="8" t="str">
        <f t="shared" si="267"/>
        <v/>
      </c>
      <c r="AC789" s="8"/>
      <c r="AD789" s="8"/>
      <c r="AE789" s="8"/>
      <c r="AK789" s="5" t="str">
        <f t="shared" si="268"/>
        <v/>
      </c>
      <c r="AL789" s="5" t="str">
        <f t="shared" si="269"/>
        <v/>
      </c>
      <c r="AM789" s="5" t="str">
        <f t="shared" si="270"/>
        <v/>
      </c>
      <c r="AN789" s="5" t="str">
        <f t="shared" si="271"/>
        <v/>
      </c>
      <c r="AO789" s="5" t="str">
        <f t="shared" si="272"/>
        <v/>
      </c>
      <c r="AP789" s="5" t="str">
        <f t="shared" si="273"/>
        <v/>
      </c>
      <c r="AQ789" s="5" t="str">
        <f t="shared" si="274"/>
        <v/>
      </c>
      <c r="AR789" s="5" t="str">
        <f t="shared" si="275"/>
        <v/>
      </c>
      <c r="AS789" s="5" t="str">
        <f t="shared" si="276"/>
        <v/>
      </c>
      <c r="AT789" s="5" t="str">
        <f t="shared" si="277"/>
        <v/>
      </c>
      <c r="AU789" s="5" t="str">
        <f t="shared" si="278"/>
        <v/>
      </c>
      <c r="AV789" s="5" t="str">
        <f t="shared" si="279"/>
        <v/>
      </c>
      <c r="AW789" s="5" t="str">
        <f t="shared" si="280"/>
        <v/>
      </c>
      <c r="AX789" s="5" t="str">
        <f t="shared" si="281"/>
        <v/>
      </c>
      <c r="AY789" s="5" t="str">
        <f t="shared" si="282"/>
        <v/>
      </c>
      <c r="AZ789" s="5" t="str">
        <f t="shared" si="283"/>
        <v/>
      </c>
      <c r="BA789" s="5" t="str">
        <f t="shared" si="284"/>
        <v/>
      </c>
      <c r="BB789" s="5" t="str">
        <f t="shared" si="285"/>
        <v/>
      </c>
    </row>
    <row r="790" spans="1:54" s="5" customFormat="1" hidden="1">
      <c r="A790" s="8" t="str">
        <f>IF(INDEX(FORM!$A:$A,ROW())="","",ROW()-1)</f>
        <v/>
      </c>
      <c r="B790" s="41" t="str">
        <f>IF($A790="","",INDEX(FORM!$A:$A,ROW()))</f>
        <v/>
      </c>
      <c r="C790" s="8" t="str">
        <f>IF($A790="","",TRIM(INDEX(FORM!$B:$B,ROW())))</f>
        <v/>
      </c>
      <c r="D790" s="8" t="str">
        <f>IF($A790="","",TRIM(INDEX(FORM!$C:$C,ROW())&amp;""))</f>
        <v/>
      </c>
      <c r="E790" s="8" t="str">
        <f>IF($A790="","",UPPER(TRIM(INDEX(FORM!$D:$D,ROW()))))</f>
        <v/>
      </c>
      <c r="F790" s="8" t="str">
        <f>IF($A790="","",IFERROR(INDEX(PROGRES!$A$2:$A$92,MATCH(E790,PROGRES!$B$2:$B$92,0)),"-"))</f>
        <v/>
      </c>
      <c r="G790" s="8" t="str">
        <f>IF($A790="","",UPPER(TRIM(INDEX(FORM!$F:$F,ROW()))))</f>
        <v/>
      </c>
      <c r="H790" s="8" t="str">
        <f>IF($A790="","",UPPER(TRIM(INDEX(FORM!$E:$E,ROW()))))</f>
        <v/>
      </c>
      <c r="I790" s="8" t="str">
        <f>IF($A790="","",UPPER(TRIM(INDEX(FORM!$G:$G,ROW()))))</f>
        <v/>
      </c>
      <c r="J790" s="8" t="str">
        <f>IF($A790="","",IF(ISNUMBER(SEARCH("Ya,",INDEX(FORM!$H:$H,ROW()))),"YA",IF(ISNUMBER(SEARCH("Cukup,",INDEX(FORM!$H:$H,ROW()))),"CUKUP",IF(ISNUMBER(SEARCH("Kurang,",INDEX(FORM!$H:$H,ROW()))),"KURANG",""))))</f>
        <v/>
      </c>
      <c r="K790" s="8" t="str">
        <f>IF($A790="","",UPPER(TRIM(INDEX(FORM!$J:$J,ROW()))))</f>
        <v/>
      </c>
      <c r="L790" s="8" t="str">
        <f>IF($A790="","",IF(ISNUMBER(SEARCH("Aktivitas Harian",INDEX(FORM!$K:$K,ROW()))),1,0))</f>
        <v/>
      </c>
      <c r="M790" s="8" t="str">
        <f>IF($A790="","",IF(ISNUMBER(SEARCH("Aktivitas Mingguan",INDEX(FORM!$K:$K,ROW()))),1,0))</f>
        <v/>
      </c>
      <c r="N790" s="8" t="str">
        <f>IF($A790="","",IF(ISNUMBER(SEARCH("Aktivitas Bulanan",INDEX(FORM!$K:$K,ROW()))),1,0))</f>
        <v/>
      </c>
      <c r="O790" s="8" t="str">
        <f>IF($A790="","",IF(ISNUMBER(SEARCH("Overview Cabang",INDEX(FORM!$K:$K,ROW()))),1,0))</f>
        <v/>
      </c>
      <c r="P790" s="8" t="str">
        <f>IF($A790="","",IFERROR(VLOOKUP(I790,DATA!$AH$9:$AI$13,2,0),""))</f>
        <v/>
      </c>
      <c r="Q790" s="8" t="str">
        <f>IF($A790="","",IFERROR(VLOOKUP(J790,DATA!$AH$9:$AI$13,2,0),""))</f>
        <v/>
      </c>
      <c r="R790" s="8" t="str">
        <f>IF($A790="","",IFERROR(VLOOKUP(K790,DATA!$AH$9:$AI$13,2,0),""))</f>
        <v/>
      </c>
      <c r="S790" s="42" t="str">
        <f t="shared" si="264"/>
        <v/>
      </c>
      <c r="T790" s="8" t="str">
        <f>IF($A790="","",IF(COUNTIF($D$2:D790,D790)=1,1,0))</f>
        <v/>
      </c>
      <c r="U790" s="8" t="str">
        <f>IF($A790="","",IF(F790="-","Cabang tdk ada",IF(IFERROR(VLOOKUP(G790,#REF!,1,0),"")="","",IF(INDEX(DATA!$AH$2:$AH$5,MATCH(G790,DATA!$AI$2:$AI$5,0))&lt;&gt;F790,"Wilayah beda","OK"))))</f>
        <v/>
      </c>
      <c r="V790" s="8" t="str">
        <f>IF($A790="","",TRIM(INDEX(FORM!$I:$I,ROW())&amp;""))</f>
        <v/>
      </c>
      <c r="W790" s="8" t="str">
        <f>IF($A790="","",TRIM(INDEX(FORM!$L:$L,ROW())&amp;""))</f>
        <v/>
      </c>
      <c r="X790" s="8" t="str">
        <f>IF($A790="","",TRIM(INDEX(FORM!$M:$M,ROW())&amp;""))</f>
        <v/>
      </c>
      <c r="Y790" s="8" t="str">
        <f>IF($A790="","",IFERROR(MATCH(F790,DATA!$AH$2:$AH$5,0),9)*10000+A790)</f>
        <v/>
      </c>
      <c r="Z790" s="8" t="str">
        <f t="shared" si="265"/>
        <v/>
      </c>
      <c r="AA790" s="8" t="str">
        <f t="shared" si="266"/>
        <v/>
      </c>
      <c r="AB790" s="8" t="str">
        <f t="shared" si="267"/>
        <v/>
      </c>
      <c r="AC790" s="8"/>
      <c r="AD790" s="8"/>
      <c r="AE790" s="8"/>
      <c r="AK790" s="5" t="str">
        <f t="shared" si="268"/>
        <v/>
      </c>
      <c r="AL790" s="5" t="str">
        <f t="shared" si="269"/>
        <v/>
      </c>
      <c r="AM790" s="5" t="str">
        <f t="shared" si="270"/>
        <v/>
      </c>
      <c r="AN790" s="5" t="str">
        <f t="shared" si="271"/>
        <v/>
      </c>
      <c r="AO790" s="5" t="str">
        <f t="shared" si="272"/>
        <v/>
      </c>
      <c r="AP790" s="5" t="str">
        <f t="shared" si="273"/>
        <v/>
      </c>
      <c r="AQ790" s="5" t="str">
        <f t="shared" si="274"/>
        <v/>
      </c>
      <c r="AR790" s="5" t="str">
        <f t="shared" si="275"/>
        <v/>
      </c>
      <c r="AS790" s="5" t="str">
        <f t="shared" si="276"/>
        <v/>
      </c>
      <c r="AT790" s="5" t="str">
        <f t="shared" si="277"/>
        <v/>
      </c>
      <c r="AU790" s="5" t="str">
        <f t="shared" si="278"/>
        <v/>
      </c>
      <c r="AV790" s="5" t="str">
        <f t="shared" si="279"/>
        <v/>
      </c>
      <c r="AW790" s="5" t="str">
        <f t="shared" si="280"/>
        <v/>
      </c>
      <c r="AX790" s="5" t="str">
        <f t="shared" si="281"/>
        <v/>
      </c>
      <c r="AY790" s="5" t="str">
        <f t="shared" si="282"/>
        <v/>
      </c>
      <c r="AZ790" s="5" t="str">
        <f t="shared" si="283"/>
        <v/>
      </c>
      <c r="BA790" s="5" t="str">
        <f t="shared" si="284"/>
        <v/>
      </c>
      <c r="BB790" s="5" t="str">
        <f t="shared" si="285"/>
        <v/>
      </c>
    </row>
    <row r="791" spans="1:54" s="5" customFormat="1" hidden="1">
      <c r="A791" s="8" t="str">
        <f>IF(INDEX(FORM!$A:$A,ROW())="","",ROW()-1)</f>
        <v/>
      </c>
      <c r="B791" s="41" t="str">
        <f>IF($A791="","",INDEX(FORM!$A:$A,ROW()))</f>
        <v/>
      </c>
      <c r="C791" s="8" t="str">
        <f>IF($A791="","",TRIM(INDEX(FORM!$B:$B,ROW())))</f>
        <v/>
      </c>
      <c r="D791" s="8" t="str">
        <f>IF($A791="","",TRIM(INDEX(FORM!$C:$C,ROW())&amp;""))</f>
        <v/>
      </c>
      <c r="E791" s="8" t="str">
        <f>IF($A791="","",UPPER(TRIM(INDEX(FORM!$D:$D,ROW()))))</f>
        <v/>
      </c>
      <c r="F791" s="8" t="str">
        <f>IF($A791="","",IFERROR(INDEX(PROGRES!$A$2:$A$92,MATCH(E791,PROGRES!$B$2:$B$92,0)),"-"))</f>
        <v/>
      </c>
      <c r="G791" s="8" t="str">
        <f>IF($A791="","",UPPER(TRIM(INDEX(FORM!$F:$F,ROW()))))</f>
        <v/>
      </c>
      <c r="H791" s="8" t="str">
        <f>IF($A791="","",UPPER(TRIM(INDEX(FORM!$E:$E,ROW()))))</f>
        <v/>
      </c>
      <c r="I791" s="8" t="str">
        <f>IF($A791="","",UPPER(TRIM(INDEX(FORM!$G:$G,ROW()))))</f>
        <v/>
      </c>
      <c r="J791" s="8" t="str">
        <f>IF($A791="","",IF(ISNUMBER(SEARCH("Ya,",INDEX(FORM!$H:$H,ROW()))),"YA",IF(ISNUMBER(SEARCH("Cukup,",INDEX(FORM!$H:$H,ROW()))),"CUKUP",IF(ISNUMBER(SEARCH("Kurang,",INDEX(FORM!$H:$H,ROW()))),"KURANG",""))))</f>
        <v/>
      </c>
      <c r="K791" s="8" t="str">
        <f>IF($A791="","",UPPER(TRIM(INDEX(FORM!$J:$J,ROW()))))</f>
        <v/>
      </c>
      <c r="L791" s="8" t="str">
        <f>IF($A791="","",IF(ISNUMBER(SEARCH("Aktivitas Harian",INDEX(FORM!$K:$K,ROW()))),1,0))</f>
        <v/>
      </c>
      <c r="M791" s="8" t="str">
        <f>IF($A791="","",IF(ISNUMBER(SEARCH("Aktivitas Mingguan",INDEX(FORM!$K:$K,ROW()))),1,0))</f>
        <v/>
      </c>
      <c r="N791" s="8" t="str">
        <f>IF($A791="","",IF(ISNUMBER(SEARCH("Aktivitas Bulanan",INDEX(FORM!$K:$K,ROW()))),1,0))</f>
        <v/>
      </c>
      <c r="O791" s="8" t="str">
        <f>IF($A791="","",IF(ISNUMBER(SEARCH("Overview Cabang",INDEX(FORM!$K:$K,ROW()))),1,0))</f>
        <v/>
      </c>
      <c r="P791" s="8" t="str">
        <f>IF($A791="","",IFERROR(VLOOKUP(I791,DATA!$AH$9:$AI$13,2,0),""))</f>
        <v/>
      </c>
      <c r="Q791" s="8" t="str">
        <f>IF($A791="","",IFERROR(VLOOKUP(J791,DATA!$AH$9:$AI$13,2,0),""))</f>
        <v/>
      </c>
      <c r="R791" s="8" t="str">
        <f>IF($A791="","",IFERROR(VLOOKUP(K791,DATA!$AH$9:$AI$13,2,0),""))</f>
        <v/>
      </c>
      <c r="S791" s="42" t="str">
        <f t="shared" si="264"/>
        <v/>
      </c>
      <c r="T791" s="8" t="str">
        <f>IF($A791="","",IF(COUNTIF($D$2:D791,D791)=1,1,0))</f>
        <v/>
      </c>
      <c r="U791" s="8" t="str">
        <f>IF($A791="","",IF(F791="-","Cabang tdk ada",IF(IFERROR(VLOOKUP(G791,#REF!,1,0),"")="","",IF(INDEX(DATA!$AH$2:$AH$5,MATCH(G791,DATA!$AI$2:$AI$5,0))&lt;&gt;F791,"Wilayah beda","OK"))))</f>
        <v/>
      </c>
      <c r="V791" s="8" t="str">
        <f>IF($A791="","",TRIM(INDEX(FORM!$I:$I,ROW())&amp;""))</f>
        <v/>
      </c>
      <c r="W791" s="8" t="str">
        <f>IF($A791="","",TRIM(INDEX(FORM!$L:$L,ROW())&amp;""))</f>
        <v/>
      </c>
      <c r="X791" s="8" t="str">
        <f>IF($A791="","",TRIM(INDEX(FORM!$M:$M,ROW())&amp;""))</f>
        <v/>
      </c>
      <c r="Y791" s="8" t="str">
        <f>IF($A791="","",IFERROR(MATCH(F791,DATA!$AH$2:$AH$5,0),9)*10000+A791)</f>
        <v/>
      </c>
      <c r="Z791" s="8" t="str">
        <f t="shared" si="265"/>
        <v/>
      </c>
      <c r="AA791" s="8" t="str">
        <f t="shared" si="266"/>
        <v/>
      </c>
      <c r="AB791" s="8" t="str">
        <f t="shared" si="267"/>
        <v/>
      </c>
      <c r="AC791" s="8"/>
      <c r="AD791" s="8"/>
      <c r="AE791" s="8"/>
      <c r="AK791" s="5" t="str">
        <f t="shared" si="268"/>
        <v/>
      </c>
      <c r="AL791" s="5" t="str">
        <f t="shared" si="269"/>
        <v/>
      </c>
      <c r="AM791" s="5" t="str">
        <f t="shared" si="270"/>
        <v/>
      </c>
      <c r="AN791" s="5" t="str">
        <f t="shared" si="271"/>
        <v/>
      </c>
      <c r="AO791" s="5" t="str">
        <f t="shared" si="272"/>
        <v/>
      </c>
      <c r="AP791" s="5" t="str">
        <f t="shared" si="273"/>
        <v/>
      </c>
      <c r="AQ791" s="5" t="str">
        <f t="shared" si="274"/>
        <v/>
      </c>
      <c r="AR791" s="5" t="str">
        <f t="shared" si="275"/>
        <v/>
      </c>
      <c r="AS791" s="5" t="str">
        <f t="shared" si="276"/>
        <v/>
      </c>
      <c r="AT791" s="5" t="str">
        <f t="shared" si="277"/>
        <v/>
      </c>
      <c r="AU791" s="5" t="str">
        <f t="shared" si="278"/>
        <v/>
      </c>
      <c r="AV791" s="5" t="str">
        <f t="shared" si="279"/>
        <v/>
      </c>
      <c r="AW791" s="5" t="str">
        <f t="shared" si="280"/>
        <v/>
      </c>
      <c r="AX791" s="5" t="str">
        <f t="shared" si="281"/>
        <v/>
      </c>
      <c r="AY791" s="5" t="str">
        <f t="shared" si="282"/>
        <v/>
      </c>
      <c r="AZ791" s="5" t="str">
        <f t="shared" si="283"/>
        <v/>
      </c>
      <c r="BA791" s="5" t="str">
        <f t="shared" si="284"/>
        <v/>
      </c>
      <c r="BB791" s="5" t="str">
        <f t="shared" si="285"/>
        <v/>
      </c>
    </row>
    <row r="792" spans="1:54" s="5" customFormat="1" hidden="1">
      <c r="A792" s="8" t="str">
        <f>IF(INDEX(FORM!$A:$A,ROW())="","",ROW()-1)</f>
        <v/>
      </c>
      <c r="B792" s="41" t="str">
        <f>IF($A792="","",INDEX(FORM!$A:$A,ROW()))</f>
        <v/>
      </c>
      <c r="C792" s="8" t="str">
        <f>IF($A792="","",TRIM(INDEX(FORM!$B:$B,ROW())))</f>
        <v/>
      </c>
      <c r="D792" s="8" t="str">
        <f>IF($A792="","",TRIM(INDEX(FORM!$C:$C,ROW())&amp;""))</f>
        <v/>
      </c>
      <c r="E792" s="8" t="str">
        <f>IF($A792="","",UPPER(TRIM(INDEX(FORM!$D:$D,ROW()))))</f>
        <v/>
      </c>
      <c r="F792" s="8" t="str">
        <f>IF($A792="","",IFERROR(INDEX(PROGRES!$A$2:$A$92,MATCH(E792,PROGRES!$B$2:$B$92,0)),"-"))</f>
        <v/>
      </c>
      <c r="G792" s="8" t="str">
        <f>IF($A792="","",UPPER(TRIM(INDEX(FORM!$F:$F,ROW()))))</f>
        <v/>
      </c>
      <c r="H792" s="8" t="str">
        <f>IF($A792="","",UPPER(TRIM(INDEX(FORM!$E:$E,ROW()))))</f>
        <v/>
      </c>
      <c r="I792" s="8" t="str">
        <f>IF($A792="","",UPPER(TRIM(INDEX(FORM!$G:$G,ROW()))))</f>
        <v/>
      </c>
      <c r="J792" s="8" t="str">
        <f>IF($A792="","",IF(ISNUMBER(SEARCH("Ya,",INDEX(FORM!$H:$H,ROW()))),"YA",IF(ISNUMBER(SEARCH("Cukup,",INDEX(FORM!$H:$H,ROW()))),"CUKUP",IF(ISNUMBER(SEARCH("Kurang,",INDEX(FORM!$H:$H,ROW()))),"KURANG",""))))</f>
        <v/>
      </c>
      <c r="K792" s="8" t="str">
        <f>IF($A792="","",UPPER(TRIM(INDEX(FORM!$J:$J,ROW()))))</f>
        <v/>
      </c>
      <c r="L792" s="8" t="str">
        <f>IF($A792="","",IF(ISNUMBER(SEARCH("Aktivitas Harian",INDEX(FORM!$K:$K,ROW()))),1,0))</f>
        <v/>
      </c>
      <c r="M792" s="8" t="str">
        <f>IF($A792="","",IF(ISNUMBER(SEARCH("Aktivitas Mingguan",INDEX(FORM!$K:$K,ROW()))),1,0))</f>
        <v/>
      </c>
      <c r="N792" s="8" t="str">
        <f>IF($A792="","",IF(ISNUMBER(SEARCH("Aktivitas Bulanan",INDEX(FORM!$K:$K,ROW()))),1,0))</f>
        <v/>
      </c>
      <c r="O792" s="8" t="str">
        <f>IF($A792="","",IF(ISNUMBER(SEARCH("Overview Cabang",INDEX(FORM!$K:$K,ROW()))),1,0))</f>
        <v/>
      </c>
      <c r="P792" s="8" t="str">
        <f>IF($A792="","",IFERROR(VLOOKUP(I792,DATA!$AH$9:$AI$13,2,0),""))</f>
        <v/>
      </c>
      <c r="Q792" s="8" t="str">
        <f>IF($A792="","",IFERROR(VLOOKUP(J792,DATA!$AH$9:$AI$13,2,0),""))</f>
        <v/>
      </c>
      <c r="R792" s="8" t="str">
        <f>IF($A792="","",IFERROR(VLOOKUP(K792,DATA!$AH$9:$AI$13,2,0),""))</f>
        <v/>
      </c>
      <c r="S792" s="42" t="str">
        <f t="shared" si="264"/>
        <v/>
      </c>
      <c r="T792" s="8" t="str">
        <f>IF($A792="","",IF(COUNTIF($D$2:D792,D792)=1,1,0))</f>
        <v/>
      </c>
      <c r="U792" s="8" t="str">
        <f>IF($A792="","",IF(F792="-","Cabang tdk ada",IF(IFERROR(VLOOKUP(G792,#REF!,1,0),"")="","",IF(INDEX(DATA!$AH$2:$AH$5,MATCH(G792,DATA!$AI$2:$AI$5,0))&lt;&gt;F792,"Wilayah beda","OK"))))</f>
        <v/>
      </c>
      <c r="V792" s="8" t="str">
        <f>IF($A792="","",TRIM(INDEX(FORM!$I:$I,ROW())&amp;""))</f>
        <v/>
      </c>
      <c r="W792" s="8" t="str">
        <f>IF($A792="","",TRIM(INDEX(FORM!$L:$L,ROW())&amp;""))</f>
        <v/>
      </c>
      <c r="X792" s="8" t="str">
        <f>IF($A792="","",TRIM(INDEX(FORM!$M:$M,ROW())&amp;""))</f>
        <v/>
      </c>
      <c r="Y792" s="8" t="str">
        <f>IF($A792="","",IFERROR(MATCH(F792,DATA!$AH$2:$AH$5,0),9)*10000+A792)</f>
        <v/>
      </c>
      <c r="Z792" s="8" t="str">
        <f t="shared" si="265"/>
        <v/>
      </c>
      <c r="AA792" s="8" t="str">
        <f t="shared" si="266"/>
        <v/>
      </c>
      <c r="AB792" s="8" t="str">
        <f t="shared" si="267"/>
        <v/>
      </c>
      <c r="AC792" s="8"/>
      <c r="AD792" s="8"/>
      <c r="AE792" s="8"/>
      <c r="AK792" s="5" t="str">
        <f t="shared" si="268"/>
        <v/>
      </c>
      <c r="AL792" s="5" t="str">
        <f t="shared" si="269"/>
        <v/>
      </c>
      <c r="AM792" s="5" t="str">
        <f t="shared" si="270"/>
        <v/>
      </c>
      <c r="AN792" s="5" t="str">
        <f t="shared" si="271"/>
        <v/>
      </c>
      <c r="AO792" s="5" t="str">
        <f t="shared" si="272"/>
        <v/>
      </c>
      <c r="AP792" s="5" t="str">
        <f t="shared" si="273"/>
        <v/>
      </c>
      <c r="AQ792" s="5" t="str">
        <f t="shared" si="274"/>
        <v/>
      </c>
      <c r="AR792" s="5" t="str">
        <f t="shared" si="275"/>
        <v/>
      </c>
      <c r="AS792" s="5" t="str">
        <f t="shared" si="276"/>
        <v/>
      </c>
      <c r="AT792" s="5" t="str">
        <f t="shared" si="277"/>
        <v/>
      </c>
      <c r="AU792" s="5" t="str">
        <f t="shared" si="278"/>
        <v/>
      </c>
      <c r="AV792" s="5" t="str">
        <f t="shared" si="279"/>
        <v/>
      </c>
      <c r="AW792" s="5" t="str">
        <f t="shared" si="280"/>
        <v/>
      </c>
      <c r="AX792" s="5" t="str">
        <f t="shared" si="281"/>
        <v/>
      </c>
      <c r="AY792" s="5" t="str">
        <f t="shared" si="282"/>
        <v/>
      </c>
      <c r="AZ792" s="5" t="str">
        <f t="shared" si="283"/>
        <v/>
      </c>
      <c r="BA792" s="5" t="str">
        <f t="shared" si="284"/>
        <v/>
      </c>
      <c r="BB792" s="5" t="str">
        <f t="shared" si="285"/>
        <v/>
      </c>
    </row>
    <row r="793" spans="1:54" s="5" customFormat="1" hidden="1">
      <c r="A793" s="8" t="str">
        <f>IF(INDEX(FORM!$A:$A,ROW())="","",ROW()-1)</f>
        <v/>
      </c>
      <c r="B793" s="41" t="str">
        <f>IF($A793="","",INDEX(FORM!$A:$A,ROW()))</f>
        <v/>
      </c>
      <c r="C793" s="8" t="str">
        <f>IF($A793="","",TRIM(INDEX(FORM!$B:$B,ROW())))</f>
        <v/>
      </c>
      <c r="D793" s="8" t="str">
        <f>IF($A793="","",TRIM(INDEX(FORM!$C:$C,ROW())&amp;""))</f>
        <v/>
      </c>
      <c r="E793" s="8" t="str">
        <f>IF($A793="","",UPPER(TRIM(INDEX(FORM!$D:$D,ROW()))))</f>
        <v/>
      </c>
      <c r="F793" s="8" t="str">
        <f>IF($A793="","",IFERROR(INDEX(PROGRES!$A$2:$A$92,MATCH(E793,PROGRES!$B$2:$B$92,0)),"-"))</f>
        <v/>
      </c>
      <c r="G793" s="8" t="str">
        <f>IF($A793="","",UPPER(TRIM(INDEX(FORM!$F:$F,ROW()))))</f>
        <v/>
      </c>
      <c r="H793" s="8" t="str">
        <f>IF($A793="","",UPPER(TRIM(INDEX(FORM!$E:$E,ROW()))))</f>
        <v/>
      </c>
      <c r="I793" s="8" t="str">
        <f>IF($A793="","",UPPER(TRIM(INDEX(FORM!$G:$G,ROW()))))</f>
        <v/>
      </c>
      <c r="J793" s="8" t="str">
        <f>IF($A793="","",IF(ISNUMBER(SEARCH("Ya,",INDEX(FORM!$H:$H,ROW()))),"YA",IF(ISNUMBER(SEARCH("Cukup,",INDEX(FORM!$H:$H,ROW()))),"CUKUP",IF(ISNUMBER(SEARCH("Kurang,",INDEX(FORM!$H:$H,ROW()))),"KURANG",""))))</f>
        <v/>
      </c>
      <c r="K793" s="8" t="str">
        <f>IF($A793="","",UPPER(TRIM(INDEX(FORM!$J:$J,ROW()))))</f>
        <v/>
      </c>
      <c r="L793" s="8" t="str">
        <f>IF($A793="","",IF(ISNUMBER(SEARCH("Aktivitas Harian",INDEX(FORM!$K:$K,ROW()))),1,0))</f>
        <v/>
      </c>
      <c r="M793" s="8" t="str">
        <f>IF($A793="","",IF(ISNUMBER(SEARCH("Aktivitas Mingguan",INDEX(FORM!$K:$K,ROW()))),1,0))</f>
        <v/>
      </c>
      <c r="N793" s="8" t="str">
        <f>IF($A793="","",IF(ISNUMBER(SEARCH("Aktivitas Bulanan",INDEX(FORM!$K:$K,ROW()))),1,0))</f>
        <v/>
      </c>
      <c r="O793" s="8" t="str">
        <f>IF($A793="","",IF(ISNUMBER(SEARCH("Overview Cabang",INDEX(FORM!$K:$K,ROW()))),1,0))</f>
        <v/>
      </c>
      <c r="P793" s="8" t="str">
        <f>IF($A793="","",IFERROR(VLOOKUP(I793,DATA!$AH$9:$AI$13,2,0),""))</f>
        <v/>
      </c>
      <c r="Q793" s="8" t="str">
        <f>IF($A793="","",IFERROR(VLOOKUP(J793,DATA!$AH$9:$AI$13,2,0),""))</f>
        <v/>
      </c>
      <c r="R793" s="8" t="str">
        <f>IF($A793="","",IFERROR(VLOOKUP(K793,DATA!$AH$9:$AI$13,2,0),""))</f>
        <v/>
      </c>
      <c r="S793" s="42" t="str">
        <f t="shared" si="264"/>
        <v/>
      </c>
      <c r="T793" s="8" t="str">
        <f>IF($A793="","",IF(COUNTIF($D$2:D793,D793)=1,1,0))</f>
        <v/>
      </c>
      <c r="U793" s="8" t="str">
        <f>IF($A793="","",IF(F793="-","Cabang tdk ada",IF(IFERROR(VLOOKUP(G793,#REF!,1,0),"")="","",IF(INDEX(DATA!$AH$2:$AH$5,MATCH(G793,DATA!$AI$2:$AI$5,0))&lt;&gt;F793,"Wilayah beda","OK"))))</f>
        <v/>
      </c>
      <c r="V793" s="8" t="str">
        <f>IF($A793="","",TRIM(INDEX(FORM!$I:$I,ROW())&amp;""))</f>
        <v/>
      </c>
      <c r="W793" s="8" t="str">
        <f>IF($A793="","",TRIM(INDEX(FORM!$L:$L,ROW())&amp;""))</f>
        <v/>
      </c>
      <c r="X793" s="8" t="str">
        <f>IF($A793="","",TRIM(INDEX(FORM!$M:$M,ROW())&amp;""))</f>
        <v/>
      </c>
      <c r="Y793" s="8" t="str">
        <f>IF($A793="","",IFERROR(MATCH(F793,DATA!$AH$2:$AH$5,0),9)*10000+A793)</f>
        <v/>
      </c>
      <c r="Z793" s="8" t="str">
        <f t="shared" si="265"/>
        <v/>
      </c>
      <c r="AA793" s="8" t="str">
        <f t="shared" si="266"/>
        <v/>
      </c>
      <c r="AB793" s="8" t="str">
        <f t="shared" si="267"/>
        <v/>
      </c>
      <c r="AC793" s="8"/>
      <c r="AD793" s="8"/>
      <c r="AE793" s="8"/>
      <c r="AK793" s="5" t="str">
        <f t="shared" si="268"/>
        <v/>
      </c>
      <c r="AL793" s="5" t="str">
        <f t="shared" si="269"/>
        <v/>
      </c>
      <c r="AM793" s="5" t="str">
        <f t="shared" si="270"/>
        <v/>
      </c>
      <c r="AN793" s="5" t="str">
        <f t="shared" si="271"/>
        <v/>
      </c>
      <c r="AO793" s="5" t="str">
        <f t="shared" si="272"/>
        <v/>
      </c>
      <c r="AP793" s="5" t="str">
        <f t="shared" si="273"/>
        <v/>
      </c>
      <c r="AQ793" s="5" t="str">
        <f t="shared" si="274"/>
        <v/>
      </c>
      <c r="AR793" s="5" t="str">
        <f t="shared" si="275"/>
        <v/>
      </c>
      <c r="AS793" s="5" t="str">
        <f t="shared" si="276"/>
        <v/>
      </c>
      <c r="AT793" s="5" t="str">
        <f t="shared" si="277"/>
        <v/>
      </c>
      <c r="AU793" s="5" t="str">
        <f t="shared" si="278"/>
        <v/>
      </c>
      <c r="AV793" s="5" t="str">
        <f t="shared" si="279"/>
        <v/>
      </c>
      <c r="AW793" s="5" t="str">
        <f t="shared" si="280"/>
        <v/>
      </c>
      <c r="AX793" s="5" t="str">
        <f t="shared" si="281"/>
        <v/>
      </c>
      <c r="AY793" s="5" t="str">
        <f t="shared" si="282"/>
        <v/>
      </c>
      <c r="AZ793" s="5" t="str">
        <f t="shared" si="283"/>
        <v/>
      </c>
      <c r="BA793" s="5" t="str">
        <f t="shared" si="284"/>
        <v/>
      </c>
      <c r="BB793" s="5" t="str">
        <f t="shared" si="285"/>
        <v/>
      </c>
    </row>
    <row r="794" spans="1:54" s="5" customFormat="1" hidden="1">
      <c r="A794" s="8" t="str">
        <f>IF(INDEX(FORM!$A:$A,ROW())="","",ROW()-1)</f>
        <v/>
      </c>
      <c r="B794" s="41" t="str">
        <f>IF($A794="","",INDEX(FORM!$A:$A,ROW()))</f>
        <v/>
      </c>
      <c r="C794" s="8" t="str">
        <f>IF($A794="","",TRIM(INDEX(FORM!$B:$B,ROW())))</f>
        <v/>
      </c>
      <c r="D794" s="8" t="str">
        <f>IF($A794="","",TRIM(INDEX(FORM!$C:$C,ROW())&amp;""))</f>
        <v/>
      </c>
      <c r="E794" s="8" t="str">
        <f>IF($A794="","",UPPER(TRIM(INDEX(FORM!$D:$D,ROW()))))</f>
        <v/>
      </c>
      <c r="F794" s="8" t="str">
        <f>IF($A794="","",IFERROR(INDEX(PROGRES!$A$2:$A$92,MATCH(E794,PROGRES!$B$2:$B$92,0)),"-"))</f>
        <v/>
      </c>
      <c r="G794" s="8" t="str">
        <f>IF($A794="","",UPPER(TRIM(INDEX(FORM!$F:$F,ROW()))))</f>
        <v/>
      </c>
      <c r="H794" s="8" t="str">
        <f>IF($A794="","",UPPER(TRIM(INDEX(FORM!$E:$E,ROW()))))</f>
        <v/>
      </c>
      <c r="I794" s="8" t="str">
        <f>IF($A794="","",UPPER(TRIM(INDEX(FORM!$G:$G,ROW()))))</f>
        <v/>
      </c>
      <c r="J794" s="8" t="str">
        <f>IF($A794="","",IF(ISNUMBER(SEARCH("Ya,",INDEX(FORM!$H:$H,ROW()))),"YA",IF(ISNUMBER(SEARCH("Cukup,",INDEX(FORM!$H:$H,ROW()))),"CUKUP",IF(ISNUMBER(SEARCH("Kurang,",INDEX(FORM!$H:$H,ROW()))),"KURANG",""))))</f>
        <v/>
      </c>
      <c r="K794" s="8" t="str">
        <f>IF($A794="","",UPPER(TRIM(INDEX(FORM!$J:$J,ROW()))))</f>
        <v/>
      </c>
      <c r="L794" s="8" t="str">
        <f>IF($A794="","",IF(ISNUMBER(SEARCH("Aktivitas Harian",INDEX(FORM!$K:$K,ROW()))),1,0))</f>
        <v/>
      </c>
      <c r="M794" s="8" t="str">
        <f>IF($A794="","",IF(ISNUMBER(SEARCH("Aktivitas Mingguan",INDEX(FORM!$K:$K,ROW()))),1,0))</f>
        <v/>
      </c>
      <c r="N794" s="8" t="str">
        <f>IF($A794="","",IF(ISNUMBER(SEARCH("Aktivitas Bulanan",INDEX(FORM!$K:$K,ROW()))),1,0))</f>
        <v/>
      </c>
      <c r="O794" s="8" t="str">
        <f>IF($A794="","",IF(ISNUMBER(SEARCH("Overview Cabang",INDEX(FORM!$K:$K,ROW()))),1,0))</f>
        <v/>
      </c>
      <c r="P794" s="8" t="str">
        <f>IF($A794="","",IFERROR(VLOOKUP(I794,DATA!$AH$9:$AI$13,2,0),""))</f>
        <v/>
      </c>
      <c r="Q794" s="8" t="str">
        <f>IF($A794="","",IFERROR(VLOOKUP(J794,DATA!$AH$9:$AI$13,2,0),""))</f>
        <v/>
      </c>
      <c r="R794" s="8" t="str">
        <f>IF($A794="","",IFERROR(VLOOKUP(K794,DATA!$AH$9:$AI$13,2,0),""))</f>
        <v/>
      </c>
      <c r="S794" s="42" t="str">
        <f t="shared" si="264"/>
        <v/>
      </c>
      <c r="T794" s="8" t="str">
        <f>IF($A794="","",IF(COUNTIF($D$2:D794,D794)=1,1,0))</f>
        <v/>
      </c>
      <c r="U794" s="8" t="str">
        <f>IF($A794="","",IF(F794="-","Cabang tdk ada",IF(IFERROR(VLOOKUP(G794,#REF!,1,0),"")="","",IF(INDEX(DATA!$AH$2:$AH$5,MATCH(G794,DATA!$AI$2:$AI$5,0))&lt;&gt;F794,"Wilayah beda","OK"))))</f>
        <v/>
      </c>
      <c r="V794" s="8" t="str">
        <f>IF($A794="","",TRIM(INDEX(FORM!$I:$I,ROW())&amp;""))</f>
        <v/>
      </c>
      <c r="W794" s="8" t="str">
        <f>IF($A794="","",TRIM(INDEX(FORM!$L:$L,ROW())&amp;""))</f>
        <v/>
      </c>
      <c r="X794" s="8" t="str">
        <f>IF($A794="","",TRIM(INDEX(FORM!$M:$M,ROW())&amp;""))</f>
        <v/>
      </c>
      <c r="Y794" s="8" t="str">
        <f>IF($A794="","",IFERROR(MATCH(F794,DATA!$AH$2:$AH$5,0),9)*10000+A794)</f>
        <v/>
      </c>
      <c r="Z794" s="8" t="str">
        <f t="shared" si="265"/>
        <v/>
      </c>
      <c r="AA794" s="8" t="str">
        <f t="shared" si="266"/>
        <v/>
      </c>
      <c r="AB794" s="8" t="str">
        <f t="shared" si="267"/>
        <v/>
      </c>
      <c r="AC794" s="8"/>
      <c r="AD794" s="8"/>
      <c r="AE794" s="8"/>
      <c r="AK794" s="5" t="str">
        <f t="shared" si="268"/>
        <v/>
      </c>
      <c r="AL794" s="5" t="str">
        <f t="shared" si="269"/>
        <v/>
      </c>
      <c r="AM794" s="5" t="str">
        <f t="shared" si="270"/>
        <v/>
      </c>
      <c r="AN794" s="5" t="str">
        <f t="shared" si="271"/>
        <v/>
      </c>
      <c r="AO794" s="5" t="str">
        <f t="shared" si="272"/>
        <v/>
      </c>
      <c r="AP794" s="5" t="str">
        <f t="shared" si="273"/>
        <v/>
      </c>
      <c r="AQ794" s="5" t="str">
        <f t="shared" si="274"/>
        <v/>
      </c>
      <c r="AR794" s="5" t="str">
        <f t="shared" si="275"/>
        <v/>
      </c>
      <c r="AS794" s="5" t="str">
        <f t="shared" si="276"/>
        <v/>
      </c>
      <c r="AT794" s="5" t="str">
        <f t="shared" si="277"/>
        <v/>
      </c>
      <c r="AU794" s="5" t="str">
        <f t="shared" si="278"/>
        <v/>
      </c>
      <c r="AV794" s="5" t="str">
        <f t="shared" si="279"/>
        <v/>
      </c>
      <c r="AW794" s="5" t="str">
        <f t="shared" si="280"/>
        <v/>
      </c>
      <c r="AX794" s="5" t="str">
        <f t="shared" si="281"/>
        <v/>
      </c>
      <c r="AY794" s="5" t="str">
        <f t="shared" si="282"/>
        <v/>
      </c>
      <c r="AZ794" s="5" t="str">
        <f t="shared" si="283"/>
        <v/>
      </c>
      <c r="BA794" s="5" t="str">
        <f t="shared" si="284"/>
        <v/>
      </c>
      <c r="BB794" s="5" t="str">
        <f t="shared" si="285"/>
        <v/>
      </c>
    </row>
    <row r="795" spans="1:54" s="5" customFormat="1" hidden="1">
      <c r="A795" s="8" t="str">
        <f>IF(INDEX(FORM!$A:$A,ROW())="","",ROW()-1)</f>
        <v/>
      </c>
      <c r="B795" s="41" t="str">
        <f>IF($A795="","",INDEX(FORM!$A:$A,ROW()))</f>
        <v/>
      </c>
      <c r="C795" s="8" t="str">
        <f>IF($A795="","",TRIM(INDEX(FORM!$B:$B,ROW())))</f>
        <v/>
      </c>
      <c r="D795" s="8" t="str">
        <f>IF($A795="","",TRIM(INDEX(FORM!$C:$C,ROW())&amp;""))</f>
        <v/>
      </c>
      <c r="E795" s="8" t="str">
        <f>IF($A795="","",UPPER(TRIM(INDEX(FORM!$D:$D,ROW()))))</f>
        <v/>
      </c>
      <c r="F795" s="8" t="str">
        <f>IF($A795="","",IFERROR(INDEX(PROGRES!$A$2:$A$92,MATCH(E795,PROGRES!$B$2:$B$92,0)),"-"))</f>
        <v/>
      </c>
      <c r="G795" s="8" t="str">
        <f>IF($A795="","",UPPER(TRIM(INDEX(FORM!$F:$F,ROW()))))</f>
        <v/>
      </c>
      <c r="H795" s="8" t="str">
        <f>IF($A795="","",UPPER(TRIM(INDEX(FORM!$E:$E,ROW()))))</f>
        <v/>
      </c>
      <c r="I795" s="8" t="str">
        <f>IF($A795="","",UPPER(TRIM(INDEX(FORM!$G:$G,ROW()))))</f>
        <v/>
      </c>
      <c r="J795" s="8" t="str">
        <f>IF($A795="","",IF(ISNUMBER(SEARCH("Ya,",INDEX(FORM!$H:$H,ROW()))),"YA",IF(ISNUMBER(SEARCH("Cukup,",INDEX(FORM!$H:$H,ROW()))),"CUKUP",IF(ISNUMBER(SEARCH("Kurang,",INDEX(FORM!$H:$H,ROW()))),"KURANG",""))))</f>
        <v/>
      </c>
      <c r="K795" s="8" t="str">
        <f>IF($A795="","",UPPER(TRIM(INDEX(FORM!$J:$J,ROW()))))</f>
        <v/>
      </c>
      <c r="L795" s="8" t="str">
        <f>IF($A795="","",IF(ISNUMBER(SEARCH("Aktivitas Harian",INDEX(FORM!$K:$K,ROW()))),1,0))</f>
        <v/>
      </c>
      <c r="M795" s="8" t="str">
        <f>IF($A795="","",IF(ISNUMBER(SEARCH("Aktivitas Mingguan",INDEX(FORM!$K:$K,ROW()))),1,0))</f>
        <v/>
      </c>
      <c r="N795" s="8" t="str">
        <f>IF($A795="","",IF(ISNUMBER(SEARCH("Aktivitas Bulanan",INDEX(FORM!$K:$K,ROW()))),1,0))</f>
        <v/>
      </c>
      <c r="O795" s="8" t="str">
        <f>IF($A795="","",IF(ISNUMBER(SEARCH("Overview Cabang",INDEX(FORM!$K:$K,ROW()))),1,0))</f>
        <v/>
      </c>
      <c r="P795" s="8" t="str">
        <f>IF($A795="","",IFERROR(VLOOKUP(I795,DATA!$AH$9:$AI$13,2,0),""))</f>
        <v/>
      </c>
      <c r="Q795" s="8" t="str">
        <f>IF($A795="","",IFERROR(VLOOKUP(J795,DATA!$AH$9:$AI$13,2,0),""))</f>
        <v/>
      </c>
      <c r="R795" s="8" t="str">
        <f>IF($A795="","",IFERROR(VLOOKUP(K795,DATA!$AH$9:$AI$13,2,0),""))</f>
        <v/>
      </c>
      <c r="S795" s="42" t="str">
        <f t="shared" si="264"/>
        <v/>
      </c>
      <c r="T795" s="8" t="str">
        <f>IF($A795="","",IF(COUNTIF($D$2:D795,D795)=1,1,0))</f>
        <v/>
      </c>
      <c r="U795" s="8" t="str">
        <f>IF($A795="","",IF(F795="-","Cabang tdk ada",IF(IFERROR(VLOOKUP(G795,#REF!,1,0),"")="","",IF(INDEX(DATA!$AH$2:$AH$5,MATCH(G795,DATA!$AI$2:$AI$5,0))&lt;&gt;F795,"Wilayah beda","OK"))))</f>
        <v/>
      </c>
      <c r="V795" s="8" t="str">
        <f>IF($A795="","",TRIM(INDEX(FORM!$I:$I,ROW())&amp;""))</f>
        <v/>
      </c>
      <c r="W795" s="8" t="str">
        <f>IF($A795="","",TRIM(INDEX(FORM!$L:$L,ROW())&amp;""))</f>
        <v/>
      </c>
      <c r="X795" s="8" t="str">
        <f>IF($A795="","",TRIM(INDEX(FORM!$M:$M,ROW())&amp;""))</f>
        <v/>
      </c>
      <c r="Y795" s="8" t="str">
        <f>IF($A795="","",IFERROR(MATCH(F795,DATA!$AH$2:$AH$5,0),9)*10000+A795)</f>
        <v/>
      </c>
      <c r="Z795" s="8" t="str">
        <f t="shared" si="265"/>
        <v/>
      </c>
      <c r="AA795" s="8" t="str">
        <f t="shared" si="266"/>
        <v/>
      </c>
      <c r="AB795" s="8" t="str">
        <f t="shared" si="267"/>
        <v/>
      </c>
      <c r="AC795" s="8"/>
      <c r="AD795" s="8"/>
      <c r="AE795" s="8"/>
      <c r="AK795" s="5" t="str">
        <f t="shared" si="268"/>
        <v/>
      </c>
      <c r="AL795" s="5" t="str">
        <f t="shared" si="269"/>
        <v/>
      </c>
      <c r="AM795" s="5" t="str">
        <f t="shared" si="270"/>
        <v/>
      </c>
      <c r="AN795" s="5" t="str">
        <f t="shared" si="271"/>
        <v/>
      </c>
      <c r="AO795" s="5" t="str">
        <f t="shared" si="272"/>
        <v/>
      </c>
      <c r="AP795" s="5" t="str">
        <f t="shared" si="273"/>
        <v/>
      </c>
      <c r="AQ795" s="5" t="str">
        <f t="shared" si="274"/>
        <v/>
      </c>
      <c r="AR795" s="5" t="str">
        <f t="shared" si="275"/>
        <v/>
      </c>
      <c r="AS795" s="5" t="str">
        <f t="shared" si="276"/>
        <v/>
      </c>
      <c r="AT795" s="5" t="str">
        <f t="shared" si="277"/>
        <v/>
      </c>
      <c r="AU795" s="5" t="str">
        <f t="shared" si="278"/>
        <v/>
      </c>
      <c r="AV795" s="5" t="str">
        <f t="shared" si="279"/>
        <v/>
      </c>
      <c r="AW795" s="5" t="str">
        <f t="shared" si="280"/>
        <v/>
      </c>
      <c r="AX795" s="5" t="str">
        <f t="shared" si="281"/>
        <v/>
      </c>
      <c r="AY795" s="5" t="str">
        <f t="shared" si="282"/>
        <v/>
      </c>
      <c r="AZ795" s="5" t="str">
        <f t="shared" si="283"/>
        <v/>
      </c>
      <c r="BA795" s="5" t="str">
        <f t="shared" si="284"/>
        <v/>
      </c>
      <c r="BB795" s="5" t="str">
        <f t="shared" si="285"/>
        <v/>
      </c>
    </row>
    <row r="796" spans="1:54" s="5" customFormat="1" hidden="1">
      <c r="A796" s="8" t="str">
        <f>IF(INDEX(FORM!$A:$A,ROW())="","",ROW()-1)</f>
        <v/>
      </c>
      <c r="B796" s="41" t="str">
        <f>IF($A796="","",INDEX(FORM!$A:$A,ROW()))</f>
        <v/>
      </c>
      <c r="C796" s="8" t="str">
        <f>IF($A796="","",TRIM(INDEX(FORM!$B:$B,ROW())))</f>
        <v/>
      </c>
      <c r="D796" s="8" t="str">
        <f>IF($A796="","",TRIM(INDEX(FORM!$C:$C,ROW())&amp;""))</f>
        <v/>
      </c>
      <c r="E796" s="8" t="str">
        <f>IF($A796="","",UPPER(TRIM(INDEX(FORM!$D:$D,ROW()))))</f>
        <v/>
      </c>
      <c r="F796" s="8" t="str">
        <f>IF($A796="","",IFERROR(INDEX(PROGRES!$A$2:$A$92,MATCH(E796,PROGRES!$B$2:$B$92,0)),"-"))</f>
        <v/>
      </c>
      <c r="G796" s="8" t="str">
        <f>IF($A796="","",UPPER(TRIM(INDEX(FORM!$F:$F,ROW()))))</f>
        <v/>
      </c>
      <c r="H796" s="8" t="str">
        <f>IF($A796="","",UPPER(TRIM(INDEX(FORM!$E:$E,ROW()))))</f>
        <v/>
      </c>
      <c r="I796" s="8" t="str">
        <f>IF($A796="","",UPPER(TRIM(INDEX(FORM!$G:$G,ROW()))))</f>
        <v/>
      </c>
      <c r="J796" s="8" t="str">
        <f>IF($A796="","",IF(ISNUMBER(SEARCH("Ya,",INDEX(FORM!$H:$H,ROW()))),"YA",IF(ISNUMBER(SEARCH("Cukup,",INDEX(FORM!$H:$H,ROW()))),"CUKUP",IF(ISNUMBER(SEARCH("Kurang,",INDEX(FORM!$H:$H,ROW()))),"KURANG",""))))</f>
        <v/>
      </c>
      <c r="K796" s="8" t="str">
        <f>IF($A796="","",UPPER(TRIM(INDEX(FORM!$J:$J,ROW()))))</f>
        <v/>
      </c>
      <c r="L796" s="8" t="str">
        <f>IF($A796="","",IF(ISNUMBER(SEARCH("Aktivitas Harian",INDEX(FORM!$K:$K,ROW()))),1,0))</f>
        <v/>
      </c>
      <c r="M796" s="8" t="str">
        <f>IF($A796="","",IF(ISNUMBER(SEARCH("Aktivitas Mingguan",INDEX(FORM!$K:$K,ROW()))),1,0))</f>
        <v/>
      </c>
      <c r="N796" s="8" t="str">
        <f>IF($A796="","",IF(ISNUMBER(SEARCH("Aktivitas Bulanan",INDEX(FORM!$K:$K,ROW()))),1,0))</f>
        <v/>
      </c>
      <c r="O796" s="8" t="str">
        <f>IF($A796="","",IF(ISNUMBER(SEARCH("Overview Cabang",INDEX(FORM!$K:$K,ROW()))),1,0))</f>
        <v/>
      </c>
      <c r="P796" s="8" t="str">
        <f>IF($A796="","",IFERROR(VLOOKUP(I796,DATA!$AH$9:$AI$13,2,0),""))</f>
        <v/>
      </c>
      <c r="Q796" s="8" t="str">
        <f>IF($A796="","",IFERROR(VLOOKUP(J796,DATA!$AH$9:$AI$13,2,0),""))</f>
        <v/>
      </c>
      <c r="R796" s="8" t="str">
        <f>IF($A796="","",IFERROR(VLOOKUP(K796,DATA!$AH$9:$AI$13,2,0),""))</f>
        <v/>
      </c>
      <c r="S796" s="42" t="str">
        <f t="shared" si="264"/>
        <v/>
      </c>
      <c r="T796" s="8" t="str">
        <f>IF($A796="","",IF(COUNTIF($D$2:D796,D796)=1,1,0))</f>
        <v/>
      </c>
      <c r="U796" s="8" t="str">
        <f>IF($A796="","",IF(F796="-","Cabang tdk ada",IF(IFERROR(VLOOKUP(G796,#REF!,1,0),"")="","",IF(INDEX(DATA!$AH$2:$AH$5,MATCH(G796,DATA!$AI$2:$AI$5,0))&lt;&gt;F796,"Wilayah beda","OK"))))</f>
        <v/>
      </c>
      <c r="V796" s="8" t="str">
        <f>IF($A796="","",TRIM(INDEX(FORM!$I:$I,ROW())&amp;""))</f>
        <v/>
      </c>
      <c r="W796" s="8" t="str">
        <f>IF($A796="","",TRIM(INDEX(FORM!$L:$L,ROW())&amp;""))</f>
        <v/>
      </c>
      <c r="X796" s="8" t="str">
        <f>IF($A796="","",TRIM(INDEX(FORM!$M:$M,ROW())&amp;""))</f>
        <v/>
      </c>
      <c r="Y796" s="8" t="str">
        <f>IF($A796="","",IFERROR(MATCH(F796,DATA!$AH$2:$AH$5,0),9)*10000+A796)</f>
        <v/>
      </c>
      <c r="Z796" s="8" t="str">
        <f t="shared" si="265"/>
        <v/>
      </c>
      <c r="AA796" s="8" t="str">
        <f t="shared" si="266"/>
        <v/>
      </c>
      <c r="AB796" s="8" t="str">
        <f t="shared" si="267"/>
        <v/>
      </c>
      <c r="AC796" s="8"/>
      <c r="AD796" s="8"/>
      <c r="AE796" s="8"/>
      <c r="AK796" s="5" t="str">
        <f t="shared" si="268"/>
        <v/>
      </c>
      <c r="AL796" s="5" t="str">
        <f t="shared" si="269"/>
        <v/>
      </c>
      <c r="AM796" s="5" t="str">
        <f t="shared" si="270"/>
        <v/>
      </c>
      <c r="AN796" s="5" t="str">
        <f t="shared" si="271"/>
        <v/>
      </c>
      <c r="AO796" s="5" t="str">
        <f t="shared" si="272"/>
        <v/>
      </c>
      <c r="AP796" s="5" t="str">
        <f t="shared" si="273"/>
        <v/>
      </c>
      <c r="AQ796" s="5" t="str">
        <f t="shared" si="274"/>
        <v/>
      </c>
      <c r="AR796" s="5" t="str">
        <f t="shared" si="275"/>
        <v/>
      </c>
      <c r="AS796" s="5" t="str">
        <f t="shared" si="276"/>
        <v/>
      </c>
      <c r="AT796" s="5" t="str">
        <f t="shared" si="277"/>
        <v/>
      </c>
      <c r="AU796" s="5" t="str">
        <f t="shared" si="278"/>
        <v/>
      </c>
      <c r="AV796" s="5" t="str">
        <f t="shared" si="279"/>
        <v/>
      </c>
      <c r="AW796" s="5" t="str">
        <f t="shared" si="280"/>
        <v/>
      </c>
      <c r="AX796" s="5" t="str">
        <f t="shared" si="281"/>
        <v/>
      </c>
      <c r="AY796" s="5" t="str">
        <f t="shared" si="282"/>
        <v/>
      </c>
      <c r="AZ796" s="5" t="str">
        <f t="shared" si="283"/>
        <v/>
      </c>
      <c r="BA796" s="5" t="str">
        <f t="shared" si="284"/>
        <v/>
      </c>
      <c r="BB796" s="5" t="str">
        <f t="shared" si="285"/>
        <v/>
      </c>
    </row>
    <row r="797" spans="1:54" s="5" customFormat="1" hidden="1">
      <c r="A797" s="8" t="str">
        <f>IF(INDEX(FORM!$A:$A,ROW())="","",ROW()-1)</f>
        <v/>
      </c>
      <c r="B797" s="41" t="str">
        <f>IF($A797="","",INDEX(FORM!$A:$A,ROW()))</f>
        <v/>
      </c>
      <c r="C797" s="8" t="str">
        <f>IF($A797="","",TRIM(INDEX(FORM!$B:$B,ROW())))</f>
        <v/>
      </c>
      <c r="D797" s="8" t="str">
        <f>IF($A797="","",TRIM(INDEX(FORM!$C:$C,ROW())&amp;""))</f>
        <v/>
      </c>
      <c r="E797" s="8" t="str">
        <f>IF($A797="","",UPPER(TRIM(INDEX(FORM!$D:$D,ROW()))))</f>
        <v/>
      </c>
      <c r="F797" s="8" t="str">
        <f>IF($A797="","",IFERROR(INDEX(PROGRES!$A$2:$A$92,MATCH(E797,PROGRES!$B$2:$B$92,0)),"-"))</f>
        <v/>
      </c>
      <c r="G797" s="8" t="str">
        <f>IF($A797="","",UPPER(TRIM(INDEX(FORM!$F:$F,ROW()))))</f>
        <v/>
      </c>
      <c r="H797" s="8" t="str">
        <f>IF($A797="","",UPPER(TRIM(INDEX(FORM!$E:$E,ROW()))))</f>
        <v/>
      </c>
      <c r="I797" s="8" t="str">
        <f>IF($A797="","",UPPER(TRIM(INDEX(FORM!$G:$G,ROW()))))</f>
        <v/>
      </c>
      <c r="J797" s="8" t="str">
        <f>IF($A797="","",IF(ISNUMBER(SEARCH("Ya,",INDEX(FORM!$H:$H,ROW()))),"YA",IF(ISNUMBER(SEARCH("Cukup,",INDEX(FORM!$H:$H,ROW()))),"CUKUP",IF(ISNUMBER(SEARCH("Kurang,",INDEX(FORM!$H:$H,ROW()))),"KURANG",""))))</f>
        <v/>
      </c>
      <c r="K797" s="8" t="str">
        <f>IF($A797="","",UPPER(TRIM(INDEX(FORM!$J:$J,ROW()))))</f>
        <v/>
      </c>
      <c r="L797" s="8" t="str">
        <f>IF($A797="","",IF(ISNUMBER(SEARCH("Aktivitas Harian",INDEX(FORM!$K:$K,ROW()))),1,0))</f>
        <v/>
      </c>
      <c r="M797" s="8" t="str">
        <f>IF($A797="","",IF(ISNUMBER(SEARCH("Aktivitas Mingguan",INDEX(FORM!$K:$K,ROW()))),1,0))</f>
        <v/>
      </c>
      <c r="N797" s="8" t="str">
        <f>IF($A797="","",IF(ISNUMBER(SEARCH("Aktivitas Bulanan",INDEX(FORM!$K:$K,ROW()))),1,0))</f>
        <v/>
      </c>
      <c r="O797" s="8" t="str">
        <f>IF($A797="","",IF(ISNUMBER(SEARCH("Overview Cabang",INDEX(FORM!$K:$K,ROW()))),1,0))</f>
        <v/>
      </c>
      <c r="P797" s="8" t="str">
        <f>IF($A797="","",IFERROR(VLOOKUP(I797,DATA!$AH$9:$AI$13,2,0),""))</f>
        <v/>
      </c>
      <c r="Q797" s="8" t="str">
        <f>IF($A797="","",IFERROR(VLOOKUP(J797,DATA!$AH$9:$AI$13,2,0),""))</f>
        <v/>
      </c>
      <c r="R797" s="8" t="str">
        <f>IF($A797="","",IFERROR(VLOOKUP(K797,DATA!$AH$9:$AI$13,2,0),""))</f>
        <v/>
      </c>
      <c r="S797" s="42" t="str">
        <f t="shared" si="264"/>
        <v/>
      </c>
      <c r="T797" s="8" t="str">
        <f>IF($A797="","",IF(COUNTIF($D$2:D797,D797)=1,1,0))</f>
        <v/>
      </c>
      <c r="U797" s="8" t="str">
        <f>IF($A797="","",IF(F797="-","Cabang tdk ada",IF(IFERROR(VLOOKUP(G797,#REF!,1,0),"")="","",IF(INDEX(DATA!$AH$2:$AH$5,MATCH(G797,DATA!$AI$2:$AI$5,0))&lt;&gt;F797,"Wilayah beda","OK"))))</f>
        <v/>
      </c>
      <c r="V797" s="8" t="str">
        <f>IF($A797="","",TRIM(INDEX(FORM!$I:$I,ROW())&amp;""))</f>
        <v/>
      </c>
      <c r="W797" s="8" t="str">
        <f>IF($A797="","",TRIM(INDEX(FORM!$L:$L,ROW())&amp;""))</f>
        <v/>
      </c>
      <c r="X797" s="8" t="str">
        <f>IF($A797="","",TRIM(INDEX(FORM!$M:$M,ROW())&amp;""))</f>
        <v/>
      </c>
      <c r="Y797" s="8" t="str">
        <f>IF($A797="","",IFERROR(MATCH(F797,DATA!$AH$2:$AH$5,0),9)*10000+A797)</f>
        <v/>
      </c>
      <c r="Z797" s="8" t="str">
        <f t="shared" si="265"/>
        <v/>
      </c>
      <c r="AA797" s="8" t="str">
        <f t="shared" si="266"/>
        <v/>
      </c>
      <c r="AB797" s="8" t="str">
        <f t="shared" si="267"/>
        <v/>
      </c>
      <c r="AC797" s="8"/>
      <c r="AD797" s="8"/>
      <c r="AE797" s="8"/>
      <c r="AK797" s="5" t="str">
        <f t="shared" si="268"/>
        <v/>
      </c>
      <c r="AL797" s="5" t="str">
        <f t="shared" si="269"/>
        <v/>
      </c>
      <c r="AM797" s="5" t="str">
        <f t="shared" si="270"/>
        <v/>
      </c>
      <c r="AN797" s="5" t="str">
        <f t="shared" si="271"/>
        <v/>
      </c>
      <c r="AO797" s="5" t="str">
        <f t="shared" si="272"/>
        <v/>
      </c>
      <c r="AP797" s="5" t="str">
        <f t="shared" si="273"/>
        <v/>
      </c>
      <c r="AQ797" s="5" t="str">
        <f t="shared" si="274"/>
        <v/>
      </c>
      <c r="AR797" s="5" t="str">
        <f t="shared" si="275"/>
        <v/>
      </c>
      <c r="AS797" s="5" t="str">
        <f t="shared" si="276"/>
        <v/>
      </c>
      <c r="AT797" s="5" t="str">
        <f t="shared" si="277"/>
        <v/>
      </c>
      <c r="AU797" s="5" t="str">
        <f t="shared" si="278"/>
        <v/>
      </c>
      <c r="AV797" s="5" t="str">
        <f t="shared" si="279"/>
        <v/>
      </c>
      <c r="AW797" s="5" t="str">
        <f t="shared" si="280"/>
        <v/>
      </c>
      <c r="AX797" s="5" t="str">
        <f t="shared" si="281"/>
        <v/>
      </c>
      <c r="AY797" s="5" t="str">
        <f t="shared" si="282"/>
        <v/>
      </c>
      <c r="AZ797" s="5" t="str">
        <f t="shared" si="283"/>
        <v/>
      </c>
      <c r="BA797" s="5" t="str">
        <f t="shared" si="284"/>
        <v/>
      </c>
      <c r="BB797" s="5" t="str">
        <f t="shared" si="285"/>
        <v/>
      </c>
    </row>
    <row r="798" spans="1:54" s="5" customFormat="1" hidden="1">
      <c r="A798" s="8" t="str">
        <f>IF(INDEX(FORM!$A:$A,ROW())="","",ROW()-1)</f>
        <v/>
      </c>
      <c r="B798" s="41" t="str">
        <f>IF($A798="","",INDEX(FORM!$A:$A,ROW()))</f>
        <v/>
      </c>
      <c r="C798" s="8" t="str">
        <f>IF($A798="","",TRIM(INDEX(FORM!$B:$B,ROW())))</f>
        <v/>
      </c>
      <c r="D798" s="8" t="str">
        <f>IF($A798="","",TRIM(INDEX(FORM!$C:$C,ROW())&amp;""))</f>
        <v/>
      </c>
      <c r="E798" s="8" t="str">
        <f>IF($A798="","",UPPER(TRIM(INDEX(FORM!$D:$D,ROW()))))</f>
        <v/>
      </c>
      <c r="F798" s="8" t="str">
        <f>IF($A798="","",IFERROR(INDEX(PROGRES!$A$2:$A$92,MATCH(E798,PROGRES!$B$2:$B$92,0)),"-"))</f>
        <v/>
      </c>
      <c r="G798" s="8" t="str">
        <f>IF($A798="","",UPPER(TRIM(INDEX(FORM!$F:$F,ROW()))))</f>
        <v/>
      </c>
      <c r="H798" s="8" t="str">
        <f>IF($A798="","",UPPER(TRIM(INDEX(FORM!$E:$E,ROW()))))</f>
        <v/>
      </c>
      <c r="I798" s="8" t="str">
        <f>IF($A798="","",UPPER(TRIM(INDEX(FORM!$G:$G,ROW()))))</f>
        <v/>
      </c>
      <c r="J798" s="8" t="str">
        <f>IF($A798="","",IF(ISNUMBER(SEARCH("Ya,",INDEX(FORM!$H:$H,ROW()))),"YA",IF(ISNUMBER(SEARCH("Cukup,",INDEX(FORM!$H:$H,ROW()))),"CUKUP",IF(ISNUMBER(SEARCH("Kurang,",INDEX(FORM!$H:$H,ROW()))),"KURANG",""))))</f>
        <v/>
      </c>
      <c r="K798" s="8" t="str">
        <f>IF($A798="","",UPPER(TRIM(INDEX(FORM!$J:$J,ROW()))))</f>
        <v/>
      </c>
      <c r="L798" s="8" t="str">
        <f>IF($A798="","",IF(ISNUMBER(SEARCH("Aktivitas Harian",INDEX(FORM!$K:$K,ROW()))),1,0))</f>
        <v/>
      </c>
      <c r="M798" s="8" t="str">
        <f>IF($A798="","",IF(ISNUMBER(SEARCH("Aktivitas Mingguan",INDEX(FORM!$K:$K,ROW()))),1,0))</f>
        <v/>
      </c>
      <c r="N798" s="8" t="str">
        <f>IF($A798="","",IF(ISNUMBER(SEARCH("Aktivitas Bulanan",INDEX(FORM!$K:$K,ROW()))),1,0))</f>
        <v/>
      </c>
      <c r="O798" s="8" t="str">
        <f>IF($A798="","",IF(ISNUMBER(SEARCH("Overview Cabang",INDEX(FORM!$K:$K,ROW()))),1,0))</f>
        <v/>
      </c>
      <c r="P798" s="8" t="str">
        <f>IF($A798="","",IFERROR(VLOOKUP(I798,DATA!$AH$9:$AI$13,2,0),""))</f>
        <v/>
      </c>
      <c r="Q798" s="8" t="str">
        <f>IF($A798="","",IFERROR(VLOOKUP(J798,DATA!$AH$9:$AI$13,2,0),""))</f>
        <v/>
      </c>
      <c r="R798" s="8" t="str">
        <f>IF($A798="","",IFERROR(VLOOKUP(K798,DATA!$AH$9:$AI$13,2,0),""))</f>
        <v/>
      </c>
      <c r="S798" s="42" t="str">
        <f t="shared" si="264"/>
        <v/>
      </c>
      <c r="T798" s="8" t="str">
        <f>IF($A798="","",IF(COUNTIF($D$2:D798,D798)=1,1,0))</f>
        <v/>
      </c>
      <c r="U798" s="8" t="str">
        <f>IF($A798="","",IF(F798="-","Cabang tdk ada",IF(IFERROR(VLOOKUP(G798,#REF!,1,0),"")="","",IF(INDEX(DATA!$AH$2:$AH$5,MATCH(G798,DATA!$AI$2:$AI$5,0))&lt;&gt;F798,"Wilayah beda","OK"))))</f>
        <v/>
      </c>
      <c r="V798" s="8" t="str">
        <f>IF($A798="","",TRIM(INDEX(FORM!$I:$I,ROW())&amp;""))</f>
        <v/>
      </c>
      <c r="W798" s="8" t="str">
        <f>IF($A798="","",TRIM(INDEX(FORM!$L:$L,ROW())&amp;""))</f>
        <v/>
      </c>
      <c r="X798" s="8" t="str">
        <f>IF($A798="","",TRIM(INDEX(FORM!$M:$M,ROW())&amp;""))</f>
        <v/>
      </c>
      <c r="Y798" s="8" t="str">
        <f>IF($A798="","",IFERROR(MATCH(F798,DATA!$AH$2:$AH$5,0),9)*10000+A798)</f>
        <v/>
      </c>
      <c r="Z798" s="8" t="str">
        <f t="shared" si="265"/>
        <v/>
      </c>
      <c r="AA798" s="8" t="str">
        <f t="shared" si="266"/>
        <v/>
      </c>
      <c r="AB798" s="8" t="str">
        <f t="shared" si="267"/>
        <v/>
      </c>
      <c r="AC798" s="8"/>
      <c r="AD798" s="8"/>
      <c r="AE798" s="8"/>
      <c r="AK798" s="5" t="str">
        <f t="shared" si="268"/>
        <v/>
      </c>
      <c r="AL798" s="5" t="str">
        <f t="shared" si="269"/>
        <v/>
      </c>
      <c r="AM798" s="5" t="str">
        <f t="shared" si="270"/>
        <v/>
      </c>
      <c r="AN798" s="5" t="str">
        <f t="shared" si="271"/>
        <v/>
      </c>
      <c r="AO798" s="5" t="str">
        <f t="shared" si="272"/>
        <v/>
      </c>
      <c r="AP798" s="5" t="str">
        <f t="shared" si="273"/>
        <v/>
      </c>
      <c r="AQ798" s="5" t="str">
        <f t="shared" si="274"/>
        <v/>
      </c>
      <c r="AR798" s="5" t="str">
        <f t="shared" si="275"/>
        <v/>
      </c>
      <c r="AS798" s="5" t="str">
        <f t="shared" si="276"/>
        <v/>
      </c>
      <c r="AT798" s="5" t="str">
        <f t="shared" si="277"/>
        <v/>
      </c>
      <c r="AU798" s="5" t="str">
        <f t="shared" si="278"/>
        <v/>
      </c>
      <c r="AV798" s="5" t="str">
        <f t="shared" si="279"/>
        <v/>
      </c>
      <c r="AW798" s="5" t="str">
        <f t="shared" si="280"/>
        <v/>
      </c>
      <c r="AX798" s="5" t="str">
        <f t="shared" si="281"/>
        <v/>
      </c>
      <c r="AY798" s="5" t="str">
        <f t="shared" si="282"/>
        <v/>
      </c>
      <c r="AZ798" s="5" t="str">
        <f t="shared" si="283"/>
        <v/>
      </c>
      <c r="BA798" s="5" t="str">
        <f t="shared" si="284"/>
        <v/>
      </c>
      <c r="BB798" s="5" t="str">
        <f t="shared" si="285"/>
        <v/>
      </c>
    </row>
    <row r="799" spans="1:54" s="5" customFormat="1" hidden="1">
      <c r="A799" s="8" t="str">
        <f>IF(INDEX(FORM!$A:$A,ROW())="","",ROW()-1)</f>
        <v/>
      </c>
      <c r="B799" s="41" t="str">
        <f>IF($A799="","",INDEX(FORM!$A:$A,ROW()))</f>
        <v/>
      </c>
      <c r="C799" s="8" t="str">
        <f>IF($A799="","",TRIM(INDEX(FORM!$B:$B,ROW())))</f>
        <v/>
      </c>
      <c r="D799" s="8" t="str">
        <f>IF($A799="","",TRIM(INDEX(FORM!$C:$C,ROW())&amp;""))</f>
        <v/>
      </c>
      <c r="E799" s="8" t="str">
        <f>IF($A799="","",UPPER(TRIM(INDEX(FORM!$D:$D,ROW()))))</f>
        <v/>
      </c>
      <c r="F799" s="8" t="str">
        <f>IF($A799="","",IFERROR(INDEX(PROGRES!$A$2:$A$92,MATCH(E799,PROGRES!$B$2:$B$92,0)),"-"))</f>
        <v/>
      </c>
      <c r="G799" s="8" t="str">
        <f>IF($A799="","",UPPER(TRIM(INDEX(FORM!$F:$F,ROW()))))</f>
        <v/>
      </c>
      <c r="H799" s="8" t="str">
        <f>IF($A799="","",UPPER(TRIM(INDEX(FORM!$E:$E,ROW()))))</f>
        <v/>
      </c>
      <c r="I799" s="8" t="str">
        <f>IF($A799="","",UPPER(TRIM(INDEX(FORM!$G:$G,ROW()))))</f>
        <v/>
      </c>
      <c r="J799" s="8" t="str">
        <f>IF($A799="","",IF(ISNUMBER(SEARCH("Ya,",INDEX(FORM!$H:$H,ROW()))),"YA",IF(ISNUMBER(SEARCH("Cukup,",INDEX(FORM!$H:$H,ROW()))),"CUKUP",IF(ISNUMBER(SEARCH("Kurang,",INDEX(FORM!$H:$H,ROW()))),"KURANG",""))))</f>
        <v/>
      </c>
      <c r="K799" s="8" t="str">
        <f>IF($A799="","",UPPER(TRIM(INDEX(FORM!$J:$J,ROW()))))</f>
        <v/>
      </c>
      <c r="L799" s="8" t="str">
        <f>IF($A799="","",IF(ISNUMBER(SEARCH("Aktivitas Harian",INDEX(FORM!$K:$K,ROW()))),1,0))</f>
        <v/>
      </c>
      <c r="M799" s="8" t="str">
        <f>IF($A799="","",IF(ISNUMBER(SEARCH("Aktivitas Mingguan",INDEX(FORM!$K:$K,ROW()))),1,0))</f>
        <v/>
      </c>
      <c r="N799" s="8" t="str">
        <f>IF($A799="","",IF(ISNUMBER(SEARCH("Aktivitas Bulanan",INDEX(FORM!$K:$K,ROW()))),1,0))</f>
        <v/>
      </c>
      <c r="O799" s="8" t="str">
        <f>IF($A799="","",IF(ISNUMBER(SEARCH("Overview Cabang",INDEX(FORM!$K:$K,ROW()))),1,0))</f>
        <v/>
      </c>
      <c r="P799" s="8" t="str">
        <f>IF($A799="","",IFERROR(VLOOKUP(I799,DATA!$AH$9:$AI$13,2,0),""))</f>
        <v/>
      </c>
      <c r="Q799" s="8" t="str">
        <f>IF($A799="","",IFERROR(VLOOKUP(J799,DATA!$AH$9:$AI$13,2,0),""))</f>
        <v/>
      </c>
      <c r="R799" s="8" t="str">
        <f>IF($A799="","",IFERROR(VLOOKUP(K799,DATA!$AH$9:$AI$13,2,0),""))</f>
        <v/>
      </c>
      <c r="S799" s="42" t="str">
        <f t="shared" si="264"/>
        <v/>
      </c>
      <c r="T799" s="8" t="str">
        <f>IF($A799="","",IF(COUNTIF($D$2:D799,D799)=1,1,0))</f>
        <v/>
      </c>
      <c r="U799" s="8" t="str">
        <f>IF($A799="","",IF(F799="-","Cabang tdk ada",IF(IFERROR(VLOOKUP(G799,#REF!,1,0),"")="","",IF(INDEX(DATA!$AH$2:$AH$5,MATCH(G799,DATA!$AI$2:$AI$5,0))&lt;&gt;F799,"Wilayah beda","OK"))))</f>
        <v/>
      </c>
      <c r="V799" s="8" t="str">
        <f>IF($A799="","",TRIM(INDEX(FORM!$I:$I,ROW())&amp;""))</f>
        <v/>
      </c>
      <c r="W799" s="8" t="str">
        <f>IF($A799="","",TRIM(INDEX(FORM!$L:$L,ROW())&amp;""))</f>
        <v/>
      </c>
      <c r="X799" s="8" t="str">
        <f>IF($A799="","",TRIM(INDEX(FORM!$M:$M,ROW())&amp;""))</f>
        <v/>
      </c>
      <c r="Y799" s="8" t="str">
        <f>IF($A799="","",IFERROR(MATCH(F799,DATA!$AH$2:$AH$5,0),9)*10000+A799)</f>
        <v/>
      </c>
      <c r="Z799" s="8" t="str">
        <f t="shared" si="265"/>
        <v/>
      </c>
      <c r="AA799" s="8" t="str">
        <f t="shared" si="266"/>
        <v/>
      </c>
      <c r="AB799" s="8" t="str">
        <f t="shared" si="267"/>
        <v/>
      </c>
      <c r="AC799" s="8"/>
      <c r="AD799" s="8"/>
      <c r="AE799" s="8"/>
      <c r="AK799" s="5" t="str">
        <f t="shared" si="268"/>
        <v/>
      </c>
      <c r="AL799" s="5" t="str">
        <f t="shared" si="269"/>
        <v/>
      </c>
      <c r="AM799" s="5" t="str">
        <f t="shared" si="270"/>
        <v/>
      </c>
      <c r="AN799" s="5" t="str">
        <f t="shared" si="271"/>
        <v/>
      </c>
      <c r="AO799" s="5" t="str">
        <f t="shared" si="272"/>
        <v/>
      </c>
      <c r="AP799" s="5" t="str">
        <f t="shared" si="273"/>
        <v/>
      </c>
      <c r="AQ799" s="5" t="str">
        <f t="shared" si="274"/>
        <v/>
      </c>
      <c r="AR799" s="5" t="str">
        <f t="shared" si="275"/>
        <v/>
      </c>
      <c r="AS799" s="5" t="str">
        <f t="shared" si="276"/>
        <v/>
      </c>
      <c r="AT799" s="5" t="str">
        <f t="shared" si="277"/>
        <v/>
      </c>
      <c r="AU799" s="5" t="str">
        <f t="shared" si="278"/>
        <v/>
      </c>
      <c r="AV799" s="5" t="str">
        <f t="shared" si="279"/>
        <v/>
      </c>
      <c r="AW799" s="5" t="str">
        <f t="shared" si="280"/>
        <v/>
      </c>
      <c r="AX799" s="5" t="str">
        <f t="shared" si="281"/>
        <v/>
      </c>
      <c r="AY799" s="5" t="str">
        <f t="shared" si="282"/>
        <v/>
      </c>
      <c r="AZ799" s="5" t="str">
        <f t="shared" si="283"/>
        <v/>
      </c>
      <c r="BA799" s="5" t="str">
        <f t="shared" si="284"/>
        <v/>
      </c>
      <c r="BB799" s="5" t="str">
        <f t="shared" si="285"/>
        <v/>
      </c>
    </row>
    <row r="800" spans="1:54" s="5" customFormat="1" hidden="1">
      <c r="A800" s="8" t="str">
        <f>IF(INDEX(FORM!$A:$A,ROW())="","",ROW()-1)</f>
        <v/>
      </c>
      <c r="B800" s="41" t="str">
        <f>IF($A800="","",INDEX(FORM!$A:$A,ROW()))</f>
        <v/>
      </c>
      <c r="C800" s="8" t="str">
        <f>IF($A800="","",TRIM(INDEX(FORM!$B:$B,ROW())))</f>
        <v/>
      </c>
      <c r="D800" s="8" t="str">
        <f>IF($A800="","",TRIM(INDEX(FORM!$C:$C,ROW())&amp;""))</f>
        <v/>
      </c>
      <c r="E800" s="8" t="str">
        <f>IF($A800="","",UPPER(TRIM(INDEX(FORM!$D:$D,ROW()))))</f>
        <v/>
      </c>
      <c r="F800" s="8" t="str">
        <f>IF($A800="","",IFERROR(INDEX(PROGRES!$A$2:$A$92,MATCH(E800,PROGRES!$B$2:$B$92,0)),"-"))</f>
        <v/>
      </c>
      <c r="G800" s="8" t="str">
        <f>IF($A800="","",UPPER(TRIM(INDEX(FORM!$F:$F,ROW()))))</f>
        <v/>
      </c>
      <c r="H800" s="8" t="str">
        <f>IF($A800="","",UPPER(TRIM(INDEX(FORM!$E:$E,ROW()))))</f>
        <v/>
      </c>
      <c r="I800" s="8" t="str">
        <f>IF($A800="","",UPPER(TRIM(INDEX(FORM!$G:$G,ROW()))))</f>
        <v/>
      </c>
      <c r="J800" s="8" t="str">
        <f>IF($A800="","",IF(ISNUMBER(SEARCH("Ya,",INDEX(FORM!$H:$H,ROW()))),"YA",IF(ISNUMBER(SEARCH("Cukup,",INDEX(FORM!$H:$H,ROW()))),"CUKUP",IF(ISNUMBER(SEARCH("Kurang,",INDEX(FORM!$H:$H,ROW()))),"KURANG",""))))</f>
        <v/>
      </c>
      <c r="K800" s="8" t="str">
        <f>IF($A800="","",UPPER(TRIM(INDEX(FORM!$J:$J,ROW()))))</f>
        <v/>
      </c>
      <c r="L800" s="8" t="str">
        <f>IF($A800="","",IF(ISNUMBER(SEARCH("Aktivitas Harian",INDEX(FORM!$K:$K,ROW()))),1,0))</f>
        <v/>
      </c>
      <c r="M800" s="8" t="str">
        <f>IF($A800="","",IF(ISNUMBER(SEARCH("Aktivitas Mingguan",INDEX(FORM!$K:$K,ROW()))),1,0))</f>
        <v/>
      </c>
      <c r="N800" s="8" t="str">
        <f>IF($A800="","",IF(ISNUMBER(SEARCH("Aktivitas Bulanan",INDEX(FORM!$K:$K,ROW()))),1,0))</f>
        <v/>
      </c>
      <c r="O800" s="8" t="str">
        <f>IF($A800="","",IF(ISNUMBER(SEARCH("Overview Cabang",INDEX(FORM!$K:$K,ROW()))),1,0))</f>
        <v/>
      </c>
      <c r="P800" s="8" t="str">
        <f>IF($A800="","",IFERROR(VLOOKUP(I800,DATA!$AH$9:$AI$13,2,0),""))</f>
        <v/>
      </c>
      <c r="Q800" s="8" t="str">
        <f>IF($A800="","",IFERROR(VLOOKUP(J800,DATA!$AH$9:$AI$13,2,0),""))</f>
        <v/>
      </c>
      <c r="R800" s="8" t="str">
        <f>IF($A800="","",IFERROR(VLOOKUP(K800,DATA!$AH$9:$AI$13,2,0),""))</f>
        <v/>
      </c>
      <c r="S800" s="42" t="str">
        <f t="shared" si="264"/>
        <v/>
      </c>
      <c r="T800" s="8" t="str">
        <f>IF($A800="","",IF(COUNTIF($D$2:D800,D800)=1,1,0))</f>
        <v/>
      </c>
      <c r="U800" s="8" t="str">
        <f>IF($A800="","",IF(F800="-","Cabang tdk ada",IF(IFERROR(VLOOKUP(G800,#REF!,1,0),"")="","",IF(INDEX(DATA!$AH$2:$AH$5,MATCH(G800,DATA!$AI$2:$AI$5,0))&lt;&gt;F800,"Wilayah beda","OK"))))</f>
        <v/>
      </c>
      <c r="V800" s="8" t="str">
        <f>IF($A800="","",TRIM(INDEX(FORM!$I:$I,ROW())&amp;""))</f>
        <v/>
      </c>
      <c r="W800" s="8" t="str">
        <f>IF($A800="","",TRIM(INDEX(FORM!$L:$L,ROW())&amp;""))</f>
        <v/>
      </c>
      <c r="X800" s="8" t="str">
        <f>IF($A800="","",TRIM(INDEX(FORM!$M:$M,ROW())&amp;""))</f>
        <v/>
      </c>
      <c r="Y800" s="8" t="str">
        <f>IF($A800="","",IFERROR(MATCH(F800,DATA!$AH$2:$AH$5,0),9)*10000+A800)</f>
        <v/>
      </c>
      <c r="Z800" s="8" t="str">
        <f t="shared" si="265"/>
        <v/>
      </c>
      <c r="AA800" s="8" t="str">
        <f t="shared" si="266"/>
        <v/>
      </c>
      <c r="AB800" s="8" t="str">
        <f t="shared" si="267"/>
        <v/>
      </c>
      <c r="AC800" s="8"/>
      <c r="AD800" s="8"/>
      <c r="AE800" s="8"/>
      <c r="AK800" s="5" t="str">
        <f t="shared" si="268"/>
        <v/>
      </c>
      <c r="AL800" s="5" t="str">
        <f t="shared" si="269"/>
        <v/>
      </c>
      <c r="AM800" s="5" t="str">
        <f t="shared" si="270"/>
        <v/>
      </c>
      <c r="AN800" s="5" t="str">
        <f t="shared" si="271"/>
        <v/>
      </c>
      <c r="AO800" s="5" t="str">
        <f t="shared" si="272"/>
        <v/>
      </c>
      <c r="AP800" s="5" t="str">
        <f t="shared" si="273"/>
        <v/>
      </c>
      <c r="AQ800" s="5" t="str">
        <f t="shared" si="274"/>
        <v/>
      </c>
      <c r="AR800" s="5" t="str">
        <f t="shared" si="275"/>
        <v/>
      </c>
      <c r="AS800" s="5" t="str">
        <f t="shared" si="276"/>
        <v/>
      </c>
      <c r="AT800" s="5" t="str">
        <f t="shared" si="277"/>
        <v/>
      </c>
      <c r="AU800" s="5" t="str">
        <f t="shared" si="278"/>
        <v/>
      </c>
      <c r="AV800" s="5" t="str">
        <f t="shared" si="279"/>
        <v/>
      </c>
      <c r="AW800" s="5" t="str">
        <f t="shared" si="280"/>
        <v/>
      </c>
      <c r="AX800" s="5" t="str">
        <f t="shared" si="281"/>
        <v/>
      </c>
      <c r="AY800" s="5" t="str">
        <f t="shared" si="282"/>
        <v/>
      </c>
      <c r="AZ800" s="5" t="str">
        <f t="shared" si="283"/>
        <v/>
      </c>
      <c r="BA800" s="5" t="str">
        <f t="shared" si="284"/>
        <v/>
      </c>
      <c r="BB800" s="5" t="str">
        <f t="shared" si="285"/>
        <v/>
      </c>
    </row>
    <row r="801" spans="1:54" s="5" customFormat="1" hidden="1">
      <c r="A801" s="8" t="str">
        <f>IF(INDEX(FORM!$A:$A,ROW())="","",ROW()-1)</f>
        <v/>
      </c>
      <c r="B801" s="41" t="str">
        <f>IF($A801="","",INDEX(FORM!$A:$A,ROW()))</f>
        <v/>
      </c>
      <c r="C801" s="8" t="str">
        <f>IF($A801="","",TRIM(INDEX(FORM!$B:$B,ROW())))</f>
        <v/>
      </c>
      <c r="D801" s="8" t="str">
        <f>IF($A801="","",TRIM(INDEX(FORM!$C:$C,ROW())&amp;""))</f>
        <v/>
      </c>
      <c r="E801" s="8" t="str">
        <f>IF($A801="","",UPPER(TRIM(INDEX(FORM!$D:$D,ROW()))))</f>
        <v/>
      </c>
      <c r="F801" s="8" t="str">
        <f>IF($A801="","",IFERROR(INDEX(PROGRES!$A$2:$A$92,MATCH(E801,PROGRES!$B$2:$B$92,0)),"-"))</f>
        <v/>
      </c>
      <c r="G801" s="8" t="str">
        <f>IF($A801="","",UPPER(TRIM(INDEX(FORM!$F:$F,ROW()))))</f>
        <v/>
      </c>
      <c r="H801" s="8" t="str">
        <f>IF($A801="","",UPPER(TRIM(INDEX(FORM!$E:$E,ROW()))))</f>
        <v/>
      </c>
      <c r="I801" s="8" t="str">
        <f>IF($A801="","",UPPER(TRIM(INDEX(FORM!$G:$G,ROW()))))</f>
        <v/>
      </c>
      <c r="J801" s="8" t="str">
        <f>IF($A801="","",IF(ISNUMBER(SEARCH("Ya,",INDEX(FORM!$H:$H,ROW()))),"YA",IF(ISNUMBER(SEARCH("Cukup,",INDEX(FORM!$H:$H,ROW()))),"CUKUP",IF(ISNUMBER(SEARCH("Kurang,",INDEX(FORM!$H:$H,ROW()))),"KURANG",""))))</f>
        <v/>
      </c>
      <c r="K801" s="8" t="str">
        <f>IF($A801="","",UPPER(TRIM(INDEX(FORM!$J:$J,ROW()))))</f>
        <v/>
      </c>
      <c r="L801" s="8" t="str">
        <f>IF($A801="","",IF(ISNUMBER(SEARCH("Aktivitas Harian",INDEX(FORM!$K:$K,ROW()))),1,0))</f>
        <v/>
      </c>
      <c r="M801" s="8" t="str">
        <f>IF($A801="","",IF(ISNUMBER(SEARCH("Aktivitas Mingguan",INDEX(FORM!$K:$K,ROW()))),1,0))</f>
        <v/>
      </c>
      <c r="N801" s="8" t="str">
        <f>IF($A801="","",IF(ISNUMBER(SEARCH("Aktivitas Bulanan",INDEX(FORM!$K:$K,ROW()))),1,0))</f>
        <v/>
      </c>
      <c r="O801" s="8" t="str">
        <f>IF($A801="","",IF(ISNUMBER(SEARCH("Overview Cabang",INDEX(FORM!$K:$K,ROW()))),1,0))</f>
        <v/>
      </c>
      <c r="P801" s="8" t="str">
        <f>IF($A801="","",IFERROR(VLOOKUP(I801,DATA!$AH$9:$AI$13,2,0),""))</f>
        <v/>
      </c>
      <c r="Q801" s="8" t="str">
        <f>IF($A801="","",IFERROR(VLOOKUP(J801,DATA!$AH$9:$AI$13,2,0),""))</f>
        <v/>
      </c>
      <c r="R801" s="8" t="str">
        <f>IF($A801="","",IFERROR(VLOOKUP(K801,DATA!$AH$9:$AI$13,2,0),""))</f>
        <v/>
      </c>
      <c r="S801" s="42" t="str">
        <f t="shared" si="264"/>
        <v/>
      </c>
      <c r="T801" s="8" t="str">
        <f>IF($A801="","",IF(COUNTIF($D$2:D801,D801)=1,1,0))</f>
        <v/>
      </c>
      <c r="U801" s="8" t="str">
        <f>IF($A801="","",IF(F801="-","Cabang tdk ada",IF(IFERROR(VLOOKUP(G801,#REF!,1,0),"")="","",IF(INDEX(DATA!$AH$2:$AH$5,MATCH(G801,DATA!$AI$2:$AI$5,0))&lt;&gt;F801,"Wilayah beda","OK"))))</f>
        <v/>
      </c>
      <c r="V801" s="8" t="str">
        <f>IF($A801="","",TRIM(INDEX(FORM!$I:$I,ROW())&amp;""))</f>
        <v/>
      </c>
      <c r="W801" s="8" t="str">
        <f>IF($A801="","",TRIM(INDEX(FORM!$L:$L,ROW())&amp;""))</f>
        <v/>
      </c>
      <c r="X801" s="8" t="str">
        <f>IF($A801="","",TRIM(INDEX(FORM!$M:$M,ROW())&amp;""))</f>
        <v/>
      </c>
      <c r="Y801" s="8" t="str">
        <f>IF($A801="","",IFERROR(MATCH(F801,DATA!$AH$2:$AH$5,0),9)*10000+A801)</f>
        <v/>
      </c>
      <c r="Z801" s="8" t="str">
        <f t="shared" si="265"/>
        <v/>
      </c>
      <c r="AA801" s="8" t="str">
        <f t="shared" si="266"/>
        <v/>
      </c>
      <c r="AB801" s="8" t="str">
        <f t="shared" si="267"/>
        <v/>
      </c>
      <c r="AC801" s="8"/>
      <c r="AD801" s="8"/>
      <c r="AE801" s="8"/>
      <c r="AK801" s="5" t="str">
        <f t="shared" si="268"/>
        <v/>
      </c>
      <c r="AL801" s="5" t="str">
        <f t="shared" si="269"/>
        <v/>
      </c>
      <c r="AM801" s="5" t="str">
        <f t="shared" si="270"/>
        <v/>
      </c>
      <c r="AN801" s="5" t="str">
        <f t="shared" si="271"/>
        <v/>
      </c>
      <c r="AO801" s="5" t="str">
        <f t="shared" si="272"/>
        <v/>
      </c>
      <c r="AP801" s="5" t="str">
        <f t="shared" si="273"/>
        <v/>
      </c>
      <c r="AQ801" s="5" t="str">
        <f t="shared" si="274"/>
        <v/>
      </c>
      <c r="AR801" s="5" t="str">
        <f t="shared" si="275"/>
        <v/>
      </c>
      <c r="AS801" s="5" t="str">
        <f t="shared" si="276"/>
        <v/>
      </c>
      <c r="AT801" s="5" t="str">
        <f t="shared" si="277"/>
        <v/>
      </c>
      <c r="AU801" s="5" t="str">
        <f t="shared" si="278"/>
        <v/>
      </c>
      <c r="AV801" s="5" t="str">
        <f t="shared" si="279"/>
        <v/>
      </c>
      <c r="AW801" s="5" t="str">
        <f t="shared" si="280"/>
        <v/>
      </c>
      <c r="AX801" s="5" t="str">
        <f t="shared" si="281"/>
        <v/>
      </c>
      <c r="AY801" s="5" t="str">
        <f t="shared" si="282"/>
        <v/>
      </c>
      <c r="AZ801" s="5" t="str">
        <f t="shared" si="283"/>
        <v/>
      </c>
      <c r="BA801" s="5" t="str">
        <f t="shared" si="284"/>
        <v/>
      </c>
      <c r="BB801" s="5" t="str">
        <f t="shared" si="285"/>
        <v/>
      </c>
    </row>
    <row r="802" spans="1:54" s="5" customFormat="1" hidden="1">
      <c r="A802" s="8" t="str">
        <f>IF(INDEX(FORM!$A:$A,ROW())="","",ROW()-1)</f>
        <v/>
      </c>
      <c r="B802" s="41" t="str">
        <f>IF($A802="","",INDEX(FORM!$A:$A,ROW()))</f>
        <v/>
      </c>
      <c r="C802" s="8" t="str">
        <f>IF($A802="","",TRIM(INDEX(FORM!$B:$B,ROW())))</f>
        <v/>
      </c>
      <c r="D802" s="8" t="str">
        <f>IF($A802="","",TRIM(INDEX(FORM!$C:$C,ROW())&amp;""))</f>
        <v/>
      </c>
      <c r="E802" s="8" t="str">
        <f>IF($A802="","",UPPER(TRIM(INDEX(FORM!$D:$D,ROW()))))</f>
        <v/>
      </c>
      <c r="F802" s="8" t="str">
        <f>IF($A802="","",IFERROR(INDEX(PROGRES!$A$2:$A$92,MATCH(E802,PROGRES!$B$2:$B$92,0)),"-"))</f>
        <v/>
      </c>
      <c r="G802" s="8" t="str">
        <f>IF($A802="","",UPPER(TRIM(INDEX(FORM!$F:$F,ROW()))))</f>
        <v/>
      </c>
      <c r="H802" s="8" t="str">
        <f>IF($A802="","",UPPER(TRIM(INDEX(FORM!$E:$E,ROW()))))</f>
        <v/>
      </c>
      <c r="I802" s="8" t="str">
        <f>IF($A802="","",UPPER(TRIM(INDEX(FORM!$G:$G,ROW()))))</f>
        <v/>
      </c>
      <c r="J802" s="8" t="str">
        <f>IF($A802="","",IF(ISNUMBER(SEARCH("Ya,",INDEX(FORM!$H:$H,ROW()))),"YA",IF(ISNUMBER(SEARCH("Cukup,",INDEX(FORM!$H:$H,ROW()))),"CUKUP",IF(ISNUMBER(SEARCH("Kurang,",INDEX(FORM!$H:$H,ROW()))),"KURANG",""))))</f>
        <v/>
      </c>
      <c r="K802" s="8" t="str">
        <f>IF($A802="","",UPPER(TRIM(INDEX(FORM!$J:$J,ROW()))))</f>
        <v/>
      </c>
      <c r="L802" s="8" t="str">
        <f>IF($A802="","",IF(ISNUMBER(SEARCH("Aktivitas Harian",INDEX(FORM!$K:$K,ROW()))),1,0))</f>
        <v/>
      </c>
      <c r="M802" s="8" t="str">
        <f>IF($A802="","",IF(ISNUMBER(SEARCH("Aktivitas Mingguan",INDEX(FORM!$K:$K,ROW()))),1,0))</f>
        <v/>
      </c>
      <c r="N802" s="8" t="str">
        <f>IF($A802="","",IF(ISNUMBER(SEARCH("Aktivitas Bulanan",INDEX(FORM!$K:$K,ROW()))),1,0))</f>
        <v/>
      </c>
      <c r="O802" s="8" t="str">
        <f>IF($A802="","",IF(ISNUMBER(SEARCH("Overview Cabang",INDEX(FORM!$K:$K,ROW()))),1,0))</f>
        <v/>
      </c>
      <c r="P802" s="8" t="str">
        <f>IF($A802="","",IFERROR(VLOOKUP(I802,DATA!$AH$9:$AI$13,2,0),""))</f>
        <v/>
      </c>
      <c r="Q802" s="8" t="str">
        <f>IF($A802="","",IFERROR(VLOOKUP(J802,DATA!$AH$9:$AI$13,2,0),""))</f>
        <v/>
      </c>
      <c r="R802" s="8" t="str">
        <f>IF($A802="","",IFERROR(VLOOKUP(K802,DATA!$AH$9:$AI$13,2,0),""))</f>
        <v/>
      </c>
      <c r="S802" s="42" t="str">
        <f t="shared" si="264"/>
        <v/>
      </c>
      <c r="T802" s="8" t="str">
        <f>IF($A802="","",IF(COUNTIF($D$2:D802,D802)=1,1,0))</f>
        <v/>
      </c>
      <c r="U802" s="8" t="str">
        <f>IF($A802="","",IF(F802="-","Cabang tdk ada",IF(IFERROR(VLOOKUP(G802,#REF!,1,0),"")="","",IF(INDEX(DATA!$AH$2:$AH$5,MATCH(G802,DATA!$AI$2:$AI$5,0))&lt;&gt;F802,"Wilayah beda","OK"))))</f>
        <v/>
      </c>
      <c r="V802" s="8" t="str">
        <f>IF($A802="","",TRIM(INDEX(FORM!$I:$I,ROW())&amp;""))</f>
        <v/>
      </c>
      <c r="W802" s="8" t="str">
        <f>IF($A802="","",TRIM(INDEX(FORM!$L:$L,ROW())&amp;""))</f>
        <v/>
      </c>
      <c r="X802" s="8" t="str">
        <f>IF($A802="","",TRIM(INDEX(FORM!$M:$M,ROW())&amp;""))</f>
        <v/>
      </c>
      <c r="Y802" s="8" t="str">
        <f>IF($A802="","",IFERROR(MATCH(F802,DATA!$AH$2:$AH$5,0),9)*10000+A802)</f>
        <v/>
      </c>
      <c r="Z802" s="8" t="str">
        <f t="shared" si="265"/>
        <v/>
      </c>
      <c r="AA802" s="8" t="str">
        <f t="shared" si="266"/>
        <v/>
      </c>
      <c r="AB802" s="8" t="str">
        <f t="shared" si="267"/>
        <v/>
      </c>
      <c r="AC802" s="8"/>
      <c r="AD802" s="8"/>
      <c r="AE802" s="8"/>
      <c r="AK802" s="5" t="str">
        <f t="shared" si="268"/>
        <v/>
      </c>
      <c r="AL802" s="5" t="str">
        <f t="shared" si="269"/>
        <v/>
      </c>
      <c r="AM802" s="5" t="str">
        <f t="shared" si="270"/>
        <v/>
      </c>
      <c r="AN802" s="5" t="str">
        <f t="shared" si="271"/>
        <v/>
      </c>
      <c r="AO802" s="5" t="str">
        <f t="shared" si="272"/>
        <v/>
      </c>
      <c r="AP802" s="5" t="str">
        <f t="shared" si="273"/>
        <v/>
      </c>
      <c r="AQ802" s="5" t="str">
        <f t="shared" si="274"/>
        <v/>
      </c>
      <c r="AR802" s="5" t="str">
        <f t="shared" si="275"/>
        <v/>
      </c>
      <c r="AS802" s="5" t="str">
        <f t="shared" si="276"/>
        <v/>
      </c>
      <c r="AT802" s="5" t="str">
        <f t="shared" si="277"/>
        <v/>
      </c>
      <c r="AU802" s="5" t="str">
        <f t="shared" si="278"/>
        <v/>
      </c>
      <c r="AV802" s="5" t="str">
        <f t="shared" si="279"/>
        <v/>
      </c>
      <c r="AW802" s="5" t="str">
        <f t="shared" si="280"/>
        <v/>
      </c>
      <c r="AX802" s="5" t="str">
        <f t="shared" si="281"/>
        <v/>
      </c>
      <c r="AY802" s="5" t="str">
        <f t="shared" si="282"/>
        <v/>
      </c>
      <c r="AZ802" s="5" t="str">
        <f t="shared" si="283"/>
        <v/>
      </c>
      <c r="BA802" s="5" t="str">
        <f t="shared" si="284"/>
        <v/>
      </c>
      <c r="BB802" s="5" t="str">
        <f t="shared" si="285"/>
        <v/>
      </c>
    </row>
    <row r="803" spans="1:54" s="5" customFormat="1" hidden="1">
      <c r="A803" s="8" t="str">
        <f>IF(INDEX(FORM!$A:$A,ROW())="","",ROW()-1)</f>
        <v/>
      </c>
      <c r="B803" s="41" t="str">
        <f>IF($A803="","",INDEX(FORM!$A:$A,ROW()))</f>
        <v/>
      </c>
      <c r="C803" s="8" t="str">
        <f>IF($A803="","",TRIM(INDEX(FORM!$B:$B,ROW())))</f>
        <v/>
      </c>
      <c r="D803" s="8" t="str">
        <f>IF($A803="","",TRIM(INDEX(FORM!$C:$C,ROW())&amp;""))</f>
        <v/>
      </c>
      <c r="E803" s="8" t="str">
        <f>IF($A803="","",UPPER(TRIM(INDEX(FORM!$D:$D,ROW()))))</f>
        <v/>
      </c>
      <c r="F803" s="8" t="str">
        <f>IF($A803="","",IFERROR(INDEX(PROGRES!$A$2:$A$92,MATCH(E803,PROGRES!$B$2:$B$92,0)),"-"))</f>
        <v/>
      </c>
      <c r="G803" s="8" t="str">
        <f>IF($A803="","",UPPER(TRIM(INDEX(FORM!$F:$F,ROW()))))</f>
        <v/>
      </c>
      <c r="H803" s="8" t="str">
        <f>IF($A803="","",UPPER(TRIM(INDEX(FORM!$E:$E,ROW()))))</f>
        <v/>
      </c>
      <c r="I803" s="8" t="str">
        <f>IF($A803="","",UPPER(TRIM(INDEX(FORM!$G:$G,ROW()))))</f>
        <v/>
      </c>
      <c r="J803" s="8" t="str">
        <f>IF($A803="","",IF(ISNUMBER(SEARCH("Ya,",INDEX(FORM!$H:$H,ROW()))),"YA",IF(ISNUMBER(SEARCH("Cukup,",INDEX(FORM!$H:$H,ROW()))),"CUKUP",IF(ISNUMBER(SEARCH("Kurang,",INDEX(FORM!$H:$H,ROW()))),"KURANG",""))))</f>
        <v/>
      </c>
      <c r="K803" s="8" t="str">
        <f>IF($A803="","",UPPER(TRIM(INDEX(FORM!$J:$J,ROW()))))</f>
        <v/>
      </c>
      <c r="L803" s="8" t="str">
        <f>IF($A803="","",IF(ISNUMBER(SEARCH("Aktivitas Harian",INDEX(FORM!$K:$K,ROW()))),1,0))</f>
        <v/>
      </c>
      <c r="M803" s="8" t="str">
        <f>IF($A803="","",IF(ISNUMBER(SEARCH("Aktivitas Mingguan",INDEX(FORM!$K:$K,ROW()))),1,0))</f>
        <v/>
      </c>
      <c r="N803" s="8" t="str">
        <f>IF($A803="","",IF(ISNUMBER(SEARCH("Aktivitas Bulanan",INDEX(FORM!$K:$K,ROW()))),1,0))</f>
        <v/>
      </c>
      <c r="O803" s="8" t="str">
        <f>IF($A803="","",IF(ISNUMBER(SEARCH("Overview Cabang",INDEX(FORM!$K:$K,ROW()))),1,0))</f>
        <v/>
      </c>
      <c r="P803" s="8" t="str">
        <f>IF($A803="","",IFERROR(VLOOKUP(I803,DATA!$AH$9:$AI$13,2,0),""))</f>
        <v/>
      </c>
      <c r="Q803" s="8" t="str">
        <f>IF($A803="","",IFERROR(VLOOKUP(J803,DATA!$AH$9:$AI$13,2,0),""))</f>
        <v/>
      </c>
      <c r="R803" s="8" t="str">
        <f>IF($A803="","",IFERROR(VLOOKUP(K803,DATA!$AH$9:$AI$13,2,0),""))</f>
        <v/>
      </c>
      <c r="S803" s="42" t="str">
        <f t="shared" si="264"/>
        <v/>
      </c>
      <c r="T803" s="8" t="str">
        <f>IF($A803="","",IF(COUNTIF($D$2:D803,D803)=1,1,0))</f>
        <v/>
      </c>
      <c r="U803" s="8" t="str">
        <f>IF($A803="","",IF(F803="-","Cabang tdk ada",IF(IFERROR(VLOOKUP(G803,#REF!,1,0),"")="","",IF(INDEX(DATA!$AH$2:$AH$5,MATCH(G803,DATA!$AI$2:$AI$5,0))&lt;&gt;F803,"Wilayah beda","OK"))))</f>
        <v/>
      </c>
      <c r="V803" s="8" t="str">
        <f>IF($A803="","",TRIM(INDEX(FORM!$I:$I,ROW())&amp;""))</f>
        <v/>
      </c>
      <c r="W803" s="8" t="str">
        <f>IF($A803="","",TRIM(INDEX(FORM!$L:$L,ROW())&amp;""))</f>
        <v/>
      </c>
      <c r="X803" s="8" t="str">
        <f>IF($A803="","",TRIM(INDEX(FORM!$M:$M,ROW())&amp;""))</f>
        <v/>
      </c>
      <c r="Y803" s="8" t="str">
        <f>IF($A803="","",IFERROR(MATCH(F803,DATA!$AH$2:$AH$5,0),9)*10000+A803)</f>
        <v/>
      </c>
      <c r="Z803" s="8" t="str">
        <f t="shared" si="265"/>
        <v/>
      </c>
      <c r="AA803" s="8" t="str">
        <f t="shared" si="266"/>
        <v/>
      </c>
      <c r="AB803" s="8" t="str">
        <f t="shared" si="267"/>
        <v/>
      </c>
      <c r="AC803" s="8"/>
      <c r="AD803" s="8"/>
      <c r="AE803" s="8"/>
      <c r="AK803" s="5" t="str">
        <f t="shared" si="268"/>
        <v/>
      </c>
      <c r="AL803" s="5" t="str">
        <f t="shared" si="269"/>
        <v/>
      </c>
      <c r="AM803" s="5" t="str">
        <f t="shared" si="270"/>
        <v/>
      </c>
      <c r="AN803" s="5" t="str">
        <f t="shared" si="271"/>
        <v/>
      </c>
      <c r="AO803" s="5" t="str">
        <f t="shared" si="272"/>
        <v/>
      </c>
      <c r="AP803" s="5" t="str">
        <f t="shared" si="273"/>
        <v/>
      </c>
      <c r="AQ803" s="5" t="str">
        <f t="shared" si="274"/>
        <v/>
      </c>
      <c r="AR803" s="5" t="str">
        <f t="shared" si="275"/>
        <v/>
      </c>
      <c r="AS803" s="5" t="str">
        <f t="shared" si="276"/>
        <v/>
      </c>
      <c r="AT803" s="5" t="str">
        <f t="shared" si="277"/>
        <v/>
      </c>
      <c r="AU803" s="5" t="str">
        <f t="shared" si="278"/>
        <v/>
      </c>
      <c r="AV803" s="5" t="str">
        <f t="shared" si="279"/>
        <v/>
      </c>
      <c r="AW803" s="5" t="str">
        <f t="shared" si="280"/>
        <v/>
      </c>
      <c r="AX803" s="5" t="str">
        <f t="shared" si="281"/>
        <v/>
      </c>
      <c r="AY803" s="5" t="str">
        <f t="shared" si="282"/>
        <v/>
      </c>
      <c r="AZ803" s="5" t="str">
        <f t="shared" si="283"/>
        <v/>
      </c>
      <c r="BA803" s="5" t="str">
        <f t="shared" si="284"/>
        <v/>
      </c>
      <c r="BB803" s="5" t="str">
        <f t="shared" si="285"/>
        <v/>
      </c>
    </row>
    <row r="804" spans="1:54" s="5" customFormat="1" hidden="1">
      <c r="A804" s="8" t="str">
        <f>IF(INDEX(FORM!$A:$A,ROW())="","",ROW()-1)</f>
        <v/>
      </c>
      <c r="B804" s="41" t="str">
        <f>IF($A804="","",INDEX(FORM!$A:$A,ROW()))</f>
        <v/>
      </c>
      <c r="C804" s="8" t="str">
        <f>IF($A804="","",TRIM(INDEX(FORM!$B:$B,ROW())))</f>
        <v/>
      </c>
      <c r="D804" s="8" t="str">
        <f>IF($A804="","",TRIM(INDEX(FORM!$C:$C,ROW())&amp;""))</f>
        <v/>
      </c>
      <c r="E804" s="8" t="str">
        <f>IF($A804="","",UPPER(TRIM(INDEX(FORM!$D:$D,ROW()))))</f>
        <v/>
      </c>
      <c r="F804" s="8" t="str">
        <f>IF($A804="","",IFERROR(INDEX(PROGRES!$A$2:$A$92,MATCH(E804,PROGRES!$B$2:$B$92,0)),"-"))</f>
        <v/>
      </c>
      <c r="G804" s="8" t="str">
        <f>IF($A804="","",UPPER(TRIM(INDEX(FORM!$F:$F,ROW()))))</f>
        <v/>
      </c>
      <c r="H804" s="8" t="str">
        <f>IF($A804="","",UPPER(TRIM(INDEX(FORM!$E:$E,ROW()))))</f>
        <v/>
      </c>
      <c r="I804" s="8" t="str">
        <f>IF($A804="","",UPPER(TRIM(INDEX(FORM!$G:$G,ROW()))))</f>
        <v/>
      </c>
      <c r="J804" s="8" t="str">
        <f>IF($A804="","",IF(ISNUMBER(SEARCH("Ya,",INDEX(FORM!$H:$H,ROW()))),"YA",IF(ISNUMBER(SEARCH("Cukup,",INDEX(FORM!$H:$H,ROW()))),"CUKUP",IF(ISNUMBER(SEARCH("Kurang,",INDEX(FORM!$H:$H,ROW()))),"KURANG",""))))</f>
        <v/>
      </c>
      <c r="K804" s="8" t="str">
        <f>IF($A804="","",UPPER(TRIM(INDEX(FORM!$J:$J,ROW()))))</f>
        <v/>
      </c>
      <c r="L804" s="8" t="str">
        <f>IF($A804="","",IF(ISNUMBER(SEARCH("Aktivitas Harian",INDEX(FORM!$K:$K,ROW()))),1,0))</f>
        <v/>
      </c>
      <c r="M804" s="8" t="str">
        <f>IF($A804="","",IF(ISNUMBER(SEARCH("Aktivitas Mingguan",INDEX(FORM!$K:$K,ROW()))),1,0))</f>
        <v/>
      </c>
      <c r="N804" s="8" t="str">
        <f>IF($A804="","",IF(ISNUMBER(SEARCH("Aktivitas Bulanan",INDEX(FORM!$K:$K,ROW()))),1,0))</f>
        <v/>
      </c>
      <c r="O804" s="8" t="str">
        <f>IF($A804="","",IF(ISNUMBER(SEARCH("Overview Cabang",INDEX(FORM!$K:$K,ROW()))),1,0))</f>
        <v/>
      </c>
      <c r="P804" s="8" t="str">
        <f>IF($A804="","",IFERROR(VLOOKUP(I804,DATA!$AH$9:$AI$13,2,0),""))</f>
        <v/>
      </c>
      <c r="Q804" s="8" t="str">
        <f>IF($A804="","",IFERROR(VLOOKUP(J804,DATA!$AH$9:$AI$13,2,0),""))</f>
        <v/>
      </c>
      <c r="R804" s="8" t="str">
        <f>IF($A804="","",IFERROR(VLOOKUP(K804,DATA!$AH$9:$AI$13,2,0),""))</f>
        <v/>
      </c>
      <c r="S804" s="42" t="str">
        <f t="shared" si="264"/>
        <v/>
      </c>
      <c r="T804" s="8" t="str">
        <f>IF($A804="","",IF(COUNTIF($D$2:D804,D804)=1,1,0))</f>
        <v/>
      </c>
      <c r="U804" s="8" t="str">
        <f>IF($A804="","",IF(F804="-","Cabang tdk ada",IF(IFERROR(VLOOKUP(G804,#REF!,1,0),"")="","",IF(INDEX(DATA!$AH$2:$AH$5,MATCH(G804,DATA!$AI$2:$AI$5,0))&lt;&gt;F804,"Wilayah beda","OK"))))</f>
        <v/>
      </c>
      <c r="V804" s="8" t="str">
        <f>IF($A804="","",TRIM(INDEX(FORM!$I:$I,ROW())&amp;""))</f>
        <v/>
      </c>
      <c r="W804" s="8" t="str">
        <f>IF($A804="","",TRIM(INDEX(FORM!$L:$L,ROW())&amp;""))</f>
        <v/>
      </c>
      <c r="X804" s="8" t="str">
        <f>IF($A804="","",TRIM(INDEX(FORM!$M:$M,ROW())&amp;""))</f>
        <v/>
      </c>
      <c r="Y804" s="8" t="str">
        <f>IF($A804="","",IFERROR(MATCH(F804,DATA!$AH$2:$AH$5,0),9)*10000+A804)</f>
        <v/>
      </c>
      <c r="Z804" s="8" t="str">
        <f t="shared" si="265"/>
        <v/>
      </c>
      <c r="AA804" s="8" t="str">
        <f t="shared" si="266"/>
        <v/>
      </c>
      <c r="AB804" s="8" t="str">
        <f t="shared" si="267"/>
        <v/>
      </c>
      <c r="AC804" s="8"/>
      <c r="AD804" s="8"/>
      <c r="AE804" s="8"/>
      <c r="AK804" s="5" t="str">
        <f t="shared" si="268"/>
        <v/>
      </c>
      <c r="AL804" s="5" t="str">
        <f t="shared" si="269"/>
        <v/>
      </c>
      <c r="AM804" s="5" t="str">
        <f t="shared" si="270"/>
        <v/>
      </c>
      <c r="AN804" s="5" t="str">
        <f t="shared" si="271"/>
        <v/>
      </c>
      <c r="AO804" s="5" t="str">
        <f t="shared" si="272"/>
        <v/>
      </c>
      <c r="AP804" s="5" t="str">
        <f t="shared" si="273"/>
        <v/>
      </c>
      <c r="AQ804" s="5" t="str">
        <f t="shared" si="274"/>
        <v/>
      </c>
      <c r="AR804" s="5" t="str">
        <f t="shared" si="275"/>
        <v/>
      </c>
      <c r="AS804" s="5" t="str">
        <f t="shared" si="276"/>
        <v/>
      </c>
      <c r="AT804" s="5" t="str">
        <f t="shared" si="277"/>
        <v/>
      </c>
      <c r="AU804" s="5" t="str">
        <f t="shared" si="278"/>
        <v/>
      </c>
      <c r="AV804" s="5" t="str">
        <f t="shared" si="279"/>
        <v/>
      </c>
      <c r="AW804" s="5" t="str">
        <f t="shared" si="280"/>
        <v/>
      </c>
      <c r="AX804" s="5" t="str">
        <f t="shared" si="281"/>
        <v/>
      </c>
      <c r="AY804" s="5" t="str">
        <f t="shared" si="282"/>
        <v/>
      </c>
      <c r="AZ804" s="5" t="str">
        <f t="shared" si="283"/>
        <v/>
      </c>
      <c r="BA804" s="5" t="str">
        <f t="shared" si="284"/>
        <v/>
      </c>
      <c r="BB804" s="5" t="str">
        <f t="shared" si="285"/>
        <v/>
      </c>
    </row>
    <row r="805" spans="1:54" s="5" customFormat="1" hidden="1">
      <c r="A805" s="8" t="str">
        <f>IF(INDEX(FORM!$A:$A,ROW())="","",ROW()-1)</f>
        <v/>
      </c>
      <c r="B805" s="41" t="str">
        <f>IF($A805="","",INDEX(FORM!$A:$A,ROW()))</f>
        <v/>
      </c>
      <c r="C805" s="8" t="str">
        <f>IF($A805="","",TRIM(INDEX(FORM!$B:$B,ROW())))</f>
        <v/>
      </c>
      <c r="D805" s="8" t="str">
        <f>IF($A805="","",TRIM(INDEX(FORM!$C:$C,ROW())&amp;""))</f>
        <v/>
      </c>
      <c r="E805" s="8" t="str">
        <f>IF($A805="","",UPPER(TRIM(INDEX(FORM!$D:$D,ROW()))))</f>
        <v/>
      </c>
      <c r="F805" s="8" t="str">
        <f>IF($A805="","",IFERROR(INDEX(PROGRES!$A$2:$A$92,MATCH(E805,PROGRES!$B$2:$B$92,0)),"-"))</f>
        <v/>
      </c>
      <c r="G805" s="8" t="str">
        <f>IF($A805="","",UPPER(TRIM(INDEX(FORM!$F:$F,ROW()))))</f>
        <v/>
      </c>
      <c r="H805" s="8" t="str">
        <f>IF($A805="","",UPPER(TRIM(INDEX(FORM!$E:$E,ROW()))))</f>
        <v/>
      </c>
      <c r="I805" s="8" t="str">
        <f>IF($A805="","",UPPER(TRIM(INDEX(FORM!$G:$G,ROW()))))</f>
        <v/>
      </c>
      <c r="J805" s="8" t="str">
        <f>IF($A805="","",IF(ISNUMBER(SEARCH("Ya,",INDEX(FORM!$H:$H,ROW()))),"YA",IF(ISNUMBER(SEARCH("Cukup,",INDEX(FORM!$H:$H,ROW()))),"CUKUP",IF(ISNUMBER(SEARCH("Kurang,",INDEX(FORM!$H:$H,ROW()))),"KURANG",""))))</f>
        <v/>
      </c>
      <c r="K805" s="8" t="str">
        <f>IF($A805="","",UPPER(TRIM(INDEX(FORM!$J:$J,ROW()))))</f>
        <v/>
      </c>
      <c r="L805" s="8" t="str">
        <f>IF($A805="","",IF(ISNUMBER(SEARCH("Aktivitas Harian",INDEX(FORM!$K:$K,ROW()))),1,0))</f>
        <v/>
      </c>
      <c r="M805" s="8" t="str">
        <f>IF($A805="","",IF(ISNUMBER(SEARCH("Aktivitas Mingguan",INDEX(FORM!$K:$K,ROW()))),1,0))</f>
        <v/>
      </c>
      <c r="N805" s="8" t="str">
        <f>IF($A805="","",IF(ISNUMBER(SEARCH("Aktivitas Bulanan",INDEX(FORM!$K:$K,ROW()))),1,0))</f>
        <v/>
      </c>
      <c r="O805" s="8" t="str">
        <f>IF($A805="","",IF(ISNUMBER(SEARCH("Overview Cabang",INDEX(FORM!$K:$K,ROW()))),1,0))</f>
        <v/>
      </c>
      <c r="P805" s="8" t="str">
        <f>IF($A805="","",IFERROR(VLOOKUP(I805,DATA!$AH$9:$AI$13,2,0),""))</f>
        <v/>
      </c>
      <c r="Q805" s="8" t="str">
        <f>IF($A805="","",IFERROR(VLOOKUP(J805,DATA!$AH$9:$AI$13,2,0),""))</f>
        <v/>
      </c>
      <c r="R805" s="8" t="str">
        <f>IF($A805="","",IFERROR(VLOOKUP(K805,DATA!$AH$9:$AI$13,2,0),""))</f>
        <v/>
      </c>
      <c r="S805" s="42" t="str">
        <f t="shared" si="264"/>
        <v/>
      </c>
      <c r="T805" s="8" t="str">
        <f>IF($A805="","",IF(COUNTIF($D$2:D805,D805)=1,1,0))</f>
        <v/>
      </c>
      <c r="U805" s="8" t="str">
        <f>IF($A805="","",IF(F805="-","Cabang tdk ada",IF(IFERROR(VLOOKUP(G805,#REF!,1,0),"")="","",IF(INDEX(DATA!$AH$2:$AH$5,MATCH(G805,DATA!$AI$2:$AI$5,0))&lt;&gt;F805,"Wilayah beda","OK"))))</f>
        <v/>
      </c>
      <c r="V805" s="8" t="str">
        <f>IF($A805="","",TRIM(INDEX(FORM!$I:$I,ROW())&amp;""))</f>
        <v/>
      </c>
      <c r="W805" s="8" t="str">
        <f>IF($A805="","",TRIM(INDEX(FORM!$L:$L,ROW())&amp;""))</f>
        <v/>
      </c>
      <c r="X805" s="8" t="str">
        <f>IF($A805="","",TRIM(INDEX(FORM!$M:$M,ROW())&amp;""))</f>
        <v/>
      </c>
      <c r="Y805" s="8" t="str">
        <f>IF($A805="","",IFERROR(MATCH(F805,DATA!$AH$2:$AH$5,0),9)*10000+A805)</f>
        <v/>
      </c>
      <c r="Z805" s="8" t="str">
        <f t="shared" si="265"/>
        <v/>
      </c>
      <c r="AA805" s="8" t="str">
        <f t="shared" si="266"/>
        <v/>
      </c>
      <c r="AB805" s="8" t="str">
        <f t="shared" si="267"/>
        <v/>
      </c>
      <c r="AC805" s="8"/>
      <c r="AD805" s="8"/>
      <c r="AE805" s="8"/>
      <c r="AK805" s="5" t="str">
        <f t="shared" si="268"/>
        <v/>
      </c>
      <c r="AL805" s="5" t="str">
        <f t="shared" si="269"/>
        <v/>
      </c>
      <c r="AM805" s="5" t="str">
        <f t="shared" si="270"/>
        <v/>
      </c>
      <c r="AN805" s="5" t="str">
        <f t="shared" si="271"/>
        <v/>
      </c>
      <c r="AO805" s="5" t="str">
        <f t="shared" si="272"/>
        <v/>
      </c>
      <c r="AP805" s="5" t="str">
        <f t="shared" si="273"/>
        <v/>
      </c>
      <c r="AQ805" s="5" t="str">
        <f t="shared" si="274"/>
        <v/>
      </c>
      <c r="AR805" s="5" t="str">
        <f t="shared" si="275"/>
        <v/>
      </c>
      <c r="AS805" s="5" t="str">
        <f t="shared" si="276"/>
        <v/>
      </c>
      <c r="AT805" s="5" t="str">
        <f t="shared" si="277"/>
        <v/>
      </c>
      <c r="AU805" s="5" t="str">
        <f t="shared" si="278"/>
        <v/>
      </c>
      <c r="AV805" s="5" t="str">
        <f t="shared" si="279"/>
        <v/>
      </c>
      <c r="AW805" s="5" t="str">
        <f t="shared" si="280"/>
        <v/>
      </c>
      <c r="AX805" s="5" t="str">
        <f t="shared" si="281"/>
        <v/>
      </c>
      <c r="AY805" s="5" t="str">
        <f t="shared" si="282"/>
        <v/>
      </c>
      <c r="AZ805" s="5" t="str">
        <f t="shared" si="283"/>
        <v/>
      </c>
      <c r="BA805" s="5" t="str">
        <f t="shared" si="284"/>
        <v/>
      </c>
      <c r="BB805" s="5" t="str">
        <f t="shared" si="285"/>
        <v/>
      </c>
    </row>
    <row r="806" spans="1:54" s="5" customFormat="1" hidden="1">
      <c r="A806" s="8" t="str">
        <f>IF(INDEX(FORM!$A:$A,ROW())="","",ROW()-1)</f>
        <v/>
      </c>
      <c r="B806" s="41" t="str">
        <f>IF($A806="","",INDEX(FORM!$A:$A,ROW()))</f>
        <v/>
      </c>
      <c r="C806" s="8" t="str">
        <f>IF($A806="","",TRIM(INDEX(FORM!$B:$B,ROW())))</f>
        <v/>
      </c>
      <c r="D806" s="8" t="str">
        <f>IF($A806="","",TRIM(INDEX(FORM!$C:$C,ROW())&amp;""))</f>
        <v/>
      </c>
      <c r="E806" s="8" t="str">
        <f>IF($A806="","",UPPER(TRIM(INDEX(FORM!$D:$D,ROW()))))</f>
        <v/>
      </c>
      <c r="F806" s="8" t="str">
        <f>IF($A806="","",IFERROR(INDEX(PROGRES!$A$2:$A$92,MATCH(E806,PROGRES!$B$2:$B$92,0)),"-"))</f>
        <v/>
      </c>
      <c r="G806" s="8" t="str">
        <f>IF($A806="","",UPPER(TRIM(INDEX(FORM!$F:$F,ROW()))))</f>
        <v/>
      </c>
      <c r="H806" s="8" t="str">
        <f>IF($A806="","",UPPER(TRIM(INDEX(FORM!$E:$E,ROW()))))</f>
        <v/>
      </c>
      <c r="I806" s="8" t="str">
        <f>IF($A806="","",UPPER(TRIM(INDEX(FORM!$G:$G,ROW()))))</f>
        <v/>
      </c>
      <c r="J806" s="8" t="str">
        <f>IF($A806="","",IF(ISNUMBER(SEARCH("Ya,",INDEX(FORM!$H:$H,ROW()))),"YA",IF(ISNUMBER(SEARCH("Cukup,",INDEX(FORM!$H:$H,ROW()))),"CUKUP",IF(ISNUMBER(SEARCH("Kurang,",INDEX(FORM!$H:$H,ROW()))),"KURANG",""))))</f>
        <v/>
      </c>
      <c r="K806" s="8" t="str">
        <f>IF($A806="","",UPPER(TRIM(INDEX(FORM!$J:$J,ROW()))))</f>
        <v/>
      </c>
      <c r="L806" s="8" t="str">
        <f>IF($A806="","",IF(ISNUMBER(SEARCH("Aktivitas Harian",INDEX(FORM!$K:$K,ROW()))),1,0))</f>
        <v/>
      </c>
      <c r="M806" s="8" t="str">
        <f>IF($A806="","",IF(ISNUMBER(SEARCH("Aktivitas Mingguan",INDEX(FORM!$K:$K,ROW()))),1,0))</f>
        <v/>
      </c>
      <c r="N806" s="8" t="str">
        <f>IF($A806="","",IF(ISNUMBER(SEARCH("Aktivitas Bulanan",INDEX(FORM!$K:$K,ROW()))),1,0))</f>
        <v/>
      </c>
      <c r="O806" s="8" t="str">
        <f>IF($A806="","",IF(ISNUMBER(SEARCH("Overview Cabang",INDEX(FORM!$K:$K,ROW()))),1,0))</f>
        <v/>
      </c>
      <c r="P806" s="8" t="str">
        <f>IF($A806="","",IFERROR(VLOOKUP(I806,DATA!$AH$9:$AI$13,2,0),""))</f>
        <v/>
      </c>
      <c r="Q806" s="8" t="str">
        <f>IF($A806="","",IFERROR(VLOOKUP(J806,DATA!$AH$9:$AI$13,2,0),""))</f>
        <v/>
      </c>
      <c r="R806" s="8" t="str">
        <f>IF($A806="","",IFERROR(VLOOKUP(K806,DATA!$AH$9:$AI$13,2,0),""))</f>
        <v/>
      </c>
      <c r="S806" s="42" t="str">
        <f t="shared" si="264"/>
        <v/>
      </c>
      <c r="T806" s="8" t="str">
        <f>IF($A806="","",IF(COUNTIF($D$2:D806,D806)=1,1,0))</f>
        <v/>
      </c>
      <c r="U806" s="8" t="str">
        <f>IF($A806="","",IF(F806="-","Cabang tdk ada",IF(IFERROR(VLOOKUP(G806,#REF!,1,0),"")="","",IF(INDEX(DATA!$AH$2:$AH$5,MATCH(G806,DATA!$AI$2:$AI$5,0))&lt;&gt;F806,"Wilayah beda","OK"))))</f>
        <v/>
      </c>
      <c r="V806" s="8" t="str">
        <f>IF($A806="","",TRIM(INDEX(FORM!$I:$I,ROW())&amp;""))</f>
        <v/>
      </c>
      <c r="W806" s="8" t="str">
        <f>IF($A806="","",TRIM(INDEX(FORM!$L:$L,ROW())&amp;""))</f>
        <v/>
      </c>
      <c r="X806" s="8" t="str">
        <f>IF($A806="","",TRIM(INDEX(FORM!$M:$M,ROW())&amp;""))</f>
        <v/>
      </c>
      <c r="Y806" s="8" t="str">
        <f>IF($A806="","",IFERROR(MATCH(F806,DATA!$AH$2:$AH$5,0),9)*10000+A806)</f>
        <v/>
      </c>
      <c r="Z806" s="8" t="str">
        <f t="shared" si="265"/>
        <v/>
      </c>
      <c r="AA806" s="8" t="str">
        <f t="shared" si="266"/>
        <v/>
      </c>
      <c r="AB806" s="8" t="str">
        <f t="shared" si="267"/>
        <v/>
      </c>
      <c r="AC806" s="8"/>
      <c r="AD806" s="8"/>
      <c r="AE806" s="8"/>
      <c r="AK806" s="5" t="str">
        <f t="shared" si="268"/>
        <v/>
      </c>
      <c r="AL806" s="5" t="str">
        <f t="shared" si="269"/>
        <v/>
      </c>
      <c r="AM806" s="5" t="str">
        <f t="shared" si="270"/>
        <v/>
      </c>
      <c r="AN806" s="5" t="str">
        <f t="shared" si="271"/>
        <v/>
      </c>
      <c r="AO806" s="5" t="str">
        <f t="shared" si="272"/>
        <v/>
      </c>
      <c r="AP806" s="5" t="str">
        <f t="shared" si="273"/>
        <v/>
      </c>
      <c r="AQ806" s="5" t="str">
        <f t="shared" si="274"/>
        <v/>
      </c>
      <c r="AR806" s="5" t="str">
        <f t="shared" si="275"/>
        <v/>
      </c>
      <c r="AS806" s="5" t="str">
        <f t="shared" si="276"/>
        <v/>
      </c>
      <c r="AT806" s="5" t="str">
        <f t="shared" si="277"/>
        <v/>
      </c>
      <c r="AU806" s="5" t="str">
        <f t="shared" si="278"/>
        <v/>
      </c>
      <c r="AV806" s="5" t="str">
        <f t="shared" si="279"/>
        <v/>
      </c>
      <c r="AW806" s="5" t="str">
        <f t="shared" si="280"/>
        <v/>
      </c>
      <c r="AX806" s="5" t="str">
        <f t="shared" si="281"/>
        <v/>
      </c>
      <c r="AY806" s="5" t="str">
        <f t="shared" si="282"/>
        <v/>
      </c>
      <c r="AZ806" s="5" t="str">
        <f t="shared" si="283"/>
        <v/>
      </c>
      <c r="BA806" s="5" t="str">
        <f t="shared" si="284"/>
        <v/>
      </c>
      <c r="BB806" s="5" t="str">
        <f t="shared" si="285"/>
        <v/>
      </c>
    </row>
    <row r="807" spans="1:54" s="5" customFormat="1" hidden="1">
      <c r="A807" s="8" t="str">
        <f>IF(INDEX(FORM!$A:$A,ROW())="","",ROW()-1)</f>
        <v/>
      </c>
      <c r="B807" s="41" t="str">
        <f>IF($A807="","",INDEX(FORM!$A:$A,ROW()))</f>
        <v/>
      </c>
      <c r="C807" s="8" t="str">
        <f>IF($A807="","",TRIM(INDEX(FORM!$B:$B,ROW())))</f>
        <v/>
      </c>
      <c r="D807" s="8" t="str">
        <f>IF($A807="","",TRIM(INDEX(FORM!$C:$C,ROW())&amp;""))</f>
        <v/>
      </c>
      <c r="E807" s="8" t="str">
        <f>IF($A807="","",UPPER(TRIM(INDEX(FORM!$D:$D,ROW()))))</f>
        <v/>
      </c>
      <c r="F807" s="8" t="str">
        <f>IF($A807="","",IFERROR(INDEX(PROGRES!$A$2:$A$92,MATCH(E807,PROGRES!$B$2:$B$92,0)),"-"))</f>
        <v/>
      </c>
      <c r="G807" s="8" t="str">
        <f>IF($A807="","",UPPER(TRIM(INDEX(FORM!$F:$F,ROW()))))</f>
        <v/>
      </c>
      <c r="H807" s="8" t="str">
        <f>IF($A807="","",UPPER(TRIM(INDEX(FORM!$E:$E,ROW()))))</f>
        <v/>
      </c>
      <c r="I807" s="8" t="str">
        <f>IF($A807="","",UPPER(TRIM(INDEX(FORM!$G:$G,ROW()))))</f>
        <v/>
      </c>
      <c r="J807" s="8" t="str">
        <f>IF($A807="","",IF(ISNUMBER(SEARCH("Ya,",INDEX(FORM!$H:$H,ROW()))),"YA",IF(ISNUMBER(SEARCH("Cukup,",INDEX(FORM!$H:$H,ROW()))),"CUKUP",IF(ISNUMBER(SEARCH("Kurang,",INDEX(FORM!$H:$H,ROW()))),"KURANG",""))))</f>
        <v/>
      </c>
      <c r="K807" s="8" t="str">
        <f>IF($A807="","",UPPER(TRIM(INDEX(FORM!$J:$J,ROW()))))</f>
        <v/>
      </c>
      <c r="L807" s="8" t="str">
        <f>IF($A807="","",IF(ISNUMBER(SEARCH("Aktivitas Harian",INDEX(FORM!$K:$K,ROW()))),1,0))</f>
        <v/>
      </c>
      <c r="M807" s="8" t="str">
        <f>IF($A807="","",IF(ISNUMBER(SEARCH("Aktivitas Mingguan",INDEX(FORM!$K:$K,ROW()))),1,0))</f>
        <v/>
      </c>
      <c r="N807" s="8" t="str">
        <f>IF($A807="","",IF(ISNUMBER(SEARCH("Aktivitas Bulanan",INDEX(FORM!$K:$K,ROW()))),1,0))</f>
        <v/>
      </c>
      <c r="O807" s="8" t="str">
        <f>IF($A807="","",IF(ISNUMBER(SEARCH("Overview Cabang",INDEX(FORM!$K:$K,ROW()))),1,0))</f>
        <v/>
      </c>
      <c r="P807" s="8" t="str">
        <f>IF($A807="","",IFERROR(VLOOKUP(I807,DATA!$AH$9:$AI$13,2,0),""))</f>
        <v/>
      </c>
      <c r="Q807" s="8" t="str">
        <f>IF($A807="","",IFERROR(VLOOKUP(J807,DATA!$AH$9:$AI$13,2,0),""))</f>
        <v/>
      </c>
      <c r="R807" s="8" t="str">
        <f>IF($A807="","",IFERROR(VLOOKUP(K807,DATA!$AH$9:$AI$13,2,0),""))</f>
        <v/>
      </c>
      <c r="S807" s="42" t="str">
        <f t="shared" si="264"/>
        <v/>
      </c>
      <c r="T807" s="8" t="str">
        <f>IF($A807="","",IF(COUNTIF($D$2:D807,D807)=1,1,0))</f>
        <v/>
      </c>
      <c r="U807" s="8" t="str">
        <f>IF($A807="","",IF(F807="-","Cabang tdk ada",IF(IFERROR(VLOOKUP(G807,#REF!,1,0),"")="","",IF(INDEX(DATA!$AH$2:$AH$5,MATCH(G807,DATA!$AI$2:$AI$5,0))&lt;&gt;F807,"Wilayah beda","OK"))))</f>
        <v/>
      </c>
      <c r="V807" s="8" t="str">
        <f>IF($A807="","",TRIM(INDEX(FORM!$I:$I,ROW())&amp;""))</f>
        <v/>
      </c>
      <c r="W807" s="8" t="str">
        <f>IF($A807="","",TRIM(INDEX(FORM!$L:$L,ROW())&amp;""))</f>
        <v/>
      </c>
      <c r="X807" s="8" t="str">
        <f>IF($A807="","",TRIM(INDEX(FORM!$M:$M,ROW())&amp;""))</f>
        <v/>
      </c>
      <c r="Y807" s="8" t="str">
        <f>IF($A807="","",IFERROR(MATCH(F807,DATA!$AH$2:$AH$5,0),9)*10000+A807)</f>
        <v/>
      </c>
      <c r="Z807" s="8" t="str">
        <f t="shared" si="265"/>
        <v/>
      </c>
      <c r="AA807" s="8" t="str">
        <f t="shared" si="266"/>
        <v/>
      </c>
      <c r="AB807" s="8" t="str">
        <f t="shared" si="267"/>
        <v/>
      </c>
      <c r="AC807" s="8"/>
      <c r="AD807" s="8"/>
      <c r="AE807" s="8"/>
      <c r="AK807" s="5" t="str">
        <f t="shared" si="268"/>
        <v/>
      </c>
      <c r="AL807" s="5" t="str">
        <f t="shared" si="269"/>
        <v/>
      </c>
      <c r="AM807" s="5" t="str">
        <f t="shared" si="270"/>
        <v/>
      </c>
      <c r="AN807" s="5" t="str">
        <f t="shared" si="271"/>
        <v/>
      </c>
      <c r="AO807" s="5" t="str">
        <f t="shared" si="272"/>
        <v/>
      </c>
      <c r="AP807" s="5" t="str">
        <f t="shared" si="273"/>
        <v/>
      </c>
      <c r="AQ807" s="5" t="str">
        <f t="shared" si="274"/>
        <v/>
      </c>
      <c r="AR807" s="5" t="str">
        <f t="shared" si="275"/>
        <v/>
      </c>
      <c r="AS807" s="5" t="str">
        <f t="shared" si="276"/>
        <v/>
      </c>
      <c r="AT807" s="5" t="str">
        <f t="shared" si="277"/>
        <v/>
      </c>
      <c r="AU807" s="5" t="str">
        <f t="shared" si="278"/>
        <v/>
      </c>
      <c r="AV807" s="5" t="str">
        <f t="shared" si="279"/>
        <v/>
      </c>
      <c r="AW807" s="5" t="str">
        <f t="shared" si="280"/>
        <v/>
      </c>
      <c r="AX807" s="5" t="str">
        <f t="shared" si="281"/>
        <v/>
      </c>
      <c r="AY807" s="5" t="str">
        <f t="shared" si="282"/>
        <v/>
      </c>
      <c r="AZ807" s="5" t="str">
        <f t="shared" si="283"/>
        <v/>
      </c>
      <c r="BA807" s="5" t="str">
        <f t="shared" si="284"/>
        <v/>
      </c>
      <c r="BB807" s="5" t="str">
        <f t="shared" si="285"/>
        <v/>
      </c>
    </row>
    <row r="808" spans="1:54" s="5" customFormat="1" hidden="1">
      <c r="A808" s="8" t="str">
        <f>IF(INDEX(FORM!$A:$A,ROW())="","",ROW()-1)</f>
        <v/>
      </c>
      <c r="B808" s="41" t="str">
        <f>IF($A808="","",INDEX(FORM!$A:$A,ROW()))</f>
        <v/>
      </c>
      <c r="C808" s="8" t="str">
        <f>IF($A808="","",TRIM(INDEX(FORM!$B:$B,ROW())))</f>
        <v/>
      </c>
      <c r="D808" s="8" t="str">
        <f>IF($A808="","",TRIM(INDEX(FORM!$C:$C,ROW())&amp;""))</f>
        <v/>
      </c>
      <c r="E808" s="8" t="str">
        <f>IF($A808="","",UPPER(TRIM(INDEX(FORM!$D:$D,ROW()))))</f>
        <v/>
      </c>
      <c r="F808" s="8" t="str">
        <f>IF($A808="","",IFERROR(INDEX(PROGRES!$A$2:$A$92,MATCH(E808,PROGRES!$B$2:$B$92,0)),"-"))</f>
        <v/>
      </c>
      <c r="G808" s="8" t="str">
        <f>IF($A808="","",UPPER(TRIM(INDEX(FORM!$F:$F,ROW()))))</f>
        <v/>
      </c>
      <c r="H808" s="8" t="str">
        <f>IF($A808="","",UPPER(TRIM(INDEX(FORM!$E:$E,ROW()))))</f>
        <v/>
      </c>
      <c r="I808" s="8" t="str">
        <f>IF($A808="","",UPPER(TRIM(INDEX(FORM!$G:$G,ROW()))))</f>
        <v/>
      </c>
      <c r="J808" s="8" t="str">
        <f>IF($A808="","",IF(ISNUMBER(SEARCH("Ya,",INDEX(FORM!$H:$H,ROW()))),"YA",IF(ISNUMBER(SEARCH("Cukup,",INDEX(FORM!$H:$H,ROW()))),"CUKUP",IF(ISNUMBER(SEARCH("Kurang,",INDEX(FORM!$H:$H,ROW()))),"KURANG",""))))</f>
        <v/>
      </c>
      <c r="K808" s="8" t="str">
        <f>IF($A808="","",UPPER(TRIM(INDEX(FORM!$J:$J,ROW()))))</f>
        <v/>
      </c>
      <c r="L808" s="8" t="str">
        <f>IF($A808="","",IF(ISNUMBER(SEARCH("Aktivitas Harian",INDEX(FORM!$K:$K,ROW()))),1,0))</f>
        <v/>
      </c>
      <c r="M808" s="8" t="str">
        <f>IF($A808="","",IF(ISNUMBER(SEARCH("Aktivitas Mingguan",INDEX(FORM!$K:$K,ROW()))),1,0))</f>
        <v/>
      </c>
      <c r="N808" s="8" t="str">
        <f>IF($A808="","",IF(ISNUMBER(SEARCH("Aktivitas Bulanan",INDEX(FORM!$K:$K,ROW()))),1,0))</f>
        <v/>
      </c>
      <c r="O808" s="8" t="str">
        <f>IF($A808="","",IF(ISNUMBER(SEARCH("Overview Cabang",INDEX(FORM!$K:$K,ROW()))),1,0))</f>
        <v/>
      </c>
      <c r="P808" s="8" t="str">
        <f>IF($A808="","",IFERROR(VLOOKUP(I808,DATA!$AH$9:$AI$13,2,0),""))</f>
        <v/>
      </c>
      <c r="Q808" s="8" t="str">
        <f>IF($A808="","",IFERROR(VLOOKUP(J808,DATA!$AH$9:$AI$13,2,0),""))</f>
        <v/>
      </c>
      <c r="R808" s="8" t="str">
        <f>IF($A808="","",IFERROR(VLOOKUP(K808,DATA!$AH$9:$AI$13,2,0),""))</f>
        <v/>
      </c>
      <c r="S808" s="42" t="str">
        <f t="shared" si="264"/>
        <v/>
      </c>
      <c r="T808" s="8" t="str">
        <f>IF($A808="","",IF(COUNTIF($D$2:D808,D808)=1,1,0))</f>
        <v/>
      </c>
      <c r="U808" s="8" t="str">
        <f>IF($A808="","",IF(F808="-","Cabang tdk ada",IF(IFERROR(VLOOKUP(G808,#REF!,1,0),"")="","",IF(INDEX(DATA!$AH$2:$AH$5,MATCH(G808,DATA!$AI$2:$AI$5,0))&lt;&gt;F808,"Wilayah beda","OK"))))</f>
        <v/>
      </c>
      <c r="V808" s="8" t="str">
        <f>IF($A808="","",TRIM(INDEX(FORM!$I:$I,ROW())&amp;""))</f>
        <v/>
      </c>
      <c r="W808" s="8" t="str">
        <f>IF($A808="","",TRIM(INDEX(FORM!$L:$L,ROW())&amp;""))</f>
        <v/>
      </c>
      <c r="X808" s="8" t="str">
        <f>IF($A808="","",TRIM(INDEX(FORM!$M:$M,ROW())&amp;""))</f>
        <v/>
      </c>
      <c r="Y808" s="8" t="str">
        <f>IF($A808="","",IFERROR(MATCH(F808,DATA!$AH$2:$AH$5,0),9)*10000+A808)</f>
        <v/>
      </c>
      <c r="Z808" s="8" t="str">
        <f t="shared" si="265"/>
        <v/>
      </c>
      <c r="AA808" s="8" t="str">
        <f t="shared" si="266"/>
        <v/>
      </c>
      <c r="AB808" s="8" t="str">
        <f t="shared" si="267"/>
        <v/>
      </c>
      <c r="AC808" s="8"/>
      <c r="AD808" s="8"/>
      <c r="AE808" s="8"/>
      <c r="AK808" s="5" t="str">
        <f t="shared" si="268"/>
        <v/>
      </c>
      <c r="AL808" s="5" t="str">
        <f t="shared" si="269"/>
        <v/>
      </c>
      <c r="AM808" s="5" t="str">
        <f t="shared" si="270"/>
        <v/>
      </c>
      <c r="AN808" s="5" t="str">
        <f t="shared" si="271"/>
        <v/>
      </c>
      <c r="AO808" s="5" t="str">
        <f t="shared" si="272"/>
        <v/>
      </c>
      <c r="AP808" s="5" t="str">
        <f t="shared" si="273"/>
        <v/>
      </c>
      <c r="AQ808" s="5" t="str">
        <f t="shared" si="274"/>
        <v/>
      </c>
      <c r="AR808" s="5" t="str">
        <f t="shared" si="275"/>
        <v/>
      </c>
      <c r="AS808" s="5" t="str">
        <f t="shared" si="276"/>
        <v/>
      </c>
      <c r="AT808" s="5" t="str">
        <f t="shared" si="277"/>
        <v/>
      </c>
      <c r="AU808" s="5" t="str">
        <f t="shared" si="278"/>
        <v/>
      </c>
      <c r="AV808" s="5" t="str">
        <f t="shared" si="279"/>
        <v/>
      </c>
      <c r="AW808" s="5" t="str">
        <f t="shared" si="280"/>
        <v/>
      </c>
      <c r="AX808" s="5" t="str">
        <f t="shared" si="281"/>
        <v/>
      </c>
      <c r="AY808" s="5" t="str">
        <f t="shared" si="282"/>
        <v/>
      </c>
      <c r="AZ808" s="5" t="str">
        <f t="shared" si="283"/>
        <v/>
      </c>
      <c r="BA808" s="5" t="str">
        <f t="shared" si="284"/>
        <v/>
      </c>
      <c r="BB808" s="5" t="str">
        <f t="shared" si="285"/>
        <v/>
      </c>
    </row>
    <row r="809" spans="1:54" s="5" customFormat="1" hidden="1">
      <c r="A809" s="8" t="str">
        <f>IF(INDEX(FORM!$A:$A,ROW())="","",ROW()-1)</f>
        <v/>
      </c>
      <c r="B809" s="41" t="str">
        <f>IF($A809="","",INDEX(FORM!$A:$A,ROW()))</f>
        <v/>
      </c>
      <c r="C809" s="8" t="str">
        <f>IF($A809="","",TRIM(INDEX(FORM!$B:$B,ROW())))</f>
        <v/>
      </c>
      <c r="D809" s="8" t="str">
        <f>IF($A809="","",TRIM(INDEX(FORM!$C:$C,ROW())&amp;""))</f>
        <v/>
      </c>
      <c r="E809" s="8" t="str">
        <f>IF($A809="","",UPPER(TRIM(INDEX(FORM!$D:$D,ROW()))))</f>
        <v/>
      </c>
      <c r="F809" s="8" t="str">
        <f>IF($A809="","",IFERROR(INDEX(PROGRES!$A$2:$A$92,MATCH(E809,PROGRES!$B$2:$B$92,0)),"-"))</f>
        <v/>
      </c>
      <c r="G809" s="8" t="str">
        <f>IF($A809="","",UPPER(TRIM(INDEX(FORM!$F:$F,ROW()))))</f>
        <v/>
      </c>
      <c r="H809" s="8" t="str">
        <f>IF($A809="","",UPPER(TRIM(INDEX(FORM!$E:$E,ROW()))))</f>
        <v/>
      </c>
      <c r="I809" s="8" t="str">
        <f>IF($A809="","",UPPER(TRIM(INDEX(FORM!$G:$G,ROW()))))</f>
        <v/>
      </c>
      <c r="J809" s="8" t="str">
        <f>IF($A809="","",IF(ISNUMBER(SEARCH("Ya,",INDEX(FORM!$H:$H,ROW()))),"YA",IF(ISNUMBER(SEARCH("Cukup,",INDEX(FORM!$H:$H,ROW()))),"CUKUP",IF(ISNUMBER(SEARCH("Kurang,",INDEX(FORM!$H:$H,ROW()))),"KURANG",""))))</f>
        <v/>
      </c>
      <c r="K809" s="8" t="str">
        <f>IF($A809="","",UPPER(TRIM(INDEX(FORM!$J:$J,ROW()))))</f>
        <v/>
      </c>
      <c r="L809" s="8" t="str">
        <f>IF($A809="","",IF(ISNUMBER(SEARCH("Aktivitas Harian",INDEX(FORM!$K:$K,ROW()))),1,0))</f>
        <v/>
      </c>
      <c r="M809" s="8" t="str">
        <f>IF($A809="","",IF(ISNUMBER(SEARCH("Aktivitas Mingguan",INDEX(FORM!$K:$K,ROW()))),1,0))</f>
        <v/>
      </c>
      <c r="N809" s="8" t="str">
        <f>IF($A809="","",IF(ISNUMBER(SEARCH("Aktivitas Bulanan",INDEX(FORM!$K:$K,ROW()))),1,0))</f>
        <v/>
      </c>
      <c r="O809" s="8" t="str">
        <f>IF($A809="","",IF(ISNUMBER(SEARCH("Overview Cabang",INDEX(FORM!$K:$K,ROW()))),1,0))</f>
        <v/>
      </c>
      <c r="P809" s="8" t="str">
        <f>IF($A809="","",IFERROR(VLOOKUP(I809,DATA!$AH$9:$AI$13,2,0),""))</f>
        <v/>
      </c>
      <c r="Q809" s="8" t="str">
        <f>IF($A809="","",IFERROR(VLOOKUP(J809,DATA!$AH$9:$AI$13,2,0),""))</f>
        <v/>
      </c>
      <c r="R809" s="8" t="str">
        <f>IF($A809="","",IFERROR(VLOOKUP(K809,DATA!$AH$9:$AI$13,2,0),""))</f>
        <v/>
      </c>
      <c r="S809" s="42" t="str">
        <f t="shared" si="264"/>
        <v/>
      </c>
      <c r="T809" s="8" t="str">
        <f>IF($A809="","",IF(COUNTIF($D$2:D809,D809)=1,1,0))</f>
        <v/>
      </c>
      <c r="U809" s="8" t="str">
        <f>IF($A809="","",IF(F809="-","Cabang tdk ada",IF(IFERROR(VLOOKUP(G809,#REF!,1,0),"")="","",IF(INDEX(DATA!$AH$2:$AH$5,MATCH(G809,DATA!$AI$2:$AI$5,0))&lt;&gt;F809,"Wilayah beda","OK"))))</f>
        <v/>
      </c>
      <c r="V809" s="8" t="str">
        <f>IF($A809="","",TRIM(INDEX(FORM!$I:$I,ROW())&amp;""))</f>
        <v/>
      </c>
      <c r="W809" s="8" t="str">
        <f>IF($A809="","",TRIM(INDEX(FORM!$L:$L,ROW())&amp;""))</f>
        <v/>
      </c>
      <c r="X809" s="8" t="str">
        <f>IF($A809="","",TRIM(INDEX(FORM!$M:$M,ROW())&amp;""))</f>
        <v/>
      </c>
      <c r="Y809" s="8" t="str">
        <f>IF($A809="","",IFERROR(MATCH(F809,DATA!$AH$2:$AH$5,0),9)*10000+A809)</f>
        <v/>
      </c>
      <c r="Z809" s="8" t="str">
        <f t="shared" si="265"/>
        <v/>
      </c>
      <c r="AA809" s="8" t="str">
        <f t="shared" si="266"/>
        <v/>
      </c>
      <c r="AB809" s="8" t="str">
        <f t="shared" si="267"/>
        <v/>
      </c>
      <c r="AC809" s="8"/>
      <c r="AD809" s="8"/>
      <c r="AE809" s="8"/>
      <c r="AK809" s="5" t="str">
        <f t="shared" si="268"/>
        <v/>
      </c>
      <c r="AL809" s="5" t="str">
        <f t="shared" si="269"/>
        <v/>
      </c>
      <c r="AM809" s="5" t="str">
        <f t="shared" si="270"/>
        <v/>
      </c>
      <c r="AN809" s="5" t="str">
        <f t="shared" si="271"/>
        <v/>
      </c>
      <c r="AO809" s="5" t="str">
        <f t="shared" si="272"/>
        <v/>
      </c>
      <c r="AP809" s="5" t="str">
        <f t="shared" si="273"/>
        <v/>
      </c>
      <c r="AQ809" s="5" t="str">
        <f t="shared" si="274"/>
        <v/>
      </c>
      <c r="AR809" s="5" t="str">
        <f t="shared" si="275"/>
        <v/>
      </c>
      <c r="AS809" s="5" t="str">
        <f t="shared" si="276"/>
        <v/>
      </c>
      <c r="AT809" s="5" t="str">
        <f t="shared" si="277"/>
        <v/>
      </c>
      <c r="AU809" s="5" t="str">
        <f t="shared" si="278"/>
        <v/>
      </c>
      <c r="AV809" s="5" t="str">
        <f t="shared" si="279"/>
        <v/>
      </c>
      <c r="AW809" s="5" t="str">
        <f t="shared" si="280"/>
        <v/>
      </c>
      <c r="AX809" s="5" t="str">
        <f t="shared" si="281"/>
        <v/>
      </c>
      <c r="AY809" s="5" t="str">
        <f t="shared" si="282"/>
        <v/>
      </c>
      <c r="AZ809" s="5" t="str">
        <f t="shared" si="283"/>
        <v/>
      </c>
      <c r="BA809" s="5" t="str">
        <f t="shared" si="284"/>
        <v/>
      </c>
      <c r="BB809" s="5" t="str">
        <f t="shared" si="285"/>
        <v/>
      </c>
    </row>
    <row r="810" spans="1:54" s="5" customFormat="1" hidden="1">
      <c r="A810" s="8" t="str">
        <f>IF(INDEX(FORM!$A:$A,ROW())="","",ROW()-1)</f>
        <v/>
      </c>
      <c r="B810" s="41" t="str">
        <f>IF($A810="","",INDEX(FORM!$A:$A,ROW()))</f>
        <v/>
      </c>
      <c r="C810" s="8" t="str">
        <f>IF($A810="","",TRIM(INDEX(FORM!$B:$B,ROW())))</f>
        <v/>
      </c>
      <c r="D810" s="8" t="str">
        <f>IF($A810="","",TRIM(INDEX(FORM!$C:$C,ROW())&amp;""))</f>
        <v/>
      </c>
      <c r="E810" s="8" t="str">
        <f>IF($A810="","",UPPER(TRIM(INDEX(FORM!$D:$D,ROW()))))</f>
        <v/>
      </c>
      <c r="F810" s="8" t="str">
        <f>IF($A810="","",IFERROR(INDEX(PROGRES!$A$2:$A$92,MATCH(E810,PROGRES!$B$2:$B$92,0)),"-"))</f>
        <v/>
      </c>
      <c r="G810" s="8" t="str">
        <f>IF($A810="","",UPPER(TRIM(INDEX(FORM!$F:$F,ROW()))))</f>
        <v/>
      </c>
      <c r="H810" s="8" t="str">
        <f>IF($A810="","",UPPER(TRIM(INDEX(FORM!$E:$E,ROW()))))</f>
        <v/>
      </c>
      <c r="I810" s="8" t="str">
        <f>IF($A810="","",UPPER(TRIM(INDEX(FORM!$G:$G,ROW()))))</f>
        <v/>
      </c>
      <c r="J810" s="8" t="str">
        <f>IF($A810="","",IF(ISNUMBER(SEARCH("Ya,",INDEX(FORM!$H:$H,ROW()))),"YA",IF(ISNUMBER(SEARCH("Cukup,",INDEX(FORM!$H:$H,ROW()))),"CUKUP",IF(ISNUMBER(SEARCH("Kurang,",INDEX(FORM!$H:$H,ROW()))),"KURANG",""))))</f>
        <v/>
      </c>
      <c r="K810" s="8" t="str">
        <f>IF($A810="","",UPPER(TRIM(INDEX(FORM!$J:$J,ROW()))))</f>
        <v/>
      </c>
      <c r="L810" s="8" t="str">
        <f>IF($A810="","",IF(ISNUMBER(SEARCH("Aktivitas Harian",INDEX(FORM!$K:$K,ROW()))),1,0))</f>
        <v/>
      </c>
      <c r="M810" s="8" t="str">
        <f>IF($A810="","",IF(ISNUMBER(SEARCH("Aktivitas Mingguan",INDEX(FORM!$K:$K,ROW()))),1,0))</f>
        <v/>
      </c>
      <c r="N810" s="8" t="str">
        <f>IF($A810="","",IF(ISNUMBER(SEARCH("Aktivitas Bulanan",INDEX(FORM!$K:$K,ROW()))),1,0))</f>
        <v/>
      </c>
      <c r="O810" s="8" t="str">
        <f>IF($A810="","",IF(ISNUMBER(SEARCH("Overview Cabang",INDEX(FORM!$K:$K,ROW()))),1,0))</f>
        <v/>
      </c>
      <c r="P810" s="8" t="str">
        <f>IF($A810="","",IFERROR(VLOOKUP(I810,DATA!$AH$9:$AI$13,2,0),""))</f>
        <v/>
      </c>
      <c r="Q810" s="8" t="str">
        <f>IF($A810="","",IFERROR(VLOOKUP(J810,DATA!$AH$9:$AI$13,2,0),""))</f>
        <v/>
      </c>
      <c r="R810" s="8" t="str">
        <f>IF($A810="","",IFERROR(VLOOKUP(K810,DATA!$AH$9:$AI$13,2,0),""))</f>
        <v/>
      </c>
      <c r="S810" s="42" t="str">
        <f t="shared" si="264"/>
        <v/>
      </c>
      <c r="T810" s="8" t="str">
        <f>IF($A810="","",IF(COUNTIF($D$2:D810,D810)=1,1,0))</f>
        <v/>
      </c>
      <c r="U810" s="8" t="str">
        <f>IF($A810="","",IF(F810="-","Cabang tdk ada",IF(IFERROR(VLOOKUP(G810,#REF!,1,0),"")="","",IF(INDEX(DATA!$AH$2:$AH$5,MATCH(G810,DATA!$AI$2:$AI$5,0))&lt;&gt;F810,"Wilayah beda","OK"))))</f>
        <v/>
      </c>
      <c r="V810" s="8" t="str">
        <f>IF($A810="","",TRIM(INDEX(FORM!$I:$I,ROW())&amp;""))</f>
        <v/>
      </c>
      <c r="W810" s="8" t="str">
        <f>IF($A810="","",TRIM(INDEX(FORM!$L:$L,ROW())&amp;""))</f>
        <v/>
      </c>
      <c r="X810" s="8" t="str">
        <f>IF($A810="","",TRIM(INDEX(FORM!$M:$M,ROW())&amp;""))</f>
        <v/>
      </c>
      <c r="Y810" s="8" t="str">
        <f>IF($A810="","",IFERROR(MATCH(F810,DATA!$AH$2:$AH$5,0),9)*10000+A810)</f>
        <v/>
      </c>
      <c r="Z810" s="8" t="str">
        <f t="shared" si="265"/>
        <v/>
      </c>
      <c r="AA810" s="8" t="str">
        <f t="shared" si="266"/>
        <v/>
      </c>
      <c r="AB810" s="8" t="str">
        <f t="shared" si="267"/>
        <v/>
      </c>
      <c r="AC810" s="8"/>
      <c r="AD810" s="8"/>
      <c r="AE810" s="8"/>
      <c r="AK810" s="5" t="str">
        <f t="shared" si="268"/>
        <v/>
      </c>
      <c r="AL810" s="5" t="str">
        <f t="shared" si="269"/>
        <v/>
      </c>
      <c r="AM810" s="5" t="str">
        <f t="shared" si="270"/>
        <v/>
      </c>
      <c r="AN810" s="5" t="str">
        <f t="shared" si="271"/>
        <v/>
      </c>
      <c r="AO810" s="5" t="str">
        <f t="shared" si="272"/>
        <v/>
      </c>
      <c r="AP810" s="5" t="str">
        <f t="shared" si="273"/>
        <v/>
      </c>
      <c r="AQ810" s="5" t="str">
        <f t="shared" si="274"/>
        <v/>
      </c>
      <c r="AR810" s="5" t="str">
        <f t="shared" si="275"/>
        <v/>
      </c>
      <c r="AS810" s="5" t="str">
        <f t="shared" si="276"/>
        <v/>
      </c>
      <c r="AT810" s="5" t="str">
        <f t="shared" si="277"/>
        <v/>
      </c>
      <c r="AU810" s="5" t="str">
        <f t="shared" si="278"/>
        <v/>
      </c>
      <c r="AV810" s="5" t="str">
        <f t="shared" si="279"/>
        <v/>
      </c>
      <c r="AW810" s="5" t="str">
        <f t="shared" si="280"/>
        <v/>
      </c>
      <c r="AX810" s="5" t="str">
        <f t="shared" si="281"/>
        <v/>
      </c>
      <c r="AY810" s="5" t="str">
        <f t="shared" si="282"/>
        <v/>
      </c>
      <c r="AZ810" s="5" t="str">
        <f t="shared" si="283"/>
        <v/>
      </c>
      <c r="BA810" s="5" t="str">
        <f t="shared" si="284"/>
        <v/>
      </c>
      <c r="BB810" s="5" t="str">
        <f t="shared" si="285"/>
        <v/>
      </c>
    </row>
    <row r="811" spans="1:54" s="5" customFormat="1" hidden="1">
      <c r="A811" s="8" t="str">
        <f>IF(INDEX(FORM!$A:$A,ROW())="","",ROW()-1)</f>
        <v/>
      </c>
      <c r="B811" s="41" t="str">
        <f>IF($A811="","",INDEX(FORM!$A:$A,ROW()))</f>
        <v/>
      </c>
      <c r="C811" s="8" t="str">
        <f>IF($A811="","",TRIM(INDEX(FORM!$B:$B,ROW())))</f>
        <v/>
      </c>
      <c r="D811" s="8" t="str">
        <f>IF($A811="","",TRIM(INDEX(FORM!$C:$C,ROW())&amp;""))</f>
        <v/>
      </c>
      <c r="E811" s="8" t="str">
        <f>IF($A811="","",UPPER(TRIM(INDEX(FORM!$D:$D,ROW()))))</f>
        <v/>
      </c>
      <c r="F811" s="8" t="str">
        <f>IF($A811="","",IFERROR(INDEX(PROGRES!$A$2:$A$92,MATCH(E811,PROGRES!$B$2:$B$92,0)),"-"))</f>
        <v/>
      </c>
      <c r="G811" s="8" t="str">
        <f>IF($A811="","",UPPER(TRIM(INDEX(FORM!$F:$F,ROW()))))</f>
        <v/>
      </c>
      <c r="H811" s="8" t="str">
        <f>IF($A811="","",UPPER(TRIM(INDEX(FORM!$E:$E,ROW()))))</f>
        <v/>
      </c>
      <c r="I811" s="8" t="str">
        <f>IF($A811="","",UPPER(TRIM(INDEX(FORM!$G:$G,ROW()))))</f>
        <v/>
      </c>
      <c r="J811" s="8" t="str">
        <f>IF($A811="","",IF(ISNUMBER(SEARCH("Ya,",INDEX(FORM!$H:$H,ROW()))),"YA",IF(ISNUMBER(SEARCH("Cukup,",INDEX(FORM!$H:$H,ROW()))),"CUKUP",IF(ISNUMBER(SEARCH("Kurang,",INDEX(FORM!$H:$H,ROW()))),"KURANG",""))))</f>
        <v/>
      </c>
      <c r="K811" s="8" t="str">
        <f>IF($A811="","",UPPER(TRIM(INDEX(FORM!$J:$J,ROW()))))</f>
        <v/>
      </c>
      <c r="L811" s="8" t="str">
        <f>IF($A811="","",IF(ISNUMBER(SEARCH("Aktivitas Harian",INDEX(FORM!$K:$K,ROW()))),1,0))</f>
        <v/>
      </c>
      <c r="M811" s="8" t="str">
        <f>IF($A811="","",IF(ISNUMBER(SEARCH("Aktivitas Mingguan",INDEX(FORM!$K:$K,ROW()))),1,0))</f>
        <v/>
      </c>
      <c r="N811" s="8" t="str">
        <f>IF($A811="","",IF(ISNUMBER(SEARCH("Aktivitas Bulanan",INDEX(FORM!$K:$K,ROW()))),1,0))</f>
        <v/>
      </c>
      <c r="O811" s="8" t="str">
        <f>IF($A811="","",IF(ISNUMBER(SEARCH("Overview Cabang",INDEX(FORM!$K:$K,ROW()))),1,0))</f>
        <v/>
      </c>
      <c r="P811" s="8" t="str">
        <f>IF($A811="","",IFERROR(VLOOKUP(I811,DATA!$AH$9:$AI$13,2,0),""))</f>
        <v/>
      </c>
      <c r="Q811" s="8" t="str">
        <f>IF($A811="","",IFERROR(VLOOKUP(J811,DATA!$AH$9:$AI$13,2,0),""))</f>
        <v/>
      </c>
      <c r="R811" s="8" t="str">
        <f>IF($A811="","",IFERROR(VLOOKUP(K811,DATA!$AH$9:$AI$13,2,0),""))</f>
        <v/>
      </c>
      <c r="S811" s="42" t="str">
        <f t="shared" si="264"/>
        <v/>
      </c>
      <c r="T811" s="8" t="str">
        <f>IF($A811="","",IF(COUNTIF($D$2:D811,D811)=1,1,0))</f>
        <v/>
      </c>
      <c r="U811" s="8" t="str">
        <f>IF($A811="","",IF(F811="-","Cabang tdk ada",IF(IFERROR(VLOOKUP(G811,#REF!,1,0),"")="","",IF(INDEX(DATA!$AH$2:$AH$5,MATCH(G811,DATA!$AI$2:$AI$5,0))&lt;&gt;F811,"Wilayah beda","OK"))))</f>
        <v/>
      </c>
      <c r="V811" s="8" t="str">
        <f>IF($A811="","",TRIM(INDEX(FORM!$I:$I,ROW())&amp;""))</f>
        <v/>
      </c>
      <c r="W811" s="8" t="str">
        <f>IF($A811="","",TRIM(INDEX(FORM!$L:$L,ROW())&amp;""))</f>
        <v/>
      </c>
      <c r="X811" s="8" t="str">
        <f>IF($A811="","",TRIM(INDEX(FORM!$M:$M,ROW())&amp;""))</f>
        <v/>
      </c>
      <c r="Y811" s="8" t="str">
        <f>IF($A811="","",IFERROR(MATCH(F811,DATA!$AH$2:$AH$5,0),9)*10000+A811)</f>
        <v/>
      </c>
      <c r="Z811" s="8" t="str">
        <f t="shared" si="265"/>
        <v/>
      </c>
      <c r="AA811" s="8" t="str">
        <f t="shared" si="266"/>
        <v/>
      </c>
      <c r="AB811" s="8" t="str">
        <f t="shared" si="267"/>
        <v/>
      </c>
      <c r="AC811" s="8"/>
      <c r="AD811" s="8"/>
      <c r="AE811" s="8"/>
      <c r="AK811" s="5" t="str">
        <f t="shared" si="268"/>
        <v/>
      </c>
      <c r="AL811" s="5" t="str">
        <f t="shared" si="269"/>
        <v/>
      </c>
      <c r="AM811" s="5" t="str">
        <f t="shared" si="270"/>
        <v/>
      </c>
      <c r="AN811" s="5" t="str">
        <f t="shared" si="271"/>
        <v/>
      </c>
      <c r="AO811" s="5" t="str">
        <f t="shared" si="272"/>
        <v/>
      </c>
      <c r="AP811" s="5" t="str">
        <f t="shared" si="273"/>
        <v/>
      </c>
      <c r="AQ811" s="5" t="str">
        <f t="shared" si="274"/>
        <v/>
      </c>
      <c r="AR811" s="5" t="str">
        <f t="shared" si="275"/>
        <v/>
      </c>
      <c r="AS811" s="5" t="str">
        <f t="shared" si="276"/>
        <v/>
      </c>
      <c r="AT811" s="5" t="str">
        <f t="shared" si="277"/>
        <v/>
      </c>
      <c r="AU811" s="5" t="str">
        <f t="shared" si="278"/>
        <v/>
      </c>
      <c r="AV811" s="5" t="str">
        <f t="shared" si="279"/>
        <v/>
      </c>
      <c r="AW811" s="5" t="str">
        <f t="shared" si="280"/>
        <v/>
      </c>
      <c r="AX811" s="5" t="str">
        <f t="shared" si="281"/>
        <v/>
      </c>
      <c r="AY811" s="5" t="str">
        <f t="shared" si="282"/>
        <v/>
      </c>
      <c r="AZ811" s="5" t="str">
        <f t="shared" si="283"/>
        <v/>
      </c>
      <c r="BA811" s="5" t="str">
        <f t="shared" si="284"/>
        <v/>
      </c>
      <c r="BB811" s="5" t="str">
        <f t="shared" si="285"/>
        <v/>
      </c>
    </row>
    <row r="812" spans="1:54" s="5" customFormat="1" hidden="1">
      <c r="A812" s="8" t="str">
        <f>IF(INDEX(FORM!$A:$A,ROW())="","",ROW()-1)</f>
        <v/>
      </c>
      <c r="B812" s="41" t="str">
        <f>IF($A812="","",INDEX(FORM!$A:$A,ROW()))</f>
        <v/>
      </c>
      <c r="C812" s="8" t="str">
        <f>IF($A812="","",TRIM(INDEX(FORM!$B:$B,ROW())))</f>
        <v/>
      </c>
      <c r="D812" s="8" t="str">
        <f>IF($A812="","",TRIM(INDEX(FORM!$C:$C,ROW())&amp;""))</f>
        <v/>
      </c>
      <c r="E812" s="8" t="str">
        <f>IF($A812="","",UPPER(TRIM(INDEX(FORM!$D:$D,ROW()))))</f>
        <v/>
      </c>
      <c r="F812" s="8" t="str">
        <f>IF($A812="","",IFERROR(INDEX(PROGRES!$A$2:$A$92,MATCH(E812,PROGRES!$B$2:$B$92,0)),"-"))</f>
        <v/>
      </c>
      <c r="G812" s="8" t="str">
        <f>IF($A812="","",UPPER(TRIM(INDEX(FORM!$F:$F,ROW()))))</f>
        <v/>
      </c>
      <c r="H812" s="8" t="str">
        <f>IF($A812="","",UPPER(TRIM(INDEX(FORM!$E:$E,ROW()))))</f>
        <v/>
      </c>
      <c r="I812" s="8" t="str">
        <f>IF($A812="","",UPPER(TRIM(INDEX(FORM!$G:$G,ROW()))))</f>
        <v/>
      </c>
      <c r="J812" s="8" t="str">
        <f>IF($A812="","",IF(ISNUMBER(SEARCH("Ya,",INDEX(FORM!$H:$H,ROW()))),"YA",IF(ISNUMBER(SEARCH("Cukup,",INDEX(FORM!$H:$H,ROW()))),"CUKUP",IF(ISNUMBER(SEARCH("Kurang,",INDEX(FORM!$H:$H,ROW()))),"KURANG",""))))</f>
        <v/>
      </c>
      <c r="K812" s="8" t="str">
        <f>IF($A812="","",UPPER(TRIM(INDEX(FORM!$J:$J,ROW()))))</f>
        <v/>
      </c>
      <c r="L812" s="8" t="str">
        <f>IF($A812="","",IF(ISNUMBER(SEARCH("Aktivitas Harian",INDEX(FORM!$K:$K,ROW()))),1,0))</f>
        <v/>
      </c>
      <c r="M812" s="8" t="str">
        <f>IF($A812="","",IF(ISNUMBER(SEARCH("Aktivitas Mingguan",INDEX(FORM!$K:$K,ROW()))),1,0))</f>
        <v/>
      </c>
      <c r="N812" s="8" t="str">
        <f>IF($A812="","",IF(ISNUMBER(SEARCH("Aktivitas Bulanan",INDEX(FORM!$K:$K,ROW()))),1,0))</f>
        <v/>
      </c>
      <c r="O812" s="8" t="str">
        <f>IF($A812="","",IF(ISNUMBER(SEARCH("Overview Cabang",INDEX(FORM!$K:$K,ROW()))),1,0))</f>
        <v/>
      </c>
      <c r="P812" s="8" t="str">
        <f>IF($A812="","",IFERROR(VLOOKUP(I812,DATA!$AH$9:$AI$13,2,0),""))</f>
        <v/>
      </c>
      <c r="Q812" s="8" t="str">
        <f>IF($A812="","",IFERROR(VLOOKUP(J812,DATA!$AH$9:$AI$13,2,0),""))</f>
        <v/>
      </c>
      <c r="R812" s="8" t="str">
        <f>IF($A812="","",IFERROR(VLOOKUP(K812,DATA!$AH$9:$AI$13,2,0),""))</f>
        <v/>
      </c>
      <c r="S812" s="42" t="str">
        <f t="shared" si="264"/>
        <v/>
      </c>
      <c r="T812" s="8" t="str">
        <f>IF($A812="","",IF(COUNTIF($D$2:D812,D812)=1,1,0))</f>
        <v/>
      </c>
      <c r="U812" s="8" t="str">
        <f>IF($A812="","",IF(F812="-","Cabang tdk ada",IF(IFERROR(VLOOKUP(G812,#REF!,1,0),"")="","",IF(INDEX(DATA!$AH$2:$AH$5,MATCH(G812,DATA!$AI$2:$AI$5,0))&lt;&gt;F812,"Wilayah beda","OK"))))</f>
        <v/>
      </c>
      <c r="V812" s="8" t="str">
        <f>IF($A812="","",TRIM(INDEX(FORM!$I:$I,ROW())&amp;""))</f>
        <v/>
      </c>
      <c r="W812" s="8" t="str">
        <f>IF($A812="","",TRIM(INDEX(FORM!$L:$L,ROW())&amp;""))</f>
        <v/>
      </c>
      <c r="X812" s="8" t="str">
        <f>IF($A812="","",TRIM(INDEX(FORM!$M:$M,ROW())&amp;""))</f>
        <v/>
      </c>
      <c r="Y812" s="8" t="str">
        <f>IF($A812="","",IFERROR(MATCH(F812,DATA!$AH$2:$AH$5,0),9)*10000+A812)</f>
        <v/>
      </c>
      <c r="Z812" s="8" t="str">
        <f t="shared" si="265"/>
        <v/>
      </c>
      <c r="AA812" s="8" t="str">
        <f t="shared" si="266"/>
        <v/>
      </c>
      <c r="AB812" s="8" t="str">
        <f t="shared" si="267"/>
        <v/>
      </c>
      <c r="AC812" s="8"/>
      <c r="AD812" s="8"/>
      <c r="AE812" s="8"/>
      <c r="AK812" s="5" t="str">
        <f t="shared" si="268"/>
        <v/>
      </c>
      <c r="AL812" s="5" t="str">
        <f t="shared" si="269"/>
        <v/>
      </c>
      <c r="AM812" s="5" t="str">
        <f t="shared" si="270"/>
        <v/>
      </c>
      <c r="AN812" s="5" t="str">
        <f t="shared" si="271"/>
        <v/>
      </c>
      <c r="AO812" s="5" t="str">
        <f t="shared" si="272"/>
        <v/>
      </c>
      <c r="AP812" s="5" t="str">
        <f t="shared" si="273"/>
        <v/>
      </c>
      <c r="AQ812" s="5" t="str">
        <f t="shared" si="274"/>
        <v/>
      </c>
      <c r="AR812" s="5" t="str">
        <f t="shared" si="275"/>
        <v/>
      </c>
      <c r="AS812" s="5" t="str">
        <f t="shared" si="276"/>
        <v/>
      </c>
      <c r="AT812" s="5" t="str">
        <f t="shared" si="277"/>
        <v/>
      </c>
      <c r="AU812" s="5" t="str">
        <f t="shared" si="278"/>
        <v/>
      </c>
      <c r="AV812" s="5" t="str">
        <f t="shared" si="279"/>
        <v/>
      </c>
      <c r="AW812" s="5" t="str">
        <f t="shared" si="280"/>
        <v/>
      </c>
      <c r="AX812" s="5" t="str">
        <f t="shared" si="281"/>
        <v/>
      </c>
      <c r="AY812" s="5" t="str">
        <f t="shared" si="282"/>
        <v/>
      </c>
      <c r="AZ812" s="5" t="str">
        <f t="shared" si="283"/>
        <v/>
      </c>
      <c r="BA812" s="5" t="str">
        <f t="shared" si="284"/>
        <v/>
      </c>
      <c r="BB812" s="5" t="str">
        <f t="shared" si="285"/>
        <v/>
      </c>
    </row>
    <row r="813" spans="1:54" s="5" customFormat="1" hidden="1">
      <c r="A813" s="8" t="str">
        <f>IF(INDEX(FORM!$A:$A,ROW())="","",ROW()-1)</f>
        <v/>
      </c>
      <c r="B813" s="41" t="str">
        <f>IF($A813="","",INDEX(FORM!$A:$A,ROW()))</f>
        <v/>
      </c>
      <c r="C813" s="8" t="str">
        <f>IF($A813="","",TRIM(INDEX(FORM!$B:$B,ROW())))</f>
        <v/>
      </c>
      <c r="D813" s="8" t="str">
        <f>IF($A813="","",TRIM(INDEX(FORM!$C:$C,ROW())&amp;""))</f>
        <v/>
      </c>
      <c r="E813" s="8" t="str">
        <f>IF($A813="","",UPPER(TRIM(INDEX(FORM!$D:$D,ROW()))))</f>
        <v/>
      </c>
      <c r="F813" s="8" t="str">
        <f>IF($A813="","",IFERROR(INDEX(PROGRES!$A$2:$A$92,MATCH(E813,PROGRES!$B$2:$B$92,0)),"-"))</f>
        <v/>
      </c>
      <c r="G813" s="8" t="str">
        <f>IF($A813="","",UPPER(TRIM(INDEX(FORM!$F:$F,ROW()))))</f>
        <v/>
      </c>
      <c r="H813" s="8" t="str">
        <f>IF($A813="","",UPPER(TRIM(INDEX(FORM!$E:$E,ROW()))))</f>
        <v/>
      </c>
      <c r="I813" s="8" t="str">
        <f>IF($A813="","",UPPER(TRIM(INDEX(FORM!$G:$G,ROW()))))</f>
        <v/>
      </c>
      <c r="J813" s="8" t="str">
        <f>IF($A813="","",IF(ISNUMBER(SEARCH("Ya,",INDEX(FORM!$H:$H,ROW()))),"YA",IF(ISNUMBER(SEARCH("Cukup,",INDEX(FORM!$H:$H,ROW()))),"CUKUP",IF(ISNUMBER(SEARCH("Kurang,",INDEX(FORM!$H:$H,ROW()))),"KURANG",""))))</f>
        <v/>
      </c>
      <c r="K813" s="8" t="str">
        <f>IF($A813="","",UPPER(TRIM(INDEX(FORM!$J:$J,ROW()))))</f>
        <v/>
      </c>
      <c r="L813" s="8" t="str">
        <f>IF($A813="","",IF(ISNUMBER(SEARCH("Aktivitas Harian",INDEX(FORM!$K:$K,ROW()))),1,0))</f>
        <v/>
      </c>
      <c r="M813" s="8" t="str">
        <f>IF($A813="","",IF(ISNUMBER(SEARCH("Aktivitas Mingguan",INDEX(FORM!$K:$K,ROW()))),1,0))</f>
        <v/>
      </c>
      <c r="N813" s="8" t="str">
        <f>IF($A813="","",IF(ISNUMBER(SEARCH("Aktivitas Bulanan",INDEX(FORM!$K:$K,ROW()))),1,0))</f>
        <v/>
      </c>
      <c r="O813" s="8" t="str">
        <f>IF($A813="","",IF(ISNUMBER(SEARCH("Overview Cabang",INDEX(FORM!$K:$K,ROW()))),1,0))</f>
        <v/>
      </c>
      <c r="P813" s="8" t="str">
        <f>IF($A813="","",IFERROR(VLOOKUP(I813,DATA!$AH$9:$AI$13,2,0),""))</f>
        <v/>
      </c>
      <c r="Q813" s="8" t="str">
        <f>IF($A813="","",IFERROR(VLOOKUP(J813,DATA!$AH$9:$AI$13,2,0),""))</f>
        <v/>
      </c>
      <c r="R813" s="8" t="str">
        <f>IF($A813="","",IFERROR(VLOOKUP(K813,DATA!$AH$9:$AI$13,2,0),""))</f>
        <v/>
      </c>
      <c r="S813" s="42" t="str">
        <f t="shared" si="264"/>
        <v/>
      </c>
      <c r="T813" s="8" t="str">
        <f>IF($A813="","",IF(COUNTIF($D$2:D813,D813)=1,1,0))</f>
        <v/>
      </c>
      <c r="U813" s="8" t="str">
        <f>IF($A813="","",IF(F813="-","Cabang tdk ada",IF(IFERROR(VLOOKUP(G813,#REF!,1,0),"")="","",IF(INDEX(DATA!$AH$2:$AH$5,MATCH(G813,DATA!$AI$2:$AI$5,0))&lt;&gt;F813,"Wilayah beda","OK"))))</f>
        <v/>
      </c>
      <c r="V813" s="8" t="str">
        <f>IF($A813="","",TRIM(INDEX(FORM!$I:$I,ROW())&amp;""))</f>
        <v/>
      </c>
      <c r="W813" s="8" t="str">
        <f>IF($A813="","",TRIM(INDEX(FORM!$L:$L,ROW())&amp;""))</f>
        <v/>
      </c>
      <c r="X813" s="8" t="str">
        <f>IF($A813="","",TRIM(INDEX(FORM!$M:$M,ROW())&amp;""))</f>
        <v/>
      </c>
      <c r="Y813" s="8" t="str">
        <f>IF($A813="","",IFERROR(MATCH(F813,DATA!$AH$2:$AH$5,0),9)*10000+A813)</f>
        <v/>
      </c>
      <c r="Z813" s="8" t="str">
        <f t="shared" si="265"/>
        <v/>
      </c>
      <c r="AA813" s="8" t="str">
        <f t="shared" si="266"/>
        <v/>
      </c>
      <c r="AB813" s="8" t="str">
        <f t="shared" si="267"/>
        <v/>
      </c>
      <c r="AC813" s="8"/>
      <c r="AD813" s="8"/>
      <c r="AE813" s="8"/>
      <c r="AK813" s="5" t="str">
        <f t="shared" si="268"/>
        <v/>
      </c>
      <c r="AL813" s="5" t="str">
        <f t="shared" si="269"/>
        <v/>
      </c>
      <c r="AM813" s="5" t="str">
        <f t="shared" si="270"/>
        <v/>
      </c>
      <c r="AN813" s="5" t="str">
        <f t="shared" si="271"/>
        <v/>
      </c>
      <c r="AO813" s="5" t="str">
        <f t="shared" si="272"/>
        <v/>
      </c>
      <c r="AP813" s="5" t="str">
        <f t="shared" si="273"/>
        <v/>
      </c>
      <c r="AQ813" s="5" t="str">
        <f t="shared" si="274"/>
        <v/>
      </c>
      <c r="AR813" s="5" t="str">
        <f t="shared" si="275"/>
        <v/>
      </c>
      <c r="AS813" s="5" t="str">
        <f t="shared" si="276"/>
        <v/>
      </c>
      <c r="AT813" s="5" t="str">
        <f t="shared" si="277"/>
        <v/>
      </c>
      <c r="AU813" s="5" t="str">
        <f t="shared" si="278"/>
        <v/>
      </c>
      <c r="AV813" s="5" t="str">
        <f t="shared" si="279"/>
        <v/>
      </c>
      <c r="AW813" s="5" t="str">
        <f t="shared" si="280"/>
        <v/>
      </c>
      <c r="AX813" s="5" t="str">
        <f t="shared" si="281"/>
        <v/>
      </c>
      <c r="AY813" s="5" t="str">
        <f t="shared" si="282"/>
        <v/>
      </c>
      <c r="AZ813" s="5" t="str">
        <f t="shared" si="283"/>
        <v/>
      </c>
      <c r="BA813" s="5" t="str">
        <f t="shared" si="284"/>
        <v/>
      </c>
      <c r="BB813" s="5" t="str">
        <f t="shared" si="285"/>
        <v/>
      </c>
    </row>
    <row r="814" spans="1:54" s="5" customFormat="1" hidden="1">
      <c r="A814" s="8" t="str">
        <f>IF(INDEX(FORM!$A:$A,ROW())="","",ROW()-1)</f>
        <v/>
      </c>
      <c r="B814" s="41" t="str">
        <f>IF($A814="","",INDEX(FORM!$A:$A,ROW()))</f>
        <v/>
      </c>
      <c r="C814" s="8" t="str">
        <f>IF($A814="","",TRIM(INDEX(FORM!$B:$B,ROW())))</f>
        <v/>
      </c>
      <c r="D814" s="8" t="str">
        <f>IF($A814="","",TRIM(INDEX(FORM!$C:$C,ROW())&amp;""))</f>
        <v/>
      </c>
      <c r="E814" s="8" t="str">
        <f>IF($A814="","",UPPER(TRIM(INDEX(FORM!$D:$D,ROW()))))</f>
        <v/>
      </c>
      <c r="F814" s="8" t="str">
        <f>IF($A814="","",IFERROR(INDEX(PROGRES!$A$2:$A$92,MATCH(E814,PROGRES!$B$2:$B$92,0)),"-"))</f>
        <v/>
      </c>
      <c r="G814" s="8" t="str">
        <f>IF($A814="","",UPPER(TRIM(INDEX(FORM!$F:$F,ROW()))))</f>
        <v/>
      </c>
      <c r="H814" s="8" t="str">
        <f>IF($A814="","",UPPER(TRIM(INDEX(FORM!$E:$E,ROW()))))</f>
        <v/>
      </c>
      <c r="I814" s="8" t="str">
        <f>IF($A814="","",UPPER(TRIM(INDEX(FORM!$G:$G,ROW()))))</f>
        <v/>
      </c>
      <c r="J814" s="8" t="str">
        <f>IF($A814="","",IF(ISNUMBER(SEARCH("Ya,",INDEX(FORM!$H:$H,ROW()))),"YA",IF(ISNUMBER(SEARCH("Cukup,",INDEX(FORM!$H:$H,ROW()))),"CUKUP",IF(ISNUMBER(SEARCH("Kurang,",INDEX(FORM!$H:$H,ROW()))),"KURANG",""))))</f>
        <v/>
      </c>
      <c r="K814" s="8" t="str">
        <f>IF($A814="","",UPPER(TRIM(INDEX(FORM!$J:$J,ROW()))))</f>
        <v/>
      </c>
      <c r="L814" s="8" t="str">
        <f>IF($A814="","",IF(ISNUMBER(SEARCH("Aktivitas Harian",INDEX(FORM!$K:$K,ROW()))),1,0))</f>
        <v/>
      </c>
      <c r="M814" s="8" t="str">
        <f>IF($A814="","",IF(ISNUMBER(SEARCH("Aktivitas Mingguan",INDEX(FORM!$K:$K,ROW()))),1,0))</f>
        <v/>
      </c>
      <c r="N814" s="8" t="str">
        <f>IF($A814="","",IF(ISNUMBER(SEARCH("Aktivitas Bulanan",INDEX(FORM!$K:$K,ROW()))),1,0))</f>
        <v/>
      </c>
      <c r="O814" s="8" t="str">
        <f>IF($A814="","",IF(ISNUMBER(SEARCH("Overview Cabang",INDEX(FORM!$K:$K,ROW()))),1,0))</f>
        <v/>
      </c>
      <c r="P814" s="8" t="str">
        <f>IF($A814="","",IFERROR(VLOOKUP(I814,DATA!$AH$9:$AI$13,2,0),""))</f>
        <v/>
      </c>
      <c r="Q814" s="8" t="str">
        <f>IF($A814="","",IFERROR(VLOOKUP(J814,DATA!$AH$9:$AI$13,2,0),""))</f>
        <v/>
      </c>
      <c r="R814" s="8" t="str">
        <f>IF($A814="","",IFERROR(VLOOKUP(K814,DATA!$AH$9:$AI$13,2,0),""))</f>
        <v/>
      </c>
      <c r="S814" s="42" t="str">
        <f t="shared" si="264"/>
        <v/>
      </c>
      <c r="T814" s="8" t="str">
        <f>IF($A814="","",IF(COUNTIF($D$2:D814,D814)=1,1,0))</f>
        <v/>
      </c>
      <c r="U814" s="8" t="str">
        <f>IF($A814="","",IF(F814="-","Cabang tdk ada",IF(IFERROR(VLOOKUP(G814,#REF!,1,0),"")="","",IF(INDEX(DATA!$AH$2:$AH$5,MATCH(G814,DATA!$AI$2:$AI$5,0))&lt;&gt;F814,"Wilayah beda","OK"))))</f>
        <v/>
      </c>
      <c r="V814" s="8" t="str">
        <f>IF($A814="","",TRIM(INDEX(FORM!$I:$I,ROW())&amp;""))</f>
        <v/>
      </c>
      <c r="W814" s="8" t="str">
        <f>IF($A814="","",TRIM(INDEX(FORM!$L:$L,ROW())&amp;""))</f>
        <v/>
      </c>
      <c r="X814" s="8" t="str">
        <f>IF($A814="","",TRIM(INDEX(FORM!$M:$M,ROW())&amp;""))</f>
        <v/>
      </c>
      <c r="Y814" s="8" t="str">
        <f>IF($A814="","",IFERROR(MATCH(F814,DATA!$AH$2:$AH$5,0),9)*10000+A814)</f>
        <v/>
      </c>
      <c r="Z814" s="8" t="str">
        <f t="shared" si="265"/>
        <v/>
      </c>
      <c r="AA814" s="8" t="str">
        <f t="shared" si="266"/>
        <v/>
      </c>
      <c r="AB814" s="8" t="str">
        <f t="shared" si="267"/>
        <v/>
      </c>
      <c r="AC814" s="8"/>
      <c r="AD814" s="8"/>
      <c r="AE814" s="8"/>
      <c r="AK814" s="5" t="str">
        <f t="shared" si="268"/>
        <v/>
      </c>
      <c r="AL814" s="5" t="str">
        <f t="shared" si="269"/>
        <v/>
      </c>
      <c r="AM814" s="5" t="str">
        <f t="shared" si="270"/>
        <v/>
      </c>
      <c r="AN814" s="5" t="str">
        <f t="shared" si="271"/>
        <v/>
      </c>
      <c r="AO814" s="5" t="str">
        <f t="shared" si="272"/>
        <v/>
      </c>
      <c r="AP814" s="5" t="str">
        <f t="shared" si="273"/>
        <v/>
      </c>
      <c r="AQ814" s="5" t="str">
        <f t="shared" si="274"/>
        <v/>
      </c>
      <c r="AR814" s="5" t="str">
        <f t="shared" si="275"/>
        <v/>
      </c>
      <c r="AS814" s="5" t="str">
        <f t="shared" si="276"/>
        <v/>
      </c>
      <c r="AT814" s="5" t="str">
        <f t="shared" si="277"/>
        <v/>
      </c>
      <c r="AU814" s="5" t="str">
        <f t="shared" si="278"/>
        <v/>
      </c>
      <c r="AV814" s="5" t="str">
        <f t="shared" si="279"/>
        <v/>
      </c>
      <c r="AW814" s="5" t="str">
        <f t="shared" si="280"/>
        <v/>
      </c>
      <c r="AX814" s="5" t="str">
        <f t="shared" si="281"/>
        <v/>
      </c>
      <c r="AY814" s="5" t="str">
        <f t="shared" si="282"/>
        <v/>
      </c>
      <c r="AZ814" s="5" t="str">
        <f t="shared" si="283"/>
        <v/>
      </c>
      <c r="BA814" s="5" t="str">
        <f t="shared" si="284"/>
        <v/>
      </c>
      <c r="BB814" s="5" t="str">
        <f t="shared" si="285"/>
        <v/>
      </c>
    </row>
    <row r="815" spans="1:54" s="5" customFormat="1" hidden="1">
      <c r="A815" s="8" t="str">
        <f>IF(INDEX(FORM!$A:$A,ROW())="","",ROW()-1)</f>
        <v/>
      </c>
      <c r="B815" s="41" t="str">
        <f>IF($A815="","",INDEX(FORM!$A:$A,ROW()))</f>
        <v/>
      </c>
      <c r="C815" s="8" t="str">
        <f>IF($A815="","",TRIM(INDEX(FORM!$B:$B,ROW())))</f>
        <v/>
      </c>
      <c r="D815" s="8" t="str">
        <f>IF($A815="","",TRIM(INDEX(FORM!$C:$C,ROW())&amp;""))</f>
        <v/>
      </c>
      <c r="E815" s="8" t="str">
        <f>IF($A815="","",UPPER(TRIM(INDEX(FORM!$D:$D,ROW()))))</f>
        <v/>
      </c>
      <c r="F815" s="8" t="str">
        <f>IF($A815="","",IFERROR(INDEX(PROGRES!$A$2:$A$92,MATCH(E815,PROGRES!$B$2:$B$92,0)),"-"))</f>
        <v/>
      </c>
      <c r="G815" s="8" t="str">
        <f>IF($A815="","",UPPER(TRIM(INDEX(FORM!$F:$F,ROW()))))</f>
        <v/>
      </c>
      <c r="H815" s="8" t="str">
        <f>IF($A815="","",UPPER(TRIM(INDEX(FORM!$E:$E,ROW()))))</f>
        <v/>
      </c>
      <c r="I815" s="8" t="str">
        <f>IF($A815="","",UPPER(TRIM(INDEX(FORM!$G:$G,ROW()))))</f>
        <v/>
      </c>
      <c r="J815" s="8" t="str">
        <f>IF($A815="","",IF(ISNUMBER(SEARCH("Ya,",INDEX(FORM!$H:$H,ROW()))),"YA",IF(ISNUMBER(SEARCH("Cukup,",INDEX(FORM!$H:$H,ROW()))),"CUKUP",IF(ISNUMBER(SEARCH("Kurang,",INDEX(FORM!$H:$H,ROW()))),"KURANG",""))))</f>
        <v/>
      </c>
      <c r="K815" s="8" t="str">
        <f>IF($A815="","",UPPER(TRIM(INDEX(FORM!$J:$J,ROW()))))</f>
        <v/>
      </c>
      <c r="L815" s="8" t="str">
        <f>IF($A815="","",IF(ISNUMBER(SEARCH("Aktivitas Harian",INDEX(FORM!$K:$K,ROW()))),1,0))</f>
        <v/>
      </c>
      <c r="M815" s="8" t="str">
        <f>IF($A815="","",IF(ISNUMBER(SEARCH("Aktivitas Mingguan",INDEX(FORM!$K:$K,ROW()))),1,0))</f>
        <v/>
      </c>
      <c r="N815" s="8" t="str">
        <f>IF($A815="","",IF(ISNUMBER(SEARCH("Aktivitas Bulanan",INDEX(FORM!$K:$K,ROW()))),1,0))</f>
        <v/>
      </c>
      <c r="O815" s="8" t="str">
        <f>IF($A815="","",IF(ISNUMBER(SEARCH("Overview Cabang",INDEX(FORM!$K:$K,ROW()))),1,0))</f>
        <v/>
      </c>
      <c r="P815" s="8" t="str">
        <f>IF($A815="","",IFERROR(VLOOKUP(I815,DATA!$AH$9:$AI$13,2,0),""))</f>
        <v/>
      </c>
      <c r="Q815" s="8" t="str">
        <f>IF($A815="","",IFERROR(VLOOKUP(J815,DATA!$AH$9:$AI$13,2,0),""))</f>
        <v/>
      </c>
      <c r="R815" s="8" t="str">
        <f>IF($A815="","",IFERROR(VLOOKUP(K815,DATA!$AH$9:$AI$13,2,0),""))</f>
        <v/>
      </c>
      <c r="S815" s="42" t="str">
        <f t="shared" si="264"/>
        <v/>
      </c>
      <c r="T815" s="8" t="str">
        <f>IF($A815="","",IF(COUNTIF($D$2:D815,D815)=1,1,0))</f>
        <v/>
      </c>
      <c r="U815" s="8" t="str">
        <f>IF($A815="","",IF(F815="-","Cabang tdk ada",IF(IFERROR(VLOOKUP(G815,#REF!,1,0),"")="","",IF(INDEX(DATA!$AH$2:$AH$5,MATCH(G815,DATA!$AI$2:$AI$5,0))&lt;&gt;F815,"Wilayah beda","OK"))))</f>
        <v/>
      </c>
      <c r="V815" s="8" t="str">
        <f>IF($A815="","",TRIM(INDEX(FORM!$I:$I,ROW())&amp;""))</f>
        <v/>
      </c>
      <c r="W815" s="8" t="str">
        <f>IF($A815="","",TRIM(INDEX(FORM!$L:$L,ROW())&amp;""))</f>
        <v/>
      </c>
      <c r="X815" s="8" t="str">
        <f>IF($A815="","",TRIM(INDEX(FORM!$M:$M,ROW())&amp;""))</f>
        <v/>
      </c>
      <c r="Y815" s="8" t="str">
        <f>IF($A815="","",IFERROR(MATCH(F815,DATA!$AH$2:$AH$5,0),9)*10000+A815)</f>
        <v/>
      </c>
      <c r="Z815" s="8" t="str">
        <f t="shared" si="265"/>
        <v/>
      </c>
      <c r="AA815" s="8" t="str">
        <f t="shared" si="266"/>
        <v/>
      </c>
      <c r="AB815" s="8" t="str">
        <f t="shared" si="267"/>
        <v/>
      </c>
      <c r="AC815" s="8"/>
      <c r="AD815" s="8"/>
      <c r="AE815" s="8"/>
      <c r="AK815" s="5" t="str">
        <f t="shared" si="268"/>
        <v/>
      </c>
      <c r="AL815" s="5" t="str">
        <f t="shared" si="269"/>
        <v/>
      </c>
      <c r="AM815" s="5" t="str">
        <f t="shared" si="270"/>
        <v/>
      </c>
      <c r="AN815" s="5" t="str">
        <f t="shared" si="271"/>
        <v/>
      </c>
      <c r="AO815" s="5" t="str">
        <f t="shared" si="272"/>
        <v/>
      </c>
      <c r="AP815" s="5" t="str">
        <f t="shared" si="273"/>
        <v/>
      </c>
      <c r="AQ815" s="5" t="str">
        <f t="shared" si="274"/>
        <v/>
      </c>
      <c r="AR815" s="5" t="str">
        <f t="shared" si="275"/>
        <v/>
      </c>
      <c r="AS815" s="5" t="str">
        <f t="shared" si="276"/>
        <v/>
      </c>
      <c r="AT815" s="5" t="str">
        <f t="shared" si="277"/>
        <v/>
      </c>
      <c r="AU815" s="5" t="str">
        <f t="shared" si="278"/>
        <v/>
      </c>
      <c r="AV815" s="5" t="str">
        <f t="shared" si="279"/>
        <v/>
      </c>
      <c r="AW815" s="5" t="str">
        <f t="shared" si="280"/>
        <v/>
      </c>
      <c r="AX815" s="5" t="str">
        <f t="shared" si="281"/>
        <v/>
      </c>
      <c r="AY815" s="5" t="str">
        <f t="shared" si="282"/>
        <v/>
      </c>
      <c r="AZ815" s="5" t="str">
        <f t="shared" si="283"/>
        <v/>
      </c>
      <c r="BA815" s="5" t="str">
        <f t="shared" si="284"/>
        <v/>
      </c>
      <c r="BB815" s="5" t="str">
        <f t="shared" si="285"/>
        <v/>
      </c>
    </row>
    <row r="816" spans="1:54" s="5" customFormat="1" hidden="1">
      <c r="A816" s="8" t="str">
        <f>IF(INDEX(FORM!$A:$A,ROW())="","",ROW()-1)</f>
        <v/>
      </c>
      <c r="B816" s="41" t="str">
        <f>IF($A816="","",INDEX(FORM!$A:$A,ROW()))</f>
        <v/>
      </c>
      <c r="C816" s="8" t="str">
        <f>IF($A816="","",TRIM(INDEX(FORM!$B:$B,ROW())))</f>
        <v/>
      </c>
      <c r="D816" s="8" t="str">
        <f>IF($A816="","",TRIM(INDEX(FORM!$C:$C,ROW())&amp;""))</f>
        <v/>
      </c>
      <c r="E816" s="8" t="str">
        <f>IF($A816="","",UPPER(TRIM(INDEX(FORM!$D:$D,ROW()))))</f>
        <v/>
      </c>
      <c r="F816" s="8" t="str">
        <f>IF($A816="","",IFERROR(INDEX(PROGRES!$A$2:$A$92,MATCH(E816,PROGRES!$B$2:$B$92,0)),"-"))</f>
        <v/>
      </c>
      <c r="G816" s="8" t="str">
        <f>IF($A816="","",UPPER(TRIM(INDEX(FORM!$F:$F,ROW()))))</f>
        <v/>
      </c>
      <c r="H816" s="8" t="str">
        <f>IF($A816="","",UPPER(TRIM(INDEX(FORM!$E:$E,ROW()))))</f>
        <v/>
      </c>
      <c r="I816" s="8" t="str">
        <f>IF($A816="","",UPPER(TRIM(INDEX(FORM!$G:$G,ROW()))))</f>
        <v/>
      </c>
      <c r="J816" s="8" t="str">
        <f>IF($A816="","",IF(ISNUMBER(SEARCH("Ya,",INDEX(FORM!$H:$H,ROW()))),"YA",IF(ISNUMBER(SEARCH("Cukup,",INDEX(FORM!$H:$H,ROW()))),"CUKUP",IF(ISNUMBER(SEARCH("Kurang,",INDEX(FORM!$H:$H,ROW()))),"KURANG",""))))</f>
        <v/>
      </c>
      <c r="K816" s="8" t="str">
        <f>IF($A816="","",UPPER(TRIM(INDEX(FORM!$J:$J,ROW()))))</f>
        <v/>
      </c>
      <c r="L816" s="8" t="str">
        <f>IF($A816="","",IF(ISNUMBER(SEARCH("Aktivitas Harian",INDEX(FORM!$K:$K,ROW()))),1,0))</f>
        <v/>
      </c>
      <c r="M816" s="8" t="str">
        <f>IF($A816="","",IF(ISNUMBER(SEARCH("Aktivitas Mingguan",INDEX(FORM!$K:$K,ROW()))),1,0))</f>
        <v/>
      </c>
      <c r="N816" s="8" t="str">
        <f>IF($A816="","",IF(ISNUMBER(SEARCH("Aktivitas Bulanan",INDEX(FORM!$K:$K,ROW()))),1,0))</f>
        <v/>
      </c>
      <c r="O816" s="8" t="str">
        <f>IF($A816="","",IF(ISNUMBER(SEARCH("Overview Cabang",INDEX(FORM!$K:$K,ROW()))),1,0))</f>
        <v/>
      </c>
      <c r="P816" s="8" t="str">
        <f>IF($A816="","",IFERROR(VLOOKUP(I816,DATA!$AH$9:$AI$13,2,0),""))</f>
        <v/>
      </c>
      <c r="Q816" s="8" t="str">
        <f>IF($A816="","",IFERROR(VLOOKUP(J816,DATA!$AH$9:$AI$13,2,0),""))</f>
        <v/>
      </c>
      <c r="R816" s="8" t="str">
        <f>IF($A816="","",IFERROR(VLOOKUP(K816,DATA!$AH$9:$AI$13,2,0),""))</f>
        <v/>
      </c>
      <c r="S816" s="42" t="str">
        <f t="shared" si="264"/>
        <v/>
      </c>
      <c r="T816" s="8" t="str">
        <f>IF($A816="","",IF(COUNTIF($D$2:D816,D816)=1,1,0))</f>
        <v/>
      </c>
      <c r="U816" s="8" t="str">
        <f>IF($A816="","",IF(F816="-","Cabang tdk ada",IF(IFERROR(VLOOKUP(G816,#REF!,1,0),"")="","",IF(INDEX(DATA!$AH$2:$AH$5,MATCH(G816,DATA!$AI$2:$AI$5,0))&lt;&gt;F816,"Wilayah beda","OK"))))</f>
        <v/>
      </c>
      <c r="V816" s="8" t="str">
        <f>IF($A816="","",TRIM(INDEX(FORM!$I:$I,ROW())&amp;""))</f>
        <v/>
      </c>
      <c r="W816" s="8" t="str">
        <f>IF($A816="","",TRIM(INDEX(FORM!$L:$L,ROW())&amp;""))</f>
        <v/>
      </c>
      <c r="X816" s="8" t="str">
        <f>IF($A816="","",TRIM(INDEX(FORM!$M:$M,ROW())&amp;""))</f>
        <v/>
      </c>
      <c r="Y816" s="8" t="str">
        <f>IF($A816="","",IFERROR(MATCH(F816,DATA!$AH$2:$AH$5,0),9)*10000+A816)</f>
        <v/>
      </c>
      <c r="Z816" s="8" t="str">
        <f t="shared" si="265"/>
        <v/>
      </c>
      <c r="AA816" s="8" t="str">
        <f t="shared" si="266"/>
        <v/>
      </c>
      <c r="AB816" s="8" t="str">
        <f t="shared" si="267"/>
        <v/>
      </c>
      <c r="AC816" s="8"/>
      <c r="AD816" s="8"/>
      <c r="AE816" s="8"/>
      <c r="AK816" s="5" t="str">
        <f t="shared" si="268"/>
        <v/>
      </c>
      <c r="AL816" s="5" t="str">
        <f t="shared" si="269"/>
        <v/>
      </c>
      <c r="AM816" s="5" t="str">
        <f t="shared" si="270"/>
        <v/>
      </c>
      <c r="AN816" s="5" t="str">
        <f t="shared" si="271"/>
        <v/>
      </c>
      <c r="AO816" s="5" t="str">
        <f t="shared" si="272"/>
        <v/>
      </c>
      <c r="AP816" s="5" t="str">
        <f t="shared" si="273"/>
        <v/>
      </c>
      <c r="AQ816" s="5" t="str">
        <f t="shared" si="274"/>
        <v/>
      </c>
      <c r="AR816" s="5" t="str">
        <f t="shared" si="275"/>
        <v/>
      </c>
      <c r="AS816" s="5" t="str">
        <f t="shared" si="276"/>
        <v/>
      </c>
      <c r="AT816" s="5" t="str">
        <f t="shared" si="277"/>
        <v/>
      </c>
      <c r="AU816" s="5" t="str">
        <f t="shared" si="278"/>
        <v/>
      </c>
      <c r="AV816" s="5" t="str">
        <f t="shared" si="279"/>
        <v/>
      </c>
      <c r="AW816" s="5" t="str">
        <f t="shared" si="280"/>
        <v/>
      </c>
      <c r="AX816" s="5" t="str">
        <f t="shared" si="281"/>
        <v/>
      </c>
      <c r="AY816" s="5" t="str">
        <f t="shared" si="282"/>
        <v/>
      </c>
      <c r="AZ816" s="5" t="str">
        <f t="shared" si="283"/>
        <v/>
      </c>
      <c r="BA816" s="5" t="str">
        <f t="shared" si="284"/>
        <v/>
      </c>
      <c r="BB816" s="5" t="str">
        <f t="shared" si="285"/>
        <v/>
      </c>
    </row>
    <row r="817" spans="1:54" s="5" customFormat="1" hidden="1">
      <c r="A817" s="8" t="str">
        <f>IF(INDEX(FORM!$A:$A,ROW())="","",ROW()-1)</f>
        <v/>
      </c>
      <c r="B817" s="41" t="str">
        <f>IF($A817="","",INDEX(FORM!$A:$A,ROW()))</f>
        <v/>
      </c>
      <c r="C817" s="8" t="str">
        <f>IF($A817="","",TRIM(INDEX(FORM!$B:$B,ROW())))</f>
        <v/>
      </c>
      <c r="D817" s="8" t="str">
        <f>IF($A817="","",TRIM(INDEX(FORM!$C:$C,ROW())&amp;""))</f>
        <v/>
      </c>
      <c r="E817" s="8" t="str">
        <f>IF($A817="","",UPPER(TRIM(INDEX(FORM!$D:$D,ROW()))))</f>
        <v/>
      </c>
      <c r="F817" s="8" t="str">
        <f>IF($A817="","",IFERROR(INDEX(PROGRES!$A$2:$A$92,MATCH(E817,PROGRES!$B$2:$B$92,0)),"-"))</f>
        <v/>
      </c>
      <c r="G817" s="8" t="str">
        <f>IF($A817="","",UPPER(TRIM(INDEX(FORM!$F:$F,ROW()))))</f>
        <v/>
      </c>
      <c r="H817" s="8" t="str">
        <f>IF($A817="","",UPPER(TRIM(INDEX(FORM!$E:$E,ROW()))))</f>
        <v/>
      </c>
      <c r="I817" s="8" t="str">
        <f>IF($A817="","",UPPER(TRIM(INDEX(FORM!$G:$G,ROW()))))</f>
        <v/>
      </c>
      <c r="J817" s="8" t="str">
        <f>IF($A817="","",IF(ISNUMBER(SEARCH("Ya,",INDEX(FORM!$H:$H,ROW()))),"YA",IF(ISNUMBER(SEARCH("Cukup,",INDEX(FORM!$H:$H,ROW()))),"CUKUP",IF(ISNUMBER(SEARCH("Kurang,",INDEX(FORM!$H:$H,ROW()))),"KURANG",""))))</f>
        <v/>
      </c>
      <c r="K817" s="8" t="str">
        <f>IF($A817="","",UPPER(TRIM(INDEX(FORM!$J:$J,ROW()))))</f>
        <v/>
      </c>
      <c r="L817" s="8" t="str">
        <f>IF($A817="","",IF(ISNUMBER(SEARCH("Aktivitas Harian",INDEX(FORM!$K:$K,ROW()))),1,0))</f>
        <v/>
      </c>
      <c r="M817" s="8" t="str">
        <f>IF($A817="","",IF(ISNUMBER(SEARCH("Aktivitas Mingguan",INDEX(FORM!$K:$K,ROW()))),1,0))</f>
        <v/>
      </c>
      <c r="N817" s="8" t="str">
        <f>IF($A817="","",IF(ISNUMBER(SEARCH("Aktivitas Bulanan",INDEX(FORM!$K:$K,ROW()))),1,0))</f>
        <v/>
      </c>
      <c r="O817" s="8" t="str">
        <f>IF($A817="","",IF(ISNUMBER(SEARCH("Overview Cabang",INDEX(FORM!$K:$K,ROW()))),1,0))</f>
        <v/>
      </c>
      <c r="P817" s="8" t="str">
        <f>IF($A817="","",IFERROR(VLOOKUP(I817,DATA!$AH$9:$AI$13,2,0),""))</f>
        <v/>
      </c>
      <c r="Q817" s="8" t="str">
        <f>IF($A817="","",IFERROR(VLOOKUP(J817,DATA!$AH$9:$AI$13,2,0),""))</f>
        <v/>
      </c>
      <c r="R817" s="8" t="str">
        <f>IF($A817="","",IFERROR(VLOOKUP(K817,DATA!$AH$9:$AI$13,2,0),""))</f>
        <v/>
      </c>
      <c r="S817" s="42" t="str">
        <f t="shared" si="264"/>
        <v/>
      </c>
      <c r="T817" s="8" t="str">
        <f>IF($A817="","",IF(COUNTIF($D$2:D817,D817)=1,1,0))</f>
        <v/>
      </c>
      <c r="U817" s="8" t="str">
        <f>IF($A817="","",IF(F817="-","Cabang tdk ada",IF(IFERROR(VLOOKUP(G817,#REF!,1,0),"")="","",IF(INDEX(DATA!$AH$2:$AH$5,MATCH(G817,DATA!$AI$2:$AI$5,0))&lt;&gt;F817,"Wilayah beda","OK"))))</f>
        <v/>
      </c>
      <c r="V817" s="8" t="str">
        <f>IF($A817="","",TRIM(INDEX(FORM!$I:$I,ROW())&amp;""))</f>
        <v/>
      </c>
      <c r="W817" s="8" t="str">
        <f>IF($A817="","",TRIM(INDEX(FORM!$L:$L,ROW())&amp;""))</f>
        <v/>
      </c>
      <c r="X817" s="8" t="str">
        <f>IF($A817="","",TRIM(INDEX(FORM!$M:$M,ROW())&amp;""))</f>
        <v/>
      </c>
      <c r="Y817" s="8" t="str">
        <f>IF($A817="","",IFERROR(MATCH(F817,DATA!$AH$2:$AH$5,0),9)*10000+A817)</f>
        <v/>
      </c>
      <c r="Z817" s="8" t="str">
        <f t="shared" si="265"/>
        <v/>
      </c>
      <c r="AA817" s="8" t="str">
        <f t="shared" si="266"/>
        <v/>
      </c>
      <c r="AB817" s="8" t="str">
        <f t="shared" si="267"/>
        <v/>
      </c>
      <c r="AC817" s="8"/>
      <c r="AD817" s="8"/>
      <c r="AE817" s="8"/>
      <c r="AK817" s="5" t="str">
        <f t="shared" si="268"/>
        <v/>
      </c>
      <c r="AL817" s="5" t="str">
        <f t="shared" si="269"/>
        <v/>
      </c>
      <c r="AM817" s="5" t="str">
        <f t="shared" si="270"/>
        <v/>
      </c>
      <c r="AN817" s="5" t="str">
        <f t="shared" si="271"/>
        <v/>
      </c>
      <c r="AO817" s="5" t="str">
        <f t="shared" si="272"/>
        <v/>
      </c>
      <c r="AP817" s="5" t="str">
        <f t="shared" si="273"/>
        <v/>
      </c>
      <c r="AQ817" s="5" t="str">
        <f t="shared" si="274"/>
        <v/>
      </c>
      <c r="AR817" s="5" t="str">
        <f t="shared" si="275"/>
        <v/>
      </c>
      <c r="AS817" s="5" t="str">
        <f t="shared" si="276"/>
        <v/>
      </c>
      <c r="AT817" s="5" t="str">
        <f t="shared" si="277"/>
        <v/>
      </c>
      <c r="AU817" s="5" t="str">
        <f t="shared" si="278"/>
        <v/>
      </c>
      <c r="AV817" s="5" t="str">
        <f t="shared" si="279"/>
        <v/>
      </c>
      <c r="AW817" s="5" t="str">
        <f t="shared" si="280"/>
        <v/>
      </c>
      <c r="AX817" s="5" t="str">
        <f t="shared" si="281"/>
        <v/>
      </c>
      <c r="AY817" s="5" t="str">
        <f t="shared" si="282"/>
        <v/>
      </c>
      <c r="AZ817" s="5" t="str">
        <f t="shared" si="283"/>
        <v/>
      </c>
      <c r="BA817" s="5" t="str">
        <f t="shared" si="284"/>
        <v/>
      </c>
      <c r="BB817" s="5" t="str">
        <f t="shared" si="285"/>
        <v/>
      </c>
    </row>
    <row r="818" spans="1:54" s="5" customFormat="1" hidden="1">
      <c r="A818" s="8" t="str">
        <f>IF(INDEX(FORM!$A:$A,ROW())="","",ROW()-1)</f>
        <v/>
      </c>
      <c r="B818" s="41" t="str">
        <f>IF($A818="","",INDEX(FORM!$A:$A,ROW()))</f>
        <v/>
      </c>
      <c r="C818" s="8" t="str">
        <f>IF($A818="","",TRIM(INDEX(FORM!$B:$B,ROW())))</f>
        <v/>
      </c>
      <c r="D818" s="8" t="str">
        <f>IF($A818="","",TRIM(INDEX(FORM!$C:$C,ROW())&amp;""))</f>
        <v/>
      </c>
      <c r="E818" s="8" t="str">
        <f>IF($A818="","",UPPER(TRIM(INDEX(FORM!$D:$D,ROW()))))</f>
        <v/>
      </c>
      <c r="F818" s="8" t="str">
        <f>IF($A818="","",IFERROR(INDEX(PROGRES!$A$2:$A$92,MATCH(E818,PROGRES!$B$2:$B$92,0)),"-"))</f>
        <v/>
      </c>
      <c r="G818" s="8" t="str">
        <f>IF($A818="","",UPPER(TRIM(INDEX(FORM!$F:$F,ROW()))))</f>
        <v/>
      </c>
      <c r="H818" s="8" t="str">
        <f>IF($A818="","",UPPER(TRIM(INDEX(FORM!$E:$E,ROW()))))</f>
        <v/>
      </c>
      <c r="I818" s="8" t="str">
        <f>IF($A818="","",UPPER(TRIM(INDEX(FORM!$G:$G,ROW()))))</f>
        <v/>
      </c>
      <c r="J818" s="8" t="str">
        <f>IF($A818="","",IF(ISNUMBER(SEARCH("Ya,",INDEX(FORM!$H:$H,ROW()))),"YA",IF(ISNUMBER(SEARCH("Cukup,",INDEX(FORM!$H:$H,ROW()))),"CUKUP",IF(ISNUMBER(SEARCH("Kurang,",INDEX(FORM!$H:$H,ROW()))),"KURANG",""))))</f>
        <v/>
      </c>
      <c r="K818" s="8" t="str">
        <f>IF($A818="","",UPPER(TRIM(INDEX(FORM!$J:$J,ROW()))))</f>
        <v/>
      </c>
      <c r="L818" s="8" t="str">
        <f>IF($A818="","",IF(ISNUMBER(SEARCH("Aktivitas Harian",INDEX(FORM!$K:$K,ROW()))),1,0))</f>
        <v/>
      </c>
      <c r="M818" s="8" t="str">
        <f>IF($A818="","",IF(ISNUMBER(SEARCH("Aktivitas Mingguan",INDEX(FORM!$K:$K,ROW()))),1,0))</f>
        <v/>
      </c>
      <c r="N818" s="8" t="str">
        <f>IF($A818="","",IF(ISNUMBER(SEARCH("Aktivitas Bulanan",INDEX(FORM!$K:$K,ROW()))),1,0))</f>
        <v/>
      </c>
      <c r="O818" s="8" t="str">
        <f>IF($A818="","",IF(ISNUMBER(SEARCH("Overview Cabang",INDEX(FORM!$K:$K,ROW()))),1,0))</f>
        <v/>
      </c>
      <c r="P818" s="8" t="str">
        <f>IF($A818="","",IFERROR(VLOOKUP(I818,DATA!$AH$9:$AI$13,2,0),""))</f>
        <v/>
      </c>
      <c r="Q818" s="8" t="str">
        <f>IF($A818="","",IFERROR(VLOOKUP(J818,DATA!$AH$9:$AI$13,2,0),""))</f>
        <v/>
      </c>
      <c r="R818" s="8" t="str">
        <f>IF($A818="","",IFERROR(VLOOKUP(K818,DATA!$AH$9:$AI$13,2,0),""))</f>
        <v/>
      </c>
      <c r="S818" s="42" t="str">
        <f t="shared" si="264"/>
        <v/>
      </c>
      <c r="T818" s="8" t="str">
        <f>IF($A818="","",IF(COUNTIF($D$2:D818,D818)=1,1,0))</f>
        <v/>
      </c>
      <c r="U818" s="8" t="str">
        <f>IF($A818="","",IF(F818="-","Cabang tdk ada",IF(IFERROR(VLOOKUP(G818,#REF!,1,0),"")="","",IF(INDEX(DATA!$AH$2:$AH$5,MATCH(G818,DATA!$AI$2:$AI$5,0))&lt;&gt;F818,"Wilayah beda","OK"))))</f>
        <v/>
      </c>
      <c r="V818" s="8" t="str">
        <f>IF($A818="","",TRIM(INDEX(FORM!$I:$I,ROW())&amp;""))</f>
        <v/>
      </c>
      <c r="W818" s="8" t="str">
        <f>IF($A818="","",TRIM(INDEX(FORM!$L:$L,ROW())&amp;""))</f>
        <v/>
      </c>
      <c r="X818" s="8" t="str">
        <f>IF($A818="","",TRIM(INDEX(FORM!$M:$M,ROW())&amp;""))</f>
        <v/>
      </c>
      <c r="Y818" s="8" t="str">
        <f>IF($A818="","",IFERROR(MATCH(F818,DATA!$AH$2:$AH$5,0),9)*10000+A818)</f>
        <v/>
      </c>
      <c r="Z818" s="8" t="str">
        <f t="shared" si="265"/>
        <v/>
      </c>
      <c r="AA818" s="8" t="str">
        <f t="shared" si="266"/>
        <v/>
      </c>
      <c r="AB818" s="8" t="str">
        <f t="shared" si="267"/>
        <v/>
      </c>
      <c r="AC818" s="8"/>
      <c r="AD818" s="8"/>
      <c r="AE818" s="8"/>
      <c r="AK818" s="5" t="str">
        <f t="shared" si="268"/>
        <v/>
      </c>
      <c r="AL818" s="5" t="str">
        <f t="shared" si="269"/>
        <v/>
      </c>
      <c r="AM818" s="5" t="str">
        <f t="shared" si="270"/>
        <v/>
      </c>
      <c r="AN818" s="5" t="str">
        <f t="shared" si="271"/>
        <v/>
      </c>
      <c r="AO818" s="5" t="str">
        <f t="shared" si="272"/>
        <v/>
      </c>
      <c r="AP818" s="5" t="str">
        <f t="shared" si="273"/>
        <v/>
      </c>
      <c r="AQ818" s="5" t="str">
        <f t="shared" si="274"/>
        <v/>
      </c>
      <c r="AR818" s="5" t="str">
        <f t="shared" si="275"/>
        <v/>
      </c>
      <c r="AS818" s="5" t="str">
        <f t="shared" si="276"/>
        <v/>
      </c>
      <c r="AT818" s="5" t="str">
        <f t="shared" si="277"/>
        <v/>
      </c>
      <c r="AU818" s="5" t="str">
        <f t="shared" si="278"/>
        <v/>
      </c>
      <c r="AV818" s="5" t="str">
        <f t="shared" si="279"/>
        <v/>
      </c>
      <c r="AW818" s="5" t="str">
        <f t="shared" si="280"/>
        <v/>
      </c>
      <c r="AX818" s="5" t="str">
        <f t="shared" si="281"/>
        <v/>
      </c>
      <c r="AY818" s="5" t="str">
        <f t="shared" si="282"/>
        <v/>
      </c>
      <c r="AZ818" s="5" t="str">
        <f t="shared" si="283"/>
        <v/>
      </c>
      <c r="BA818" s="5" t="str">
        <f t="shared" si="284"/>
        <v/>
      </c>
      <c r="BB818" s="5" t="str">
        <f t="shared" si="285"/>
        <v/>
      </c>
    </row>
    <row r="819" spans="1:54" s="5" customFormat="1" hidden="1">
      <c r="A819" s="8" t="str">
        <f>IF(INDEX(FORM!$A:$A,ROW())="","",ROW()-1)</f>
        <v/>
      </c>
      <c r="B819" s="41" t="str">
        <f>IF($A819="","",INDEX(FORM!$A:$A,ROW()))</f>
        <v/>
      </c>
      <c r="C819" s="8" t="str">
        <f>IF($A819="","",TRIM(INDEX(FORM!$B:$B,ROW())))</f>
        <v/>
      </c>
      <c r="D819" s="8" t="str">
        <f>IF($A819="","",TRIM(INDEX(FORM!$C:$C,ROW())&amp;""))</f>
        <v/>
      </c>
      <c r="E819" s="8" t="str">
        <f>IF($A819="","",UPPER(TRIM(INDEX(FORM!$D:$D,ROW()))))</f>
        <v/>
      </c>
      <c r="F819" s="8" t="str">
        <f>IF($A819="","",IFERROR(INDEX(PROGRES!$A$2:$A$92,MATCH(E819,PROGRES!$B$2:$B$92,0)),"-"))</f>
        <v/>
      </c>
      <c r="G819" s="8" t="str">
        <f>IF($A819="","",UPPER(TRIM(INDEX(FORM!$F:$F,ROW()))))</f>
        <v/>
      </c>
      <c r="H819" s="8" t="str">
        <f>IF($A819="","",UPPER(TRIM(INDEX(FORM!$E:$E,ROW()))))</f>
        <v/>
      </c>
      <c r="I819" s="8" t="str">
        <f>IF($A819="","",UPPER(TRIM(INDEX(FORM!$G:$G,ROW()))))</f>
        <v/>
      </c>
      <c r="J819" s="8" t="str">
        <f>IF($A819="","",IF(ISNUMBER(SEARCH("Ya,",INDEX(FORM!$H:$H,ROW()))),"YA",IF(ISNUMBER(SEARCH("Cukup,",INDEX(FORM!$H:$H,ROW()))),"CUKUP",IF(ISNUMBER(SEARCH("Kurang,",INDEX(FORM!$H:$H,ROW()))),"KURANG",""))))</f>
        <v/>
      </c>
      <c r="K819" s="8" t="str">
        <f>IF($A819="","",UPPER(TRIM(INDEX(FORM!$J:$J,ROW()))))</f>
        <v/>
      </c>
      <c r="L819" s="8" t="str">
        <f>IF($A819="","",IF(ISNUMBER(SEARCH("Aktivitas Harian",INDEX(FORM!$K:$K,ROW()))),1,0))</f>
        <v/>
      </c>
      <c r="M819" s="8" t="str">
        <f>IF($A819="","",IF(ISNUMBER(SEARCH("Aktivitas Mingguan",INDEX(FORM!$K:$K,ROW()))),1,0))</f>
        <v/>
      </c>
      <c r="N819" s="8" t="str">
        <f>IF($A819="","",IF(ISNUMBER(SEARCH("Aktivitas Bulanan",INDEX(FORM!$K:$K,ROW()))),1,0))</f>
        <v/>
      </c>
      <c r="O819" s="8" t="str">
        <f>IF($A819="","",IF(ISNUMBER(SEARCH("Overview Cabang",INDEX(FORM!$K:$K,ROW()))),1,0))</f>
        <v/>
      </c>
      <c r="P819" s="8" t="str">
        <f>IF($A819="","",IFERROR(VLOOKUP(I819,DATA!$AH$9:$AI$13,2,0),""))</f>
        <v/>
      </c>
      <c r="Q819" s="8" t="str">
        <f>IF($A819="","",IFERROR(VLOOKUP(J819,DATA!$AH$9:$AI$13,2,0),""))</f>
        <v/>
      </c>
      <c r="R819" s="8" t="str">
        <f>IF($A819="","",IFERROR(VLOOKUP(K819,DATA!$AH$9:$AI$13,2,0),""))</f>
        <v/>
      </c>
      <c r="S819" s="42" t="str">
        <f t="shared" si="264"/>
        <v/>
      </c>
      <c r="T819" s="8" t="str">
        <f>IF($A819="","",IF(COUNTIF($D$2:D819,D819)=1,1,0))</f>
        <v/>
      </c>
      <c r="U819" s="8" t="str">
        <f>IF($A819="","",IF(F819="-","Cabang tdk ada",IF(IFERROR(VLOOKUP(G819,#REF!,1,0),"")="","",IF(INDEX(DATA!$AH$2:$AH$5,MATCH(G819,DATA!$AI$2:$AI$5,0))&lt;&gt;F819,"Wilayah beda","OK"))))</f>
        <v/>
      </c>
      <c r="V819" s="8" t="str">
        <f>IF($A819="","",TRIM(INDEX(FORM!$I:$I,ROW())&amp;""))</f>
        <v/>
      </c>
      <c r="W819" s="8" t="str">
        <f>IF($A819="","",TRIM(INDEX(FORM!$L:$L,ROW())&amp;""))</f>
        <v/>
      </c>
      <c r="X819" s="8" t="str">
        <f>IF($A819="","",TRIM(INDEX(FORM!$M:$M,ROW())&amp;""))</f>
        <v/>
      </c>
      <c r="Y819" s="8" t="str">
        <f>IF($A819="","",IFERROR(MATCH(F819,DATA!$AH$2:$AH$5,0),9)*10000+A819)</f>
        <v/>
      </c>
      <c r="Z819" s="8" t="str">
        <f t="shared" si="265"/>
        <v/>
      </c>
      <c r="AA819" s="8" t="str">
        <f t="shared" si="266"/>
        <v/>
      </c>
      <c r="AB819" s="8" t="str">
        <f t="shared" si="267"/>
        <v/>
      </c>
      <c r="AC819" s="8"/>
      <c r="AD819" s="8"/>
      <c r="AE819" s="8"/>
      <c r="AK819" s="5" t="str">
        <f t="shared" si="268"/>
        <v/>
      </c>
      <c r="AL819" s="5" t="str">
        <f t="shared" si="269"/>
        <v/>
      </c>
      <c r="AM819" s="5" t="str">
        <f t="shared" si="270"/>
        <v/>
      </c>
      <c r="AN819" s="5" t="str">
        <f t="shared" si="271"/>
        <v/>
      </c>
      <c r="AO819" s="5" t="str">
        <f t="shared" si="272"/>
        <v/>
      </c>
      <c r="AP819" s="5" t="str">
        <f t="shared" si="273"/>
        <v/>
      </c>
      <c r="AQ819" s="5" t="str">
        <f t="shared" si="274"/>
        <v/>
      </c>
      <c r="AR819" s="5" t="str">
        <f t="shared" si="275"/>
        <v/>
      </c>
      <c r="AS819" s="5" t="str">
        <f t="shared" si="276"/>
        <v/>
      </c>
      <c r="AT819" s="5" t="str">
        <f t="shared" si="277"/>
        <v/>
      </c>
      <c r="AU819" s="5" t="str">
        <f t="shared" si="278"/>
        <v/>
      </c>
      <c r="AV819" s="5" t="str">
        <f t="shared" si="279"/>
        <v/>
      </c>
      <c r="AW819" s="5" t="str">
        <f t="shared" si="280"/>
        <v/>
      </c>
      <c r="AX819" s="5" t="str">
        <f t="shared" si="281"/>
        <v/>
      </c>
      <c r="AY819" s="5" t="str">
        <f t="shared" si="282"/>
        <v/>
      </c>
      <c r="AZ819" s="5" t="str">
        <f t="shared" si="283"/>
        <v/>
      </c>
      <c r="BA819" s="5" t="str">
        <f t="shared" si="284"/>
        <v/>
      </c>
      <c r="BB819" s="5" t="str">
        <f t="shared" si="285"/>
        <v/>
      </c>
    </row>
    <row r="820" spans="1:54" s="5" customFormat="1" hidden="1">
      <c r="A820" s="8" t="str">
        <f>IF(INDEX(FORM!$A:$A,ROW())="","",ROW()-1)</f>
        <v/>
      </c>
      <c r="B820" s="41" t="str">
        <f>IF($A820="","",INDEX(FORM!$A:$A,ROW()))</f>
        <v/>
      </c>
      <c r="C820" s="8" t="str">
        <f>IF($A820="","",TRIM(INDEX(FORM!$B:$B,ROW())))</f>
        <v/>
      </c>
      <c r="D820" s="8" t="str">
        <f>IF($A820="","",TRIM(INDEX(FORM!$C:$C,ROW())&amp;""))</f>
        <v/>
      </c>
      <c r="E820" s="8" t="str">
        <f>IF($A820="","",UPPER(TRIM(INDEX(FORM!$D:$D,ROW()))))</f>
        <v/>
      </c>
      <c r="F820" s="8" t="str">
        <f>IF($A820="","",IFERROR(INDEX(PROGRES!$A$2:$A$92,MATCH(E820,PROGRES!$B$2:$B$92,0)),"-"))</f>
        <v/>
      </c>
      <c r="G820" s="8" t="str">
        <f>IF($A820="","",UPPER(TRIM(INDEX(FORM!$F:$F,ROW()))))</f>
        <v/>
      </c>
      <c r="H820" s="8" t="str">
        <f>IF($A820="","",UPPER(TRIM(INDEX(FORM!$E:$E,ROW()))))</f>
        <v/>
      </c>
      <c r="I820" s="8" t="str">
        <f>IF($A820="","",UPPER(TRIM(INDEX(FORM!$G:$G,ROW()))))</f>
        <v/>
      </c>
      <c r="J820" s="8" t="str">
        <f>IF($A820="","",IF(ISNUMBER(SEARCH("Ya,",INDEX(FORM!$H:$H,ROW()))),"YA",IF(ISNUMBER(SEARCH("Cukup,",INDEX(FORM!$H:$H,ROW()))),"CUKUP",IF(ISNUMBER(SEARCH("Kurang,",INDEX(FORM!$H:$H,ROW()))),"KURANG",""))))</f>
        <v/>
      </c>
      <c r="K820" s="8" t="str">
        <f>IF($A820="","",UPPER(TRIM(INDEX(FORM!$J:$J,ROW()))))</f>
        <v/>
      </c>
      <c r="L820" s="8" t="str">
        <f>IF($A820="","",IF(ISNUMBER(SEARCH("Aktivitas Harian",INDEX(FORM!$K:$K,ROW()))),1,0))</f>
        <v/>
      </c>
      <c r="M820" s="8" t="str">
        <f>IF($A820="","",IF(ISNUMBER(SEARCH("Aktivitas Mingguan",INDEX(FORM!$K:$K,ROW()))),1,0))</f>
        <v/>
      </c>
      <c r="N820" s="8" t="str">
        <f>IF($A820="","",IF(ISNUMBER(SEARCH("Aktivitas Bulanan",INDEX(FORM!$K:$K,ROW()))),1,0))</f>
        <v/>
      </c>
      <c r="O820" s="8" t="str">
        <f>IF($A820="","",IF(ISNUMBER(SEARCH("Overview Cabang",INDEX(FORM!$K:$K,ROW()))),1,0))</f>
        <v/>
      </c>
      <c r="P820" s="8" t="str">
        <f>IF($A820="","",IFERROR(VLOOKUP(I820,DATA!$AH$9:$AI$13,2,0),""))</f>
        <v/>
      </c>
      <c r="Q820" s="8" t="str">
        <f>IF($A820="","",IFERROR(VLOOKUP(J820,DATA!$AH$9:$AI$13,2,0),""))</f>
        <v/>
      </c>
      <c r="R820" s="8" t="str">
        <f>IF($A820="","",IFERROR(VLOOKUP(K820,DATA!$AH$9:$AI$13,2,0),""))</f>
        <v/>
      </c>
      <c r="S820" s="42" t="str">
        <f t="shared" si="264"/>
        <v/>
      </c>
      <c r="T820" s="8" t="str">
        <f>IF($A820="","",IF(COUNTIF($D$2:D820,D820)=1,1,0))</f>
        <v/>
      </c>
      <c r="U820" s="8" t="str">
        <f>IF($A820="","",IF(F820="-","Cabang tdk ada",IF(IFERROR(VLOOKUP(G820,#REF!,1,0),"")="","",IF(INDEX(DATA!$AH$2:$AH$5,MATCH(G820,DATA!$AI$2:$AI$5,0))&lt;&gt;F820,"Wilayah beda","OK"))))</f>
        <v/>
      </c>
      <c r="V820" s="8" t="str">
        <f>IF($A820="","",TRIM(INDEX(FORM!$I:$I,ROW())&amp;""))</f>
        <v/>
      </c>
      <c r="W820" s="8" t="str">
        <f>IF($A820="","",TRIM(INDEX(FORM!$L:$L,ROW())&amp;""))</f>
        <v/>
      </c>
      <c r="X820" s="8" t="str">
        <f>IF($A820="","",TRIM(INDEX(FORM!$M:$M,ROW())&amp;""))</f>
        <v/>
      </c>
      <c r="Y820" s="8" t="str">
        <f>IF($A820="","",IFERROR(MATCH(F820,DATA!$AH$2:$AH$5,0),9)*10000+A820)</f>
        <v/>
      </c>
      <c r="Z820" s="8" t="str">
        <f t="shared" si="265"/>
        <v/>
      </c>
      <c r="AA820" s="8" t="str">
        <f t="shared" si="266"/>
        <v/>
      </c>
      <c r="AB820" s="8" t="str">
        <f t="shared" si="267"/>
        <v/>
      </c>
      <c r="AC820" s="8"/>
      <c r="AD820" s="8"/>
      <c r="AE820" s="8"/>
      <c r="AK820" s="5" t="str">
        <f t="shared" si="268"/>
        <v/>
      </c>
      <c r="AL820" s="5" t="str">
        <f t="shared" si="269"/>
        <v/>
      </c>
      <c r="AM820" s="5" t="str">
        <f t="shared" si="270"/>
        <v/>
      </c>
      <c r="AN820" s="5" t="str">
        <f t="shared" si="271"/>
        <v/>
      </c>
      <c r="AO820" s="5" t="str">
        <f t="shared" si="272"/>
        <v/>
      </c>
      <c r="AP820" s="5" t="str">
        <f t="shared" si="273"/>
        <v/>
      </c>
      <c r="AQ820" s="5" t="str">
        <f t="shared" si="274"/>
        <v/>
      </c>
      <c r="AR820" s="5" t="str">
        <f t="shared" si="275"/>
        <v/>
      </c>
      <c r="AS820" s="5" t="str">
        <f t="shared" si="276"/>
        <v/>
      </c>
      <c r="AT820" s="5" t="str">
        <f t="shared" si="277"/>
        <v/>
      </c>
      <c r="AU820" s="5" t="str">
        <f t="shared" si="278"/>
        <v/>
      </c>
      <c r="AV820" s="5" t="str">
        <f t="shared" si="279"/>
        <v/>
      </c>
      <c r="AW820" s="5" t="str">
        <f t="shared" si="280"/>
        <v/>
      </c>
      <c r="AX820" s="5" t="str">
        <f t="shared" si="281"/>
        <v/>
      </c>
      <c r="AY820" s="5" t="str">
        <f t="shared" si="282"/>
        <v/>
      </c>
      <c r="AZ820" s="5" t="str">
        <f t="shared" si="283"/>
        <v/>
      </c>
      <c r="BA820" s="5" t="str">
        <f t="shared" si="284"/>
        <v/>
      </c>
      <c r="BB820" s="5" t="str">
        <f t="shared" si="285"/>
        <v/>
      </c>
    </row>
    <row r="821" spans="1:54" s="5" customFormat="1" hidden="1">
      <c r="A821" s="8" t="str">
        <f>IF(INDEX(FORM!$A:$A,ROW())="","",ROW()-1)</f>
        <v/>
      </c>
      <c r="B821" s="41" t="str">
        <f>IF($A821="","",INDEX(FORM!$A:$A,ROW()))</f>
        <v/>
      </c>
      <c r="C821" s="8" t="str">
        <f>IF($A821="","",TRIM(INDEX(FORM!$B:$B,ROW())))</f>
        <v/>
      </c>
      <c r="D821" s="8" t="str">
        <f>IF($A821="","",TRIM(INDEX(FORM!$C:$C,ROW())&amp;""))</f>
        <v/>
      </c>
      <c r="E821" s="8" t="str">
        <f>IF($A821="","",UPPER(TRIM(INDEX(FORM!$D:$D,ROW()))))</f>
        <v/>
      </c>
      <c r="F821" s="8" t="str">
        <f>IF($A821="","",IFERROR(INDEX(PROGRES!$A$2:$A$92,MATCH(E821,PROGRES!$B$2:$B$92,0)),"-"))</f>
        <v/>
      </c>
      <c r="G821" s="8" t="str">
        <f>IF($A821="","",UPPER(TRIM(INDEX(FORM!$F:$F,ROW()))))</f>
        <v/>
      </c>
      <c r="H821" s="8" t="str">
        <f>IF($A821="","",UPPER(TRIM(INDEX(FORM!$E:$E,ROW()))))</f>
        <v/>
      </c>
      <c r="I821" s="8" t="str">
        <f>IF($A821="","",UPPER(TRIM(INDEX(FORM!$G:$G,ROW()))))</f>
        <v/>
      </c>
      <c r="J821" s="8" t="str">
        <f>IF($A821="","",IF(ISNUMBER(SEARCH("Ya,",INDEX(FORM!$H:$H,ROW()))),"YA",IF(ISNUMBER(SEARCH("Cukup,",INDEX(FORM!$H:$H,ROW()))),"CUKUP",IF(ISNUMBER(SEARCH("Kurang,",INDEX(FORM!$H:$H,ROW()))),"KURANG",""))))</f>
        <v/>
      </c>
      <c r="K821" s="8" t="str">
        <f>IF($A821="","",UPPER(TRIM(INDEX(FORM!$J:$J,ROW()))))</f>
        <v/>
      </c>
      <c r="L821" s="8" t="str">
        <f>IF($A821="","",IF(ISNUMBER(SEARCH("Aktivitas Harian",INDEX(FORM!$K:$K,ROW()))),1,0))</f>
        <v/>
      </c>
      <c r="M821" s="8" t="str">
        <f>IF($A821="","",IF(ISNUMBER(SEARCH("Aktivitas Mingguan",INDEX(FORM!$K:$K,ROW()))),1,0))</f>
        <v/>
      </c>
      <c r="N821" s="8" t="str">
        <f>IF($A821="","",IF(ISNUMBER(SEARCH("Aktivitas Bulanan",INDEX(FORM!$K:$K,ROW()))),1,0))</f>
        <v/>
      </c>
      <c r="O821" s="8" t="str">
        <f>IF($A821="","",IF(ISNUMBER(SEARCH("Overview Cabang",INDEX(FORM!$K:$K,ROW()))),1,0))</f>
        <v/>
      </c>
      <c r="P821" s="8" t="str">
        <f>IF($A821="","",IFERROR(VLOOKUP(I821,DATA!$AH$9:$AI$13,2,0),""))</f>
        <v/>
      </c>
      <c r="Q821" s="8" t="str">
        <f>IF($A821="","",IFERROR(VLOOKUP(J821,DATA!$AH$9:$AI$13,2,0),""))</f>
        <v/>
      </c>
      <c r="R821" s="8" t="str">
        <f>IF($A821="","",IFERROR(VLOOKUP(K821,DATA!$AH$9:$AI$13,2,0),""))</f>
        <v/>
      </c>
      <c r="S821" s="42" t="str">
        <f t="shared" si="264"/>
        <v/>
      </c>
      <c r="T821" s="8" t="str">
        <f>IF($A821="","",IF(COUNTIF($D$2:D821,D821)=1,1,0))</f>
        <v/>
      </c>
      <c r="U821" s="8" t="str">
        <f>IF($A821="","",IF(F821="-","Cabang tdk ada",IF(IFERROR(VLOOKUP(G821,#REF!,1,0),"")="","",IF(INDEX(DATA!$AH$2:$AH$5,MATCH(G821,DATA!$AI$2:$AI$5,0))&lt;&gt;F821,"Wilayah beda","OK"))))</f>
        <v/>
      </c>
      <c r="V821" s="8" t="str">
        <f>IF($A821="","",TRIM(INDEX(FORM!$I:$I,ROW())&amp;""))</f>
        <v/>
      </c>
      <c r="W821" s="8" t="str">
        <f>IF($A821="","",TRIM(INDEX(FORM!$L:$L,ROW())&amp;""))</f>
        <v/>
      </c>
      <c r="X821" s="8" t="str">
        <f>IF($A821="","",TRIM(INDEX(FORM!$M:$M,ROW())&amp;""))</f>
        <v/>
      </c>
      <c r="Y821" s="8" t="str">
        <f>IF($A821="","",IFERROR(MATCH(F821,DATA!$AH$2:$AH$5,0),9)*10000+A821)</f>
        <v/>
      </c>
      <c r="Z821" s="8" t="str">
        <f t="shared" si="265"/>
        <v/>
      </c>
      <c r="AA821" s="8" t="str">
        <f t="shared" si="266"/>
        <v/>
      </c>
      <c r="AB821" s="8" t="str">
        <f t="shared" si="267"/>
        <v/>
      </c>
      <c r="AC821" s="8"/>
      <c r="AD821" s="8"/>
      <c r="AE821" s="8"/>
      <c r="AK821" s="5" t="str">
        <f t="shared" si="268"/>
        <v/>
      </c>
      <c r="AL821" s="5" t="str">
        <f t="shared" si="269"/>
        <v/>
      </c>
      <c r="AM821" s="5" t="str">
        <f t="shared" si="270"/>
        <v/>
      </c>
      <c r="AN821" s="5" t="str">
        <f t="shared" si="271"/>
        <v/>
      </c>
      <c r="AO821" s="5" t="str">
        <f t="shared" si="272"/>
        <v/>
      </c>
      <c r="AP821" s="5" t="str">
        <f t="shared" si="273"/>
        <v/>
      </c>
      <c r="AQ821" s="5" t="str">
        <f t="shared" si="274"/>
        <v/>
      </c>
      <c r="AR821" s="5" t="str">
        <f t="shared" si="275"/>
        <v/>
      </c>
      <c r="AS821" s="5" t="str">
        <f t="shared" si="276"/>
        <v/>
      </c>
      <c r="AT821" s="5" t="str">
        <f t="shared" si="277"/>
        <v/>
      </c>
      <c r="AU821" s="5" t="str">
        <f t="shared" si="278"/>
        <v/>
      </c>
      <c r="AV821" s="5" t="str">
        <f t="shared" si="279"/>
        <v/>
      </c>
      <c r="AW821" s="5" t="str">
        <f t="shared" si="280"/>
        <v/>
      </c>
      <c r="AX821" s="5" t="str">
        <f t="shared" si="281"/>
        <v/>
      </c>
      <c r="AY821" s="5" t="str">
        <f t="shared" si="282"/>
        <v/>
      </c>
      <c r="AZ821" s="5" t="str">
        <f t="shared" si="283"/>
        <v/>
      </c>
      <c r="BA821" s="5" t="str">
        <f t="shared" si="284"/>
        <v/>
      </c>
      <c r="BB821" s="5" t="str">
        <f t="shared" si="285"/>
        <v/>
      </c>
    </row>
    <row r="822" spans="1:54" s="5" customFormat="1" hidden="1">
      <c r="A822" s="8" t="str">
        <f>IF(INDEX(FORM!$A:$A,ROW())="","",ROW()-1)</f>
        <v/>
      </c>
      <c r="B822" s="41" t="str">
        <f>IF($A822="","",INDEX(FORM!$A:$A,ROW()))</f>
        <v/>
      </c>
      <c r="C822" s="8" t="str">
        <f>IF($A822="","",TRIM(INDEX(FORM!$B:$B,ROW())))</f>
        <v/>
      </c>
      <c r="D822" s="8" t="str">
        <f>IF($A822="","",TRIM(INDEX(FORM!$C:$C,ROW())&amp;""))</f>
        <v/>
      </c>
      <c r="E822" s="8" t="str">
        <f>IF($A822="","",UPPER(TRIM(INDEX(FORM!$D:$D,ROW()))))</f>
        <v/>
      </c>
      <c r="F822" s="8" t="str">
        <f>IF($A822="","",IFERROR(INDEX(PROGRES!$A$2:$A$92,MATCH(E822,PROGRES!$B$2:$B$92,0)),"-"))</f>
        <v/>
      </c>
      <c r="G822" s="8" t="str">
        <f>IF($A822="","",UPPER(TRIM(INDEX(FORM!$F:$F,ROW()))))</f>
        <v/>
      </c>
      <c r="H822" s="8" t="str">
        <f>IF($A822="","",UPPER(TRIM(INDEX(FORM!$E:$E,ROW()))))</f>
        <v/>
      </c>
      <c r="I822" s="8" t="str">
        <f>IF($A822="","",UPPER(TRIM(INDEX(FORM!$G:$G,ROW()))))</f>
        <v/>
      </c>
      <c r="J822" s="8" t="str">
        <f>IF($A822="","",IF(ISNUMBER(SEARCH("Ya,",INDEX(FORM!$H:$H,ROW()))),"YA",IF(ISNUMBER(SEARCH("Cukup,",INDEX(FORM!$H:$H,ROW()))),"CUKUP",IF(ISNUMBER(SEARCH("Kurang,",INDEX(FORM!$H:$H,ROW()))),"KURANG",""))))</f>
        <v/>
      </c>
      <c r="K822" s="8" t="str">
        <f>IF($A822="","",UPPER(TRIM(INDEX(FORM!$J:$J,ROW()))))</f>
        <v/>
      </c>
      <c r="L822" s="8" t="str">
        <f>IF($A822="","",IF(ISNUMBER(SEARCH("Aktivitas Harian",INDEX(FORM!$K:$K,ROW()))),1,0))</f>
        <v/>
      </c>
      <c r="M822" s="8" t="str">
        <f>IF($A822="","",IF(ISNUMBER(SEARCH("Aktivitas Mingguan",INDEX(FORM!$K:$K,ROW()))),1,0))</f>
        <v/>
      </c>
      <c r="N822" s="8" t="str">
        <f>IF($A822="","",IF(ISNUMBER(SEARCH("Aktivitas Bulanan",INDEX(FORM!$K:$K,ROW()))),1,0))</f>
        <v/>
      </c>
      <c r="O822" s="8" t="str">
        <f>IF($A822="","",IF(ISNUMBER(SEARCH("Overview Cabang",INDEX(FORM!$K:$K,ROW()))),1,0))</f>
        <v/>
      </c>
      <c r="P822" s="8" t="str">
        <f>IF($A822="","",IFERROR(VLOOKUP(I822,DATA!$AH$9:$AI$13,2,0),""))</f>
        <v/>
      </c>
      <c r="Q822" s="8" t="str">
        <f>IF($A822="","",IFERROR(VLOOKUP(J822,DATA!$AH$9:$AI$13,2,0),""))</f>
        <v/>
      </c>
      <c r="R822" s="8" t="str">
        <f>IF($A822="","",IFERROR(VLOOKUP(K822,DATA!$AH$9:$AI$13,2,0),""))</f>
        <v/>
      </c>
      <c r="S822" s="42" t="str">
        <f t="shared" si="264"/>
        <v/>
      </c>
      <c r="T822" s="8" t="str">
        <f>IF($A822="","",IF(COUNTIF($D$2:D822,D822)=1,1,0))</f>
        <v/>
      </c>
      <c r="U822" s="8" t="str">
        <f>IF($A822="","",IF(F822="-","Cabang tdk ada",IF(IFERROR(VLOOKUP(G822,#REF!,1,0),"")="","",IF(INDEX(DATA!$AH$2:$AH$5,MATCH(G822,DATA!$AI$2:$AI$5,0))&lt;&gt;F822,"Wilayah beda","OK"))))</f>
        <v/>
      </c>
      <c r="V822" s="8" t="str">
        <f>IF($A822="","",TRIM(INDEX(FORM!$I:$I,ROW())&amp;""))</f>
        <v/>
      </c>
      <c r="W822" s="8" t="str">
        <f>IF($A822="","",TRIM(INDEX(FORM!$L:$L,ROW())&amp;""))</f>
        <v/>
      </c>
      <c r="X822" s="8" t="str">
        <f>IF($A822="","",TRIM(INDEX(FORM!$M:$M,ROW())&amp;""))</f>
        <v/>
      </c>
      <c r="Y822" s="8" t="str">
        <f>IF($A822="","",IFERROR(MATCH(F822,DATA!$AH$2:$AH$5,0),9)*10000+A822)</f>
        <v/>
      </c>
      <c r="Z822" s="8" t="str">
        <f t="shared" si="265"/>
        <v/>
      </c>
      <c r="AA822" s="8" t="str">
        <f t="shared" si="266"/>
        <v/>
      </c>
      <c r="AB822" s="8" t="str">
        <f t="shared" si="267"/>
        <v/>
      </c>
      <c r="AC822" s="8"/>
      <c r="AD822" s="8"/>
      <c r="AE822" s="8"/>
      <c r="AK822" s="5" t="str">
        <f t="shared" si="268"/>
        <v/>
      </c>
      <c r="AL822" s="5" t="str">
        <f t="shared" si="269"/>
        <v/>
      </c>
      <c r="AM822" s="5" t="str">
        <f t="shared" si="270"/>
        <v/>
      </c>
      <c r="AN822" s="5" t="str">
        <f t="shared" si="271"/>
        <v/>
      </c>
      <c r="AO822" s="5" t="str">
        <f t="shared" si="272"/>
        <v/>
      </c>
      <c r="AP822" s="5" t="str">
        <f t="shared" si="273"/>
        <v/>
      </c>
      <c r="AQ822" s="5" t="str">
        <f t="shared" si="274"/>
        <v/>
      </c>
      <c r="AR822" s="5" t="str">
        <f t="shared" si="275"/>
        <v/>
      </c>
      <c r="AS822" s="5" t="str">
        <f t="shared" si="276"/>
        <v/>
      </c>
      <c r="AT822" s="5" t="str">
        <f t="shared" si="277"/>
        <v/>
      </c>
      <c r="AU822" s="5" t="str">
        <f t="shared" si="278"/>
        <v/>
      </c>
      <c r="AV822" s="5" t="str">
        <f t="shared" si="279"/>
        <v/>
      </c>
      <c r="AW822" s="5" t="str">
        <f t="shared" si="280"/>
        <v/>
      </c>
      <c r="AX822" s="5" t="str">
        <f t="shared" si="281"/>
        <v/>
      </c>
      <c r="AY822" s="5" t="str">
        <f t="shared" si="282"/>
        <v/>
      </c>
      <c r="AZ822" s="5" t="str">
        <f t="shared" si="283"/>
        <v/>
      </c>
      <c r="BA822" s="5" t="str">
        <f t="shared" si="284"/>
        <v/>
      </c>
      <c r="BB822" s="5" t="str">
        <f t="shared" si="285"/>
        <v/>
      </c>
    </row>
    <row r="823" spans="1:54" s="5" customFormat="1" hidden="1">
      <c r="A823" s="8" t="str">
        <f>IF(INDEX(FORM!$A:$A,ROW())="","",ROW()-1)</f>
        <v/>
      </c>
      <c r="B823" s="41" t="str">
        <f>IF($A823="","",INDEX(FORM!$A:$A,ROW()))</f>
        <v/>
      </c>
      <c r="C823" s="8" t="str">
        <f>IF($A823="","",TRIM(INDEX(FORM!$B:$B,ROW())))</f>
        <v/>
      </c>
      <c r="D823" s="8" t="str">
        <f>IF($A823="","",TRIM(INDEX(FORM!$C:$C,ROW())&amp;""))</f>
        <v/>
      </c>
      <c r="E823" s="8" t="str">
        <f>IF($A823="","",UPPER(TRIM(INDEX(FORM!$D:$D,ROW()))))</f>
        <v/>
      </c>
      <c r="F823" s="8" t="str">
        <f>IF($A823="","",IFERROR(INDEX(PROGRES!$A$2:$A$92,MATCH(E823,PROGRES!$B$2:$B$92,0)),"-"))</f>
        <v/>
      </c>
      <c r="G823" s="8" t="str">
        <f>IF($A823="","",UPPER(TRIM(INDEX(FORM!$F:$F,ROW()))))</f>
        <v/>
      </c>
      <c r="H823" s="8" t="str">
        <f>IF($A823="","",UPPER(TRIM(INDEX(FORM!$E:$E,ROW()))))</f>
        <v/>
      </c>
      <c r="I823" s="8" t="str">
        <f>IF($A823="","",UPPER(TRIM(INDEX(FORM!$G:$G,ROW()))))</f>
        <v/>
      </c>
      <c r="J823" s="8" t="str">
        <f>IF($A823="","",IF(ISNUMBER(SEARCH("Ya,",INDEX(FORM!$H:$H,ROW()))),"YA",IF(ISNUMBER(SEARCH("Cukup,",INDEX(FORM!$H:$H,ROW()))),"CUKUP",IF(ISNUMBER(SEARCH("Kurang,",INDEX(FORM!$H:$H,ROW()))),"KURANG",""))))</f>
        <v/>
      </c>
      <c r="K823" s="8" t="str">
        <f>IF($A823="","",UPPER(TRIM(INDEX(FORM!$J:$J,ROW()))))</f>
        <v/>
      </c>
      <c r="L823" s="8" t="str">
        <f>IF($A823="","",IF(ISNUMBER(SEARCH("Aktivitas Harian",INDEX(FORM!$K:$K,ROW()))),1,0))</f>
        <v/>
      </c>
      <c r="M823" s="8" t="str">
        <f>IF($A823="","",IF(ISNUMBER(SEARCH("Aktivitas Mingguan",INDEX(FORM!$K:$K,ROW()))),1,0))</f>
        <v/>
      </c>
      <c r="N823" s="8" t="str">
        <f>IF($A823="","",IF(ISNUMBER(SEARCH("Aktivitas Bulanan",INDEX(FORM!$K:$K,ROW()))),1,0))</f>
        <v/>
      </c>
      <c r="O823" s="8" t="str">
        <f>IF($A823="","",IF(ISNUMBER(SEARCH("Overview Cabang",INDEX(FORM!$K:$K,ROW()))),1,0))</f>
        <v/>
      </c>
      <c r="P823" s="8" t="str">
        <f>IF($A823="","",IFERROR(VLOOKUP(I823,DATA!$AH$9:$AI$13,2,0),""))</f>
        <v/>
      </c>
      <c r="Q823" s="8" t="str">
        <f>IF($A823="","",IFERROR(VLOOKUP(J823,DATA!$AH$9:$AI$13,2,0),""))</f>
        <v/>
      </c>
      <c r="R823" s="8" t="str">
        <f>IF($A823="","",IFERROR(VLOOKUP(K823,DATA!$AH$9:$AI$13,2,0),""))</f>
        <v/>
      </c>
      <c r="S823" s="42" t="str">
        <f t="shared" si="264"/>
        <v/>
      </c>
      <c r="T823" s="8" t="str">
        <f>IF($A823="","",IF(COUNTIF($D$2:D823,D823)=1,1,0))</f>
        <v/>
      </c>
      <c r="U823" s="8" t="str">
        <f>IF($A823="","",IF(F823="-","Cabang tdk ada",IF(IFERROR(VLOOKUP(G823,#REF!,1,0),"")="","",IF(INDEX(DATA!$AH$2:$AH$5,MATCH(G823,DATA!$AI$2:$AI$5,0))&lt;&gt;F823,"Wilayah beda","OK"))))</f>
        <v/>
      </c>
      <c r="V823" s="8" t="str">
        <f>IF($A823="","",TRIM(INDEX(FORM!$I:$I,ROW())&amp;""))</f>
        <v/>
      </c>
      <c r="W823" s="8" t="str">
        <f>IF($A823="","",TRIM(INDEX(FORM!$L:$L,ROW())&amp;""))</f>
        <v/>
      </c>
      <c r="X823" s="8" t="str">
        <f>IF($A823="","",TRIM(INDEX(FORM!$M:$M,ROW())&amp;""))</f>
        <v/>
      </c>
      <c r="Y823" s="8" t="str">
        <f>IF($A823="","",IFERROR(MATCH(F823,DATA!$AH$2:$AH$5,0),9)*10000+A823)</f>
        <v/>
      </c>
      <c r="Z823" s="8" t="str">
        <f t="shared" si="265"/>
        <v/>
      </c>
      <c r="AA823" s="8" t="str">
        <f t="shared" si="266"/>
        <v/>
      </c>
      <c r="AB823" s="8" t="str">
        <f t="shared" si="267"/>
        <v/>
      </c>
      <c r="AC823" s="8"/>
      <c r="AD823" s="8"/>
      <c r="AE823" s="8"/>
      <c r="AK823" s="5" t="str">
        <f t="shared" si="268"/>
        <v/>
      </c>
      <c r="AL823" s="5" t="str">
        <f t="shared" si="269"/>
        <v/>
      </c>
      <c r="AM823" s="5" t="str">
        <f t="shared" si="270"/>
        <v/>
      </c>
      <c r="AN823" s="5" t="str">
        <f t="shared" si="271"/>
        <v/>
      </c>
      <c r="AO823" s="5" t="str">
        <f t="shared" si="272"/>
        <v/>
      </c>
      <c r="AP823" s="5" t="str">
        <f t="shared" si="273"/>
        <v/>
      </c>
      <c r="AQ823" s="5" t="str">
        <f t="shared" si="274"/>
        <v/>
      </c>
      <c r="AR823" s="5" t="str">
        <f t="shared" si="275"/>
        <v/>
      </c>
      <c r="AS823" s="5" t="str">
        <f t="shared" si="276"/>
        <v/>
      </c>
      <c r="AT823" s="5" t="str">
        <f t="shared" si="277"/>
        <v/>
      </c>
      <c r="AU823" s="5" t="str">
        <f t="shared" si="278"/>
        <v/>
      </c>
      <c r="AV823" s="5" t="str">
        <f t="shared" si="279"/>
        <v/>
      </c>
      <c r="AW823" s="5" t="str">
        <f t="shared" si="280"/>
        <v/>
      </c>
      <c r="AX823" s="5" t="str">
        <f t="shared" si="281"/>
        <v/>
      </c>
      <c r="AY823" s="5" t="str">
        <f t="shared" si="282"/>
        <v/>
      </c>
      <c r="AZ823" s="5" t="str">
        <f t="shared" si="283"/>
        <v/>
      </c>
      <c r="BA823" s="5" t="str">
        <f t="shared" si="284"/>
        <v/>
      </c>
      <c r="BB823" s="5" t="str">
        <f t="shared" si="285"/>
        <v/>
      </c>
    </row>
    <row r="824" spans="1:54" s="5" customFormat="1" hidden="1">
      <c r="A824" s="8" t="str">
        <f>IF(INDEX(FORM!$A:$A,ROW())="","",ROW()-1)</f>
        <v/>
      </c>
      <c r="B824" s="41" t="str">
        <f>IF($A824="","",INDEX(FORM!$A:$A,ROW()))</f>
        <v/>
      </c>
      <c r="C824" s="8" t="str">
        <f>IF($A824="","",TRIM(INDEX(FORM!$B:$B,ROW())))</f>
        <v/>
      </c>
      <c r="D824" s="8" t="str">
        <f>IF($A824="","",TRIM(INDEX(FORM!$C:$C,ROW())&amp;""))</f>
        <v/>
      </c>
      <c r="E824" s="8" t="str">
        <f>IF($A824="","",UPPER(TRIM(INDEX(FORM!$D:$D,ROW()))))</f>
        <v/>
      </c>
      <c r="F824" s="8" t="str">
        <f>IF($A824="","",IFERROR(INDEX(PROGRES!$A$2:$A$92,MATCH(E824,PROGRES!$B$2:$B$92,0)),"-"))</f>
        <v/>
      </c>
      <c r="G824" s="8" t="str">
        <f>IF($A824="","",UPPER(TRIM(INDEX(FORM!$F:$F,ROW()))))</f>
        <v/>
      </c>
      <c r="H824" s="8" t="str">
        <f>IF($A824="","",UPPER(TRIM(INDEX(FORM!$E:$E,ROW()))))</f>
        <v/>
      </c>
      <c r="I824" s="8" t="str">
        <f>IF($A824="","",UPPER(TRIM(INDEX(FORM!$G:$G,ROW()))))</f>
        <v/>
      </c>
      <c r="J824" s="8" t="str">
        <f>IF($A824="","",IF(ISNUMBER(SEARCH("Ya,",INDEX(FORM!$H:$H,ROW()))),"YA",IF(ISNUMBER(SEARCH("Cukup,",INDEX(FORM!$H:$H,ROW()))),"CUKUP",IF(ISNUMBER(SEARCH("Kurang,",INDEX(FORM!$H:$H,ROW()))),"KURANG",""))))</f>
        <v/>
      </c>
      <c r="K824" s="8" t="str">
        <f>IF($A824="","",UPPER(TRIM(INDEX(FORM!$J:$J,ROW()))))</f>
        <v/>
      </c>
      <c r="L824" s="8" t="str">
        <f>IF($A824="","",IF(ISNUMBER(SEARCH("Aktivitas Harian",INDEX(FORM!$K:$K,ROW()))),1,0))</f>
        <v/>
      </c>
      <c r="M824" s="8" t="str">
        <f>IF($A824="","",IF(ISNUMBER(SEARCH("Aktivitas Mingguan",INDEX(FORM!$K:$K,ROW()))),1,0))</f>
        <v/>
      </c>
      <c r="N824" s="8" t="str">
        <f>IF($A824="","",IF(ISNUMBER(SEARCH("Aktivitas Bulanan",INDEX(FORM!$K:$K,ROW()))),1,0))</f>
        <v/>
      </c>
      <c r="O824" s="8" t="str">
        <f>IF($A824="","",IF(ISNUMBER(SEARCH("Overview Cabang",INDEX(FORM!$K:$K,ROW()))),1,0))</f>
        <v/>
      </c>
      <c r="P824" s="8" t="str">
        <f>IF($A824="","",IFERROR(VLOOKUP(I824,DATA!$AH$9:$AI$13,2,0),""))</f>
        <v/>
      </c>
      <c r="Q824" s="8" t="str">
        <f>IF($A824="","",IFERROR(VLOOKUP(J824,DATA!$AH$9:$AI$13,2,0),""))</f>
        <v/>
      </c>
      <c r="R824" s="8" t="str">
        <f>IF($A824="","",IFERROR(VLOOKUP(K824,DATA!$AH$9:$AI$13,2,0),""))</f>
        <v/>
      </c>
      <c r="S824" s="42" t="str">
        <f t="shared" si="264"/>
        <v/>
      </c>
      <c r="T824" s="8" t="str">
        <f>IF($A824="","",IF(COUNTIF($D$2:D824,D824)=1,1,0))</f>
        <v/>
      </c>
      <c r="U824" s="8" t="str">
        <f>IF($A824="","",IF(F824="-","Cabang tdk ada",IF(IFERROR(VLOOKUP(G824,#REF!,1,0),"")="","",IF(INDEX(DATA!$AH$2:$AH$5,MATCH(G824,DATA!$AI$2:$AI$5,0))&lt;&gt;F824,"Wilayah beda","OK"))))</f>
        <v/>
      </c>
      <c r="V824" s="8" t="str">
        <f>IF($A824="","",TRIM(INDEX(FORM!$I:$I,ROW())&amp;""))</f>
        <v/>
      </c>
      <c r="W824" s="8" t="str">
        <f>IF($A824="","",TRIM(INDEX(FORM!$L:$L,ROW())&amp;""))</f>
        <v/>
      </c>
      <c r="X824" s="8" t="str">
        <f>IF($A824="","",TRIM(INDEX(FORM!$M:$M,ROW())&amp;""))</f>
        <v/>
      </c>
      <c r="Y824" s="8" t="str">
        <f>IF($A824="","",IFERROR(MATCH(F824,DATA!$AH$2:$AH$5,0),9)*10000+A824)</f>
        <v/>
      </c>
      <c r="Z824" s="8" t="str">
        <f t="shared" si="265"/>
        <v/>
      </c>
      <c r="AA824" s="8" t="str">
        <f t="shared" si="266"/>
        <v/>
      </c>
      <c r="AB824" s="8" t="str">
        <f t="shared" si="267"/>
        <v/>
      </c>
      <c r="AC824" s="8"/>
      <c r="AD824" s="8"/>
      <c r="AE824" s="8"/>
      <c r="AK824" s="5" t="str">
        <f t="shared" si="268"/>
        <v/>
      </c>
      <c r="AL824" s="5" t="str">
        <f t="shared" si="269"/>
        <v/>
      </c>
      <c r="AM824" s="5" t="str">
        <f t="shared" si="270"/>
        <v/>
      </c>
      <c r="AN824" s="5" t="str">
        <f t="shared" si="271"/>
        <v/>
      </c>
      <c r="AO824" s="5" t="str">
        <f t="shared" si="272"/>
        <v/>
      </c>
      <c r="AP824" s="5" t="str">
        <f t="shared" si="273"/>
        <v/>
      </c>
      <c r="AQ824" s="5" t="str">
        <f t="shared" si="274"/>
        <v/>
      </c>
      <c r="AR824" s="5" t="str">
        <f t="shared" si="275"/>
        <v/>
      </c>
      <c r="AS824" s="5" t="str">
        <f t="shared" si="276"/>
        <v/>
      </c>
      <c r="AT824" s="5" t="str">
        <f t="shared" si="277"/>
        <v/>
      </c>
      <c r="AU824" s="5" t="str">
        <f t="shared" si="278"/>
        <v/>
      </c>
      <c r="AV824" s="5" t="str">
        <f t="shared" si="279"/>
        <v/>
      </c>
      <c r="AW824" s="5" t="str">
        <f t="shared" si="280"/>
        <v/>
      </c>
      <c r="AX824" s="5" t="str">
        <f t="shared" si="281"/>
        <v/>
      </c>
      <c r="AY824" s="5" t="str">
        <f t="shared" si="282"/>
        <v/>
      </c>
      <c r="AZ824" s="5" t="str">
        <f t="shared" si="283"/>
        <v/>
      </c>
      <c r="BA824" s="5" t="str">
        <f t="shared" si="284"/>
        <v/>
      </c>
      <c r="BB824" s="5" t="str">
        <f t="shared" si="285"/>
        <v/>
      </c>
    </row>
    <row r="825" spans="1:54" s="5" customFormat="1" hidden="1">
      <c r="A825" s="8" t="str">
        <f>IF(INDEX(FORM!$A:$A,ROW())="","",ROW()-1)</f>
        <v/>
      </c>
      <c r="B825" s="41" t="str">
        <f>IF($A825="","",INDEX(FORM!$A:$A,ROW()))</f>
        <v/>
      </c>
      <c r="C825" s="8" t="str">
        <f>IF($A825="","",TRIM(INDEX(FORM!$B:$B,ROW())))</f>
        <v/>
      </c>
      <c r="D825" s="8" t="str">
        <f>IF($A825="","",TRIM(INDEX(FORM!$C:$C,ROW())&amp;""))</f>
        <v/>
      </c>
      <c r="E825" s="8" t="str">
        <f>IF($A825="","",UPPER(TRIM(INDEX(FORM!$D:$D,ROW()))))</f>
        <v/>
      </c>
      <c r="F825" s="8" t="str">
        <f>IF($A825="","",IFERROR(INDEX(PROGRES!$A$2:$A$92,MATCH(E825,PROGRES!$B$2:$B$92,0)),"-"))</f>
        <v/>
      </c>
      <c r="G825" s="8" t="str">
        <f>IF($A825="","",UPPER(TRIM(INDEX(FORM!$F:$F,ROW()))))</f>
        <v/>
      </c>
      <c r="H825" s="8" t="str">
        <f>IF($A825="","",UPPER(TRIM(INDEX(FORM!$E:$E,ROW()))))</f>
        <v/>
      </c>
      <c r="I825" s="8" t="str">
        <f>IF($A825="","",UPPER(TRIM(INDEX(FORM!$G:$G,ROW()))))</f>
        <v/>
      </c>
      <c r="J825" s="8" t="str">
        <f>IF($A825="","",IF(ISNUMBER(SEARCH("Ya,",INDEX(FORM!$H:$H,ROW()))),"YA",IF(ISNUMBER(SEARCH("Cukup,",INDEX(FORM!$H:$H,ROW()))),"CUKUP",IF(ISNUMBER(SEARCH("Kurang,",INDEX(FORM!$H:$H,ROW()))),"KURANG",""))))</f>
        <v/>
      </c>
      <c r="K825" s="8" t="str">
        <f>IF($A825="","",UPPER(TRIM(INDEX(FORM!$J:$J,ROW()))))</f>
        <v/>
      </c>
      <c r="L825" s="8" t="str">
        <f>IF($A825="","",IF(ISNUMBER(SEARCH("Aktivitas Harian",INDEX(FORM!$K:$K,ROW()))),1,0))</f>
        <v/>
      </c>
      <c r="M825" s="8" t="str">
        <f>IF($A825="","",IF(ISNUMBER(SEARCH("Aktivitas Mingguan",INDEX(FORM!$K:$K,ROW()))),1,0))</f>
        <v/>
      </c>
      <c r="N825" s="8" t="str">
        <f>IF($A825="","",IF(ISNUMBER(SEARCH("Aktivitas Bulanan",INDEX(FORM!$K:$K,ROW()))),1,0))</f>
        <v/>
      </c>
      <c r="O825" s="8" t="str">
        <f>IF($A825="","",IF(ISNUMBER(SEARCH("Overview Cabang",INDEX(FORM!$K:$K,ROW()))),1,0))</f>
        <v/>
      </c>
      <c r="P825" s="8" t="str">
        <f>IF($A825="","",IFERROR(VLOOKUP(I825,DATA!$AH$9:$AI$13,2,0),""))</f>
        <v/>
      </c>
      <c r="Q825" s="8" t="str">
        <f>IF($A825="","",IFERROR(VLOOKUP(J825,DATA!$AH$9:$AI$13,2,0),""))</f>
        <v/>
      </c>
      <c r="R825" s="8" t="str">
        <f>IF($A825="","",IFERROR(VLOOKUP(K825,DATA!$AH$9:$AI$13,2,0),""))</f>
        <v/>
      </c>
      <c r="S825" s="42" t="str">
        <f t="shared" si="264"/>
        <v/>
      </c>
      <c r="T825" s="8" t="str">
        <f>IF($A825="","",IF(COUNTIF($D$2:D825,D825)=1,1,0))</f>
        <v/>
      </c>
      <c r="U825" s="8" t="str">
        <f>IF($A825="","",IF(F825="-","Cabang tdk ada",IF(IFERROR(VLOOKUP(G825,#REF!,1,0),"")="","",IF(INDEX(DATA!$AH$2:$AH$5,MATCH(G825,DATA!$AI$2:$AI$5,0))&lt;&gt;F825,"Wilayah beda","OK"))))</f>
        <v/>
      </c>
      <c r="V825" s="8" t="str">
        <f>IF($A825="","",TRIM(INDEX(FORM!$I:$I,ROW())&amp;""))</f>
        <v/>
      </c>
      <c r="W825" s="8" t="str">
        <f>IF($A825="","",TRIM(INDEX(FORM!$L:$L,ROW())&amp;""))</f>
        <v/>
      </c>
      <c r="X825" s="8" t="str">
        <f>IF($A825="","",TRIM(INDEX(FORM!$M:$M,ROW())&amp;""))</f>
        <v/>
      </c>
      <c r="Y825" s="8" t="str">
        <f>IF($A825="","",IFERROR(MATCH(F825,DATA!$AH$2:$AH$5,0),9)*10000+A825)</f>
        <v/>
      </c>
      <c r="Z825" s="8" t="str">
        <f t="shared" si="265"/>
        <v/>
      </c>
      <c r="AA825" s="8" t="str">
        <f t="shared" si="266"/>
        <v/>
      </c>
      <c r="AB825" s="8" t="str">
        <f t="shared" si="267"/>
        <v/>
      </c>
      <c r="AC825" s="8"/>
      <c r="AD825" s="8"/>
      <c r="AE825" s="8"/>
      <c r="AK825" s="5" t="str">
        <f t="shared" si="268"/>
        <v/>
      </c>
      <c r="AL825" s="5" t="str">
        <f t="shared" si="269"/>
        <v/>
      </c>
      <c r="AM825" s="5" t="str">
        <f t="shared" si="270"/>
        <v/>
      </c>
      <c r="AN825" s="5" t="str">
        <f t="shared" si="271"/>
        <v/>
      </c>
      <c r="AO825" s="5" t="str">
        <f t="shared" si="272"/>
        <v/>
      </c>
      <c r="AP825" s="5" t="str">
        <f t="shared" si="273"/>
        <v/>
      </c>
      <c r="AQ825" s="5" t="str">
        <f t="shared" si="274"/>
        <v/>
      </c>
      <c r="AR825" s="5" t="str">
        <f t="shared" si="275"/>
        <v/>
      </c>
      <c r="AS825" s="5" t="str">
        <f t="shared" si="276"/>
        <v/>
      </c>
      <c r="AT825" s="5" t="str">
        <f t="shared" si="277"/>
        <v/>
      </c>
      <c r="AU825" s="5" t="str">
        <f t="shared" si="278"/>
        <v/>
      </c>
      <c r="AV825" s="5" t="str">
        <f t="shared" si="279"/>
        <v/>
      </c>
      <c r="AW825" s="5" t="str">
        <f t="shared" si="280"/>
        <v/>
      </c>
      <c r="AX825" s="5" t="str">
        <f t="shared" si="281"/>
        <v/>
      </c>
      <c r="AY825" s="5" t="str">
        <f t="shared" si="282"/>
        <v/>
      </c>
      <c r="AZ825" s="5" t="str">
        <f t="shared" si="283"/>
        <v/>
      </c>
      <c r="BA825" s="5" t="str">
        <f t="shared" si="284"/>
        <v/>
      </c>
      <c r="BB825" s="5" t="str">
        <f t="shared" si="285"/>
        <v/>
      </c>
    </row>
    <row r="826" spans="1:54" s="5" customFormat="1" hidden="1">
      <c r="A826" s="8" t="str">
        <f>IF(INDEX(FORM!$A:$A,ROW())="","",ROW()-1)</f>
        <v/>
      </c>
      <c r="B826" s="41" t="str">
        <f>IF($A826="","",INDEX(FORM!$A:$A,ROW()))</f>
        <v/>
      </c>
      <c r="C826" s="8" t="str">
        <f>IF($A826="","",TRIM(INDEX(FORM!$B:$B,ROW())))</f>
        <v/>
      </c>
      <c r="D826" s="8" t="str">
        <f>IF($A826="","",TRIM(INDEX(FORM!$C:$C,ROW())&amp;""))</f>
        <v/>
      </c>
      <c r="E826" s="8" t="str">
        <f>IF($A826="","",UPPER(TRIM(INDEX(FORM!$D:$D,ROW()))))</f>
        <v/>
      </c>
      <c r="F826" s="8" t="str">
        <f>IF($A826="","",IFERROR(INDEX(PROGRES!$A$2:$A$92,MATCH(E826,PROGRES!$B$2:$B$92,0)),"-"))</f>
        <v/>
      </c>
      <c r="G826" s="8" t="str">
        <f>IF($A826="","",UPPER(TRIM(INDEX(FORM!$F:$F,ROW()))))</f>
        <v/>
      </c>
      <c r="H826" s="8" t="str">
        <f>IF($A826="","",UPPER(TRIM(INDEX(FORM!$E:$E,ROW()))))</f>
        <v/>
      </c>
      <c r="I826" s="8" t="str">
        <f>IF($A826="","",UPPER(TRIM(INDEX(FORM!$G:$G,ROW()))))</f>
        <v/>
      </c>
      <c r="J826" s="8" t="str">
        <f>IF($A826="","",IF(ISNUMBER(SEARCH("Ya,",INDEX(FORM!$H:$H,ROW()))),"YA",IF(ISNUMBER(SEARCH("Cukup,",INDEX(FORM!$H:$H,ROW()))),"CUKUP",IF(ISNUMBER(SEARCH("Kurang,",INDEX(FORM!$H:$H,ROW()))),"KURANG",""))))</f>
        <v/>
      </c>
      <c r="K826" s="8" t="str">
        <f>IF($A826="","",UPPER(TRIM(INDEX(FORM!$J:$J,ROW()))))</f>
        <v/>
      </c>
      <c r="L826" s="8" t="str">
        <f>IF($A826="","",IF(ISNUMBER(SEARCH("Aktivitas Harian",INDEX(FORM!$K:$K,ROW()))),1,0))</f>
        <v/>
      </c>
      <c r="M826" s="8" t="str">
        <f>IF($A826="","",IF(ISNUMBER(SEARCH("Aktivitas Mingguan",INDEX(FORM!$K:$K,ROW()))),1,0))</f>
        <v/>
      </c>
      <c r="N826" s="8" t="str">
        <f>IF($A826="","",IF(ISNUMBER(SEARCH("Aktivitas Bulanan",INDEX(FORM!$K:$K,ROW()))),1,0))</f>
        <v/>
      </c>
      <c r="O826" s="8" t="str">
        <f>IF($A826="","",IF(ISNUMBER(SEARCH("Overview Cabang",INDEX(FORM!$K:$K,ROW()))),1,0))</f>
        <v/>
      </c>
      <c r="P826" s="8" t="str">
        <f>IF($A826="","",IFERROR(VLOOKUP(I826,DATA!$AH$9:$AI$13,2,0),""))</f>
        <v/>
      </c>
      <c r="Q826" s="8" t="str">
        <f>IF($A826="","",IFERROR(VLOOKUP(J826,DATA!$AH$9:$AI$13,2,0),""))</f>
        <v/>
      </c>
      <c r="R826" s="8" t="str">
        <f>IF($A826="","",IFERROR(VLOOKUP(K826,DATA!$AH$9:$AI$13,2,0),""))</f>
        <v/>
      </c>
      <c r="S826" s="42" t="str">
        <f t="shared" si="264"/>
        <v/>
      </c>
      <c r="T826" s="8" t="str">
        <f>IF($A826="","",IF(COUNTIF($D$2:D826,D826)=1,1,0))</f>
        <v/>
      </c>
      <c r="U826" s="8" t="str">
        <f>IF($A826="","",IF(F826="-","Cabang tdk ada",IF(IFERROR(VLOOKUP(G826,#REF!,1,0),"")="","",IF(INDEX(DATA!$AH$2:$AH$5,MATCH(G826,DATA!$AI$2:$AI$5,0))&lt;&gt;F826,"Wilayah beda","OK"))))</f>
        <v/>
      </c>
      <c r="V826" s="8" t="str">
        <f>IF($A826="","",TRIM(INDEX(FORM!$I:$I,ROW())&amp;""))</f>
        <v/>
      </c>
      <c r="W826" s="8" t="str">
        <f>IF($A826="","",TRIM(INDEX(FORM!$L:$L,ROW())&amp;""))</f>
        <v/>
      </c>
      <c r="X826" s="8" t="str">
        <f>IF($A826="","",TRIM(INDEX(FORM!$M:$M,ROW())&amp;""))</f>
        <v/>
      </c>
      <c r="Y826" s="8" t="str">
        <f>IF($A826="","",IFERROR(MATCH(F826,DATA!$AH$2:$AH$5,0),9)*10000+A826)</f>
        <v/>
      </c>
      <c r="Z826" s="8" t="str">
        <f t="shared" si="265"/>
        <v/>
      </c>
      <c r="AA826" s="8" t="str">
        <f t="shared" si="266"/>
        <v/>
      </c>
      <c r="AB826" s="8" t="str">
        <f t="shared" si="267"/>
        <v/>
      </c>
      <c r="AC826" s="8"/>
      <c r="AD826" s="8"/>
      <c r="AE826" s="8"/>
      <c r="AK826" s="5" t="str">
        <f t="shared" si="268"/>
        <v/>
      </c>
      <c r="AL826" s="5" t="str">
        <f t="shared" si="269"/>
        <v/>
      </c>
      <c r="AM826" s="5" t="str">
        <f t="shared" si="270"/>
        <v/>
      </c>
      <c r="AN826" s="5" t="str">
        <f t="shared" si="271"/>
        <v/>
      </c>
      <c r="AO826" s="5" t="str">
        <f t="shared" si="272"/>
        <v/>
      </c>
      <c r="AP826" s="5" t="str">
        <f t="shared" si="273"/>
        <v/>
      </c>
      <c r="AQ826" s="5" t="str">
        <f t="shared" si="274"/>
        <v/>
      </c>
      <c r="AR826" s="5" t="str">
        <f t="shared" si="275"/>
        <v/>
      </c>
      <c r="AS826" s="5" t="str">
        <f t="shared" si="276"/>
        <v/>
      </c>
      <c r="AT826" s="5" t="str">
        <f t="shared" si="277"/>
        <v/>
      </c>
      <c r="AU826" s="5" t="str">
        <f t="shared" si="278"/>
        <v/>
      </c>
      <c r="AV826" s="5" t="str">
        <f t="shared" si="279"/>
        <v/>
      </c>
      <c r="AW826" s="5" t="str">
        <f t="shared" si="280"/>
        <v/>
      </c>
      <c r="AX826" s="5" t="str">
        <f t="shared" si="281"/>
        <v/>
      </c>
      <c r="AY826" s="5" t="str">
        <f t="shared" si="282"/>
        <v/>
      </c>
      <c r="AZ826" s="5" t="str">
        <f t="shared" si="283"/>
        <v/>
      </c>
      <c r="BA826" s="5" t="str">
        <f t="shared" si="284"/>
        <v/>
      </c>
      <c r="BB826" s="5" t="str">
        <f t="shared" si="285"/>
        <v/>
      </c>
    </row>
    <row r="827" spans="1:54" s="5" customFormat="1" hidden="1">
      <c r="A827" s="8" t="str">
        <f>IF(INDEX(FORM!$A:$A,ROW())="","",ROW()-1)</f>
        <v/>
      </c>
      <c r="B827" s="41" t="str">
        <f>IF($A827="","",INDEX(FORM!$A:$A,ROW()))</f>
        <v/>
      </c>
      <c r="C827" s="8" t="str">
        <f>IF($A827="","",TRIM(INDEX(FORM!$B:$B,ROW())))</f>
        <v/>
      </c>
      <c r="D827" s="8" t="str">
        <f>IF($A827="","",TRIM(INDEX(FORM!$C:$C,ROW())&amp;""))</f>
        <v/>
      </c>
      <c r="E827" s="8" t="str">
        <f>IF($A827="","",UPPER(TRIM(INDEX(FORM!$D:$D,ROW()))))</f>
        <v/>
      </c>
      <c r="F827" s="8" t="str">
        <f>IF($A827="","",IFERROR(INDEX(PROGRES!$A$2:$A$92,MATCH(E827,PROGRES!$B$2:$B$92,0)),"-"))</f>
        <v/>
      </c>
      <c r="G827" s="8" t="str">
        <f>IF($A827="","",UPPER(TRIM(INDEX(FORM!$F:$F,ROW()))))</f>
        <v/>
      </c>
      <c r="H827" s="8" t="str">
        <f>IF($A827="","",UPPER(TRIM(INDEX(FORM!$E:$E,ROW()))))</f>
        <v/>
      </c>
      <c r="I827" s="8" t="str">
        <f>IF($A827="","",UPPER(TRIM(INDEX(FORM!$G:$G,ROW()))))</f>
        <v/>
      </c>
      <c r="J827" s="8" t="str">
        <f>IF($A827="","",IF(ISNUMBER(SEARCH("Ya,",INDEX(FORM!$H:$H,ROW()))),"YA",IF(ISNUMBER(SEARCH("Cukup,",INDEX(FORM!$H:$H,ROW()))),"CUKUP",IF(ISNUMBER(SEARCH("Kurang,",INDEX(FORM!$H:$H,ROW()))),"KURANG",""))))</f>
        <v/>
      </c>
      <c r="K827" s="8" t="str">
        <f>IF($A827="","",UPPER(TRIM(INDEX(FORM!$J:$J,ROW()))))</f>
        <v/>
      </c>
      <c r="L827" s="8" t="str">
        <f>IF($A827="","",IF(ISNUMBER(SEARCH("Aktivitas Harian",INDEX(FORM!$K:$K,ROW()))),1,0))</f>
        <v/>
      </c>
      <c r="M827" s="8" t="str">
        <f>IF($A827="","",IF(ISNUMBER(SEARCH("Aktivitas Mingguan",INDEX(FORM!$K:$K,ROW()))),1,0))</f>
        <v/>
      </c>
      <c r="N827" s="8" t="str">
        <f>IF($A827="","",IF(ISNUMBER(SEARCH("Aktivitas Bulanan",INDEX(FORM!$K:$K,ROW()))),1,0))</f>
        <v/>
      </c>
      <c r="O827" s="8" t="str">
        <f>IF($A827="","",IF(ISNUMBER(SEARCH("Overview Cabang",INDEX(FORM!$K:$K,ROW()))),1,0))</f>
        <v/>
      </c>
      <c r="P827" s="8" t="str">
        <f>IF($A827="","",IFERROR(VLOOKUP(I827,DATA!$AH$9:$AI$13,2,0),""))</f>
        <v/>
      </c>
      <c r="Q827" s="8" t="str">
        <f>IF($A827="","",IFERROR(VLOOKUP(J827,DATA!$AH$9:$AI$13,2,0),""))</f>
        <v/>
      </c>
      <c r="R827" s="8" t="str">
        <f>IF($A827="","",IFERROR(VLOOKUP(K827,DATA!$AH$9:$AI$13,2,0),""))</f>
        <v/>
      </c>
      <c r="S827" s="42" t="str">
        <f t="shared" si="264"/>
        <v/>
      </c>
      <c r="T827" s="8" t="str">
        <f>IF($A827="","",IF(COUNTIF($D$2:D827,D827)=1,1,0))</f>
        <v/>
      </c>
      <c r="U827" s="8" t="str">
        <f>IF($A827="","",IF(F827="-","Cabang tdk ada",IF(IFERROR(VLOOKUP(G827,#REF!,1,0),"")="","",IF(INDEX(DATA!$AH$2:$AH$5,MATCH(G827,DATA!$AI$2:$AI$5,0))&lt;&gt;F827,"Wilayah beda","OK"))))</f>
        <v/>
      </c>
      <c r="V827" s="8" t="str">
        <f>IF($A827="","",TRIM(INDEX(FORM!$I:$I,ROW())&amp;""))</f>
        <v/>
      </c>
      <c r="W827" s="8" t="str">
        <f>IF($A827="","",TRIM(INDEX(FORM!$L:$L,ROW())&amp;""))</f>
        <v/>
      </c>
      <c r="X827" s="8" t="str">
        <f>IF($A827="","",TRIM(INDEX(FORM!$M:$M,ROW())&amp;""))</f>
        <v/>
      </c>
      <c r="Y827" s="8" t="str">
        <f>IF($A827="","",IFERROR(MATCH(F827,DATA!$AH$2:$AH$5,0),9)*10000+A827)</f>
        <v/>
      </c>
      <c r="Z827" s="8" t="str">
        <f t="shared" si="265"/>
        <v/>
      </c>
      <c r="AA827" s="8" t="str">
        <f t="shared" si="266"/>
        <v/>
      </c>
      <c r="AB827" s="8" t="str">
        <f t="shared" si="267"/>
        <v/>
      </c>
      <c r="AC827" s="8"/>
      <c r="AD827" s="8"/>
      <c r="AE827" s="8"/>
      <c r="AK827" s="5" t="str">
        <f t="shared" si="268"/>
        <v/>
      </c>
      <c r="AL827" s="5" t="str">
        <f t="shared" si="269"/>
        <v/>
      </c>
      <c r="AM827" s="5" t="str">
        <f t="shared" si="270"/>
        <v/>
      </c>
      <c r="AN827" s="5" t="str">
        <f t="shared" si="271"/>
        <v/>
      </c>
      <c r="AO827" s="5" t="str">
        <f t="shared" si="272"/>
        <v/>
      </c>
      <c r="AP827" s="5" t="str">
        <f t="shared" si="273"/>
        <v/>
      </c>
      <c r="AQ827" s="5" t="str">
        <f t="shared" si="274"/>
        <v/>
      </c>
      <c r="AR827" s="5" t="str">
        <f t="shared" si="275"/>
        <v/>
      </c>
      <c r="AS827" s="5" t="str">
        <f t="shared" si="276"/>
        <v/>
      </c>
      <c r="AT827" s="5" t="str">
        <f t="shared" si="277"/>
        <v/>
      </c>
      <c r="AU827" s="5" t="str">
        <f t="shared" si="278"/>
        <v/>
      </c>
      <c r="AV827" s="5" t="str">
        <f t="shared" si="279"/>
        <v/>
      </c>
      <c r="AW827" s="5" t="str">
        <f t="shared" si="280"/>
        <v/>
      </c>
      <c r="AX827" s="5" t="str">
        <f t="shared" si="281"/>
        <v/>
      </c>
      <c r="AY827" s="5" t="str">
        <f t="shared" si="282"/>
        <v/>
      </c>
      <c r="AZ827" s="5" t="str">
        <f t="shared" si="283"/>
        <v/>
      </c>
      <c r="BA827" s="5" t="str">
        <f t="shared" si="284"/>
        <v/>
      </c>
      <c r="BB827" s="5" t="str">
        <f t="shared" si="285"/>
        <v/>
      </c>
    </row>
    <row r="828" spans="1:54" s="5" customFormat="1" hidden="1">
      <c r="A828" s="8" t="str">
        <f>IF(INDEX(FORM!$A:$A,ROW())="","",ROW()-1)</f>
        <v/>
      </c>
      <c r="B828" s="41" t="str">
        <f>IF($A828="","",INDEX(FORM!$A:$A,ROW()))</f>
        <v/>
      </c>
      <c r="C828" s="8" t="str">
        <f>IF($A828="","",TRIM(INDEX(FORM!$B:$B,ROW())))</f>
        <v/>
      </c>
      <c r="D828" s="8" t="str">
        <f>IF($A828="","",TRIM(INDEX(FORM!$C:$C,ROW())&amp;""))</f>
        <v/>
      </c>
      <c r="E828" s="8" t="str">
        <f>IF($A828="","",UPPER(TRIM(INDEX(FORM!$D:$D,ROW()))))</f>
        <v/>
      </c>
      <c r="F828" s="8" t="str">
        <f>IF($A828="","",IFERROR(INDEX(PROGRES!$A$2:$A$92,MATCH(E828,PROGRES!$B$2:$B$92,0)),"-"))</f>
        <v/>
      </c>
      <c r="G828" s="8" t="str">
        <f>IF($A828="","",UPPER(TRIM(INDEX(FORM!$F:$F,ROW()))))</f>
        <v/>
      </c>
      <c r="H828" s="8" t="str">
        <f>IF($A828="","",UPPER(TRIM(INDEX(FORM!$E:$E,ROW()))))</f>
        <v/>
      </c>
      <c r="I828" s="8" t="str">
        <f>IF($A828="","",UPPER(TRIM(INDEX(FORM!$G:$G,ROW()))))</f>
        <v/>
      </c>
      <c r="J828" s="8" t="str">
        <f>IF($A828="","",IF(ISNUMBER(SEARCH("Ya,",INDEX(FORM!$H:$H,ROW()))),"YA",IF(ISNUMBER(SEARCH("Cukup,",INDEX(FORM!$H:$H,ROW()))),"CUKUP",IF(ISNUMBER(SEARCH("Kurang,",INDEX(FORM!$H:$H,ROW()))),"KURANG",""))))</f>
        <v/>
      </c>
      <c r="K828" s="8" t="str">
        <f>IF($A828="","",UPPER(TRIM(INDEX(FORM!$J:$J,ROW()))))</f>
        <v/>
      </c>
      <c r="L828" s="8" t="str">
        <f>IF($A828="","",IF(ISNUMBER(SEARCH("Aktivitas Harian",INDEX(FORM!$K:$K,ROW()))),1,0))</f>
        <v/>
      </c>
      <c r="M828" s="8" t="str">
        <f>IF($A828="","",IF(ISNUMBER(SEARCH("Aktivitas Mingguan",INDEX(FORM!$K:$K,ROW()))),1,0))</f>
        <v/>
      </c>
      <c r="N828" s="8" t="str">
        <f>IF($A828="","",IF(ISNUMBER(SEARCH("Aktivitas Bulanan",INDEX(FORM!$K:$K,ROW()))),1,0))</f>
        <v/>
      </c>
      <c r="O828" s="8" t="str">
        <f>IF($A828="","",IF(ISNUMBER(SEARCH("Overview Cabang",INDEX(FORM!$K:$K,ROW()))),1,0))</f>
        <v/>
      </c>
      <c r="P828" s="8" t="str">
        <f>IF($A828="","",IFERROR(VLOOKUP(I828,DATA!$AH$9:$AI$13,2,0),""))</f>
        <v/>
      </c>
      <c r="Q828" s="8" t="str">
        <f>IF($A828="","",IFERROR(VLOOKUP(J828,DATA!$AH$9:$AI$13,2,0),""))</f>
        <v/>
      </c>
      <c r="R828" s="8" t="str">
        <f>IF($A828="","",IFERROR(VLOOKUP(K828,DATA!$AH$9:$AI$13,2,0),""))</f>
        <v/>
      </c>
      <c r="S828" s="42" t="str">
        <f t="shared" si="264"/>
        <v/>
      </c>
      <c r="T828" s="8" t="str">
        <f>IF($A828="","",IF(COUNTIF($D$2:D828,D828)=1,1,0))</f>
        <v/>
      </c>
      <c r="U828" s="8" t="str">
        <f>IF($A828="","",IF(F828="-","Cabang tdk ada",IF(IFERROR(VLOOKUP(G828,#REF!,1,0),"")="","",IF(INDEX(DATA!$AH$2:$AH$5,MATCH(G828,DATA!$AI$2:$AI$5,0))&lt;&gt;F828,"Wilayah beda","OK"))))</f>
        <v/>
      </c>
      <c r="V828" s="8" t="str">
        <f>IF($A828="","",TRIM(INDEX(FORM!$I:$I,ROW())&amp;""))</f>
        <v/>
      </c>
      <c r="W828" s="8" t="str">
        <f>IF($A828="","",TRIM(INDEX(FORM!$L:$L,ROW())&amp;""))</f>
        <v/>
      </c>
      <c r="X828" s="8" t="str">
        <f>IF($A828="","",TRIM(INDEX(FORM!$M:$M,ROW())&amp;""))</f>
        <v/>
      </c>
      <c r="Y828" s="8" t="str">
        <f>IF($A828="","",IFERROR(MATCH(F828,DATA!$AH$2:$AH$5,0),9)*10000+A828)</f>
        <v/>
      </c>
      <c r="Z828" s="8" t="str">
        <f t="shared" si="265"/>
        <v/>
      </c>
      <c r="AA828" s="8" t="str">
        <f t="shared" si="266"/>
        <v/>
      </c>
      <c r="AB828" s="8" t="str">
        <f t="shared" si="267"/>
        <v/>
      </c>
      <c r="AC828" s="8"/>
      <c r="AD828" s="8"/>
      <c r="AE828" s="8"/>
      <c r="AK828" s="5" t="str">
        <f t="shared" si="268"/>
        <v/>
      </c>
      <c r="AL828" s="5" t="str">
        <f t="shared" si="269"/>
        <v/>
      </c>
      <c r="AM828" s="5" t="str">
        <f t="shared" si="270"/>
        <v/>
      </c>
      <c r="AN828" s="5" t="str">
        <f t="shared" si="271"/>
        <v/>
      </c>
      <c r="AO828" s="5" t="str">
        <f t="shared" si="272"/>
        <v/>
      </c>
      <c r="AP828" s="5" t="str">
        <f t="shared" si="273"/>
        <v/>
      </c>
      <c r="AQ828" s="5" t="str">
        <f t="shared" si="274"/>
        <v/>
      </c>
      <c r="AR828" s="5" t="str">
        <f t="shared" si="275"/>
        <v/>
      </c>
      <c r="AS828" s="5" t="str">
        <f t="shared" si="276"/>
        <v/>
      </c>
      <c r="AT828" s="5" t="str">
        <f t="shared" si="277"/>
        <v/>
      </c>
      <c r="AU828" s="5" t="str">
        <f t="shared" si="278"/>
        <v/>
      </c>
      <c r="AV828" s="5" t="str">
        <f t="shared" si="279"/>
        <v/>
      </c>
      <c r="AW828" s="5" t="str">
        <f t="shared" si="280"/>
        <v/>
      </c>
      <c r="AX828" s="5" t="str">
        <f t="shared" si="281"/>
        <v/>
      </c>
      <c r="AY828" s="5" t="str">
        <f t="shared" si="282"/>
        <v/>
      </c>
      <c r="AZ828" s="5" t="str">
        <f t="shared" si="283"/>
        <v/>
      </c>
      <c r="BA828" s="5" t="str">
        <f t="shared" si="284"/>
        <v/>
      </c>
      <c r="BB828" s="5" t="str">
        <f t="shared" si="285"/>
        <v/>
      </c>
    </row>
    <row r="829" spans="1:54" s="5" customFormat="1" hidden="1">
      <c r="A829" s="8" t="str">
        <f>IF(INDEX(FORM!$A:$A,ROW())="","",ROW()-1)</f>
        <v/>
      </c>
      <c r="B829" s="41" t="str">
        <f>IF($A829="","",INDEX(FORM!$A:$A,ROW()))</f>
        <v/>
      </c>
      <c r="C829" s="8" t="str">
        <f>IF($A829="","",TRIM(INDEX(FORM!$B:$B,ROW())))</f>
        <v/>
      </c>
      <c r="D829" s="8" t="str">
        <f>IF($A829="","",TRIM(INDEX(FORM!$C:$C,ROW())&amp;""))</f>
        <v/>
      </c>
      <c r="E829" s="8" t="str">
        <f>IF($A829="","",UPPER(TRIM(INDEX(FORM!$D:$D,ROW()))))</f>
        <v/>
      </c>
      <c r="F829" s="8" t="str">
        <f>IF($A829="","",IFERROR(INDEX(PROGRES!$A$2:$A$92,MATCH(E829,PROGRES!$B$2:$B$92,0)),"-"))</f>
        <v/>
      </c>
      <c r="G829" s="8" t="str">
        <f>IF($A829="","",UPPER(TRIM(INDEX(FORM!$F:$F,ROW()))))</f>
        <v/>
      </c>
      <c r="H829" s="8" t="str">
        <f>IF($A829="","",UPPER(TRIM(INDEX(FORM!$E:$E,ROW()))))</f>
        <v/>
      </c>
      <c r="I829" s="8" t="str">
        <f>IF($A829="","",UPPER(TRIM(INDEX(FORM!$G:$G,ROW()))))</f>
        <v/>
      </c>
      <c r="J829" s="8" t="str">
        <f>IF($A829="","",IF(ISNUMBER(SEARCH("Ya,",INDEX(FORM!$H:$H,ROW()))),"YA",IF(ISNUMBER(SEARCH("Cukup,",INDEX(FORM!$H:$H,ROW()))),"CUKUP",IF(ISNUMBER(SEARCH("Kurang,",INDEX(FORM!$H:$H,ROW()))),"KURANG",""))))</f>
        <v/>
      </c>
      <c r="K829" s="8" t="str">
        <f>IF($A829="","",UPPER(TRIM(INDEX(FORM!$J:$J,ROW()))))</f>
        <v/>
      </c>
      <c r="L829" s="8" t="str">
        <f>IF($A829="","",IF(ISNUMBER(SEARCH("Aktivitas Harian",INDEX(FORM!$K:$K,ROW()))),1,0))</f>
        <v/>
      </c>
      <c r="M829" s="8" t="str">
        <f>IF($A829="","",IF(ISNUMBER(SEARCH("Aktivitas Mingguan",INDEX(FORM!$K:$K,ROW()))),1,0))</f>
        <v/>
      </c>
      <c r="N829" s="8" t="str">
        <f>IF($A829="","",IF(ISNUMBER(SEARCH("Aktivitas Bulanan",INDEX(FORM!$K:$K,ROW()))),1,0))</f>
        <v/>
      </c>
      <c r="O829" s="8" t="str">
        <f>IF($A829="","",IF(ISNUMBER(SEARCH("Overview Cabang",INDEX(FORM!$K:$K,ROW()))),1,0))</f>
        <v/>
      </c>
      <c r="P829" s="8" t="str">
        <f>IF($A829="","",IFERROR(VLOOKUP(I829,DATA!$AH$9:$AI$13,2,0),""))</f>
        <v/>
      </c>
      <c r="Q829" s="8" t="str">
        <f>IF($A829="","",IFERROR(VLOOKUP(J829,DATA!$AH$9:$AI$13,2,0),""))</f>
        <v/>
      </c>
      <c r="R829" s="8" t="str">
        <f>IF($A829="","",IFERROR(VLOOKUP(K829,DATA!$AH$9:$AI$13,2,0),""))</f>
        <v/>
      </c>
      <c r="S829" s="42" t="str">
        <f t="shared" si="264"/>
        <v/>
      </c>
      <c r="T829" s="8" t="str">
        <f>IF($A829="","",IF(COUNTIF($D$2:D829,D829)=1,1,0))</f>
        <v/>
      </c>
      <c r="U829" s="8" t="str">
        <f>IF($A829="","",IF(F829="-","Cabang tdk ada",IF(IFERROR(VLOOKUP(G829,#REF!,1,0),"")="","",IF(INDEX(DATA!$AH$2:$AH$5,MATCH(G829,DATA!$AI$2:$AI$5,0))&lt;&gt;F829,"Wilayah beda","OK"))))</f>
        <v/>
      </c>
      <c r="V829" s="8" t="str">
        <f>IF($A829="","",TRIM(INDEX(FORM!$I:$I,ROW())&amp;""))</f>
        <v/>
      </c>
      <c r="W829" s="8" t="str">
        <f>IF($A829="","",TRIM(INDEX(FORM!$L:$L,ROW())&amp;""))</f>
        <v/>
      </c>
      <c r="X829" s="8" t="str">
        <f>IF($A829="","",TRIM(INDEX(FORM!$M:$M,ROW())&amp;""))</f>
        <v/>
      </c>
      <c r="Y829" s="8" t="str">
        <f>IF($A829="","",IFERROR(MATCH(F829,DATA!$AH$2:$AH$5,0),9)*10000+A829)</f>
        <v/>
      </c>
      <c r="Z829" s="8" t="str">
        <f t="shared" si="265"/>
        <v/>
      </c>
      <c r="AA829" s="8" t="str">
        <f t="shared" si="266"/>
        <v/>
      </c>
      <c r="AB829" s="8" t="str">
        <f t="shared" si="267"/>
        <v/>
      </c>
      <c r="AC829" s="8"/>
      <c r="AD829" s="8"/>
      <c r="AE829" s="8"/>
      <c r="AK829" s="5" t="str">
        <f t="shared" si="268"/>
        <v/>
      </c>
      <c r="AL829" s="5" t="str">
        <f t="shared" si="269"/>
        <v/>
      </c>
      <c r="AM829" s="5" t="str">
        <f t="shared" si="270"/>
        <v/>
      </c>
      <c r="AN829" s="5" t="str">
        <f t="shared" si="271"/>
        <v/>
      </c>
      <c r="AO829" s="5" t="str">
        <f t="shared" si="272"/>
        <v/>
      </c>
      <c r="AP829" s="5" t="str">
        <f t="shared" si="273"/>
        <v/>
      </c>
      <c r="AQ829" s="5" t="str">
        <f t="shared" si="274"/>
        <v/>
      </c>
      <c r="AR829" s="5" t="str">
        <f t="shared" si="275"/>
        <v/>
      </c>
      <c r="AS829" s="5" t="str">
        <f t="shared" si="276"/>
        <v/>
      </c>
      <c r="AT829" s="5" t="str">
        <f t="shared" si="277"/>
        <v/>
      </c>
      <c r="AU829" s="5" t="str">
        <f t="shared" si="278"/>
        <v/>
      </c>
      <c r="AV829" s="5" t="str">
        <f t="shared" si="279"/>
        <v/>
      </c>
      <c r="AW829" s="5" t="str">
        <f t="shared" si="280"/>
        <v/>
      </c>
      <c r="AX829" s="5" t="str">
        <f t="shared" si="281"/>
        <v/>
      </c>
      <c r="AY829" s="5" t="str">
        <f t="shared" si="282"/>
        <v/>
      </c>
      <c r="AZ829" s="5" t="str">
        <f t="shared" si="283"/>
        <v/>
      </c>
      <c r="BA829" s="5" t="str">
        <f t="shared" si="284"/>
        <v/>
      </c>
      <c r="BB829" s="5" t="str">
        <f t="shared" si="285"/>
        <v/>
      </c>
    </row>
    <row r="830" spans="1:54" s="5" customFormat="1" hidden="1">
      <c r="A830" s="8" t="str">
        <f>IF(INDEX(FORM!$A:$A,ROW())="","",ROW()-1)</f>
        <v/>
      </c>
      <c r="B830" s="41" t="str">
        <f>IF($A830="","",INDEX(FORM!$A:$A,ROW()))</f>
        <v/>
      </c>
      <c r="C830" s="8" t="str">
        <f>IF($A830="","",TRIM(INDEX(FORM!$B:$B,ROW())))</f>
        <v/>
      </c>
      <c r="D830" s="8" t="str">
        <f>IF($A830="","",TRIM(INDEX(FORM!$C:$C,ROW())&amp;""))</f>
        <v/>
      </c>
      <c r="E830" s="8" t="str">
        <f>IF($A830="","",UPPER(TRIM(INDEX(FORM!$D:$D,ROW()))))</f>
        <v/>
      </c>
      <c r="F830" s="8" t="str">
        <f>IF($A830="","",IFERROR(INDEX(PROGRES!$A$2:$A$92,MATCH(E830,PROGRES!$B$2:$B$92,0)),"-"))</f>
        <v/>
      </c>
      <c r="G830" s="8" t="str">
        <f>IF($A830="","",UPPER(TRIM(INDEX(FORM!$F:$F,ROW()))))</f>
        <v/>
      </c>
      <c r="H830" s="8" t="str">
        <f>IF($A830="","",UPPER(TRIM(INDEX(FORM!$E:$E,ROW()))))</f>
        <v/>
      </c>
      <c r="I830" s="8" t="str">
        <f>IF($A830="","",UPPER(TRIM(INDEX(FORM!$G:$G,ROW()))))</f>
        <v/>
      </c>
      <c r="J830" s="8" t="str">
        <f>IF($A830="","",IF(ISNUMBER(SEARCH("Ya,",INDEX(FORM!$H:$H,ROW()))),"YA",IF(ISNUMBER(SEARCH("Cukup,",INDEX(FORM!$H:$H,ROW()))),"CUKUP",IF(ISNUMBER(SEARCH("Kurang,",INDEX(FORM!$H:$H,ROW()))),"KURANG",""))))</f>
        <v/>
      </c>
      <c r="K830" s="8" t="str">
        <f>IF($A830="","",UPPER(TRIM(INDEX(FORM!$J:$J,ROW()))))</f>
        <v/>
      </c>
      <c r="L830" s="8" t="str">
        <f>IF($A830="","",IF(ISNUMBER(SEARCH("Aktivitas Harian",INDEX(FORM!$K:$K,ROW()))),1,0))</f>
        <v/>
      </c>
      <c r="M830" s="8" t="str">
        <f>IF($A830="","",IF(ISNUMBER(SEARCH("Aktivitas Mingguan",INDEX(FORM!$K:$K,ROW()))),1,0))</f>
        <v/>
      </c>
      <c r="N830" s="8" t="str">
        <f>IF($A830="","",IF(ISNUMBER(SEARCH("Aktivitas Bulanan",INDEX(FORM!$K:$K,ROW()))),1,0))</f>
        <v/>
      </c>
      <c r="O830" s="8" t="str">
        <f>IF($A830="","",IF(ISNUMBER(SEARCH("Overview Cabang",INDEX(FORM!$K:$K,ROW()))),1,0))</f>
        <v/>
      </c>
      <c r="P830" s="8" t="str">
        <f>IF($A830="","",IFERROR(VLOOKUP(I830,DATA!$AH$9:$AI$13,2,0),""))</f>
        <v/>
      </c>
      <c r="Q830" s="8" t="str">
        <f>IF($A830="","",IFERROR(VLOOKUP(J830,DATA!$AH$9:$AI$13,2,0),""))</f>
        <v/>
      </c>
      <c r="R830" s="8" t="str">
        <f>IF($A830="","",IFERROR(VLOOKUP(K830,DATA!$AH$9:$AI$13,2,0),""))</f>
        <v/>
      </c>
      <c r="S830" s="42" t="str">
        <f t="shared" si="264"/>
        <v/>
      </c>
      <c r="T830" s="8" t="str">
        <f>IF($A830="","",IF(COUNTIF($D$2:D830,D830)=1,1,0))</f>
        <v/>
      </c>
      <c r="U830" s="8" t="str">
        <f>IF($A830="","",IF(F830="-","Cabang tdk ada",IF(IFERROR(VLOOKUP(G830,#REF!,1,0),"")="","",IF(INDEX(DATA!$AH$2:$AH$5,MATCH(G830,DATA!$AI$2:$AI$5,0))&lt;&gt;F830,"Wilayah beda","OK"))))</f>
        <v/>
      </c>
      <c r="V830" s="8" t="str">
        <f>IF($A830="","",TRIM(INDEX(FORM!$I:$I,ROW())&amp;""))</f>
        <v/>
      </c>
      <c r="W830" s="8" t="str">
        <f>IF($A830="","",TRIM(INDEX(FORM!$L:$L,ROW())&amp;""))</f>
        <v/>
      </c>
      <c r="X830" s="8" t="str">
        <f>IF($A830="","",TRIM(INDEX(FORM!$M:$M,ROW())&amp;""))</f>
        <v/>
      </c>
      <c r="Y830" s="8" t="str">
        <f>IF($A830="","",IFERROR(MATCH(F830,DATA!$AH$2:$AH$5,0),9)*10000+A830)</f>
        <v/>
      </c>
      <c r="Z830" s="8" t="str">
        <f t="shared" si="265"/>
        <v/>
      </c>
      <c r="AA830" s="8" t="str">
        <f t="shared" si="266"/>
        <v/>
      </c>
      <c r="AB830" s="8" t="str">
        <f t="shared" si="267"/>
        <v/>
      </c>
      <c r="AC830" s="8"/>
      <c r="AD830" s="8"/>
      <c r="AE830" s="8"/>
      <c r="AK830" s="5" t="str">
        <f t="shared" si="268"/>
        <v/>
      </c>
      <c r="AL830" s="5" t="str">
        <f t="shared" si="269"/>
        <v/>
      </c>
      <c r="AM830" s="5" t="str">
        <f t="shared" si="270"/>
        <v/>
      </c>
      <c r="AN830" s="5" t="str">
        <f t="shared" si="271"/>
        <v/>
      </c>
      <c r="AO830" s="5" t="str">
        <f t="shared" si="272"/>
        <v/>
      </c>
      <c r="AP830" s="5" t="str">
        <f t="shared" si="273"/>
        <v/>
      </c>
      <c r="AQ830" s="5" t="str">
        <f t="shared" si="274"/>
        <v/>
      </c>
      <c r="AR830" s="5" t="str">
        <f t="shared" si="275"/>
        <v/>
      </c>
      <c r="AS830" s="5" t="str">
        <f t="shared" si="276"/>
        <v/>
      </c>
      <c r="AT830" s="5" t="str">
        <f t="shared" si="277"/>
        <v/>
      </c>
      <c r="AU830" s="5" t="str">
        <f t="shared" si="278"/>
        <v/>
      </c>
      <c r="AV830" s="5" t="str">
        <f t="shared" si="279"/>
        <v/>
      </c>
      <c r="AW830" s="5" t="str">
        <f t="shared" si="280"/>
        <v/>
      </c>
      <c r="AX830" s="5" t="str">
        <f t="shared" si="281"/>
        <v/>
      </c>
      <c r="AY830" s="5" t="str">
        <f t="shared" si="282"/>
        <v/>
      </c>
      <c r="AZ830" s="5" t="str">
        <f t="shared" si="283"/>
        <v/>
      </c>
      <c r="BA830" s="5" t="str">
        <f t="shared" si="284"/>
        <v/>
      </c>
      <c r="BB830" s="5" t="str">
        <f t="shared" si="285"/>
        <v/>
      </c>
    </row>
    <row r="831" spans="1:54" s="5" customFormat="1" hidden="1">
      <c r="A831" s="8" t="str">
        <f>IF(INDEX(FORM!$A:$A,ROW())="","",ROW()-1)</f>
        <v/>
      </c>
      <c r="B831" s="41" t="str">
        <f>IF($A831="","",INDEX(FORM!$A:$A,ROW()))</f>
        <v/>
      </c>
      <c r="C831" s="8" t="str">
        <f>IF($A831="","",TRIM(INDEX(FORM!$B:$B,ROW())))</f>
        <v/>
      </c>
      <c r="D831" s="8" t="str">
        <f>IF($A831="","",TRIM(INDEX(FORM!$C:$C,ROW())&amp;""))</f>
        <v/>
      </c>
      <c r="E831" s="8" t="str">
        <f>IF($A831="","",UPPER(TRIM(INDEX(FORM!$D:$D,ROW()))))</f>
        <v/>
      </c>
      <c r="F831" s="8" t="str">
        <f>IF($A831="","",IFERROR(INDEX(PROGRES!$A$2:$A$92,MATCH(E831,PROGRES!$B$2:$B$92,0)),"-"))</f>
        <v/>
      </c>
      <c r="G831" s="8" t="str">
        <f>IF($A831="","",UPPER(TRIM(INDEX(FORM!$F:$F,ROW()))))</f>
        <v/>
      </c>
      <c r="H831" s="8" t="str">
        <f>IF($A831="","",UPPER(TRIM(INDEX(FORM!$E:$E,ROW()))))</f>
        <v/>
      </c>
      <c r="I831" s="8" t="str">
        <f>IF($A831="","",UPPER(TRIM(INDEX(FORM!$G:$G,ROW()))))</f>
        <v/>
      </c>
      <c r="J831" s="8" t="str">
        <f>IF($A831="","",IF(ISNUMBER(SEARCH("Ya,",INDEX(FORM!$H:$H,ROW()))),"YA",IF(ISNUMBER(SEARCH("Cukup,",INDEX(FORM!$H:$H,ROW()))),"CUKUP",IF(ISNUMBER(SEARCH("Kurang,",INDEX(FORM!$H:$H,ROW()))),"KURANG",""))))</f>
        <v/>
      </c>
      <c r="K831" s="8" t="str">
        <f>IF($A831="","",UPPER(TRIM(INDEX(FORM!$J:$J,ROW()))))</f>
        <v/>
      </c>
      <c r="L831" s="8" t="str">
        <f>IF($A831="","",IF(ISNUMBER(SEARCH("Aktivitas Harian",INDEX(FORM!$K:$K,ROW()))),1,0))</f>
        <v/>
      </c>
      <c r="M831" s="8" t="str">
        <f>IF($A831="","",IF(ISNUMBER(SEARCH("Aktivitas Mingguan",INDEX(FORM!$K:$K,ROW()))),1,0))</f>
        <v/>
      </c>
      <c r="N831" s="8" t="str">
        <f>IF($A831="","",IF(ISNUMBER(SEARCH("Aktivitas Bulanan",INDEX(FORM!$K:$K,ROW()))),1,0))</f>
        <v/>
      </c>
      <c r="O831" s="8" t="str">
        <f>IF($A831="","",IF(ISNUMBER(SEARCH("Overview Cabang",INDEX(FORM!$K:$K,ROW()))),1,0))</f>
        <v/>
      </c>
      <c r="P831" s="8" t="str">
        <f>IF($A831="","",IFERROR(VLOOKUP(I831,DATA!$AH$9:$AI$13,2,0),""))</f>
        <v/>
      </c>
      <c r="Q831" s="8" t="str">
        <f>IF($A831="","",IFERROR(VLOOKUP(J831,DATA!$AH$9:$AI$13,2,0),""))</f>
        <v/>
      </c>
      <c r="R831" s="8" t="str">
        <f>IF($A831="","",IFERROR(VLOOKUP(K831,DATA!$AH$9:$AI$13,2,0),""))</f>
        <v/>
      </c>
      <c r="S831" s="42" t="str">
        <f t="shared" si="264"/>
        <v/>
      </c>
      <c r="T831" s="8" t="str">
        <f>IF($A831="","",IF(COUNTIF($D$2:D831,D831)=1,1,0))</f>
        <v/>
      </c>
      <c r="U831" s="8" t="str">
        <f>IF($A831="","",IF(F831="-","Cabang tdk ada",IF(IFERROR(VLOOKUP(G831,#REF!,1,0),"")="","",IF(INDEX(DATA!$AH$2:$AH$5,MATCH(G831,DATA!$AI$2:$AI$5,0))&lt;&gt;F831,"Wilayah beda","OK"))))</f>
        <v/>
      </c>
      <c r="V831" s="8" t="str">
        <f>IF($A831="","",TRIM(INDEX(FORM!$I:$I,ROW())&amp;""))</f>
        <v/>
      </c>
      <c r="W831" s="8" t="str">
        <f>IF($A831="","",TRIM(INDEX(FORM!$L:$L,ROW())&amp;""))</f>
        <v/>
      </c>
      <c r="X831" s="8" t="str">
        <f>IF($A831="","",TRIM(INDEX(FORM!$M:$M,ROW())&amp;""))</f>
        <v/>
      </c>
      <c r="Y831" s="8" t="str">
        <f>IF($A831="","",IFERROR(MATCH(F831,DATA!$AH$2:$AH$5,0),9)*10000+A831)</f>
        <v/>
      </c>
      <c r="Z831" s="8" t="str">
        <f t="shared" si="265"/>
        <v/>
      </c>
      <c r="AA831" s="8" t="str">
        <f t="shared" si="266"/>
        <v/>
      </c>
      <c r="AB831" s="8" t="str">
        <f t="shared" si="267"/>
        <v/>
      </c>
      <c r="AC831" s="8"/>
      <c r="AD831" s="8"/>
      <c r="AE831" s="8"/>
      <c r="AK831" s="5" t="str">
        <f t="shared" si="268"/>
        <v/>
      </c>
      <c r="AL831" s="5" t="str">
        <f t="shared" si="269"/>
        <v/>
      </c>
      <c r="AM831" s="5" t="str">
        <f t="shared" si="270"/>
        <v/>
      </c>
      <c r="AN831" s="5" t="str">
        <f t="shared" si="271"/>
        <v/>
      </c>
      <c r="AO831" s="5" t="str">
        <f t="shared" si="272"/>
        <v/>
      </c>
      <c r="AP831" s="5" t="str">
        <f t="shared" si="273"/>
        <v/>
      </c>
      <c r="AQ831" s="5" t="str">
        <f t="shared" si="274"/>
        <v/>
      </c>
      <c r="AR831" s="5" t="str">
        <f t="shared" si="275"/>
        <v/>
      </c>
      <c r="AS831" s="5" t="str">
        <f t="shared" si="276"/>
        <v/>
      </c>
      <c r="AT831" s="5" t="str">
        <f t="shared" si="277"/>
        <v/>
      </c>
      <c r="AU831" s="5" t="str">
        <f t="shared" si="278"/>
        <v/>
      </c>
      <c r="AV831" s="5" t="str">
        <f t="shared" si="279"/>
        <v/>
      </c>
      <c r="AW831" s="5" t="str">
        <f t="shared" si="280"/>
        <v/>
      </c>
      <c r="AX831" s="5" t="str">
        <f t="shared" si="281"/>
        <v/>
      </c>
      <c r="AY831" s="5" t="str">
        <f t="shared" si="282"/>
        <v/>
      </c>
      <c r="AZ831" s="5" t="str">
        <f t="shared" si="283"/>
        <v/>
      </c>
      <c r="BA831" s="5" t="str">
        <f t="shared" si="284"/>
        <v/>
      </c>
      <c r="BB831" s="5" t="str">
        <f t="shared" si="285"/>
        <v/>
      </c>
    </row>
    <row r="832" spans="1:54" s="5" customFormat="1" hidden="1">
      <c r="A832" s="8" t="str">
        <f>IF(INDEX(FORM!$A:$A,ROW())="","",ROW()-1)</f>
        <v/>
      </c>
      <c r="B832" s="41" t="str">
        <f>IF($A832="","",INDEX(FORM!$A:$A,ROW()))</f>
        <v/>
      </c>
      <c r="C832" s="8" t="str">
        <f>IF($A832="","",TRIM(INDEX(FORM!$B:$B,ROW())))</f>
        <v/>
      </c>
      <c r="D832" s="8" t="str">
        <f>IF($A832="","",TRIM(INDEX(FORM!$C:$C,ROW())&amp;""))</f>
        <v/>
      </c>
      <c r="E832" s="8" t="str">
        <f>IF($A832="","",UPPER(TRIM(INDEX(FORM!$D:$D,ROW()))))</f>
        <v/>
      </c>
      <c r="F832" s="8" t="str">
        <f>IF($A832="","",IFERROR(INDEX(PROGRES!$A$2:$A$92,MATCH(E832,PROGRES!$B$2:$B$92,0)),"-"))</f>
        <v/>
      </c>
      <c r="G832" s="8" t="str">
        <f>IF($A832="","",UPPER(TRIM(INDEX(FORM!$F:$F,ROW()))))</f>
        <v/>
      </c>
      <c r="H832" s="8" t="str">
        <f>IF($A832="","",UPPER(TRIM(INDEX(FORM!$E:$E,ROW()))))</f>
        <v/>
      </c>
      <c r="I832" s="8" t="str">
        <f>IF($A832="","",UPPER(TRIM(INDEX(FORM!$G:$G,ROW()))))</f>
        <v/>
      </c>
      <c r="J832" s="8" t="str">
        <f>IF($A832="","",IF(ISNUMBER(SEARCH("Ya,",INDEX(FORM!$H:$H,ROW()))),"YA",IF(ISNUMBER(SEARCH("Cukup,",INDEX(FORM!$H:$H,ROW()))),"CUKUP",IF(ISNUMBER(SEARCH("Kurang,",INDEX(FORM!$H:$H,ROW()))),"KURANG",""))))</f>
        <v/>
      </c>
      <c r="K832" s="8" t="str">
        <f>IF($A832="","",UPPER(TRIM(INDEX(FORM!$J:$J,ROW()))))</f>
        <v/>
      </c>
      <c r="L832" s="8" t="str">
        <f>IF($A832="","",IF(ISNUMBER(SEARCH("Aktivitas Harian",INDEX(FORM!$K:$K,ROW()))),1,0))</f>
        <v/>
      </c>
      <c r="M832" s="8" t="str">
        <f>IF($A832="","",IF(ISNUMBER(SEARCH("Aktivitas Mingguan",INDEX(FORM!$K:$K,ROW()))),1,0))</f>
        <v/>
      </c>
      <c r="N832" s="8" t="str">
        <f>IF($A832="","",IF(ISNUMBER(SEARCH("Aktivitas Bulanan",INDEX(FORM!$K:$K,ROW()))),1,0))</f>
        <v/>
      </c>
      <c r="O832" s="8" t="str">
        <f>IF($A832="","",IF(ISNUMBER(SEARCH("Overview Cabang",INDEX(FORM!$K:$K,ROW()))),1,0))</f>
        <v/>
      </c>
      <c r="P832" s="8" t="str">
        <f>IF($A832="","",IFERROR(VLOOKUP(I832,DATA!$AH$9:$AI$13,2,0),""))</f>
        <v/>
      </c>
      <c r="Q832" s="8" t="str">
        <f>IF($A832="","",IFERROR(VLOOKUP(J832,DATA!$AH$9:$AI$13,2,0),""))</f>
        <v/>
      </c>
      <c r="R832" s="8" t="str">
        <f>IF($A832="","",IFERROR(VLOOKUP(K832,DATA!$AH$9:$AI$13,2,0),""))</f>
        <v/>
      </c>
      <c r="S832" s="42" t="str">
        <f t="shared" si="264"/>
        <v/>
      </c>
      <c r="T832" s="8" t="str">
        <f>IF($A832="","",IF(COUNTIF($D$2:D832,D832)=1,1,0))</f>
        <v/>
      </c>
      <c r="U832" s="8" t="str">
        <f>IF($A832="","",IF(F832="-","Cabang tdk ada",IF(IFERROR(VLOOKUP(G832,#REF!,1,0),"")="","",IF(INDEX(DATA!$AH$2:$AH$5,MATCH(G832,DATA!$AI$2:$AI$5,0))&lt;&gt;F832,"Wilayah beda","OK"))))</f>
        <v/>
      </c>
      <c r="V832" s="8" t="str">
        <f>IF($A832="","",TRIM(INDEX(FORM!$I:$I,ROW())&amp;""))</f>
        <v/>
      </c>
      <c r="W832" s="8" t="str">
        <f>IF($A832="","",TRIM(INDEX(FORM!$L:$L,ROW())&amp;""))</f>
        <v/>
      </c>
      <c r="X832" s="8" t="str">
        <f>IF($A832="","",TRIM(INDEX(FORM!$M:$M,ROW())&amp;""))</f>
        <v/>
      </c>
      <c r="Y832" s="8" t="str">
        <f>IF($A832="","",IFERROR(MATCH(F832,DATA!$AH$2:$AH$5,0),9)*10000+A832)</f>
        <v/>
      </c>
      <c r="Z832" s="8" t="str">
        <f t="shared" si="265"/>
        <v/>
      </c>
      <c r="AA832" s="8" t="str">
        <f t="shared" si="266"/>
        <v/>
      </c>
      <c r="AB832" s="8" t="str">
        <f t="shared" si="267"/>
        <v/>
      </c>
      <c r="AC832" s="8"/>
      <c r="AD832" s="8"/>
      <c r="AE832" s="8"/>
      <c r="AK832" s="5" t="str">
        <f t="shared" si="268"/>
        <v/>
      </c>
      <c r="AL832" s="5" t="str">
        <f t="shared" si="269"/>
        <v/>
      </c>
      <c r="AM832" s="5" t="str">
        <f t="shared" si="270"/>
        <v/>
      </c>
      <c r="AN832" s="5" t="str">
        <f t="shared" si="271"/>
        <v/>
      </c>
      <c r="AO832" s="5" t="str">
        <f t="shared" si="272"/>
        <v/>
      </c>
      <c r="AP832" s="5" t="str">
        <f t="shared" si="273"/>
        <v/>
      </c>
      <c r="AQ832" s="5" t="str">
        <f t="shared" si="274"/>
        <v/>
      </c>
      <c r="AR832" s="5" t="str">
        <f t="shared" si="275"/>
        <v/>
      </c>
      <c r="AS832" s="5" t="str">
        <f t="shared" si="276"/>
        <v/>
      </c>
      <c r="AT832" s="5" t="str">
        <f t="shared" si="277"/>
        <v/>
      </c>
      <c r="AU832" s="5" t="str">
        <f t="shared" si="278"/>
        <v/>
      </c>
      <c r="AV832" s="5" t="str">
        <f t="shared" si="279"/>
        <v/>
      </c>
      <c r="AW832" s="5" t="str">
        <f t="shared" si="280"/>
        <v/>
      </c>
      <c r="AX832" s="5" t="str">
        <f t="shared" si="281"/>
        <v/>
      </c>
      <c r="AY832" s="5" t="str">
        <f t="shared" si="282"/>
        <v/>
      </c>
      <c r="AZ832" s="5" t="str">
        <f t="shared" si="283"/>
        <v/>
      </c>
      <c r="BA832" s="5" t="str">
        <f t="shared" si="284"/>
        <v/>
      </c>
      <c r="BB832" s="5" t="str">
        <f t="shared" si="285"/>
        <v/>
      </c>
    </row>
    <row r="833" spans="1:54" s="5" customFormat="1" hidden="1">
      <c r="A833" s="8" t="str">
        <f>IF(INDEX(FORM!$A:$A,ROW())="","",ROW()-1)</f>
        <v/>
      </c>
      <c r="B833" s="41" t="str">
        <f>IF($A833="","",INDEX(FORM!$A:$A,ROW()))</f>
        <v/>
      </c>
      <c r="C833" s="8" t="str">
        <f>IF($A833="","",TRIM(INDEX(FORM!$B:$B,ROW())))</f>
        <v/>
      </c>
      <c r="D833" s="8" t="str">
        <f>IF($A833="","",TRIM(INDEX(FORM!$C:$C,ROW())&amp;""))</f>
        <v/>
      </c>
      <c r="E833" s="8" t="str">
        <f>IF($A833="","",UPPER(TRIM(INDEX(FORM!$D:$D,ROW()))))</f>
        <v/>
      </c>
      <c r="F833" s="8" t="str">
        <f>IF($A833="","",IFERROR(INDEX(PROGRES!$A$2:$A$92,MATCH(E833,PROGRES!$B$2:$B$92,0)),"-"))</f>
        <v/>
      </c>
      <c r="G833" s="8" t="str">
        <f>IF($A833="","",UPPER(TRIM(INDEX(FORM!$F:$F,ROW()))))</f>
        <v/>
      </c>
      <c r="H833" s="8" t="str">
        <f>IF($A833="","",UPPER(TRIM(INDEX(FORM!$E:$E,ROW()))))</f>
        <v/>
      </c>
      <c r="I833" s="8" t="str">
        <f>IF($A833="","",UPPER(TRIM(INDEX(FORM!$G:$G,ROW()))))</f>
        <v/>
      </c>
      <c r="J833" s="8" t="str">
        <f>IF($A833="","",IF(ISNUMBER(SEARCH("Ya,",INDEX(FORM!$H:$H,ROW()))),"YA",IF(ISNUMBER(SEARCH("Cukup,",INDEX(FORM!$H:$H,ROW()))),"CUKUP",IF(ISNUMBER(SEARCH("Kurang,",INDEX(FORM!$H:$H,ROW()))),"KURANG",""))))</f>
        <v/>
      </c>
      <c r="K833" s="8" t="str">
        <f>IF($A833="","",UPPER(TRIM(INDEX(FORM!$J:$J,ROW()))))</f>
        <v/>
      </c>
      <c r="L833" s="8" t="str">
        <f>IF($A833="","",IF(ISNUMBER(SEARCH("Aktivitas Harian",INDEX(FORM!$K:$K,ROW()))),1,0))</f>
        <v/>
      </c>
      <c r="M833" s="8" t="str">
        <f>IF($A833="","",IF(ISNUMBER(SEARCH("Aktivitas Mingguan",INDEX(FORM!$K:$K,ROW()))),1,0))</f>
        <v/>
      </c>
      <c r="N833" s="8" t="str">
        <f>IF($A833="","",IF(ISNUMBER(SEARCH("Aktivitas Bulanan",INDEX(FORM!$K:$K,ROW()))),1,0))</f>
        <v/>
      </c>
      <c r="O833" s="8" t="str">
        <f>IF($A833="","",IF(ISNUMBER(SEARCH("Overview Cabang",INDEX(FORM!$K:$K,ROW()))),1,0))</f>
        <v/>
      </c>
      <c r="P833" s="8" t="str">
        <f>IF($A833="","",IFERROR(VLOOKUP(I833,DATA!$AH$9:$AI$13,2,0),""))</f>
        <v/>
      </c>
      <c r="Q833" s="8" t="str">
        <f>IF($A833="","",IFERROR(VLOOKUP(J833,DATA!$AH$9:$AI$13,2,0),""))</f>
        <v/>
      </c>
      <c r="R833" s="8" t="str">
        <f>IF($A833="","",IFERROR(VLOOKUP(K833,DATA!$AH$9:$AI$13,2,0),""))</f>
        <v/>
      </c>
      <c r="S833" s="42" t="str">
        <f t="shared" si="264"/>
        <v/>
      </c>
      <c r="T833" s="8" t="str">
        <f>IF($A833="","",IF(COUNTIF($D$2:D833,D833)=1,1,0))</f>
        <v/>
      </c>
      <c r="U833" s="8" t="str">
        <f>IF($A833="","",IF(F833="-","Cabang tdk ada",IF(IFERROR(VLOOKUP(G833,#REF!,1,0),"")="","",IF(INDEX(DATA!$AH$2:$AH$5,MATCH(G833,DATA!$AI$2:$AI$5,0))&lt;&gt;F833,"Wilayah beda","OK"))))</f>
        <v/>
      </c>
      <c r="V833" s="8" t="str">
        <f>IF($A833="","",TRIM(INDEX(FORM!$I:$I,ROW())&amp;""))</f>
        <v/>
      </c>
      <c r="W833" s="8" t="str">
        <f>IF($A833="","",TRIM(INDEX(FORM!$L:$L,ROW())&amp;""))</f>
        <v/>
      </c>
      <c r="X833" s="8" t="str">
        <f>IF($A833="","",TRIM(INDEX(FORM!$M:$M,ROW())&amp;""))</f>
        <v/>
      </c>
      <c r="Y833" s="8" t="str">
        <f>IF($A833="","",IFERROR(MATCH(F833,DATA!$AH$2:$AH$5,0),9)*10000+A833)</f>
        <v/>
      </c>
      <c r="Z833" s="8" t="str">
        <f t="shared" si="265"/>
        <v/>
      </c>
      <c r="AA833" s="8" t="str">
        <f t="shared" si="266"/>
        <v/>
      </c>
      <c r="AB833" s="8" t="str">
        <f t="shared" si="267"/>
        <v/>
      </c>
      <c r="AC833" s="8"/>
      <c r="AD833" s="8"/>
      <c r="AE833" s="8"/>
      <c r="AK833" s="5" t="str">
        <f t="shared" si="268"/>
        <v/>
      </c>
      <c r="AL833" s="5" t="str">
        <f t="shared" si="269"/>
        <v/>
      </c>
      <c r="AM833" s="5" t="str">
        <f t="shared" si="270"/>
        <v/>
      </c>
      <c r="AN833" s="5" t="str">
        <f t="shared" si="271"/>
        <v/>
      </c>
      <c r="AO833" s="5" t="str">
        <f t="shared" si="272"/>
        <v/>
      </c>
      <c r="AP833" s="5" t="str">
        <f t="shared" si="273"/>
        <v/>
      </c>
      <c r="AQ833" s="5" t="str">
        <f t="shared" si="274"/>
        <v/>
      </c>
      <c r="AR833" s="5" t="str">
        <f t="shared" si="275"/>
        <v/>
      </c>
      <c r="AS833" s="5" t="str">
        <f t="shared" si="276"/>
        <v/>
      </c>
      <c r="AT833" s="5" t="str">
        <f t="shared" si="277"/>
        <v/>
      </c>
      <c r="AU833" s="5" t="str">
        <f t="shared" si="278"/>
        <v/>
      </c>
      <c r="AV833" s="5" t="str">
        <f t="shared" si="279"/>
        <v/>
      </c>
      <c r="AW833" s="5" t="str">
        <f t="shared" si="280"/>
        <v/>
      </c>
      <c r="AX833" s="5" t="str">
        <f t="shared" si="281"/>
        <v/>
      </c>
      <c r="AY833" s="5" t="str">
        <f t="shared" si="282"/>
        <v/>
      </c>
      <c r="AZ833" s="5" t="str">
        <f t="shared" si="283"/>
        <v/>
      </c>
      <c r="BA833" s="5" t="str">
        <f t="shared" si="284"/>
        <v/>
      </c>
      <c r="BB833" s="5" t="str">
        <f t="shared" si="285"/>
        <v/>
      </c>
    </row>
    <row r="834" spans="1:54" s="5" customFormat="1" hidden="1">
      <c r="A834" s="8" t="str">
        <f>IF(INDEX(FORM!$A:$A,ROW())="","",ROW()-1)</f>
        <v/>
      </c>
      <c r="B834" s="41" t="str">
        <f>IF($A834="","",INDEX(FORM!$A:$A,ROW()))</f>
        <v/>
      </c>
      <c r="C834" s="8" t="str">
        <f>IF($A834="","",TRIM(INDEX(FORM!$B:$B,ROW())))</f>
        <v/>
      </c>
      <c r="D834" s="8" t="str">
        <f>IF($A834="","",TRIM(INDEX(FORM!$C:$C,ROW())&amp;""))</f>
        <v/>
      </c>
      <c r="E834" s="8" t="str">
        <f>IF($A834="","",UPPER(TRIM(INDEX(FORM!$D:$D,ROW()))))</f>
        <v/>
      </c>
      <c r="F834" s="8" t="str">
        <f>IF($A834="","",IFERROR(INDEX(PROGRES!$A$2:$A$92,MATCH(E834,PROGRES!$B$2:$B$92,0)),"-"))</f>
        <v/>
      </c>
      <c r="G834" s="8" t="str">
        <f>IF($A834="","",UPPER(TRIM(INDEX(FORM!$F:$F,ROW()))))</f>
        <v/>
      </c>
      <c r="H834" s="8" t="str">
        <f>IF($A834="","",UPPER(TRIM(INDEX(FORM!$E:$E,ROW()))))</f>
        <v/>
      </c>
      <c r="I834" s="8" t="str">
        <f>IF($A834="","",UPPER(TRIM(INDEX(FORM!$G:$G,ROW()))))</f>
        <v/>
      </c>
      <c r="J834" s="8" t="str">
        <f>IF($A834="","",IF(ISNUMBER(SEARCH("Ya,",INDEX(FORM!$H:$H,ROW()))),"YA",IF(ISNUMBER(SEARCH("Cukup,",INDEX(FORM!$H:$H,ROW()))),"CUKUP",IF(ISNUMBER(SEARCH("Kurang,",INDEX(FORM!$H:$H,ROW()))),"KURANG",""))))</f>
        <v/>
      </c>
      <c r="K834" s="8" t="str">
        <f>IF($A834="","",UPPER(TRIM(INDEX(FORM!$J:$J,ROW()))))</f>
        <v/>
      </c>
      <c r="L834" s="8" t="str">
        <f>IF($A834="","",IF(ISNUMBER(SEARCH("Aktivitas Harian",INDEX(FORM!$K:$K,ROW()))),1,0))</f>
        <v/>
      </c>
      <c r="M834" s="8" t="str">
        <f>IF($A834="","",IF(ISNUMBER(SEARCH("Aktivitas Mingguan",INDEX(FORM!$K:$K,ROW()))),1,0))</f>
        <v/>
      </c>
      <c r="N834" s="8" t="str">
        <f>IF($A834="","",IF(ISNUMBER(SEARCH("Aktivitas Bulanan",INDEX(FORM!$K:$K,ROW()))),1,0))</f>
        <v/>
      </c>
      <c r="O834" s="8" t="str">
        <f>IF($A834="","",IF(ISNUMBER(SEARCH("Overview Cabang",INDEX(FORM!$K:$K,ROW()))),1,0))</f>
        <v/>
      </c>
      <c r="P834" s="8" t="str">
        <f>IF($A834="","",IFERROR(VLOOKUP(I834,DATA!$AH$9:$AI$13,2,0),""))</f>
        <v/>
      </c>
      <c r="Q834" s="8" t="str">
        <f>IF($A834="","",IFERROR(VLOOKUP(J834,DATA!$AH$9:$AI$13,2,0),""))</f>
        <v/>
      </c>
      <c r="R834" s="8" t="str">
        <f>IF($A834="","",IFERROR(VLOOKUP(K834,DATA!$AH$9:$AI$13,2,0),""))</f>
        <v/>
      </c>
      <c r="S834" s="42" t="str">
        <f t="shared" ref="S834:S897" si="286">IF($A834="","",IFERROR(AVERAGE(P834:R834),""))</f>
        <v/>
      </c>
      <c r="T834" s="8" t="str">
        <f>IF($A834="","",IF(COUNTIF($D$2:D834,D834)=1,1,0))</f>
        <v/>
      </c>
      <c r="U834" s="8" t="str">
        <f>IF($A834="","",IF(F834="-","Cabang tdk ada",IF(IFERROR(VLOOKUP(G834,#REF!,1,0),"")="","",IF(INDEX(DATA!$AH$2:$AH$5,MATCH(G834,DATA!$AI$2:$AI$5,0))&lt;&gt;F834,"Wilayah beda","OK"))))</f>
        <v/>
      </c>
      <c r="V834" s="8" t="str">
        <f>IF($A834="","",TRIM(INDEX(FORM!$I:$I,ROW())&amp;""))</f>
        <v/>
      </c>
      <c r="W834" s="8" t="str">
        <f>IF($A834="","",TRIM(INDEX(FORM!$L:$L,ROW())&amp;""))</f>
        <v/>
      </c>
      <c r="X834" s="8" t="str">
        <f>IF($A834="","",TRIM(INDEX(FORM!$M:$M,ROW())&amp;""))</f>
        <v/>
      </c>
      <c r="Y834" s="8" t="str">
        <f>IF($A834="","",IFERROR(MATCH(F834,DATA!$AH$2:$AH$5,0),9)*10000+A834)</f>
        <v/>
      </c>
      <c r="Z834" s="8" t="str">
        <f t="shared" ref="Z834:Z897" si="287">IF($A834="","",IF(LEN(SUBSTITUTE(SUBSTITUTE(SUBSTITUTE(V834,"-",""),".",""),"?",""))&lt;2,"Tidak ada masukan / sudah baik",IF(OR(ISNUMBER(SEARCH("memang harus",V834&amp;" "))),"Tidak ada masukan / sudah baik",IF(OR(ISNUMBER(SEARCH("lemot",V834&amp;" ")),ISNUMBER(SEARCH("loading",V834&amp;" ")),ISNUMBER(SEARCH("lambat",V834&amp;" ")),ISNUMBER(SEARCH("kecepatan",V834&amp;" ")),ISNUMBER(SEARCH("koneksi",V834&amp;" ")),ISNUMBER(SEARCH("eroro",V834&amp;" ")),ISNUMBER(SEARCH("error",V834&amp;" ")),ISNUMBER(SEARCH("ketutup",V834&amp;" "))),"Kecepatan &amp; Loading Website",IF(OR(ISNUMBER(SEARCH("kontak",V834&amp;" ")),ISNUMBER(SEARCH("pic",V834&amp;" ")),ISNUMBER(SEARCH("darurat",V834&amp;" "))),"Kontak &amp; Informasi PIC",IF(OR(ISNUMBER(SEARCH("sacs",V834&amp;" ")),ISNUMBER(SEARCH("aplikasi",V834&amp;" ")),ISNUMBER(SEARCH("kinerja",V834&amp;" ")),ISNUMBER(SEARCH("seluruh cabang",V834&amp;" "))),"Integrasi dengan SACS / Aplikasi",IF(OR(ISNUMBER(SEARCH("mobile",V834&amp;" ")),ISNUMBER(SEARCH("lebih responsif",V834&amp;" ")),ISNUMBER(SEARCH("scroll",V834&amp;" ")),ISNUMBER(SEARCH("melebar",V834&amp;" "))),"Tampilan di HP (Responsif)",IF(OR(ISNUMBER(SEARCH("simpel",V834&amp;" ")),ISNUMBER(SEARCH("simple",V834&amp;" ")),ISNUMBER(SEARCH("sederhana",V834&amp;" ")),ISNUMBER(SEARCH("ringkas",V834&amp;" ")),ISNUMBER(SEARCH("intinya",V834&amp;" ")),ISNUMBER(SEARCH("panjang lebar",V834&amp;" ")),ISNUMBER(SEARCH("mudah dipahami lagi",V834&amp;" ")),ISNUMBER(SEARCH("tata letak",V834&amp;" ")),ISNUMBER(SEARCH("harus mencari",V834&amp;" "))),"Penyederhanaan &amp; Ringkas Isi",IF(OR(ISNUMBER(SEARCH("menu ",V834&amp;" ")),ISNUMBER(SEARCH("tiap posisi",V834&amp;" ")),ISNUMBER(SEARCH("pilihan antara",V834&amp;" "))),"Menu per Jabatan / Navigasi",IF(OR(ISNUMBER(SEARCH("video",V834&amp;" ")),ISNUMBER(SEARCH("vidio",V834&amp;" ")),ISNUMBER(SEARCH("bagan",V834&amp;" ")),ISNUMBER(SEARCH("gambar",V834&amp;" ")),ISNUMBER(SEARCH("qna",V834&amp;" "))),"Tambah Video / Bagan",IF(OR(ISNUMBER(SEARCH("menarik",V834&amp;" ")),ISNUMBER(SEARCH("design",V834&amp;" ")),ISNUMBER(SEARCH("desain",V834&amp;" ")),ISNUMBER(SEARCH("font",V834&amp;" ")),ISNUMBER(SEARCH("warna",V834&amp;" ")),ISNUMBER(SEARCH("soft",V834&amp;" ")),ISNUMBER(SEARCH("kaku",V834&amp;" ")),ISNUMBER(SEARCH("elegan",V834&amp;" ")),ISNUMBER(SEARCH("grafis",V834&amp;" ")),ISNUMBER(SEARCH("visual",V834&amp;" ")),ISNUMBER(SEARCH("logo",V834&amp;" ")),ISNUMBER(SEARCH("jenuh",V834&amp;" ")),ISNUMBER(SEARCH("abu",V834&amp;" ")),ISNUMBER(SEARCH("tampilannya",V834&amp;" ")),ISNUMBER(SEARCH("tampilan dibuat",V834&amp;" ")),ISNUMBER(SEARCH("tamoilan",V834&amp;" ")),ISNUMBER(SEARCH("lebih user friendly",V834&amp;" "))),"Desain, Warna &amp; Font",IF(OR(ISNUMBER(SEARCH("perbanyak",V834&amp;" ")),ISNUMBER(SEARCH("jabarkan",V834&amp;" ")),ISNUMBER(SEARCH("jobdesk",V834&amp;" ")),ISNUMBER(SEARCH("pengajuan",V834&amp;" ")),ISNUMBER(SEARCH("informasi",V834&amp;" "))),"Penambahan Isi / Penjelasan",IF(OR(ISNUMBER(SEARCH("tingkat",V834&amp;" ")),ISNUMBER(SEARCH("kembang",V834&amp;" ")),ISNUMBER(SEARCH("lebih baik lagi",V834&amp;" ")),ISNUMBER(SEARCH("maksimal",V834&amp;" ")),ISNUMBER(SEARCH("penikatan",V834&amp;" "))),"Saran Umum Peningkatan",IF(OR(ISNUMBER(SEARCH("tidak",V834&amp;" ")),ISNUMBER(SEARCH("tdk",V834&amp;" ")),ISNUMBER(SEARCH("sudah",V834&amp;" ")),ISNUMBER(SEARCH("sdh",V834&amp;" ")),ISNUMBER(SEARCH("cukup",V834&amp;" ")),ISNUMBER(SEARCH("baik",V834&amp;" ")),ISNUMBER(SEARCH("bagus",V834&amp;" ")),ISNUMBER(SEARCH("ok",V834&amp;" ")),ISNUMBER(SEARCH("good",V834&amp;" ")),ISNUMBER(SEARCH("aman",V834&amp;" ")),ISNUMBER(SEARCH("lanjut",V834&amp;" ")),ISNUMBER(SEARCH("mantap",V834&amp;" ")),ISNUMBER(SEARCH("josjis",V834&amp;" ")),ISNUMBER(SEARCH("lumayan",V834&amp;" ")),ISNUMBER(SEARCH("mudah",V834&amp;" ")),ISNUMBER(SEARCH("belum",V834&amp;" ")),ISNUMBER(SEARCH("membantu",V834&amp;" ")),ISNUMBER(SEARCH("comment",V834&amp;" ")),ISNUMBER(SEARCH("lengkap",V834&amp;" ")),ISNUMBER(SEARCH("tercakup",V834&amp;" ")),ISNUMBER(SEARCH("mencakup",V834&amp;" ")),ISNUMBER(SEARCH("semua",V834&amp;" ")),ISNUMBER(SEARCH("penting",V834&amp;" ")),ISNUMBER(SEARCH("terangkum",V834&amp;" ")),ISNUMBER(SEARCH("pas",V834&amp;" ")),ISNUMBER(SEARCH("berjalan",V834&amp;" ")),ISNUMBER(SEARCH("sesuai",V834&amp;" "))),"Tidak ada masukan / sudah baik","Lainnya (perlu dibaca manual)"))))))))))))))</f>
        <v/>
      </c>
      <c r="AA834" s="8" t="str">
        <f t="shared" ref="AA834:AA897" si="288">IF($A834="","",IF(LEN(SUBSTITUTE(SUBSTITUTE(SUBSTITUTE(W834,"-",""),".",""),"?",""))&lt;2,"Tidak ada masukan / sudah baik",IF(OR(ISNUMBER(SEARCH("tampilan",W834&amp;" ")),ISNUMBER(SEARCH("lemot",W834&amp;" "))),"Bukan Terkait SOP (Tampilan / Akses)",IF(OR(ISNUMBER(SEARCH("sanksi",W834&amp;" ")),ISNUMBER(SEARCH("pelanggaran",W834&amp;" ")),ISNUMBER(SEARCH("larangan",W834&amp;" ")),ISNUMBER(SEARCH("rekening pribadi",W834&amp;" "))),"Sanksi &amp; Pelanggaran SOP",IF(OR(ISNUMBER(SEARCH("npl",W834&amp;" ")),ISNUMBER(SEARCH("piutang",W834&amp;" ")),ISNUMBER(SEARCH("rekon",W834&amp;" ")),ISNUMBER(SEARCH("overdue",W834&amp;" ")),ISNUMBER(SEARCH("restruk",W834&amp;" ")),ISNUMBER(SEARCH("tempo",W834&amp;" "))),"Piutang &amp; Pelanggan Bermasalah",IF(OR(ISNUMBER(SEARCH("kiriman",W834&amp;" ")),ISNUMBER(SEARCH("pengiriman",W834&amp;" ")),ISNUMBER(SEARCH("retur",W834&amp;" ")),ISNUMBER(SEARCH("barang",W834&amp;" "))),"Pengiriman, Retur &amp; Logistik",IF(OR(ISNUMBER(SEARCH("contact",W834&amp;" ")),ISNUMBER(SEARCH("kontak",W834&amp;" ")),ISNUMBER(SEARCH("pic",W834&amp;" ")),ISNUMBER(SEARCH("berwenang",W834&amp;" ")),ISNUMBER(SEARCH("follow up",W834&amp;" ")),ISNUMBER(SEARCH("eskalasi",W834&amp;" "))),"Kontak PIC &amp; Eskalasi",IF(OR(ISNUMBER(SEARCH("laporan evaluasi",W834&amp;" ")),ISNUMBER(SEARCH("aplikasi cp",W834&amp;" ")),ISNUMBER(SEARCH("flowchart",W834&amp;" ")),ISNUMBER(SEARCH("acuan",W834&amp;" ")),ISNUMBER(SEARCH("poa",W834&amp;" ")),ISNUMBER(SEARCH("aktifitas",W834&amp;" ")),ISNUMBER(SEARCH("aktivitas",W834&amp;" "))),"Panduan Laporan &amp; Alur Kerja",IF(OR(ISNUMBER(SEARCH("notifikasi",W834&amp;" ")),ISNUMBER(SEARCH("pembaruan",W834&amp;" ")),ISNUMBER(SEARCH("perubahan",W834&amp;" ")),ISNUMBER(SEARCH("update",W834&amp;" "))),"Pembaruan &amp; Notifikasi SOP",IF(OR(ISNUMBER(SEARCH("tidak",W834&amp;" ")),ISNUMBER(SEARCH("tdk",W834&amp;" ")),ISNUMBER(SEARCH("sudah",W834&amp;" ")),ISNUMBER(SEARCH("sdh",W834&amp;" ")),ISNUMBER(SEARCH("cukup",W834&amp;" ")),ISNUMBER(SEARCH("baik",W834&amp;" ")),ISNUMBER(SEARCH("bagus",W834&amp;" ")),ISNUMBER(SEARCH("ok",W834&amp;" ")),ISNUMBER(SEARCH("good",W834&amp;" ")),ISNUMBER(SEARCH("aman",W834&amp;" ")),ISNUMBER(SEARCH("lanjut",W834&amp;" ")),ISNUMBER(SEARCH("mantap",W834&amp;" ")),ISNUMBER(SEARCH("josjis",W834&amp;" ")),ISNUMBER(SEARCH("lumayan",W834&amp;" ")),ISNUMBER(SEARCH("mudah",W834&amp;" ")),ISNUMBER(SEARCH("belum",W834&amp;" ")),ISNUMBER(SEARCH("membantu",W834&amp;" ")),ISNUMBER(SEARCH("comment",W834&amp;" ")),ISNUMBER(SEARCH("lengkap",W834&amp;" ")),ISNUMBER(SEARCH("tercakup",W834&amp;" ")),ISNUMBER(SEARCH("mencakup",W834&amp;" ")),ISNUMBER(SEARCH("semua",W834&amp;" ")),ISNUMBER(SEARCH("penting",W834&amp;" ")),ISNUMBER(SEARCH("terangkum",W834&amp;" ")),ISNUMBER(SEARCH("pas",W834&amp;" ")),ISNUMBER(SEARCH("berjalan",W834&amp;" ")),ISNUMBER(SEARCH("sesuai",W834&amp;" "))),"Tidak ada masukan / sudah baik","Lainnya (perlu dibaca manual)"))))))))))</f>
        <v/>
      </c>
      <c r="AB834" s="8" t="str">
        <f t="shared" ref="AB834:AB897" si="289">IF($A834="","",IF(LEN(SUBSTITUTE(SUBSTITUTE(SUBSTITUTE(X834,"-",""),".",""),"?",""))&lt;2,"Tidak ada masukan / sudah baik",IF(OR(ISNUMBER(SEARCH("urgent",X834&amp;" "))),"Lainnya (perlu dibaca manual)",IF(OR(ISNUMBER(SEARCH("struktur organisasi",X834&amp;" ")),ISNUMBER(SEARCH("pic",X834&amp;" ")),ISNUMBER(SEARCH("cp",X834&amp;" ")),ISNUMBER(SEARCH("personil",X834&amp;" ")),ISNUMBER(SEARCH("sales",X834&amp;" ")),ISNUMBER(SEARCH("muka",X834&amp;" ")),ISNUMBER(SEARCH("eskalasi",X834&amp;" "))),"Struktur Organisasi, PIC &amp; Tim",IF(OR(ISNUMBER(SEARCH("lemot",X834&amp;" ")),ISNUMBER(SEARCH("lambat",X834&amp;" ")),ISNUMBER(SEARCH("memuat",X834&amp;" ")),ISNUMBER(SEARCH("koneksi",X834&amp;" "))),"Kecepatan Akses Website",IF(OR(ISNUMBER(SEARCH("sacs",X834&amp;" ")),ISNUMBER(SEARCH("aplikasi",X834&amp;" "))),"Integrasi ke SACS / Aplikasi Kerja",IF(OR(ISNUMBER(SEARCH("dashboard",X834&amp;" ")),ISNUMBER(SEARCH("kpi",X834&amp;" ")),ISNUMBER(SEARCH("database",X834&amp;" ")),ISNUMBER(SEARCH("kinerja",X834&amp;" ")),ISNUMBER(SEARCH("seluruh cabang",X834&amp;" "))),"Fitur Baru (Dashboard / KPI / Database)",IF(OR(ISNUMBER(SEARCH("video",X834&amp;" ")),ISNUMBER(SEARCH("gambar",X834&amp;" ")),ISNUMBER(SEARCH("jpg",X834&amp;" ")),ISNUMBER(SEARCH("flowchart",X834&amp;" ")),ISNUMBER(SEARCH("tutorial",X834&amp;" "))),"Tambah Video / Gambar / Flowchart",IF(OR(ISNUMBER(SEARCH("template",X834&amp;" ")),ISNUMBER(SEARCH("surat",X834&amp;" ")),ISNUMBER(SEARCH("korin",X834&amp;" ")),ISNUMBER(SEARCH("overdue",X834&amp;" ")),ISNUMBER(SEARCH("restruk",X834&amp;" ")),ISNUMBER(SEARCH("tempo",X834&amp;" ")),ISNUMBER(SEARCH("larangan",X834&amp;" ")),ISNUMBER(SEARCH("posisi lain",X834&amp;" ")),ISNUMBER(SEARCH("jobdesk",X834&amp;" ")),ISNUMBER(SEARCH("jobdisk",X834&amp;" ")),ISNUMBER(SEARCH("langkah",X834&amp;" ")),ISNUMBER(SEARCH("detail",X834&amp;" ")),ISNUMBER(SEARCH("panduan",X834&amp;" ")),ISNUMBER(SEARCH("lengkap lagi",X834&amp;" ")),ISNUMBER(SEARCH("tips",X834&amp;" "))),"Penambahan Materi &amp; Template",IF(OR(ISNUMBER(SEARCH("simpel",X834&amp;" ")),ISNUMBER(SEARCH("simple",X834&amp;" ")),ISNUMBER(SEARCH("ringkas",X834&amp;" ")),ISNUMBER(SEARCH("monoton",X834&amp;" ")),ISNUMBER(SEARCH("penataan",X834&amp;" "))),"Penyederhanaan Isi",IF(OR(ISNUMBER(SEARCH("menarik",X834&amp;" ")),ISNUMBER(SEARCH("design",X834&amp;" ")),ISNUMBER(SEARCH("desain",X834&amp;" ")),ISNUMBER(SEARCH("tampilan",X834&amp;" ")),ISNUMBER(SEARCH("kaku",X834&amp;" ")),ISNUMBER(SEARCH("user friendly",X834&amp;" "))),"Desain Tampilan",IF(OR(ISNUMBER(SEARCH("update",X834&amp;" ")),ISNUMBER(SEARCH("terbaru",X834&amp;" ")),ISNUMBER(SEARCH("terkini",X834&amp;" ")),ISNUMBER(SEARCH("uptodate",X834&amp;" "))),"Update Informasi Berkala",IF(OR(ISNUMBER(SEARCH("tingkat",X834&amp;" ")),ISNUMBER(SEARCH("kembang",X834&amp;" ")),ISNUMBER(SEARCH("inovasi",X834&amp;" ")),ISNUMBER(SEARCH("maintenance",X834&amp;" "))),"Saran Umum Peningkatan",IF(OR(ISNUMBER(SEARCH("tidak",X834&amp;" ")),ISNUMBER(SEARCH("tdk",X834&amp;" ")),ISNUMBER(SEARCH("sudah",X834&amp;" ")),ISNUMBER(SEARCH("sdh",X834&amp;" ")),ISNUMBER(SEARCH("cukup",X834&amp;" ")),ISNUMBER(SEARCH("baik",X834&amp;" ")),ISNUMBER(SEARCH("bagus",X834&amp;" ")),ISNUMBER(SEARCH("ok",X834&amp;" ")),ISNUMBER(SEARCH("good",X834&amp;" ")),ISNUMBER(SEARCH("aman",X834&amp;" ")),ISNUMBER(SEARCH("lanjut",X834&amp;" ")),ISNUMBER(SEARCH("mantap",X834&amp;" ")),ISNUMBER(SEARCH("josjis",X834&amp;" ")),ISNUMBER(SEARCH("lumayan",X834&amp;" ")),ISNUMBER(SEARCH("mudah",X834&amp;" ")),ISNUMBER(SEARCH("belum",X834&amp;" ")),ISNUMBER(SEARCH("membantu",X834&amp;" ")),ISNUMBER(SEARCH("comment",X834&amp;" ")),ISNUMBER(SEARCH("lengkap",X834&amp;" ")),ISNUMBER(SEARCH("tercakup",X834&amp;" ")),ISNUMBER(SEARCH("mencakup",X834&amp;" ")),ISNUMBER(SEARCH("semua",X834&amp;" ")),ISNUMBER(SEARCH("penting",X834&amp;" ")),ISNUMBER(SEARCH("terangkum",X834&amp;" ")),ISNUMBER(SEARCH("pas",X834&amp;" ")),ISNUMBER(SEARCH("berjalan",X834&amp;" ")),ISNUMBER(SEARCH("sesuai",X834&amp;" "))),"Tidak ada masukan / sudah baik","Lainnya (perlu dibaca manual)"))))))))))))))</f>
        <v/>
      </c>
      <c r="AC834" s="8"/>
      <c r="AD834" s="8"/>
      <c r="AE834" s="8"/>
      <c r="AK834" s="5" t="str">
        <f t="shared" ref="AK834:AK897" si="290">IF($A834="","",IF(OR($Z834="Kecepatan &amp; Loading Website",$AB834="Kecepatan Akses Website",AND($AA834="Bukan Terkait SOP (Tampilan / Akses)",OR(ISNUMBER(SEARCH("lemot",$W834)),ISNUMBER(SEARCH("loading",$W834)),ISNUMBER(SEARCH("lambat",$W834))))),1,0))</f>
        <v/>
      </c>
      <c r="AL834" s="5" t="str">
        <f t="shared" ref="AL834:AL897" si="291">IF($A834="","",IF(OR($Z834="Tampilan di HP (Responsif)"),1,0))</f>
        <v/>
      </c>
      <c r="AM834" s="5" t="str">
        <f t="shared" ref="AM834:AM897" si="292">IF($A834="","",IF(OR($Z834="Desain, Warna &amp; Font",$AB834="Desain Tampilan",AND($AA834="Bukan Terkait SOP (Tampilan / Akses)",NOT(OR(ISNUMBER(SEARCH("lemot",$W834)),ISNUMBER(SEARCH("loading",$W834)),ISNUMBER(SEARCH("lambat",$W834)))))),1,0))</f>
        <v/>
      </c>
      <c r="AN834" s="5" t="str">
        <f t="shared" ref="AN834:AN897" si="293">IF($A834="","",IF(OR($Z834="Menu per Jabatan / Navigasi"),1,0))</f>
        <v/>
      </c>
      <c r="AO834" s="5" t="str">
        <f t="shared" ref="AO834:AO897" si="294">IF($A834="","",IF(OR($Z834="Integrasi dengan SACS / Aplikasi",$AB834="Integrasi ke SACS / Aplikasi Kerja"),1,0))</f>
        <v/>
      </c>
      <c r="AP834" s="5" t="str">
        <f t="shared" ref="AP834:AP897" si="295">IF($A834="","",IF(OR($AB834="Fitur Baru (Dashboard / KPI / Database)"),1,0))</f>
        <v/>
      </c>
      <c r="AQ834" s="5" t="str">
        <f t="shared" ref="AQ834:AQ897" si="296">IF($A834="","",IF(OR($Z834="Penyederhanaan &amp; Ringkas Isi",$AB834="Penyederhanaan Isi"),1,0))</f>
        <v/>
      </c>
      <c r="AR834" s="5" t="str">
        <f t="shared" ref="AR834:AR897" si="297">IF($A834="","",IF(OR($Z834="Penambahan Isi / Penjelasan",$AB834="Penambahan Materi &amp; Template"),1,0))</f>
        <v/>
      </c>
      <c r="AS834" s="5" t="str">
        <f t="shared" ref="AS834:AS897" si="298">IF($A834="","",IF(OR($Z834="Tambah Video / Bagan",$AB834="Tambah Video / Gambar / Flowchart"),1,0))</f>
        <v/>
      </c>
      <c r="AT834" s="5" t="str">
        <f t="shared" ref="AT834:AT897" si="299">IF($A834="","",IF(OR($Z834="Kontak &amp; Informasi PIC",$AA834="Kontak PIC &amp; Eskalasi",$AB834="Struktur Organisasi, PIC &amp; Tim"),1,0))</f>
        <v/>
      </c>
      <c r="AU834" s="5" t="str">
        <f t="shared" ref="AU834:AU897" si="300">IF($A834="","",IF(OR($AA834="Pembaruan &amp; Notifikasi SOP",$AB834="Update Informasi Berkala"),1,0))</f>
        <v/>
      </c>
      <c r="AV834" s="5" t="str">
        <f t="shared" ref="AV834:AV897" si="301">IF($A834="","",IF(OR($AA834="Sanksi &amp; Pelanggaran SOP"),1,0))</f>
        <v/>
      </c>
      <c r="AW834" s="5" t="str">
        <f t="shared" ref="AW834:AW897" si="302">IF($A834="","",IF(OR($AA834="Piutang &amp; Pelanggan Bermasalah"),1,0))</f>
        <v/>
      </c>
      <c r="AX834" s="5" t="str">
        <f t="shared" ref="AX834:AX897" si="303">IF($A834="","",IF(OR($AA834="Pengiriman, Retur &amp; Logistik"),1,0))</f>
        <v/>
      </c>
      <c r="AY834" s="5" t="str">
        <f t="shared" ref="AY834:AY897" si="304">IF($A834="","",IF(OR($AA834="Panduan Laporan &amp; Alur Kerja"),1,0))</f>
        <v/>
      </c>
      <c r="AZ834" s="5" t="str">
        <f t="shared" ref="AZ834:AZ897" si="305">IF($A834="","",IF(OR($Z834="Saran Umum Peningkatan",$AB834="Saran Umum Peningkatan"),1,0))</f>
        <v/>
      </c>
      <c r="BA834" s="5" t="str">
        <f t="shared" ref="BA834:BA897" si="306">IF($A834="","",IF(OR($Z834="Lainnya (perlu dibaca manual)",$AA834="Lainnya (perlu dibaca manual)",$AB834="Lainnya (perlu dibaca manual)"),1,0))</f>
        <v/>
      </c>
      <c r="BB834" s="5" t="str">
        <f t="shared" ref="BB834:BB897" si="307">IF($A834="","",IF(AND($Z834="Tidak ada masukan / sudah baik",$AA834="Tidak ada masukan / sudah baik",$AB834="Tidak ada masukan / sudah baik"),0,1))</f>
        <v/>
      </c>
    </row>
    <row r="835" spans="1:54" s="5" customFormat="1" hidden="1">
      <c r="A835" s="8" t="str">
        <f>IF(INDEX(FORM!$A:$A,ROW())="","",ROW()-1)</f>
        <v/>
      </c>
      <c r="B835" s="41" t="str">
        <f>IF($A835="","",INDEX(FORM!$A:$A,ROW()))</f>
        <v/>
      </c>
      <c r="C835" s="8" t="str">
        <f>IF($A835="","",TRIM(INDEX(FORM!$B:$B,ROW())))</f>
        <v/>
      </c>
      <c r="D835" s="8" t="str">
        <f>IF($A835="","",TRIM(INDEX(FORM!$C:$C,ROW())&amp;""))</f>
        <v/>
      </c>
      <c r="E835" s="8" t="str">
        <f>IF($A835="","",UPPER(TRIM(INDEX(FORM!$D:$D,ROW()))))</f>
        <v/>
      </c>
      <c r="F835" s="8" t="str">
        <f>IF($A835="","",IFERROR(INDEX(PROGRES!$A$2:$A$92,MATCH(E835,PROGRES!$B$2:$B$92,0)),"-"))</f>
        <v/>
      </c>
      <c r="G835" s="8" t="str">
        <f>IF($A835="","",UPPER(TRIM(INDEX(FORM!$F:$F,ROW()))))</f>
        <v/>
      </c>
      <c r="H835" s="8" t="str">
        <f>IF($A835="","",UPPER(TRIM(INDEX(FORM!$E:$E,ROW()))))</f>
        <v/>
      </c>
      <c r="I835" s="8" t="str">
        <f>IF($A835="","",UPPER(TRIM(INDEX(FORM!$G:$G,ROW()))))</f>
        <v/>
      </c>
      <c r="J835" s="8" t="str">
        <f>IF($A835="","",IF(ISNUMBER(SEARCH("Ya,",INDEX(FORM!$H:$H,ROW()))),"YA",IF(ISNUMBER(SEARCH("Cukup,",INDEX(FORM!$H:$H,ROW()))),"CUKUP",IF(ISNUMBER(SEARCH("Kurang,",INDEX(FORM!$H:$H,ROW()))),"KURANG",""))))</f>
        <v/>
      </c>
      <c r="K835" s="8" t="str">
        <f>IF($A835="","",UPPER(TRIM(INDEX(FORM!$J:$J,ROW()))))</f>
        <v/>
      </c>
      <c r="L835" s="8" t="str">
        <f>IF($A835="","",IF(ISNUMBER(SEARCH("Aktivitas Harian",INDEX(FORM!$K:$K,ROW()))),1,0))</f>
        <v/>
      </c>
      <c r="M835" s="8" t="str">
        <f>IF($A835="","",IF(ISNUMBER(SEARCH("Aktivitas Mingguan",INDEX(FORM!$K:$K,ROW()))),1,0))</f>
        <v/>
      </c>
      <c r="N835" s="8" t="str">
        <f>IF($A835="","",IF(ISNUMBER(SEARCH("Aktivitas Bulanan",INDEX(FORM!$K:$K,ROW()))),1,0))</f>
        <v/>
      </c>
      <c r="O835" s="8" t="str">
        <f>IF($A835="","",IF(ISNUMBER(SEARCH("Overview Cabang",INDEX(FORM!$K:$K,ROW()))),1,0))</f>
        <v/>
      </c>
      <c r="P835" s="8" t="str">
        <f>IF($A835="","",IFERROR(VLOOKUP(I835,DATA!$AH$9:$AI$13,2,0),""))</f>
        <v/>
      </c>
      <c r="Q835" s="8" t="str">
        <f>IF($A835="","",IFERROR(VLOOKUP(J835,DATA!$AH$9:$AI$13,2,0),""))</f>
        <v/>
      </c>
      <c r="R835" s="8" t="str">
        <f>IF($A835="","",IFERROR(VLOOKUP(K835,DATA!$AH$9:$AI$13,2,0),""))</f>
        <v/>
      </c>
      <c r="S835" s="42" t="str">
        <f t="shared" si="286"/>
        <v/>
      </c>
      <c r="T835" s="8" t="str">
        <f>IF($A835="","",IF(COUNTIF($D$2:D835,D835)=1,1,0))</f>
        <v/>
      </c>
      <c r="U835" s="8" t="str">
        <f>IF($A835="","",IF(F835="-","Cabang tdk ada",IF(IFERROR(VLOOKUP(G835,#REF!,1,0),"")="","",IF(INDEX(DATA!$AH$2:$AH$5,MATCH(G835,DATA!$AI$2:$AI$5,0))&lt;&gt;F835,"Wilayah beda","OK"))))</f>
        <v/>
      </c>
      <c r="V835" s="8" t="str">
        <f>IF($A835="","",TRIM(INDEX(FORM!$I:$I,ROW())&amp;""))</f>
        <v/>
      </c>
      <c r="W835" s="8" t="str">
        <f>IF($A835="","",TRIM(INDEX(FORM!$L:$L,ROW())&amp;""))</f>
        <v/>
      </c>
      <c r="X835" s="8" t="str">
        <f>IF($A835="","",TRIM(INDEX(FORM!$M:$M,ROW())&amp;""))</f>
        <v/>
      </c>
      <c r="Y835" s="8" t="str">
        <f>IF($A835="","",IFERROR(MATCH(F835,DATA!$AH$2:$AH$5,0),9)*10000+A835)</f>
        <v/>
      </c>
      <c r="Z835" s="8" t="str">
        <f t="shared" si="287"/>
        <v/>
      </c>
      <c r="AA835" s="8" t="str">
        <f t="shared" si="288"/>
        <v/>
      </c>
      <c r="AB835" s="8" t="str">
        <f t="shared" si="289"/>
        <v/>
      </c>
      <c r="AC835" s="8"/>
      <c r="AD835" s="8"/>
      <c r="AE835" s="8"/>
      <c r="AK835" s="5" t="str">
        <f t="shared" si="290"/>
        <v/>
      </c>
      <c r="AL835" s="5" t="str">
        <f t="shared" si="291"/>
        <v/>
      </c>
      <c r="AM835" s="5" t="str">
        <f t="shared" si="292"/>
        <v/>
      </c>
      <c r="AN835" s="5" t="str">
        <f t="shared" si="293"/>
        <v/>
      </c>
      <c r="AO835" s="5" t="str">
        <f t="shared" si="294"/>
        <v/>
      </c>
      <c r="AP835" s="5" t="str">
        <f t="shared" si="295"/>
        <v/>
      </c>
      <c r="AQ835" s="5" t="str">
        <f t="shared" si="296"/>
        <v/>
      </c>
      <c r="AR835" s="5" t="str">
        <f t="shared" si="297"/>
        <v/>
      </c>
      <c r="AS835" s="5" t="str">
        <f t="shared" si="298"/>
        <v/>
      </c>
      <c r="AT835" s="5" t="str">
        <f t="shared" si="299"/>
        <v/>
      </c>
      <c r="AU835" s="5" t="str">
        <f t="shared" si="300"/>
        <v/>
      </c>
      <c r="AV835" s="5" t="str">
        <f t="shared" si="301"/>
        <v/>
      </c>
      <c r="AW835" s="5" t="str">
        <f t="shared" si="302"/>
        <v/>
      </c>
      <c r="AX835" s="5" t="str">
        <f t="shared" si="303"/>
        <v/>
      </c>
      <c r="AY835" s="5" t="str">
        <f t="shared" si="304"/>
        <v/>
      </c>
      <c r="AZ835" s="5" t="str">
        <f t="shared" si="305"/>
        <v/>
      </c>
      <c r="BA835" s="5" t="str">
        <f t="shared" si="306"/>
        <v/>
      </c>
      <c r="BB835" s="5" t="str">
        <f t="shared" si="307"/>
        <v/>
      </c>
    </row>
    <row r="836" spans="1:54" s="5" customFormat="1" hidden="1">
      <c r="A836" s="8" t="str">
        <f>IF(INDEX(FORM!$A:$A,ROW())="","",ROW()-1)</f>
        <v/>
      </c>
      <c r="B836" s="41" t="str">
        <f>IF($A836="","",INDEX(FORM!$A:$A,ROW()))</f>
        <v/>
      </c>
      <c r="C836" s="8" t="str">
        <f>IF($A836="","",TRIM(INDEX(FORM!$B:$B,ROW())))</f>
        <v/>
      </c>
      <c r="D836" s="8" t="str">
        <f>IF($A836="","",TRIM(INDEX(FORM!$C:$C,ROW())&amp;""))</f>
        <v/>
      </c>
      <c r="E836" s="8" t="str">
        <f>IF($A836="","",UPPER(TRIM(INDEX(FORM!$D:$D,ROW()))))</f>
        <v/>
      </c>
      <c r="F836" s="8" t="str">
        <f>IF($A836="","",IFERROR(INDEX(PROGRES!$A$2:$A$92,MATCH(E836,PROGRES!$B$2:$B$92,0)),"-"))</f>
        <v/>
      </c>
      <c r="G836" s="8" t="str">
        <f>IF($A836="","",UPPER(TRIM(INDEX(FORM!$F:$F,ROW()))))</f>
        <v/>
      </c>
      <c r="H836" s="8" t="str">
        <f>IF($A836="","",UPPER(TRIM(INDEX(FORM!$E:$E,ROW()))))</f>
        <v/>
      </c>
      <c r="I836" s="8" t="str">
        <f>IF($A836="","",UPPER(TRIM(INDEX(FORM!$G:$G,ROW()))))</f>
        <v/>
      </c>
      <c r="J836" s="8" t="str">
        <f>IF($A836="","",IF(ISNUMBER(SEARCH("Ya,",INDEX(FORM!$H:$H,ROW()))),"YA",IF(ISNUMBER(SEARCH("Cukup,",INDEX(FORM!$H:$H,ROW()))),"CUKUP",IF(ISNUMBER(SEARCH("Kurang,",INDEX(FORM!$H:$H,ROW()))),"KURANG",""))))</f>
        <v/>
      </c>
      <c r="K836" s="8" t="str">
        <f>IF($A836="","",UPPER(TRIM(INDEX(FORM!$J:$J,ROW()))))</f>
        <v/>
      </c>
      <c r="L836" s="8" t="str">
        <f>IF($A836="","",IF(ISNUMBER(SEARCH("Aktivitas Harian",INDEX(FORM!$K:$K,ROW()))),1,0))</f>
        <v/>
      </c>
      <c r="M836" s="8" t="str">
        <f>IF($A836="","",IF(ISNUMBER(SEARCH("Aktivitas Mingguan",INDEX(FORM!$K:$K,ROW()))),1,0))</f>
        <v/>
      </c>
      <c r="N836" s="8" t="str">
        <f>IF($A836="","",IF(ISNUMBER(SEARCH("Aktivitas Bulanan",INDEX(FORM!$K:$K,ROW()))),1,0))</f>
        <v/>
      </c>
      <c r="O836" s="8" t="str">
        <f>IF($A836="","",IF(ISNUMBER(SEARCH("Overview Cabang",INDEX(FORM!$K:$K,ROW()))),1,0))</f>
        <v/>
      </c>
      <c r="P836" s="8" t="str">
        <f>IF($A836="","",IFERROR(VLOOKUP(I836,DATA!$AH$9:$AI$13,2,0),""))</f>
        <v/>
      </c>
      <c r="Q836" s="8" t="str">
        <f>IF($A836="","",IFERROR(VLOOKUP(J836,DATA!$AH$9:$AI$13,2,0),""))</f>
        <v/>
      </c>
      <c r="R836" s="8" t="str">
        <f>IF($A836="","",IFERROR(VLOOKUP(K836,DATA!$AH$9:$AI$13,2,0),""))</f>
        <v/>
      </c>
      <c r="S836" s="42" t="str">
        <f t="shared" si="286"/>
        <v/>
      </c>
      <c r="T836" s="8" t="str">
        <f>IF($A836="","",IF(COUNTIF($D$2:D836,D836)=1,1,0))</f>
        <v/>
      </c>
      <c r="U836" s="8" t="str">
        <f>IF($A836="","",IF(F836="-","Cabang tdk ada",IF(IFERROR(VLOOKUP(G836,#REF!,1,0),"")="","",IF(INDEX(DATA!$AH$2:$AH$5,MATCH(G836,DATA!$AI$2:$AI$5,0))&lt;&gt;F836,"Wilayah beda","OK"))))</f>
        <v/>
      </c>
      <c r="V836" s="8" t="str">
        <f>IF($A836="","",TRIM(INDEX(FORM!$I:$I,ROW())&amp;""))</f>
        <v/>
      </c>
      <c r="W836" s="8" t="str">
        <f>IF($A836="","",TRIM(INDEX(FORM!$L:$L,ROW())&amp;""))</f>
        <v/>
      </c>
      <c r="X836" s="8" t="str">
        <f>IF($A836="","",TRIM(INDEX(FORM!$M:$M,ROW())&amp;""))</f>
        <v/>
      </c>
      <c r="Y836" s="8" t="str">
        <f>IF($A836="","",IFERROR(MATCH(F836,DATA!$AH$2:$AH$5,0),9)*10000+A836)</f>
        <v/>
      </c>
      <c r="Z836" s="8" t="str">
        <f t="shared" si="287"/>
        <v/>
      </c>
      <c r="AA836" s="8" t="str">
        <f t="shared" si="288"/>
        <v/>
      </c>
      <c r="AB836" s="8" t="str">
        <f t="shared" si="289"/>
        <v/>
      </c>
      <c r="AC836" s="8"/>
      <c r="AD836" s="8"/>
      <c r="AE836" s="8"/>
      <c r="AK836" s="5" t="str">
        <f t="shared" si="290"/>
        <v/>
      </c>
      <c r="AL836" s="5" t="str">
        <f t="shared" si="291"/>
        <v/>
      </c>
      <c r="AM836" s="5" t="str">
        <f t="shared" si="292"/>
        <v/>
      </c>
      <c r="AN836" s="5" t="str">
        <f t="shared" si="293"/>
        <v/>
      </c>
      <c r="AO836" s="5" t="str">
        <f t="shared" si="294"/>
        <v/>
      </c>
      <c r="AP836" s="5" t="str">
        <f t="shared" si="295"/>
        <v/>
      </c>
      <c r="AQ836" s="5" t="str">
        <f t="shared" si="296"/>
        <v/>
      </c>
      <c r="AR836" s="5" t="str">
        <f t="shared" si="297"/>
        <v/>
      </c>
      <c r="AS836" s="5" t="str">
        <f t="shared" si="298"/>
        <v/>
      </c>
      <c r="AT836" s="5" t="str">
        <f t="shared" si="299"/>
        <v/>
      </c>
      <c r="AU836" s="5" t="str">
        <f t="shared" si="300"/>
        <v/>
      </c>
      <c r="AV836" s="5" t="str">
        <f t="shared" si="301"/>
        <v/>
      </c>
      <c r="AW836" s="5" t="str">
        <f t="shared" si="302"/>
        <v/>
      </c>
      <c r="AX836" s="5" t="str">
        <f t="shared" si="303"/>
        <v/>
      </c>
      <c r="AY836" s="5" t="str">
        <f t="shared" si="304"/>
        <v/>
      </c>
      <c r="AZ836" s="5" t="str">
        <f t="shared" si="305"/>
        <v/>
      </c>
      <c r="BA836" s="5" t="str">
        <f t="shared" si="306"/>
        <v/>
      </c>
      <c r="BB836" s="5" t="str">
        <f t="shared" si="307"/>
        <v/>
      </c>
    </row>
    <row r="837" spans="1:54" s="5" customFormat="1" hidden="1">
      <c r="A837" s="8" t="str">
        <f>IF(INDEX(FORM!$A:$A,ROW())="","",ROW()-1)</f>
        <v/>
      </c>
      <c r="B837" s="41" t="str">
        <f>IF($A837="","",INDEX(FORM!$A:$A,ROW()))</f>
        <v/>
      </c>
      <c r="C837" s="8" t="str">
        <f>IF($A837="","",TRIM(INDEX(FORM!$B:$B,ROW())))</f>
        <v/>
      </c>
      <c r="D837" s="8" t="str">
        <f>IF($A837="","",TRIM(INDEX(FORM!$C:$C,ROW())&amp;""))</f>
        <v/>
      </c>
      <c r="E837" s="8" t="str">
        <f>IF($A837="","",UPPER(TRIM(INDEX(FORM!$D:$D,ROW()))))</f>
        <v/>
      </c>
      <c r="F837" s="8" t="str">
        <f>IF($A837="","",IFERROR(INDEX(PROGRES!$A$2:$A$92,MATCH(E837,PROGRES!$B$2:$B$92,0)),"-"))</f>
        <v/>
      </c>
      <c r="G837" s="8" t="str">
        <f>IF($A837="","",UPPER(TRIM(INDEX(FORM!$F:$F,ROW()))))</f>
        <v/>
      </c>
      <c r="H837" s="8" t="str">
        <f>IF($A837="","",UPPER(TRIM(INDEX(FORM!$E:$E,ROW()))))</f>
        <v/>
      </c>
      <c r="I837" s="8" t="str">
        <f>IF($A837="","",UPPER(TRIM(INDEX(FORM!$G:$G,ROW()))))</f>
        <v/>
      </c>
      <c r="J837" s="8" t="str">
        <f>IF($A837="","",IF(ISNUMBER(SEARCH("Ya,",INDEX(FORM!$H:$H,ROW()))),"YA",IF(ISNUMBER(SEARCH("Cukup,",INDEX(FORM!$H:$H,ROW()))),"CUKUP",IF(ISNUMBER(SEARCH("Kurang,",INDEX(FORM!$H:$H,ROW()))),"KURANG",""))))</f>
        <v/>
      </c>
      <c r="K837" s="8" t="str">
        <f>IF($A837="","",UPPER(TRIM(INDEX(FORM!$J:$J,ROW()))))</f>
        <v/>
      </c>
      <c r="L837" s="8" t="str">
        <f>IF($A837="","",IF(ISNUMBER(SEARCH("Aktivitas Harian",INDEX(FORM!$K:$K,ROW()))),1,0))</f>
        <v/>
      </c>
      <c r="M837" s="8" t="str">
        <f>IF($A837="","",IF(ISNUMBER(SEARCH("Aktivitas Mingguan",INDEX(FORM!$K:$K,ROW()))),1,0))</f>
        <v/>
      </c>
      <c r="N837" s="8" t="str">
        <f>IF($A837="","",IF(ISNUMBER(SEARCH("Aktivitas Bulanan",INDEX(FORM!$K:$K,ROW()))),1,0))</f>
        <v/>
      </c>
      <c r="O837" s="8" t="str">
        <f>IF($A837="","",IF(ISNUMBER(SEARCH("Overview Cabang",INDEX(FORM!$K:$K,ROW()))),1,0))</f>
        <v/>
      </c>
      <c r="P837" s="8" t="str">
        <f>IF($A837="","",IFERROR(VLOOKUP(I837,DATA!$AH$9:$AI$13,2,0),""))</f>
        <v/>
      </c>
      <c r="Q837" s="8" t="str">
        <f>IF($A837="","",IFERROR(VLOOKUP(J837,DATA!$AH$9:$AI$13,2,0),""))</f>
        <v/>
      </c>
      <c r="R837" s="8" t="str">
        <f>IF($A837="","",IFERROR(VLOOKUP(K837,DATA!$AH$9:$AI$13,2,0),""))</f>
        <v/>
      </c>
      <c r="S837" s="42" t="str">
        <f t="shared" si="286"/>
        <v/>
      </c>
      <c r="T837" s="8" t="str">
        <f>IF($A837="","",IF(COUNTIF($D$2:D837,D837)=1,1,0))</f>
        <v/>
      </c>
      <c r="U837" s="8" t="str">
        <f>IF($A837="","",IF(F837="-","Cabang tdk ada",IF(IFERROR(VLOOKUP(G837,#REF!,1,0),"")="","",IF(INDEX(DATA!$AH$2:$AH$5,MATCH(G837,DATA!$AI$2:$AI$5,0))&lt;&gt;F837,"Wilayah beda","OK"))))</f>
        <v/>
      </c>
      <c r="V837" s="8" t="str">
        <f>IF($A837="","",TRIM(INDEX(FORM!$I:$I,ROW())&amp;""))</f>
        <v/>
      </c>
      <c r="W837" s="8" t="str">
        <f>IF($A837="","",TRIM(INDEX(FORM!$L:$L,ROW())&amp;""))</f>
        <v/>
      </c>
      <c r="X837" s="8" t="str">
        <f>IF($A837="","",TRIM(INDEX(FORM!$M:$M,ROW())&amp;""))</f>
        <v/>
      </c>
      <c r="Y837" s="8" t="str">
        <f>IF($A837="","",IFERROR(MATCH(F837,DATA!$AH$2:$AH$5,0),9)*10000+A837)</f>
        <v/>
      </c>
      <c r="Z837" s="8" t="str">
        <f t="shared" si="287"/>
        <v/>
      </c>
      <c r="AA837" s="8" t="str">
        <f t="shared" si="288"/>
        <v/>
      </c>
      <c r="AB837" s="8" t="str">
        <f t="shared" si="289"/>
        <v/>
      </c>
      <c r="AC837" s="8"/>
      <c r="AD837" s="8"/>
      <c r="AE837" s="8"/>
      <c r="AK837" s="5" t="str">
        <f t="shared" si="290"/>
        <v/>
      </c>
      <c r="AL837" s="5" t="str">
        <f t="shared" si="291"/>
        <v/>
      </c>
      <c r="AM837" s="5" t="str">
        <f t="shared" si="292"/>
        <v/>
      </c>
      <c r="AN837" s="5" t="str">
        <f t="shared" si="293"/>
        <v/>
      </c>
      <c r="AO837" s="5" t="str">
        <f t="shared" si="294"/>
        <v/>
      </c>
      <c r="AP837" s="5" t="str">
        <f t="shared" si="295"/>
        <v/>
      </c>
      <c r="AQ837" s="5" t="str">
        <f t="shared" si="296"/>
        <v/>
      </c>
      <c r="AR837" s="5" t="str">
        <f t="shared" si="297"/>
        <v/>
      </c>
      <c r="AS837" s="5" t="str">
        <f t="shared" si="298"/>
        <v/>
      </c>
      <c r="AT837" s="5" t="str">
        <f t="shared" si="299"/>
        <v/>
      </c>
      <c r="AU837" s="5" t="str">
        <f t="shared" si="300"/>
        <v/>
      </c>
      <c r="AV837" s="5" t="str">
        <f t="shared" si="301"/>
        <v/>
      </c>
      <c r="AW837" s="5" t="str">
        <f t="shared" si="302"/>
        <v/>
      </c>
      <c r="AX837" s="5" t="str">
        <f t="shared" si="303"/>
        <v/>
      </c>
      <c r="AY837" s="5" t="str">
        <f t="shared" si="304"/>
        <v/>
      </c>
      <c r="AZ837" s="5" t="str">
        <f t="shared" si="305"/>
        <v/>
      </c>
      <c r="BA837" s="5" t="str">
        <f t="shared" si="306"/>
        <v/>
      </c>
      <c r="BB837" s="5" t="str">
        <f t="shared" si="307"/>
        <v/>
      </c>
    </row>
    <row r="838" spans="1:54" s="5" customFormat="1" hidden="1">
      <c r="A838" s="8" t="str">
        <f>IF(INDEX(FORM!$A:$A,ROW())="","",ROW()-1)</f>
        <v/>
      </c>
      <c r="B838" s="41" t="str">
        <f>IF($A838="","",INDEX(FORM!$A:$A,ROW()))</f>
        <v/>
      </c>
      <c r="C838" s="8" t="str">
        <f>IF($A838="","",TRIM(INDEX(FORM!$B:$B,ROW())))</f>
        <v/>
      </c>
      <c r="D838" s="8" t="str">
        <f>IF($A838="","",TRIM(INDEX(FORM!$C:$C,ROW())&amp;""))</f>
        <v/>
      </c>
      <c r="E838" s="8" t="str">
        <f>IF($A838="","",UPPER(TRIM(INDEX(FORM!$D:$D,ROW()))))</f>
        <v/>
      </c>
      <c r="F838" s="8" t="str">
        <f>IF($A838="","",IFERROR(INDEX(PROGRES!$A$2:$A$92,MATCH(E838,PROGRES!$B$2:$B$92,0)),"-"))</f>
        <v/>
      </c>
      <c r="G838" s="8" t="str">
        <f>IF($A838="","",UPPER(TRIM(INDEX(FORM!$F:$F,ROW()))))</f>
        <v/>
      </c>
      <c r="H838" s="8" t="str">
        <f>IF($A838="","",UPPER(TRIM(INDEX(FORM!$E:$E,ROW()))))</f>
        <v/>
      </c>
      <c r="I838" s="8" t="str">
        <f>IF($A838="","",UPPER(TRIM(INDEX(FORM!$G:$G,ROW()))))</f>
        <v/>
      </c>
      <c r="J838" s="8" t="str">
        <f>IF($A838="","",IF(ISNUMBER(SEARCH("Ya,",INDEX(FORM!$H:$H,ROW()))),"YA",IF(ISNUMBER(SEARCH("Cukup,",INDEX(FORM!$H:$H,ROW()))),"CUKUP",IF(ISNUMBER(SEARCH("Kurang,",INDEX(FORM!$H:$H,ROW()))),"KURANG",""))))</f>
        <v/>
      </c>
      <c r="K838" s="8" t="str">
        <f>IF($A838="","",UPPER(TRIM(INDEX(FORM!$J:$J,ROW()))))</f>
        <v/>
      </c>
      <c r="L838" s="8" t="str">
        <f>IF($A838="","",IF(ISNUMBER(SEARCH("Aktivitas Harian",INDEX(FORM!$K:$K,ROW()))),1,0))</f>
        <v/>
      </c>
      <c r="M838" s="8" t="str">
        <f>IF($A838="","",IF(ISNUMBER(SEARCH("Aktivitas Mingguan",INDEX(FORM!$K:$K,ROW()))),1,0))</f>
        <v/>
      </c>
      <c r="N838" s="8" t="str">
        <f>IF($A838="","",IF(ISNUMBER(SEARCH("Aktivitas Bulanan",INDEX(FORM!$K:$K,ROW()))),1,0))</f>
        <v/>
      </c>
      <c r="O838" s="8" t="str">
        <f>IF($A838="","",IF(ISNUMBER(SEARCH("Overview Cabang",INDEX(FORM!$K:$K,ROW()))),1,0))</f>
        <v/>
      </c>
      <c r="P838" s="8" t="str">
        <f>IF($A838="","",IFERROR(VLOOKUP(I838,DATA!$AH$9:$AI$13,2,0),""))</f>
        <v/>
      </c>
      <c r="Q838" s="8" t="str">
        <f>IF($A838="","",IFERROR(VLOOKUP(J838,DATA!$AH$9:$AI$13,2,0),""))</f>
        <v/>
      </c>
      <c r="R838" s="8" t="str">
        <f>IF($A838="","",IFERROR(VLOOKUP(K838,DATA!$AH$9:$AI$13,2,0),""))</f>
        <v/>
      </c>
      <c r="S838" s="42" t="str">
        <f t="shared" si="286"/>
        <v/>
      </c>
      <c r="T838" s="8" t="str">
        <f>IF($A838="","",IF(COUNTIF($D$2:D838,D838)=1,1,0))</f>
        <v/>
      </c>
      <c r="U838" s="8" t="str">
        <f>IF($A838="","",IF(F838="-","Cabang tdk ada",IF(IFERROR(VLOOKUP(G838,#REF!,1,0),"")="","",IF(INDEX(DATA!$AH$2:$AH$5,MATCH(G838,DATA!$AI$2:$AI$5,0))&lt;&gt;F838,"Wilayah beda","OK"))))</f>
        <v/>
      </c>
      <c r="V838" s="8" t="str">
        <f>IF($A838="","",TRIM(INDEX(FORM!$I:$I,ROW())&amp;""))</f>
        <v/>
      </c>
      <c r="W838" s="8" t="str">
        <f>IF($A838="","",TRIM(INDEX(FORM!$L:$L,ROW())&amp;""))</f>
        <v/>
      </c>
      <c r="X838" s="8" t="str">
        <f>IF($A838="","",TRIM(INDEX(FORM!$M:$M,ROW())&amp;""))</f>
        <v/>
      </c>
      <c r="Y838" s="8" t="str">
        <f>IF($A838="","",IFERROR(MATCH(F838,DATA!$AH$2:$AH$5,0),9)*10000+A838)</f>
        <v/>
      </c>
      <c r="Z838" s="8" t="str">
        <f t="shared" si="287"/>
        <v/>
      </c>
      <c r="AA838" s="8" t="str">
        <f t="shared" si="288"/>
        <v/>
      </c>
      <c r="AB838" s="8" t="str">
        <f t="shared" si="289"/>
        <v/>
      </c>
      <c r="AC838" s="8"/>
      <c r="AD838" s="8"/>
      <c r="AE838" s="8"/>
      <c r="AK838" s="5" t="str">
        <f t="shared" si="290"/>
        <v/>
      </c>
      <c r="AL838" s="5" t="str">
        <f t="shared" si="291"/>
        <v/>
      </c>
      <c r="AM838" s="5" t="str">
        <f t="shared" si="292"/>
        <v/>
      </c>
      <c r="AN838" s="5" t="str">
        <f t="shared" si="293"/>
        <v/>
      </c>
      <c r="AO838" s="5" t="str">
        <f t="shared" si="294"/>
        <v/>
      </c>
      <c r="AP838" s="5" t="str">
        <f t="shared" si="295"/>
        <v/>
      </c>
      <c r="AQ838" s="5" t="str">
        <f t="shared" si="296"/>
        <v/>
      </c>
      <c r="AR838" s="5" t="str">
        <f t="shared" si="297"/>
        <v/>
      </c>
      <c r="AS838" s="5" t="str">
        <f t="shared" si="298"/>
        <v/>
      </c>
      <c r="AT838" s="5" t="str">
        <f t="shared" si="299"/>
        <v/>
      </c>
      <c r="AU838" s="5" t="str">
        <f t="shared" si="300"/>
        <v/>
      </c>
      <c r="AV838" s="5" t="str">
        <f t="shared" si="301"/>
        <v/>
      </c>
      <c r="AW838" s="5" t="str">
        <f t="shared" si="302"/>
        <v/>
      </c>
      <c r="AX838" s="5" t="str">
        <f t="shared" si="303"/>
        <v/>
      </c>
      <c r="AY838" s="5" t="str">
        <f t="shared" si="304"/>
        <v/>
      </c>
      <c r="AZ838" s="5" t="str">
        <f t="shared" si="305"/>
        <v/>
      </c>
      <c r="BA838" s="5" t="str">
        <f t="shared" si="306"/>
        <v/>
      </c>
      <c r="BB838" s="5" t="str">
        <f t="shared" si="307"/>
        <v/>
      </c>
    </row>
    <row r="839" spans="1:54" s="5" customFormat="1" hidden="1">
      <c r="A839" s="8" t="str">
        <f>IF(INDEX(FORM!$A:$A,ROW())="","",ROW()-1)</f>
        <v/>
      </c>
      <c r="B839" s="41" t="str">
        <f>IF($A839="","",INDEX(FORM!$A:$A,ROW()))</f>
        <v/>
      </c>
      <c r="C839" s="8" t="str">
        <f>IF($A839="","",TRIM(INDEX(FORM!$B:$B,ROW())))</f>
        <v/>
      </c>
      <c r="D839" s="8" t="str">
        <f>IF($A839="","",TRIM(INDEX(FORM!$C:$C,ROW())&amp;""))</f>
        <v/>
      </c>
      <c r="E839" s="8" t="str">
        <f>IF($A839="","",UPPER(TRIM(INDEX(FORM!$D:$D,ROW()))))</f>
        <v/>
      </c>
      <c r="F839" s="8" t="str">
        <f>IF($A839="","",IFERROR(INDEX(PROGRES!$A$2:$A$92,MATCH(E839,PROGRES!$B$2:$B$92,0)),"-"))</f>
        <v/>
      </c>
      <c r="G839" s="8" t="str">
        <f>IF($A839="","",UPPER(TRIM(INDEX(FORM!$F:$F,ROW()))))</f>
        <v/>
      </c>
      <c r="H839" s="8" t="str">
        <f>IF($A839="","",UPPER(TRIM(INDEX(FORM!$E:$E,ROW()))))</f>
        <v/>
      </c>
      <c r="I839" s="8" t="str">
        <f>IF($A839="","",UPPER(TRIM(INDEX(FORM!$G:$G,ROW()))))</f>
        <v/>
      </c>
      <c r="J839" s="8" t="str">
        <f>IF($A839="","",IF(ISNUMBER(SEARCH("Ya,",INDEX(FORM!$H:$H,ROW()))),"YA",IF(ISNUMBER(SEARCH("Cukup,",INDEX(FORM!$H:$H,ROW()))),"CUKUP",IF(ISNUMBER(SEARCH("Kurang,",INDEX(FORM!$H:$H,ROW()))),"KURANG",""))))</f>
        <v/>
      </c>
      <c r="K839" s="8" t="str">
        <f>IF($A839="","",UPPER(TRIM(INDEX(FORM!$J:$J,ROW()))))</f>
        <v/>
      </c>
      <c r="L839" s="8" t="str">
        <f>IF($A839="","",IF(ISNUMBER(SEARCH("Aktivitas Harian",INDEX(FORM!$K:$K,ROW()))),1,0))</f>
        <v/>
      </c>
      <c r="M839" s="8" t="str">
        <f>IF($A839="","",IF(ISNUMBER(SEARCH("Aktivitas Mingguan",INDEX(FORM!$K:$K,ROW()))),1,0))</f>
        <v/>
      </c>
      <c r="N839" s="8" t="str">
        <f>IF($A839="","",IF(ISNUMBER(SEARCH("Aktivitas Bulanan",INDEX(FORM!$K:$K,ROW()))),1,0))</f>
        <v/>
      </c>
      <c r="O839" s="8" t="str">
        <f>IF($A839="","",IF(ISNUMBER(SEARCH("Overview Cabang",INDEX(FORM!$K:$K,ROW()))),1,0))</f>
        <v/>
      </c>
      <c r="P839" s="8" t="str">
        <f>IF($A839="","",IFERROR(VLOOKUP(I839,DATA!$AH$9:$AI$13,2,0),""))</f>
        <v/>
      </c>
      <c r="Q839" s="8" t="str">
        <f>IF($A839="","",IFERROR(VLOOKUP(J839,DATA!$AH$9:$AI$13,2,0),""))</f>
        <v/>
      </c>
      <c r="R839" s="8" t="str">
        <f>IF($A839="","",IFERROR(VLOOKUP(K839,DATA!$AH$9:$AI$13,2,0),""))</f>
        <v/>
      </c>
      <c r="S839" s="42" t="str">
        <f t="shared" si="286"/>
        <v/>
      </c>
      <c r="T839" s="8" t="str">
        <f>IF($A839="","",IF(COUNTIF($D$2:D839,D839)=1,1,0))</f>
        <v/>
      </c>
      <c r="U839" s="8" t="str">
        <f>IF($A839="","",IF(F839="-","Cabang tdk ada",IF(IFERROR(VLOOKUP(G839,#REF!,1,0),"")="","",IF(INDEX(DATA!$AH$2:$AH$5,MATCH(G839,DATA!$AI$2:$AI$5,0))&lt;&gt;F839,"Wilayah beda","OK"))))</f>
        <v/>
      </c>
      <c r="V839" s="8" t="str">
        <f>IF($A839="","",TRIM(INDEX(FORM!$I:$I,ROW())&amp;""))</f>
        <v/>
      </c>
      <c r="W839" s="8" t="str">
        <f>IF($A839="","",TRIM(INDEX(FORM!$L:$L,ROW())&amp;""))</f>
        <v/>
      </c>
      <c r="X839" s="8" t="str">
        <f>IF($A839="","",TRIM(INDEX(FORM!$M:$M,ROW())&amp;""))</f>
        <v/>
      </c>
      <c r="Y839" s="8" t="str">
        <f>IF($A839="","",IFERROR(MATCH(F839,DATA!$AH$2:$AH$5,0),9)*10000+A839)</f>
        <v/>
      </c>
      <c r="Z839" s="8" t="str">
        <f t="shared" si="287"/>
        <v/>
      </c>
      <c r="AA839" s="8" t="str">
        <f t="shared" si="288"/>
        <v/>
      </c>
      <c r="AB839" s="8" t="str">
        <f t="shared" si="289"/>
        <v/>
      </c>
      <c r="AC839" s="8"/>
      <c r="AD839" s="8"/>
      <c r="AE839" s="8"/>
      <c r="AK839" s="5" t="str">
        <f t="shared" si="290"/>
        <v/>
      </c>
      <c r="AL839" s="5" t="str">
        <f t="shared" si="291"/>
        <v/>
      </c>
      <c r="AM839" s="5" t="str">
        <f t="shared" si="292"/>
        <v/>
      </c>
      <c r="AN839" s="5" t="str">
        <f t="shared" si="293"/>
        <v/>
      </c>
      <c r="AO839" s="5" t="str">
        <f t="shared" si="294"/>
        <v/>
      </c>
      <c r="AP839" s="5" t="str">
        <f t="shared" si="295"/>
        <v/>
      </c>
      <c r="AQ839" s="5" t="str">
        <f t="shared" si="296"/>
        <v/>
      </c>
      <c r="AR839" s="5" t="str">
        <f t="shared" si="297"/>
        <v/>
      </c>
      <c r="AS839" s="5" t="str">
        <f t="shared" si="298"/>
        <v/>
      </c>
      <c r="AT839" s="5" t="str">
        <f t="shared" si="299"/>
        <v/>
      </c>
      <c r="AU839" s="5" t="str">
        <f t="shared" si="300"/>
        <v/>
      </c>
      <c r="AV839" s="5" t="str">
        <f t="shared" si="301"/>
        <v/>
      </c>
      <c r="AW839" s="5" t="str">
        <f t="shared" si="302"/>
        <v/>
      </c>
      <c r="AX839" s="5" t="str">
        <f t="shared" si="303"/>
        <v/>
      </c>
      <c r="AY839" s="5" t="str">
        <f t="shared" si="304"/>
        <v/>
      </c>
      <c r="AZ839" s="5" t="str">
        <f t="shared" si="305"/>
        <v/>
      </c>
      <c r="BA839" s="5" t="str">
        <f t="shared" si="306"/>
        <v/>
      </c>
      <c r="BB839" s="5" t="str">
        <f t="shared" si="307"/>
        <v/>
      </c>
    </row>
    <row r="840" spans="1:54" s="5" customFormat="1" hidden="1">
      <c r="A840" s="8" t="str">
        <f>IF(INDEX(FORM!$A:$A,ROW())="","",ROW()-1)</f>
        <v/>
      </c>
      <c r="B840" s="41" t="str">
        <f>IF($A840="","",INDEX(FORM!$A:$A,ROW()))</f>
        <v/>
      </c>
      <c r="C840" s="8" t="str">
        <f>IF($A840="","",TRIM(INDEX(FORM!$B:$B,ROW())))</f>
        <v/>
      </c>
      <c r="D840" s="8" t="str">
        <f>IF($A840="","",TRIM(INDEX(FORM!$C:$C,ROW())&amp;""))</f>
        <v/>
      </c>
      <c r="E840" s="8" t="str">
        <f>IF($A840="","",UPPER(TRIM(INDEX(FORM!$D:$D,ROW()))))</f>
        <v/>
      </c>
      <c r="F840" s="8" t="str">
        <f>IF($A840="","",IFERROR(INDEX(PROGRES!$A$2:$A$92,MATCH(E840,PROGRES!$B$2:$B$92,0)),"-"))</f>
        <v/>
      </c>
      <c r="G840" s="8" t="str">
        <f>IF($A840="","",UPPER(TRIM(INDEX(FORM!$F:$F,ROW()))))</f>
        <v/>
      </c>
      <c r="H840" s="8" t="str">
        <f>IF($A840="","",UPPER(TRIM(INDEX(FORM!$E:$E,ROW()))))</f>
        <v/>
      </c>
      <c r="I840" s="8" t="str">
        <f>IF($A840="","",UPPER(TRIM(INDEX(FORM!$G:$G,ROW()))))</f>
        <v/>
      </c>
      <c r="J840" s="8" t="str">
        <f>IF($A840="","",IF(ISNUMBER(SEARCH("Ya,",INDEX(FORM!$H:$H,ROW()))),"YA",IF(ISNUMBER(SEARCH("Cukup,",INDEX(FORM!$H:$H,ROW()))),"CUKUP",IF(ISNUMBER(SEARCH("Kurang,",INDEX(FORM!$H:$H,ROW()))),"KURANG",""))))</f>
        <v/>
      </c>
      <c r="K840" s="8" t="str">
        <f>IF($A840="","",UPPER(TRIM(INDEX(FORM!$J:$J,ROW()))))</f>
        <v/>
      </c>
      <c r="L840" s="8" t="str">
        <f>IF($A840="","",IF(ISNUMBER(SEARCH("Aktivitas Harian",INDEX(FORM!$K:$K,ROW()))),1,0))</f>
        <v/>
      </c>
      <c r="M840" s="8" t="str">
        <f>IF($A840="","",IF(ISNUMBER(SEARCH("Aktivitas Mingguan",INDEX(FORM!$K:$K,ROW()))),1,0))</f>
        <v/>
      </c>
      <c r="N840" s="8" t="str">
        <f>IF($A840="","",IF(ISNUMBER(SEARCH("Aktivitas Bulanan",INDEX(FORM!$K:$K,ROW()))),1,0))</f>
        <v/>
      </c>
      <c r="O840" s="8" t="str">
        <f>IF($A840="","",IF(ISNUMBER(SEARCH("Overview Cabang",INDEX(FORM!$K:$K,ROW()))),1,0))</f>
        <v/>
      </c>
      <c r="P840" s="8" t="str">
        <f>IF($A840="","",IFERROR(VLOOKUP(I840,DATA!$AH$9:$AI$13,2,0),""))</f>
        <v/>
      </c>
      <c r="Q840" s="8" t="str">
        <f>IF($A840="","",IFERROR(VLOOKUP(J840,DATA!$AH$9:$AI$13,2,0),""))</f>
        <v/>
      </c>
      <c r="R840" s="8" t="str">
        <f>IF($A840="","",IFERROR(VLOOKUP(K840,DATA!$AH$9:$AI$13,2,0),""))</f>
        <v/>
      </c>
      <c r="S840" s="42" t="str">
        <f t="shared" si="286"/>
        <v/>
      </c>
      <c r="T840" s="8" t="str">
        <f>IF($A840="","",IF(COUNTIF($D$2:D840,D840)=1,1,0))</f>
        <v/>
      </c>
      <c r="U840" s="8" t="str">
        <f>IF($A840="","",IF(F840="-","Cabang tdk ada",IF(IFERROR(VLOOKUP(G840,#REF!,1,0),"")="","",IF(INDEX(DATA!$AH$2:$AH$5,MATCH(G840,DATA!$AI$2:$AI$5,0))&lt;&gt;F840,"Wilayah beda","OK"))))</f>
        <v/>
      </c>
      <c r="V840" s="8" t="str">
        <f>IF($A840="","",TRIM(INDEX(FORM!$I:$I,ROW())&amp;""))</f>
        <v/>
      </c>
      <c r="W840" s="8" t="str">
        <f>IF($A840="","",TRIM(INDEX(FORM!$L:$L,ROW())&amp;""))</f>
        <v/>
      </c>
      <c r="X840" s="8" t="str">
        <f>IF($A840="","",TRIM(INDEX(FORM!$M:$M,ROW())&amp;""))</f>
        <v/>
      </c>
      <c r="Y840" s="8" t="str">
        <f>IF($A840="","",IFERROR(MATCH(F840,DATA!$AH$2:$AH$5,0),9)*10000+A840)</f>
        <v/>
      </c>
      <c r="Z840" s="8" t="str">
        <f t="shared" si="287"/>
        <v/>
      </c>
      <c r="AA840" s="8" t="str">
        <f t="shared" si="288"/>
        <v/>
      </c>
      <c r="AB840" s="8" t="str">
        <f t="shared" si="289"/>
        <v/>
      </c>
      <c r="AC840" s="8"/>
      <c r="AD840" s="8"/>
      <c r="AE840" s="8"/>
      <c r="AK840" s="5" t="str">
        <f t="shared" si="290"/>
        <v/>
      </c>
      <c r="AL840" s="5" t="str">
        <f t="shared" si="291"/>
        <v/>
      </c>
      <c r="AM840" s="5" t="str">
        <f t="shared" si="292"/>
        <v/>
      </c>
      <c r="AN840" s="5" t="str">
        <f t="shared" si="293"/>
        <v/>
      </c>
      <c r="AO840" s="5" t="str">
        <f t="shared" si="294"/>
        <v/>
      </c>
      <c r="AP840" s="5" t="str">
        <f t="shared" si="295"/>
        <v/>
      </c>
      <c r="AQ840" s="5" t="str">
        <f t="shared" si="296"/>
        <v/>
      </c>
      <c r="AR840" s="5" t="str">
        <f t="shared" si="297"/>
        <v/>
      </c>
      <c r="AS840" s="5" t="str">
        <f t="shared" si="298"/>
        <v/>
      </c>
      <c r="AT840" s="5" t="str">
        <f t="shared" si="299"/>
        <v/>
      </c>
      <c r="AU840" s="5" t="str">
        <f t="shared" si="300"/>
        <v/>
      </c>
      <c r="AV840" s="5" t="str">
        <f t="shared" si="301"/>
        <v/>
      </c>
      <c r="AW840" s="5" t="str">
        <f t="shared" si="302"/>
        <v/>
      </c>
      <c r="AX840" s="5" t="str">
        <f t="shared" si="303"/>
        <v/>
      </c>
      <c r="AY840" s="5" t="str">
        <f t="shared" si="304"/>
        <v/>
      </c>
      <c r="AZ840" s="5" t="str">
        <f t="shared" si="305"/>
        <v/>
      </c>
      <c r="BA840" s="5" t="str">
        <f t="shared" si="306"/>
        <v/>
      </c>
      <c r="BB840" s="5" t="str">
        <f t="shared" si="307"/>
        <v/>
      </c>
    </row>
    <row r="841" spans="1:54" s="5" customFormat="1" hidden="1">
      <c r="A841" s="8" t="str">
        <f>IF(INDEX(FORM!$A:$A,ROW())="","",ROW()-1)</f>
        <v/>
      </c>
      <c r="B841" s="41" t="str">
        <f>IF($A841="","",INDEX(FORM!$A:$A,ROW()))</f>
        <v/>
      </c>
      <c r="C841" s="8" t="str">
        <f>IF($A841="","",TRIM(INDEX(FORM!$B:$B,ROW())))</f>
        <v/>
      </c>
      <c r="D841" s="8" t="str">
        <f>IF($A841="","",TRIM(INDEX(FORM!$C:$C,ROW())&amp;""))</f>
        <v/>
      </c>
      <c r="E841" s="8" t="str">
        <f>IF($A841="","",UPPER(TRIM(INDEX(FORM!$D:$D,ROW()))))</f>
        <v/>
      </c>
      <c r="F841" s="8" t="str">
        <f>IF($A841="","",IFERROR(INDEX(PROGRES!$A$2:$A$92,MATCH(E841,PROGRES!$B$2:$B$92,0)),"-"))</f>
        <v/>
      </c>
      <c r="G841" s="8" t="str">
        <f>IF($A841="","",UPPER(TRIM(INDEX(FORM!$F:$F,ROW()))))</f>
        <v/>
      </c>
      <c r="H841" s="8" t="str">
        <f>IF($A841="","",UPPER(TRIM(INDEX(FORM!$E:$E,ROW()))))</f>
        <v/>
      </c>
      <c r="I841" s="8" t="str">
        <f>IF($A841="","",UPPER(TRIM(INDEX(FORM!$G:$G,ROW()))))</f>
        <v/>
      </c>
      <c r="J841" s="8" t="str">
        <f>IF($A841="","",IF(ISNUMBER(SEARCH("Ya,",INDEX(FORM!$H:$H,ROW()))),"YA",IF(ISNUMBER(SEARCH("Cukup,",INDEX(FORM!$H:$H,ROW()))),"CUKUP",IF(ISNUMBER(SEARCH("Kurang,",INDEX(FORM!$H:$H,ROW()))),"KURANG",""))))</f>
        <v/>
      </c>
      <c r="K841" s="8" t="str">
        <f>IF($A841="","",UPPER(TRIM(INDEX(FORM!$J:$J,ROW()))))</f>
        <v/>
      </c>
      <c r="L841" s="8" t="str">
        <f>IF($A841="","",IF(ISNUMBER(SEARCH("Aktivitas Harian",INDEX(FORM!$K:$K,ROW()))),1,0))</f>
        <v/>
      </c>
      <c r="M841" s="8" t="str">
        <f>IF($A841="","",IF(ISNUMBER(SEARCH("Aktivitas Mingguan",INDEX(FORM!$K:$K,ROW()))),1,0))</f>
        <v/>
      </c>
      <c r="N841" s="8" t="str">
        <f>IF($A841="","",IF(ISNUMBER(SEARCH("Aktivitas Bulanan",INDEX(FORM!$K:$K,ROW()))),1,0))</f>
        <v/>
      </c>
      <c r="O841" s="8" t="str">
        <f>IF($A841="","",IF(ISNUMBER(SEARCH("Overview Cabang",INDEX(FORM!$K:$K,ROW()))),1,0))</f>
        <v/>
      </c>
      <c r="P841" s="8" t="str">
        <f>IF($A841="","",IFERROR(VLOOKUP(I841,DATA!$AH$9:$AI$13,2,0),""))</f>
        <v/>
      </c>
      <c r="Q841" s="8" t="str">
        <f>IF($A841="","",IFERROR(VLOOKUP(J841,DATA!$AH$9:$AI$13,2,0),""))</f>
        <v/>
      </c>
      <c r="R841" s="8" t="str">
        <f>IF($A841="","",IFERROR(VLOOKUP(K841,DATA!$AH$9:$AI$13,2,0),""))</f>
        <v/>
      </c>
      <c r="S841" s="42" t="str">
        <f t="shared" si="286"/>
        <v/>
      </c>
      <c r="T841" s="8" t="str">
        <f>IF($A841="","",IF(COUNTIF($D$2:D841,D841)=1,1,0))</f>
        <v/>
      </c>
      <c r="U841" s="8" t="str">
        <f>IF($A841="","",IF(F841="-","Cabang tdk ada",IF(IFERROR(VLOOKUP(G841,#REF!,1,0),"")="","",IF(INDEX(DATA!$AH$2:$AH$5,MATCH(G841,DATA!$AI$2:$AI$5,0))&lt;&gt;F841,"Wilayah beda","OK"))))</f>
        <v/>
      </c>
      <c r="V841" s="8" t="str">
        <f>IF($A841="","",TRIM(INDEX(FORM!$I:$I,ROW())&amp;""))</f>
        <v/>
      </c>
      <c r="W841" s="8" t="str">
        <f>IF($A841="","",TRIM(INDEX(FORM!$L:$L,ROW())&amp;""))</f>
        <v/>
      </c>
      <c r="X841" s="8" t="str">
        <f>IF($A841="","",TRIM(INDEX(FORM!$M:$M,ROW())&amp;""))</f>
        <v/>
      </c>
      <c r="Y841" s="8" t="str">
        <f>IF($A841="","",IFERROR(MATCH(F841,DATA!$AH$2:$AH$5,0),9)*10000+A841)</f>
        <v/>
      </c>
      <c r="Z841" s="8" t="str">
        <f t="shared" si="287"/>
        <v/>
      </c>
      <c r="AA841" s="8" t="str">
        <f t="shared" si="288"/>
        <v/>
      </c>
      <c r="AB841" s="8" t="str">
        <f t="shared" si="289"/>
        <v/>
      </c>
      <c r="AC841" s="8"/>
      <c r="AD841" s="8"/>
      <c r="AE841" s="8"/>
      <c r="AK841" s="5" t="str">
        <f t="shared" si="290"/>
        <v/>
      </c>
      <c r="AL841" s="5" t="str">
        <f t="shared" si="291"/>
        <v/>
      </c>
      <c r="AM841" s="5" t="str">
        <f t="shared" si="292"/>
        <v/>
      </c>
      <c r="AN841" s="5" t="str">
        <f t="shared" si="293"/>
        <v/>
      </c>
      <c r="AO841" s="5" t="str">
        <f t="shared" si="294"/>
        <v/>
      </c>
      <c r="AP841" s="5" t="str">
        <f t="shared" si="295"/>
        <v/>
      </c>
      <c r="AQ841" s="5" t="str">
        <f t="shared" si="296"/>
        <v/>
      </c>
      <c r="AR841" s="5" t="str">
        <f t="shared" si="297"/>
        <v/>
      </c>
      <c r="AS841" s="5" t="str">
        <f t="shared" si="298"/>
        <v/>
      </c>
      <c r="AT841" s="5" t="str">
        <f t="shared" si="299"/>
        <v/>
      </c>
      <c r="AU841" s="5" t="str">
        <f t="shared" si="300"/>
        <v/>
      </c>
      <c r="AV841" s="5" t="str">
        <f t="shared" si="301"/>
        <v/>
      </c>
      <c r="AW841" s="5" t="str">
        <f t="shared" si="302"/>
        <v/>
      </c>
      <c r="AX841" s="5" t="str">
        <f t="shared" si="303"/>
        <v/>
      </c>
      <c r="AY841" s="5" t="str">
        <f t="shared" si="304"/>
        <v/>
      </c>
      <c r="AZ841" s="5" t="str">
        <f t="shared" si="305"/>
        <v/>
      </c>
      <c r="BA841" s="5" t="str">
        <f t="shared" si="306"/>
        <v/>
      </c>
      <c r="BB841" s="5" t="str">
        <f t="shared" si="307"/>
        <v/>
      </c>
    </row>
    <row r="842" spans="1:54" s="5" customFormat="1" hidden="1">
      <c r="A842" s="8" t="str">
        <f>IF(INDEX(FORM!$A:$A,ROW())="","",ROW()-1)</f>
        <v/>
      </c>
      <c r="B842" s="41" t="str">
        <f>IF($A842="","",INDEX(FORM!$A:$A,ROW()))</f>
        <v/>
      </c>
      <c r="C842" s="8" t="str">
        <f>IF($A842="","",TRIM(INDEX(FORM!$B:$B,ROW())))</f>
        <v/>
      </c>
      <c r="D842" s="8" t="str">
        <f>IF($A842="","",TRIM(INDEX(FORM!$C:$C,ROW())&amp;""))</f>
        <v/>
      </c>
      <c r="E842" s="8" t="str">
        <f>IF($A842="","",UPPER(TRIM(INDEX(FORM!$D:$D,ROW()))))</f>
        <v/>
      </c>
      <c r="F842" s="8" t="str">
        <f>IF($A842="","",IFERROR(INDEX(PROGRES!$A$2:$A$92,MATCH(E842,PROGRES!$B$2:$B$92,0)),"-"))</f>
        <v/>
      </c>
      <c r="G842" s="8" t="str">
        <f>IF($A842="","",UPPER(TRIM(INDEX(FORM!$F:$F,ROW()))))</f>
        <v/>
      </c>
      <c r="H842" s="8" t="str">
        <f>IF($A842="","",UPPER(TRIM(INDEX(FORM!$E:$E,ROW()))))</f>
        <v/>
      </c>
      <c r="I842" s="8" t="str">
        <f>IF($A842="","",UPPER(TRIM(INDEX(FORM!$G:$G,ROW()))))</f>
        <v/>
      </c>
      <c r="J842" s="8" t="str">
        <f>IF($A842="","",IF(ISNUMBER(SEARCH("Ya,",INDEX(FORM!$H:$H,ROW()))),"YA",IF(ISNUMBER(SEARCH("Cukup,",INDEX(FORM!$H:$H,ROW()))),"CUKUP",IF(ISNUMBER(SEARCH("Kurang,",INDEX(FORM!$H:$H,ROW()))),"KURANG",""))))</f>
        <v/>
      </c>
      <c r="K842" s="8" t="str">
        <f>IF($A842="","",UPPER(TRIM(INDEX(FORM!$J:$J,ROW()))))</f>
        <v/>
      </c>
      <c r="L842" s="8" t="str">
        <f>IF($A842="","",IF(ISNUMBER(SEARCH("Aktivitas Harian",INDEX(FORM!$K:$K,ROW()))),1,0))</f>
        <v/>
      </c>
      <c r="M842" s="8" t="str">
        <f>IF($A842="","",IF(ISNUMBER(SEARCH("Aktivitas Mingguan",INDEX(FORM!$K:$K,ROW()))),1,0))</f>
        <v/>
      </c>
      <c r="N842" s="8" t="str">
        <f>IF($A842="","",IF(ISNUMBER(SEARCH("Aktivitas Bulanan",INDEX(FORM!$K:$K,ROW()))),1,0))</f>
        <v/>
      </c>
      <c r="O842" s="8" t="str">
        <f>IF($A842="","",IF(ISNUMBER(SEARCH("Overview Cabang",INDEX(FORM!$K:$K,ROW()))),1,0))</f>
        <v/>
      </c>
      <c r="P842" s="8" t="str">
        <f>IF($A842="","",IFERROR(VLOOKUP(I842,DATA!$AH$9:$AI$13,2,0),""))</f>
        <v/>
      </c>
      <c r="Q842" s="8" t="str">
        <f>IF($A842="","",IFERROR(VLOOKUP(J842,DATA!$AH$9:$AI$13,2,0),""))</f>
        <v/>
      </c>
      <c r="R842" s="8" t="str">
        <f>IF($A842="","",IFERROR(VLOOKUP(K842,DATA!$AH$9:$AI$13,2,0),""))</f>
        <v/>
      </c>
      <c r="S842" s="42" t="str">
        <f t="shared" si="286"/>
        <v/>
      </c>
      <c r="T842" s="8" t="str">
        <f>IF($A842="","",IF(COUNTIF($D$2:D842,D842)=1,1,0))</f>
        <v/>
      </c>
      <c r="U842" s="8" t="str">
        <f>IF($A842="","",IF(F842="-","Cabang tdk ada",IF(IFERROR(VLOOKUP(G842,#REF!,1,0),"")="","",IF(INDEX(DATA!$AH$2:$AH$5,MATCH(G842,DATA!$AI$2:$AI$5,0))&lt;&gt;F842,"Wilayah beda","OK"))))</f>
        <v/>
      </c>
      <c r="V842" s="8" t="str">
        <f>IF($A842="","",TRIM(INDEX(FORM!$I:$I,ROW())&amp;""))</f>
        <v/>
      </c>
      <c r="W842" s="8" t="str">
        <f>IF($A842="","",TRIM(INDEX(FORM!$L:$L,ROW())&amp;""))</f>
        <v/>
      </c>
      <c r="X842" s="8" t="str">
        <f>IF($A842="","",TRIM(INDEX(FORM!$M:$M,ROW())&amp;""))</f>
        <v/>
      </c>
      <c r="Y842" s="8" t="str">
        <f>IF($A842="","",IFERROR(MATCH(F842,DATA!$AH$2:$AH$5,0),9)*10000+A842)</f>
        <v/>
      </c>
      <c r="Z842" s="8" t="str">
        <f t="shared" si="287"/>
        <v/>
      </c>
      <c r="AA842" s="8" t="str">
        <f t="shared" si="288"/>
        <v/>
      </c>
      <c r="AB842" s="8" t="str">
        <f t="shared" si="289"/>
        <v/>
      </c>
      <c r="AC842" s="8"/>
      <c r="AD842" s="8"/>
      <c r="AE842" s="8"/>
      <c r="AK842" s="5" t="str">
        <f t="shared" si="290"/>
        <v/>
      </c>
      <c r="AL842" s="5" t="str">
        <f t="shared" si="291"/>
        <v/>
      </c>
      <c r="AM842" s="5" t="str">
        <f t="shared" si="292"/>
        <v/>
      </c>
      <c r="AN842" s="5" t="str">
        <f t="shared" si="293"/>
        <v/>
      </c>
      <c r="AO842" s="5" t="str">
        <f t="shared" si="294"/>
        <v/>
      </c>
      <c r="AP842" s="5" t="str">
        <f t="shared" si="295"/>
        <v/>
      </c>
      <c r="AQ842" s="5" t="str">
        <f t="shared" si="296"/>
        <v/>
      </c>
      <c r="AR842" s="5" t="str">
        <f t="shared" si="297"/>
        <v/>
      </c>
      <c r="AS842" s="5" t="str">
        <f t="shared" si="298"/>
        <v/>
      </c>
      <c r="AT842" s="5" t="str">
        <f t="shared" si="299"/>
        <v/>
      </c>
      <c r="AU842" s="5" t="str">
        <f t="shared" si="300"/>
        <v/>
      </c>
      <c r="AV842" s="5" t="str">
        <f t="shared" si="301"/>
        <v/>
      </c>
      <c r="AW842" s="5" t="str">
        <f t="shared" si="302"/>
        <v/>
      </c>
      <c r="AX842" s="5" t="str">
        <f t="shared" si="303"/>
        <v/>
      </c>
      <c r="AY842" s="5" t="str">
        <f t="shared" si="304"/>
        <v/>
      </c>
      <c r="AZ842" s="5" t="str">
        <f t="shared" si="305"/>
        <v/>
      </c>
      <c r="BA842" s="5" t="str">
        <f t="shared" si="306"/>
        <v/>
      </c>
      <c r="BB842" s="5" t="str">
        <f t="shared" si="307"/>
        <v/>
      </c>
    </row>
    <row r="843" spans="1:54" s="5" customFormat="1" hidden="1">
      <c r="A843" s="8" t="str">
        <f>IF(INDEX(FORM!$A:$A,ROW())="","",ROW()-1)</f>
        <v/>
      </c>
      <c r="B843" s="41" t="str">
        <f>IF($A843="","",INDEX(FORM!$A:$A,ROW()))</f>
        <v/>
      </c>
      <c r="C843" s="8" t="str">
        <f>IF($A843="","",TRIM(INDEX(FORM!$B:$B,ROW())))</f>
        <v/>
      </c>
      <c r="D843" s="8" t="str">
        <f>IF($A843="","",TRIM(INDEX(FORM!$C:$C,ROW())&amp;""))</f>
        <v/>
      </c>
      <c r="E843" s="8" t="str">
        <f>IF($A843="","",UPPER(TRIM(INDEX(FORM!$D:$D,ROW()))))</f>
        <v/>
      </c>
      <c r="F843" s="8" t="str">
        <f>IF($A843="","",IFERROR(INDEX(PROGRES!$A$2:$A$92,MATCH(E843,PROGRES!$B$2:$B$92,0)),"-"))</f>
        <v/>
      </c>
      <c r="G843" s="8" t="str">
        <f>IF($A843="","",UPPER(TRIM(INDEX(FORM!$F:$F,ROW()))))</f>
        <v/>
      </c>
      <c r="H843" s="8" t="str">
        <f>IF($A843="","",UPPER(TRIM(INDEX(FORM!$E:$E,ROW()))))</f>
        <v/>
      </c>
      <c r="I843" s="8" t="str">
        <f>IF($A843="","",UPPER(TRIM(INDEX(FORM!$G:$G,ROW()))))</f>
        <v/>
      </c>
      <c r="J843" s="8" t="str">
        <f>IF($A843="","",IF(ISNUMBER(SEARCH("Ya,",INDEX(FORM!$H:$H,ROW()))),"YA",IF(ISNUMBER(SEARCH("Cukup,",INDEX(FORM!$H:$H,ROW()))),"CUKUP",IF(ISNUMBER(SEARCH("Kurang,",INDEX(FORM!$H:$H,ROW()))),"KURANG",""))))</f>
        <v/>
      </c>
      <c r="K843" s="8" t="str">
        <f>IF($A843="","",UPPER(TRIM(INDEX(FORM!$J:$J,ROW()))))</f>
        <v/>
      </c>
      <c r="L843" s="8" t="str">
        <f>IF($A843="","",IF(ISNUMBER(SEARCH("Aktivitas Harian",INDEX(FORM!$K:$K,ROW()))),1,0))</f>
        <v/>
      </c>
      <c r="M843" s="8" t="str">
        <f>IF($A843="","",IF(ISNUMBER(SEARCH("Aktivitas Mingguan",INDEX(FORM!$K:$K,ROW()))),1,0))</f>
        <v/>
      </c>
      <c r="N843" s="8" t="str">
        <f>IF($A843="","",IF(ISNUMBER(SEARCH("Aktivitas Bulanan",INDEX(FORM!$K:$K,ROW()))),1,0))</f>
        <v/>
      </c>
      <c r="O843" s="8" t="str">
        <f>IF($A843="","",IF(ISNUMBER(SEARCH("Overview Cabang",INDEX(FORM!$K:$K,ROW()))),1,0))</f>
        <v/>
      </c>
      <c r="P843" s="8" t="str">
        <f>IF($A843="","",IFERROR(VLOOKUP(I843,DATA!$AH$9:$AI$13,2,0),""))</f>
        <v/>
      </c>
      <c r="Q843" s="8" t="str">
        <f>IF($A843="","",IFERROR(VLOOKUP(J843,DATA!$AH$9:$AI$13,2,0),""))</f>
        <v/>
      </c>
      <c r="R843" s="8" t="str">
        <f>IF($A843="","",IFERROR(VLOOKUP(K843,DATA!$AH$9:$AI$13,2,0),""))</f>
        <v/>
      </c>
      <c r="S843" s="42" t="str">
        <f t="shared" si="286"/>
        <v/>
      </c>
      <c r="T843" s="8" t="str">
        <f>IF($A843="","",IF(COUNTIF($D$2:D843,D843)=1,1,0))</f>
        <v/>
      </c>
      <c r="U843" s="8" t="str">
        <f>IF($A843="","",IF(F843="-","Cabang tdk ada",IF(IFERROR(VLOOKUP(G843,#REF!,1,0),"")="","",IF(INDEX(DATA!$AH$2:$AH$5,MATCH(G843,DATA!$AI$2:$AI$5,0))&lt;&gt;F843,"Wilayah beda","OK"))))</f>
        <v/>
      </c>
      <c r="V843" s="8" t="str">
        <f>IF($A843="","",TRIM(INDEX(FORM!$I:$I,ROW())&amp;""))</f>
        <v/>
      </c>
      <c r="W843" s="8" t="str">
        <f>IF($A843="","",TRIM(INDEX(FORM!$L:$L,ROW())&amp;""))</f>
        <v/>
      </c>
      <c r="X843" s="8" t="str">
        <f>IF($A843="","",TRIM(INDEX(FORM!$M:$M,ROW())&amp;""))</f>
        <v/>
      </c>
      <c r="Y843" s="8" t="str">
        <f>IF($A843="","",IFERROR(MATCH(F843,DATA!$AH$2:$AH$5,0),9)*10000+A843)</f>
        <v/>
      </c>
      <c r="Z843" s="8" t="str">
        <f t="shared" si="287"/>
        <v/>
      </c>
      <c r="AA843" s="8" t="str">
        <f t="shared" si="288"/>
        <v/>
      </c>
      <c r="AB843" s="8" t="str">
        <f t="shared" si="289"/>
        <v/>
      </c>
      <c r="AC843" s="8"/>
      <c r="AD843" s="8"/>
      <c r="AE843" s="8"/>
      <c r="AK843" s="5" t="str">
        <f t="shared" si="290"/>
        <v/>
      </c>
      <c r="AL843" s="5" t="str">
        <f t="shared" si="291"/>
        <v/>
      </c>
      <c r="AM843" s="5" t="str">
        <f t="shared" si="292"/>
        <v/>
      </c>
      <c r="AN843" s="5" t="str">
        <f t="shared" si="293"/>
        <v/>
      </c>
      <c r="AO843" s="5" t="str">
        <f t="shared" si="294"/>
        <v/>
      </c>
      <c r="AP843" s="5" t="str">
        <f t="shared" si="295"/>
        <v/>
      </c>
      <c r="AQ843" s="5" t="str">
        <f t="shared" si="296"/>
        <v/>
      </c>
      <c r="AR843" s="5" t="str">
        <f t="shared" si="297"/>
        <v/>
      </c>
      <c r="AS843" s="5" t="str">
        <f t="shared" si="298"/>
        <v/>
      </c>
      <c r="AT843" s="5" t="str">
        <f t="shared" si="299"/>
        <v/>
      </c>
      <c r="AU843" s="5" t="str">
        <f t="shared" si="300"/>
        <v/>
      </c>
      <c r="AV843" s="5" t="str">
        <f t="shared" si="301"/>
        <v/>
      </c>
      <c r="AW843" s="5" t="str">
        <f t="shared" si="302"/>
        <v/>
      </c>
      <c r="AX843" s="5" t="str">
        <f t="shared" si="303"/>
        <v/>
      </c>
      <c r="AY843" s="5" t="str">
        <f t="shared" si="304"/>
        <v/>
      </c>
      <c r="AZ843" s="5" t="str">
        <f t="shared" si="305"/>
        <v/>
      </c>
      <c r="BA843" s="5" t="str">
        <f t="shared" si="306"/>
        <v/>
      </c>
      <c r="BB843" s="5" t="str">
        <f t="shared" si="307"/>
        <v/>
      </c>
    </row>
    <row r="844" spans="1:54" s="5" customFormat="1" hidden="1">
      <c r="A844" s="8" t="str">
        <f>IF(INDEX(FORM!$A:$A,ROW())="","",ROW()-1)</f>
        <v/>
      </c>
      <c r="B844" s="41" t="str">
        <f>IF($A844="","",INDEX(FORM!$A:$A,ROW()))</f>
        <v/>
      </c>
      <c r="C844" s="8" t="str">
        <f>IF($A844="","",TRIM(INDEX(FORM!$B:$B,ROW())))</f>
        <v/>
      </c>
      <c r="D844" s="8" t="str">
        <f>IF($A844="","",TRIM(INDEX(FORM!$C:$C,ROW())&amp;""))</f>
        <v/>
      </c>
      <c r="E844" s="8" t="str">
        <f>IF($A844="","",UPPER(TRIM(INDEX(FORM!$D:$D,ROW()))))</f>
        <v/>
      </c>
      <c r="F844" s="8" t="str">
        <f>IF($A844="","",IFERROR(INDEX(PROGRES!$A$2:$A$92,MATCH(E844,PROGRES!$B$2:$B$92,0)),"-"))</f>
        <v/>
      </c>
      <c r="G844" s="8" t="str">
        <f>IF($A844="","",UPPER(TRIM(INDEX(FORM!$F:$F,ROW()))))</f>
        <v/>
      </c>
      <c r="H844" s="8" t="str">
        <f>IF($A844="","",UPPER(TRIM(INDEX(FORM!$E:$E,ROW()))))</f>
        <v/>
      </c>
      <c r="I844" s="8" t="str">
        <f>IF($A844="","",UPPER(TRIM(INDEX(FORM!$G:$G,ROW()))))</f>
        <v/>
      </c>
      <c r="J844" s="8" t="str">
        <f>IF($A844="","",IF(ISNUMBER(SEARCH("Ya,",INDEX(FORM!$H:$H,ROW()))),"YA",IF(ISNUMBER(SEARCH("Cukup,",INDEX(FORM!$H:$H,ROW()))),"CUKUP",IF(ISNUMBER(SEARCH("Kurang,",INDEX(FORM!$H:$H,ROW()))),"KURANG",""))))</f>
        <v/>
      </c>
      <c r="K844" s="8" t="str">
        <f>IF($A844="","",UPPER(TRIM(INDEX(FORM!$J:$J,ROW()))))</f>
        <v/>
      </c>
      <c r="L844" s="8" t="str">
        <f>IF($A844="","",IF(ISNUMBER(SEARCH("Aktivitas Harian",INDEX(FORM!$K:$K,ROW()))),1,0))</f>
        <v/>
      </c>
      <c r="M844" s="8" t="str">
        <f>IF($A844="","",IF(ISNUMBER(SEARCH("Aktivitas Mingguan",INDEX(FORM!$K:$K,ROW()))),1,0))</f>
        <v/>
      </c>
      <c r="N844" s="8" t="str">
        <f>IF($A844="","",IF(ISNUMBER(SEARCH("Aktivitas Bulanan",INDEX(FORM!$K:$K,ROW()))),1,0))</f>
        <v/>
      </c>
      <c r="O844" s="8" t="str">
        <f>IF($A844="","",IF(ISNUMBER(SEARCH("Overview Cabang",INDEX(FORM!$K:$K,ROW()))),1,0))</f>
        <v/>
      </c>
      <c r="P844" s="8" t="str">
        <f>IF($A844="","",IFERROR(VLOOKUP(I844,DATA!$AH$9:$AI$13,2,0),""))</f>
        <v/>
      </c>
      <c r="Q844" s="8" t="str">
        <f>IF($A844="","",IFERROR(VLOOKUP(J844,DATA!$AH$9:$AI$13,2,0),""))</f>
        <v/>
      </c>
      <c r="R844" s="8" t="str">
        <f>IF($A844="","",IFERROR(VLOOKUP(K844,DATA!$AH$9:$AI$13,2,0),""))</f>
        <v/>
      </c>
      <c r="S844" s="42" t="str">
        <f t="shared" si="286"/>
        <v/>
      </c>
      <c r="T844" s="8" t="str">
        <f>IF($A844="","",IF(COUNTIF($D$2:D844,D844)=1,1,0))</f>
        <v/>
      </c>
      <c r="U844" s="8" t="str">
        <f>IF($A844="","",IF(F844="-","Cabang tdk ada",IF(IFERROR(VLOOKUP(G844,#REF!,1,0),"")="","",IF(INDEX(DATA!$AH$2:$AH$5,MATCH(G844,DATA!$AI$2:$AI$5,0))&lt;&gt;F844,"Wilayah beda","OK"))))</f>
        <v/>
      </c>
      <c r="V844" s="8" t="str">
        <f>IF($A844="","",TRIM(INDEX(FORM!$I:$I,ROW())&amp;""))</f>
        <v/>
      </c>
      <c r="W844" s="8" t="str">
        <f>IF($A844="","",TRIM(INDEX(FORM!$L:$L,ROW())&amp;""))</f>
        <v/>
      </c>
      <c r="X844" s="8" t="str">
        <f>IF($A844="","",TRIM(INDEX(FORM!$M:$M,ROW())&amp;""))</f>
        <v/>
      </c>
      <c r="Y844" s="8" t="str">
        <f>IF($A844="","",IFERROR(MATCH(F844,DATA!$AH$2:$AH$5,0),9)*10000+A844)</f>
        <v/>
      </c>
      <c r="Z844" s="8" t="str">
        <f t="shared" si="287"/>
        <v/>
      </c>
      <c r="AA844" s="8" t="str">
        <f t="shared" si="288"/>
        <v/>
      </c>
      <c r="AB844" s="8" t="str">
        <f t="shared" si="289"/>
        <v/>
      </c>
      <c r="AC844" s="8"/>
      <c r="AD844" s="8"/>
      <c r="AE844" s="8"/>
      <c r="AK844" s="5" t="str">
        <f t="shared" si="290"/>
        <v/>
      </c>
      <c r="AL844" s="5" t="str">
        <f t="shared" si="291"/>
        <v/>
      </c>
      <c r="AM844" s="5" t="str">
        <f t="shared" si="292"/>
        <v/>
      </c>
      <c r="AN844" s="5" t="str">
        <f t="shared" si="293"/>
        <v/>
      </c>
      <c r="AO844" s="5" t="str">
        <f t="shared" si="294"/>
        <v/>
      </c>
      <c r="AP844" s="5" t="str">
        <f t="shared" si="295"/>
        <v/>
      </c>
      <c r="AQ844" s="5" t="str">
        <f t="shared" si="296"/>
        <v/>
      </c>
      <c r="AR844" s="5" t="str">
        <f t="shared" si="297"/>
        <v/>
      </c>
      <c r="AS844" s="5" t="str">
        <f t="shared" si="298"/>
        <v/>
      </c>
      <c r="AT844" s="5" t="str">
        <f t="shared" si="299"/>
        <v/>
      </c>
      <c r="AU844" s="5" t="str">
        <f t="shared" si="300"/>
        <v/>
      </c>
      <c r="AV844" s="5" t="str">
        <f t="shared" si="301"/>
        <v/>
      </c>
      <c r="AW844" s="5" t="str">
        <f t="shared" si="302"/>
        <v/>
      </c>
      <c r="AX844" s="5" t="str">
        <f t="shared" si="303"/>
        <v/>
      </c>
      <c r="AY844" s="5" t="str">
        <f t="shared" si="304"/>
        <v/>
      </c>
      <c r="AZ844" s="5" t="str">
        <f t="shared" si="305"/>
        <v/>
      </c>
      <c r="BA844" s="5" t="str">
        <f t="shared" si="306"/>
        <v/>
      </c>
      <c r="BB844" s="5" t="str">
        <f t="shared" si="307"/>
        <v/>
      </c>
    </row>
    <row r="845" spans="1:54" s="5" customFormat="1" hidden="1">
      <c r="A845" s="8" t="str">
        <f>IF(INDEX(FORM!$A:$A,ROW())="","",ROW()-1)</f>
        <v/>
      </c>
      <c r="B845" s="41" t="str">
        <f>IF($A845="","",INDEX(FORM!$A:$A,ROW()))</f>
        <v/>
      </c>
      <c r="C845" s="8" t="str">
        <f>IF($A845="","",TRIM(INDEX(FORM!$B:$B,ROW())))</f>
        <v/>
      </c>
      <c r="D845" s="8" t="str">
        <f>IF($A845="","",TRIM(INDEX(FORM!$C:$C,ROW())&amp;""))</f>
        <v/>
      </c>
      <c r="E845" s="8" t="str">
        <f>IF($A845="","",UPPER(TRIM(INDEX(FORM!$D:$D,ROW()))))</f>
        <v/>
      </c>
      <c r="F845" s="8" t="str">
        <f>IF($A845="","",IFERROR(INDEX(PROGRES!$A$2:$A$92,MATCH(E845,PROGRES!$B$2:$B$92,0)),"-"))</f>
        <v/>
      </c>
      <c r="G845" s="8" t="str">
        <f>IF($A845="","",UPPER(TRIM(INDEX(FORM!$F:$F,ROW()))))</f>
        <v/>
      </c>
      <c r="H845" s="8" t="str">
        <f>IF($A845="","",UPPER(TRIM(INDEX(FORM!$E:$E,ROW()))))</f>
        <v/>
      </c>
      <c r="I845" s="8" t="str">
        <f>IF($A845="","",UPPER(TRIM(INDEX(FORM!$G:$G,ROW()))))</f>
        <v/>
      </c>
      <c r="J845" s="8" t="str">
        <f>IF($A845="","",IF(ISNUMBER(SEARCH("Ya,",INDEX(FORM!$H:$H,ROW()))),"YA",IF(ISNUMBER(SEARCH("Cukup,",INDEX(FORM!$H:$H,ROW()))),"CUKUP",IF(ISNUMBER(SEARCH("Kurang,",INDEX(FORM!$H:$H,ROW()))),"KURANG",""))))</f>
        <v/>
      </c>
      <c r="K845" s="8" t="str">
        <f>IF($A845="","",UPPER(TRIM(INDEX(FORM!$J:$J,ROW()))))</f>
        <v/>
      </c>
      <c r="L845" s="8" t="str">
        <f>IF($A845="","",IF(ISNUMBER(SEARCH("Aktivitas Harian",INDEX(FORM!$K:$K,ROW()))),1,0))</f>
        <v/>
      </c>
      <c r="M845" s="8" t="str">
        <f>IF($A845="","",IF(ISNUMBER(SEARCH("Aktivitas Mingguan",INDEX(FORM!$K:$K,ROW()))),1,0))</f>
        <v/>
      </c>
      <c r="N845" s="8" t="str">
        <f>IF($A845="","",IF(ISNUMBER(SEARCH("Aktivitas Bulanan",INDEX(FORM!$K:$K,ROW()))),1,0))</f>
        <v/>
      </c>
      <c r="O845" s="8" t="str">
        <f>IF($A845="","",IF(ISNUMBER(SEARCH("Overview Cabang",INDEX(FORM!$K:$K,ROW()))),1,0))</f>
        <v/>
      </c>
      <c r="P845" s="8" t="str">
        <f>IF($A845="","",IFERROR(VLOOKUP(I845,DATA!$AH$9:$AI$13,2,0),""))</f>
        <v/>
      </c>
      <c r="Q845" s="8" t="str">
        <f>IF($A845="","",IFERROR(VLOOKUP(J845,DATA!$AH$9:$AI$13,2,0),""))</f>
        <v/>
      </c>
      <c r="R845" s="8" t="str">
        <f>IF($A845="","",IFERROR(VLOOKUP(K845,DATA!$AH$9:$AI$13,2,0),""))</f>
        <v/>
      </c>
      <c r="S845" s="42" t="str">
        <f t="shared" si="286"/>
        <v/>
      </c>
      <c r="T845" s="8" t="str">
        <f>IF($A845="","",IF(COUNTIF($D$2:D845,D845)=1,1,0))</f>
        <v/>
      </c>
      <c r="U845" s="8" t="str">
        <f>IF($A845="","",IF(F845="-","Cabang tdk ada",IF(IFERROR(VLOOKUP(G845,#REF!,1,0),"")="","",IF(INDEX(DATA!$AH$2:$AH$5,MATCH(G845,DATA!$AI$2:$AI$5,0))&lt;&gt;F845,"Wilayah beda","OK"))))</f>
        <v/>
      </c>
      <c r="V845" s="8" t="str">
        <f>IF($A845="","",TRIM(INDEX(FORM!$I:$I,ROW())&amp;""))</f>
        <v/>
      </c>
      <c r="W845" s="8" t="str">
        <f>IF($A845="","",TRIM(INDEX(FORM!$L:$L,ROW())&amp;""))</f>
        <v/>
      </c>
      <c r="X845" s="8" t="str">
        <f>IF($A845="","",TRIM(INDEX(FORM!$M:$M,ROW())&amp;""))</f>
        <v/>
      </c>
      <c r="Y845" s="8" t="str">
        <f>IF($A845="","",IFERROR(MATCH(F845,DATA!$AH$2:$AH$5,0),9)*10000+A845)</f>
        <v/>
      </c>
      <c r="Z845" s="8" t="str">
        <f t="shared" si="287"/>
        <v/>
      </c>
      <c r="AA845" s="8" t="str">
        <f t="shared" si="288"/>
        <v/>
      </c>
      <c r="AB845" s="8" t="str">
        <f t="shared" si="289"/>
        <v/>
      </c>
      <c r="AC845" s="8"/>
      <c r="AD845" s="8"/>
      <c r="AE845" s="8"/>
      <c r="AK845" s="5" t="str">
        <f t="shared" si="290"/>
        <v/>
      </c>
      <c r="AL845" s="5" t="str">
        <f t="shared" si="291"/>
        <v/>
      </c>
      <c r="AM845" s="5" t="str">
        <f t="shared" si="292"/>
        <v/>
      </c>
      <c r="AN845" s="5" t="str">
        <f t="shared" si="293"/>
        <v/>
      </c>
      <c r="AO845" s="5" t="str">
        <f t="shared" si="294"/>
        <v/>
      </c>
      <c r="AP845" s="5" t="str">
        <f t="shared" si="295"/>
        <v/>
      </c>
      <c r="AQ845" s="5" t="str">
        <f t="shared" si="296"/>
        <v/>
      </c>
      <c r="AR845" s="5" t="str">
        <f t="shared" si="297"/>
        <v/>
      </c>
      <c r="AS845" s="5" t="str">
        <f t="shared" si="298"/>
        <v/>
      </c>
      <c r="AT845" s="5" t="str">
        <f t="shared" si="299"/>
        <v/>
      </c>
      <c r="AU845" s="5" t="str">
        <f t="shared" si="300"/>
        <v/>
      </c>
      <c r="AV845" s="5" t="str">
        <f t="shared" si="301"/>
        <v/>
      </c>
      <c r="AW845" s="5" t="str">
        <f t="shared" si="302"/>
        <v/>
      </c>
      <c r="AX845" s="5" t="str">
        <f t="shared" si="303"/>
        <v/>
      </c>
      <c r="AY845" s="5" t="str">
        <f t="shared" si="304"/>
        <v/>
      </c>
      <c r="AZ845" s="5" t="str">
        <f t="shared" si="305"/>
        <v/>
      </c>
      <c r="BA845" s="5" t="str">
        <f t="shared" si="306"/>
        <v/>
      </c>
      <c r="BB845" s="5" t="str">
        <f t="shared" si="307"/>
        <v/>
      </c>
    </row>
    <row r="846" spans="1:54" s="5" customFormat="1" hidden="1">
      <c r="A846" s="8" t="str">
        <f>IF(INDEX(FORM!$A:$A,ROW())="","",ROW()-1)</f>
        <v/>
      </c>
      <c r="B846" s="41" t="str">
        <f>IF($A846="","",INDEX(FORM!$A:$A,ROW()))</f>
        <v/>
      </c>
      <c r="C846" s="8" t="str">
        <f>IF($A846="","",TRIM(INDEX(FORM!$B:$B,ROW())))</f>
        <v/>
      </c>
      <c r="D846" s="8" t="str">
        <f>IF($A846="","",TRIM(INDEX(FORM!$C:$C,ROW())&amp;""))</f>
        <v/>
      </c>
      <c r="E846" s="8" t="str">
        <f>IF($A846="","",UPPER(TRIM(INDEX(FORM!$D:$D,ROW()))))</f>
        <v/>
      </c>
      <c r="F846" s="8" t="str">
        <f>IF($A846="","",IFERROR(INDEX(PROGRES!$A$2:$A$92,MATCH(E846,PROGRES!$B$2:$B$92,0)),"-"))</f>
        <v/>
      </c>
      <c r="G846" s="8" t="str">
        <f>IF($A846="","",UPPER(TRIM(INDEX(FORM!$F:$F,ROW()))))</f>
        <v/>
      </c>
      <c r="H846" s="8" t="str">
        <f>IF($A846="","",UPPER(TRIM(INDEX(FORM!$E:$E,ROW()))))</f>
        <v/>
      </c>
      <c r="I846" s="8" t="str">
        <f>IF($A846="","",UPPER(TRIM(INDEX(FORM!$G:$G,ROW()))))</f>
        <v/>
      </c>
      <c r="J846" s="8" t="str">
        <f>IF($A846="","",IF(ISNUMBER(SEARCH("Ya,",INDEX(FORM!$H:$H,ROW()))),"YA",IF(ISNUMBER(SEARCH("Cukup,",INDEX(FORM!$H:$H,ROW()))),"CUKUP",IF(ISNUMBER(SEARCH("Kurang,",INDEX(FORM!$H:$H,ROW()))),"KURANG",""))))</f>
        <v/>
      </c>
      <c r="K846" s="8" t="str">
        <f>IF($A846="","",UPPER(TRIM(INDEX(FORM!$J:$J,ROW()))))</f>
        <v/>
      </c>
      <c r="L846" s="8" t="str">
        <f>IF($A846="","",IF(ISNUMBER(SEARCH("Aktivitas Harian",INDEX(FORM!$K:$K,ROW()))),1,0))</f>
        <v/>
      </c>
      <c r="M846" s="8" t="str">
        <f>IF($A846="","",IF(ISNUMBER(SEARCH("Aktivitas Mingguan",INDEX(FORM!$K:$K,ROW()))),1,0))</f>
        <v/>
      </c>
      <c r="N846" s="8" t="str">
        <f>IF($A846="","",IF(ISNUMBER(SEARCH("Aktivitas Bulanan",INDEX(FORM!$K:$K,ROW()))),1,0))</f>
        <v/>
      </c>
      <c r="O846" s="8" t="str">
        <f>IF($A846="","",IF(ISNUMBER(SEARCH("Overview Cabang",INDEX(FORM!$K:$K,ROW()))),1,0))</f>
        <v/>
      </c>
      <c r="P846" s="8" t="str">
        <f>IF($A846="","",IFERROR(VLOOKUP(I846,DATA!$AH$9:$AI$13,2,0),""))</f>
        <v/>
      </c>
      <c r="Q846" s="8" t="str">
        <f>IF($A846="","",IFERROR(VLOOKUP(J846,DATA!$AH$9:$AI$13,2,0),""))</f>
        <v/>
      </c>
      <c r="R846" s="8" t="str">
        <f>IF($A846="","",IFERROR(VLOOKUP(K846,DATA!$AH$9:$AI$13,2,0),""))</f>
        <v/>
      </c>
      <c r="S846" s="42" t="str">
        <f t="shared" si="286"/>
        <v/>
      </c>
      <c r="T846" s="8" t="str">
        <f>IF($A846="","",IF(COUNTIF($D$2:D846,D846)=1,1,0))</f>
        <v/>
      </c>
      <c r="U846" s="8" t="str">
        <f>IF($A846="","",IF(F846="-","Cabang tdk ada",IF(IFERROR(VLOOKUP(G846,#REF!,1,0),"")="","",IF(INDEX(DATA!$AH$2:$AH$5,MATCH(G846,DATA!$AI$2:$AI$5,0))&lt;&gt;F846,"Wilayah beda","OK"))))</f>
        <v/>
      </c>
      <c r="V846" s="8" t="str">
        <f>IF($A846="","",TRIM(INDEX(FORM!$I:$I,ROW())&amp;""))</f>
        <v/>
      </c>
      <c r="W846" s="8" t="str">
        <f>IF($A846="","",TRIM(INDEX(FORM!$L:$L,ROW())&amp;""))</f>
        <v/>
      </c>
      <c r="X846" s="8" t="str">
        <f>IF($A846="","",TRIM(INDEX(FORM!$M:$M,ROW())&amp;""))</f>
        <v/>
      </c>
      <c r="Y846" s="8" t="str">
        <f>IF($A846="","",IFERROR(MATCH(F846,DATA!$AH$2:$AH$5,0),9)*10000+A846)</f>
        <v/>
      </c>
      <c r="Z846" s="8" t="str">
        <f t="shared" si="287"/>
        <v/>
      </c>
      <c r="AA846" s="8" t="str">
        <f t="shared" si="288"/>
        <v/>
      </c>
      <c r="AB846" s="8" t="str">
        <f t="shared" si="289"/>
        <v/>
      </c>
      <c r="AC846" s="8"/>
      <c r="AD846" s="8"/>
      <c r="AE846" s="8"/>
      <c r="AK846" s="5" t="str">
        <f t="shared" si="290"/>
        <v/>
      </c>
      <c r="AL846" s="5" t="str">
        <f t="shared" si="291"/>
        <v/>
      </c>
      <c r="AM846" s="5" t="str">
        <f t="shared" si="292"/>
        <v/>
      </c>
      <c r="AN846" s="5" t="str">
        <f t="shared" si="293"/>
        <v/>
      </c>
      <c r="AO846" s="5" t="str">
        <f t="shared" si="294"/>
        <v/>
      </c>
      <c r="AP846" s="5" t="str">
        <f t="shared" si="295"/>
        <v/>
      </c>
      <c r="AQ846" s="5" t="str">
        <f t="shared" si="296"/>
        <v/>
      </c>
      <c r="AR846" s="5" t="str">
        <f t="shared" si="297"/>
        <v/>
      </c>
      <c r="AS846" s="5" t="str">
        <f t="shared" si="298"/>
        <v/>
      </c>
      <c r="AT846" s="5" t="str">
        <f t="shared" si="299"/>
        <v/>
      </c>
      <c r="AU846" s="5" t="str">
        <f t="shared" si="300"/>
        <v/>
      </c>
      <c r="AV846" s="5" t="str">
        <f t="shared" si="301"/>
        <v/>
      </c>
      <c r="AW846" s="5" t="str">
        <f t="shared" si="302"/>
        <v/>
      </c>
      <c r="AX846" s="5" t="str">
        <f t="shared" si="303"/>
        <v/>
      </c>
      <c r="AY846" s="5" t="str">
        <f t="shared" si="304"/>
        <v/>
      </c>
      <c r="AZ846" s="5" t="str">
        <f t="shared" si="305"/>
        <v/>
      </c>
      <c r="BA846" s="5" t="str">
        <f t="shared" si="306"/>
        <v/>
      </c>
      <c r="BB846" s="5" t="str">
        <f t="shared" si="307"/>
        <v/>
      </c>
    </row>
    <row r="847" spans="1:54" s="5" customFormat="1" hidden="1">
      <c r="A847" s="8" t="str">
        <f>IF(INDEX(FORM!$A:$A,ROW())="","",ROW()-1)</f>
        <v/>
      </c>
      <c r="B847" s="41" t="str">
        <f>IF($A847="","",INDEX(FORM!$A:$A,ROW()))</f>
        <v/>
      </c>
      <c r="C847" s="8" t="str">
        <f>IF($A847="","",TRIM(INDEX(FORM!$B:$B,ROW())))</f>
        <v/>
      </c>
      <c r="D847" s="8" t="str">
        <f>IF($A847="","",TRIM(INDEX(FORM!$C:$C,ROW())&amp;""))</f>
        <v/>
      </c>
      <c r="E847" s="8" t="str">
        <f>IF($A847="","",UPPER(TRIM(INDEX(FORM!$D:$D,ROW()))))</f>
        <v/>
      </c>
      <c r="F847" s="8" t="str">
        <f>IF($A847="","",IFERROR(INDEX(PROGRES!$A$2:$A$92,MATCH(E847,PROGRES!$B$2:$B$92,0)),"-"))</f>
        <v/>
      </c>
      <c r="G847" s="8" t="str">
        <f>IF($A847="","",UPPER(TRIM(INDEX(FORM!$F:$F,ROW()))))</f>
        <v/>
      </c>
      <c r="H847" s="8" t="str">
        <f>IF($A847="","",UPPER(TRIM(INDEX(FORM!$E:$E,ROW()))))</f>
        <v/>
      </c>
      <c r="I847" s="8" t="str">
        <f>IF($A847="","",UPPER(TRIM(INDEX(FORM!$G:$G,ROW()))))</f>
        <v/>
      </c>
      <c r="J847" s="8" t="str">
        <f>IF($A847="","",IF(ISNUMBER(SEARCH("Ya,",INDEX(FORM!$H:$H,ROW()))),"YA",IF(ISNUMBER(SEARCH("Cukup,",INDEX(FORM!$H:$H,ROW()))),"CUKUP",IF(ISNUMBER(SEARCH("Kurang,",INDEX(FORM!$H:$H,ROW()))),"KURANG",""))))</f>
        <v/>
      </c>
      <c r="K847" s="8" t="str">
        <f>IF($A847="","",UPPER(TRIM(INDEX(FORM!$J:$J,ROW()))))</f>
        <v/>
      </c>
      <c r="L847" s="8" t="str">
        <f>IF($A847="","",IF(ISNUMBER(SEARCH("Aktivitas Harian",INDEX(FORM!$K:$K,ROW()))),1,0))</f>
        <v/>
      </c>
      <c r="M847" s="8" t="str">
        <f>IF($A847="","",IF(ISNUMBER(SEARCH("Aktivitas Mingguan",INDEX(FORM!$K:$K,ROW()))),1,0))</f>
        <v/>
      </c>
      <c r="N847" s="8" t="str">
        <f>IF($A847="","",IF(ISNUMBER(SEARCH("Aktivitas Bulanan",INDEX(FORM!$K:$K,ROW()))),1,0))</f>
        <v/>
      </c>
      <c r="O847" s="8" t="str">
        <f>IF($A847="","",IF(ISNUMBER(SEARCH("Overview Cabang",INDEX(FORM!$K:$K,ROW()))),1,0))</f>
        <v/>
      </c>
      <c r="P847" s="8" t="str">
        <f>IF($A847="","",IFERROR(VLOOKUP(I847,DATA!$AH$9:$AI$13,2,0),""))</f>
        <v/>
      </c>
      <c r="Q847" s="8" t="str">
        <f>IF($A847="","",IFERROR(VLOOKUP(J847,DATA!$AH$9:$AI$13,2,0),""))</f>
        <v/>
      </c>
      <c r="R847" s="8" t="str">
        <f>IF($A847="","",IFERROR(VLOOKUP(K847,DATA!$AH$9:$AI$13,2,0),""))</f>
        <v/>
      </c>
      <c r="S847" s="42" t="str">
        <f t="shared" si="286"/>
        <v/>
      </c>
      <c r="T847" s="8" t="str">
        <f>IF($A847="","",IF(COUNTIF($D$2:D847,D847)=1,1,0))</f>
        <v/>
      </c>
      <c r="U847" s="8" t="str">
        <f>IF($A847="","",IF(F847="-","Cabang tdk ada",IF(IFERROR(VLOOKUP(G847,#REF!,1,0),"")="","",IF(INDEX(DATA!$AH$2:$AH$5,MATCH(G847,DATA!$AI$2:$AI$5,0))&lt;&gt;F847,"Wilayah beda","OK"))))</f>
        <v/>
      </c>
      <c r="V847" s="8" t="str">
        <f>IF($A847="","",TRIM(INDEX(FORM!$I:$I,ROW())&amp;""))</f>
        <v/>
      </c>
      <c r="W847" s="8" t="str">
        <f>IF($A847="","",TRIM(INDEX(FORM!$L:$L,ROW())&amp;""))</f>
        <v/>
      </c>
      <c r="X847" s="8" t="str">
        <f>IF($A847="","",TRIM(INDEX(FORM!$M:$M,ROW())&amp;""))</f>
        <v/>
      </c>
      <c r="Y847" s="8" t="str">
        <f>IF($A847="","",IFERROR(MATCH(F847,DATA!$AH$2:$AH$5,0),9)*10000+A847)</f>
        <v/>
      </c>
      <c r="Z847" s="8" t="str">
        <f t="shared" si="287"/>
        <v/>
      </c>
      <c r="AA847" s="8" t="str">
        <f t="shared" si="288"/>
        <v/>
      </c>
      <c r="AB847" s="8" t="str">
        <f t="shared" si="289"/>
        <v/>
      </c>
      <c r="AC847" s="8"/>
      <c r="AD847" s="8"/>
      <c r="AE847" s="8"/>
      <c r="AK847" s="5" t="str">
        <f t="shared" si="290"/>
        <v/>
      </c>
      <c r="AL847" s="5" t="str">
        <f t="shared" si="291"/>
        <v/>
      </c>
      <c r="AM847" s="5" t="str">
        <f t="shared" si="292"/>
        <v/>
      </c>
      <c r="AN847" s="5" t="str">
        <f t="shared" si="293"/>
        <v/>
      </c>
      <c r="AO847" s="5" t="str">
        <f t="shared" si="294"/>
        <v/>
      </c>
      <c r="AP847" s="5" t="str">
        <f t="shared" si="295"/>
        <v/>
      </c>
      <c r="AQ847" s="5" t="str">
        <f t="shared" si="296"/>
        <v/>
      </c>
      <c r="AR847" s="5" t="str">
        <f t="shared" si="297"/>
        <v/>
      </c>
      <c r="AS847" s="5" t="str">
        <f t="shared" si="298"/>
        <v/>
      </c>
      <c r="AT847" s="5" t="str">
        <f t="shared" si="299"/>
        <v/>
      </c>
      <c r="AU847" s="5" t="str">
        <f t="shared" si="300"/>
        <v/>
      </c>
      <c r="AV847" s="5" t="str">
        <f t="shared" si="301"/>
        <v/>
      </c>
      <c r="AW847" s="5" t="str">
        <f t="shared" si="302"/>
        <v/>
      </c>
      <c r="AX847" s="5" t="str">
        <f t="shared" si="303"/>
        <v/>
      </c>
      <c r="AY847" s="5" t="str">
        <f t="shared" si="304"/>
        <v/>
      </c>
      <c r="AZ847" s="5" t="str">
        <f t="shared" si="305"/>
        <v/>
      </c>
      <c r="BA847" s="5" t="str">
        <f t="shared" si="306"/>
        <v/>
      </c>
      <c r="BB847" s="5" t="str">
        <f t="shared" si="307"/>
        <v/>
      </c>
    </row>
    <row r="848" spans="1:54" s="5" customFormat="1" hidden="1">
      <c r="A848" s="8" t="str">
        <f>IF(INDEX(FORM!$A:$A,ROW())="","",ROW()-1)</f>
        <v/>
      </c>
      <c r="B848" s="41" t="str">
        <f>IF($A848="","",INDEX(FORM!$A:$A,ROW()))</f>
        <v/>
      </c>
      <c r="C848" s="8" t="str">
        <f>IF($A848="","",TRIM(INDEX(FORM!$B:$B,ROW())))</f>
        <v/>
      </c>
      <c r="D848" s="8" t="str">
        <f>IF($A848="","",TRIM(INDEX(FORM!$C:$C,ROW())&amp;""))</f>
        <v/>
      </c>
      <c r="E848" s="8" t="str">
        <f>IF($A848="","",UPPER(TRIM(INDEX(FORM!$D:$D,ROW()))))</f>
        <v/>
      </c>
      <c r="F848" s="8" t="str">
        <f>IF($A848="","",IFERROR(INDEX(PROGRES!$A$2:$A$92,MATCH(E848,PROGRES!$B$2:$B$92,0)),"-"))</f>
        <v/>
      </c>
      <c r="G848" s="8" t="str">
        <f>IF($A848="","",UPPER(TRIM(INDEX(FORM!$F:$F,ROW()))))</f>
        <v/>
      </c>
      <c r="H848" s="8" t="str">
        <f>IF($A848="","",UPPER(TRIM(INDEX(FORM!$E:$E,ROW()))))</f>
        <v/>
      </c>
      <c r="I848" s="8" t="str">
        <f>IF($A848="","",UPPER(TRIM(INDEX(FORM!$G:$G,ROW()))))</f>
        <v/>
      </c>
      <c r="J848" s="8" t="str">
        <f>IF($A848="","",IF(ISNUMBER(SEARCH("Ya,",INDEX(FORM!$H:$H,ROW()))),"YA",IF(ISNUMBER(SEARCH("Cukup,",INDEX(FORM!$H:$H,ROW()))),"CUKUP",IF(ISNUMBER(SEARCH("Kurang,",INDEX(FORM!$H:$H,ROW()))),"KURANG",""))))</f>
        <v/>
      </c>
      <c r="K848" s="8" t="str">
        <f>IF($A848="","",UPPER(TRIM(INDEX(FORM!$J:$J,ROW()))))</f>
        <v/>
      </c>
      <c r="L848" s="8" t="str">
        <f>IF($A848="","",IF(ISNUMBER(SEARCH("Aktivitas Harian",INDEX(FORM!$K:$K,ROW()))),1,0))</f>
        <v/>
      </c>
      <c r="M848" s="8" t="str">
        <f>IF($A848="","",IF(ISNUMBER(SEARCH("Aktivitas Mingguan",INDEX(FORM!$K:$K,ROW()))),1,0))</f>
        <v/>
      </c>
      <c r="N848" s="8" t="str">
        <f>IF($A848="","",IF(ISNUMBER(SEARCH("Aktivitas Bulanan",INDEX(FORM!$K:$K,ROW()))),1,0))</f>
        <v/>
      </c>
      <c r="O848" s="8" t="str">
        <f>IF($A848="","",IF(ISNUMBER(SEARCH("Overview Cabang",INDEX(FORM!$K:$K,ROW()))),1,0))</f>
        <v/>
      </c>
      <c r="P848" s="8" t="str">
        <f>IF($A848="","",IFERROR(VLOOKUP(I848,DATA!$AH$9:$AI$13,2,0),""))</f>
        <v/>
      </c>
      <c r="Q848" s="8" t="str">
        <f>IF($A848="","",IFERROR(VLOOKUP(J848,DATA!$AH$9:$AI$13,2,0),""))</f>
        <v/>
      </c>
      <c r="R848" s="8" t="str">
        <f>IF($A848="","",IFERROR(VLOOKUP(K848,DATA!$AH$9:$AI$13,2,0),""))</f>
        <v/>
      </c>
      <c r="S848" s="42" t="str">
        <f t="shared" si="286"/>
        <v/>
      </c>
      <c r="T848" s="8" t="str">
        <f>IF($A848="","",IF(COUNTIF($D$2:D848,D848)=1,1,0))</f>
        <v/>
      </c>
      <c r="U848" s="8" t="str">
        <f>IF($A848="","",IF(F848="-","Cabang tdk ada",IF(IFERROR(VLOOKUP(G848,#REF!,1,0),"")="","",IF(INDEX(DATA!$AH$2:$AH$5,MATCH(G848,DATA!$AI$2:$AI$5,0))&lt;&gt;F848,"Wilayah beda","OK"))))</f>
        <v/>
      </c>
      <c r="V848" s="8" t="str">
        <f>IF($A848="","",TRIM(INDEX(FORM!$I:$I,ROW())&amp;""))</f>
        <v/>
      </c>
      <c r="W848" s="8" t="str">
        <f>IF($A848="","",TRIM(INDEX(FORM!$L:$L,ROW())&amp;""))</f>
        <v/>
      </c>
      <c r="X848" s="8" t="str">
        <f>IF($A848="","",TRIM(INDEX(FORM!$M:$M,ROW())&amp;""))</f>
        <v/>
      </c>
      <c r="Y848" s="8" t="str">
        <f>IF($A848="","",IFERROR(MATCH(F848,DATA!$AH$2:$AH$5,0),9)*10000+A848)</f>
        <v/>
      </c>
      <c r="Z848" s="8" t="str">
        <f t="shared" si="287"/>
        <v/>
      </c>
      <c r="AA848" s="8" t="str">
        <f t="shared" si="288"/>
        <v/>
      </c>
      <c r="AB848" s="8" t="str">
        <f t="shared" si="289"/>
        <v/>
      </c>
      <c r="AC848" s="8"/>
      <c r="AD848" s="8"/>
      <c r="AE848" s="8"/>
      <c r="AK848" s="5" t="str">
        <f t="shared" si="290"/>
        <v/>
      </c>
      <c r="AL848" s="5" t="str">
        <f t="shared" si="291"/>
        <v/>
      </c>
      <c r="AM848" s="5" t="str">
        <f t="shared" si="292"/>
        <v/>
      </c>
      <c r="AN848" s="5" t="str">
        <f t="shared" si="293"/>
        <v/>
      </c>
      <c r="AO848" s="5" t="str">
        <f t="shared" si="294"/>
        <v/>
      </c>
      <c r="AP848" s="5" t="str">
        <f t="shared" si="295"/>
        <v/>
      </c>
      <c r="AQ848" s="5" t="str">
        <f t="shared" si="296"/>
        <v/>
      </c>
      <c r="AR848" s="5" t="str">
        <f t="shared" si="297"/>
        <v/>
      </c>
      <c r="AS848" s="5" t="str">
        <f t="shared" si="298"/>
        <v/>
      </c>
      <c r="AT848" s="5" t="str">
        <f t="shared" si="299"/>
        <v/>
      </c>
      <c r="AU848" s="5" t="str">
        <f t="shared" si="300"/>
        <v/>
      </c>
      <c r="AV848" s="5" t="str">
        <f t="shared" si="301"/>
        <v/>
      </c>
      <c r="AW848" s="5" t="str">
        <f t="shared" si="302"/>
        <v/>
      </c>
      <c r="AX848" s="5" t="str">
        <f t="shared" si="303"/>
        <v/>
      </c>
      <c r="AY848" s="5" t="str">
        <f t="shared" si="304"/>
        <v/>
      </c>
      <c r="AZ848" s="5" t="str">
        <f t="shared" si="305"/>
        <v/>
      </c>
      <c r="BA848" s="5" t="str">
        <f t="shared" si="306"/>
        <v/>
      </c>
      <c r="BB848" s="5" t="str">
        <f t="shared" si="307"/>
        <v/>
      </c>
    </row>
    <row r="849" spans="1:54" s="5" customFormat="1" hidden="1">
      <c r="A849" s="8" t="str">
        <f>IF(INDEX(FORM!$A:$A,ROW())="","",ROW()-1)</f>
        <v/>
      </c>
      <c r="B849" s="41" t="str">
        <f>IF($A849="","",INDEX(FORM!$A:$A,ROW()))</f>
        <v/>
      </c>
      <c r="C849" s="8" t="str">
        <f>IF($A849="","",TRIM(INDEX(FORM!$B:$B,ROW())))</f>
        <v/>
      </c>
      <c r="D849" s="8" t="str">
        <f>IF($A849="","",TRIM(INDEX(FORM!$C:$C,ROW())&amp;""))</f>
        <v/>
      </c>
      <c r="E849" s="8" t="str">
        <f>IF($A849="","",UPPER(TRIM(INDEX(FORM!$D:$D,ROW()))))</f>
        <v/>
      </c>
      <c r="F849" s="8" t="str">
        <f>IF($A849="","",IFERROR(INDEX(PROGRES!$A$2:$A$92,MATCH(E849,PROGRES!$B$2:$B$92,0)),"-"))</f>
        <v/>
      </c>
      <c r="G849" s="8" t="str">
        <f>IF($A849="","",UPPER(TRIM(INDEX(FORM!$F:$F,ROW()))))</f>
        <v/>
      </c>
      <c r="H849" s="8" t="str">
        <f>IF($A849="","",UPPER(TRIM(INDEX(FORM!$E:$E,ROW()))))</f>
        <v/>
      </c>
      <c r="I849" s="8" t="str">
        <f>IF($A849="","",UPPER(TRIM(INDEX(FORM!$G:$G,ROW()))))</f>
        <v/>
      </c>
      <c r="J849" s="8" t="str">
        <f>IF($A849="","",IF(ISNUMBER(SEARCH("Ya,",INDEX(FORM!$H:$H,ROW()))),"YA",IF(ISNUMBER(SEARCH("Cukup,",INDEX(FORM!$H:$H,ROW()))),"CUKUP",IF(ISNUMBER(SEARCH("Kurang,",INDEX(FORM!$H:$H,ROW()))),"KURANG",""))))</f>
        <v/>
      </c>
      <c r="K849" s="8" t="str">
        <f>IF($A849="","",UPPER(TRIM(INDEX(FORM!$J:$J,ROW()))))</f>
        <v/>
      </c>
      <c r="L849" s="8" t="str">
        <f>IF($A849="","",IF(ISNUMBER(SEARCH("Aktivitas Harian",INDEX(FORM!$K:$K,ROW()))),1,0))</f>
        <v/>
      </c>
      <c r="M849" s="8" t="str">
        <f>IF($A849="","",IF(ISNUMBER(SEARCH("Aktivitas Mingguan",INDEX(FORM!$K:$K,ROW()))),1,0))</f>
        <v/>
      </c>
      <c r="N849" s="8" t="str">
        <f>IF($A849="","",IF(ISNUMBER(SEARCH("Aktivitas Bulanan",INDEX(FORM!$K:$K,ROW()))),1,0))</f>
        <v/>
      </c>
      <c r="O849" s="8" t="str">
        <f>IF($A849="","",IF(ISNUMBER(SEARCH("Overview Cabang",INDEX(FORM!$K:$K,ROW()))),1,0))</f>
        <v/>
      </c>
      <c r="P849" s="8" t="str">
        <f>IF($A849="","",IFERROR(VLOOKUP(I849,DATA!$AH$9:$AI$13,2,0),""))</f>
        <v/>
      </c>
      <c r="Q849" s="8" t="str">
        <f>IF($A849="","",IFERROR(VLOOKUP(J849,DATA!$AH$9:$AI$13,2,0),""))</f>
        <v/>
      </c>
      <c r="R849" s="8" t="str">
        <f>IF($A849="","",IFERROR(VLOOKUP(K849,DATA!$AH$9:$AI$13,2,0),""))</f>
        <v/>
      </c>
      <c r="S849" s="42" t="str">
        <f t="shared" si="286"/>
        <v/>
      </c>
      <c r="T849" s="8" t="str">
        <f>IF($A849="","",IF(COUNTIF($D$2:D849,D849)=1,1,0))</f>
        <v/>
      </c>
      <c r="U849" s="8" t="str">
        <f>IF($A849="","",IF(F849="-","Cabang tdk ada",IF(IFERROR(VLOOKUP(G849,#REF!,1,0),"")="","",IF(INDEX(DATA!$AH$2:$AH$5,MATCH(G849,DATA!$AI$2:$AI$5,0))&lt;&gt;F849,"Wilayah beda","OK"))))</f>
        <v/>
      </c>
      <c r="V849" s="8" t="str">
        <f>IF($A849="","",TRIM(INDEX(FORM!$I:$I,ROW())&amp;""))</f>
        <v/>
      </c>
      <c r="W849" s="8" t="str">
        <f>IF($A849="","",TRIM(INDEX(FORM!$L:$L,ROW())&amp;""))</f>
        <v/>
      </c>
      <c r="X849" s="8" t="str">
        <f>IF($A849="","",TRIM(INDEX(FORM!$M:$M,ROW())&amp;""))</f>
        <v/>
      </c>
      <c r="Y849" s="8" t="str">
        <f>IF($A849="","",IFERROR(MATCH(F849,DATA!$AH$2:$AH$5,0),9)*10000+A849)</f>
        <v/>
      </c>
      <c r="Z849" s="8" t="str">
        <f t="shared" si="287"/>
        <v/>
      </c>
      <c r="AA849" s="8" t="str">
        <f t="shared" si="288"/>
        <v/>
      </c>
      <c r="AB849" s="8" t="str">
        <f t="shared" si="289"/>
        <v/>
      </c>
      <c r="AC849" s="8"/>
      <c r="AD849" s="8"/>
      <c r="AE849" s="8"/>
      <c r="AK849" s="5" t="str">
        <f t="shared" si="290"/>
        <v/>
      </c>
      <c r="AL849" s="5" t="str">
        <f t="shared" si="291"/>
        <v/>
      </c>
      <c r="AM849" s="5" t="str">
        <f t="shared" si="292"/>
        <v/>
      </c>
      <c r="AN849" s="5" t="str">
        <f t="shared" si="293"/>
        <v/>
      </c>
      <c r="AO849" s="5" t="str">
        <f t="shared" si="294"/>
        <v/>
      </c>
      <c r="AP849" s="5" t="str">
        <f t="shared" si="295"/>
        <v/>
      </c>
      <c r="AQ849" s="5" t="str">
        <f t="shared" si="296"/>
        <v/>
      </c>
      <c r="AR849" s="5" t="str">
        <f t="shared" si="297"/>
        <v/>
      </c>
      <c r="AS849" s="5" t="str">
        <f t="shared" si="298"/>
        <v/>
      </c>
      <c r="AT849" s="5" t="str">
        <f t="shared" si="299"/>
        <v/>
      </c>
      <c r="AU849" s="5" t="str">
        <f t="shared" si="300"/>
        <v/>
      </c>
      <c r="AV849" s="5" t="str">
        <f t="shared" si="301"/>
        <v/>
      </c>
      <c r="AW849" s="5" t="str">
        <f t="shared" si="302"/>
        <v/>
      </c>
      <c r="AX849" s="5" t="str">
        <f t="shared" si="303"/>
        <v/>
      </c>
      <c r="AY849" s="5" t="str">
        <f t="shared" si="304"/>
        <v/>
      </c>
      <c r="AZ849" s="5" t="str">
        <f t="shared" si="305"/>
        <v/>
      </c>
      <c r="BA849" s="5" t="str">
        <f t="shared" si="306"/>
        <v/>
      </c>
      <c r="BB849" s="5" t="str">
        <f t="shared" si="307"/>
        <v/>
      </c>
    </row>
    <row r="850" spans="1:54" s="5" customFormat="1" hidden="1">
      <c r="A850" s="8" t="str">
        <f>IF(INDEX(FORM!$A:$A,ROW())="","",ROW()-1)</f>
        <v/>
      </c>
      <c r="B850" s="41" t="str">
        <f>IF($A850="","",INDEX(FORM!$A:$A,ROW()))</f>
        <v/>
      </c>
      <c r="C850" s="8" t="str">
        <f>IF($A850="","",TRIM(INDEX(FORM!$B:$B,ROW())))</f>
        <v/>
      </c>
      <c r="D850" s="8" t="str">
        <f>IF($A850="","",TRIM(INDEX(FORM!$C:$C,ROW())&amp;""))</f>
        <v/>
      </c>
      <c r="E850" s="8" t="str">
        <f>IF($A850="","",UPPER(TRIM(INDEX(FORM!$D:$D,ROW()))))</f>
        <v/>
      </c>
      <c r="F850" s="8" t="str">
        <f>IF($A850="","",IFERROR(INDEX(PROGRES!$A$2:$A$92,MATCH(E850,PROGRES!$B$2:$B$92,0)),"-"))</f>
        <v/>
      </c>
      <c r="G850" s="8" t="str">
        <f>IF($A850="","",UPPER(TRIM(INDEX(FORM!$F:$F,ROW()))))</f>
        <v/>
      </c>
      <c r="H850" s="8" t="str">
        <f>IF($A850="","",UPPER(TRIM(INDEX(FORM!$E:$E,ROW()))))</f>
        <v/>
      </c>
      <c r="I850" s="8" t="str">
        <f>IF($A850="","",UPPER(TRIM(INDEX(FORM!$G:$G,ROW()))))</f>
        <v/>
      </c>
      <c r="J850" s="8" t="str">
        <f>IF($A850="","",IF(ISNUMBER(SEARCH("Ya,",INDEX(FORM!$H:$H,ROW()))),"YA",IF(ISNUMBER(SEARCH("Cukup,",INDEX(FORM!$H:$H,ROW()))),"CUKUP",IF(ISNUMBER(SEARCH("Kurang,",INDEX(FORM!$H:$H,ROW()))),"KURANG",""))))</f>
        <v/>
      </c>
      <c r="K850" s="8" t="str">
        <f>IF($A850="","",UPPER(TRIM(INDEX(FORM!$J:$J,ROW()))))</f>
        <v/>
      </c>
      <c r="L850" s="8" t="str">
        <f>IF($A850="","",IF(ISNUMBER(SEARCH("Aktivitas Harian",INDEX(FORM!$K:$K,ROW()))),1,0))</f>
        <v/>
      </c>
      <c r="M850" s="8" t="str">
        <f>IF($A850="","",IF(ISNUMBER(SEARCH("Aktivitas Mingguan",INDEX(FORM!$K:$K,ROW()))),1,0))</f>
        <v/>
      </c>
      <c r="N850" s="8" t="str">
        <f>IF($A850="","",IF(ISNUMBER(SEARCH("Aktivitas Bulanan",INDEX(FORM!$K:$K,ROW()))),1,0))</f>
        <v/>
      </c>
      <c r="O850" s="8" t="str">
        <f>IF($A850="","",IF(ISNUMBER(SEARCH("Overview Cabang",INDEX(FORM!$K:$K,ROW()))),1,0))</f>
        <v/>
      </c>
      <c r="P850" s="8" t="str">
        <f>IF($A850="","",IFERROR(VLOOKUP(I850,DATA!$AH$9:$AI$13,2,0),""))</f>
        <v/>
      </c>
      <c r="Q850" s="8" t="str">
        <f>IF($A850="","",IFERROR(VLOOKUP(J850,DATA!$AH$9:$AI$13,2,0),""))</f>
        <v/>
      </c>
      <c r="R850" s="8" t="str">
        <f>IF($A850="","",IFERROR(VLOOKUP(K850,DATA!$AH$9:$AI$13,2,0),""))</f>
        <v/>
      </c>
      <c r="S850" s="42" t="str">
        <f t="shared" si="286"/>
        <v/>
      </c>
      <c r="T850" s="8" t="str">
        <f>IF($A850="","",IF(COUNTIF($D$2:D850,D850)=1,1,0))</f>
        <v/>
      </c>
      <c r="U850" s="8" t="str">
        <f>IF($A850="","",IF(F850="-","Cabang tdk ada",IF(IFERROR(VLOOKUP(G850,#REF!,1,0),"")="","",IF(INDEX(DATA!$AH$2:$AH$5,MATCH(G850,DATA!$AI$2:$AI$5,0))&lt;&gt;F850,"Wilayah beda","OK"))))</f>
        <v/>
      </c>
      <c r="V850" s="8" t="str">
        <f>IF($A850="","",TRIM(INDEX(FORM!$I:$I,ROW())&amp;""))</f>
        <v/>
      </c>
      <c r="W850" s="8" t="str">
        <f>IF($A850="","",TRIM(INDEX(FORM!$L:$L,ROW())&amp;""))</f>
        <v/>
      </c>
      <c r="X850" s="8" t="str">
        <f>IF($A850="","",TRIM(INDEX(FORM!$M:$M,ROW())&amp;""))</f>
        <v/>
      </c>
      <c r="Y850" s="8" t="str">
        <f>IF($A850="","",IFERROR(MATCH(F850,DATA!$AH$2:$AH$5,0),9)*10000+A850)</f>
        <v/>
      </c>
      <c r="Z850" s="8" t="str">
        <f t="shared" si="287"/>
        <v/>
      </c>
      <c r="AA850" s="8" t="str">
        <f t="shared" si="288"/>
        <v/>
      </c>
      <c r="AB850" s="8" t="str">
        <f t="shared" si="289"/>
        <v/>
      </c>
      <c r="AC850" s="8"/>
      <c r="AD850" s="8"/>
      <c r="AE850" s="8"/>
      <c r="AK850" s="5" t="str">
        <f t="shared" si="290"/>
        <v/>
      </c>
      <c r="AL850" s="5" t="str">
        <f t="shared" si="291"/>
        <v/>
      </c>
      <c r="AM850" s="5" t="str">
        <f t="shared" si="292"/>
        <v/>
      </c>
      <c r="AN850" s="5" t="str">
        <f t="shared" si="293"/>
        <v/>
      </c>
      <c r="AO850" s="5" t="str">
        <f t="shared" si="294"/>
        <v/>
      </c>
      <c r="AP850" s="5" t="str">
        <f t="shared" si="295"/>
        <v/>
      </c>
      <c r="AQ850" s="5" t="str">
        <f t="shared" si="296"/>
        <v/>
      </c>
      <c r="AR850" s="5" t="str">
        <f t="shared" si="297"/>
        <v/>
      </c>
      <c r="AS850" s="5" t="str">
        <f t="shared" si="298"/>
        <v/>
      </c>
      <c r="AT850" s="5" t="str">
        <f t="shared" si="299"/>
        <v/>
      </c>
      <c r="AU850" s="5" t="str">
        <f t="shared" si="300"/>
        <v/>
      </c>
      <c r="AV850" s="5" t="str">
        <f t="shared" si="301"/>
        <v/>
      </c>
      <c r="AW850" s="5" t="str">
        <f t="shared" si="302"/>
        <v/>
      </c>
      <c r="AX850" s="5" t="str">
        <f t="shared" si="303"/>
        <v/>
      </c>
      <c r="AY850" s="5" t="str">
        <f t="shared" si="304"/>
        <v/>
      </c>
      <c r="AZ850" s="5" t="str">
        <f t="shared" si="305"/>
        <v/>
      </c>
      <c r="BA850" s="5" t="str">
        <f t="shared" si="306"/>
        <v/>
      </c>
      <c r="BB850" s="5" t="str">
        <f t="shared" si="307"/>
        <v/>
      </c>
    </row>
    <row r="851" spans="1:54" s="5" customFormat="1" hidden="1">
      <c r="A851" s="8" t="str">
        <f>IF(INDEX(FORM!$A:$A,ROW())="","",ROW()-1)</f>
        <v/>
      </c>
      <c r="B851" s="41" t="str">
        <f>IF($A851="","",INDEX(FORM!$A:$A,ROW()))</f>
        <v/>
      </c>
      <c r="C851" s="8" t="str">
        <f>IF($A851="","",TRIM(INDEX(FORM!$B:$B,ROW())))</f>
        <v/>
      </c>
      <c r="D851" s="8" t="str">
        <f>IF($A851="","",TRIM(INDEX(FORM!$C:$C,ROW())&amp;""))</f>
        <v/>
      </c>
      <c r="E851" s="8" t="str">
        <f>IF($A851="","",UPPER(TRIM(INDEX(FORM!$D:$D,ROW()))))</f>
        <v/>
      </c>
      <c r="F851" s="8" t="str">
        <f>IF($A851="","",IFERROR(INDEX(PROGRES!$A$2:$A$92,MATCH(E851,PROGRES!$B$2:$B$92,0)),"-"))</f>
        <v/>
      </c>
      <c r="G851" s="8" t="str">
        <f>IF($A851="","",UPPER(TRIM(INDEX(FORM!$F:$F,ROW()))))</f>
        <v/>
      </c>
      <c r="H851" s="8" t="str">
        <f>IF($A851="","",UPPER(TRIM(INDEX(FORM!$E:$E,ROW()))))</f>
        <v/>
      </c>
      <c r="I851" s="8" t="str">
        <f>IF($A851="","",UPPER(TRIM(INDEX(FORM!$G:$G,ROW()))))</f>
        <v/>
      </c>
      <c r="J851" s="8" t="str">
        <f>IF($A851="","",IF(ISNUMBER(SEARCH("Ya,",INDEX(FORM!$H:$H,ROW()))),"YA",IF(ISNUMBER(SEARCH("Cukup,",INDEX(FORM!$H:$H,ROW()))),"CUKUP",IF(ISNUMBER(SEARCH("Kurang,",INDEX(FORM!$H:$H,ROW()))),"KURANG",""))))</f>
        <v/>
      </c>
      <c r="K851" s="8" t="str">
        <f>IF($A851="","",UPPER(TRIM(INDEX(FORM!$J:$J,ROW()))))</f>
        <v/>
      </c>
      <c r="L851" s="8" t="str">
        <f>IF($A851="","",IF(ISNUMBER(SEARCH("Aktivitas Harian",INDEX(FORM!$K:$K,ROW()))),1,0))</f>
        <v/>
      </c>
      <c r="M851" s="8" t="str">
        <f>IF($A851="","",IF(ISNUMBER(SEARCH("Aktivitas Mingguan",INDEX(FORM!$K:$K,ROW()))),1,0))</f>
        <v/>
      </c>
      <c r="N851" s="8" t="str">
        <f>IF($A851="","",IF(ISNUMBER(SEARCH("Aktivitas Bulanan",INDEX(FORM!$K:$K,ROW()))),1,0))</f>
        <v/>
      </c>
      <c r="O851" s="8" t="str">
        <f>IF($A851="","",IF(ISNUMBER(SEARCH("Overview Cabang",INDEX(FORM!$K:$K,ROW()))),1,0))</f>
        <v/>
      </c>
      <c r="P851" s="8" t="str">
        <f>IF($A851="","",IFERROR(VLOOKUP(I851,DATA!$AH$9:$AI$13,2,0),""))</f>
        <v/>
      </c>
      <c r="Q851" s="8" t="str">
        <f>IF($A851="","",IFERROR(VLOOKUP(J851,DATA!$AH$9:$AI$13,2,0),""))</f>
        <v/>
      </c>
      <c r="R851" s="8" t="str">
        <f>IF($A851="","",IFERROR(VLOOKUP(K851,DATA!$AH$9:$AI$13,2,0),""))</f>
        <v/>
      </c>
      <c r="S851" s="42" t="str">
        <f t="shared" si="286"/>
        <v/>
      </c>
      <c r="T851" s="8" t="str">
        <f>IF($A851="","",IF(COUNTIF($D$2:D851,D851)=1,1,0))</f>
        <v/>
      </c>
      <c r="U851" s="8" t="str">
        <f>IF($A851="","",IF(F851="-","Cabang tdk ada",IF(IFERROR(VLOOKUP(G851,#REF!,1,0),"")="","",IF(INDEX(DATA!$AH$2:$AH$5,MATCH(G851,DATA!$AI$2:$AI$5,0))&lt;&gt;F851,"Wilayah beda","OK"))))</f>
        <v/>
      </c>
      <c r="V851" s="8" t="str">
        <f>IF($A851="","",TRIM(INDEX(FORM!$I:$I,ROW())&amp;""))</f>
        <v/>
      </c>
      <c r="W851" s="8" t="str">
        <f>IF($A851="","",TRIM(INDEX(FORM!$L:$L,ROW())&amp;""))</f>
        <v/>
      </c>
      <c r="X851" s="8" t="str">
        <f>IF($A851="","",TRIM(INDEX(FORM!$M:$M,ROW())&amp;""))</f>
        <v/>
      </c>
      <c r="Y851" s="8" t="str">
        <f>IF($A851="","",IFERROR(MATCH(F851,DATA!$AH$2:$AH$5,0),9)*10000+A851)</f>
        <v/>
      </c>
      <c r="Z851" s="8" t="str">
        <f t="shared" si="287"/>
        <v/>
      </c>
      <c r="AA851" s="8" t="str">
        <f t="shared" si="288"/>
        <v/>
      </c>
      <c r="AB851" s="8" t="str">
        <f t="shared" si="289"/>
        <v/>
      </c>
      <c r="AC851" s="8"/>
      <c r="AD851" s="8"/>
      <c r="AE851" s="8"/>
      <c r="AK851" s="5" t="str">
        <f t="shared" si="290"/>
        <v/>
      </c>
      <c r="AL851" s="5" t="str">
        <f t="shared" si="291"/>
        <v/>
      </c>
      <c r="AM851" s="5" t="str">
        <f t="shared" si="292"/>
        <v/>
      </c>
      <c r="AN851" s="5" t="str">
        <f t="shared" si="293"/>
        <v/>
      </c>
      <c r="AO851" s="5" t="str">
        <f t="shared" si="294"/>
        <v/>
      </c>
      <c r="AP851" s="5" t="str">
        <f t="shared" si="295"/>
        <v/>
      </c>
      <c r="AQ851" s="5" t="str">
        <f t="shared" si="296"/>
        <v/>
      </c>
      <c r="AR851" s="5" t="str">
        <f t="shared" si="297"/>
        <v/>
      </c>
      <c r="AS851" s="5" t="str">
        <f t="shared" si="298"/>
        <v/>
      </c>
      <c r="AT851" s="5" t="str">
        <f t="shared" si="299"/>
        <v/>
      </c>
      <c r="AU851" s="5" t="str">
        <f t="shared" si="300"/>
        <v/>
      </c>
      <c r="AV851" s="5" t="str">
        <f t="shared" si="301"/>
        <v/>
      </c>
      <c r="AW851" s="5" t="str">
        <f t="shared" si="302"/>
        <v/>
      </c>
      <c r="AX851" s="5" t="str">
        <f t="shared" si="303"/>
        <v/>
      </c>
      <c r="AY851" s="5" t="str">
        <f t="shared" si="304"/>
        <v/>
      </c>
      <c r="AZ851" s="5" t="str">
        <f t="shared" si="305"/>
        <v/>
      </c>
      <c r="BA851" s="5" t="str">
        <f t="shared" si="306"/>
        <v/>
      </c>
      <c r="BB851" s="5" t="str">
        <f t="shared" si="307"/>
        <v/>
      </c>
    </row>
    <row r="852" spans="1:54" s="5" customFormat="1" hidden="1">
      <c r="A852" s="8" t="str">
        <f>IF(INDEX(FORM!$A:$A,ROW())="","",ROW()-1)</f>
        <v/>
      </c>
      <c r="B852" s="41" t="str">
        <f>IF($A852="","",INDEX(FORM!$A:$A,ROW()))</f>
        <v/>
      </c>
      <c r="C852" s="8" t="str">
        <f>IF($A852="","",TRIM(INDEX(FORM!$B:$B,ROW())))</f>
        <v/>
      </c>
      <c r="D852" s="8" t="str">
        <f>IF($A852="","",TRIM(INDEX(FORM!$C:$C,ROW())&amp;""))</f>
        <v/>
      </c>
      <c r="E852" s="8" t="str">
        <f>IF($A852="","",UPPER(TRIM(INDEX(FORM!$D:$D,ROW()))))</f>
        <v/>
      </c>
      <c r="F852" s="8" t="str">
        <f>IF($A852="","",IFERROR(INDEX(PROGRES!$A$2:$A$92,MATCH(E852,PROGRES!$B$2:$B$92,0)),"-"))</f>
        <v/>
      </c>
      <c r="G852" s="8" t="str">
        <f>IF($A852="","",UPPER(TRIM(INDEX(FORM!$F:$F,ROW()))))</f>
        <v/>
      </c>
      <c r="H852" s="8" t="str">
        <f>IF($A852="","",UPPER(TRIM(INDEX(FORM!$E:$E,ROW()))))</f>
        <v/>
      </c>
      <c r="I852" s="8" t="str">
        <f>IF($A852="","",UPPER(TRIM(INDEX(FORM!$G:$G,ROW()))))</f>
        <v/>
      </c>
      <c r="J852" s="8" t="str">
        <f>IF($A852="","",IF(ISNUMBER(SEARCH("Ya,",INDEX(FORM!$H:$H,ROW()))),"YA",IF(ISNUMBER(SEARCH("Cukup,",INDEX(FORM!$H:$H,ROW()))),"CUKUP",IF(ISNUMBER(SEARCH("Kurang,",INDEX(FORM!$H:$H,ROW()))),"KURANG",""))))</f>
        <v/>
      </c>
      <c r="K852" s="8" t="str">
        <f>IF($A852="","",UPPER(TRIM(INDEX(FORM!$J:$J,ROW()))))</f>
        <v/>
      </c>
      <c r="L852" s="8" t="str">
        <f>IF($A852="","",IF(ISNUMBER(SEARCH("Aktivitas Harian",INDEX(FORM!$K:$K,ROW()))),1,0))</f>
        <v/>
      </c>
      <c r="M852" s="8" t="str">
        <f>IF($A852="","",IF(ISNUMBER(SEARCH("Aktivitas Mingguan",INDEX(FORM!$K:$K,ROW()))),1,0))</f>
        <v/>
      </c>
      <c r="N852" s="8" t="str">
        <f>IF($A852="","",IF(ISNUMBER(SEARCH("Aktivitas Bulanan",INDEX(FORM!$K:$K,ROW()))),1,0))</f>
        <v/>
      </c>
      <c r="O852" s="8" t="str">
        <f>IF($A852="","",IF(ISNUMBER(SEARCH("Overview Cabang",INDEX(FORM!$K:$K,ROW()))),1,0))</f>
        <v/>
      </c>
      <c r="P852" s="8" t="str">
        <f>IF($A852="","",IFERROR(VLOOKUP(I852,DATA!$AH$9:$AI$13,2,0),""))</f>
        <v/>
      </c>
      <c r="Q852" s="8" t="str">
        <f>IF($A852="","",IFERROR(VLOOKUP(J852,DATA!$AH$9:$AI$13,2,0),""))</f>
        <v/>
      </c>
      <c r="R852" s="8" t="str">
        <f>IF($A852="","",IFERROR(VLOOKUP(K852,DATA!$AH$9:$AI$13,2,0),""))</f>
        <v/>
      </c>
      <c r="S852" s="42" t="str">
        <f t="shared" si="286"/>
        <v/>
      </c>
      <c r="T852" s="8" t="str">
        <f>IF($A852="","",IF(COUNTIF($D$2:D852,D852)=1,1,0))</f>
        <v/>
      </c>
      <c r="U852" s="8" t="str">
        <f>IF($A852="","",IF(F852="-","Cabang tdk ada",IF(IFERROR(VLOOKUP(G852,#REF!,1,0),"")="","",IF(INDEX(DATA!$AH$2:$AH$5,MATCH(G852,DATA!$AI$2:$AI$5,0))&lt;&gt;F852,"Wilayah beda","OK"))))</f>
        <v/>
      </c>
      <c r="V852" s="8" t="str">
        <f>IF($A852="","",TRIM(INDEX(FORM!$I:$I,ROW())&amp;""))</f>
        <v/>
      </c>
      <c r="W852" s="8" t="str">
        <f>IF($A852="","",TRIM(INDEX(FORM!$L:$L,ROW())&amp;""))</f>
        <v/>
      </c>
      <c r="X852" s="8" t="str">
        <f>IF($A852="","",TRIM(INDEX(FORM!$M:$M,ROW())&amp;""))</f>
        <v/>
      </c>
      <c r="Y852" s="8" t="str">
        <f>IF($A852="","",IFERROR(MATCH(F852,DATA!$AH$2:$AH$5,0),9)*10000+A852)</f>
        <v/>
      </c>
      <c r="Z852" s="8" t="str">
        <f t="shared" si="287"/>
        <v/>
      </c>
      <c r="AA852" s="8" t="str">
        <f t="shared" si="288"/>
        <v/>
      </c>
      <c r="AB852" s="8" t="str">
        <f t="shared" si="289"/>
        <v/>
      </c>
      <c r="AC852" s="8"/>
      <c r="AD852" s="8"/>
      <c r="AE852" s="8"/>
      <c r="AK852" s="5" t="str">
        <f t="shared" si="290"/>
        <v/>
      </c>
      <c r="AL852" s="5" t="str">
        <f t="shared" si="291"/>
        <v/>
      </c>
      <c r="AM852" s="5" t="str">
        <f t="shared" si="292"/>
        <v/>
      </c>
      <c r="AN852" s="5" t="str">
        <f t="shared" si="293"/>
        <v/>
      </c>
      <c r="AO852" s="5" t="str">
        <f t="shared" si="294"/>
        <v/>
      </c>
      <c r="AP852" s="5" t="str">
        <f t="shared" si="295"/>
        <v/>
      </c>
      <c r="AQ852" s="5" t="str">
        <f t="shared" si="296"/>
        <v/>
      </c>
      <c r="AR852" s="5" t="str">
        <f t="shared" si="297"/>
        <v/>
      </c>
      <c r="AS852" s="5" t="str">
        <f t="shared" si="298"/>
        <v/>
      </c>
      <c r="AT852" s="5" t="str">
        <f t="shared" si="299"/>
        <v/>
      </c>
      <c r="AU852" s="5" t="str">
        <f t="shared" si="300"/>
        <v/>
      </c>
      <c r="AV852" s="5" t="str">
        <f t="shared" si="301"/>
        <v/>
      </c>
      <c r="AW852" s="5" t="str">
        <f t="shared" si="302"/>
        <v/>
      </c>
      <c r="AX852" s="5" t="str">
        <f t="shared" si="303"/>
        <v/>
      </c>
      <c r="AY852" s="5" t="str">
        <f t="shared" si="304"/>
        <v/>
      </c>
      <c r="AZ852" s="5" t="str">
        <f t="shared" si="305"/>
        <v/>
      </c>
      <c r="BA852" s="5" t="str">
        <f t="shared" si="306"/>
        <v/>
      </c>
      <c r="BB852" s="5" t="str">
        <f t="shared" si="307"/>
        <v/>
      </c>
    </row>
    <row r="853" spans="1:54" s="5" customFormat="1" hidden="1">
      <c r="A853" s="8" t="str">
        <f>IF(INDEX(FORM!$A:$A,ROW())="","",ROW()-1)</f>
        <v/>
      </c>
      <c r="B853" s="41" t="str">
        <f>IF($A853="","",INDEX(FORM!$A:$A,ROW()))</f>
        <v/>
      </c>
      <c r="C853" s="8" t="str">
        <f>IF($A853="","",TRIM(INDEX(FORM!$B:$B,ROW())))</f>
        <v/>
      </c>
      <c r="D853" s="8" t="str">
        <f>IF($A853="","",TRIM(INDEX(FORM!$C:$C,ROW())&amp;""))</f>
        <v/>
      </c>
      <c r="E853" s="8" t="str">
        <f>IF($A853="","",UPPER(TRIM(INDEX(FORM!$D:$D,ROW()))))</f>
        <v/>
      </c>
      <c r="F853" s="8" t="str">
        <f>IF($A853="","",IFERROR(INDEX(PROGRES!$A$2:$A$92,MATCH(E853,PROGRES!$B$2:$B$92,0)),"-"))</f>
        <v/>
      </c>
      <c r="G853" s="8" t="str">
        <f>IF($A853="","",UPPER(TRIM(INDEX(FORM!$F:$F,ROW()))))</f>
        <v/>
      </c>
      <c r="H853" s="8" t="str">
        <f>IF($A853="","",UPPER(TRIM(INDEX(FORM!$E:$E,ROW()))))</f>
        <v/>
      </c>
      <c r="I853" s="8" t="str">
        <f>IF($A853="","",UPPER(TRIM(INDEX(FORM!$G:$G,ROW()))))</f>
        <v/>
      </c>
      <c r="J853" s="8" t="str">
        <f>IF($A853="","",IF(ISNUMBER(SEARCH("Ya,",INDEX(FORM!$H:$H,ROW()))),"YA",IF(ISNUMBER(SEARCH("Cukup,",INDEX(FORM!$H:$H,ROW()))),"CUKUP",IF(ISNUMBER(SEARCH("Kurang,",INDEX(FORM!$H:$H,ROW()))),"KURANG",""))))</f>
        <v/>
      </c>
      <c r="K853" s="8" t="str">
        <f>IF($A853="","",UPPER(TRIM(INDEX(FORM!$J:$J,ROW()))))</f>
        <v/>
      </c>
      <c r="L853" s="8" t="str">
        <f>IF($A853="","",IF(ISNUMBER(SEARCH("Aktivitas Harian",INDEX(FORM!$K:$K,ROW()))),1,0))</f>
        <v/>
      </c>
      <c r="M853" s="8" t="str">
        <f>IF($A853="","",IF(ISNUMBER(SEARCH("Aktivitas Mingguan",INDEX(FORM!$K:$K,ROW()))),1,0))</f>
        <v/>
      </c>
      <c r="N853" s="8" t="str">
        <f>IF($A853="","",IF(ISNUMBER(SEARCH("Aktivitas Bulanan",INDEX(FORM!$K:$K,ROW()))),1,0))</f>
        <v/>
      </c>
      <c r="O853" s="8" t="str">
        <f>IF($A853="","",IF(ISNUMBER(SEARCH("Overview Cabang",INDEX(FORM!$K:$K,ROW()))),1,0))</f>
        <v/>
      </c>
      <c r="P853" s="8" t="str">
        <f>IF($A853="","",IFERROR(VLOOKUP(I853,DATA!$AH$9:$AI$13,2,0),""))</f>
        <v/>
      </c>
      <c r="Q853" s="8" t="str">
        <f>IF($A853="","",IFERROR(VLOOKUP(J853,DATA!$AH$9:$AI$13,2,0),""))</f>
        <v/>
      </c>
      <c r="R853" s="8" t="str">
        <f>IF($A853="","",IFERROR(VLOOKUP(K853,DATA!$AH$9:$AI$13,2,0),""))</f>
        <v/>
      </c>
      <c r="S853" s="42" t="str">
        <f t="shared" si="286"/>
        <v/>
      </c>
      <c r="T853" s="8" t="str">
        <f>IF($A853="","",IF(COUNTIF($D$2:D853,D853)=1,1,0))</f>
        <v/>
      </c>
      <c r="U853" s="8" t="str">
        <f>IF($A853="","",IF(F853="-","Cabang tdk ada",IF(IFERROR(VLOOKUP(G853,#REF!,1,0),"")="","",IF(INDEX(DATA!$AH$2:$AH$5,MATCH(G853,DATA!$AI$2:$AI$5,0))&lt;&gt;F853,"Wilayah beda","OK"))))</f>
        <v/>
      </c>
      <c r="V853" s="8" t="str">
        <f>IF($A853="","",TRIM(INDEX(FORM!$I:$I,ROW())&amp;""))</f>
        <v/>
      </c>
      <c r="W853" s="8" t="str">
        <f>IF($A853="","",TRIM(INDEX(FORM!$L:$L,ROW())&amp;""))</f>
        <v/>
      </c>
      <c r="X853" s="8" t="str">
        <f>IF($A853="","",TRIM(INDEX(FORM!$M:$M,ROW())&amp;""))</f>
        <v/>
      </c>
      <c r="Y853" s="8" t="str">
        <f>IF($A853="","",IFERROR(MATCH(F853,DATA!$AH$2:$AH$5,0),9)*10000+A853)</f>
        <v/>
      </c>
      <c r="Z853" s="8" t="str">
        <f t="shared" si="287"/>
        <v/>
      </c>
      <c r="AA853" s="8" t="str">
        <f t="shared" si="288"/>
        <v/>
      </c>
      <c r="AB853" s="8" t="str">
        <f t="shared" si="289"/>
        <v/>
      </c>
      <c r="AC853" s="8"/>
      <c r="AD853" s="8"/>
      <c r="AE853" s="8"/>
      <c r="AK853" s="5" t="str">
        <f t="shared" si="290"/>
        <v/>
      </c>
      <c r="AL853" s="5" t="str">
        <f t="shared" si="291"/>
        <v/>
      </c>
      <c r="AM853" s="5" t="str">
        <f t="shared" si="292"/>
        <v/>
      </c>
      <c r="AN853" s="5" t="str">
        <f t="shared" si="293"/>
        <v/>
      </c>
      <c r="AO853" s="5" t="str">
        <f t="shared" si="294"/>
        <v/>
      </c>
      <c r="AP853" s="5" t="str">
        <f t="shared" si="295"/>
        <v/>
      </c>
      <c r="AQ853" s="5" t="str">
        <f t="shared" si="296"/>
        <v/>
      </c>
      <c r="AR853" s="5" t="str">
        <f t="shared" si="297"/>
        <v/>
      </c>
      <c r="AS853" s="5" t="str">
        <f t="shared" si="298"/>
        <v/>
      </c>
      <c r="AT853" s="5" t="str">
        <f t="shared" si="299"/>
        <v/>
      </c>
      <c r="AU853" s="5" t="str">
        <f t="shared" si="300"/>
        <v/>
      </c>
      <c r="AV853" s="5" t="str">
        <f t="shared" si="301"/>
        <v/>
      </c>
      <c r="AW853" s="5" t="str">
        <f t="shared" si="302"/>
        <v/>
      </c>
      <c r="AX853" s="5" t="str">
        <f t="shared" si="303"/>
        <v/>
      </c>
      <c r="AY853" s="5" t="str">
        <f t="shared" si="304"/>
        <v/>
      </c>
      <c r="AZ853" s="5" t="str">
        <f t="shared" si="305"/>
        <v/>
      </c>
      <c r="BA853" s="5" t="str">
        <f t="shared" si="306"/>
        <v/>
      </c>
      <c r="BB853" s="5" t="str">
        <f t="shared" si="307"/>
        <v/>
      </c>
    </row>
    <row r="854" spans="1:54" s="5" customFormat="1" hidden="1">
      <c r="A854" s="8" t="str">
        <f>IF(INDEX(FORM!$A:$A,ROW())="","",ROW()-1)</f>
        <v/>
      </c>
      <c r="B854" s="41" t="str">
        <f>IF($A854="","",INDEX(FORM!$A:$A,ROW()))</f>
        <v/>
      </c>
      <c r="C854" s="8" t="str">
        <f>IF($A854="","",TRIM(INDEX(FORM!$B:$B,ROW())))</f>
        <v/>
      </c>
      <c r="D854" s="8" t="str">
        <f>IF($A854="","",TRIM(INDEX(FORM!$C:$C,ROW())&amp;""))</f>
        <v/>
      </c>
      <c r="E854" s="8" t="str">
        <f>IF($A854="","",UPPER(TRIM(INDEX(FORM!$D:$D,ROW()))))</f>
        <v/>
      </c>
      <c r="F854" s="8" t="str">
        <f>IF($A854="","",IFERROR(INDEX(PROGRES!$A$2:$A$92,MATCH(E854,PROGRES!$B$2:$B$92,0)),"-"))</f>
        <v/>
      </c>
      <c r="G854" s="8" t="str">
        <f>IF($A854="","",UPPER(TRIM(INDEX(FORM!$F:$F,ROW()))))</f>
        <v/>
      </c>
      <c r="H854" s="8" t="str">
        <f>IF($A854="","",UPPER(TRIM(INDEX(FORM!$E:$E,ROW()))))</f>
        <v/>
      </c>
      <c r="I854" s="8" t="str">
        <f>IF($A854="","",UPPER(TRIM(INDEX(FORM!$G:$G,ROW()))))</f>
        <v/>
      </c>
      <c r="J854" s="8" t="str">
        <f>IF($A854="","",IF(ISNUMBER(SEARCH("Ya,",INDEX(FORM!$H:$H,ROW()))),"YA",IF(ISNUMBER(SEARCH("Cukup,",INDEX(FORM!$H:$H,ROW()))),"CUKUP",IF(ISNUMBER(SEARCH("Kurang,",INDEX(FORM!$H:$H,ROW()))),"KURANG",""))))</f>
        <v/>
      </c>
      <c r="K854" s="8" t="str">
        <f>IF($A854="","",UPPER(TRIM(INDEX(FORM!$J:$J,ROW()))))</f>
        <v/>
      </c>
      <c r="L854" s="8" t="str">
        <f>IF($A854="","",IF(ISNUMBER(SEARCH("Aktivitas Harian",INDEX(FORM!$K:$K,ROW()))),1,0))</f>
        <v/>
      </c>
      <c r="M854" s="8" t="str">
        <f>IF($A854="","",IF(ISNUMBER(SEARCH("Aktivitas Mingguan",INDEX(FORM!$K:$K,ROW()))),1,0))</f>
        <v/>
      </c>
      <c r="N854" s="8" t="str">
        <f>IF($A854="","",IF(ISNUMBER(SEARCH("Aktivitas Bulanan",INDEX(FORM!$K:$K,ROW()))),1,0))</f>
        <v/>
      </c>
      <c r="O854" s="8" t="str">
        <f>IF($A854="","",IF(ISNUMBER(SEARCH("Overview Cabang",INDEX(FORM!$K:$K,ROW()))),1,0))</f>
        <v/>
      </c>
      <c r="P854" s="8" t="str">
        <f>IF($A854="","",IFERROR(VLOOKUP(I854,DATA!$AH$9:$AI$13,2,0),""))</f>
        <v/>
      </c>
      <c r="Q854" s="8" t="str">
        <f>IF($A854="","",IFERROR(VLOOKUP(J854,DATA!$AH$9:$AI$13,2,0),""))</f>
        <v/>
      </c>
      <c r="R854" s="8" t="str">
        <f>IF($A854="","",IFERROR(VLOOKUP(K854,DATA!$AH$9:$AI$13,2,0),""))</f>
        <v/>
      </c>
      <c r="S854" s="42" t="str">
        <f t="shared" si="286"/>
        <v/>
      </c>
      <c r="T854" s="8" t="str">
        <f>IF($A854="","",IF(COUNTIF($D$2:D854,D854)=1,1,0))</f>
        <v/>
      </c>
      <c r="U854" s="8" t="str">
        <f>IF($A854="","",IF(F854="-","Cabang tdk ada",IF(IFERROR(VLOOKUP(G854,#REF!,1,0),"")="","",IF(INDEX(DATA!$AH$2:$AH$5,MATCH(G854,DATA!$AI$2:$AI$5,0))&lt;&gt;F854,"Wilayah beda","OK"))))</f>
        <v/>
      </c>
      <c r="V854" s="8" t="str">
        <f>IF($A854="","",TRIM(INDEX(FORM!$I:$I,ROW())&amp;""))</f>
        <v/>
      </c>
      <c r="W854" s="8" t="str">
        <f>IF($A854="","",TRIM(INDEX(FORM!$L:$L,ROW())&amp;""))</f>
        <v/>
      </c>
      <c r="X854" s="8" t="str">
        <f>IF($A854="","",TRIM(INDEX(FORM!$M:$M,ROW())&amp;""))</f>
        <v/>
      </c>
      <c r="Y854" s="8" t="str">
        <f>IF($A854="","",IFERROR(MATCH(F854,DATA!$AH$2:$AH$5,0),9)*10000+A854)</f>
        <v/>
      </c>
      <c r="Z854" s="8" t="str">
        <f t="shared" si="287"/>
        <v/>
      </c>
      <c r="AA854" s="8" t="str">
        <f t="shared" si="288"/>
        <v/>
      </c>
      <c r="AB854" s="8" t="str">
        <f t="shared" si="289"/>
        <v/>
      </c>
      <c r="AC854" s="8"/>
      <c r="AD854" s="8"/>
      <c r="AE854" s="8"/>
      <c r="AK854" s="5" t="str">
        <f t="shared" si="290"/>
        <v/>
      </c>
      <c r="AL854" s="5" t="str">
        <f t="shared" si="291"/>
        <v/>
      </c>
      <c r="AM854" s="5" t="str">
        <f t="shared" si="292"/>
        <v/>
      </c>
      <c r="AN854" s="5" t="str">
        <f t="shared" si="293"/>
        <v/>
      </c>
      <c r="AO854" s="5" t="str">
        <f t="shared" si="294"/>
        <v/>
      </c>
      <c r="AP854" s="5" t="str">
        <f t="shared" si="295"/>
        <v/>
      </c>
      <c r="AQ854" s="5" t="str">
        <f t="shared" si="296"/>
        <v/>
      </c>
      <c r="AR854" s="5" t="str">
        <f t="shared" si="297"/>
        <v/>
      </c>
      <c r="AS854" s="5" t="str">
        <f t="shared" si="298"/>
        <v/>
      </c>
      <c r="AT854" s="5" t="str">
        <f t="shared" si="299"/>
        <v/>
      </c>
      <c r="AU854" s="5" t="str">
        <f t="shared" si="300"/>
        <v/>
      </c>
      <c r="AV854" s="5" t="str">
        <f t="shared" si="301"/>
        <v/>
      </c>
      <c r="AW854" s="5" t="str">
        <f t="shared" si="302"/>
        <v/>
      </c>
      <c r="AX854" s="5" t="str">
        <f t="shared" si="303"/>
        <v/>
      </c>
      <c r="AY854" s="5" t="str">
        <f t="shared" si="304"/>
        <v/>
      </c>
      <c r="AZ854" s="5" t="str">
        <f t="shared" si="305"/>
        <v/>
      </c>
      <c r="BA854" s="5" t="str">
        <f t="shared" si="306"/>
        <v/>
      </c>
      <c r="BB854" s="5" t="str">
        <f t="shared" si="307"/>
        <v/>
      </c>
    </row>
    <row r="855" spans="1:54" s="5" customFormat="1" hidden="1">
      <c r="A855" s="8" t="str">
        <f>IF(INDEX(FORM!$A:$A,ROW())="","",ROW()-1)</f>
        <v/>
      </c>
      <c r="B855" s="41" t="str">
        <f>IF($A855="","",INDEX(FORM!$A:$A,ROW()))</f>
        <v/>
      </c>
      <c r="C855" s="8" t="str">
        <f>IF($A855="","",TRIM(INDEX(FORM!$B:$B,ROW())))</f>
        <v/>
      </c>
      <c r="D855" s="8" t="str">
        <f>IF($A855="","",TRIM(INDEX(FORM!$C:$C,ROW())&amp;""))</f>
        <v/>
      </c>
      <c r="E855" s="8" t="str">
        <f>IF($A855="","",UPPER(TRIM(INDEX(FORM!$D:$D,ROW()))))</f>
        <v/>
      </c>
      <c r="F855" s="8" t="str">
        <f>IF($A855="","",IFERROR(INDEX(PROGRES!$A$2:$A$92,MATCH(E855,PROGRES!$B$2:$B$92,0)),"-"))</f>
        <v/>
      </c>
      <c r="G855" s="8" t="str">
        <f>IF($A855="","",UPPER(TRIM(INDEX(FORM!$F:$F,ROW()))))</f>
        <v/>
      </c>
      <c r="H855" s="8" t="str">
        <f>IF($A855="","",UPPER(TRIM(INDEX(FORM!$E:$E,ROW()))))</f>
        <v/>
      </c>
      <c r="I855" s="8" t="str">
        <f>IF($A855="","",UPPER(TRIM(INDEX(FORM!$G:$G,ROW()))))</f>
        <v/>
      </c>
      <c r="J855" s="8" t="str">
        <f>IF($A855="","",IF(ISNUMBER(SEARCH("Ya,",INDEX(FORM!$H:$H,ROW()))),"YA",IF(ISNUMBER(SEARCH("Cukup,",INDEX(FORM!$H:$H,ROW()))),"CUKUP",IF(ISNUMBER(SEARCH("Kurang,",INDEX(FORM!$H:$H,ROW()))),"KURANG",""))))</f>
        <v/>
      </c>
      <c r="K855" s="8" t="str">
        <f>IF($A855="","",UPPER(TRIM(INDEX(FORM!$J:$J,ROW()))))</f>
        <v/>
      </c>
      <c r="L855" s="8" t="str">
        <f>IF($A855="","",IF(ISNUMBER(SEARCH("Aktivitas Harian",INDEX(FORM!$K:$K,ROW()))),1,0))</f>
        <v/>
      </c>
      <c r="M855" s="8" t="str">
        <f>IF($A855="","",IF(ISNUMBER(SEARCH("Aktivitas Mingguan",INDEX(FORM!$K:$K,ROW()))),1,0))</f>
        <v/>
      </c>
      <c r="N855" s="8" t="str">
        <f>IF($A855="","",IF(ISNUMBER(SEARCH("Aktivitas Bulanan",INDEX(FORM!$K:$K,ROW()))),1,0))</f>
        <v/>
      </c>
      <c r="O855" s="8" t="str">
        <f>IF($A855="","",IF(ISNUMBER(SEARCH("Overview Cabang",INDEX(FORM!$K:$K,ROW()))),1,0))</f>
        <v/>
      </c>
      <c r="P855" s="8" t="str">
        <f>IF($A855="","",IFERROR(VLOOKUP(I855,DATA!$AH$9:$AI$13,2,0),""))</f>
        <v/>
      </c>
      <c r="Q855" s="8" t="str">
        <f>IF($A855="","",IFERROR(VLOOKUP(J855,DATA!$AH$9:$AI$13,2,0),""))</f>
        <v/>
      </c>
      <c r="R855" s="8" t="str">
        <f>IF($A855="","",IFERROR(VLOOKUP(K855,DATA!$AH$9:$AI$13,2,0),""))</f>
        <v/>
      </c>
      <c r="S855" s="42" t="str">
        <f t="shared" si="286"/>
        <v/>
      </c>
      <c r="T855" s="8" t="str">
        <f>IF($A855="","",IF(COUNTIF($D$2:D855,D855)=1,1,0))</f>
        <v/>
      </c>
      <c r="U855" s="8" t="str">
        <f>IF($A855="","",IF(F855="-","Cabang tdk ada",IF(IFERROR(VLOOKUP(G855,#REF!,1,0),"")="","",IF(INDEX(DATA!$AH$2:$AH$5,MATCH(G855,DATA!$AI$2:$AI$5,0))&lt;&gt;F855,"Wilayah beda","OK"))))</f>
        <v/>
      </c>
      <c r="V855" s="8" t="str">
        <f>IF($A855="","",TRIM(INDEX(FORM!$I:$I,ROW())&amp;""))</f>
        <v/>
      </c>
      <c r="W855" s="8" t="str">
        <f>IF($A855="","",TRIM(INDEX(FORM!$L:$L,ROW())&amp;""))</f>
        <v/>
      </c>
      <c r="X855" s="8" t="str">
        <f>IF($A855="","",TRIM(INDEX(FORM!$M:$M,ROW())&amp;""))</f>
        <v/>
      </c>
      <c r="Y855" s="8" t="str">
        <f>IF($A855="","",IFERROR(MATCH(F855,DATA!$AH$2:$AH$5,0),9)*10000+A855)</f>
        <v/>
      </c>
      <c r="Z855" s="8" t="str">
        <f t="shared" si="287"/>
        <v/>
      </c>
      <c r="AA855" s="8" t="str">
        <f t="shared" si="288"/>
        <v/>
      </c>
      <c r="AB855" s="8" t="str">
        <f t="shared" si="289"/>
        <v/>
      </c>
      <c r="AC855" s="8"/>
      <c r="AD855" s="8"/>
      <c r="AE855" s="8"/>
      <c r="AK855" s="5" t="str">
        <f t="shared" si="290"/>
        <v/>
      </c>
      <c r="AL855" s="5" t="str">
        <f t="shared" si="291"/>
        <v/>
      </c>
      <c r="AM855" s="5" t="str">
        <f t="shared" si="292"/>
        <v/>
      </c>
      <c r="AN855" s="5" t="str">
        <f t="shared" si="293"/>
        <v/>
      </c>
      <c r="AO855" s="5" t="str">
        <f t="shared" si="294"/>
        <v/>
      </c>
      <c r="AP855" s="5" t="str">
        <f t="shared" si="295"/>
        <v/>
      </c>
      <c r="AQ855" s="5" t="str">
        <f t="shared" si="296"/>
        <v/>
      </c>
      <c r="AR855" s="5" t="str">
        <f t="shared" si="297"/>
        <v/>
      </c>
      <c r="AS855" s="5" t="str">
        <f t="shared" si="298"/>
        <v/>
      </c>
      <c r="AT855" s="5" t="str">
        <f t="shared" si="299"/>
        <v/>
      </c>
      <c r="AU855" s="5" t="str">
        <f t="shared" si="300"/>
        <v/>
      </c>
      <c r="AV855" s="5" t="str">
        <f t="shared" si="301"/>
        <v/>
      </c>
      <c r="AW855" s="5" t="str">
        <f t="shared" si="302"/>
        <v/>
      </c>
      <c r="AX855" s="5" t="str">
        <f t="shared" si="303"/>
        <v/>
      </c>
      <c r="AY855" s="5" t="str">
        <f t="shared" si="304"/>
        <v/>
      </c>
      <c r="AZ855" s="5" t="str">
        <f t="shared" si="305"/>
        <v/>
      </c>
      <c r="BA855" s="5" t="str">
        <f t="shared" si="306"/>
        <v/>
      </c>
      <c r="BB855" s="5" t="str">
        <f t="shared" si="307"/>
        <v/>
      </c>
    </row>
    <row r="856" spans="1:54" s="5" customFormat="1" hidden="1">
      <c r="A856" s="8" t="str">
        <f>IF(INDEX(FORM!$A:$A,ROW())="","",ROW()-1)</f>
        <v/>
      </c>
      <c r="B856" s="41" t="str">
        <f>IF($A856="","",INDEX(FORM!$A:$A,ROW()))</f>
        <v/>
      </c>
      <c r="C856" s="8" t="str">
        <f>IF($A856="","",TRIM(INDEX(FORM!$B:$B,ROW())))</f>
        <v/>
      </c>
      <c r="D856" s="8" t="str">
        <f>IF($A856="","",TRIM(INDEX(FORM!$C:$C,ROW())&amp;""))</f>
        <v/>
      </c>
      <c r="E856" s="8" t="str">
        <f>IF($A856="","",UPPER(TRIM(INDEX(FORM!$D:$D,ROW()))))</f>
        <v/>
      </c>
      <c r="F856" s="8" t="str">
        <f>IF($A856="","",IFERROR(INDEX(PROGRES!$A$2:$A$92,MATCH(E856,PROGRES!$B$2:$B$92,0)),"-"))</f>
        <v/>
      </c>
      <c r="G856" s="8" t="str">
        <f>IF($A856="","",UPPER(TRIM(INDEX(FORM!$F:$F,ROW()))))</f>
        <v/>
      </c>
      <c r="H856" s="8" t="str">
        <f>IF($A856="","",UPPER(TRIM(INDEX(FORM!$E:$E,ROW()))))</f>
        <v/>
      </c>
      <c r="I856" s="8" t="str">
        <f>IF($A856="","",UPPER(TRIM(INDEX(FORM!$G:$G,ROW()))))</f>
        <v/>
      </c>
      <c r="J856" s="8" t="str">
        <f>IF($A856="","",IF(ISNUMBER(SEARCH("Ya,",INDEX(FORM!$H:$H,ROW()))),"YA",IF(ISNUMBER(SEARCH("Cukup,",INDEX(FORM!$H:$H,ROW()))),"CUKUP",IF(ISNUMBER(SEARCH("Kurang,",INDEX(FORM!$H:$H,ROW()))),"KURANG",""))))</f>
        <v/>
      </c>
      <c r="K856" s="8" t="str">
        <f>IF($A856="","",UPPER(TRIM(INDEX(FORM!$J:$J,ROW()))))</f>
        <v/>
      </c>
      <c r="L856" s="8" t="str">
        <f>IF($A856="","",IF(ISNUMBER(SEARCH("Aktivitas Harian",INDEX(FORM!$K:$K,ROW()))),1,0))</f>
        <v/>
      </c>
      <c r="M856" s="8" t="str">
        <f>IF($A856="","",IF(ISNUMBER(SEARCH("Aktivitas Mingguan",INDEX(FORM!$K:$K,ROW()))),1,0))</f>
        <v/>
      </c>
      <c r="N856" s="8" t="str">
        <f>IF($A856="","",IF(ISNUMBER(SEARCH("Aktivitas Bulanan",INDEX(FORM!$K:$K,ROW()))),1,0))</f>
        <v/>
      </c>
      <c r="O856" s="8" t="str">
        <f>IF($A856="","",IF(ISNUMBER(SEARCH("Overview Cabang",INDEX(FORM!$K:$K,ROW()))),1,0))</f>
        <v/>
      </c>
      <c r="P856" s="8" t="str">
        <f>IF($A856="","",IFERROR(VLOOKUP(I856,DATA!$AH$9:$AI$13,2,0),""))</f>
        <v/>
      </c>
      <c r="Q856" s="8" t="str">
        <f>IF($A856="","",IFERROR(VLOOKUP(J856,DATA!$AH$9:$AI$13,2,0),""))</f>
        <v/>
      </c>
      <c r="R856" s="8" t="str">
        <f>IF($A856="","",IFERROR(VLOOKUP(K856,DATA!$AH$9:$AI$13,2,0),""))</f>
        <v/>
      </c>
      <c r="S856" s="42" t="str">
        <f t="shared" si="286"/>
        <v/>
      </c>
      <c r="T856" s="8" t="str">
        <f>IF($A856="","",IF(COUNTIF($D$2:D856,D856)=1,1,0))</f>
        <v/>
      </c>
      <c r="U856" s="8" t="str">
        <f>IF($A856="","",IF(F856="-","Cabang tdk ada",IF(IFERROR(VLOOKUP(G856,#REF!,1,0),"")="","",IF(INDEX(DATA!$AH$2:$AH$5,MATCH(G856,DATA!$AI$2:$AI$5,0))&lt;&gt;F856,"Wilayah beda","OK"))))</f>
        <v/>
      </c>
      <c r="V856" s="8" t="str">
        <f>IF($A856="","",TRIM(INDEX(FORM!$I:$I,ROW())&amp;""))</f>
        <v/>
      </c>
      <c r="W856" s="8" t="str">
        <f>IF($A856="","",TRIM(INDEX(FORM!$L:$L,ROW())&amp;""))</f>
        <v/>
      </c>
      <c r="X856" s="8" t="str">
        <f>IF($A856="","",TRIM(INDEX(FORM!$M:$M,ROW())&amp;""))</f>
        <v/>
      </c>
      <c r="Y856" s="8" t="str">
        <f>IF($A856="","",IFERROR(MATCH(F856,DATA!$AH$2:$AH$5,0),9)*10000+A856)</f>
        <v/>
      </c>
      <c r="Z856" s="8" t="str">
        <f t="shared" si="287"/>
        <v/>
      </c>
      <c r="AA856" s="8" t="str">
        <f t="shared" si="288"/>
        <v/>
      </c>
      <c r="AB856" s="8" t="str">
        <f t="shared" si="289"/>
        <v/>
      </c>
      <c r="AC856" s="8"/>
      <c r="AD856" s="8"/>
      <c r="AE856" s="8"/>
      <c r="AK856" s="5" t="str">
        <f t="shared" si="290"/>
        <v/>
      </c>
      <c r="AL856" s="5" t="str">
        <f t="shared" si="291"/>
        <v/>
      </c>
      <c r="AM856" s="5" t="str">
        <f t="shared" si="292"/>
        <v/>
      </c>
      <c r="AN856" s="5" t="str">
        <f t="shared" si="293"/>
        <v/>
      </c>
      <c r="AO856" s="5" t="str">
        <f t="shared" si="294"/>
        <v/>
      </c>
      <c r="AP856" s="5" t="str">
        <f t="shared" si="295"/>
        <v/>
      </c>
      <c r="AQ856" s="5" t="str">
        <f t="shared" si="296"/>
        <v/>
      </c>
      <c r="AR856" s="5" t="str">
        <f t="shared" si="297"/>
        <v/>
      </c>
      <c r="AS856" s="5" t="str">
        <f t="shared" si="298"/>
        <v/>
      </c>
      <c r="AT856" s="5" t="str">
        <f t="shared" si="299"/>
        <v/>
      </c>
      <c r="AU856" s="5" t="str">
        <f t="shared" si="300"/>
        <v/>
      </c>
      <c r="AV856" s="5" t="str">
        <f t="shared" si="301"/>
        <v/>
      </c>
      <c r="AW856" s="5" t="str">
        <f t="shared" si="302"/>
        <v/>
      </c>
      <c r="AX856" s="5" t="str">
        <f t="shared" si="303"/>
        <v/>
      </c>
      <c r="AY856" s="5" t="str">
        <f t="shared" si="304"/>
        <v/>
      </c>
      <c r="AZ856" s="5" t="str">
        <f t="shared" si="305"/>
        <v/>
      </c>
      <c r="BA856" s="5" t="str">
        <f t="shared" si="306"/>
        <v/>
      </c>
      <c r="BB856" s="5" t="str">
        <f t="shared" si="307"/>
        <v/>
      </c>
    </row>
    <row r="857" spans="1:54" s="5" customFormat="1" hidden="1">
      <c r="A857" s="8" t="str">
        <f>IF(INDEX(FORM!$A:$A,ROW())="","",ROW()-1)</f>
        <v/>
      </c>
      <c r="B857" s="41" t="str">
        <f>IF($A857="","",INDEX(FORM!$A:$A,ROW()))</f>
        <v/>
      </c>
      <c r="C857" s="8" t="str">
        <f>IF($A857="","",TRIM(INDEX(FORM!$B:$B,ROW())))</f>
        <v/>
      </c>
      <c r="D857" s="8" t="str">
        <f>IF($A857="","",TRIM(INDEX(FORM!$C:$C,ROW())&amp;""))</f>
        <v/>
      </c>
      <c r="E857" s="8" t="str">
        <f>IF($A857="","",UPPER(TRIM(INDEX(FORM!$D:$D,ROW()))))</f>
        <v/>
      </c>
      <c r="F857" s="8" t="str">
        <f>IF($A857="","",IFERROR(INDEX(PROGRES!$A$2:$A$92,MATCH(E857,PROGRES!$B$2:$B$92,0)),"-"))</f>
        <v/>
      </c>
      <c r="G857" s="8" t="str">
        <f>IF($A857="","",UPPER(TRIM(INDEX(FORM!$F:$F,ROW()))))</f>
        <v/>
      </c>
      <c r="H857" s="8" t="str">
        <f>IF($A857="","",UPPER(TRIM(INDEX(FORM!$E:$E,ROW()))))</f>
        <v/>
      </c>
      <c r="I857" s="8" t="str">
        <f>IF($A857="","",UPPER(TRIM(INDEX(FORM!$G:$G,ROW()))))</f>
        <v/>
      </c>
      <c r="J857" s="8" t="str">
        <f>IF($A857="","",IF(ISNUMBER(SEARCH("Ya,",INDEX(FORM!$H:$H,ROW()))),"YA",IF(ISNUMBER(SEARCH("Cukup,",INDEX(FORM!$H:$H,ROW()))),"CUKUP",IF(ISNUMBER(SEARCH("Kurang,",INDEX(FORM!$H:$H,ROW()))),"KURANG",""))))</f>
        <v/>
      </c>
      <c r="K857" s="8" t="str">
        <f>IF($A857="","",UPPER(TRIM(INDEX(FORM!$J:$J,ROW()))))</f>
        <v/>
      </c>
      <c r="L857" s="8" t="str">
        <f>IF($A857="","",IF(ISNUMBER(SEARCH("Aktivitas Harian",INDEX(FORM!$K:$K,ROW()))),1,0))</f>
        <v/>
      </c>
      <c r="M857" s="8" t="str">
        <f>IF($A857="","",IF(ISNUMBER(SEARCH("Aktivitas Mingguan",INDEX(FORM!$K:$K,ROW()))),1,0))</f>
        <v/>
      </c>
      <c r="N857" s="8" t="str">
        <f>IF($A857="","",IF(ISNUMBER(SEARCH("Aktivitas Bulanan",INDEX(FORM!$K:$K,ROW()))),1,0))</f>
        <v/>
      </c>
      <c r="O857" s="8" t="str">
        <f>IF($A857="","",IF(ISNUMBER(SEARCH("Overview Cabang",INDEX(FORM!$K:$K,ROW()))),1,0))</f>
        <v/>
      </c>
      <c r="P857" s="8" t="str">
        <f>IF($A857="","",IFERROR(VLOOKUP(I857,DATA!$AH$9:$AI$13,2,0),""))</f>
        <v/>
      </c>
      <c r="Q857" s="8" t="str">
        <f>IF($A857="","",IFERROR(VLOOKUP(J857,DATA!$AH$9:$AI$13,2,0),""))</f>
        <v/>
      </c>
      <c r="R857" s="8" t="str">
        <f>IF($A857="","",IFERROR(VLOOKUP(K857,DATA!$AH$9:$AI$13,2,0),""))</f>
        <v/>
      </c>
      <c r="S857" s="42" t="str">
        <f t="shared" si="286"/>
        <v/>
      </c>
      <c r="T857" s="8" t="str">
        <f>IF($A857="","",IF(COUNTIF($D$2:D857,D857)=1,1,0))</f>
        <v/>
      </c>
      <c r="U857" s="8" t="str">
        <f>IF($A857="","",IF(F857="-","Cabang tdk ada",IF(IFERROR(VLOOKUP(G857,#REF!,1,0),"")="","",IF(INDEX(DATA!$AH$2:$AH$5,MATCH(G857,DATA!$AI$2:$AI$5,0))&lt;&gt;F857,"Wilayah beda","OK"))))</f>
        <v/>
      </c>
      <c r="V857" s="8" t="str">
        <f>IF($A857="","",TRIM(INDEX(FORM!$I:$I,ROW())&amp;""))</f>
        <v/>
      </c>
      <c r="W857" s="8" t="str">
        <f>IF($A857="","",TRIM(INDEX(FORM!$L:$L,ROW())&amp;""))</f>
        <v/>
      </c>
      <c r="X857" s="8" t="str">
        <f>IF($A857="","",TRIM(INDEX(FORM!$M:$M,ROW())&amp;""))</f>
        <v/>
      </c>
      <c r="Y857" s="8" t="str">
        <f>IF($A857="","",IFERROR(MATCH(F857,DATA!$AH$2:$AH$5,0),9)*10000+A857)</f>
        <v/>
      </c>
      <c r="Z857" s="8" t="str">
        <f t="shared" si="287"/>
        <v/>
      </c>
      <c r="AA857" s="8" t="str">
        <f t="shared" si="288"/>
        <v/>
      </c>
      <c r="AB857" s="8" t="str">
        <f t="shared" si="289"/>
        <v/>
      </c>
      <c r="AC857" s="8"/>
      <c r="AD857" s="8"/>
      <c r="AE857" s="8"/>
      <c r="AK857" s="5" t="str">
        <f t="shared" si="290"/>
        <v/>
      </c>
      <c r="AL857" s="5" t="str">
        <f t="shared" si="291"/>
        <v/>
      </c>
      <c r="AM857" s="5" t="str">
        <f t="shared" si="292"/>
        <v/>
      </c>
      <c r="AN857" s="5" t="str">
        <f t="shared" si="293"/>
        <v/>
      </c>
      <c r="AO857" s="5" t="str">
        <f t="shared" si="294"/>
        <v/>
      </c>
      <c r="AP857" s="5" t="str">
        <f t="shared" si="295"/>
        <v/>
      </c>
      <c r="AQ857" s="5" t="str">
        <f t="shared" si="296"/>
        <v/>
      </c>
      <c r="AR857" s="5" t="str">
        <f t="shared" si="297"/>
        <v/>
      </c>
      <c r="AS857" s="5" t="str">
        <f t="shared" si="298"/>
        <v/>
      </c>
      <c r="AT857" s="5" t="str">
        <f t="shared" si="299"/>
        <v/>
      </c>
      <c r="AU857" s="5" t="str">
        <f t="shared" si="300"/>
        <v/>
      </c>
      <c r="AV857" s="5" t="str">
        <f t="shared" si="301"/>
        <v/>
      </c>
      <c r="AW857" s="5" t="str">
        <f t="shared" si="302"/>
        <v/>
      </c>
      <c r="AX857" s="5" t="str">
        <f t="shared" si="303"/>
        <v/>
      </c>
      <c r="AY857" s="5" t="str">
        <f t="shared" si="304"/>
        <v/>
      </c>
      <c r="AZ857" s="5" t="str">
        <f t="shared" si="305"/>
        <v/>
      </c>
      <c r="BA857" s="5" t="str">
        <f t="shared" si="306"/>
        <v/>
      </c>
      <c r="BB857" s="5" t="str">
        <f t="shared" si="307"/>
        <v/>
      </c>
    </row>
    <row r="858" spans="1:54" s="5" customFormat="1" hidden="1">
      <c r="A858" s="8" t="str">
        <f>IF(INDEX(FORM!$A:$A,ROW())="","",ROW()-1)</f>
        <v/>
      </c>
      <c r="B858" s="41" t="str">
        <f>IF($A858="","",INDEX(FORM!$A:$A,ROW()))</f>
        <v/>
      </c>
      <c r="C858" s="8" t="str">
        <f>IF($A858="","",TRIM(INDEX(FORM!$B:$B,ROW())))</f>
        <v/>
      </c>
      <c r="D858" s="8" t="str">
        <f>IF($A858="","",TRIM(INDEX(FORM!$C:$C,ROW())&amp;""))</f>
        <v/>
      </c>
      <c r="E858" s="8" t="str">
        <f>IF($A858="","",UPPER(TRIM(INDEX(FORM!$D:$D,ROW()))))</f>
        <v/>
      </c>
      <c r="F858" s="8" t="str">
        <f>IF($A858="","",IFERROR(INDEX(PROGRES!$A$2:$A$92,MATCH(E858,PROGRES!$B$2:$B$92,0)),"-"))</f>
        <v/>
      </c>
      <c r="G858" s="8" t="str">
        <f>IF($A858="","",UPPER(TRIM(INDEX(FORM!$F:$F,ROW()))))</f>
        <v/>
      </c>
      <c r="H858" s="8" t="str">
        <f>IF($A858="","",UPPER(TRIM(INDEX(FORM!$E:$E,ROW()))))</f>
        <v/>
      </c>
      <c r="I858" s="8" t="str">
        <f>IF($A858="","",UPPER(TRIM(INDEX(FORM!$G:$G,ROW()))))</f>
        <v/>
      </c>
      <c r="J858" s="8" t="str">
        <f>IF($A858="","",IF(ISNUMBER(SEARCH("Ya,",INDEX(FORM!$H:$H,ROW()))),"YA",IF(ISNUMBER(SEARCH("Cukup,",INDEX(FORM!$H:$H,ROW()))),"CUKUP",IF(ISNUMBER(SEARCH("Kurang,",INDEX(FORM!$H:$H,ROW()))),"KURANG",""))))</f>
        <v/>
      </c>
      <c r="K858" s="8" t="str">
        <f>IF($A858="","",UPPER(TRIM(INDEX(FORM!$J:$J,ROW()))))</f>
        <v/>
      </c>
      <c r="L858" s="8" t="str">
        <f>IF($A858="","",IF(ISNUMBER(SEARCH("Aktivitas Harian",INDEX(FORM!$K:$K,ROW()))),1,0))</f>
        <v/>
      </c>
      <c r="M858" s="8" t="str">
        <f>IF($A858="","",IF(ISNUMBER(SEARCH("Aktivitas Mingguan",INDEX(FORM!$K:$K,ROW()))),1,0))</f>
        <v/>
      </c>
      <c r="N858" s="8" t="str">
        <f>IF($A858="","",IF(ISNUMBER(SEARCH("Aktivitas Bulanan",INDEX(FORM!$K:$K,ROW()))),1,0))</f>
        <v/>
      </c>
      <c r="O858" s="8" t="str">
        <f>IF($A858="","",IF(ISNUMBER(SEARCH("Overview Cabang",INDEX(FORM!$K:$K,ROW()))),1,0))</f>
        <v/>
      </c>
      <c r="P858" s="8" t="str">
        <f>IF($A858="","",IFERROR(VLOOKUP(I858,DATA!$AH$9:$AI$13,2,0),""))</f>
        <v/>
      </c>
      <c r="Q858" s="8" t="str">
        <f>IF($A858="","",IFERROR(VLOOKUP(J858,DATA!$AH$9:$AI$13,2,0),""))</f>
        <v/>
      </c>
      <c r="R858" s="8" t="str">
        <f>IF($A858="","",IFERROR(VLOOKUP(K858,DATA!$AH$9:$AI$13,2,0),""))</f>
        <v/>
      </c>
      <c r="S858" s="42" t="str">
        <f t="shared" si="286"/>
        <v/>
      </c>
      <c r="T858" s="8" t="str">
        <f>IF($A858="","",IF(COUNTIF($D$2:D858,D858)=1,1,0))</f>
        <v/>
      </c>
      <c r="U858" s="8" t="str">
        <f>IF($A858="","",IF(F858="-","Cabang tdk ada",IF(IFERROR(VLOOKUP(G858,#REF!,1,0),"")="","",IF(INDEX(DATA!$AH$2:$AH$5,MATCH(G858,DATA!$AI$2:$AI$5,0))&lt;&gt;F858,"Wilayah beda","OK"))))</f>
        <v/>
      </c>
      <c r="V858" s="8" t="str">
        <f>IF($A858="","",TRIM(INDEX(FORM!$I:$I,ROW())&amp;""))</f>
        <v/>
      </c>
      <c r="W858" s="8" t="str">
        <f>IF($A858="","",TRIM(INDEX(FORM!$L:$L,ROW())&amp;""))</f>
        <v/>
      </c>
      <c r="X858" s="8" t="str">
        <f>IF($A858="","",TRIM(INDEX(FORM!$M:$M,ROW())&amp;""))</f>
        <v/>
      </c>
      <c r="Y858" s="8" t="str">
        <f>IF($A858="","",IFERROR(MATCH(F858,DATA!$AH$2:$AH$5,0),9)*10000+A858)</f>
        <v/>
      </c>
      <c r="Z858" s="8" t="str">
        <f t="shared" si="287"/>
        <v/>
      </c>
      <c r="AA858" s="8" t="str">
        <f t="shared" si="288"/>
        <v/>
      </c>
      <c r="AB858" s="8" t="str">
        <f t="shared" si="289"/>
        <v/>
      </c>
      <c r="AC858" s="8"/>
      <c r="AD858" s="8"/>
      <c r="AE858" s="8"/>
      <c r="AK858" s="5" t="str">
        <f t="shared" si="290"/>
        <v/>
      </c>
      <c r="AL858" s="5" t="str">
        <f t="shared" si="291"/>
        <v/>
      </c>
      <c r="AM858" s="5" t="str">
        <f t="shared" si="292"/>
        <v/>
      </c>
      <c r="AN858" s="5" t="str">
        <f t="shared" si="293"/>
        <v/>
      </c>
      <c r="AO858" s="5" t="str">
        <f t="shared" si="294"/>
        <v/>
      </c>
      <c r="AP858" s="5" t="str">
        <f t="shared" si="295"/>
        <v/>
      </c>
      <c r="AQ858" s="5" t="str">
        <f t="shared" si="296"/>
        <v/>
      </c>
      <c r="AR858" s="5" t="str">
        <f t="shared" si="297"/>
        <v/>
      </c>
      <c r="AS858" s="5" t="str">
        <f t="shared" si="298"/>
        <v/>
      </c>
      <c r="AT858" s="5" t="str">
        <f t="shared" si="299"/>
        <v/>
      </c>
      <c r="AU858" s="5" t="str">
        <f t="shared" si="300"/>
        <v/>
      </c>
      <c r="AV858" s="5" t="str">
        <f t="shared" si="301"/>
        <v/>
      </c>
      <c r="AW858" s="5" t="str">
        <f t="shared" si="302"/>
        <v/>
      </c>
      <c r="AX858" s="5" t="str">
        <f t="shared" si="303"/>
        <v/>
      </c>
      <c r="AY858" s="5" t="str">
        <f t="shared" si="304"/>
        <v/>
      </c>
      <c r="AZ858" s="5" t="str">
        <f t="shared" si="305"/>
        <v/>
      </c>
      <c r="BA858" s="5" t="str">
        <f t="shared" si="306"/>
        <v/>
      </c>
      <c r="BB858" s="5" t="str">
        <f t="shared" si="307"/>
        <v/>
      </c>
    </row>
    <row r="859" spans="1:54" s="5" customFormat="1" hidden="1">
      <c r="A859" s="8" t="str">
        <f>IF(INDEX(FORM!$A:$A,ROW())="","",ROW()-1)</f>
        <v/>
      </c>
      <c r="B859" s="41" t="str">
        <f>IF($A859="","",INDEX(FORM!$A:$A,ROW()))</f>
        <v/>
      </c>
      <c r="C859" s="8" t="str">
        <f>IF($A859="","",TRIM(INDEX(FORM!$B:$B,ROW())))</f>
        <v/>
      </c>
      <c r="D859" s="8" t="str">
        <f>IF($A859="","",TRIM(INDEX(FORM!$C:$C,ROW())&amp;""))</f>
        <v/>
      </c>
      <c r="E859" s="8" t="str">
        <f>IF($A859="","",UPPER(TRIM(INDEX(FORM!$D:$D,ROW()))))</f>
        <v/>
      </c>
      <c r="F859" s="8" t="str">
        <f>IF($A859="","",IFERROR(INDEX(PROGRES!$A$2:$A$92,MATCH(E859,PROGRES!$B$2:$B$92,0)),"-"))</f>
        <v/>
      </c>
      <c r="G859" s="8" t="str">
        <f>IF($A859="","",UPPER(TRIM(INDEX(FORM!$F:$F,ROW()))))</f>
        <v/>
      </c>
      <c r="H859" s="8" t="str">
        <f>IF($A859="","",UPPER(TRIM(INDEX(FORM!$E:$E,ROW()))))</f>
        <v/>
      </c>
      <c r="I859" s="8" t="str">
        <f>IF($A859="","",UPPER(TRIM(INDEX(FORM!$G:$G,ROW()))))</f>
        <v/>
      </c>
      <c r="J859" s="8" t="str">
        <f>IF($A859="","",IF(ISNUMBER(SEARCH("Ya,",INDEX(FORM!$H:$H,ROW()))),"YA",IF(ISNUMBER(SEARCH("Cukup,",INDEX(FORM!$H:$H,ROW()))),"CUKUP",IF(ISNUMBER(SEARCH("Kurang,",INDEX(FORM!$H:$H,ROW()))),"KURANG",""))))</f>
        <v/>
      </c>
      <c r="K859" s="8" t="str">
        <f>IF($A859="","",UPPER(TRIM(INDEX(FORM!$J:$J,ROW()))))</f>
        <v/>
      </c>
      <c r="L859" s="8" t="str">
        <f>IF($A859="","",IF(ISNUMBER(SEARCH("Aktivitas Harian",INDEX(FORM!$K:$K,ROW()))),1,0))</f>
        <v/>
      </c>
      <c r="M859" s="8" t="str">
        <f>IF($A859="","",IF(ISNUMBER(SEARCH("Aktivitas Mingguan",INDEX(FORM!$K:$K,ROW()))),1,0))</f>
        <v/>
      </c>
      <c r="N859" s="8" t="str">
        <f>IF($A859="","",IF(ISNUMBER(SEARCH("Aktivitas Bulanan",INDEX(FORM!$K:$K,ROW()))),1,0))</f>
        <v/>
      </c>
      <c r="O859" s="8" t="str">
        <f>IF($A859="","",IF(ISNUMBER(SEARCH("Overview Cabang",INDEX(FORM!$K:$K,ROW()))),1,0))</f>
        <v/>
      </c>
      <c r="P859" s="8" t="str">
        <f>IF($A859="","",IFERROR(VLOOKUP(I859,DATA!$AH$9:$AI$13,2,0),""))</f>
        <v/>
      </c>
      <c r="Q859" s="8" t="str">
        <f>IF($A859="","",IFERROR(VLOOKUP(J859,DATA!$AH$9:$AI$13,2,0),""))</f>
        <v/>
      </c>
      <c r="R859" s="8" t="str">
        <f>IF($A859="","",IFERROR(VLOOKUP(K859,DATA!$AH$9:$AI$13,2,0),""))</f>
        <v/>
      </c>
      <c r="S859" s="42" t="str">
        <f t="shared" si="286"/>
        <v/>
      </c>
      <c r="T859" s="8" t="str">
        <f>IF($A859="","",IF(COUNTIF($D$2:D859,D859)=1,1,0))</f>
        <v/>
      </c>
      <c r="U859" s="8" t="str">
        <f>IF($A859="","",IF(F859="-","Cabang tdk ada",IF(IFERROR(VLOOKUP(G859,#REF!,1,0),"")="","",IF(INDEX(DATA!$AH$2:$AH$5,MATCH(G859,DATA!$AI$2:$AI$5,0))&lt;&gt;F859,"Wilayah beda","OK"))))</f>
        <v/>
      </c>
      <c r="V859" s="8" t="str">
        <f>IF($A859="","",TRIM(INDEX(FORM!$I:$I,ROW())&amp;""))</f>
        <v/>
      </c>
      <c r="W859" s="8" t="str">
        <f>IF($A859="","",TRIM(INDEX(FORM!$L:$L,ROW())&amp;""))</f>
        <v/>
      </c>
      <c r="X859" s="8" t="str">
        <f>IF($A859="","",TRIM(INDEX(FORM!$M:$M,ROW())&amp;""))</f>
        <v/>
      </c>
      <c r="Y859" s="8" t="str">
        <f>IF($A859="","",IFERROR(MATCH(F859,DATA!$AH$2:$AH$5,0),9)*10000+A859)</f>
        <v/>
      </c>
      <c r="Z859" s="8" t="str">
        <f t="shared" si="287"/>
        <v/>
      </c>
      <c r="AA859" s="8" t="str">
        <f t="shared" si="288"/>
        <v/>
      </c>
      <c r="AB859" s="8" t="str">
        <f t="shared" si="289"/>
        <v/>
      </c>
      <c r="AC859" s="8"/>
      <c r="AD859" s="8"/>
      <c r="AE859" s="8"/>
      <c r="AK859" s="5" t="str">
        <f t="shared" si="290"/>
        <v/>
      </c>
      <c r="AL859" s="5" t="str">
        <f t="shared" si="291"/>
        <v/>
      </c>
      <c r="AM859" s="5" t="str">
        <f t="shared" si="292"/>
        <v/>
      </c>
      <c r="AN859" s="5" t="str">
        <f t="shared" si="293"/>
        <v/>
      </c>
      <c r="AO859" s="5" t="str">
        <f t="shared" si="294"/>
        <v/>
      </c>
      <c r="AP859" s="5" t="str">
        <f t="shared" si="295"/>
        <v/>
      </c>
      <c r="AQ859" s="5" t="str">
        <f t="shared" si="296"/>
        <v/>
      </c>
      <c r="AR859" s="5" t="str">
        <f t="shared" si="297"/>
        <v/>
      </c>
      <c r="AS859" s="5" t="str">
        <f t="shared" si="298"/>
        <v/>
      </c>
      <c r="AT859" s="5" t="str">
        <f t="shared" si="299"/>
        <v/>
      </c>
      <c r="AU859" s="5" t="str">
        <f t="shared" si="300"/>
        <v/>
      </c>
      <c r="AV859" s="5" t="str">
        <f t="shared" si="301"/>
        <v/>
      </c>
      <c r="AW859" s="5" t="str">
        <f t="shared" si="302"/>
        <v/>
      </c>
      <c r="AX859" s="5" t="str">
        <f t="shared" si="303"/>
        <v/>
      </c>
      <c r="AY859" s="5" t="str">
        <f t="shared" si="304"/>
        <v/>
      </c>
      <c r="AZ859" s="5" t="str">
        <f t="shared" si="305"/>
        <v/>
      </c>
      <c r="BA859" s="5" t="str">
        <f t="shared" si="306"/>
        <v/>
      </c>
      <c r="BB859" s="5" t="str">
        <f t="shared" si="307"/>
        <v/>
      </c>
    </row>
    <row r="860" spans="1:54" s="5" customFormat="1" hidden="1">
      <c r="A860" s="8" t="str">
        <f>IF(INDEX(FORM!$A:$A,ROW())="","",ROW()-1)</f>
        <v/>
      </c>
      <c r="B860" s="41" t="str">
        <f>IF($A860="","",INDEX(FORM!$A:$A,ROW()))</f>
        <v/>
      </c>
      <c r="C860" s="8" t="str">
        <f>IF($A860="","",TRIM(INDEX(FORM!$B:$B,ROW())))</f>
        <v/>
      </c>
      <c r="D860" s="8" t="str">
        <f>IF($A860="","",TRIM(INDEX(FORM!$C:$C,ROW())&amp;""))</f>
        <v/>
      </c>
      <c r="E860" s="8" t="str">
        <f>IF($A860="","",UPPER(TRIM(INDEX(FORM!$D:$D,ROW()))))</f>
        <v/>
      </c>
      <c r="F860" s="8" t="str">
        <f>IF($A860="","",IFERROR(INDEX(PROGRES!$A$2:$A$92,MATCH(E860,PROGRES!$B$2:$B$92,0)),"-"))</f>
        <v/>
      </c>
      <c r="G860" s="8" t="str">
        <f>IF($A860="","",UPPER(TRIM(INDEX(FORM!$F:$F,ROW()))))</f>
        <v/>
      </c>
      <c r="H860" s="8" t="str">
        <f>IF($A860="","",UPPER(TRIM(INDEX(FORM!$E:$E,ROW()))))</f>
        <v/>
      </c>
      <c r="I860" s="8" t="str">
        <f>IF($A860="","",UPPER(TRIM(INDEX(FORM!$G:$G,ROW()))))</f>
        <v/>
      </c>
      <c r="J860" s="8" t="str">
        <f>IF($A860="","",IF(ISNUMBER(SEARCH("Ya,",INDEX(FORM!$H:$H,ROW()))),"YA",IF(ISNUMBER(SEARCH("Cukup,",INDEX(FORM!$H:$H,ROW()))),"CUKUP",IF(ISNUMBER(SEARCH("Kurang,",INDEX(FORM!$H:$H,ROW()))),"KURANG",""))))</f>
        <v/>
      </c>
      <c r="K860" s="8" t="str">
        <f>IF($A860="","",UPPER(TRIM(INDEX(FORM!$J:$J,ROW()))))</f>
        <v/>
      </c>
      <c r="L860" s="8" t="str">
        <f>IF($A860="","",IF(ISNUMBER(SEARCH("Aktivitas Harian",INDEX(FORM!$K:$K,ROW()))),1,0))</f>
        <v/>
      </c>
      <c r="M860" s="8" t="str">
        <f>IF($A860="","",IF(ISNUMBER(SEARCH("Aktivitas Mingguan",INDEX(FORM!$K:$K,ROW()))),1,0))</f>
        <v/>
      </c>
      <c r="N860" s="8" t="str">
        <f>IF($A860="","",IF(ISNUMBER(SEARCH("Aktivitas Bulanan",INDEX(FORM!$K:$K,ROW()))),1,0))</f>
        <v/>
      </c>
      <c r="O860" s="8" t="str">
        <f>IF($A860="","",IF(ISNUMBER(SEARCH("Overview Cabang",INDEX(FORM!$K:$K,ROW()))),1,0))</f>
        <v/>
      </c>
      <c r="P860" s="8" t="str">
        <f>IF($A860="","",IFERROR(VLOOKUP(I860,DATA!$AH$9:$AI$13,2,0),""))</f>
        <v/>
      </c>
      <c r="Q860" s="8" t="str">
        <f>IF($A860="","",IFERROR(VLOOKUP(J860,DATA!$AH$9:$AI$13,2,0),""))</f>
        <v/>
      </c>
      <c r="R860" s="8" t="str">
        <f>IF($A860="","",IFERROR(VLOOKUP(K860,DATA!$AH$9:$AI$13,2,0),""))</f>
        <v/>
      </c>
      <c r="S860" s="42" t="str">
        <f t="shared" si="286"/>
        <v/>
      </c>
      <c r="T860" s="8" t="str">
        <f>IF($A860="","",IF(COUNTIF($D$2:D860,D860)=1,1,0))</f>
        <v/>
      </c>
      <c r="U860" s="8" t="str">
        <f>IF($A860="","",IF(F860="-","Cabang tdk ada",IF(IFERROR(VLOOKUP(G860,#REF!,1,0),"")="","",IF(INDEX(DATA!$AH$2:$AH$5,MATCH(G860,DATA!$AI$2:$AI$5,0))&lt;&gt;F860,"Wilayah beda","OK"))))</f>
        <v/>
      </c>
      <c r="V860" s="8" t="str">
        <f>IF($A860="","",TRIM(INDEX(FORM!$I:$I,ROW())&amp;""))</f>
        <v/>
      </c>
      <c r="W860" s="8" t="str">
        <f>IF($A860="","",TRIM(INDEX(FORM!$L:$L,ROW())&amp;""))</f>
        <v/>
      </c>
      <c r="X860" s="8" t="str">
        <f>IF($A860="","",TRIM(INDEX(FORM!$M:$M,ROW())&amp;""))</f>
        <v/>
      </c>
      <c r="Y860" s="8" t="str">
        <f>IF($A860="","",IFERROR(MATCH(F860,DATA!$AH$2:$AH$5,0),9)*10000+A860)</f>
        <v/>
      </c>
      <c r="Z860" s="8" t="str">
        <f t="shared" si="287"/>
        <v/>
      </c>
      <c r="AA860" s="8" t="str">
        <f t="shared" si="288"/>
        <v/>
      </c>
      <c r="AB860" s="8" t="str">
        <f t="shared" si="289"/>
        <v/>
      </c>
      <c r="AC860" s="8"/>
      <c r="AD860" s="8"/>
      <c r="AE860" s="8"/>
      <c r="AK860" s="5" t="str">
        <f t="shared" si="290"/>
        <v/>
      </c>
      <c r="AL860" s="5" t="str">
        <f t="shared" si="291"/>
        <v/>
      </c>
      <c r="AM860" s="5" t="str">
        <f t="shared" si="292"/>
        <v/>
      </c>
      <c r="AN860" s="5" t="str">
        <f t="shared" si="293"/>
        <v/>
      </c>
      <c r="AO860" s="5" t="str">
        <f t="shared" si="294"/>
        <v/>
      </c>
      <c r="AP860" s="5" t="str">
        <f t="shared" si="295"/>
        <v/>
      </c>
      <c r="AQ860" s="5" t="str">
        <f t="shared" si="296"/>
        <v/>
      </c>
      <c r="AR860" s="5" t="str">
        <f t="shared" si="297"/>
        <v/>
      </c>
      <c r="AS860" s="5" t="str">
        <f t="shared" si="298"/>
        <v/>
      </c>
      <c r="AT860" s="5" t="str">
        <f t="shared" si="299"/>
        <v/>
      </c>
      <c r="AU860" s="5" t="str">
        <f t="shared" si="300"/>
        <v/>
      </c>
      <c r="AV860" s="5" t="str">
        <f t="shared" si="301"/>
        <v/>
      </c>
      <c r="AW860" s="5" t="str">
        <f t="shared" si="302"/>
        <v/>
      </c>
      <c r="AX860" s="5" t="str">
        <f t="shared" si="303"/>
        <v/>
      </c>
      <c r="AY860" s="5" t="str">
        <f t="shared" si="304"/>
        <v/>
      </c>
      <c r="AZ860" s="5" t="str">
        <f t="shared" si="305"/>
        <v/>
      </c>
      <c r="BA860" s="5" t="str">
        <f t="shared" si="306"/>
        <v/>
      </c>
      <c r="BB860" s="5" t="str">
        <f t="shared" si="307"/>
        <v/>
      </c>
    </row>
    <row r="861" spans="1:54" s="5" customFormat="1" hidden="1">
      <c r="A861" s="8" t="str">
        <f>IF(INDEX(FORM!$A:$A,ROW())="","",ROW()-1)</f>
        <v/>
      </c>
      <c r="B861" s="41" t="str">
        <f>IF($A861="","",INDEX(FORM!$A:$A,ROW()))</f>
        <v/>
      </c>
      <c r="C861" s="8" t="str">
        <f>IF($A861="","",TRIM(INDEX(FORM!$B:$B,ROW())))</f>
        <v/>
      </c>
      <c r="D861" s="8" t="str">
        <f>IF($A861="","",TRIM(INDEX(FORM!$C:$C,ROW())&amp;""))</f>
        <v/>
      </c>
      <c r="E861" s="8" t="str">
        <f>IF($A861="","",UPPER(TRIM(INDEX(FORM!$D:$D,ROW()))))</f>
        <v/>
      </c>
      <c r="F861" s="8" t="str">
        <f>IF($A861="","",IFERROR(INDEX(PROGRES!$A$2:$A$92,MATCH(E861,PROGRES!$B$2:$B$92,0)),"-"))</f>
        <v/>
      </c>
      <c r="G861" s="8" t="str">
        <f>IF($A861="","",UPPER(TRIM(INDEX(FORM!$F:$F,ROW()))))</f>
        <v/>
      </c>
      <c r="H861" s="8" t="str">
        <f>IF($A861="","",UPPER(TRIM(INDEX(FORM!$E:$E,ROW()))))</f>
        <v/>
      </c>
      <c r="I861" s="8" t="str">
        <f>IF($A861="","",UPPER(TRIM(INDEX(FORM!$G:$G,ROW()))))</f>
        <v/>
      </c>
      <c r="J861" s="8" t="str">
        <f>IF($A861="","",IF(ISNUMBER(SEARCH("Ya,",INDEX(FORM!$H:$H,ROW()))),"YA",IF(ISNUMBER(SEARCH("Cukup,",INDEX(FORM!$H:$H,ROW()))),"CUKUP",IF(ISNUMBER(SEARCH("Kurang,",INDEX(FORM!$H:$H,ROW()))),"KURANG",""))))</f>
        <v/>
      </c>
      <c r="K861" s="8" t="str">
        <f>IF($A861="","",UPPER(TRIM(INDEX(FORM!$J:$J,ROW()))))</f>
        <v/>
      </c>
      <c r="L861" s="8" t="str">
        <f>IF($A861="","",IF(ISNUMBER(SEARCH("Aktivitas Harian",INDEX(FORM!$K:$K,ROW()))),1,0))</f>
        <v/>
      </c>
      <c r="M861" s="8" t="str">
        <f>IF($A861="","",IF(ISNUMBER(SEARCH("Aktivitas Mingguan",INDEX(FORM!$K:$K,ROW()))),1,0))</f>
        <v/>
      </c>
      <c r="N861" s="8" t="str">
        <f>IF($A861="","",IF(ISNUMBER(SEARCH("Aktivitas Bulanan",INDEX(FORM!$K:$K,ROW()))),1,0))</f>
        <v/>
      </c>
      <c r="O861" s="8" t="str">
        <f>IF($A861="","",IF(ISNUMBER(SEARCH("Overview Cabang",INDEX(FORM!$K:$K,ROW()))),1,0))</f>
        <v/>
      </c>
      <c r="P861" s="8" t="str">
        <f>IF($A861="","",IFERROR(VLOOKUP(I861,DATA!$AH$9:$AI$13,2,0),""))</f>
        <v/>
      </c>
      <c r="Q861" s="8" t="str">
        <f>IF($A861="","",IFERROR(VLOOKUP(J861,DATA!$AH$9:$AI$13,2,0),""))</f>
        <v/>
      </c>
      <c r="R861" s="8" t="str">
        <f>IF($A861="","",IFERROR(VLOOKUP(K861,DATA!$AH$9:$AI$13,2,0),""))</f>
        <v/>
      </c>
      <c r="S861" s="42" t="str">
        <f t="shared" si="286"/>
        <v/>
      </c>
      <c r="T861" s="8" t="str">
        <f>IF($A861="","",IF(COUNTIF($D$2:D861,D861)=1,1,0))</f>
        <v/>
      </c>
      <c r="U861" s="8" t="str">
        <f>IF($A861="","",IF(F861="-","Cabang tdk ada",IF(IFERROR(VLOOKUP(G861,#REF!,1,0),"")="","",IF(INDEX(DATA!$AH$2:$AH$5,MATCH(G861,DATA!$AI$2:$AI$5,0))&lt;&gt;F861,"Wilayah beda","OK"))))</f>
        <v/>
      </c>
      <c r="V861" s="8" t="str">
        <f>IF($A861="","",TRIM(INDEX(FORM!$I:$I,ROW())&amp;""))</f>
        <v/>
      </c>
      <c r="W861" s="8" t="str">
        <f>IF($A861="","",TRIM(INDEX(FORM!$L:$L,ROW())&amp;""))</f>
        <v/>
      </c>
      <c r="X861" s="8" t="str">
        <f>IF($A861="","",TRIM(INDEX(FORM!$M:$M,ROW())&amp;""))</f>
        <v/>
      </c>
      <c r="Y861" s="8" t="str">
        <f>IF($A861="","",IFERROR(MATCH(F861,DATA!$AH$2:$AH$5,0),9)*10000+A861)</f>
        <v/>
      </c>
      <c r="Z861" s="8" t="str">
        <f t="shared" si="287"/>
        <v/>
      </c>
      <c r="AA861" s="8" t="str">
        <f t="shared" si="288"/>
        <v/>
      </c>
      <c r="AB861" s="8" t="str">
        <f t="shared" si="289"/>
        <v/>
      </c>
      <c r="AC861" s="8"/>
      <c r="AD861" s="8"/>
      <c r="AE861" s="8"/>
      <c r="AK861" s="5" t="str">
        <f t="shared" si="290"/>
        <v/>
      </c>
      <c r="AL861" s="5" t="str">
        <f t="shared" si="291"/>
        <v/>
      </c>
      <c r="AM861" s="5" t="str">
        <f t="shared" si="292"/>
        <v/>
      </c>
      <c r="AN861" s="5" t="str">
        <f t="shared" si="293"/>
        <v/>
      </c>
      <c r="AO861" s="5" t="str">
        <f t="shared" si="294"/>
        <v/>
      </c>
      <c r="AP861" s="5" t="str">
        <f t="shared" si="295"/>
        <v/>
      </c>
      <c r="AQ861" s="5" t="str">
        <f t="shared" si="296"/>
        <v/>
      </c>
      <c r="AR861" s="5" t="str">
        <f t="shared" si="297"/>
        <v/>
      </c>
      <c r="AS861" s="5" t="str">
        <f t="shared" si="298"/>
        <v/>
      </c>
      <c r="AT861" s="5" t="str">
        <f t="shared" si="299"/>
        <v/>
      </c>
      <c r="AU861" s="5" t="str">
        <f t="shared" si="300"/>
        <v/>
      </c>
      <c r="AV861" s="5" t="str">
        <f t="shared" si="301"/>
        <v/>
      </c>
      <c r="AW861" s="5" t="str">
        <f t="shared" si="302"/>
        <v/>
      </c>
      <c r="AX861" s="5" t="str">
        <f t="shared" si="303"/>
        <v/>
      </c>
      <c r="AY861" s="5" t="str">
        <f t="shared" si="304"/>
        <v/>
      </c>
      <c r="AZ861" s="5" t="str">
        <f t="shared" si="305"/>
        <v/>
      </c>
      <c r="BA861" s="5" t="str">
        <f t="shared" si="306"/>
        <v/>
      </c>
      <c r="BB861" s="5" t="str">
        <f t="shared" si="307"/>
        <v/>
      </c>
    </row>
    <row r="862" spans="1:54" s="5" customFormat="1" hidden="1">
      <c r="A862" s="8" t="str">
        <f>IF(INDEX(FORM!$A:$A,ROW())="","",ROW()-1)</f>
        <v/>
      </c>
      <c r="B862" s="41" t="str">
        <f>IF($A862="","",INDEX(FORM!$A:$A,ROW()))</f>
        <v/>
      </c>
      <c r="C862" s="8" t="str">
        <f>IF($A862="","",TRIM(INDEX(FORM!$B:$B,ROW())))</f>
        <v/>
      </c>
      <c r="D862" s="8" t="str">
        <f>IF($A862="","",TRIM(INDEX(FORM!$C:$C,ROW())&amp;""))</f>
        <v/>
      </c>
      <c r="E862" s="8" t="str">
        <f>IF($A862="","",UPPER(TRIM(INDEX(FORM!$D:$D,ROW()))))</f>
        <v/>
      </c>
      <c r="F862" s="8" t="str">
        <f>IF($A862="","",IFERROR(INDEX(PROGRES!$A$2:$A$92,MATCH(E862,PROGRES!$B$2:$B$92,0)),"-"))</f>
        <v/>
      </c>
      <c r="G862" s="8" t="str">
        <f>IF($A862="","",UPPER(TRIM(INDEX(FORM!$F:$F,ROW()))))</f>
        <v/>
      </c>
      <c r="H862" s="8" t="str">
        <f>IF($A862="","",UPPER(TRIM(INDEX(FORM!$E:$E,ROW()))))</f>
        <v/>
      </c>
      <c r="I862" s="8" t="str">
        <f>IF($A862="","",UPPER(TRIM(INDEX(FORM!$G:$G,ROW()))))</f>
        <v/>
      </c>
      <c r="J862" s="8" t="str">
        <f>IF($A862="","",IF(ISNUMBER(SEARCH("Ya,",INDEX(FORM!$H:$H,ROW()))),"YA",IF(ISNUMBER(SEARCH("Cukup,",INDEX(FORM!$H:$H,ROW()))),"CUKUP",IF(ISNUMBER(SEARCH("Kurang,",INDEX(FORM!$H:$H,ROW()))),"KURANG",""))))</f>
        <v/>
      </c>
      <c r="K862" s="8" t="str">
        <f>IF($A862="","",UPPER(TRIM(INDEX(FORM!$J:$J,ROW()))))</f>
        <v/>
      </c>
      <c r="L862" s="8" t="str">
        <f>IF($A862="","",IF(ISNUMBER(SEARCH("Aktivitas Harian",INDEX(FORM!$K:$K,ROW()))),1,0))</f>
        <v/>
      </c>
      <c r="M862" s="8" t="str">
        <f>IF($A862="","",IF(ISNUMBER(SEARCH("Aktivitas Mingguan",INDEX(FORM!$K:$K,ROW()))),1,0))</f>
        <v/>
      </c>
      <c r="N862" s="8" t="str">
        <f>IF($A862="","",IF(ISNUMBER(SEARCH("Aktivitas Bulanan",INDEX(FORM!$K:$K,ROW()))),1,0))</f>
        <v/>
      </c>
      <c r="O862" s="8" t="str">
        <f>IF($A862="","",IF(ISNUMBER(SEARCH("Overview Cabang",INDEX(FORM!$K:$K,ROW()))),1,0))</f>
        <v/>
      </c>
      <c r="P862" s="8" t="str">
        <f>IF($A862="","",IFERROR(VLOOKUP(I862,DATA!$AH$9:$AI$13,2,0),""))</f>
        <v/>
      </c>
      <c r="Q862" s="8" t="str">
        <f>IF($A862="","",IFERROR(VLOOKUP(J862,DATA!$AH$9:$AI$13,2,0),""))</f>
        <v/>
      </c>
      <c r="R862" s="8" t="str">
        <f>IF($A862="","",IFERROR(VLOOKUP(K862,DATA!$AH$9:$AI$13,2,0),""))</f>
        <v/>
      </c>
      <c r="S862" s="42" t="str">
        <f t="shared" si="286"/>
        <v/>
      </c>
      <c r="T862" s="8" t="str">
        <f>IF($A862="","",IF(COUNTIF($D$2:D862,D862)=1,1,0))</f>
        <v/>
      </c>
      <c r="U862" s="8" t="str">
        <f>IF($A862="","",IF(F862="-","Cabang tdk ada",IF(IFERROR(VLOOKUP(G862,#REF!,1,0),"")="","",IF(INDEX(DATA!$AH$2:$AH$5,MATCH(G862,DATA!$AI$2:$AI$5,0))&lt;&gt;F862,"Wilayah beda","OK"))))</f>
        <v/>
      </c>
      <c r="V862" s="8" t="str">
        <f>IF($A862="","",TRIM(INDEX(FORM!$I:$I,ROW())&amp;""))</f>
        <v/>
      </c>
      <c r="W862" s="8" t="str">
        <f>IF($A862="","",TRIM(INDEX(FORM!$L:$L,ROW())&amp;""))</f>
        <v/>
      </c>
      <c r="X862" s="8" t="str">
        <f>IF($A862="","",TRIM(INDEX(FORM!$M:$M,ROW())&amp;""))</f>
        <v/>
      </c>
      <c r="Y862" s="8" t="str">
        <f>IF($A862="","",IFERROR(MATCH(F862,DATA!$AH$2:$AH$5,0),9)*10000+A862)</f>
        <v/>
      </c>
      <c r="Z862" s="8" t="str">
        <f t="shared" si="287"/>
        <v/>
      </c>
      <c r="AA862" s="8" t="str">
        <f t="shared" si="288"/>
        <v/>
      </c>
      <c r="AB862" s="8" t="str">
        <f t="shared" si="289"/>
        <v/>
      </c>
      <c r="AC862" s="8"/>
      <c r="AD862" s="8"/>
      <c r="AE862" s="8"/>
      <c r="AK862" s="5" t="str">
        <f t="shared" si="290"/>
        <v/>
      </c>
      <c r="AL862" s="5" t="str">
        <f t="shared" si="291"/>
        <v/>
      </c>
      <c r="AM862" s="5" t="str">
        <f t="shared" si="292"/>
        <v/>
      </c>
      <c r="AN862" s="5" t="str">
        <f t="shared" si="293"/>
        <v/>
      </c>
      <c r="AO862" s="5" t="str">
        <f t="shared" si="294"/>
        <v/>
      </c>
      <c r="AP862" s="5" t="str">
        <f t="shared" si="295"/>
        <v/>
      </c>
      <c r="AQ862" s="5" t="str">
        <f t="shared" si="296"/>
        <v/>
      </c>
      <c r="AR862" s="5" t="str">
        <f t="shared" si="297"/>
        <v/>
      </c>
      <c r="AS862" s="5" t="str">
        <f t="shared" si="298"/>
        <v/>
      </c>
      <c r="AT862" s="5" t="str">
        <f t="shared" si="299"/>
        <v/>
      </c>
      <c r="AU862" s="5" t="str">
        <f t="shared" si="300"/>
        <v/>
      </c>
      <c r="AV862" s="5" t="str">
        <f t="shared" si="301"/>
        <v/>
      </c>
      <c r="AW862" s="5" t="str">
        <f t="shared" si="302"/>
        <v/>
      </c>
      <c r="AX862" s="5" t="str">
        <f t="shared" si="303"/>
        <v/>
      </c>
      <c r="AY862" s="5" t="str">
        <f t="shared" si="304"/>
        <v/>
      </c>
      <c r="AZ862" s="5" t="str">
        <f t="shared" si="305"/>
        <v/>
      </c>
      <c r="BA862" s="5" t="str">
        <f t="shared" si="306"/>
        <v/>
      </c>
      <c r="BB862" s="5" t="str">
        <f t="shared" si="307"/>
        <v/>
      </c>
    </row>
    <row r="863" spans="1:54" s="5" customFormat="1" hidden="1">
      <c r="A863" s="8" t="str">
        <f>IF(INDEX(FORM!$A:$A,ROW())="","",ROW()-1)</f>
        <v/>
      </c>
      <c r="B863" s="41" t="str">
        <f>IF($A863="","",INDEX(FORM!$A:$A,ROW()))</f>
        <v/>
      </c>
      <c r="C863" s="8" t="str">
        <f>IF($A863="","",TRIM(INDEX(FORM!$B:$B,ROW())))</f>
        <v/>
      </c>
      <c r="D863" s="8" t="str">
        <f>IF($A863="","",TRIM(INDEX(FORM!$C:$C,ROW())&amp;""))</f>
        <v/>
      </c>
      <c r="E863" s="8" t="str">
        <f>IF($A863="","",UPPER(TRIM(INDEX(FORM!$D:$D,ROW()))))</f>
        <v/>
      </c>
      <c r="F863" s="8" t="str">
        <f>IF($A863="","",IFERROR(INDEX(PROGRES!$A$2:$A$92,MATCH(E863,PROGRES!$B$2:$B$92,0)),"-"))</f>
        <v/>
      </c>
      <c r="G863" s="8" t="str">
        <f>IF($A863="","",UPPER(TRIM(INDEX(FORM!$F:$F,ROW()))))</f>
        <v/>
      </c>
      <c r="H863" s="8" t="str">
        <f>IF($A863="","",UPPER(TRIM(INDEX(FORM!$E:$E,ROW()))))</f>
        <v/>
      </c>
      <c r="I863" s="8" t="str">
        <f>IF($A863="","",UPPER(TRIM(INDEX(FORM!$G:$G,ROW()))))</f>
        <v/>
      </c>
      <c r="J863" s="8" t="str">
        <f>IF($A863="","",IF(ISNUMBER(SEARCH("Ya,",INDEX(FORM!$H:$H,ROW()))),"YA",IF(ISNUMBER(SEARCH("Cukup,",INDEX(FORM!$H:$H,ROW()))),"CUKUP",IF(ISNUMBER(SEARCH("Kurang,",INDEX(FORM!$H:$H,ROW()))),"KURANG",""))))</f>
        <v/>
      </c>
      <c r="K863" s="8" t="str">
        <f>IF($A863="","",UPPER(TRIM(INDEX(FORM!$J:$J,ROW()))))</f>
        <v/>
      </c>
      <c r="L863" s="8" t="str">
        <f>IF($A863="","",IF(ISNUMBER(SEARCH("Aktivitas Harian",INDEX(FORM!$K:$K,ROW()))),1,0))</f>
        <v/>
      </c>
      <c r="M863" s="8" t="str">
        <f>IF($A863="","",IF(ISNUMBER(SEARCH("Aktivitas Mingguan",INDEX(FORM!$K:$K,ROW()))),1,0))</f>
        <v/>
      </c>
      <c r="N863" s="8" t="str">
        <f>IF($A863="","",IF(ISNUMBER(SEARCH("Aktivitas Bulanan",INDEX(FORM!$K:$K,ROW()))),1,0))</f>
        <v/>
      </c>
      <c r="O863" s="8" t="str">
        <f>IF($A863="","",IF(ISNUMBER(SEARCH("Overview Cabang",INDEX(FORM!$K:$K,ROW()))),1,0))</f>
        <v/>
      </c>
      <c r="P863" s="8" t="str">
        <f>IF($A863="","",IFERROR(VLOOKUP(I863,DATA!$AH$9:$AI$13,2,0),""))</f>
        <v/>
      </c>
      <c r="Q863" s="8" t="str">
        <f>IF($A863="","",IFERROR(VLOOKUP(J863,DATA!$AH$9:$AI$13,2,0),""))</f>
        <v/>
      </c>
      <c r="R863" s="8" t="str">
        <f>IF($A863="","",IFERROR(VLOOKUP(K863,DATA!$AH$9:$AI$13,2,0),""))</f>
        <v/>
      </c>
      <c r="S863" s="42" t="str">
        <f t="shared" si="286"/>
        <v/>
      </c>
      <c r="T863" s="8" t="str">
        <f>IF($A863="","",IF(COUNTIF($D$2:D863,D863)=1,1,0))</f>
        <v/>
      </c>
      <c r="U863" s="8" t="str">
        <f>IF($A863="","",IF(F863="-","Cabang tdk ada",IF(IFERROR(VLOOKUP(G863,#REF!,1,0),"")="","",IF(INDEX(DATA!$AH$2:$AH$5,MATCH(G863,DATA!$AI$2:$AI$5,0))&lt;&gt;F863,"Wilayah beda","OK"))))</f>
        <v/>
      </c>
      <c r="V863" s="8" t="str">
        <f>IF($A863="","",TRIM(INDEX(FORM!$I:$I,ROW())&amp;""))</f>
        <v/>
      </c>
      <c r="W863" s="8" t="str">
        <f>IF($A863="","",TRIM(INDEX(FORM!$L:$L,ROW())&amp;""))</f>
        <v/>
      </c>
      <c r="X863" s="8" t="str">
        <f>IF($A863="","",TRIM(INDEX(FORM!$M:$M,ROW())&amp;""))</f>
        <v/>
      </c>
      <c r="Y863" s="8" t="str">
        <f>IF($A863="","",IFERROR(MATCH(F863,DATA!$AH$2:$AH$5,0),9)*10000+A863)</f>
        <v/>
      </c>
      <c r="Z863" s="8" t="str">
        <f t="shared" si="287"/>
        <v/>
      </c>
      <c r="AA863" s="8" t="str">
        <f t="shared" si="288"/>
        <v/>
      </c>
      <c r="AB863" s="8" t="str">
        <f t="shared" si="289"/>
        <v/>
      </c>
      <c r="AC863" s="8"/>
      <c r="AD863" s="8"/>
      <c r="AE863" s="8"/>
      <c r="AK863" s="5" t="str">
        <f t="shared" si="290"/>
        <v/>
      </c>
      <c r="AL863" s="5" t="str">
        <f t="shared" si="291"/>
        <v/>
      </c>
      <c r="AM863" s="5" t="str">
        <f t="shared" si="292"/>
        <v/>
      </c>
      <c r="AN863" s="5" t="str">
        <f t="shared" si="293"/>
        <v/>
      </c>
      <c r="AO863" s="5" t="str">
        <f t="shared" si="294"/>
        <v/>
      </c>
      <c r="AP863" s="5" t="str">
        <f t="shared" si="295"/>
        <v/>
      </c>
      <c r="AQ863" s="5" t="str">
        <f t="shared" si="296"/>
        <v/>
      </c>
      <c r="AR863" s="5" t="str">
        <f t="shared" si="297"/>
        <v/>
      </c>
      <c r="AS863" s="5" t="str">
        <f t="shared" si="298"/>
        <v/>
      </c>
      <c r="AT863" s="5" t="str">
        <f t="shared" si="299"/>
        <v/>
      </c>
      <c r="AU863" s="5" t="str">
        <f t="shared" si="300"/>
        <v/>
      </c>
      <c r="AV863" s="5" t="str">
        <f t="shared" si="301"/>
        <v/>
      </c>
      <c r="AW863" s="5" t="str">
        <f t="shared" si="302"/>
        <v/>
      </c>
      <c r="AX863" s="5" t="str">
        <f t="shared" si="303"/>
        <v/>
      </c>
      <c r="AY863" s="5" t="str">
        <f t="shared" si="304"/>
        <v/>
      </c>
      <c r="AZ863" s="5" t="str">
        <f t="shared" si="305"/>
        <v/>
      </c>
      <c r="BA863" s="5" t="str">
        <f t="shared" si="306"/>
        <v/>
      </c>
      <c r="BB863" s="5" t="str">
        <f t="shared" si="307"/>
        <v/>
      </c>
    </row>
    <row r="864" spans="1:54" s="5" customFormat="1" hidden="1">
      <c r="A864" s="8" t="str">
        <f>IF(INDEX(FORM!$A:$A,ROW())="","",ROW()-1)</f>
        <v/>
      </c>
      <c r="B864" s="41" t="str">
        <f>IF($A864="","",INDEX(FORM!$A:$A,ROW()))</f>
        <v/>
      </c>
      <c r="C864" s="8" t="str">
        <f>IF($A864="","",TRIM(INDEX(FORM!$B:$B,ROW())))</f>
        <v/>
      </c>
      <c r="D864" s="8" t="str">
        <f>IF($A864="","",TRIM(INDEX(FORM!$C:$C,ROW())&amp;""))</f>
        <v/>
      </c>
      <c r="E864" s="8" t="str">
        <f>IF($A864="","",UPPER(TRIM(INDEX(FORM!$D:$D,ROW()))))</f>
        <v/>
      </c>
      <c r="F864" s="8" t="str">
        <f>IF($A864="","",IFERROR(INDEX(PROGRES!$A$2:$A$92,MATCH(E864,PROGRES!$B$2:$B$92,0)),"-"))</f>
        <v/>
      </c>
      <c r="G864" s="8" t="str">
        <f>IF($A864="","",UPPER(TRIM(INDEX(FORM!$F:$F,ROW()))))</f>
        <v/>
      </c>
      <c r="H864" s="8" t="str">
        <f>IF($A864="","",UPPER(TRIM(INDEX(FORM!$E:$E,ROW()))))</f>
        <v/>
      </c>
      <c r="I864" s="8" t="str">
        <f>IF($A864="","",UPPER(TRIM(INDEX(FORM!$G:$G,ROW()))))</f>
        <v/>
      </c>
      <c r="J864" s="8" t="str">
        <f>IF($A864="","",IF(ISNUMBER(SEARCH("Ya,",INDEX(FORM!$H:$H,ROW()))),"YA",IF(ISNUMBER(SEARCH("Cukup,",INDEX(FORM!$H:$H,ROW()))),"CUKUP",IF(ISNUMBER(SEARCH("Kurang,",INDEX(FORM!$H:$H,ROW()))),"KURANG",""))))</f>
        <v/>
      </c>
      <c r="K864" s="8" t="str">
        <f>IF($A864="","",UPPER(TRIM(INDEX(FORM!$J:$J,ROW()))))</f>
        <v/>
      </c>
      <c r="L864" s="8" t="str">
        <f>IF($A864="","",IF(ISNUMBER(SEARCH("Aktivitas Harian",INDEX(FORM!$K:$K,ROW()))),1,0))</f>
        <v/>
      </c>
      <c r="M864" s="8" t="str">
        <f>IF($A864="","",IF(ISNUMBER(SEARCH("Aktivitas Mingguan",INDEX(FORM!$K:$K,ROW()))),1,0))</f>
        <v/>
      </c>
      <c r="N864" s="8" t="str">
        <f>IF($A864="","",IF(ISNUMBER(SEARCH("Aktivitas Bulanan",INDEX(FORM!$K:$K,ROW()))),1,0))</f>
        <v/>
      </c>
      <c r="O864" s="8" t="str">
        <f>IF($A864="","",IF(ISNUMBER(SEARCH("Overview Cabang",INDEX(FORM!$K:$K,ROW()))),1,0))</f>
        <v/>
      </c>
      <c r="P864" s="8" t="str">
        <f>IF($A864="","",IFERROR(VLOOKUP(I864,DATA!$AH$9:$AI$13,2,0),""))</f>
        <v/>
      </c>
      <c r="Q864" s="8" t="str">
        <f>IF($A864="","",IFERROR(VLOOKUP(J864,DATA!$AH$9:$AI$13,2,0),""))</f>
        <v/>
      </c>
      <c r="R864" s="8" t="str">
        <f>IF($A864="","",IFERROR(VLOOKUP(K864,DATA!$AH$9:$AI$13,2,0),""))</f>
        <v/>
      </c>
      <c r="S864" s="42" t="str">
        <f t="shared" si="286"/>
        <v/>
      </c>
      <c r="T864" s="8" t="str">
        <f>IF($A864="","",IF(COUNTIF($D$2:D864,D864)=1,1,0))</f>
        <v/>
      </c>
      <c r="U864" s="8" t="str">
        <f>IF($A864="","",IF(F864="-","Cabang tdk ada",IF(IFERROR(VLOOKUP(G864,#REF!,1,0),"")="","",IF(INDEX(DATA!$AH$2:$AH$5,MATCH(G864,DATA!$AI$2:$AI$5,0))&lt;&gt;F864,"Wilayah beda","OK"))))</f>
        <v/>
      </c>
      <c r="V864" s="8" t="str">
        <f>IF($A864="","",TRIM(INDEX(FORM!$I:$I,ROW())&amp;""))</f>
        <v/>
      </c>
      <c r="W864" s="8" t="str">
        <f>IF($A864="","",TRIM(INDEX(FORM!$L:$L,ROW())&amp;""))</f>
        <v/>
      </c>
      <c r="X864" s="8" t="str">
        <f>IF($A864="","",TRIM(INDEX(FORM!$M:$M,ROW())&amp;""))</f>
        <v/>
      </c>
      <c r="Y864" s="8" t="str">
        <f>IF($A864="","",IFERROR(MATCH(F864,DATA!$AH$2:$AH$5,0),9)*10000+A864)</f>
        <v/>
      </c>
      <c r="Z864" s="8" t="str">
        <f t="shared" si="287"/>
        <v/>
      </c>
      <c r="AA864" s="8" t="str">
        <f t="shared" si="288"/>
        <v/>
      </c>
      <c r="AB864" s="8" t="str">
        <f t="shared" si="289"/>
        <v/>
      </c>
      <c r="AC864" s="8"/>
      <c r="AD864" s="8"/>
      <c r="AE864" s="8"/>
      <c r="AK864" s="5" t="str">
        <f t="shared" si="290"/>
        <v/>
      </c>
      <c r="AL864" s="5" t="str">
        <f t="shared" si="291"/>
        <v/>
      </c>
      <c r="AM864" s="5" t="str">
        <f t="shared" si="292"/>
        <v/>
      </c>
      <c r="AN864" s="5" t="str">
        <f t="shared" si="293"/>
        <v/>
      </c>
      <c r="AO864" s="5" t="str">
        <f t="shared" si="294"/>
        <v/>
      </c>
      <c r="AP864" s="5" t="str">
        <f t="shared" si="295"/>
        <v/>
      </c>
      <c r="AQ864" s="5" t="str">
        <f t="shared" si="296"/>
        <v/>
      </c>
      <c r="AR864" s="5" t="str">
        <f t="shared" si="297"/>
        <v/>
      </c>
      <c r="AS864" s="5" t="str">
        <f t="shared" si="298"/>
        <v/>
      </c>
      <c r="AT864" s="5" t="str">
        <f t="shared" si="299"/>
        <v/>
      </c>
      <c r="AU864" s="5" t="str">
        <f t="shared" si="300"/>
        <v/>
      </c>
      <c r="AV864" s="5" t="str">
        <f t="shared" si="301"/>
        <v/>
      </c>
      <c r="AW864" s="5" t="str">
        <f t="shared" si="302"/>
        <v/>
      </c>
      <c r="AX864" s="5" t="str">
        <f t="shared" si="303"/>
        <v/>
      </c>
      <c r="AY864" s="5" t="str">
        <f t="shared" si="304"/>
        <v/>
      </c>
      <c r="AZ864" s="5" t="str">
        <f t="shared" si="305"/>
        <v/>
      </c>
      <c r="BA864" s="5" t="str">
        <f t="shared" si="306"/>
        <v/>
      </c>
      <c r="BB864" s="5" t="str">
        <f t="shared" si="307"/>
        <v/>
      </c>
    </row>
    <row r="865" spans="1:54" s="5" customFormat="1" hidden="1">
      <c r="A865" s="8" t="str">
        <f>IF(INDEX(FORM!$A:$A,ROW())="","",ROW()-1)</f>
        <v/>
      </c>
      <c r="B865" s="41" t="str">
        <f>IF($A865="","",INDEX(FORM!$A:$A,ROW()))</f>
        <v/>
      </c>
      <c r="C865" s="8" t="str">
        <f>IF($A865="","",TRIM(INDEX(FORM!$B:$B,ROW())))</f>
        <v/>
      </c>
      <c r="D865" s="8" t="str">
        <f>IF($A865="","",TRIM(INDEX(FORM!$C:$C,ROW())&amp;""))</f>
        <v/>
      </c>
      <c r="E865" s="8" t="str">
        <f>IF($A865="","",UPPER(TRIM(INDEX(FORM!$D:$D,ROW()))))</f>
        <v/>
      </c>
      <c r="F865" s="8" t="str">
        <f>IF($A865="","",IFERROR(INDEX(PROGRES!$A$2:$A$92,MATCH(E865,PROGRES!$B$2:$B$92,0)),"-"))</f>
        <v/>
      </c>
      <c r="G865" s="8" t="str">
        <f>IF($A865="","",UPPER(TRIM(INDEX(FORM!$F:$F,ROW()))))</f>
        <v/>
      </c>
      <c r="H865" s="8" t="str">
        <f>IF($A865="","",UPPER(TRIM(INDEX(FORM!$E:$E,ROW()))))</f>
        <v/>
      </c>
      <c r="I865" s="8" t="str">
        <f>IF($A865="","",UPPER(TRIM(INDEX(FORM!$G:$G,ROW()))))</f>
        <v/>
      </c>
      <c r="J865" s="8" t="str">
        <f>IF($A865="","",IF(ISNUMBER(SEARCH("Ya,",INDEX(FORM!$H:$H,ROW()))),"YA",IF(ISNUMBER(SEARCH("Cukup,",INDEX(FORM!$H:$H,ROW()))),"CUKUP",IF(ISNUMBER(SEARCH("Kurang,",INDEX(FORM!$H:$H,ROW()))),"KURANG",""))))</f>
        <v/>
      </c>
      <c r="K865" s="8" t="str">
        <f>IF($A865="","",UPPER(TRIM(INDEX(FORM!$J:$J,ROW()))))</f>
        <v/>
      </c>
      <c r="L865" s="8" t="str">
        <f>IF($A865="","",IF(ISNUMBER(SEARCH("Aktivitas Harian",INDEX(FORM!$K:$K,ROW()))),1,0))</f>
        <v/>
      </c>
      <c r="M865" s="8" t="str">
        <f>IF($A865="","",IF(ISNUMBER(SEARCH("Aktivitas Mingguan",INDEX(FORM!$K:$K,ROW()))),1,0))</f>
        <v/>
      </c>
      <c r="N865" s="8" t="str">
        <f>IF($A865="","",IF(ISNUMBER(SEARCH("Aktivitas Bulanan",INDEX(FORM!$K:$K,ROW()))),1,0))</f>
        <v/>
      </c>
      <c r="O865" s="8" t="str">
        <f>IF($A865="","",IF(ISNUMBER(SEARCH("Overview Cabang",INDEX(FORM!$K:$K,ROW()))),1,0))</f>
        <v/>
      </c>
      <c r="P865" s="8" t="str">
        <f>IF($A865="","",IFERROR(VLOOKUP(I865,DATA!$AH$9:$AI$13,2,0),""))</f>
        <v/>
      </c>
      <c r="Q865" s="8" t="str">
        <f>IF($A865="","",IFERROR(VLOOKUP(J865,DATA!$AH$9:$AI$13,2,0),""))</f>
        <v/>
      </c>
      <c r="R865" s="8" t="str">
        <f>IF($A865="","",IFERROR(VLOOKUP(K865,DATA!$AH$9:$AI$13,2,0),""))</f>
        <v/>
      </c>
      <c r="S865" s="42" t="str">
        <f t="shared" si="286"/>
        <v/>
      </c>
      <c r="T865" s="8" t="str">
        <f>IF($A865="","",IF(COUNTIF($D$2:D865,D865)=1,1,0))</f>
        <v/>
      </c>
      <c r="U865" s="8" t="str">
        <f>IF($A865="","",IF(F865="-","Cabang tdk ada",IF(IFERROR(VLOOKUP(G865,#REF!,1,0),"")="","",IF(INDEX(DATA!$AH$2:$AH$5,MATCH(G865,DATA!$AI$2:$AI$5,0))&lt;&gt;F865,"Wilayah beda","OK"))))</f>
        <v/>
      </c>
      <c r="V865" s="8" t="str">
        <f>IF($A865="","",TRIM(INDEX(FORM!$I:$I,ROW())&amp;""))</f>
        <v/>
      </c>
      <c r="W865" s="8" t="str">
        <f>IF($A865="","",TRIM(INDEX(FORM!$L:$L,ROW())&amp;""))</f>
        <v/>
      </c>
      <c r="X865" s="8" t="str">
        <f>IF($A865="","",TRIM(INDEX(FORM!$M:$M,ROW())&amp;""))</f>
        <v/>
      </c>
      <c r="Y865" s="8" t="str">
        <f>IF($A865="","",IFERROR(MATCH(F865,DATA!$AH$2:$AH$5,0),9)*10000+A865)</f>
        <v/>
      </c>
      <c r="Z865" s="8" t="str">
        <f t="shared" si="287"/>
        <v/>
      </c>
      <c r="AA865" s="8" t="str">
        <f t="shared" si="288"/>
        <v/>
      </c>
      <c r="AB865" s="8" t="str">
        <f t="shared" si="289"/>
        <v/>
      </c>
      <c r="AC865" s="8"/>
      <c r="AD865" s="8"/>
      <c r="AE865" s="8"/>
      <c r="AK865" s="5" t="str">
        <f t="shared" si="290"/>
        <v/>
      </c>
      <c r="AL865" s="5" t="str">
        <f t="shared" si="291"/>
        <v/>
      </c>
      <c r="AM865" s="5" t="str">
        <f t="shared" si="292"/>
        <v/>
      </c>
      <c r="AN865" s="5" t="str">
        <f t="shared" si="293"/>
        <v/>
      </c>
      <c r="AO865" s="5" t="str">
        <f t="shared" si="294"/>
        <v/>
      </c>
      <c r="AP865" s="5" t="str">
        <f t="shared" si="295"/>
        <v/>
      </c>
      <c r="AQ865" s="5" t="str">
        <f t="shared" si="296"/>
        <v/>
      </c>
      <c r="AR865" s="5" t="str">
        <f t="shared" si="297"/>
        <v/>
      </c>
      <c r="AS865" s="5" t="str">
        <f t="shared" si="298"/>
        <v/>
      </c>
      <c r="AT865" s="5" t="str">
        <f t="shared" si="299"/>
        <v/>
      </c>
      <c r="AU865" s="5" t="str">
        <f t="shared" si="300"/>
        <v/>
      </c>
      <c r="AV865" s="5" t="str">
        <f t="shared" si="301"/>
        <v/>
      </c>
      <c r="AW865" s="5" t="str">
        <f t="shared" si="302"/>
        <v/>
      </c>
      <c r="AX865" s="5" t="str">
        <f t="shared" si="303"/>
        <v/>
      </c>
      <c r="AY865" s="5" t="str">
        <f t="shared" si="304"/>
        <v/>
      </c>
      <c r="AZ865" s="5" t="str">
        <f t="shared" si="305"/>
        <v/>
      </c>
      <c r="BA865" s="5" t="str">
        <f t="shared" si="306"/>
        <v/>
      </c>
      <c r="BB865" s="5" t="str">
        <f t="shared" si="307"/>
        <v/>
      </c>
    </row>
    <row r="866" spans="1:54" s="5" customFormat="1" hidden="1">
      <c r="A866" s="8" t="str">
        <f>IF(INDEX(FORM!$A:$A,ROW())="","",ROW()-1)</f>
        <v/>
      </c>
      <c r="B866" s="41" t="str">
        <f>IF($A866="","",INDEX(FORM!$A:$A,ROW()))</f>
        <v/>
      </c>
      <c r="C866" s="8" t="str">
        <f>IF($A866="","",TRIM(INDEX(FORM!$B:$B,ROW())))</f>
        <v/>
      </c>
      <c r="D866" s="8" t="str">
        <f>IF($A866="","",TRIM(INDEX(FORM!$C:$C,ROW())&amp;""))</f>
        <v/>
      </c>
      <c r="E866" s="8" t="str">
        <f>IF($A866="","",UPPER(TRIM(INDEX(FORM!$D:$D,ROW()))))</f>
        <v/>
      </c>
      <c r="F866" s="8" t="str">
        <f>IF($A866="","",IFERROR(INDEX(PROGRES!$A$2:$A$92,MATCH(E866,PROGRES!$B$2:$B$92,0)),"-"))</f>
        <v/>
      </c>
      <c r="G866" s="8" t="str">
        <f>IF($A866="","",UPPER(TRIM(INDEX(FORM!$F:$F,ROW()))))</f>
        <v/>
      </c>
      <c r="H866" s="8" t="str">
        <f>IF($A866="","",UPPER(TRIM(INDEX(FORM!$E:$E,ROW()))))</f>
        <v/>
      </c>
      <c r="I866" s="8" t="str">
        <f>IF($A866="","",UPPER(TRIM(INDEX(FORM!$G:$G,ROW()))))</f>
        <v/>
      </c>
      <c r="J866" s="8" t="str">
        <f>IF($A866="","",IF(ISNUMBER(SEARCH("Ya,",INDEX(FORM!$H:$H,ROW()))),"YA",IF(ISNUMBER(SEARCH("Cukup,",INDEX(FORM!$H:$H,ROW()))),"CUKUP",IF(ISNUMBER(SEARCH("Kurang,",INDEX(FORM!$H:$H,ROW()))),"KURANG",""))))</f>
        <v/>
      </c>
      <c r="K866" s="8" t="str">
        <f>IF($A866="","",UPPER(TRIM(INDEX(FORM!$J:$J,ROW()))))</f>
        <v/>
      </c>
      <c r="L866" s="8" t="str">
        <f>IF($A866="","",IF(ISNUMBER(SEARCH("Aktivitas Harian",INDEX(FORM!$K:$K,ROW()))),1,0))</f>
        <v/>
      </c>
      <c r="M866" s="8" t="str">
        <f>IF($A866="","",IF(ISNUMBER(SEARCH("Aktivitas Mingguan",INDEX(FORM!$K:$K,ROW()))),1,0))</f>
        <v/>
      </c>
      <c r="N866" s="8" t="str">
        <f>IF($A866="","",IF(ISNUMBER(SEARCH("Aktivitas Bulanan",INDEX(FORM!$K:$K,ROW()))),1,0))</f>
        <v/>
      </c>
      <c r="O866" s="8" t="str">
        <f>IF($A866="","",IF(ISNUMBER(SEARCH("Overview Cabang",INDEX(FORM!$K:$K,ROW()))),1,0))</f>
        <v/>
      </c>
      <c r="P866" s="8" t="str">
        <f>IF($A866="","",IFERROR(VLOOKUP(I866,DATA!$AH$9:$AI$13,2,0),""))</f>
        <v/>
      </c>
      <c r="Q866" s="8" t="str">
        <f>IF($A866="","",IFERROR(VLOOKUP(J866,DATA!$AH$9:$AI$13,2,0),""))</f>
        <v/>
      </c>
      <c r="R866" s="8" t="str">
        <f>IF($A866="","",IFERROR(VLOOKUP(K866,DATA!$AH$9:$AI$13,2,0),""))</f>
        <v/>
      </c>
      <c r="S866" s="42" t="str">
        <f t="shared" si="286"/>
        <v/>
      </c>
      <c r="T866" s="8" t="str">
        <f>IF($A866="","",IF(COUNTIF($D$2:D866,D866)=1,1,0))</f>
        <v/>
      </c>
      <c r="U866" s="8" t="str">
        <f>IF($A866="","",IF(F866="-","Cabang tdk ada",IF(IFERROR(VLOOKUP(G866,#REF!,1,0),"")="","",IF(INDEX(DATA!$AH$2:$AH$5,MATCH(G866,DATA!$AI$2:$AI$5,0))&lt;&gt;F866,"Wilayah beda","OK"))))</f>
        <v/>
      </c>
      <c r="V866" s="8" t="str">
        <f>IF($A866="","",TRIM(INDEX(FORM!$I:$I,ROW())&amp;""))</f>
        <v/>
      </c>
      <c r="W866" s="8" t="str">
        <f>IF($A866="","",TRIM(INDEX(FORM!$L:$L,ROW())&amp;""))</f>
        <v/>
      </c>
      <c r="X866" s="8" t="str">
        <f>IF($A866="","",TRIM(INDEX(FORM!$M:$M,ROW())&amp;""))</f>
        <v/>
      </c>
      <c r="Y866" s="8" t="str">
        <f>IF($A866="","",IFERROR(MATCH(F866,DATA!$AH$2:$AH$5,0),9)*10000+A866)</f>
        <v/>
      </c>
      <c r="Z866" s="8" t="str">
        <f t="shared" si="287"/>
        <v/>
      </c>
      <c r="AA866" s="8" t="str">
        <f t="shared" si="288"/>
        <v/>
      </c>
      <c r="AB866" s="8" t="str">
        <f t="shared" si="289"/>
        <v/>
      </c>
      <c r="AC866" s="8"/>
      <c r="AD866" s="8"/>
      <c r="AE866" s="8"/>
      <c r="AK866" s="5" t="str">
        <f t="shared" si="290"/>
        <v/>
      </c>
      <c r="AL866" s="5" t="str">
        <f t="shared" si="291"/>
        <v/>
      </c>
      <c r="AM866" s="5" t="str">
        <f t="shared" si="292"/>
        <v/>
      </c>
      <c r="AN866" s="5" t="str">
        <f t="shared" si="293"/>
        <v/>
      </c>
      <c r="AO866" s="5" t="str">
        <f t="shared" si="294"/>
        <v/>
      </c>
      <c r="AP866" s="5" t="str">
        <f t="shared" si="295"/>
        <v/>
      </c>
      <c r="AQ866" s="5" t="str">
        <f t="shared" si="296"/>
        <v/>
      </c>
      <c r="AR866" s="5" t="str">
        <f t="shared" si="297"/>
        <v/>
      </c>
      <c r="AS866" s="5" t="str">
        <f t="shared" si="298"/>
        <v/>
      </c>
      <c r="AT866" s="5" t="str">
        <f t="shared" si="299"/>
        <v/>
      </c>
      <c r="AU866" s="5" t="str">
        <f t="shared" si="300"/>
        <v/>
      </c>
      <c r="AV866" s="5" t="str">
        <f t="shared" si="301"/>
        <v/>
      </c>
      <c r="AW866" s="5" t="str">
        <f t="shared" si="302"/>
        <v/>
      </c>
      <c r="AX866" s="5" t="str">
        <f t="shared" si="303"/>
        <v/>
      </c>
      <c r="AY866" s="5" t="str">
        <f t="shared" si="304"/>
        <v/>
      </c>
      <c r="AZ866" s="5" t="str">
        <f t="shared" si="305"/>
        <v/>
      </c>
      <c r="BA866" s="5" t="str">
        <f t="shared" si="306"/>
        <v/>
      </c>
      <c r="BB866" s="5" t="str">
        <f t="shared" si="307"/>
        <v/>
      </c>
    </row>
    <row r="867" spans="1:54" s="5" customFormat="1" hidden="1">
      <c r="A867" s="8" t="str">
        <f>IF(INDEX(FORM!$A:$A,ROW())="","",ROW()-1)</f>
        <v/>
      </c>
      <c r="B867" s="41" t="str">
        <f>IF($A867="","",INDEX(FORM!$A:$A,ROW()))</f>
        <v/>
      </c>
      <c r="C867" s="8" t="str">
        <f>IF($A867="","",TRIM(INDEX(FORM!$B:$B,ROW())))</f>
        <v/>
      </c>
      <c r="D867" s="8" t="str">
        <f>IF($A867="","",TRIM(INDEX(FORM!$C:$C,ROW())&amp;""))</f>
        <v/>
      </c>
      <c r="E867" s="8" t="str">
        <f>IF($A867="","",UPPER(TRIM(INDEX(FORM!$D:$D,ROW()))))</f>
        <v/>
      </c>
      <c r="F867" s="8" t="str">
        <f>IF($A867="","",IFERROR(INDEX(PROGRES!$A$2:$A$92,MATCH(E867,PROGRES!$B$2:$B$92,0)),"-"))</f>
        <v/>
      </c>
      <c r="G867" s="8" t="str">
        <f>IF($A867="","",UPPER(TRIM(INDEX(FORM!$F:$F,ROW()))))</f>
        <v/>
      </c>
      <c r="H867" s="8" t="str">
        <f>IF($A867="","",UPPER(TRIM(INDEX(FORM!$E:$E,ROW()))))</f>
        <v/>
      </c>
      <c r="I867" s="8" t="str">
        <f>IF($A867="","",UPPER(TRIM(INDEX(FORM!$G:$G,ROW()))))</f>
        <v/>
      </c>
      <c r="J867" s="8" t="str">
        <f>IF($A867="","",IF(ISNUMBER(SEARCH("Ya,",INDEX(FORM!$H:$H,ROW()))),"YA",IF(ISNUMBER(SEARCH("Cukup,",INDEX(FORM!$H:$H,ROW()))),"CUKUP",IF(ISNUMBER(SEARCH("Kurang,",INDEX(FORM!$H:$H,ROW()))),"KURANG",""))))</f>
        <v/>
      </c>
      <c r="K867" s="8" t="str">
        <f>IF($A867="","",UPPER(TRIM(INDEX(FORM!$J:$J,ROW()))))</f>
        <v/>
      </c>
      <c r="L867" s="8" t="str">
        <f>IF($A867="","",IF(ISNUMBER(SEARCH("Aktivitas Harian",INDEX(FORM!$K:$K,ROW()))),1,0))</f>
        <v/>
      </c>
      <c r="M867" s="8" t="str">
        <f>IF($A867="","",IF(ISNUMBER(SEARCH("Aktivitas Mingguan",INDEX(FORM!$K:$K,ROW()))),1,0))</f>
        <v/>
      </c>
      <c r="N867" s="8" t="str">
        <f>IF($A867="","",IF(ISNUMBER(SEARCH("Aktivitas Bulanan",INDEX(FORM!$K:$K,ROW()))),1,0))</f>
        <v/>
      </c>
      <c r="O867" s="8" t="str">
        <f>IF($A867="","",IF(ISNUMBER(SEARCH("Overview Cabang",INDEX(FORM!$K:$K,ROW()))),1,0))</f>
        <v/>
      </c>
      <c r="P867" s="8" t="str">
        <f>IF($A867="","",IFERROR(VLOOKUP(I867,DATA!$AH$9:$AI$13,2,0),""))</f>
        <v/>
      </c>
      <c r="Q867" s="8" t="str">
        <f>IF($A867="","",IFERROR(VLOOKUP(J867,DATA!$AH$9:$AI$13,2,0),""))</f>
        <v/>
      </c>
      <c r="R867" s="8" t="str">
        <f>IF($A867="","",IFERROR(VLOOKUP(K867,DATA!$AH$9:$AI$13,2,0),""))</f>
        <v/>
      </c>
      <c r="S867" s="42" t="str">
        <f t="shared" si="286"/>
        <v/>
      </c>
      <c r="T867" s="8" t="str">
        <f>IF($A867="","",IF(COUNTIF($D$2:D867,D867)=1,1,0))</f>
        <v/>
      </c>
      <c r="U867" s="8" t="str">
        <f>IF($A867="","",IF(F867="-","Cabang tdk ada",IF(IFERROR(VLOOKUP(G867,#REF!,1,0),"")="","",IF(INDEX(DATA!$AH$2:$AH$5,MATCH(G867,DATA!$AI$2:$AI$5,0))&lt;&gt;F867,"Wilayah beda","OK"))))</f>
        <v/>
      </c>
      <c r="V867" s="8" t="str">
        <f>IF($A867="","",TRIM(INDEX(FORM!$I:$I,ROW())&amp;""))</f>
        <v/>
      </c>
      <c r="W867" s="8" t="str">
        <f>IF($A867="","",TRIM(INDEX(FORM!$L:$L,ROW())&amp;""))</f>
        <v/>
      </c>
      <c r="X867" s="8" t="str">
        <f>IF($A867="","",TRIM(INDEX(FORM!$M:$M,ROW())&amp;""))</f>
        <v/>
      </c>
      <c r="Y867" s="8" t="str">
        <f>IF($A867="","",IFERROR(MATCH(F867,DATA!$AH$2:$AH$5,0),9)*10000+A867)</f>
        <v/>
      </c>
      <c r="Z867" s="8" t="str">
        <f t="shared" si="287"/>
        <v/>
      </c>
      <c r="AA867" s="8" t="str">
        <f t="shared" si="288"/>
        <v/>
      </c>
      <c r="AB867" s="8" t="str">
        <f t="shared" si="289"/>
        <v/>
      </c>
      <c r="AC867" s="8"/>
      <c r="AD867" s="8"/>
      <c r="AE867" s="8"/>
      <c r="AK867" s="5" t="str">
        <f t="shared" si="290"/>
        <v/>
      </c>
      <c r="AL867" s="5" t="str">
        <f t="shared" si="291"/>
        <v/>
      </c>
      <c r="AM867" s="5" t="str">
        <f t="shared" si="292"/>
        <v/>
      </c>
      <c r="AN867" s="5" t="str">
        <f t="shared" si="293"/>
        <v/>
      </c>
      <c r="AO867" s="5" t="str">
        <f t="shared" si="294"/>
        <v/>
      </c>
      <c r="AP867" s="5" t="str">
        <f t="shared" si="295"/>
        <v/>
      </c>
      <c r="AQ867" s="5" t="str">
        <f t="shared" si="296"/>
        <v/>
      </c>
      <c r="AR867" s="5" t="str">
        <f t="shared" si="297"/>
        <v/>
      </c>
      <c r="AS867" s="5" t="str">
        <f t="shared" si="298"/>
        <v/>
      </c>
      <c r="AT867" s="5" t="str">
        <f t="shared" si="299"/>
        <v/>
      </c>
      <c r="AU867" s="5" t="str">
        <f t="shared" si="300"/>
        <v/>
      </c>
      <c r="AV867" s="5" t="str">
        <f t="shared" si="301"/>
        <v/>
      </c>
      <c r="AW867" s="5" t="str">
        <f t="shared" si="302"/>
        <v/>
      </c>
      <c r="AX867" s="5" t="str">
        <f t="shared" si="303"/>
        <v/>
      </c>
      <c r="AY867" s="5" t="str">
        <f t="shared" si="304"/>
        <v/>
      </c>
      <c r="AZ867" s="5" t="str">
        <f t="shared" si="305"/>
        <v/>
      </c>
      <c r="BA867" s="5" t="str">
        <f t="shared" si="306"/>
        <v/>
      </c>
      <c r="BB867" s="5" t="str">
        <f t="shared" si="307"/>
        <v/>
      </c>
    </row>
    <row r="868" spans="1:54" s="5" customFormat="1" hidden="1">
      <c r="A868" s="8" t="str">
        <f>IF(INDEX(FORM!$A:$A,ROW())="","",ROW()-1)</f>
        <v/>
      </c>
      <c r="B868" s="41" t="str">
        <f>IF($A868="","",INDEX(FORM!$A:$A,ROW()))</f>
        <v/>
      </c>
      <c r="C868" s="8" t="str">
        <f>IF($A868="","",TRIM(INDEX(FORM!$B:$B,ROW())))</f>
        <v/>
      </c>
      <c r="D868" s="8" t="str">
        <f>IF($A868="","",TRIM(INDEX(FORM!$C:$C,ROW())&amp;""))</f>
        <v/>
      </c>
      <c r="E868" s="8" t="str">
        <f>IF($A868="","",UPPER(TRIM(INDEX(FORM!$D:$D,ROW()))))</f>
        <v/>
      </c>
      <c r="F868" s="8" t="str">
        <f>IF($A868="","",IFERROR(INDEX(PROGRES!$A$2:$A$92,MATCH(E868,PROGRES!$B$2:$B$92,0)),"-"))</f>
        <v/>
      </c>
      <c r="G868" s="8" t="str">
        <f>IF($A868="","",UPPER(TRIM(INDEX(FORM!$F:$F,ROW()))))</f>
        <v/>
      </c>
      <c r="H868" s="8" t="str">
        <f>IF($A868="","",UPPER(TRIM(INDEX(FORM!$E:$E,ROW()))))</f>
        <v/>
      </c>
      <c r="I868" s="8" t="str">
        <f>IF($A868="","",UPPER(TRIM(INDEX(FORM!$G:$G,ROW()))))</f>
        <v/>
      </c>
      <c r="J868" s="8" t="str">
        <f>IF($A868="","",IF(ISNUMBER(SEARCH("Ya,",INDEX(FORM!$H:$H,ROW()))),"YA",IF(ISNUMBER(SEARCH("Cukup,",INDEX(FORM!$H:$H,ROW()))),"CUKUP",IF(ISNUMBER(SEARCH("Kurang,",INDEX(FORM!$H:$H,ROW()))),"KURANG",""))))</f>
        <v/>
      </c>
      <c r="K868" s="8" t="str">
        <f>IF($A868="","",UPPER(TRIM(INDEX(FORM!$J:$J,ROW()))))</f>
        <v/>
      </c>
      <c r="L868" s="8" t="str">
        <f>IF($A868="","",IF(ISNUMBER(SEARCH("Aktivitas Harian",INDEX(FORM!$K:$K,ROW()))),1,0))</f>
        <v/>
      </c>
      <c r="M868" s="8" t="str">
        <f>IF($A868="","",IF(ISNUMBER(SEARCH("Aktivitas Mingguan",INDEX(FORM!$K:$K,ROW()))),1,0))</f>
        <v/>
      </c>
      <c r="N868" s="8" t="str">
        <f>IF($A868="","",IF(ISNUMBER(SEARCH("Aktivitas Bulanan",INDEX(FORM!$K:$K,ROW()))),1,0))</f>
        <v/>
      </c>
      <c r="O868" s="8" t="str">
        <f>IF($A868="","",IF(ISNUMBER(SEARCH("Overview Cabang",INDEX(FORM!$K:$K,ROW()))),1,0))</f>
        <v/>
      </c>
      <c r="P868" s="8" t="str">
        <f>IF($A868="","",IFERROR(VLOOKUP(I868,DATA!$AH$9:$AI$13,2,0),""))</f>
        <v/>
      </c>
      <c r="Q868" s="8" t="str">
        <f>IF($A868="","",IFERROR(VLOOKUP(J868,DATA!$AH$9:$AI$13,2,0),""))</f>
        <v/>
      </c>
      <c r="R868" s="8" t="str">
        <f>IF($A868="","",IFERROR(VLOOKUP(K868,DATA!$AH$9:$AI$13,2,0),""))</f>
        <v/>
      </c>
      <c r="S868" s="42" t="str">
        <f t="shared" si="286"/>
        <v/>
      </c>
      <c r="T868" s="8" t="str">
        <f>IF($A868="","",IF(COUNTIF($D$2:D868,D868)=1,1,0))</f>
        <v/>
      </c>
      <c r="U868" s="8" t="str">
        <f>IF($A868="","",IF(F868="-","Cabang tdk ada",IF(IFERROR(VLOOKUP(G868,#REF!,1,0),"")="","",IF(INDEX(DATA!$AH$2:$AH$5,MATCH(G868,DATA!$AI$2:$AI$5,0))&lt;&gt;F868,"Wilayah beda","OK"))))</f>
        <v/>
      </c>
      <c r="V868" s="8" t="str">
        <f>IF($A868="","",TRIM(INDEX(FORM!$I:$I,ROW())&amp;""))</f>
        <v/>
      </c>
      <c r="W868" s="8" t="str">
        <f>IF($A868="","",TRIM(INDEX(FORM!$L:$L,ROW())&amp;""))</f>
        <v/>
      </c>
      <c r="X868" s="8" t="str">
        <f>IF($A868="","",TRIM(INDEX(FORM!$M:$M,ROW())&amp;""))</f>
        <v/>
      </c>
      <c r="Y868" s="8" t="str">
        <f>IF($A868="","",IFERROR(MATCH(F868,DATA!$AH$2:$AH$5,0),9)*10000+A868)</f>
        <v/>
      </c>
      <c r="Z868" s="8" t="str">
        <f t="shared" si="287"/>
        <v/>
      </c>
      <c r="AA868" s="8" t="str">
        <f t="shared" si="288"/>
        <v/>
      </c>
      <c r="AB868" s="8" t="str">
        <f t="shared" si="289"/>
        <v/>
      </c>
      <c r="AC868" s="8"/>
      <c r="AD868" s="8"/>
      <c r="AE868" s="8"/>
      <c r="AK868" s="5" t="str">
        <f t="shared" si="290"/>
        <v/>
      </c>
      <c r="AL868" s="5" t="str">
        <f t="shared" si="291"/>
        <v/>
      </c>
      <c r="AM868" s="5" t="str">
        <f t="shared" si="292"/>
        <v/>
      </c>
      <c r="AN868" s="5" t="str">
        <f t="shared" si="293"/>
        <v/>
      </c>
      <c r="AO868" s="5" t="str">
        <f t="shared" si="294"/>
        <v/>
      </c>
      <c r="AP868" s="5" t="str">
        <f t="shared" si="295"/>
        <v/>
      </c>
      <c r="AQ868" s="5" t="str">
        <f t="shared" si="296"/>
        <v/>
      </c>
      <c r="AR868" s="5" t="str">
        <f t="shared" si="297"/>
        <v/>
      </c>
      <c r="AS868" s="5" t="str">
        <f t="shared" si="298"/>
        <v/>
      </c>
      <c r="AT868" s="5" t="str">
        <f t="shared" si="299"/>
        <v/>
      </c>
      <c r="AU868" s="5" t="str">
        <f t="shared" si="300"/>
        <v/>
      </c>
      <c r="AV868" s="5" t="str">
        <f t="shared" si="301"/>
        <v/>
      </c>
      <c r="AW868" s="5" t="str">
        <f t="shared" si="302"/>
        <v/>
      </c>
      <c r="AX868" s="5" t="str">
        <f t="shared" si="303"/>
        <v/>
      </c>
      <c r="AY868" s="5" t="str">
        <f t="shared" si="304"/>
        <v/>
      </c>
      <c r="AZ868" s="5" t="str">
        <f t="shared" si="305"/>
        <v/>
      </c>
      <c r="BA868" s="5" t="str">
        <f t="shared" si="306"/>
        <v/>
      </c>
      <c r="BB868" s="5" t="str">
        <f t="shared" si="307"/>
        <v/>
      </c>
    </row>
    <row r="869" spans="1:54" s="5" customFormat="1" hidden="1">
      <c r="A869" s="8" t="str">
        <f>IF(INDEX(FORM!$A:$A,ROW())="","",ROW()-1)</f>
        <v/>
      </c>
      <c r="B869" s="41" t="str">
        <f>IF($A869="","",INDEX(FORM!$A:$A,ROW()))</f>
        <v/>
      </c>
      <c r="C869" s="8" t="str">
        <f>IF($A869="","",TRIM(INDEX(FORM!$B:$B,ROW())))</f>
        <v/>
      </c>
      <c r="D869" s="8" t="str">
        <f>IF($A869="","",TRIM(INDEX(FORM!$C:$C,ROW())&amp;""))</f>
        <v/>
      </c>
      <c r="E869" s="8" t="str">
        <f>IF($A869="","",UPPER(TRIM(INDEX(FORM!$D:$D,ROW()))))</f>
        <v/>
      </c>
      <c r="F869" s="8" t="str">
        <f>IF($A869="","",IFERROR(INDEX(PROGRES!$A$2:$A$92,MATCH(E869,PROGRES!$B$2:$B$92,0)),"-"))</f>
        <v/>
      </c>
      <c r="G869" s="8" t="str">
        <f>IF($A869="","",UPPER(TRIM(INDEX(FORM!$F:$F,ROW()))))</f>
        <v/>
      </c>
      <c r="H869" s="8" t="str">
        <f>IF($A869="","",UPPER(TRIM(INDEX(FORM!$E:$E,ROW()))))</f>
        <v/>
      </c>
      <c r="I869" s="8" t="str">
        <f>IF($A869="","",UPPER(TRIM(INDEX(FORM!$G:$G,ROW()))))</f>
        <v/>
      </c>
      <c r="J869" s="8" t="str">
        <f>IF($A869="","",IF(ISNUMBER(SEARCH("Ya,",INDEX(FORM!$H:$H,ROW()))),"YA",IF(ISNUMBER(SEARCH("Cukup,",INDEX(FORM!$H:$H,ROW()))),"CUKUP",IF(ISNUMBER(SEARCH("Kurang,",INDEX(FORM!$H:$H,ROW()))),"KURANG",""))))</f>
        <v/>
      </c>
      <c r="K869" s="8" t="str">
        <f>IF($A869="","",UPPER(TRIM(INDEX(FORM!$J:$J,ROW()))))</f>
        <v/>
      </c>
      <c r="L869" s="8" t="str">
        <f>IF($A869="","",IF(ISNUMBER(SEARCH("Aktivitas Harian",INDEX(FORM!$K:$K,ROW()))),1,0))</f>
        <v/>
      </c>
      <c r="M869" s="8" t="str">
        <f>IF($A869="","",IF(ISNUMBER(SEARCH("Aktivitas Mingguan",INDEX(FORM!$K:$K,ROW()))),1,0))</f>
        <v/>
      </c>
      <c r="N869" s="8" t="str">
        <f>IF($A869="","",IF(ISNUMBER(SEARCH("Aktivitas Bulanan",INDEX(FORM!$K:$K,ROW()))),1,0))</f>
        <v/>
      </c>
      <c r="O869" s="8" t="str">
        <f>IF($A869="","",IF(ISNUMBER(SEARCH("Overview Cabang",INDEX(FORM!$K:$K,ROW()))),1,0))</f>
        <v/>
      </c>
      <c r="P869" s="8" t="str">
        <f>IF($A869="","",IFERROR(VLOOKUP(I869,DATA!$AH$9:$AI$13,2,0),""))</f>
        <v/>
      </c>
      <c r="Q869" s="8" t="str">
        <f>IF($A869="","",IFERROR(VLOOKUP(J869,DATA!$AH$9:$AI$13,2,0),""))</f>
        <v/>
      </c>
      <c r="R869" s="8" t="str">
        <f>IF($A869="","",IFERROR(VLOOKUP(K869,DATA!$AH$9:$AI$13,2,0),""))</f>
        <v/>
      </c>
      <c r="S869" s="42" t="str">
        <f t="shared" si="286"/>
        <v/>
      </c>
      <c r="T869" s="8" t="str">
        <f>IF($A869="","",IF(COUNTIF($D$2:D869,D869)=1,1,0))</f>
        <v/>
      </c>
      <c r="U869" s="8" t="str">
        <f>IF($A869="","",IF(F869="-","Cabang tdk ada",IF(IFERROR(VLOOKUP(G869,#REF!,1,0),"")="","",IF(INDEX(DATA!$AH$2:$AH$5,MATCH(G869,DATA!$AI$2:$AI$5,0))&lt;&gt;F869,"Wilayah beda","OK"))))</f>
        <v/>
      </c>
      <c r="V869" s="8" t="str">
        <f>IF($A869="","",TRIM(INDEX(FORM!$I:$I,ROW())&amp;""))</f>
        <v/>
      </c>
      <c r="W869" s="8" t="str">
        <f>IF($A869="","",TRIM(INDEX(FORM!$L:$L,ROW())&amp;""))</f>
        <v/>
      </c>
      <c r="X869" s="8" t="str">
        <f>IF($A869="","",TRIM(INDEX(FORM!$M:$M,ROW())&amp;""))</f>
        <v/>
      </c>
      <c r="Y869" s="8" t="str">
        <f>IF($A869="","",IFERROR(MATCH(F869,DATA!$AH$2:$AH$5,0),9)*10000+A869)</f>
        <v/>
      </c>
      <c r="Z869" s="8" t="str">
        <f t="shared" si="287"/>
        <v/>
      </c>
      <c r="AA869" s="8" t="str">
        <f t="shared" si="288"/>
        <v/>
      </c>
      <c r="AB869" s="8" t="str">
        <f t="shared" si="289"/>
        <v/>
      </c>
      <c r="AC869" s="8"/>
      <c r="AD869" s="8"/>
      <c r="AE869" s="8"/>
      <c r="AK869" s="5" t="str">
        <f t="shared" si="290"/>
        <v/>
      </c>
      <c r="AL869" s="5" t="str">
        <f t="shared" si="291"/>
        <v/>
      </c>
      <c r="AM869" s="5" t="str">
        <f t="shared" si="292"/>
        <v/>
      </c>
      <c r="AN869" s="5" t="str">
        <f t="shared" si="293"/>
        <v/>
      </c>
      <c r="AO869" s="5" t="str">
        <f t="shared" si="294"/>
        <v/>
      </c>
      <c r="AP869" s="5" t="str">
        <f t="shared" si="295"/>
        <v/>
      </c>
      <c r="AQ869" s="5" t="str">
        <f t="shared" si="296"/>
        <v/>
      </c>
      <c r="AR869" s="5" t="str">
        <f t="shared" si="297"/>
        <v/>
      </c>
      <c r="AS869" s="5" t="str">
        <f t="shared" si="298"/>
        <v/>
      </c>
      <c r="AT869" s="5" t="str">
        <f t="shared" si="299"/>
        <v/>
      </c>
      <c r="AU869" s="5" t="str">
        <f t="shared" si="300"/>
        <v/>
      </c>
      <c r="AV869" s="5" t="str">
        <f t="shared" si="301"/>
        <v/>
      </c>
      <c r="AW869" s="5" t="str">
        <f t="shared" si="302"/>
        <v/>
      </c>
      <c r="AX869" s="5" t="str">
        <f t="shared" si="303"/>
        <v/>
      </c>
      <c r="AY869" s="5" t="str">
        <f t="shared" si="304"/>
        <v/>
      </c>
      <c r="AZ869" s="5" t="str">
        <f t="shared" si="305"/>
        <v/>
      </c>
      <c r="BA869" s="5" t="str">
        <f t="shared" si="306"/>
        <v/>
      </c>
      <c r="BB869" s="5" t="str">
        <f t="shared" si="307"/>
        <v/>
      </c>
    </row>
    <row r="870" spans="1:54" s="5" customFormat="1" hidden="1">
      <c r="A870" s="8" t="str">
        <f>IF(INDEX(FORM!$A:$A,ROW())="","",ROW()-1)</f>
        <v/>
      </c>
      <c r="B870" s="41" t="str">
        <f>IF($A870="","",INDEX(FORM!$A:$A,ROW()))</f>
        <v/>
      </c>
      <c r="C870" s="8" t="str">
        <f>IF($A870="","",TRIM(INDEX(FORM!$B:$B,ROW())))</f>
        <v/>
      </c>
      <c r="D870" s="8" t="str">
        <f>IF($A870="","",TRIM(INDEX(FORM!$C:$C,ROW())&amp;""))</f>
        <v/>
      </c>
      <c r="E870" s="8" t="str">
        <f>IF($A870="","",UPPER(TRIM(INDEX(FORM!$D:$D,ROW()))))</f>
        <v/>
      </c>
      <c r="F870" s="8" t="str">
        <f>IF($A870="","",IFERROR(INDEX(PROGRES!$A$2:$A$92,MATCH(E870,PROGRES!$B$2:$B$92,0)),"-"))</f>
        <v/>
      </c>
      <c r="G870" s="8" t="str">
        <f>IF($A870="","",UPPER(TRIM(INDEX(FORM!$F:$F,ROW()))))</f>
        <v/>
      </c>
      <c r="H870" s="8" t="str">
        <f>IF($A870="","",UPPER(TRIM(INDEX(FORM!$E:$E,ROW()))))</f>
        <v/>
      </c>
      <c r="I870" s="8" t="str">
        <f>IF($A870="","",UPPER(TRIM(INDEX(FORM!$G:$G,ROW()))))</f>
        <v/>
      </c>
      <c r="J870" s="8" t="str">
        <f>IF($A870="","",IF(ISNUMBER(SEARCH("Ya,",INDEX(FORM!$H:$H,ROW()))),"YA",IF(ISNUMBER(SEARCH("Cukup,",INDEX(FORM!$H:$H,ROW()))),"CUKUP",IF(ISNUMBER(SEARCH("Kurang,",INDEX(FORM!$H:$H,ROW()))),"KURANG",""))))</f>
        <v/>
      </c>
      <c r="K870" s="8" t="str">
        <f>IF($A870="","",UPPER(TRIM(INDEX(FORM!$J:$J,ROW()))))</f>
        <v/>
      </c>
      <c r="L870" s="8" t="str">
        <f>IF($A870="","",IF(ISNUMBER(SEARCH("Aktivitas Harian",INDEX(FORM!$K:$K,ROW()))),1,0))</f>
        <v/>
      </c>
      <c r="M870" s="8" t="str">
        <f>IF($A870="","",IF(ISNUMBER(SEARCH("Aktivitas Mingguan",INDEX(FORM!$K:$K,ROW()))),1,0))</f>
        <v/>
      </c>
      <c r="N870" s="8" t="str">
        <f>IF($A870="","",IF(ISNUMBER(SEARCH("Aktivitas Bulanan",INDEX(FORM!$K:$K,ROW()))),1,0))</f>
        <v/>
      </c>
      <c r="O870" s="8" t="str">
        <f>IF($A870="","",IF(ISNUMBER(SEARCH("Overview Cabang",INDEX(FORM!$K:$K,ROW()))),1,0))</f>
        <v/>
      </c>
      <c r="P870" s="8" t="str">
        <f>IF($A870="","",IFERROR(VLOOKUP(I870,DATA!$AH$9:$AI$13,2,0),""))</f>
        <v/>
      </c>
      <c r="Q870" s="8" t="str">
        <f>IF($A870="","",IFERROR(VLOOKUP(J870,DATA!$AH$9:$AI$13,2,0),""))</f>
        <v/>
      </c>
      <c r="R870" s="8" t="str">
        <f>IF($A870="","",IFERROR(VLOOKUP(K870,DATA!$AH$9:$AI$13,2,0),""))</f>
        <v/>
      </c>
      <c r="S870" s="42" t="str">
        <f t="shared" si="286"/>
        <v/>
      </c>
      <c r="T870" s="8" t="str">
        <f>IF($A870="","",IF(COUNTIF($D$2:D870,D870)=1,1,0))</f>
        <v/>
      </c>
      <c r="U870" s="8" t="str">
        <f>IF($A870="","",IF(F870="-","Cabang tdk ada",IF(IFERROR(VLOOKUP(G870,#REF!,1,0),"")="","",IF(INDEX(DATA!$AH$2:$AH$5,MATCH(G870,DATA!$AI$2:$AI$5,0))&lt;&gt;F870,"Wilayah beda","OK"))))</f>
        <v/>
      </c>
      <c r="V870" s="8" t="str">
        <f>IF($A870="","",TRIM(INDEX(FORM!$I:$I,ROW())&amp;""))</f>
        <v/>
      </c>
      <c r="W870" s="8" t="str">
        <f>IF($A870="","",TRIM(INDEX(FORM!$L:$L,ROW())&amp;""))</f>
        <v/>
      </c>
      <c r="X870" s="8" t="str">
        <f>IF($A870="","",TRIM(INDEX(FORM!$M:$M,ROW())&amp;""))</f>
        <v/>
      </c>
      <c r="Y870" s="8" t="str">
        <f>IF($A870="","",IFERROR(MATCH(F870,DATA!$AH$2:$AH$5,0),9)*10000+A870)</f>
        <v/>
      </c>
      <c r="Z870" s="8" t="str">
        <f t="shared" si="287"/>
        <v/>
      </c>
      <c r="AA870" s="8" t="str">
        <f t="shared" si="288"/>
        <v/>
      </c>
      <c r="AB870" s="8" t="str">
        <f t="shared" si="289"/>
        <v/>
      </c>
      <c r="AC870" s="8"/>
      <c r="AD870" s="8"/>
      <c r="AE870" s="8"/>
      <c r="AK870" s="5" t="str">
        <f t="shared" si="290"/>
        <v/>
      </c>
      <c r="AL870" s="5" t="str">
        <f t="shared" si="291"/>
        <v/>
      </c>
      <c r="AM870" s="5" t="str">
        <f t="shared" si="292"/>
        <v/>
      </c>
      <c r="AN870" s="5" t="str">
        <f t="shared" si="293"/>
        <v/>
      </c>
      <c r="AO870" s="5" t="str">
        <f t="shared" si="294"/>
        <v/>
      </c>
      <c r="AP870" s="5" t="str">
        <f t="shared" si="295"/>
        <v/>
      </c>
      <c r="AQ870" s="5" t="str">
        <f t="shared" si="296"/>
        <v/>
      </c>
      <c r="AR870" s="5" t="str">
        <f t="shared" si="297"/>
        <v/>
      </c>
      <c r="AS870" s="5" t="str">
        <f t="shared" si="298"/>
        <v/>
      </c>
      <c r="AT870" s="5" t="str">
        <f t="shared" si="299"/>
        <v/>
      </c>
      <c r="AU870" s="5" t="str">
        <f t="shared" si="300"/>
        <v/>
      </c>
      <c r="AV870" s="5" t="str">
        <f t="shared" si="301"/>
        <v/>
      </c>
      <c r="AW870" s="5" t="str">
        <f t="shared" si="302"/>
        <v/>
      </c>
      <c r="AX870" s="5" t="str">
        <f t="shared" si="303"/>
        <v/>
      </c>
      <c r="AY870" s="5" t="str">
        <f t="shared" si="304"/>
        <v/>
      </c>
      <c r="AZ870" s="5" t="str">
        <f t="shared" si="305"/>
        <v/>
      </c>
      <c r="BA870" s="5" t="str">
        <f t="shared" si="306"/>
        <v/>
      </c>
      <c r="BB870" s="5" t="str">
        <f t="shared" si="307"/>
        <v/>
      </c>
    </row>
    <row r="871" spans="1:54" s="5" customFormat="1" hidden="1">
      <c r="A871" s="8" t="str">
        <f>IF(INDEX(FORM!$A:$A,ROW())="","",ROW()-1)</f>
        <v/>
      </c>
      <c r="B871" s="41" t="str">
        <f>IF($A871="","",INDEX(FORM!$A:$A,ROW()))</f>
        <v/>
      </c>
      <c r="C871" s="8" t="str">
        <f>IF($A871="","",TRIM(INDEX(FORM!$B:$B,ROW())))</f>
        <v/>
      </c>
      <c r="D871" s="8" t="str">
        <f>IF($A871="","",TRIM(INDEX(FORM!$C:$C,ROW())&amp;""))</f>
        <v/>
      </c>
      <c r="E871" s="8" t="str">
        <f>IF($A871="","",UPPER(TRIM(INDEX(FORM!$D:$D,ROW()))))</f>
        <v/>
      </c>
      <c r="F871" s="8" t="str">
        <f>IF($A871="","",IFERROR(INDEX(PROGRES!$A$2:$A$92,MATCH(E871,PROGRES!$B$2:$B$92,0)),"-"))</f>
        <v/>
      </c>
      <c r="G871" s="8" t="str">
        <f>IF($A871="","",UPPER(TRIM(INDEX(FORM!$F:$F,ROW()))))</f>
        <v/>
      </c>
      <c r="H871" s="8" t="str">
        <f>IF($A871="","",UPPER(TRIM(INDEX(FORM!$E:$E,ROW()))))</f>
        <v/>
      </c>
      <c r="I871" s="8" t="str">
        <f>IF($A871="","",UPPER(TRIM(INDEX(FORM!$G:$G,ROW()))))</f>
        <v/>
      </c>
      <c r="J871" s="8" t="str">
        <f>IF($A871="","",IF(ISNUMBER(SEARCH("Ya,",INDEX(FORM!$H:$H,ROW()))),"YA",IF(ISNUMBER(SEARCH("Cukup,",INDEX(FORM!$H:$H,ROW()))),"CUKUP",IF(ISNUMBER(SEARCH("Kurang,",INDEX(FORM!$H:$H,ROW()))),"KURANG",""))))</f>
        <v/>
      </c>
      <c r="K871" s="8" t="str">
        <f>IF($A871="","",UPPER(TRIM(INDEX(FORM!$J:$J,ROW()))))</f>
        <v/>
      </c>
      <c r="L871" s="8" t="str">
        <f>IF($A871="","",IF(ISNUMBER(SEARCH("Aktivitas Harian",INDEX(FORM!$K:$K,ROW()))),1,0))</f>
        <v/>
      </c>
      <c r="M871" s="8" t="str">
        <f>IF($A871="","",IF(ISNUMBER(SEARCH("Aktivitas Mingguan",INDEX(FORM!$K:$K,ROW()))),1,0))</f>
        <v/>
      </c>
      <c r="N871" s="8" t="str">
        <f>IF($A871="","",IF(ISNUMBER(SEARCH("Aktivitas Bulanan",INDEX(FORM!$K:$K,ROW()))),1,0))</f>
        <v/>
      </c>
      <c r="O871" s="8" t="str">
        <f>IF($A871="","",IF(ISNUMBER(SEARCH("Overview Cabang",INDEX(FORM!$K:$K,ROW()))),1,0))</f>
        <v/>
      </c>
      <c r="P871" s="8" t="str">
        <f>IF($A871="","",IFERROR(VLOOKUP(I871,DATA!$AH$9:$AI$13,2,0),""))</f>
        <v/>
      </c>
      <c r="Q871" s="8" t="str">
        <f>IF($A871="","",IFERROR(VLOOKUP(J871,DATA!$AH$9:$AI$13,2,0),""))</f>
        <v/>
      </c>
      <c r="R871" s="8" t="str">
        <f>IF($A871="","",IFERROR(VLOOKUP(K871,DATA!$AH$9:$AI$13,2,0),""))</f>
        <v/>
      </c>
      <c r="S871" s="42" t="str">
        <f t="shared" si="286"/>
        <v/>
      </c>
      <c r="T871" s="8" t="str">
        <f>IF($A871="","",IF(COUNTIF($D$2:D871,D871)=1,1,0))</f>
        <v/>
      </c>
      <c r="U871" s="8" t="str">
        <f>IF($A871="","",IF(F871="-","Cabang tdk ada",IF(IFERROR(VLOOKUP(G871,#REF!,1,0),"")="","",IF(INDEX(DATA!$AH$2:$AH$5,MATCH(G871,DATA!$AI$2:$AI$5,0))&lt;&gt;F871,"Wilayah beda","OK"))))</f>
        <v/>
      </c>
      <c r="V871" s="8" t="str">
        <f>IF($A871="","",TRIM(INDEX(FORM!$I:$I,ROW())&amp;""))</f>
        <v/>
      </c>
      <c r="W871" s="8" t="str">
        <f>IF($A871="","",TRIM(INDEX(FORM!$L:$L,ROW())&amp;""))</f>
        <v/>
      </c>
      <c r="X871" s="8" t="str">
        <f>IF($A871="","",TRIM(INDEX(FORM!$M:$M,ROW())&amp;""))</f>
        <v/>
      </c>
      <c r="Y871" s="8" t="str">
        <f>IF($A871="","",IFERROR(MATCH(F871,DATA!$AH$2:$AH$5,0),9)*10000+A871)</f>
        <v/>
      </c>
      <c r="Z871" s="8" t="str">
        <f t="shared" si="287"/>
        <v/>
      </c>
      <c r="AA871" s="8" t="str">
        <f t="shared" si="288"/>
        <v/>
      </c>
      <c r="AB871" s="8" t="str">
        <f t="shared" si="289"/>
        <v/>
      </c>
      <c r="AC871" s="8"/>
      <c r="AD871" s="8"/>
      <c r="AE871" s="8"/>
      <c r="AK871" s="5" t="str">
        <f t="shared" si="290"/>
        <v/>
      </c>
      <c r="AL871" s="5" t="str">
        <f t="shared" si="291"/>
        <v/>
      </c>
      <c r="AM871" s="5" t="str">
        <f t="shared" si="292"/>
        <v/>
      </c>
      <c r="AN871" s="5" t="str">
        <f t="shared" si="293"/>
        <v/>
      </c>
      <c r="AO871" s="5" t="str">
        <f t="shared" si="294"/>
        <v/>
      </c>
      <c r="AP871" s="5" t="str">
        <f t="shared" si="295"/>
        <v/>
      </c>
      <c r="AQ871" s="5" t="str">
        <f t="shared" si="296"/>
        <v/>
      </c>
      <c r="AR871" s="5" t="str">
        <f t="shared" si="297"/>
        <v/>
      </c>
      <c r="AS871" s="5" t="str">
        <f t="shared" si="298"/>
        <v/>
      </c>
      <c r="AT871" s="5" t="str">
        <f t="shared" si="299"/>
        <v/>
      </c>
      <c r="AU871" s="5" t="str">
        <f t="shared" si="300"/>
        <v/>
      </c>
      <c r="AV871" s="5" t="str">
        <f t="shared" si="301"/>
        <v/>
      </c>
      <c r="AW871" s="5" t="str">
        <f t="shared" si="302"/>
        <v/>
      </c>
      <c r="AX871" s="5" t="str">
        <f t="shared" si="303"/>
        <v/>
      </c>
      <c r="AY871" s="5" t="str">
        <f t="shared" si="304"/>
        <v/>
      </c>
      <c r="AZ871" s="5" t="str">
        <f t="shared" si="305"/>
        <v/>
      </c>
      <c r="BA871" s="5" t="str">
        <f t="shared" si="306"/>
        <v/>
      </c>
      <c r="BB871" s="5" t="str">
        <f t="shared" si="307"/>
        <v/>
      </c>
    </row>
    <row r="872" spans="1:54" s="5" customFormat="1" hidden="1">
      <c r="A872" s="8" t="str">
        <f>IF(INDEX(FORM!$A:$A,ROW())="","",ROW()-1)</f>
        <v/>
      </c>
      <c r="B872" s="41" t="str">
        <f>IF($A872="","",INDEX(FORM!$A:$A,ROW()))</f>
        <v/>
      </c>
      <c r="C872" s="8" t="str">
        <f>IF($A872="","",TRIM(INDEX(FORM!$B:$B,ROW())))</f>
        <v/>
      </c>
      <c r="D872" s="8" t="str">
        <f>IF($A872="","",TRIM(INDEX(FORM!$C:$C,ROW())&amp;""))</f>
        <v/>
      </c>
      <c r="E872" s="8" t="str">
        <f>IF($A872="","",UPPER(TRIM(INDEX(FORM!$D:$D,ROW()))))</f>
        <v/>
      </c>
      <c r="F872" s="8" t="str">
        <f>IF($A872="","",IFERROR(INDEX(PROGRES!$A$2:$A$92,MATCH(E872,PROGRES!$B$2:$B$92,0)),"-"))</f>
        <v/>
      </c>
      <c r="G872" s="8" t="str">
        <f>IF($A872="","",UPPER(TRIM(INDEX(FORM!$F:$F,ROW()))))</f>
        <v/>
      </c>
      <c r="H872" s="8" t="str">
        <f>IF($A872="","",UPPER(TRIM(INDEX(FORM!$E:$E,ROW()))))</f>
        <v/>
      </c>
      <c r="I872" s="8" t="str">
        <f>IF($A872="","",UPPER(TRIM(INDEX(FORM!$G:$G,ROW()))))</f>
        <v/>
      </c>
      <c r="J872" s="8" t="str">
        <f>IF($A872="","",IF(ISNUMBER(SEARCH("Ya,",INDEX(FORM!$H:$H,ROW()))),"YA",IF(ISNUMBER(SEARCH("Cukup,",INDEX(FORM!$H:$H,ROW()))),"CUKUP",IF(ISNUMBER(SEARCH("Kurang,",INDEX(FORM!$H:$H,ROW()))),"KURANG",""))))</f>
        <v/>
      </c>
      <c r="K872" s="8" t="str">
        <f>IF($A872="","",UPPER(TRIM(INDEX(FORM!$J:$J,ROW()))))</f>
        <v/>
      </c>
      <c r="L872" s="8" t="str">
        <f>IF($A872="","",IF(ISNUMBER(SEARCH("Aktivitas Harian",INDEX(FORM!$K:$K,ROW()))),1,0))</f>
        <v/>
      </c>
      <c r="M872" s="8" t="str">
        <f>IF($A872="","",IF(ISNUMBER(SEARCH("Aktivitas Mingguan",INDEX(FORM!$K:$K,ROW()))),1,0))</f>
        <v/>
      </c>
      <c r="N872" s="8" t="str">
        <f>IF($A872="","",IF(ISNUMBER(SEARCH("Aktivitas Bulanan",INDEX(FORM!$K:$K,ROW()))),1,0))</f>
        <v/>
      </c>
      <c r="O872" s="8" t="str">
        <f>IF($A872="","",IF(ISNUMBER(SEARCH("Overview Cabang",INDEX(FORM!$K:$K,ROW()))),1,0))</f>
        <v/>
      </c>
      <c r="P872" s="8" t="str">
        <f>IF($A872="","",IFERROR(VLOOKUP(I872,DATA!$AH$9:$AI$13,2,0),""))</f>
        <v/>
      </c>
      <c r="Q872" s="8" t="str">
        <f>IF($A872="","",IFERROR(VLOOKUP(J872,DATA!$AH$9:$AI$13,2,0),""))</f>
        <v/>
      </c>
      <c r="R872" s="8" t="str">
        <f>IF($A872="","",IFERROR(VLOOKUP(K872,DATA!$AH$9:$AI$13,2,0),""))</f>
        <v/>
      </c>
      <c r="S872" s="42" t="str">
        <f t="shared" si="286"/>
        <v/>
      </c>
      <c r="T872" s="8" t="str">
        <f>IF($A872="","",IF(COUNTIF($D$2:D872,D872)=1,1,0))</f>
        <v/>
      </c>
      <c r="U872" s="8" t="str">
        <f>IF($A872="","",IF(F872="-","Cabang tdk ada",IF(IFERROR(VLOOKUP(G872,#REF!,1,0),"")="","",IF(INDEX(DATA!$AH$2:$AH$5,MATCH(G872,DATA!$AI$2:$AI$5,0))&lt;&gt;F872,"Wilayah beda","OK"))))</f>
        <v/>
      </c>
      <c r="V872" s="8" t="str">
        <f>IF($A872="","",TRIM(INDEX(FORM!$I:$I,ROW())&amp;""))</f>
        <v/>
      </c>
      <c r="W872" s="8" t="str">
        <f>IF($A872="","",TRIM(INDEX(FORM!$L:$L,ROW())&amp;""))</f>
        <v/>
      </c>
      <c r="X872" s="8" t="str">
        <f>IF($A872="","",TRIM(INDEX(FORM!$M:$M,ROW())&amp;""))</f>
        <v/>
      </c>
      <c r="Y872" s="8" t="str">
        <f>IF($A872="","",IFERROR(MATCH(F872,DATA!$AH$2:$AH$5,0),9)*10000+A872)</f>
        <v/>
      </c>
      <c r="Z872" s="8" t="str">
        <f t="shared" si="287"/>
        <v/>
      </c>
      <c r="AA872" s="8" t="str">
        <f t="shared" si="288"/>
        <v/>
      </c>
      <c r="AB872" s="8" t="str">
        <f t="shared" si="289"/>
        <v/>
      </c>
      <c r="AC872" s="8"/>
      <c r="AD872" s="8"/>
      <c r="AE872" s="8"/>
      <c r="AK872" s="5" t="str">
        <f t="shared" si="290"/>
        <v/>
      </c>
      <c r="AL872" s="5" t="str">
        <f t="shared" si="291"/>
        <v/>
      </c>
      <c r="AM872" s="5" t="str">
        <f t="shared" si="292"/>
        <v/>
      </c>
      <c r="AN872" s="5" t="str">
        <f t="shared" si="293"/>
        <v/>
      </c>
      <c r="AO872" s="5" t="str">
        <f t="shared" si="294"/>
        <v/>
      </c>
      <c r="AP872" s="5" t="str">
        <f t="shared" si="295"/>
        <v/>
      </c>
      <c r="AQ872" s="5" t="str">
        <f t="shared" si="296"/>
        <v/>
      </c>
      <c r="AR872" s="5" t="str">
        <f t="shared" si="297"/>
        <v/>
      </c>
      <c r="AS872" s="5" t="str">
        <f t="shared" si="298"/>
        <v/>
      </c>
      <c r="AT872" s="5" t="str">
        <f t="shared" si="299"/>
        <v/>
      </c>
      <c r="AU872" s="5" t="str">
        <f t="shared" si="300"/>
        <v/>
      </c>
      <c r="AV872" s="5" t="str">
        <f t="shared" si="301"/>
        <v/>
      </c>
      <c r="AW872" s="5" t="str">
        <f t="shared" si="302"/>
        <v/>
      </c>
      <c r="AX872" s="5" t="str">
        <f t="shared" si="303"/>
        <v/>
      </c>
      <c r="AY872" s="5" t="str">
        <f t="shared" si="304"/>
        <v/>
      </c>
      <c r="AZ872" s="5" t="str">
        <f t="shared" si="305"/>
        <v/>
      </c>
      <c r="BA872" s="5" t="str">
        <f t="shared" si="306"/>
        <v/>
      </c>
      <c r="BB872" s="5" t="str">
        <f t="shared" si="307"/>
        <v/>
      </c>
    </row>
    <row r="873" spans="1:54" s="5" customFormat="1" hidden="1">
      <c r="A873" s="8" t="str">
        <f>IF(INDEX(FORM!$A:$A,ROW())="","",ROW()-1)</f>
        <v/>
      </c>
      <c r="B873" s="41" t="str">
        <f>IF($A873="","",INDEX(FORM!$A:$A,ROW()))</f>
        <v/>
      </c>
      <c r="C873" s="8" t="str">
        <f>IF($A873="","",TRIM(INDEX(FORM!$B:$B,ROW())))</f>
        <v/>
      </c>
      <c r="D873" s="8" t="str">
        <f>IF($A873="","",TRIM(INDEX(FORM!$C:$C,ROW())&amp;""))</f>
        <v/>
      </c>
      <c r="E873" s="8" t="str">
        <f>IF($A873="","",UPPER(TRIM(INDEX(FORM!$D:$D,ROW()))))</f>
        <v/>
      </c>
      <c r="F873" s="8" t="str">
        <f>IF($A873="","",IFERROR(INDEX(PROGRES!$A$2:$A$92,MATCH(E873,PROGRES!$B$2:$B$92,0)),"-"))</f>
        <v/>
      </c>
      <c r="G873" s="8" t="str">
        <f>IF($A873="","",UPPER(TRIM(INDEX(FORM!$F:$F,ROW()))))</f>
        <v/>
      </c>
      <c r="H873" s="8" t="str">
        <f>IF($A873="","",UPPER(TRIM(INDEX(FORM!$E:$E,ROW()))))</f>
        <v/>
      </c>
      <c r="I873" s="8" t="str">
        <f>IF($A873="","",UPPER(TRIM(INDEX(FORM!$G:$G,ROW()))))</f>
        <v/>
      </c>
      <c r="J873" s="8" t="str">
        <f>IF($A873="","",IF(ISNUMBER(SEARCH("Ya,",INDEX(FORM!$H:$H,ROW()))),"YA",IF(ISNUMBER(SEARCH("Cukup,",INDEX(FORM!$H:$H,ROW()))),"CUKUP",IF(ISNUMBER(SEARCH("Kurang,",INDEX(FORM!$H:$H,ROW()))),"KURANG",""))))</f>
        <v/>
      </c>
      <c r="K873" s="8" t="str">
        <f>IF($A873="","",UPPER(TRIM(INDEX(FORM!$J:$J,ROW()))))</f>
        <v/>
      </c>
      <c r="L873" s="8" t="str">
        <f>IF($A873="","",IF(ISNUMBER(SEARCH("Aktivitas Harian",INDEX(FORM!$K:$K,ROW()))),1,0))</f>
        <v/>
      </c>
      <c r="M873" s="8" t="str">
        <f>IF($A873="","",IF(ISNUMBER(SEARCH("Aktivitas Mingguan",INDEX(FORM!$K:$K,ROW()))),1,0))</f>
        <v/>
      </c>
      <c r="N873" s="8" t="str">
        <f>IF($A873="","",IF(ISNUMBER(SEARCH("Aktivitas Bulanan",INDEX(FORM!$K:$K,ROW()))),1,0))</f>
        <v/>
      </c>
      <c r="O873" s="8" t="str">
        <f>IF($A873="","",IF(ISNUMBER(SEARCH("Overview Cabang",INDEX(FORM!$K:$K,ROW()))),1,0))</f>
        <v/>
      </c>
      <c r="P873" s="8" t="str">
        <f>IF($A873="","",IFERROR(VLOOKUP(I873,DATA!$AH$9:$AI$13,2,0),""))</f>
        <v/>
      </c>
      <c r="Q873" s="8" t="str">
        <f>IF($A873="","",IFERROR(VLOOKUP(J873,DATA!$AH$9:$AI$13,2,0),""))</f>
        <v/>
      </c>
      <c r="R873" s="8" t="str">
        <f>IF($A873="","",IFERROR(VLOOKUP(K873,DATA!$AH$9:$AI$13,2,0),""))</f>
        <v/>
      </c>
      <c r="S873" s="42" t="str">
        <f t="shared" si="286"/>
        <v/>
      </c>
      <c r="T873" s="8" t="str">
        <f>IF($A873="","",IF(COUNTIF($D$2:D873,D873)=1,1,0))</f>
        <v/>
      </c>
      <c r="U873" s="8" t="str">
        <f>IF($A873="","",IF(F873="-","Cabang tdk ada",IF(IFERROR(VLOOKUP(G873,#REF!,1,0),"")="","",IF(INDEX(DATA!$AH$2:$AH$5,MATCH(G873,DATA!$AI$2:$AI$5,0))&lt;&gt;F873,"Wilayah beda","OK"))))</f>
        <v/>
      </c>
      <c r="V873" s="8" t="str">
        <f>IF($A873="","",TRIM(INDEX(FORM!$I:$I,ROW())&amp;""))</f>
        <v/>
      </c>
      <c r="W873" s="8" t="str">
        <f>IF($A873="","",TRIM(INDEX(FORM!$L:$L,ROW())&amp;""))</f>
        <v/>
      </c>
      <c r="X873" s="8" t="str">
        <f>IF($A873="","",TRIM(INDEX(FORM!$M:$M,ROW())&amp;""))</f>
        <v/>
      </c>
      <c r="Y873" s="8" t="str">
        <f>IF($A873="","",IFERROR(MATCH(F873,DATA!$AH$2:$AH$5,0),9)*10000+A873)</f>
        <v/>
      </c>
      <c r="Z873" s="8" t="str">
        <f t="shared" si="287"/>
        <v/>
      </c>
      <c r="AA873" s="8" t="str">
        <f t="shared" si="288"/>
        <v/>
      </c>
      <c r="AB873" s="8" t="str">
        <f t="shared" si="289"/>
        <v/>
      </c>
      <c r="AC873" s="8"/>
      <c r="AD873" s="8"/>
      <c r="AE873" s="8"/>
      <c r="AK873" s="5" t="str">
        <f t="shared" si="290"/>
        <v/>
      </c>
      <c r="AL873" s="5" t="str">
        <f t="shared" si="291"/>
        <v/>
      </c>
      <c r="AM873" s="5" t="str">
        <f t="shared" si="292"/>
        <v/>
      </c>
      <c r="AN873" s="5" t="str">
        <f t="shared" si="293"/>
        <v/>
      </c>
      <c r="AO873" s="5" t="str">
        <f t="shared" si="294"/>
        <v/>
      </c>
      <c r="AP873" s="5" t="str">
        <f t="shared" si="295"/>
        <v/>
      </c>
      <c r="AQ873" s="5" t="str">
        <f t="shared" si="296"/>
        <v/>
      </c>
      <c r="AR873" s="5" t="str">
        <f t="shared" si="297"/>
        <v/>
      </c>
      <c r="AS873" s="5" t="str">
        <f t="shared" si="298"/>
        <v/>
      </c>
      <c r="AT873" s="5" t="str">
        <f t="shared" si="299"/>
        <v/>
      </c>
      <c r="AU873" s="5" t="str">
        <f t="shared" si="300"/>
        <v/>
      </c>
      <c r="AV873" s="5" t="str">
        <f t="shared" si="301"/>
        <v/>
      </c>
      <c r="AW873" s="5" t="str">
        <f t="shared" si="302"/>
        <v/>
      </c>
      <c r="AX873" s="5" t="str">
        <f t="shared" si="303"/>
        <v/>
      </c>
      <c r="AY873" s="5" t="str">
        <f t="shared" si="304"/>
        <v/>
      </c>
      <c r="AZ873" s="5" t="str">
        <f t="shared" si="305"/>
        <v/>
      </c>
      <c r="BA873" s="5" t="str">
        <f t="shared" si="306"/>
        <v/>
      </c>
      <c r="BB873" s="5" t="str">
        <f t="shared" si="307"/>
        <v/>
      </c>
    </row>
    <row r="874" spans="1:54" s="5" customFormat="1" hidden="1">
      <c r="A874" s="8" t="str">
        <f>IF(INDEX(FORM!$A:$A,ROW())="","",ROW()-1)</f>
        <v/>
      </c>
      <c r="B874" s="41" t="str">
        <f>IF($A874="","",INDEX(FORM!$A:$A,ROW()))</f>
        <v/>
      </c>
      <c r="C874" s="8" t="str">
        <f>IF($A874="","",TRIM(INDEX(FORM!$B:$B,ROW())))</f>
        <v/>
      </c>
      <c r="D874" s="8" t="str">
        <f>IF($A874="","",TRIM(INDEX(FORM!$C:$C,ROW())&amp;""))</f>
        <v/>
      </c>
      <c r="E874" s="8" t="str">
        <f>IF($A874="","",UPPER(TRIM(INDEX(FORM!$D:$D,ROW()))))</f>
        <v/>
      </c>
      <c r="F874" s="8" t="str">
        <f>IF($A874="","",IFERROR(INDEX(PROGRES!$A$2:$A$92,MATCH(E874,PROGRES!$B$2:$B$92,0)),"-"))</f>
        <v/>
      </c>
      <c r="G874" s="8" t="str">
        <f>IF($A874="","",UPPER(TRIM(INDEX(FORM!$F:$F,ROW()))))</f>
        <v/>
      </c>
      <c r="H874" s="8" t="str">
        <f>IF($A874="","",UPPER(TRIM(INDEX(FORM!$E:$E,ROW()))))</f>
        <v/>
      </c>
      <c r="I874" s="8" t="str">
        <f>IF($A874="","",UPPER(TRIM(INDEX(FORM!$G:$G,ROW()))))</f>
        <v/>
      </c>
      <c r="J874" s="8" t="str">
        <f>IF($A874="","",IF(ISNUMBER(SEARCH("Ya,",INDEX(FORM!$H:$H,ROW()))),"YA",IF(ISNUMBER(SEARCH("Cukup,",INDEX(FORM!$H:$H,ROW()))),"CUKUP",IF(ISNUMBER(SEARCH("Kurang,",INDEX(FORM!$H:$H,ROW()))),"KURANG",""))))</f>
        <v/>
      </c>
      <c r="K874" s="8" t="str">
        <f>IF($A874="","",UPPER(TRIM(INDEX(FORM!$J:$J,ROW()))))</f>
        <v/>
      </c>
      <c r="L874" s="8" t="str">
        <f>IF($A874="","",IF(ISNUMBER(SEARCH("Aktivitas Harian",INDEX(FORM!$K:$K,ROW()))),1,0))</f>
        <v/>
      </c>
      <c r="M874" s="8" t="str">
        <f>IF($A874="","",IF(ISNUMBER(SEARCH("Aktivitas Mingguan",INDEX(FORM!$K:$K,ROW()))),1,0))</f>
        <v/>
      </c>
      <c r="N874" s="8" t="str">
        <f>IF($A874="","",IF(ISNUMBER(SEARCH("Aktivitas Bulanan",INDEX(FORM!$K:$K,ROW()))),1,0))</f>
        <v/>
      </c>
      <c r="O874" s="8" t="str">
        <f>IF($A874="","",IF(ISNUMBER(SEARCH("Overview Cabang",INDEX(FORM!$K:$K,ROW()))),1,0))</f>
        <v/>
      </c>
      <c r="P874" s="8" t="str">
        <f>IF($A874="","",IFERROR(VLOOKUP(I874,DATA!$AH$9:$AI$13,2,0),""))</f>
        <v/>
      </c>
      <c r="Q874" s="8" t="str">
        <f>IF($A874="","",IFERROR(VLOOKUP(J874,DATA!$AH$9:$AI$13,2,0),""))</f>
        <v/>
      </c>
      <c r="R874" s="8" t="str">
        <f>IF($A874="","",IFERROR(VLOOKUP(K874,DATA!$AH$9:$AI$13,2,0),""))</f>
        <v/>
      </c>
      <c r="S874" s="42" t="str">
        <f t="shared" si="286"/>
        <v/>
      </c>
      <c r="T874" s="8" t="str">
        <f>IF($A874="","",IF(COUNTIF($D$2:D874,D874)=1,1,0))</f>
        <v/>
      </c>
      <c r="U874" s="8" t="str">
        <f>IF($A874="","",IF(F874="-","Cabang tdk ada",IF(IFERROR(VLOOKUP(G874,#REF!,1,0),"")="","",IF(INDEX(DATA!$AH$2:$AH$5,MATCH(G874,DATA!$AI$2:$AI$5,0))&lt;&gt;F874,"Wilayah beda","OK"))))</f>
        <v/>
      </c>
      <c r="V874" s="8" t="str">
        <f>IF($A874="","",TRIM(INDEX(FORM!$I:$I,ROW())&amp;""))</f>
        <v/>
      </c>
      <c r="W874" s="8" t="str">
        <f>IF($A874="","",TRIM(INDEX(FORM!$L:$L,ROW())&amp;""))</f>
        <v/>
      </c>
      <c r="X874" s="8" t="str">
        <f>IF($A874="","",TRIM(INDEX(FORM!$M:$M,ROW())&amp;""))</f>
        <v/>
      </c>
      <c r="Y874" s="8" t="str">
        <f>IF($A874="","",IFERROR(MATCH(F874,DATA!$AH$2:$AH$5,0),9)*10000+A874)</f>
        <v/>
      </c>
      <c r="Z874" s="8" t="str">
        <f t="shared" si="287"/>
        <v/>
      </c>
      <c r="AA874" s="8" t="str">
        <f t="shared" si="288"/>
        <v/>
      </c>
      <c r="AB874" s="8" t="str">
        <f t="shared" si="289"/>
        <v/>
      </c>
      <c r="AC874" s="8"/>
      <c r="AD874" s="8"/>
      <c r="AE874" s="8"/>
      <c r="AK874" s="5" t="str">
        <f t="shared" si="290"/>
        <v/>
      </c>
      <c r="AL874" s="5" t="str">
        <f t="shared" si="291"/>
        <v/>
      </c>
      <c r="AM874" s="5" t="str">
        <f t="shared" si="292"/>
        <v/>
      </c>
      <c r="AN874" s="5" t="str">
        <f t="shared" si="293"/>
        <v/>
      </c>
      <c r="AO874" s="5" t="str">
        <f t="shared" si="294"/>
        <v/>
      </c>
      <c r="AP874" s="5" t="str">
        <f t="shared" si="295"/>
        <v/>
      </c>
      <c r="AQ874" s="5" t="str">
        <f t="shared" si="296"/>
        <v/>
      </c>
      <c r="AR874" s="5" t="str">
        <f t="shared" si="297"/>
        <v/>
      </c>
      <c r="AS874" s="5" t="str">
        <f t="shared" si="298"/>
        <v/>
      </c>
      <c r="AT874" s="5" t="str">
        <f t="shared" si="299"/>
        <v/>
      </c>
      <c r="AU874" s="5" t="str">
        <f t="shared" si="300"/>
        <v/>
      </c>
      <c r="AV874" s="5" t="str">
        <f t="shared" si="301"/>
        <v/>
      </c>
      <c r="AW874" s="5" t="str">
        <f t="shared" si="302"/>
        <v/>
      </c>
      <c r="AX874" s="5" t="str">
        <f t="shared" si="303"/>
        <v/>
      </c>
      <c r="AY874" s="5" t="str">
        <f t="shared" si="304"/>
        <v/>
      </c>
      <c r="AZ874" s="5" t="str">
        <f t="shared" si="305"/>
        <v/>
      </c>
      <c r="BA874" s="5" t="str">
        <f t="shared" si="306"/>
        <v/>
      </c>
      <c r="BB874" s="5" t="str">
        <f t="shared" si="307"/>
        <v/>
      </c>
    </row>
    <row r="875" spans="1:54" s="5" customFormat="1" hidden="1">
      <c r="A875" s="8" t="str">
        <f>IF(INDEX(FORM!$A:$A,ROW())="","",ROW()-1)</f>
        <v/>
      </c>
      <c r="B875" s="41" t="str">
        <f>IF($A875="","",INDEX(FORM!$A:$A,ROW()))</f>
        <v/>
      </c>
      <c r="C875" s="8" t="str">
        <f>IF($A875="","",TRIM(INDEX(FORM!$B:$B,ROW())))</f>
        <v/>
      </c>
      <c r="D875" s="8" t="str">
        <f>IF($A875="","",TRIM(INDEX(FORM!$C:$C,ROW())&amp;""))</f>
        <v/>
      </c>
      <c r="E875" s="8" t="str">
        <f>IF($A875="","",UPPER(TRIM(INDEX(FORM!$D:$D,ROW()))))</f>
        <v/>
      </c>
      <c r="F875" s="8" t="str">
        <f>IF($A875="","",IFERROR(INDEX(PROGRES!$A$2:$A$92,MATCH(E875,PROGRES!$B$2:$B$92,0)),"-"))</f>
        <v/>
      </c>
      <c r="G875" s="8" t="str">
        <f>IF($A875="","",UPPER(TRIM(INDEX(FORM!$F:$F,ROW()))))</f>
        <v/>
      </c>
      <c r="H875" s="8" t="str">
        <f>IF($A875="","",UPPER(TRIM(INDEX(FORM!$E:$E,ROW()))))</f>
        <v/>
      </c>
      <c r="I875" s="8" t="str">
        <f>IF($A875="","",UPPER(TRIM(INDEX(FORM!$G:$G,ROW()))))</f>
        <v/>
      </c>
      <c r="J875" s="8" t="str">
        <f>IF($A875="","",IF(ISNUMBER(SEARCH("Ya,",INDEX(FORM!$H:$H,ROW()))),"YA",IF(ISNUMBER(SEARCH("Cukup,",INDEX(FORM!$H:$H,ROW()))),"CUKUP",IF(ISNUMBER(SEARCH("Kurang,",INDEX(FORM!$H:$H,ROW()))),"KURANG",""))))</f>
        <v/>
      </c>
      <c r="K875" s="8" t="str">
        <f>IF($A875="","",UPPER(TRIM(INDEX(FORM!$J:$J,ROW()))))</f>
        <v/>
      </c>
      <c r="L875" s="8" t="str">
        <f>IF($A875="","",IF(ISNUMBER(SEARCH("Aktivitas Harian",INDEX(FORM!$K:$K,ROW()))),1,0))</f>
        <v/>
      </c>
      <c r="M875" s="8" t="str">
        <f>IF($A875="","",IF(ISNUMBER(SEARCH("Aktivitas Mingguan",INDEX(FORM!$K:$K,ROW()))),1,0))</f>
        <v/>
      </c>
      <c r="N875" s="8" t="str">
        <f>IF($A875="","",IF(ISNUMBER(SEARCH("Aktivitas Bulanan",INDEX(FORM!$K:$K,ROW()))),1,0))</f>
        <v/>
      </c>
      <c r="O875" s="8" t="str">
        <f>IF($A875="","",IF(ISNUMBER(SEARCH("Overview Cabang",INDEX(FORM!$K:$K,ROW()))),1,0))</f>
        <v/>
      </c>
      <c r="P875" s="8" t="str">
        <f>IF($A875="","",IFERROR(VLOOKUP(I875,DATA!$AH$9:$AI$13,2,0),""))</f>
        <v/>
      </c>
      <c r="Q875" s="8" t="str">
        <f>IF($A875="","",IFERROR(VLOOKUP(J875,DATA!$AH$9:$AI$13,2,0),""))</f>
        <v/>
      </c>
      <c r="R875" s="8" t="str">
        <f>IF($A875="","",IFERROR(VLOOKUP(K875,DATA!$AH$9:$AI$13,2,0),""))</f>
        <v/>
      </c>
      <c r="S875" s="42" t="str">
        <f t="shared" si="286"/>
        <v/>
      </c>
      <c r="T875" s="8" t="str">
        <f>IF($A875="","",IF(COUNTIF($D$2:D875,D875)=1,1,0))</f>
        <v/>
      </c>
      <c r="U875" s="8" t="str">
        <f>IF($A875="","",IF(F875="-","Cabang tdk ada",IF(IFERROR(VLOOKUP(G875,#REF!,1,0),"")="","",IF(INDEX(DATA!$AH$2:$AH$5,MATCH(G875,DATA!$AI$2:$AI$5,0))&lt;&gt;F875,"Wilayah beda","OK"))))</f>
        <v/>
      </c>
      <c r="V875" s="8" t="str">
        <f>IF($A875="","",TRIM(INDEX(FORM!$I:$I,ROW())&amp;""))</f>
        <v/>
      </c>
      <c r="W875" s="8" t="str">
        <f>IF($A875="","",TRIM(INDEX(FORM!$L:$L,ROW())&amp;""))</f>
        <v/>
      </c>
      <c r="X875" s="8" t="str">
        <f>IF($A875="","",TRIM(INDEX(FORM!$M:$M,ROW())&amp;""))</f>
        <v/>
      </c>
      <c r="Y875" s="8" t="str">
        <f>IF($A875="","",IFERROR(MATCH(F875,DATA!$AH$2:$AH$5,0),9)*10000+A875)</f>
        <v/>
      </c>
      <c r="Z875" s="8" t="str">
        <f t="shared" si="287"/>
        <v/>
      </c>
      <c r="AA875" s="8" t="str">
        <f t="shared" si="288"/>
        <v/>
      </c>
      <c r="AB875" s="8" t="str">
        <f t="shared" si="289"/>
        <v/>
      </c>
      <c r="AC875" s="8"/>
      <c r="AD875" s="8"/>
      <c r="AE875" s="8"/>
      <c r="AK875" s="5" t="str">
        <f t="shared" si="290"/>
        <v/>
      </c>
      <c r="AL875" s="5" t="str">
        <f t="shared" si="291"/>
        <v/>
      </c>
      <c r="AM875" s="5" t="str">
        <f t="shared" si="292"/>
        <v/>
      </c>
      <c r="AN875" s="5" t="str">
        <f t="shared" si="293"/>
        <v/>
      </c>
      <c r="AO875" s="5" t="str">
        <f t="shared" si="294"/>
        <v/>
      </c>
      <c r="AP875" s="5" t="str">
        <f t="shared" si="295"/>
        <v/>
      </c>
      <c r="AQ875" s="5" t="str">
        <f t="shared" si="296"/>
        <v/>
      </c>
      <c r="AR875" s="5" t="str">
        <f t="shared" si="297"/>
        <v/>
      </c>
      <c r="AS875" s="5" t="str">
        <f t="shared" si="298"/>
        <v/>
      </c>
      <c r="AT875" s="5" t="str">
        <f t="shared" si="299"/>
        <v/>
      </c>
      <c r="AU875" s="5" t="str">
        <f t="shared" si="300"/>
        <v/>
      </c>
      <c r="AV875" s="5" t="str">
        <f t="shared" si="301"/>
        <v/>
      </c>
      <c r="AW875" s="5" t="str">
        <f t="shared" si="302"/>
        <v/>
      </c>
      <c r="AX875" s="5" t="str">
        <f t="shared" si="303"/>
        <v/>
      </c>
      <c r="AY875" s="5" t="str">
        <f t="shared" si="304"/>
        <v/>
      </c>
      <c r="AZ875" s="5" t="str">
        <f t="shared" si="305"/>
        <v/>
      </c>
      <c r="BA875" s="5" t="str">
        <f t="shared" si="306"/>
        <v/>
      </c>
      <c r="BB875" s="5" t="str">
        <f t="shared" si="307"/>
        <v/>
      </c>
    </row>
    <row r="876" spans="1:54" s="5" customFormat="1" hidden="1">
      <c r="A876" s="8" t="str">
        <f>IF(INDEX(FORM!$A:$A,ROW())="","",ROW()-1)</f>
        <v/>
      </c>
      <c r="B876" s="41" t="str">
        <f>IF($A876="","",INDEX(FORM!$A:$A,ROW()))</f>
        <v/>
      </c>
      <c r="C876" s="8" t="str">
        <f>IF($A876="","",TRIM(INDEX(FORM!$B:$B,ROW())))</f>
        <v/>
      </c>
      <c r="D876" s="8" t="str">
        <f>IF($A876="","",TRIM(INDEX(FORM!$C:$C,ROW())&amp;""))</f>
        <v/>
      </c>
      <c r="E876" s="8" t="str">
        <f>IF($A876="","",UPPER(TRIM(INDEX(FORM!$D:$D,ROW()))))</f>
        <v/>
      </c>
      <c r="F876" s="8" t="str">
        <f>IF($A876="","",IFERROR(INDEX(PROGRES!$A$2:$A$92,MATCH(E876,PROGRES!$B$2:$B$92,0)),"-"))</f>
        <v/>
      </c>
      <c r="G876" s="8" t="str">
        <f>IF($A876="","",UPPER(TRIM(INDEX(FORM!$F:$F,ROW()))))</f>
        <v/>
      </c>
      <c r="H876" s="8" t="str">
        <f>IF($A876="","",UPPER(TRIM(INDEX(FORM!$E:$E,ROW()))))</f>
        <v/>
      </c>
      <c r="I876" s="8" t="str">
        <f>IF($A876="","",UPPER(TRIM(INDEX(FORM!$G:$G,ROW()))))</f>
        <v/>
      </c>
      <c r="J876" s="8" t="str">
        <f>IF($A876="","",IF(ISNUMBER(SEARCH("Ya,",INDEX(FORM!$H:$H,ROW()))),"YA",IF(ISNUMBER(SEARCH("Cukup,",INDEX(FORM!$H:$H,ROW()))),"CUKUP",IF(ISNUMBER(SEARCH("Kurang,",INDEX(FORM!$H:$H,ROW()))),"KURANG",""))))</f>
        <v/>
      </c>
      <c r="K876" s="8" t="str">
        <f>IF($A876="","",UPPER(TRIM(INDEX(FORM!$J:$J,ROW()))))</f>
        <v/>
      </c>
      <c r="L876" s="8" t="str">
        <f>IF($A876="","",IF(ISNUMBER(SEARCH("Aktivitas Harian",INDEX(FORM!$K:$K,ROW()))),1,0))</f>
        <v/>
      </c>
      <c r="M876" s="8" t="str">
        <f>IF($A876="","",IF(ISNUMBER(SEARCH("Aktivitas Mingguan",INDEX(FORM!$K:$K,ROW()))),1,0))</f>
        <v/>
      </c>
      <c r="N876" s="8" t="str">
        <f>IF($A876="","",IF(ISNUMBER(SEARCH("Aktivitas Bulanan",INDEX(FORM!$K:$K,ROW()))),1,0))</f>
        <v/>
      </c>
      <c r="O876" s="8" t="str">
        <f>IF($A876="","",IF(ISNUMBER(SEARCH("Overview Cabang",INDEX(FORM!$K:$K,ROW()))),1,0))</f>
        <v/>
      </c>
      <c r="P876" s="8" t="str">
        <f>IF($A876="","",IFERROR(VLOOKUP(I876,DATA!$AH$9:$AI$13,2,0),""))</f>
        <v/>
      </c>
      <c r="Q876" s="8" t="str">
        <f>IF($A876="","",IFERROR(VLOOKUP(J876,DATA!$AH$9:$AI$13,2,0),""))</f>
        <v/>
      </c>
      <c r="R876" s="8" t="str">
        <f>IF($A876="","",IFERROR(VLOOKUP(K876,DATA!$AH$9:$AI$13,2,0),""))</f>
        <v/>
      </c>
      <c r="S876" s="42" t="str">
        <f t="shared" si="286"/>
        <v/>
      </c>
      <c r="T876" s="8" t="str">
        <f>IF($A876="","",IF(COUNTIF($D$2:D876,D876)=1,1,0))</f>
        <v/>
      </c>
      <c r="U876" s="8" t="str">
        <f>IF($A876="","",IF(F876="-","Cabang tdk ada",IF(IFERROR(VLOOKUP(G876,#REF!,1,0),"")="","",IF(INDEX(DATA!$AH$2:$AH$5,MATCH(G876,DATA!$AI$2:$AI$5,0))&lt;&gt;F876,"Wilayah beda","OK"))))</f>
        <v/>
      </c>
      <c r="V876" s="8" t="str">
        <f>IF($A876="","",TRIM(INDEX(FORM!$I:$I,ROW())&amp;""))</f>
        <v/>
      </c>
      <c r="W876" s="8" t="str">
        <f>IF($A876="","",TRIM(INDEX(FORM!$L:$L,ROW())&amp;""))</f>
        <v/>
      </c>
      <c r="X876" s="8" t="str">
        <f>IF($A876="","",TRIM(INDEX(FORM!$M:$M,ROW())&amp;""))</f>
        <v/>
      </c>
      <c r="Y876" s="8" t="str">
        <f>IF($A876="","",IFERROR(MATCH(F876,DATA!$AH$2:$AH$5,0),9)*10000+A876)</f>
        <v/>
      </c>
      <c r="Z876" s="8" t="str">
        <f t="shared" si="287"/>
        <v/>
      </c>
      <c r="AA876" s="8" t="str">
        <f t="shared" si="288"/>
        <v/>
      </c>
      <c r="AB876" s="8" t="str">
        <f t="shared" si="289"/>
        <v/>
      </c>
      <c r="AC876" s="8"/>
      <c r="AD876" s="8"/>
      <c r="AE876" s="8"/>
      <c r="AK876" s="5" t="str">
        <f t="shared" si="290"/>
        <v/>
      </c>
      <c r="AL876" s="5" t="str">
        <f t="shared" si="291"/>
        <v/>
      </c>
      <c r="AM876" s="5" t="str">
        <f t="shared" si="292"/>
        <v/>
      </c>
      <c r="AN876" s="5" t="str">
        <f t="shared" si="293"/>
        <v/>
      </c>
      <c r="AO876" s="5" t="str">
        <f t="shared" si="294"/>
        <v/>
      </c>
      <c r="AP876" s="5" t="str">
        <f t="shared" si="295"/>
        <v/>
      </c>
      <c r="AQ876" s="5" t="str">
        <f t="shared" si="296"/>
        <v/>
      </c>
      <c r="AR876" s="5" t="str">
        <f t="shared" si="297"/>
        <v/>
      </c>
      <c r="AS876" s="5" t="str">
        <f t="shared" si="298"/>
        <v/>
      </c>
      <c r="AT876" s="5" t="str">
        <f t="shared" si="299"/>
        <v/>
      </c>
      <c r="AU876" s="5" t="str">
        <f t="shared" si="300"/>
        <v/>
      </c>
      <c r="AV876" s="5" t="str">
        <f t="shared" si="301"/>
        <v/>
      </c>
      <c r="AW876" s="5" t="str">
        <f t="shared" si="302"/>
        <v/>
      </c>
      <c r="AX876" s="5" t="str">
        <f t="shared" si="303"/>
        <v/>
      </c>
      <c r="AY876" s="5" t="str">
        <f t="shared" si="304"/>
        <v/>
      </c>
      <c r="AZ876" s="5" t="str">
        <f t="shared" si="305"/>
        <v/>
      </c>
      <c r="BA876" s="5" t="str">
        <f t="shared" si="306"/>
        <v/>
      </c>
      <c r="BB876" s="5" t="str">
        <f t="shared" si="307"/>
        <v/>
      </c>
    </row>
    <row r="877" spans="1:54" s="5" customFormat="1" hidden="1">
      <c r="A877" s="8" t="str">
        <f>IF(INDEX(FORM!$A:$A,ROW())="","",ROW()-1)</f>
        <v/>
      </c>
      <c r="B877" s="41" t="str">
        <f>IF($A877="","",INDEX(FORM!$A:$A,ROW()))</f>
        <v/>
      </c>
      <c r="C877" s="8" t="str">
        <f>IF($A877="","",TRIM(INDEX(FORM!$B:$B,ROW())))</f>
        <v/>
      </c>
      <c r="D877" s="8" t="str">
        <f>IF($A877="","",TRIM(INDEX(FORM!$C:$C,ROW())&amp;""))</f>
        <v/>
      </c>
      <c r="E877" s="8" t="str">
        <f>IF($A877="","",UPPER(TRIM(INDEX(FORM!$D:$D,ROW()))))</f>
        <v/>
      </c>
      <c r="F877" s="8" t="str">
        <f>IF($A877="","",IFERROR(INDEX(PROGRES!$A$2:$A$92,MATCH(E877,PROGRES!$B$2:$B$92,0)),"-"))</f>
        <v/>
      </c>
      <c r="G877" s="8" t="str">
        <f>IF($A877="","",UPPER(TRIM(INDEX(FORM!$F:$F,ROW()))))</f>
        <v/>
      </c>
      <c r="H877" s="8" t="str">
        <f>IF($A877="","",UPPER(TRIM(INDEX(FORM!$E:$E,ROW()))))</f>
        <v/>
      </c>
      <c r="I877" s="8" t="str">
        <f>IF($A877="","",UPPER(TRIM(INDEX(FORM!$G:$G,ROW()))))</f>
        <v/>
      </c>
      <c r="J877" s="8" t="str">
        <f>IF($A877="","",IF(ISNUMBER(SEARCH("Ya,",INDEX(FORM!$H:$H,ROW()))),"YA",IF(ISNUMBER(SEARCH("Cukup,",INDEX(FORM!$H:$H,ROW()))),"CUKUP",IF(ISNUMBER(SEARCH("Kurang,",INDEX(FORM!$H:$H,ROW()))),"KURANG",""))))</f>
        <v/>
      </c>
      <c r="K877" s="8" t="str">
        <f>IF($A877="","",UPPER(TRIM(INDEX(FORM!$J:$J,ROW()))))</f>
        <v/>
      </c>
      <c r="L877" s="8" t="str">
        <f>IF($A877="","",IF(ISNUMBER(SEARCH("Aktivitas Harian",INDEX(FORM!$K:$K,ROW()))),1,0))</f>
        <v/>
      </c>
      <c r="M877" s="8" t="str">
        <f>IF($A877="","",IF(ISNUMBER(SEARCH("Aktivitas Mingguan",INDEX(FORM!$K:$K,ROW()))),1,0))</f>
        <v/>
      </c>
      <c r="N877" s="8" t="str">
        <f>IF($A877="","",IF(ISNUMBER(SEARCH("Aktivitas Bulanan",INDEX(FORM!$K:$K,ROW()))),1,0))</f>
        <v/>
      </c>
      <c r="O877" s="8" t="str">
        <f>IF($A877="","",IF(ISNUMBER(SEARCH("Overview Cabang",INDEX(FORM!$K:$K,ROW()))),1,0))</f>
        <v/>
      </c>
      <c r="P877" s="8" t="str">
        <f>IF($A877="","",IFERROR(VLOOKUP(I877,DATA!$AH$9:$AI$13,2,0),""))</f>
        <v/>
      </c>
      <c r="Q877" s="8" t="str">
        <f>IF($A877="","",IFERROR(VLOOKUP(J877,DATA!$AH$9:$AI$13,2,0),""))</f>
        <v/>
      </c>
      <c r="R877" s="8" t="str">
        <f>IF($A877="","",IFERROR(VLOOKUP(K877,DATA!$AH$9:$AI$13,2,0),""))</f>
        <v/>
      </c>
      <c r="S877" s="42" t="str">
        <f t="shared" si="286"/>
        <v/>
      </c>
      <c r="T877" s="8" t="str">
        <f>IF($A877="","",IF(COUNTIF($D$2:D877,D877)=1,1,0))</f>
        <v/>
      </c>
      <c r="U877" s="8" t="str">
        <f>IF($A877="","",IF(F877="-","Cabang tdk ada",IF(IFERROR(VLOOKUP(G877,#REF!,1,0),"")="","",IF(INDEX(DATA!$AH$2:$AH$5,MATCH(G877,DATA!$AI$2:$AI$5,0))&lt;&gt;F877,"Wilayah beda","OK"))))</f>
        <v/>
      </c>
      <c r="V877" s="8" t="str">
        <f>IF($A877="","",TRIM(INDEX(FORM!$I:$I,ROW())&amp;""))</f>
        <v/>
      </c>
      <c r="W877" s="8" t="str">
        <f>IF($A877="","",TRIM(INDEX(FORM!$L:$L,ROW())&amp;""))</f>
        <v/>
      </c>
      <c r="X877" s="8" t="str">
        <f>IF($A877="","",TRIM(INDEX(FORM!$M:$M,ROW())&amp;""))</f>
        <v/>
      </c>
      <c r="Y877" s="8" t="str">
        <f>IF($A877="","",IFERROR(MATCH(F877,DATA!$AH$2:$AH$5,0),9)*10000+A877)</f>
        <v/>
      </c>
      <c r="Z877" s="8" t="str">
        <f t="shared" si="287"/>
        <v/>
      </c>
      <c r="AA877" s="8" t="str">
        <f t="shared" si="288"/>
        <v/>
      </c>
      <c r="AB877" s="8" t="str">
        <f t="shared" si="289"/>
        <v/>
      </c>
      <c r="AC877" s="8"/>
      <c r="AD877" s="8"/>
      <c r="AE877" s="8"/>
      <c r="AK877" s="5" t="str">
        <f t="shared" si="290"/>
        <v/>
      </c>
      <c r="AL877" s="5" t="str">
        <f t="shared" si="291"/>
        <v/>
      </c>
      <c r="AM877" s="5" t="str">
        <f t="shared" si="292"/>
        <v/>
      </c>
      <c r="AN877" s="5" t="str">
        <f t="shared" si="293"/>
        <v/>
      </c>
      <c r="AO877" s="5" t="str">
        <f t="shared" si="294"/>
        <v/>
      </c>
      <c r="AP877" s="5" t="str">
        <f t="shared" si="295"/>
        <v/>
      </c>
      <c r="AQ877" s="5" t="str">
        <f t="shared" si="296"/>
        <v/>
      </c>
      <c r="AR877" s="5" t="str">
        <f t="shared" si="297"/>
        <v/>
      </c>
      <c r="AS877" s="5" t="str">
        <f t="shared" si="298"/>
        <v/>
      </c>
      <c r="AT877" s="5" t="str">
        <f t="shared" si="299"/>
        <v/>
      </c>
      <c r="AU877" s="5" t="str">
        <f t="shared" si="300"/>
        <v/>
      </c>
      <c r="AV877" s="5" t="str">
        <f t="shared" si="301"/>
        <v/>
      </c>
      <c r="AW877" s="5" t="str">
        <f t="shared" si="302"/>
        <v/>
      </c>
      <c r="AX877" s="5" t="str">
        <f t="shared" si="303"/>
        <v/>
      </c>
      <c r="AY877" s="5" t="str">
        <f t="shared" si="304"/>
        <v/>
      </c>
      <c r="AZ877" s="5" t="str">
        <f t="shared" si="305"/>
        <v/>
      </c>
      <c r="BA877" s="5" t="str">
        <f t="shared" si="306"/>
        <v/>
      </c>
      <c r="BB877" s="5" t="str">
        <f t="shared" si="307"/>
        <v/>
      </c>
    </row>
    <row r="878" spans="1:54" s="5" customFormat="1" hidden="1">
      <c r="A878" s="8" t="str">
        <f>IF(INDEX(FORM!$A:$A,ROW())="","",ROW()-1)</f>
        <v/>
      </c>
      <c r="B878" s="41" t="str">
        <f>IF($A878="","",INDEX(FORM!$A:$A,ROW()))</f>
        <v/>
      </c>
      <c r="C878" s="8" t="str">
        <f>IF($A878="","",TRIM(INDEX(FORM!$B:$B,ROW())))</f>
        <v/>
      </c>
      <c r="D878" s="8" t="str">
        <f>IF($A878="","",TRIM(INDEX(FORM!$C:$C,ROW())&amp;""))</f>
        <v/>
      </c>
      <c r="E878" s="8" t="str">
        <f>IF($A878="","",UPPER(TRIM(INDEX(FORM!$D:$D,ROW()))))</f>
        <v/>
      </c>
      <c r="F878" s="8" t="str">
        <f>IF($A878="","",IFERROR(INDEX(PROGRES!$A$2:$A$92,MATCH(E878,PROGRES!$B$2:$B$92,0)),"-"))</f>
        <v/>
      </c>
      <c r="G878" s="8" t="str">
        <f>IF($A878="","",UPPER(TRIM(INDEX(FORM!$F:$F,ROW()))))</f>
        <v/>
      </c>
      <c r="H878" s="8" t="str">
        <f>IF($A878="","",UPPER(TRIM(INDEX(FORM!$E:$E,ROW()))))</f>
        <v/>
      </c>
      <c r="I878" s="8" t="str">
        <f>IF($A878="","",UPPER(TRIM(INDEX(FORM!$G:$G,ROW()))))</f>
        <v/>
      </c>
      <c r="J878" s="8" t="str">
        <f>IF($A878="","",IF(ISNUMBER(SEARCH("Ya,",INDEX(FORM!$H:$H,ROW()))),"YA",IF(ISNUMBER(SEARCH("Cukup,",INDEX(FORM!$H:$H,ROW()))),"CUKUP",IF(ISNUMBER(SEARCH("Kurang,",INDEX(FORM!$H:$H,ROW()))),"KURANG",""))))</f>
        <v/>
      </c>
      <c r="K878" s="8" t="str">
        <f>IF($A878="","",UPPER(TRIM(INDEX(FORM!$J:$J,ROW()))))</f>
        <v/>
      </c>
      <c r="L878" s="8" t="str">
        <f>IF($A878="","",IF(ISNUMBER(SEARCH("Aktivitas Harian",INDEX(FORM!$K:$K,ROW()))),1,0))</f>
        <v/>
      </c>
      <c r="M878" s="8" t="str">
        <f>IF($A878="","",IF(ISNUMBER(SEARCH("Aktivitas Mingguan",INDEX(FORM!$K:$K,ROW()))),1,0))</f>
        <v/>
      </c>
      <c r="N878" s="8" t="str">
        <f>IF($A878="","",IF(ISNUMBER(SEARCH("Aktivitas Bulanan",INDEX(FORM!$K:$K,ROW()))),1,0))</f>
        <v/>
      </c>
      <c r="O878" s="8" t="str">
        <f>IF($A878="","",IF(ISNUMBER(SEARCH("Overview Cabang",INDEX(FORM!$K:$K,ROW()))),1,0))</f>
        <v/>
      </c>
      <c r="P878" s="8" t="str">
        <f>IF($A878="","",IFERROR(VLOOKUP(I878,DATA!$AH$9:$AI$13,2,0),""))</f>
        <v/>
      </c>
      <c r="Q878" s="8" t="str">
        <f>IF($A878="","",IFERROR(VLOOKUP(J878,DATA!$AH$9:$AI$13,2,0),""))</f>
        <v/>
      </c>
      <c r="R878" s="8" t="str">
        <f>IF($A878="","",IFERROR(VLOOKUP(K878,DATA!$AH$9:$AI$13,2,0),""))</f>
        <v/>
      </c>
      <c r="S878" s="42" t="str">
        <f t="shared" si="286"/>
        <v/>
      </c>
      <c r="T878" s="8" t="str">
        <f>IF($A878="","",IF(COUNTIF($D$2:D878,D878)=1,1,0))</f>
        <v/>
      </c>
      <c r="U878" s="8" t="str">
        <f>IF($A878="","",IF(F878="-","Cabang tdk ada",IF(IFERROR(VLOOKUP(G878,#REF!,1,0),"")="","",IF(INDEX(DATA!$AH$2:$AH$5,MATCH(G878,DATA!$AI$2:$AI$5,0))&lt;&gt;F878,"Wilayah beda","OK"))))</f>
        <v/>
      </c>
      <c r="V878" s="8" t="str">
        <f>IF($A878="","",TRIM(INDEX(FORM!$I:$I,ROW())&amp;""))</f>
        <v/>
      </c>
      <c r="W878" s="8" t="str">
        <f>IF($A878="","",TRIM(INDEX(FORM!$L:$L,ROW())&amp;""))</f>
        <v/>
      </c>
      <c r="X878" s="8" t="str">
        <f>IF($A878="","",TRIM(INDEX(FORM!$M:$M,ROW())&amp;""))</f>
        <v/>
      </c>
      <c r="Y878" s="8" t="str">
        <f>IF($A878="","",IFERROR(MATCH(F878,DATA!$AH$2:$AH$5,0),9)*10000+A878)</f>
        <v/>
      </c>
      <c r="Z878" s="8" t="str">
        <f t="shared" si="287"/>
        <v/>
      </c>
      <c r="AA878" s="8" t="str">
        <f t="shared" si="288"/>
        <v/>
      </c>
      <c r="AB878" s="8" t="str">
        <f t="shared" si="289"/>
        <v/>
      </c>
      <c r="AC878" s="8"/>
      <c r="AD878" s="8"/>
      <c r="AE878" s="8"/>
      <c r="AK878" s="5" t="str">
        <f t="shared" si="290"/>
        <v/>
      </c>
      <c r="AL878" s="5" t="str">
        <f t="shared" si="291"/>
        <v/>
      </c>
      <c r="AM878" s="5" t="str">
        <f t="shared" si="292"/>
        <v/>
      </c>
      <c r="AN878" s="5" t="str">
        <f t="shared" si="293"/>
        <v/>
      </c>
      <c r="AO878" s="5" t="str">
        <f t="shared" si="294"/>
        <v/>
      </c>
      <c r="AP878" s="5" t="str">
        <f t="shared" si="295"/>
        <v/>
      </c>
      <c r="AQ878" s="5" t="str">
        <f t="shared" si="296"/>
        <v/>
      </c>
      <c r="AR878" s="5" t="str">
        <f t="shared" si="297"/>
        <v/>
      </c>
      <c r="AS878" s="5" t="str">
        <f t="shared" si="298"/>
        <v/>
      </c>
      <c r="AT878" s="5" t="str">
        <f t="shared" si="299"/>
        <v/>
      </c>
      <c r="AU878" s="5" t="str">
        <f t="shared" si="300"/>
        <v/>
      </c>
      <c r="AV878" s="5" t="str">
        <f t="shared" si="301"/>
        <v/>
      </c>
      <c r="AW878" s="5" t="str">
        <f t="shared" si="302"/>
        <v/>
      </c>
      <c r="AX878" s="5" t="str">
        <f t="shared" si="303"/>
        <v/>
      </c>
      <c r="AY878" s="5" t="str">
        <f t="shared" si="304"/>
        <v/>
      </c>
      <c r="AZ878" s="5" t="str">
        <f t="shared" si="305"/>
        <v/>
      </c>
      <c r="BA878" s="5" t="str">
        <f t="shared" si="306"/>
        <v/>
      </c>
      <c r="BB878" s="5" t="str">
        <f t="shared" si="307"/>
        <v/>
      </c>
    </row>
    <row r="879" spans="1:54" s="5" customFormat="1" hidden="1">
      <c r="A879" s="8" t="str">
        <f>IF(INDEX(FORM!$A:$A,ROW())="","",ROW()-1)</f>
        <v/>
      </c>
      <c r="B879" s="41" t="str">
        <f>IF($A879="","",INDEX(FORM!$A:$A,ROW()))</f>
        <v/>
      </c>
      <c r="C879" s="8" t="str">
        <f>IF($A879="","",TRIM(INDEX(FORM!$B:$B,ROW())))</f>
        <v/>
      </c>
      <c r="D879" s="8" t="str">
        <f>IF($A879="","",TRIM(INDEX(FORM!$C:$C,ROW())&amp;""))</f>
        <v/>
      </c>
      <c r="E879" s="8" t="str">
        <f>IF($A879="","",UPPER(TRIM(INDEX(FORM!$D:$D,ROW()))))</f>
        <v/>
      </c>
      <c r="F879" s="8" t="str">
        <f>IF($A879="","",IFERROR(INDEX(PROGRES!$A$2:$A$92,MATCH(E879,PROGRES!$B$2:$B$92,0)),"-"))</f>
        <v/>
      </c>
      <c r="G879" s="8" t="str">
        <f>IF($A879="","",UPPER(TRIM(INDEX(FORM!$F:$F,ROW()))))</f>
        <v/>
      </c>
      <c r="H879" s="8" t="str">
        <f>IF($A879="","",UPPER(TRIM(INDEX(FORM!$E:$E,ROW()))))</f>
        <v/>
      </c>
      <c r="I879" s="8" t="str">
        <f>IF($A879="","",UPPER(TRIM(INDEX(FORM!$G:$G,ROW()))))</f>
        <v/>
      </c>
      <c r="J879" s="8" t="str">
        <f>IF($A879="","",IF(ISNUMBER(SEARCH("Ya,",INDEX(FORM!$H:$H,ROW()))),"YA",IF(ISNUMBER(SEARCH("Cukup,",INDEX(FORM!$H:$H,ROW()))),"CUKUP",IF(ISNUMBER(SEARCH("Kurang,",INDEX(FORM!$H:$H,ROW()))),"KURANG",""))))</f>
        <v/>
      </c>
      <c r="K879" s="8" t="str">
        <f>IF($A879="","",UPPER(TRIM(INDEX(FORM!$J:$J,ROW()))))</f>
        <v/>
      </c>
      <c r="L879" s="8" t="str">
        <f>IF($A879="","",IF(ISNUMBER(SEARCH("Aktivitas Harian",INDEX(FORM!$K:$K,ROW()))),1,0))</f>
        <v/>
      </c>
      <c r="M879" s="8" t="str">
        <f>IF($A879="","",IF(ISNUMBER(SEARCH("Aktivitas Mingguan",INDEX(FORM!$K:$K,ROW()))),1,0))</f>
        <v/>
      </c>
      <c r="N879" s="8" t="str">
        <f>IF($A879="","",IF(ISNUMBER(SEARCH("Aktivitas Bulanan",INDEX(FORM!$K:$K,ROW()))),1,0))</f>
        <v/>
      </c>
      <c r="O879" s="8" t="str">
        <f>IF($A879="","",IF(ISNUMBER(SEARCH("Overview Cabang",INDEX(FORM!$K:$K,ROW()))),1,0))</f>
        <v/>
      </c>
      <c r="P879" s="8" t="str">
        <f>IF($A879="","",IFERROR(VLOOKUP(I879,DATA!$AH$9:$AI$13,2,0),""))</f>
        <v/>
      </c>
      <c r="Q879" s="8" t="str">
        <f>IF($A879="","",IFERROR(VLOOKUP(J879,DATA!$AH$9:$AI$13,2,0),""))</f>
        <v/>
      </c>
      <c r="R879" s="8" t="str">
        <f>IF($A879="","",IFERROR(VLOOKUP(K879,DATA!$AH$9:$AI$13,2,0),""))</f>
        <v/>
      </c>
      <c r="S879" s="42" t="str">
        <f t="shared" si="286"/>
        <v/>
      </c>
      <c r="T879" s="8" t="str">
        <f>IF($A879="","",IF(COUNTIF($D$2:D879,D879)=1,1,0))</f>
        <v/>
      </c>
      <c r="U879" s="8" t="str">
        <f>IF($A879="","",IF(F879="-","Cabang tdk ada",IF(IFERROR(VLOOKUP(G879,#REF!,1,0),"")="","",IF(INDEX(DATA!$AH$2:$AH$5,MATCH(G879,DATA!$AI$2:$AI$5,0))&lt;&gt;F879,"Wilayah beda","OK"))))</f>
        <v/>
      </c>
      <c r="V879" s="8" t="str">
        <f>IF($A879="","",TRIM(INDEX(FORM!$I:$I,ROW())&amp;""))</f>
        <v/>
      </c>
      <c r="W879" s="8" t="str">
        <f>IF($A879="","",TRIM(INDEX(FORM!$L:$L,ROW())&amp;""))</f>
        <v/>
      </c>
      <c r="X879" s="8" t="str">
        <f>IF($A879="","",TRIM(INDEX(FORM!$M:$M,ROW())&amp;""))</f>
        <v/>
      </c>
      <c r="Y879" s="8" t="str">
        <f>IF($A879="","",IFERROR(MATCH(F879,DATA!$AH$2:$AH$5,0),9)*10000+A879)</f>
        <v/>
      </c>
      <c r="Z879" s="8" t="str">
        <f t="shared" si="287"/>
        <v/>
      </c>
      <c r="AA879" s="8" t="str">
        <f t="shared" si="288"/>
        <v/>
      </c>
      <c r="AB879" s="8" t="str">
        <f t="shared" si="289"/>
        <v/>
      </c>
      <c r="AC879" s="8"/>
      <c r="AD879" s="8"/>
      <c r="AE879" s="8"/>
      <c r="AK879" s="5" t="str">
        <f t="shared" si="290"/>
        <v/>
      </c>
      <c r="AL879" s="5" t="str">
        <f t="shared" si="291"/>
        <v/>
      </c>
      <c r="AM879" s="5" t="str">
        <f t="shared" si="292"/>
        <v/>
      </c>
      <c r="AN879" s="5" t="str">
        <f t="shared" si="293"/>
        <v/>
      </c>
      <c r="AO879" s="5" t="str">
        <f t="shared" si="294"/>
        <v/>
      </c>
      <c r="AP879" s="5" t="str">
        <f t="shared" si="295"/>
        <v/>
      </c>
      <c r="AQ879" s="5" t="str">
        <f t="shared" si="296"/>
        <v/>
      </c>
      <c r="AR879" s="5" t="str">
        <f t="shared" si="297"/>
        <v/>
      </c>
      <c r="AS879" s="5" t="str">
        <f t="shared" si="298"/>
        <v/>
      </c>
      <c r="AT879" s="5" t="str">
        <f t="shared" si="299"/>
        <v/>
      </c>
      <c r="AU879" s="5" t="str">
        <f t="shared" si="300"/>
        <v/>
      </c>
      <c r="AV879" s="5" t="str">
        <f t="shared" si="301"/>
        <v/>
      </c>
      <c r="AW879" s="5" t="str">
        <f t="shared" si="302"/>
        <v/>
      </c>
      <c r="AX879" s="5" t="str">
        <f t="shared" si="303"/>
        <v/>
      </c>
      <c r="AY879" s="5" t="str">
        <f t="shared" si="304"/>
        <v/>
      </c>
      <c r="AZ879" s="5" t="str">
        <f t="shared" si="305"/>
        <v/>
      </c>
      <c r="BA879" s="5" t="str">
        <f t="shared" si="306"/>
        <v/>
      </c>
      <c r="BB879" s="5" t="str">
        <f t="shared" si="307"/>
        <v/>
      </c>
    </row>
    <row r="880" spans="1:54" s="5" customFormat="1" hidden="1">
      <c r="A880" s="8" t="str">
        <f>IF(INDEX(FORM!$A:$A,ROW())="","",ROW()-1)</f>
        <v/>
      </c>
      <c r="B880" s="41" t="str">
        <f>IF($A880="","",INDEX(FORM!$A:$A,ROW()))</f>
        <v/>
      </c>
      <c r="C880" s="8" t="str">
        <f>IF($A880="","",TRIM(INDEX(FORM!$B:$B,ROW())))</f>
        <v/>
      </c>
      <c r="D880" s="8" t="str">
        <f>IF($A880="","",TRIM(INDEX(FORM!$C:$C,ROW())&amp;""))</f>
        <v/>
      </c>
      <c r="E880" s="8" t="str">
        <f>IF($A880="","",UPPER(TRIM(INDEX(FORM!$D:$D,ROW()))))</f>
        <v/>
      </c>
      <c r="F880" s="8" t="str">
        <f>IF($A880="","",IFERROR(INDEX(PROGRES!$A$2:$A$92,MATCH(E880,PROGRES!$B$2:$B$92,0)),"-"))</f>
        <v/>
      </c>
      <c r="G880" s="8" t="str">
        <f>IF($A880="","",UPPER(TRIM(INDEX(FORM!$F:$F,ROW()))))</f>
        <v/>
      </c>
      <c r="H880" s="8" t="str">
        <f>IF($A880="","",UPPER(TRIM(INDEX(FORM!$E:$E,ROW()))))</f>
        <v/>
      </c>
      <c r="I880" s="8" t="str">
        <f>IF($A880="","",UPPER(TRIM(INDEX(FORM!$G:$G,ROW()))))</f>
        <v/>
      </c>
      <c r="J880" s="8" t="str">
        <f>IF($A880="","",IF(ISNUMBER(SEARCH("Ya,",INDEX(FORM!$H:$H,ROW()))),"YA",IF(ISNUMBER(SEARCH("Cukup,",INDEX(FORM!$H:$H,ROW()))),"CUKUP",IF(ISNUMBER(SEARCH("Kurang,",INDEX(FORM!$H:$H,ROW()))),"KURANG",""))))</f>
        <v/>
      </c>
      <c r="K880" s="8" t="str">
        <f>IF($A880="","",UPPER(TRIM(INDEX(FORM!$J:$J,ROW()))))</f>
        <v/>
      </c>
      <c r="L880" s="8" t="str">
        <f>IF($A880="","",IF(ISNUMBER(SEARCH("Aktivitas Harian",INDEX(FORM!$K:$K,ROW()))),1,0))</f>
        <v/>
      </c>
      <c r="M880" s="8" t="str">
        <f>IF($A880="","",IF(ISNUMBER(SEARCH("Aktivitas Mingguan",INDEX(FORM!$K:$K,ROW()))),1,0))</f>
        <v/>
      </c>
      <c r="N880" s="8" t="str">
        <f>IF($A880="","",IF(ISNUMBER(SEARCH("Aktivitas Bulanan",INDEX(FORM!$K:$K,ROW()))),1,0))</f>
        <v/>
      </c>
      <c r="O880" s="8" t="str">
        <f>IF($A880="","",IF(ISNUMBER(SEARCH("Overview Cabang",INDEX(FORM!$K:$K,ROW()))),1,0))</f>
        <v/>
      </c>
      <c r="P880" s="8" t="str">
        <f>IF($A880="","",IFERROR(VLOOKUP(I880,DATA!$AH$9:$AI$13,2,0),""))</f>
        <v/>
      </c>
      <c r="Q880" s="8" t="str">
        <f>IF($A880="","",IFERROR(VLOOKUP(J880,DATA!$AH$9:$AI$13,2,0),""))</f>
        <v/>
      </c>
      <c r="R880" s="8" t="str">
        <f>IF($A880="","",IFERROR(VLOOKUP(K880,DATA!$AH$9:$AI$13,2,0),""))</f>
        <v/>
      </c>
      <c r="S880" s="42" t="str">
        <f t="shared" si="286"/>
        <v/>
      </c>
      <c r="T880" s="8" t="str">
        <f>IF($A880="","",IF(COUNTIF($D$2:D880,D880)=1,1,0))</f>
        <v/>
      </c>
      <c r="U880" s="8" t="str">
        <f>IF($A880="","",IF(F880="-","Cabang tdk ada",IF(IFERROR(VLOOKUP(G880,#REF!,1,0),"")="","",IF(INDEX(DATA!$AH$2:$AH$5,MATCH(G880,DATA!$AI$2:$AI$5,0))&lt;&gt;F880,"Wilayah beda","OK"))))</f>
        <v/>
      </c>
      <c r="V880" s="8" t="str">
        <f>IF($A880="","",TRIM(INDEX(FORM!$I:$I,ROW())&amp;""))</f>
        <v/>
      </c>
      <c r="W880" s="8" t="str">
        <f>IF($A880="","",TRIM(INDEX(FORM!$L:$L,ROW())&amp;""))</f>
        <v/>
      </c>
      <c r="X880" s="8" t="str">
        <f>IF($A880="","",TRIM(INDEX(FORM!$M:$M,ROW())&amp;""))</f>
        <v/>
      </c>
      <c r="Y880" s="8" t="str">
        <f>IF($A880="","",IFERROR(MATCH(F880,DATA!$AH$2:$AH$5,0),9)*10000+A880)</f>
        <v/>
      </c>
      <c r="Z880" s="8" t="str">
        <f t="shared" si="287"/>
        <v/>
      </c>
      <c r="AA880" s="8" t="str">
        <f t="shared" si="288"/>
        <v/>
      </c>
      <c r="AB880" s="8" t="str">
        <f t="shared" si="289"/>
        <v/>
      </c>
      <c r="AC880" s="8"/>
      <c r="AD880" s="8"/>
      <c r="AE880" s="8"/>
      <c r="AK880" s="5" t="str">
        <f t="shared" si="290"/>
        <v/>
      </c>
      <c r="AL880" s="5" t="str">
        <f t="shared" si="291"/>
        <v/>
      </c>
      <c r="AM880" s="5" t="str">
        <f t="shared" si="292"/>
        <v/>
      </c>
      <c r="AN880" s="5" t="str">
        <f t="shared" si="293"/>
        <v/>
      </c>
      <c r="AO880" s="5" t="str">
        <f t="shared" si="294"/>
        <v/>
      </c>
      <c r="AP880" s="5" t="str">
        <f t="shared" si="295"/>
        <v/>
      </c>
      <c r="AQ880" s="5" t="str">
        <f t="shared" si="296"/>
        <v/>
      </c>
      <c r="AR880" s="5" t="str">
        <f t="shared" si="297"/>
        <v/>
      </c>
      <c r="AS880" s="5" t="str">
        <f t="shared" si="298"/>
        <v/>
      </c>
      <c r="AT880" s="5" t="str">
        <f t="shared" si="299"/>
        <v/>
      </c>
      <c r="AU880" s="5" t="str">
        <f t="shared" si="300"/>
        <v/>
      </c>
      <c r="AV880" s="5" t="str">
        <f t="shared" si="301"/>
        <v/>
      </c>
      <c r="AW880" s="5" t="str">
        <f t="shared" si="302"/>
        <v/>
      </c>
      <c r="AX880" s="5" t="str">
        <f t="shared" si="303"/>
        <v/>
      </c>
      <c r="AY880" s="5" t="str">
        <f t="shared" si="304"/>
        <v/>
      </c>
      <c r="AZ880" s="5" t="str">
        <f t="shared" si="305"/>
        <v/>
      </c>
      <c r="BA880" s="5" t="str">
        <f t="shared" si="306"/>
        <v/>
      </c>
      <c r="BB880" s="5" t="str">
        <f t="shared" si="307"/>
        <v/>
      </c>
    </row>
    <row r="881" spans="1:54" s="5" customFormat="1" hidden="1">
      <c r="A881" s="8" t="str">
        <f>IF(INDEX(FORM!$A:$A,ROW())="","",ROW()-1)</f>
        <v/>
      </c>
      <c r="B881" s="41" t="str">
        <f>IF($A881="","",INDEX(FORM!$A:$A,ROW()))</f>
        <v/>
      </c>
      <c r="C881" s="8" t="str">
        <f>IF($A881="","",TRIM(INDEX(FORM!$B:$B,ROW())))</f>
        <v/>
      </c>
      <c r="D881" s="8" t="str">
        <f>IF($A881="","",TRIM(INDEX(FORM!$C:$C,ROW())&amp;""))</f>
        <v/>
      </c>
      <c r="E881" s="8" t="str">
        <f>IF($A881="","",UPPER(TRIM(INDEX(FORM!$D:$D,ROW()))))</f>
        <v/>
      </c>
      <c r="F881" s="8" t="str">
        <f>IF($A881="","",IFERROR(INDEX(PROGRES!$A$2:$A$92,MATCH(E881,PROGRES!$B$2:$B$92,0)),"-"))</f>
        <v/>
      </c>
      <c r="G881" s="8" t="str">
        <f>IF($A881="","",UPPER(TRIM(INDEX(FORM!$F:$F,ROW()))))</f>
        <v/>
      </c>
      <c r="H881" s="8" t="str">
        <f>IF($A881="","",UPPER(TRIM(INDEX(FORM!$E:$E,ROW()))))</f>
        <v/>
      </c>
      <c r="I881" s="8" t="str">
        <f>IF($A881="","",UPPER(TRIM(INDEX(FORM!$G:$G,ROW()))))</f>
        <v/>
      </c>
      <c r="J881" s="8" t="str">
        <f>IF($A881="","",IF(ISNUMBER(SEARCH("Ya,",INDEX(FORM!$H:$H,ROW()))),"YA",IF(ISNUMBER(SEARCH("Cukup,",INDEX(FORM!$H:$H,ROW()))),"CUKUP",IF(ISNUMBER(SEARCH("Kurang,",INDEX(FORM!$H:$H,ROW()))),"KURANG",""))))</f>
        <v/>
      </c>
      <c r="K881" s="8" t="str">
        <f>IF($A881="","",UPPER(TRIM(INDEX(FORM!$J:$J,ROW()))))</f>
        <v/>
      </c>
      <c r="L881" s="8" t="str">
        <f>IF($A881="","",IF(ISNUMBER(SEARCH("Aktivitas Harian",INDEX(FORM!$K:$K,ROW()))),1,0))</f>
        <v/>
      </c>
      <c r="M881" s="8" t="str">
        <f>IF($A881="","",IF(ISNUMBER(SEARCH("Aktivitas Mingguan",INDEX(FORM!$K:$K,ROW()))),1,0))</f>
        <v/>
      </c>
      <c r="N881" s="8" t="str">
        <f>IF($A881="","",IF(ISNUMBER(SEARCH("Aktivitas Bulanan",INDEX(FORM!$K:$K,ROW()))),1,0))</f>
        <v/>
      </c>
      <c r="O881" s="8" t="str">
        <f>IF($A881="","",IF(ISNUMBER(SEARCH("Overview Cabang",INDEX(FORM!$K:$K,ROW()))),1,0))</f>
        <v/>
      </c>
      <c r="P881" s="8" t="str">
        <f>IF($A881="","",IFERROR(VLOOKUP(I881,DATA!$AH$9:$AI$13,2,0),""))</f>
        <v/>
      </c>
      <c r="Q881" s="8" t="str">
        <f>IF($A881="","",IFERROR(VLOOKUP(J881,DATA!$AH$9:$AI$13,2,0),""))</f>
        <v/>
      </c>
      <c r="R881" s="8" t="str">
        <f>IF($A881="","",IFERROR(VLOOKUP(K881,DATA!$AH$9:$AI$13,2,0),""))</f>
        <v/>
      </c>
      <c r="S881" s="42" t="str">
        <f t="shared" si="286"/>
        <v/>
      </c>
      <c r="T881" s="8" t="str">
        <f>IF($A881="","",IF(COUNTIF($D$2:D881,D881)=1,1,0))</f>
        <v/>
      </c>
      <c r="U881" s="8" t="str">
        <f>IF($A881="","",IF(F881="-","Cabang tdk ada",IF(IFERROR(VLOOKUP(G881,#REF!,1,0),"")="","",IF(INDEX(DATA!$AH$2:$AH$5,MATCH(G881,DATA!$AI$2:$AI$5,0))&lt;&gt;F881,"Wilayah beda","OK"))))</f>
        <v/>
      </c>
      <c r="V881" s="8" t="str">
        <f>IF($A881="","",TRIM(INDEX(FORM!$I:$I,ROW())&amp;""))</f>
        <v/>
      </c>
      <c r="W881" s="8" t="str">
        <f>IF($A881="","",TRIM(INDEX(FORM!$L:$L,ROW())&amp;""))</f>
        <v/>
      </c>
      <c r="X881" s="8" t="str">
        <f>IF($A881="","",TRIM(INDEX(FORM!$M:$M,ROW())&amp;""))</f>
        <v/>
      </c>
      <c r="Y881" s="8" t="str">
        <f>IF($A881="","",IFERROR(MATCH(F881,DATA!$AH$2:$AH$5,0),9)*10000+A881)</f>
        <v/>
      </c>
      <c r="Z881" s="8" t="str">
        <f t="shared" si="287"/>
        <v/>
      </c>
      <c r="AA881" s="8" t="str">
        <f t="shared" si="288"/>
        <v/>
      </c>
      <c r="AB881" s="8" t="str">
        <f t="shared" si="289"/>
        <v/>
      </c>
      <c r="AC881" s="8"/>
      <c r="AD881" s="8"/>
      <c r="AE881" s="8"/>
      <c r="AK881" s="5" t="str">
        <f t="shared" si="290"/>
        <v/>
      </c>
      <c r="AL881" s="5" t="str">
        <f t="shared" si="291"/>
        <v/>
      </c>
      <c r="AM881" s="5" t="str">
        <f t="shared" si="292"/>
        <v/>
      </c>
      <c r="AN881" s="5" t="str">
        <f t="shared" si="293"/>
        <v/>
      </c>
      <c r="AO881" s="5" t="str">
        <f t="shared" si="294"/>
        <v/>
      </c>
      <c r="AP881" s="5" t="str">
        <f t="shared" si="295"/>
        <v/>
      </c>
      <c r="AQ881" s="5" t="str">
        <f t="shared" si="296"/>
        <v/>
      </c>
      <c r="AR881" s="5" t="str">
        <f t="shared" si="297"/>
        <v/>
      </c>
      <c r="AS881" s="5" t="str">
        <f t="shared" si="298"/>
        <v/>
      </c>
      <c r="AT881" s="5" t="str">
        <f t="shared" si="299"/>
        <v/>
      </c>
      <c r="AU881" s="5" t="str">
        <f t="shared" si="300"/>
        <v/>
      </c>
      <c r="AV881" s="5" t="str">
        <f t="shared" si="301"/>
        <v/>
      </c>
      <c r="AW881" s="5" t="str">
        <f t="shared" si="302"/>
        <v/>
      </c>
      <c r="AX881" s="5" t="str">
        <f t="shared" si="303"/>
        <v/>
      </c>
      <c r="AY881" s="5" t="str">
        <f t="shared" si="304"/>
        <v/>
      </c>
      <c r="AZ881" s="5" t="str">
        <f t="shared" si="305"/>
        <v/>
      </c>
      <c r="BA881" s="5" t="str">
        <f t="shared" si="306"/>
        <v/>
      </c>
      <c r="BB881" s="5" t="str">
        <f t="shared" si="307"/>
        <v/>
      </c>
    </row>
    <row r="882" spans="1:54" s="5" customFormat="1" hidden="1">
      <c r="A882" s="8" t="str">
        <f>IF(INDEX(FORM!$A:$A,ROW())="","",ROW()-1)</f>
        <v/>
      </c>
      <c r="B882" s="41" t="str">
        <f>IF($A882="","",INDEX(FORM!$A:$A,ROW()))</f>
        <v/>
      </c>
      <c r="C882" s="8" t="str">
        <f>IF($A882="","",TRIM(INDEX(FORM!$B:$B,ROW())))</f>
        <v/>
      </c>
      <c r="D882" s="8" t="str">
        <f>IF($A882="","",TRIM(INDEX(FORM!$C:$C,ROW())&amp;""))</f>
        <v/>
      </c>
      <c r="E882" s="8" t="str">
        <f>IF($A882="","",UPPER(TRIM(INDEX(FORM!$D:$D,ROW()))))</f>
        <v/>
      </c>
      <c r="F882" s="8" t="str">
        <f>IF($A882="","",IFERROR(INDEX(PROGRES!$A$2:$A$92,MATCH(E882,PROGRES!$B$2:$B$92,0)),"-"))</f>
        <v/>
      </c>
      <c r="G882" s="8" t="str">
        <f>IF($A882="","",UPPER(TRIM(INDEX(FORM!$F:$F,ROW()))))</f>
        <v/>
      </c>
      <c r="H882" s="8" t="str">
        <f>IF($A882="","",UPPER(TRIM(INDEX(FORM!$E:$E,ROW()))))</f>
        <v/>
      </c>
      <c r="I882" s="8" t="str">
        <f>IF($A882="","",UPPER(TRIM(INDEX(FORM!$G:$G,ROW()))))</f>
        <v/>
      </c>
      <c r="J882" s="8" t="str">
        <f>IF($A882="","",IF(ISNUMBER(SEARCH("Ya,",INDEX(FORM!$H:$H,ROW()))),"YA",IF(ISNUMBER(SEARCH("Cukup,",INDEX(FORM!$H:$H,ROW()))),"CUKUP",IF(ISNUMBER(SEARCH("Kurang,",INDEX(FORM!$H:$H,ROW()))),"KURANG",""))))</f>
        <v/>
      </c>
      <c r="K882" s="8" t="str">
        <f>IF($A882="","",UPPER(TRIM(INDEX(FORM!$J:$J,ROW()))))</f>
        <v/>
      </c>
      <c r="L882" s="8" t="str">
        <f>IF($A882="","",IF(ISNUMBER(SEARCH("Aktivitas Harian",INDEX(FORM!$K:$K,ROW()))),1,0))</f>
        <v/>
      </c>
      <c r="M882" s="8" t="str">
        <f>IF($A882="","",IF(ISNUMBER(SEARCH("Aktivitas Mingguan",INDEX(FORM!$K:$K,ROW()))),1,0))</f>
        <v/>
      </c>
      <c r="N882" s="8" t="str">
        <f>IF($A882="","",IF(ISNUMBER(SEARCH("Aktivitas Bulanan",INDEX(FORM!$K:$K,ROW()))),1,0))</f>
        <v/>
      </c>
      <c r="O882" s="8" t="str">
        <f>IF($A882="","",IF(ISNUMBER(SEARCH("Overview Cabang",INDEX(FORM!$K:$K,ROW()))),1,0))</f>
        <v/>
      </c>
      <c r="P882" s="8" t="str">
        <f>IF($A882="","",IFERROR(VLOOKUP(I882,DATA!$AH$9:$AI$13,2,0),""))</f>
        <v/>
      </c>
      <c r="Q882" s="8" t="str">
        <f>IF($A882="","",IFERROR(VLOOKUP(J882,DATA!$AH$9:$AI$13,2,0),""))</f>
        <v/>
      </c>
      <c r="R882" s="8" t="str">
        <f>IF($A882="","",IFERROR(VLOOKUP(K882,DATA!$AH$9:$AI$13,2,0),""))</f>
        <v/>
      </c>
      <c r="S882" s="42" t="str">
        <f t="shared" si="286"/>
        <v/>
      </c>
      <c r="T882" s="8" t="str">
        <f>IF($A882="","",IF(COUNTIF($D$2:D882,D882)=1,1,0))</f>
        <v/>
      </c>
      <c r="U882" s="8" t="str">
        <f>IF($A882="","",IF(F882="-","Cabang tdk ada",IF(IFERROR(VLOOKUP(G882,#REF!,1,0),"")="","",IF(INDEX(DATA!$AH$2:$AH$5,MATCH(G882,DATA!$AI$2:$AI$5,0))&lt;&gt;F882,"Wilayah beda","OK"))))</f>
        <v/>
      </c>
      <c r="V882" s="8" t="str">
        <f>IF($A882="","",TRIM(INDEX(FORM!$I:$I,ROW())&amp;""))</f>
        <v/>
      </c>
      <c r="W882" s="8" t="str">
        <f>IF($A882="","",TRIM(INDEX(FORM!$L:$L,ROW())&amp;""))</f>
        <v/>
      </c>
      <c r="X882" s="8" t="str">
        <f>IF($A882="","",TRIM(INDEX(FORM!$M:$M,ROW())&amp;""))</f>
        <v/>
      </c>
      <c r="Y882" s="8" t="str">
        <f>IF($A882="","",IFERROR(MATCH(F882,DATA!$AH$2:$AH$5,0),9)*10000+A882)</f>
        <v/>
      </c>
      <c r="Z882" s="8" t="str">
        <f t="shared" si="287"/>
        <v/>
      </c>
      <c r="AA882" s="8" t="str">
        <f t="shared" si="288"/>
        <v/>
      </c>
      <c r="AB882" s="8" t="str">
        <f t="shared" si="289"/>
        <v/>
      </c>
      <c r="AC882" s="8"/>
      <c r="AD882" s="8"/>
      <c r="AE882" s="8"/>
      <c r="AK882" s="5" t="str">
        <f t="shared" si="290"/>
        <v/>
      </c>
      <c r="AL882" s="5" t="str">
        <f t="shared" si="291"/>
        <v/>
      </c>
      <c r="AM882" s="5" t="str">
        <f t="shared" si="292"/>
        <v/>
      </c>
      <c r="AN882" s="5" t="str">
        <f t="shared" si="293"/>
        <v/>
      </c>
      <c r="AO882" s="5" t="str">
        <f t="shared" si="294"/>
        <v/>
      </c>
      <c r="AP882" s="5" t="str">
        <f t="shared" si="295"/>
        <v/>
      </c>
      <c r="AQ882" s="5" t="str">
        <f t="shared" si="296"/>
        <v/>
      </c>
      <c r="AR882" s="5" t="str">
        <f t="shared" si="297"/>
        <v/>
      </c>
      <c r="AS882" s="5" t="str">
        <f t="shared" si="298"/>
        <v/>
      </c>
      <c r="AT882" s="5" t="str">
        <f t="shared" si="299"/>
        <v/>
      </c>
      <c r="AU882" s="5" t="str">
        <f t="shared" si="300"/>
        <v/>
      </c>
      <c r="AV882" s="5" t="str">
        <f t="shared" si="301"/>
        <v/>
      </c>
      <c r="AW882" s="5" t="str">
        <f t="shared" si="302"/>
        <v/>
      </c>
      <c r="AX882" s="5" t="str">
        <f t="shared" si="303"/>
        <v/>
      </c>
      <c r="AY882" s="5" t="str">
        <f t="shared" si="304"/>
        <v/>
      </c>
      <c r="AZ882" s="5" t="str">
        <f t="shared" si="305"/>
        <v/>
      </c>
      <c r="BA882" s="5" t="str">
        <f t="shared" si="306"/>
        <v/>
      </c>
      <c r="BB882" s="5" t="str">
        <f t="shared" si="307"/>
        <v/>
      </c>
    </row>
    <row r="883" spans="1:54" s="5" customFormat="1" hidden="1">
      <c r="A883" s="8" t="str">
        <f>IF(INDEX(FORM!$A:$A,ROW())="","",ROW()-1)</f>
        <v/>
      </c>
      <c r="B883" s="41" t="str">
        <f>IF($A883="","",INDEX(FORM!$A:$A,ROW()))</f>
        <v/>
      </c>
      <c r="C883" s="8" t="str">
        <f>IF($A883="","",TRIM(INDEX(FORM!$B:$B,ROW())))</f>
        <v/>
      </c>
      <c r="D883" s="8" t="str">
        <f>IF($A883="","",TRIM(INDEX(FORM!$C:$C,ROW())&amp;""))</f>
        <v/>
      </c>
      <c r="E883" s="8" t="str">
        <f>IF($A883="","",UPPER(TRIM(INDEX(FORM!$D:$D,ROW()))))</f>
        <v/>
      </c>
      <c r="F883" s="8" t="str">
        <f>IF($A883="","",IFERROR(INDEX(PROGRES!$A$2:$A$92,MATCH(E883,PROGRES!$B$2:$B$92,0)),"-"))</f>
        <v/>
      </c>
      <c r="G883" s="8" t="str">
        <f>IF($A883="","",UPPER(TRIM(INDEX(FORM!$F:$F,ROW()))))</f>
        <v/>
      </c>
      <c r="H883" s="8" t="str">
        <f>IF($A883="","",UPPER(TRIM(INDEX(FORM!$E:$E,ROW()))))</f>
        <v/>
      </c>
      <c r="I883" s="8" t="str">
        <f>IF($A883="","",UPPER(TRIM(INDEX(FORM!$G:$G,ROW()))))</f>
        <v/>
      </c>
      <c r="J883" s="8" t="str">
        <f>IF($A883="","",IF(ISNUMBER(SEARCH("Ya,",INDEX(FORM!$H:$H,ROW()))),"YA",IF(ISNUMBER(SEARCH("Cukup,",INDEX(FORM!$H:$H,ROW()))),"CUKUP",IF(ISNUMBER(SEARCH("Kurang,",INDEX(FORM!$H:$H,ROW()))),"KURANG",""))))</f>
        <v/>
      </c>
      <c r="K883" s="8" t="str">
        <f>IF($A883="","",UPPER(TRIM(INDEX(FORM!$J:$J,ROW()))))</f>
        <v/>
      </c>
      <c r="L883" s="8" t="str">
        <f>IF($A883="","",IF(ISNUMBER(SEARCH("Aktivitas Harian",INDEX(FORM!$K:$K,ROW()))),1,0))</f>
        <v/>
      </c>
      <c r="M883" s="8" t="str">
        <f>IF($A883="","",IF(ISNUMBER(SEARCH("Aktivitas Mingguan",INDEX(FORM!$K:$K,ROW()))),1,0))</f>
        <v/>
      </c>
      <c r="N883" s="8" t="str">
        <f>IF($A883="","",IF(ISNUMBER(SEARCH("Aktivitas Bulanan",INDEX(FORM!$K:$K,ROW()))),1,0))</f>
        <v/>
      </c>
      <c r="O883" s="8" t="str">
        <f>IF($A883="","",IF(ISNUMBER(SEARCH("Overview Cabang",INDEX(FORM!$K:$K,ROW()))),1,0))</f>
        <v/>
      </c>
      <c r="P883" s="8" t="str">
        <f>IF($A883="","",IFERROR(VLOOKUP(I883,DATA!$AH$9:$AI$13,2,0),""))</f>
        <v/>
      </c>
      <c r="Q883" s="8" t="str">
        <f>IF($A883="","",IFERROR(VLOOKUP(J883,DATA!$AH$9:$AI$13,2,0),""))</f>
        <v/>
      </c>
      <c r="R883" s="8" t="str">
        <f>IF($A883="","",IFERROR(VLOOKUP(K883,DATA!$AH$9:$AI$13,2,0),""))</f>
        <v/>
      </c>
      <c r="S883" s="42" t="str">
        <f t="shared" si="286"/>
        <v/>
      </c>
      <c r="T883" s="8" t="str">
        <f>IF($A883="","",IF(COUNTIF($D$2:D883,D883)=1,1,0))</f>
        <v/>
      </c>
      <c r="U883" s="8" t="str">
        <f>IF($A883="","",IF(F883="-","Cabang tdk ada",IF(IFERROR(VLOOKUP(G883,#REF!,1,0),"")="","",IF(INDEX(DATA!$AH$2:$AH$5,MATCH(G883,DATA!$AI$2:$AI$5,0))&lt;&gt;F883,"Wilayah beda","OK"))))</f>
        <v/>
      </c>
      <c r="V883" s="8" t="str">
        <f>IF($A883="","",TRIM(INDEX(FORM!$I:$I,ROW())&amp;""))</f>
        <v/>
      </c>
      <c r="W883" s="8" t="str">
        <f>IF($A883="","",TRIM(INDEX(FORM!$L:$L,ROW())&amp;""))</f>
        <v/>
      </c>
      <c r="X883" s="8" t="str">
        <f>IF($A883="","",TRIM(INDEX(FORM!$M:$M,ROW())&amp;""))</f>
        <v/>
      </c>
      <c r="Y883" s="8" t="str">
        <f>IF($A883="","",IFERROR(MATCH(F883,DATA!$AH$2:$AH$5,0),9)*10000+A883)</f>
        <v/>
      </c>
      <c r="Z883" s="8" t="str">
        <f t="shared" si="287"/>
        <v/>
      </c>
      <c r="AA883" s="8" t="str">
        <f t="shared" si="288"/>
        <v/>
      </c>
      <c r="AB883" s="8" t="str">
        <f t="shared" si="289"/>
        <v/>
      </c>
      <c r="AC883" s="8"/>
      <c r="AD883" s="8"/>
      <c r="AE883" s="8"/>
      <c r="AK883" s="5" t="str">
        <f t="shared" si="290"/>
        <v/>
      </c>
      <c r="AL883" s="5" t="str">
        <f t="shared" si="291"/>
        <v/>
      </c>
      <c r="AM883" s="5" t="str">
        <f t="shared" si="292"/>
        <v/>
      </c>
      <c r="AN883" s="5" t="str">
        <f t="shared" si="293"/>
        <v/>
      </c>
      <c r="AO883" s="5" t="str">
        <f t="shared" si="294"/>
        <v/>
      </c>
      <c r="AP883" s="5" t="str">
        <f t="shared" si="295"/>
        <v/>
      </c>
      <c r="AQ883" s="5" t="str">
        <f t="shared" si="296"/>
        <v/>
      </c>
      <c r="AR883" s="5" t="str">
        <f t="shared" si="297"/>
        <v/>
      </c>
      <c r="AS883" s="5" t="str">
        <f t="shared" si="298"/>
        <v/>
      </c>
      <c r="AT883" s="5" t="str">
        <f t="shared" si="299"/>
        <v/>
      </c>
      <c r="AU883" s="5" t="str">
        <f t="shared" si="300"/>
        <v/>
      </c>
      <c r="AV883" s="5" t="str">
        <f t="shared" si="301"/>
        <v/>
      </c>
      <c r="AW883" s="5" t="str">
        <f t="shared" si="302"/>
        <v/>
      </c>
      <c r="AX883" s="5" t="str">
        <f t="shared" si="303"/>
        <v/>
      </c>
      <c r="AY883" s="5" t="str">
        <f t="shared" si="304"/>
        <v/>
      </c>
      <c r="AZ883" s="5" t="str">
        <f t="shared" si="305"/>
        <v/>
      </c>
      <c r="BA883" s="5" t="str">
        <f t="shared" si="306"/>
        <v/>
      </c>
      <c r="BB883" s="5" t="str">
        <f t="shared" si="307"/>
        <v/>
      </c>
    </row>
    <row r="884" spans="1:54" s="5" customFormat="1" hidden="1">
      <c r="A884" s="8" t="str">
        <f>IF(INDEX(FORM!$A:$A,ROW())="","",ROW()-1)</f>
        <v/>
      </c>
      <c r="B884" s="41" t="str">
        <f>IF($A884="","",INDEX(FORM!$A:$A,ROW()))</f>
        <v/>
      </c>
      <c r="C884" s="8" t="str">
        <f>IF($A884="","",TRIM(INDEX(FORM!$B:$B,ROW())))</f>
        <v/>
      </c>
      <c r="D884" s="8" t="str">
        <f>IF($A884="","",TRIM(INDEX(FORM!$C:$C,ROW())&amp;""))</f>
        <v/>
      </c>
      <c r="E884" s="8" t="str">
        <f>IF($A884="","",UPPER(TRIM(INDEX(FORM!$D:$D,ROW()))))</f>
        <v/>
      </c>
      <c r="F884" s="8" t="str">
        <f>IF($A884="","",IFERROR(INDEX(PROGRES!$A$2:$A$92,MATCH(E884,PROGRES!$B$2:$B$92,0)),"-"))</f>
        <v/>
      </c>
      <c r="G884" s="8" t="str">
        <f>IF($A884="","",UPPER(TRIM(INDEX(FORM!$F:$F,ROW()))))</f>
        <v/>
      </c>
      <c r="H884" s="8" t="str">
        <f>IF($A884="","",UPPER(TRIM(INDEX(FORM!$E:$E,ROW()))))</f>
        <v/>
      </c>
      <c r="I884" s="8" t="str">
        <f>IF($A884="","",UPPER(TRIM(INDEX(FORM!$G:$G,ROW()))))</f>
        <v/>
      </c>
      <c r="J884" s="8" t="str">
        <f>IF($A884="","",IF(ISNUMBER(SEARCH("Ya,",INDEX(FORM!$H:$H,ROW()))),"YA",IF(ISNUMBER(SEARCH("Cukup,",INDEX(FORM!$H:$H,ROW()))),"CUKUP",IF(ISNUMBER(SEARCH("Kurang,",INDEX(FORM!$H:$H,ROW()))),"KURANG",""))))</f>
        <v/>
      </c>
      <c r="K884" s="8" t="str">
        <f>IF($A884="","",UPPER(TRIM(INDEX(FORM!$J:$J,ROW()))))</f>
        <v/>
      </c>
      <c r="L884" s="8" t="str">
        <f>IF($A884="","",IF(ISNUMBER(SEARCH("Aktivitas Harian",INDEX(FORM!$K:$K,ROW()))),1,0))</f>
        <v/>
      </c>
      <c r="M884" s="8" t="str">
        <f>IF($A884="","",IF(ISNUMBER(SEARCH("Aktivitas Mingguan",INDEX(FORM!$K:$K,ROW()))),1,0))</f>
        <v/>
      </c>
      <c r="N884" s="8" t="str">
        <f>IF($A884="","",IF(ISNUMBER(SEARCH("Aktivitas Bulanan",INDEX(FORM!$K:$K,ROW()))),1,0))</f>
        <v/>
      </c>
      <c r="O884" s="8" t="str">
        <f>IF($A884="","",IF(ISNUMBER(SEARCH("Overview Cabang",INDEX(FORM!$K:$K,ROW()))),1,0))</f>
        <v/>
      </c>
      <c r="P884" s="8" t="str">
        <f>IF($A884="","",IFERROR(VLOOKUP(I884,DATA!$AH$9:$AI$13,2,0),""))</f>
        <v/>
      </c>
      <c r="Q884" s="8" t="str">
        <f>IF($A884="","",IFERROR(VLOOKUP(J884,DATA!$AH$9:$AI$13,2,0),""))</f>
        <v/>
      </c>
      <c r="R884" s="8" t="str">
        <f>IF($A884="","",IFERROR(VLOOKUP(K884,DATA!$AH$9:$AI$13,2,0),""))</f>
        <v/>
      </c>
      <c r="S884" s="42" t="str">
        <f t="shared" si="286"/>
        <v/>
      </c>
      <c r="T884" s="8" t="str">
        <f>IF($A884="","",IF(COUNTIF($D$2:D884,D884)=1,1,0))</f>
        <v/>
      </c>
      <c r="U884" s="8" t="str">
        <f>IF($A884="","",IF(F884="-","Cabang tdk ada",IF(IFERROR(VLOOKUP(G884,#REF!,1,0),"")="","",IF(INDEX(DATA!$AH$2:$AH$5,MATCH(G884,DATA!$AI$2:$AI$5,0))&lt;&gt;F884,"Wilayah beda","OK"))))</f>
        <v/>
      </c>
      <c r="V884" s="8" t="str">
        <f>IF($A884="","",TRIM(INDEX(FORM!$I:$I,ROW())&amp;""))</f>
        <v/>
      </c>
      <c r="W884" s="8" t="str">
        <f>IF($A884="","",TRIM(INDEX(FORM!$L:$L,ROW())&amp;""))</f>
        <v/>
      </c>
      <c r="X884" s="8" t="str">
        <f>IF($A884="","",TRIM(INDEX(FORM!$M:$M,ROW())&amp;""))</f>
        <v/>
      </c>
      <c r="Y884" s="8" t="str">
        <f>IF($A884="","",IFERROR(MATCH(F884,DATA!$AH$2:$AH$5,0),9)*10000+A884)</f>
        <v/>
      </c>
      <c r="Z884" s="8" t="str">
        <f t="shared" si="287"/>
        <v/>
      </c>
      <c r="AA884" s="8" t="str">
        <f t="shared" si="288"/>
        <v/>
      </c>
      <c r="AB884" s="8" t="str">
        <f t="shared" si="289"/>
        <v/>
      </c>
      <c r="AC884" s="8"/>
      <c r="AD884" s="8"/>
      <c r="AE884" s="8"/>
      <c r="AK884" s="5" t="str">
        <f t="shared" si="290"/>
        <v/>
      </c>
      <c r="AL884" s="5" t="str">
        <f t="shared" si="291"/>
        <v/>
      </c>
      <c r="AM884" s="5" t="str">
        <f t="shared" si="292"/>
        <v/>
      </c>
      <c r="AN884" s="5" t="str">
        <f t="shared" si="293"/>
        <v/>
      </c>
      <c r="AO884" s="5" t="str">
        <f t="shared" si="294"/>
        <v/>
      </c>
      <c r="AP884" s="5" t="str">
        <f t="shared" si="295"/>
        <v/>
      </c>
      <c r="AQ884" s="5" t="str">
        <f t="shared" si="296"/>
        <v/>
      </c>
      <c r="AR884" s="5" t="str">
        <f t="shared" si="297"/>
        <v/>
      </c>
      <c r="AS884" s="5" t="str">
        <f t="shared" si="298"/>
        <v/>
      </c>
      <c r="AT884" s="5" t="str">
        <f t="shared" si="299"/>
        <v/>
      </c>
      <c r="AU884" s="5" t="str">
        <f t="shared" si="300"/>
        <v/>
      </c>
      <c r="AV884" s="5" t="str">
        <f t="shared" si="301"/>
        <v/>
      </c>
      <c r="AW884" s="5" t="str">
        <f t="shared" si="302"/>
        <v/>
      </c>
      <c r="AX884" s="5" t="str">
        <f t="shared" si="303"/>
        <v/>
      </c>
      <c r="AY884" s="5" t="str">
        <f t="shared" si="304"/>
        <v/>
      </c>
      <c r="AZ884" s="5" t="str">
        <f t="shared" si="305"/>
        <v/>
      </c>
      <c r="BA884" s="5" t="str">
        <f t="shared" si="306"/>
        <v/>
      </c>
      <c r="BB884" s="5" t="str">
        <f t="shared" si="307"/>
        <v/>
      </c>
    </row>
    <row r="885" spans="1:54" s="5" customFormat="1" hidden="1">
      <c r="A885" s="8" t="str">
        <f>IF(INDEX(FORM!$A:$A,ROW())="","",ROW()-1)</f>
        <v/>
      </c>
      <c r="B885" s="41" t="str">
        <f>IF($A885="","",INDEX(FORM!$A:$A,ROW()))</f>
        <v/>
      </c>
      <c r="C885" s="8" t="str">
        <f>IF($A885="","",TRIM(INDEX(FORM!$B:$B,ROW())))</f>
        <v/>
      </c>
      <c r="D885" s="8" t="str">
        <f>IF($A885="","",TRIM(INDEX(FORM!$C:$C,ROW())&amp;""))</f>
        <v/>
      </c>
      <c r="E885" s="8" t="str">
        <f>IF($A885="","",UPPER(TRIM(INDEX(FORM!$D:$D,ROW()))))</f>
        <v/>
      </c>
      <c r="F885" s="8" t="str">
        <f>IF($A885="","",IFERROR(INDEX(PROGRES!$A$2:$A$92,MATCH(E885,PROGRES!$B$2:$B$92,0)),"-"))</f>
        <v/>
      </c>
      <c r="G885" s="8" t="str">
        <f>IF($A885="","",UPPER(TRIM(INDEX(FORM!$F:$F,ROW()))))</f>
        <v/>
      </c>
      <c r="H885" s="8" t="str">
        <f>IF($A885="","",UPPER(TRIM(INDEX(FORM!$E:$E,ROW()))))</f>
        <v/>
      </c>
      <c r="I885" s="8" t="str">
        <f>IF($A885="","",UPPER(TRIM(INDEX(FORM!$G:$G,ROW()))))</f>
        <v/>
      </c>
      <c r="J885" s="8" t="str">
        <f>IF($A885="","",IF(ISNUMBER(SEARCH("Ya,",INDEX(FORM!$H:$H,ROW()))),"YA",IF(ISNUMBER(SEARCH("Cukup,",INDEX(FORM!$H:$H,ROW()))),"CUKUP",IF(ISNUMBER(SEARCH("Kurang,",INDEX(FORM!$H:$H,ROW()))),"KURANG",""))))</f>
        <v/>
      </c>
      <c r="K885" s="8" t="str">
        <f>IF($A885="","",UPPER(TRIM(INDEX(FORM!$J:$J,ROW()))))</f>
        <v/>
      </c>
      <c r="L885" s="8" t="str">
        <f>IF($A885="","",IF(ISNUMBER(SEARCH("Aktivitas Harian",INDEX(FORM!$K:$K,ROW()))),1,0))</f>
        <v/>
      </c>
      <c r="M885" s="8" t="str">
        <f>IF($A885="","",IF(ISNUMBER(SEARCH("Aktivitas Mingguan",INDEX(FORM!$K:$K,ROW()))),1,0))</f>
        <v/>
      </c>
      <c r="N885" s="8" t="str">
        <f>IF($A885="","",IF(ISNUMBER(SEARCH("Aktivitas Bulanan",INDEX(FORM!$K:$K,ROW()))),1,0))</f>
        <v/>
      </c>
      <c r="O885" s="8" t="str">
        <f>IF($A885="","",IF(ISNUMBER(SEARCH("Overview Cabang",INDEX(FORM!$K:$K,ROW()))),1,0))</f>
        <v/>
      </c>
      <c r="P885" s="8" t="str">
        <f>IF($A885="","",IFERROR(VLOOKUP(I885,DATA!$AH$9:$AI$13,2,0),""))</f>
        <v/>
      </c>
      <c r="Q885" s="8" t="str">
        <f>IF($A885="","",IFERROR(VLOOKUP(J885,DATA!$AH$9:$AI$13,2,0),""))</f>
        <v/>
      </c>
      <c r="R885" s="8" t="str">
        <f>IF($A885="","",IFERROR(VLOOKUP(K885,DATA!$AH$9:$AI$13,2,0),""))</f>
        <v/>
      </c>
      <c r="S885" s="42" t="str">
        <f t="shared" si="286"/>
        <v/>
      </c>
      <c r="T885" s="8" t="str">
        <f>IF($A885="","",IF(COUNTIF($D$2:D885,D885)=1,1,0))</f>
        <v/>
      </c>
      <c r="U885" s="8" t="str">
        <f>IF($A885="","",IF(F885="-","Cabang tdk ada",IF(IFERROR(VLOOKUP(G885,#REF!,1,0),"")="","",IF(INDEX(DATA!$AH$2:$AH$5,MATCH(G885,DATA!$AI$2:$AI$5,0))&lt;&gt;F885,"Wilayah beda","OK"))))</f>
        <v/>
      </c>
      <c r="V885" s="8" t="str">
        <f>IF($A885="","",TRIM(INDEX(FORM!$I:$I,ROW())&amp;""))</f>
        <v/>
      </c>
      <c r="W885" s="8" t="str">
        <f>IF($A885="","",TRIM(INDEX(FORM!$L:$L,ROW())&amp;""))</f>
        <v/>
      </c>
      <c r="X885" s="8" t="str">
        <f>IF($A885="","",TRIM(INDEX(FORM!$M:$M,ROW())&amp;""))</f>
        <v/>
      </c>
      <c r="Y885" s="8" t="str">
        <f>IF($A885="","",IFERROR(MATCH(F885,DATA!$AH$2:$AH$5,0),9)*10000+A885)</f>
        <v/>
      </c>
      <c r="Z885" s="8" t="str">
        <f t="shared" si="287"/>
        <v/>
      </c>
      <c r="AA885" s="8" t="str">
        <f t="shared" si="288"/>
        <v/>
      </c>
      <c r="AB885" s="8" t="str">
        <f t="shared" si="289"/>
        <v/>
      </c>
      <c r="AC885" s="8"/>
      <c r="AD885" s="8"/>
      <c r="AE885" s="8"/>
      <c r="AK885" s="5" t="str">
        <f t="shared" si="290"/>
        <v/>
      </c>
      <c r="AL885" s="5" t="str">
        <f t="shared" si="291"/>
        <v/>
      </c>
      <c r="AM885" s="5" t="str">
        <f t="shared" si="292"/>
        <v/>
      </c>
      <c r="AN885" s="5" t="str">
        <f t="shared" si="293"/>
        <v/>
      </c>
      <c r="AO885" s="5" t="str">
        <f t="shared" si="294"/>
        <v/>
      </c>
      <c r="AP885" s="5" t="str">
        <f t="shared" si="295"/>
        <v/>
      </c>
      <c r="AQ885" s="5" t="str">
        <f t="shared" si="296"/>
        <v/>
      </c>
      <c r="AR885" s="5" t="str">
        <f t="shared" si="297"/>
        <v/>
      </c>
      <c r="AS885" s="5" t="str">
        <f t="shared" si="298"/>
        <v/>
      </c>
      <c r="AT885" s="5" t="str">
        <f t="shared" si="299"/>
        <v/>
      </c>
      <c r="AU885" s="5" t="str">
        <f t="shared" si="300"/>
        <v/>
      </c>
      <c r="AV885" s="5" t="str">
        <f t="shared" si="301"/>
        <v/>
      </c>
      <c r="AW885" s="5" t="str">
        <f t="shared" si="302"/>
        <v/>
      </c>
      <c r="AX885" s="5" t="str">
        <f t="shared" si="303"/>
        <v/>
      </c>
      <c r="AY885" s="5" t="str">
        <f t="shared" si="304"/>
        <v/>
      </c>
      <c r="AZ885" s="5" t="str">
        <f t="shared" si="305"/>
        <v/>
      </c>
      <c r="BA885" s="5" t="str">
        <f t="shared" si="306"/>
        <v/>
      </c>
      <c r="BB885" s="5" t="str">
        <f t="shared" si="307"/>
        <v/>
      </c>
    </row>
    <row r="886" spans="1:54" s="5" customFormat="1" hidden="1">
      <c r="A886" s="8" t="str">
        <f>IF(INDEX(FORM!$A:$A,ROW())="","",ROW()-1)</f>
        <v/>
      </c>
      <c r="B886" s="41" t="str">
        <f>IF($A886="","",INDEX(FORM!$A:$A,ROW()))</f>
        <v/>
      </c>
      <c r="C886" s="8" t="str">
        <f>IF($A886="","",TRIM(INDEX(FORM!$B:$B,ROW())))</f>
        <v/>
      </c>
      <c r="D886" s="8" t="str">
        <f>IF($A886="","",TRIM(INDEX(FORM!$C:$C,ROW())&amp;""))</f>
        <v/>
      </c>
      <c r="E886" s="8" t="str">
        <f>IF($A886="","",UPPER(TRIM(INDEX(FORM!$D:$D,ROW()))))</f>
        <v/>
      </c>
      <c r="F886" s="8" t="str">
        <f>IF($A886="","",IFERROR(INDEX(PROGRES!$A$2:$A$92,MATCH(E886,PROGRES!$B$2:$B$92,0)),"-"))</f>
        <v/>
      </c>
      <c r="G886" s="8" t="str">
        <f>IF($A886="","",UPPER(TRIM(INDEX(FORM!$F:$F,ROW()))))</f>
        <v/>
      </c>
      <c r="H886" s="8" t="str">
        <f>IF($A886="","",UPPER(TRIM(INDEX(FORM!$E:$E,ROW()))))</f>
        <v/>
      </c>
      <c r="I886" s="8" t="str">
        <f>IF($A886="","",UPPER(TRIM(INDEX(FORM!$G:$G,ROW()))))</f>
        <v/>
      </c>
      <c r="J886" s="8" t="str">
        <f>IF($A886="","",IF(ISNUMBER(SEARCH("Ya,",INDEX(FORM!$H:$H,ROW()))),"YA",IF(ISNUMBER(SEARCH("Cukup,",INDEX(FORM!$H:$H,ROW()))),"CUKUP",IF(ISNUMBER(SEARCH("Kurang,",INDEX(FORM!$H:$H,ROW()))),"KURANG",""))))</f>
        <v/>
      </c>
      <c r="K886" s="8" t="str">
        <f>IF($A886="","",UPPER(TRIM(INDEX(FORM!$J:$J,ROW()))))</f>
        <v/>
      </c>
      <c r="L886" s="8" t="str">
        <f>IF($A886="","",IF(ISNUMBER(SEARCH("Aktivitas Harian",INDEX(FORM!$K:$K,ROW()))),1,0))</f>
        <v/>
      </c>
      <c r="M886" s="8" t="str">
        <f>IF($A886="","",IF(ISNUMBER(SEARCH("Aktivitas Mingguan",INDEX(FORM!$K:$K,ROW()))),1,0))</f>
        <v/>
      </c>
      <c r="N886" s="8" t="str">
        <f>IF($A886="","",IF(ISNUMBER(SEARCH("Aktivitas Bulanan",INDEX(FORM!$K:$K,ROW()))),1,0))</f>
        <v/>
      </c>
      <c r="O886" s="8" t="str">
        <f>IF($A886="","",IF(ISNUMBER(SEARCH("Overview Cabang",INDEX(FORM!$K:$K,ROW()))),1,0))</f>
        <v/>
      </c>
      <c r="P886" s="8" t="str">
        <f>IF($A886="","",IFERROR(VLOOKUP(I886,DATA!$AH$9:$AI$13,2,0),""))</f>
        <v/>
      </c>
      <c r="Q886" s="8" t="str">
        <f>IF($A886="","",IFERROR(VLOOKUP(J886,DATA!$AH$9:$AI$13,2,0),""))</f>
        <v/>
      </c>
      <c r="R886" s="8" t="str">
        <f>IF($A886="","",IFERROR(VLOOKUP(K886,DATA!$AH$9:$AI$13,2,0),""))</f>
        <v/>
      </c>
      <c r="S886" s="42" t="str">
        <f t="shared" si="286"/>
        <v/>
      </c>
      <c r="T886" s="8" t="str">
        <f>IF($A886="","",IF(COUNTIF($D$2:D886,D886)=1,1,0))</f>
        <v/>
      </c>
      <c r="U886" s="8" t="str">
        <f>IF($A886="","",IF(F886="-","Cabang tdk ada",IF(IFERROR(VLOOKUP(G886,#REF!,1,0),"")="","",IF(INDEX(DATA!$AH$2:$AH$5,MATCH(G886,DATA!$AI$2:$AI$5,0))&lt;&gt;F886,"Wilayah beda","OK"))))</f>
        <v/>
      </c>
      <c r="V886" s="8" t="str">
        <f>IF($A886="","",TRIM(INDEX(FORM!$I:$I,ROW())&amp;""))</f>
        <v/>
      </c>
      <c r="W886" s="8" t="str">
        <f>IF($A886="","",TRIM(INDEX(FORM!$L:$L,ROW())&amp;""))</f>
        <v/>
      </c>
      <c r="X886" s="8" t="str">
        <f>IF($A886="","",TRIM(INDEX(FORM!$M:$M,ROW())&amp;""))</f>
        <v/>
      </c>
      <c r="Y886" s="8" t="str">
        <f>IF($A886="","",IFERROR(MATCH(F886,DATA!$AH$2:$AH$5,0),9)*10000+A886)</f>
        <v/>
      </c>
      <c r="Z886" s="8" t="str">
        <f t="shared" si="287"/>
        <v/>
      </c>
      <c r="AA886" s="8" t="str">
        <f t="shared" si="288"/>
        <v/>
      </c>
      <c r="AB886" s="8" t="str">
        <f t="shared" si="289"/>
        <v/>
      </c>
      <c r="AC886" s="8"/>
      <c r="AD886" s="8"/>
      <c r="AE886" s="8"/>
      <c r="AK886" s="5" t="str">
        <f t="shared" si="290"/>
        <v/>
      </c>
      <c r="AL886" s="5" t="str">
        <f t="shared" si="291"/>
        <v/>
      </c>
      <c r="AM886" s="5" t="str">
        <f t="shared" si="292"/>
        <v/>
      </c>
      <c r="AN886" s="5" t="str">
        <f t="shared" si="293"/>
        <v/>
      </c>
      <c r="AO886" s="5" t="str">
        <f t="shared" si="294"/>
        <v/>
      </c>
      <c r="AP886" s="5" t="str">
        <f t="shared" si="295"/>
        <v/>
      </c>
      <c r="AQ886" s="5" t="str">
        <f t="shared" si="296"/>
        <v/>
      </c>
      <c r="AR886" s="5" t="str">
        <f t="shared" si="297"/>
        <v/>
      </c>
      <c r="AS886" s="5" t="str">
        <f t="shared" si="298"/>
        <v/>
      </c>
      <c r="AT886" s="5" t="str">
        <f t="shared" si="299"/>
        <v/>
      </c>
      <c r="AU886" s="5" t="str">
        <f t="shared" si="300"/>
        <v/>
      </c>
      <c r="AV886" s="5" t="str">
        <f t="shared" si="301"/>
        <v/>
      </c>
      <c r="AW886" s="5" t="str">
        <f t="shared" si="302"/>
        <v/>
      </c>
      <c r="AX886" s="5" t="str">
        <f t="shared" si="303"/>
        <v/>
      </c>
      <c r="AY886" s="5" t="str">
        <f t="shared" si="304"/>
        <v/>
      </c>
      <c r="AZ886" s="5" t="str">
        <f t="shared" si="305"/>
        <v/>
      </c>
      <c r="BA886" s="5" t="str">
        <f t="shared" si="306"/>
        <v/>
      </c>
      <c r="BB886" s="5" t="str">
        <f t="shared" si="307"/>
        <v/>
      </c>
    </row>
    <row r="887" spans="1:54" s="5" customFormat="1" hidden="1">
      <c r="A887" s="8" t="str">
        <f>IF(INDEX(FORM!$A:$A,ROW())="","",ROW()-1)</f>
        <v/>
      </c>
      <c r="B887" s="41" t="str">
        <f>IF($A887="","",INDEX(FORM!$A:$A,ROW()))</f>
        <v/>
      </c>
      <c r="C887" s="8" t="str">
        <f>IF($A887="","",TRIM(INDEX(FORM!$B:$B,ROW())))</f>
        <v/>
      </c>
      <c r="D887" s="8" t="str">
        <f>IF($A887="","",TRIM(INDEX(FORM!$C:$C,ROW())&amp;""))</f>
        <v/>
      </c>
      <c r="E887" s="8" t="str">
        <f>IF($A887="","",UPPER(TRIM(INDEX(FORM!$D:$D,ROW()))))</f>
        <v/>
      </c>
      <c r="F887" s="8" t="str">
        <f>IF($A887="","",IFERROR(INDEX(PROGRES!$A$2:$A$92,MATCH(E887,PROGRES!$B$2:$B$92,0)),"-"))</f>
        <v/>
      </c>
      <c r="G887" s="8" t="str">
        <f>IF($A887="","",UPPER(TRIM(INDEX(FORM!$F:$F,ROW()))))</f>
        <v/>
      </c>
      <c r="H887" s="8" t="str">
        <f>IF($A887="","",UPPER(TRIM(INDEX(FORM!$E:$E,ROW()))))</f>
        <v/>
      </c>
      <c r="I887" s="8" t="str">
        <f>IF($A887="","",UPPER(TRIM(INDEX(FORM!$G:$G,ROW()))))</f>
        <v/>
      </c>
      <c r="J887" s="8" t="str">
        <f>IF($A887="","",IF(ISNUMBER(SEARCH("Ya,",INDEX(FORM!$H:$H,ROW()))),"YA",IF(ISNUMBER(SEARCH("Cukup,",INDEX(FORM!$H:$H,ROW()))),"CUKUP",IF(ISNUMBER(SEARCH("Kurang,",INDEX(FORM!$H:$H,ROW()))),"KURANG",""))))</f>
        <v/>
      </c>
      <c r="K887" s="8" t="str">
        <f>IF($A887="","",UPPER(TRIM(INDEX(FORM!$J:$J,ROW()))))</f>
        <v/>
      </c>
      <c r="L887" s="8" t="str">
        <f>IF($A887="","",IF(ISNUMBER(SEARCH("Aktivitas Harian",INDEX(FORM!$K:$K,ROW()))),1,0))</f>
        <v/>
      </c>
      <c r="M887" s="8" t="str">
        <f>IF($A887="","",IF(ISNUMBER(SEARCH("Aktivitas Mingguan",INDEX(FORM!$K:$K,ROW()))),1,0))</f>
        <v/>
      </c>
      <c r="N887" s="8" t="str">
        <f>IF($A887="","",IF(ISNUMBER(SEARCH("Aktivitas Bulanan",INDEX(FORM!$K:$K,ROW()))),1,0))</f>
        <v/>
      </c>
      <c r="O887" s="8" t="str">
        <f>IF($A887="","",IF(ISNUMBER(SEARCH("Overview Cabang",INDEX(FORM!$K:$K,ROW()))),1,0))</f>
        <v/>
      </c>
      <c r="P887" s="8" t="str">
        <f>IF($A887="","",IFERROR(VLOOKUP(I887,DATA!$AH$9:$AI$13,2,0),""))</f>
        <v/>
      </c>
      <c r="Q887" s="8" t="str">
        <f>IF($A887="","",IFERROR(VLOOKUP(J887,DATA!$AH$9:$AI$13,2,0),""))</f>
        <v/>
      </c>
      <c r="R887" s="8" t="str">
        <f>IF($A887="","",IFERROR(VLOOKUP(K887,DATA!$AH$9:$AI$13,2,0),""))</f>
        <v/>
      </c>
      <c r="S887" s="42" t="str">
        <f t="shared" si="286"/>
        <v/>
      </c>
      <c r="T887" s="8" t="str">
        <f>IF($A887="","",IF(COUNTIF($D$2:D887,D887)=1,1,0))</f>
        <v/>
      </c>
      <c r="U887" s="8" t="str">
        <f>IF($A887="","",IF(F887="-","Cabang tdk ada",IF(IFERROR(VLOOKUP(G887,#REF!,1,0),"")="","",IF(INDEX(DATA!$AH$2:$AH$5,MATCH(G887,DATA!$AI$2:$AI$5,0))&lt;&gt;F887,"Wilayah beda","OK"))))</f>
        <v/>
      </c>
      <c r="V887" s="8" t="str">
        <f>IF($A887="","",TRIM(INDEX(FORM!$I:$I,ROW())&amp;""))</f>
        <v/>
      </c>
      <c r="W887" s="8" t="str">
        <f>IF($A887="","",TRIM(INDEX(FORM!$L:$L,ROW())&amp;""))</f>
        <v/>
      </c>
      <c r="X887" s="8" t="str">
        <f>IF($A887="","",TRIM(INDEX(FORM!$M:$M,ROW())&amp;""))</f>
        <v/>
      </c>
      <c r="Y887" s="8" t="str">
        <f>IF($A887="","",IFERROR(MATCH(F887,DATA!$AH$2:$AH$5,0),9)*10000+A887)</f>
        <v/>
      </c>
      <c r="Z887" s="8" t="str">
        <f t="shared" si="287"/>
        <v/>
      </c>
      <c r="AA887" s="8" t="str">
        <f t="shared" si="288"/>
        <v/>
      </c>
      <c r="AB887" s="8" t="str">
        <f t="shared" si="289"/>
        <v/>
      </c>
      <c r="AC887" s="8"/>
      <c r="AD887" s="8"/>
      <c r="AE887" s="8"/>
      <c r="AK887" s="5" t="str">
        <f t="shared" si="290"/>
        <v/>
      </c>
      <c r="AL887" s="5" t="str">
        <f t="shared" si="291"/>
        <v/>
      </c>
      <c r="AM887" s="5" t="str">
        <f t="shared" si="292"/>
        <v/>
      </c>
      <c r="AN887" s="5" t="str">
        <f t="shared" si="293"/>
        <v/>
      </c>
      <c r="AO887" s="5" t="str">
        <f t="shared" si="294"/>
        <v/>
      </c>
      <c r="AP887" s="5" t="str">
        <f t="shared" si="295"/>
        <v/>
      </c>
      <c r="AQ887" s="5" t="str">
        <f t="shared" si="296"/>
        <v/>
      </c>
      <c r="AR887" s="5" t="str">
        <f t="shared" si="297"/>
        <v/>
      </c>
      <c r="AS887" s="5" t="str">
        <f t="shared" si="298"/>
        <v/>
      </c>
      <c r="AT887" s="5" t="str">
        <f t="shared" si="299"/>
        <v/>
      </c>
      <c r="AU887" s="5" t="str">
        <f t="shared" si="300"/>
        <v/>
      </c>
      <c r="AV887" s="5" t="str">
        <f t="shared" si="301"/>
        <v/>
      </c>
      <c r="AW887" s="5" t="str">
        <f t="shared" si="302"/>
        <v/>
      </c>
      <c r="AX887" s="5" t="str">
        <f t="shared" si="303"/>
        <v/>
      </c>
      <c r="AY887" s="5" t="str">
        <f t="shared" si="304"/>
        <v/>
      </c>
      <c r="AZ887" s="5" t="str">
        <f t="shared" si="305"/>
        <v/>
      </c>
      <c r="BA887" s="5" t="str">
        <f t="shared" si="306"/>
        <v/>
      </c>
      <c r="BB887" s="5" t="str">
        <f t="shared" si="307"/>
        <v/>
      </c>
    </row>
    <row r="888" spans="1:54" s="5" customFormat="1" hidden="1">
      <c r="A888" s="8" t="str">
        <f>IF(INDEX(FORM!$A:$A,ROW())="","",ROW()-1)</f>
        <v/>
      </c>
      <c r="B888" s="41" t="str">
        <f>IF($A888="","",INDEX(FORM!$A:$A,ROW()))</f>
        <v/>
      </c>
      <c r="C888" s="8" t="str">
        <f>IF($A888="","",TRIM(INDEX(FORM!$B:$B,ROW())))</f>
        <v/>
      </c>
      <c r="D888" s="8" t="str">
        <f>IF($A888="","",TRIM(INDEX(FORM!$C:$C,ROW())&amp;""))</f>
        <v/>
      </c>
      <c r="E888" s="8" t="str">
        <f>IF($A888="","",UPPER(TRIM(INDEX(FORM!$D:$D,ROW()))))</f>
        <v/>
      </c>
      <c r="F888" s="8" t="str">
        <f>IF($A888="","",IFERROR(INDEX(PROGRES!$A$2:$A$92,MATCH(E888,PROGRES!$B$2:$B$92,0)),"-"))</f>
        <v/>
      </c>
      <c r="G888" s="8" t="str">
        <f>IF($A888="","",UPPER(TRIM(INDEX(FORM!$F:$F,ROW()))))</f>
        <v/>
      </c>
      <c r="H888" s="8" t="str">
        <f>IF($A888="","",UPPER(TRIM(INDEX(FORM!$E:$E,ROW()))))</f>
        <v/>
      </c>
      <c r="I888" s="8" t="str">
        <f>IF($A888="","",UPPER(TRIM(INDEX(FORM!$G:$G,ROW()))))</f>
        <v/>
      </c>
      <c r="J888" s="8" t="str">
        <f>IF($A888="","",IF(ISNUMBER(SEARCH("Ya,",INDEX(FORM!$H:$H,ROW()))),"YA",IF(ISNUMBER(SEARCH("Cukup,",INDEX(FORM!$H:$H,ROW()))),"CUKUP",IF(ISNUMBER(SEARCH("Kurang,",INDEX(FORM!$H:$H,ROW()))),"KURANG",""))))</f>
        <v/>
      </c>
      <c r="K888" s="8" t="str">
        <f>IF($A888="","",UPPER(TRIM(INDEX(FORM!$J:$J,ROW()))))</f>
        <v/>
      </c>
      <c r="L888" s="8" t="str">
        <f>IF($A888="","",IF(ISNUMBER(SEARCH("Aktivitas Harian",INDEX(FORM!$K:$K,ROW()))),1,0))</f>
        <v/>
      </c>
      <c r="M888" s="8" t="str">
        <f>IF($A888="","",IF(ISNUMBER(SEARCH("Aktivitas Mingguan",INDEX(FORM!$K:$K,ROW()))),1,0))</f>
        <v/>
      </c>
      <c r="N888" s="8" t="str">
        <f>IF($A888="","",IF(ISNUMBER(SEARCH("Aktivitas Bulanan",INDEX(FORM!$K:$K,ROW()))),1,0))</f>
        <v/>
      </c>
      <c r="O888" s="8" t="str">
        <f>IF($A888="","",IF(ISNUMBER(SEARCH("Overview Cabang",INDEX(FORM!$K:$K,ROW()))),1,0))</f>
        <v/>
      </c>
      <c r="P888" s="8" t="str">
        <f>IF($A888="","",IFERROR(VLOOKUP(I888,DATA!$AH$9:$AI$13,2,0),""))</f>
        <v/>
      </c>
      <c r="Q888" s="8" t="str">
        <f>IF($A888="","",IFERROR(VLOOKUP(J888,DATA!$AH$9:$AI$13,2,0),""))</f>
        <v/>
      </c>
      <c r="R888" s="8" t="str">
        <f>IF($A888="","",IFERROR(VLOOKUP(K888,DATA!$AH$9:$AI$13,2,0),""))</f>
        <v/>
      </c>
      <c r="S888" s="42" t="str">
        <f t="shared" si="286"/>
        <v/>
      </c>
      <c r="T888" s="8" t="str">
        <f>IF($A888="","",IF(COUNTIF($D$2:D888,D888)=1,1,0))</f>
        <v/>
      </c>
      <c r="U888" s="8" t="str">
        <f>IF($A888="","",IF(F888="-","Cabang tdk ada",IF(IFERROR(VLOOKUP(G888,#REF!,1,0),"")="","",IF(INDEX(DATA!$AH$2:$AH$5,MATCH(G888,DATA!$AI$2:$AI$5,0))&lt;&gt;F888,"Wilayah beda","OK"))))</f>
        <v/>
      </c>
      <c r="V888" s="8" t="str">
        <f>IF($A888="","",TRIM(INDEX(FORM!$I:$I,ROW())&amp;""))</f>
        <v/>
      </c>
      <c r="W888" s="8" t="str">
        <f>IF($A888="","",TRIM(INDEX(FORM!$L:$L,ROW())&amp;""))</f>
        <v/>
      </c>
      <c r="X888" s="8" t="str">
        <f>IF($A888="","",TRIM(INDEX(FORM!$M:$M,ROW())&amp;""))</f>
        <v/>
      </c>
      <c r="Y888" s="8" t="str">
        <f>IF($A888="","",IFERROR(MATCH(F888,DATA!$AH$2:$AH$5,0),9)*10000+A888)</f>
        <v/>
      </c>
      <c r="Z888" s="8" t="str">
        <f t="shared" si="287"/>
        <v/>
      </c>
      <c r="AA888" s="8" t="str">
        <f t="shared" si="288"/>
        <v/>
      </c>
      <c r="AB888" s="8" t="str">
        <f t="shared" si="289"/>
        <v/>
      </c>
      <c r="AC888" s="8"/>
      <c r="AD888" s="8"/>
      <c r="AE888" s="8"/>
      <c r="AK888" s="5" t="str">
        <f t="shared" si="290"/>
        <v/>
      </c>
      <c r="AL888" s="5" t="str">
        <f t="shared" si="291"/>
        <v/>
      </c>
      <c r="AM888" s="5" t="str">
        <f t="shared" si="292"/>
        <v/>
      </c>
      <c r="AN888" s="5" t="str">
        <f t="shared" si="293"/>
        <v/>
      </c>
      <c r="AO888" s="5" t="str">
        <f t="shared" si="294"/>
        <v/>
      </c>
      <c r="AP888" s="5" t="str">
        <f t="shared" si="295"/>
        <v/>
      </c>
      <c r="AQ888" s="5" t="str">
        <f t="shared" si="296"/>
        <v/>
      </c>
      <c r="AR888" s="5" t="str">
        <f t="shared" si="297"/>
        <v/>
      </c>
      <c r="AS888" s="5" t="str">
        <f t="shared" si="298"/>
        <v/>
      </c>
      <c r="AT888" s="5" t="str">
        <f t="shared" si="299"/>
        <v/>
      </c>
      <c r="AU888" s="5" t="str">
        <f t="shared" si="300"/>
        <v/>
      </c>
      <c r="AV888" s="5" t="str">
        <f t="shared" si="301"/>
        <v/>
      </c>
      <c r="AW888" s="5" t="str">
        <f t="shared" si="302"/>
        <v/>
      </c>
      <c r="AX888" s="5" t="str">
        <f t="shared" si="303"/>
        <v/>
      </c>
      <c r="AY888" s="5" t="str">
        <f t="shared" si="304"/>
        <v/>
      </c>
      <c r="AZ888" s="5" t="str">
        <f t="shared" si="305"/>
        <v/>
      </c>
      <c r="BA888" s="5" t="str">
        <f t="shared" si="306"/>
        <v/>
      </c>
      <c r="BB888" s="5" t="str">
        <f t="shared" si="307"/>
        <v/>
      </c>
    </row>
    <row r="889" spans="1:54" s="5" customFormat="1" hidden="1">
      <c r="A889" s="8" t="str">
        <f>IF(INDEX(FORM!$A:$A,ROW())="","",ROW()-1)</f>
        <v/>
      </c>
      <c r="B889" s="41" t="str">
        <f>IF($A889="","",INDEX(FORM!$A:$A,ROW()))</f>
        <v/>
      </c>
      <c r="C889" s="8" t="str">
        <f>IF($A889="","",TRIM(INDEX(FORM!$B:$B,ROW())))</f>
        <v/>
      </c>
      <c r="D889" s="8" t="str">
        <f>IF($A889="","",TRIM(INDEX(FORM!$C:$C,ROW())&amp;""))</f>
        <v/>
      </c>
      <c r="E889" s="8" t="str">
        <f>IF($A889="","",UPPER(TRIM(INDEX(FORM!$D:$D,ROW()))))</f>
        <v/>
      </c>
      <c r="F889" s="8" t="str">
        <f>IF($A889="","",IFERROR(INDEX(PROGRES!$A$2:$A$92,MATCH(E889,PROGRES!$B$2:$B$92,0)),"-"))</f>
        <v/>
      </c>
      <c r="G889" s="8" t="str">
        <f>IF($A889="","",UPPER(TRIM(INDEX(FORM!$F:$F,ROW()))))</f>
        <v/>
      </c>
      <c r="H889" s="8" t="str">
        <f>IF($A889="","",UPPER(TRIM(INDEX(FORM!$E:$E,ROW()))))</f>
        <v/>
      </c>
      <c r="I889" s="8" t="str">
        <f>IF($A889="","",UPPER(TRIM(INDEX(FORM!$G:$G,ROW()))))</f>
        <v/>
      </c>
      <c r="J889" s="8" t="str">
        <f>IF($A889="","",IF(ISNUMBER(SEARCH("Ya,",INDEX(FORM!$H:$H,ROW()))),"YA",IF(ISNUMBER(SEARCH("Cukup,",INDEX(FORM!$H:$H,ROW()))),"CUKUP",IF(ISNUMBER(SEARCH("Kurang,",INDEX(FORM!$H:$H,ROW()))),"KURANG",""))))</f>
        <v/>
      </c>
      <c r="K889" s="8" t="str">
        <f>IF($A889="","",UPPER(TRIM(INDEX(FORM!$J:$J,ROW()))))</f>
        <v/>
      </c>
      <c r="L889" s="8" t="str">
        <f>IF($A889="","",IF(ISNUMBER(SEARCH("Aktivitas Harian",INDEX(FORM!$K:$K,ROW()))),1,0))</f>
        <v/>
      </c>
      <c r="M889" s="8" t="str">
        <f>IF($A889="","",IF(ISNUMBER(SEARCH("Aktivitas Mingguan",INDEX(FORM!$K:$K,ROW()))),1,0))</f>
        <v/>
      </c>
      <c r="N889" s="8" t="str">
        <f>IF($A889="","",IF(ISNUMBER(SEARCH("Aktivitas Bulanan",INDEX(FORM!$K:$K,ROW()))),1,0))</f>
        <v/>
      </c>
      <c r="O889" s="8" t="str">
        <f>IF($A889="","",IF(ISNUMBER(SEARCH("Overview Cabang",INDEX(FORM!$K:$K,ROW()))),1,0))</f>
        <v/>
      </c>
      <c r="P889" s="8" t="str">
        <f>IF($A889="","",IFERROR(VLOOKUP(I889,DATA!$AH$9:$AI$13,2,0),""))</f>
        <v/>
      </c>
      <c r="Q889" s="8" t="str">
        <f>IF($A889="","",IFERROR(VLOOKUP(J889,DATA!$AH$9:$AI$13,2,0),""))</f>
        <v/>
      </c>
      <c r="R889" s="8" t="str">
        <f>IF($A889="","",IFERROR(VLOOKUP(K889,DATA!$AH$9:$AI$13,2,0),""))</f>
        <v/>
      </c>
      <c r="S889" s="42" t="str">
        <f t="shared" si="286"/>
        <v/>
      </c>
      <c r="T889" s="8" t="str">
        <f>IF($A889="","",IF(COUNTIF($D$2:D889,D889)=1,1,0))</f>
        <v/>
      </c>
      <c r="U889" s="8" t="str">
        <f>IF($A889="","",IF(F889="-","Cabang tdk ada",IF(IFERROR(VLOOKUP(G889,#REF!,1,0),"")="","",IF(INDEX(DATA!$AH$2:$AH$5,MATCH(G889,DATA!$AI$2:$AI$5,0))&lt;&gt;F889,"Wilayah beda","OK"))))</f>
        <v/>
      </c>
      <c r="V889" s="8" t="str">
        <f>IF($A889="","",TRIM(INDEX(FORM!$I:$I,ROW())&amp;""))</f>
        <v/>
      </c>
      <c r="W889" s="8" t="str">
        <f>IF($A889="","",TRIM(INDEX(FORM!$L:$L,ROW())&amp;""))</f>
        <v/>
      </c>
      <c r="X889" s="8" t="str">
        <f>IF($A889="","",TRIM(INDEX(FORM!$M:$M,ROW())&amp;""))</f>
        <v/>
      </c>
      <c r="Y889" s="8" t="str">
        <f>IF($A889="","",IFERROR(MATCH(F889,DATA!$AH$2:$AH$5,0),9)*10000+A889)</f>
        <v/>
      </c>
      <c r="Z889" s="8" t="str">
        <f t="shared" si="287"/>
        <v/>
      </c>
      <c r="AA889" s="8" t="str">
        <f t="shared" si="288"/>
        <v/>
      </c>
      <c r="AB889" s="8" t="str">
        <f t="shared" si="289"/>
        <v/>
      </c>
      <c r="AC889" s="8"/>
      <c r="AD889" s="8"/>
      <c r="AE889" s="8"/>
      <c r="AK889" s="5" t="str">
        <f t="shared" si="290"/>
        <v/>
      </c>
      <c r="AL889" s="5" t="str">
        <f t="shared" si="291"/>
        <v/>
      </c>
      <c r="AM889" s="5" t="str">
        <f t="shared" si="292"/>
        <v/>
      </c>
      <c r="AN889" s="5" t="str">
        <f t="shared" si="293"/>
        <v/>
      </c>
      <c r="AO889" s="5" t="str">
        <f t="shared" si="294"/>
        <v/>
      </c>
      <c r="AP889" s="5" t="str">
        <f t="shared" si="295"/>
        <v/>
      </c>
      <c r="AQ889" s="5" t="str">
        <f t="shared" si="296"/>
        <v/>
      </c>
      <c r="AR889" s="5" t="str">
        <f t="shared" si="297"/>
        <v/>
      </c>
      <c r="AS889" s="5" t="str">
        <f t="shared" si="298"/>
        <v/>
      </c>
      <c r="AT889" s="5" t="str">
        <f t="shared" si="299"/>
        <v/>
      </c>
      <c r="AU889" s="5" t="str">
        <f t="shared" si="300"/>
        <v/>
      </c>
      <c r="AV889" s="5" t="str">
        <f t="shared" si="301"/>
        <v/>
      </c>
      <c r="AW889" s="5" t="str">
        <f t="shared" si="302"/>
        <v/>
      </c>
      <c r="AX889" s="5" t="str">
        <f t="shared" si="303"/>
        <v/>
      </c>
      <c r="AY889" s="5" t="str">
        <f t="shared" si="304"/>
        <v/>
      </c>
      <c r="AZ889" s="5" t="str">
        <f t="shared" si="305"/>
        <v/>
      </c>
      <c r="BA889" s="5" t="str">
        <f t="shared" si="306"/>
        <v/>
      </c>
      <c r="BB889" s="5" t="str">
        <f t="shared" si="307"/>
        <v/>
      </c>
    </row>
    <row r="890" spans="1:54" s="5" customFormat="1" hidden="1">
      <c r="A890" s="8" t="str">
        <f>IF(INDEX(FORM!$A:$A,ROW())="","",ROW()-1)</f>
        <v/>
      </c>
      <c r="B890" s="41" t="str">
        <f>IF($A890="","",INDEX(FORM!$A:$A,ROW()))</f>
        <v/>
      </c>
      <c r="C890" s="8" t="str">
        <f>IF($A890="","",TRIM(INDEX(FORM!$B:$B,ROW())))</f>
        <v/>
      </c>
      <c r="D890" s="8" t="str">
        <f>IF($A890="","",TRIM(INDEX(FORM!$C:$C,ROW())&amp;""))</f>
        <v/>
      </c>
      <c r="E890" s="8" t="str">
        <f>IF($A890="","",UPPER(TRIM(INDEX(FORM!$D:$D,ROW()))))</f>
        <v/>
      </c>
      <c r="F890" s="8" t="str">
        <f>IF($A890="","",IFERROR(INDEX(PROGRES!$A$2:$A$92,MATCH(E890,PROGRES!$B$2:$B$92,0)),"-"))</f>
        <v/>
      </c>
      <c r="G890" s="8" t="str">
        <f>IF($A890="","",UPPER(TRIM(INDEX(FORM!$F:$F,ROW()))))</f>
        <v/>
      </c>
      <c r="H890" s="8" t="str">
        <f>IF($A890="","",UPPER(TRIM(INDEX(FORM!$E:$E,ROW()))))</f>
        <v/>
      </c>
      <c r="I890" s="8" t="str">
        <f>IF($A890="","",UPPER(TRIM(INDEX(FORM!$G:$G,ROW()))))</f>
        <v/>
      </c>
      <c r="J890" s="8" t="str">
        <f>IF($A890="","",IF(ISNUMBER(SEARCH("Ya,",INDEX(FORM!$H:$H,ROW()))),"YA",IF(ISNUMBER(SEARCH("Cukup,",INDEX(FORM!$H:$H,ROW()))),"CUKUP",IF(ISNUMBER(SEARCH("Kurang,",INDEX(FORM!$H:$H,ROW()))),"KURANG",""))))</f>
        <v/>
      </c>
      <c r="K890" s="8" t="str">
        <f>IF($A890="","",UPPER(TRIM(INDEX(FORM!$J:$J,ROW()))))</f>
        <v/>
      </c>
      <c r="L890" s="8" t="str">
        <f>IF($A890="","",IF(ISNUMBER(SEARCH("Aktivitas Harian",INDEX(FORM!$K:$K,ROW()))),1,0))</f>
        <v/>
      </c>
      <c r="M890" s="8" t="str">
        <f>IF($A890="","",IF(ISNUMBER(SEARCH("Aktivitas Mingguan",INDEX(FORM!$K:$K,ROW()))),1,0))</f>
        <v/>
      </c>
      <c r="N890" s="8" t="str">
        <f>IF($A890="","",IF(ISNUMBER(SEARCH("Aktivitas Bulanan",INDEX(FORM!$K:$K,ROW()))),1,0))</f>
        <v/>
      </c>
      <c r="O890" s="8" t="str">
        <f>IF($A890="","",IF(ISNUMBER(SEARCH("Overview Cabang",INDEX(FORM!$K:$K,ROW()))),1,0))</f>
        <v/>
      </c>
      <c r="P890" s="8" t="str">
        <f>IF($A890="","",IFERROR(VLOOKUP(I890,DATA!$AH$9:$AI$13,2,0),""))</f>
        <v/>
      </c>
      <c r="Q890" s="8" t="str">
        <f>IF($A890="","",IFERROR(VLOOKUP(J890,DATA!$AH$9:$AI$13,2,0),""))</f>
        <v/>
      </c>
      <c r="R890" s="8" t="str">
        <f>IF($A890="","",IFERROR(VLOOKUP(K890,DATA!$AH$9:$AI$13,2,0),""))</f>
        <v/>
      </c>
      <c r="S890" s="42" t="str">
        <f t="shared" si="286"/>
        <v/>
      </c>
      <c r="T890" s="8" t="str">
        <f>IF($A890="","",IF(COUNTIF($D$2:D890,D890)=1,1,0))</f>
        <v/>
      </c>
      <c r="U890" s="8" t="str">
        <f>IF($A890="","",IF(F890="-","Cabang tdk ada",IF(IFERROR(VLOOKUP(G890,#REF!,1,0),"")="","",IF(INDEX(DATA!$AH$2:$AH$5,MATCH(G890,DATA!$AI$2:$AI$5,0))&lt;&gt;F890,"Wilayah beda","OK"))))</f>
        <v/>
      </c>
      <c r="V890" s="8" t="str">
        <f>IF($A890="","",TRIM(INDEX(FORM!$I:$I,ROW())&amp;""))</f>
        <v/>
      </c>
      <c r="W890" s="8" t="str">
        <f>IF($A890="","",TRIM(INDEX(FORM!$L:$L,ROW())&amp;""))</f>
        <v/>
      </c>
      <c r="X890" s="8" t="str">
        <f>IF($A890="","",TRIM(INDEX(FORM!$M:$M,ROW())&amp;""))</f>
        <v/>
      </c>
      <c r="Y890" s="8" t="str">
        <f>IF($A890="","",IFERROR(MATCH(F890,DATA!$AH$2:$AH$5,0),9)*10000+A890)</f>
        <v/>
      </c>
      <c r="Z890" s="8" t="str">
        <f t="shared" si="287"/>
        <v/>
      </c>
      <c r="AA890" s="8" t="str">
        <f t="shared" si="288"/>
        <v/>
      </c>
      <c r="AB890" s="8" t="str">
        <f t="shared" si="289"/>
        <v/>
      </c>
      <c r="AC890" s="8"/>
      <c r="AD890" s="8"/>
      <c r="AE890" s="8"/>
      <c r="AK890" s="5" t="str">
        <f t="shared" si="290"/>
        <v/>
      </c>
      <c r="AL890" s="5" t="str">
        <f t="shared" si="291"/>
        <v/>
      </c>
      <c r="AM890" s="5" t="str">
        <f t="shared" si="292"/>
        <v/>
      </c>
      <c r="AN890" s="5" t="str">
        <f t="shared" si="293"/>
        <v/>
      </c>
      <c r="AO890" s="5" t="str">
        <f t="shared" si="294"/>
        <v/>
      </c>
      <c r="AP890" s="5" t="str">
        <f t="shared" si="295"/>
        <v/>
      </c>
      <c r="AQ890" s="5" t="str">
        <f t="shared" si="296"/>
        <v/>
      </c>
      <c r="AR890" s="5" t="str">
        <f t="shared" si="297"/>
        <v/>
      </c>
      <c r="AS890" s="5" t="str">
        <f t="shared" si="298"/>
        <v/>
      </c>
      <c r="AT890" s="5" t="str">
        <f t="shared" si="299"/>
        <v/>
      </c>
      <c r="AU890" s="5" t="str">
        <f t="shared" si="300"/>
        <v/>
      </c>
      <c r="AV890" s="5" t="str">
        <f t="shared" si="301"/>
        <v/>
      </c>
      <c r="AW890" s="5" t="str">
        <f t="shared" si="302"/>
        <v/>
      </c>
      <c r="AX890" s="5" t="str">
        <f t="shared" si="303"/>
        <v/>
      </c>
      <c r="AY890" s="5" t="str">
        <f t="shared" si="304"/>
        <v/>
      </c>
      <c r="AZ890" s="5" t="str">
        <f t="shared" si="305"/>
        <v/>
      </c>
      <c r="BA890" s="5" t="str">
        <f t="shared" si="306"/>
        <v/>
      </c>
      <c r="BB890" s="5" t="str">
        <f t="shared" si="307"/>
        <v/>
      </c>
    </row>
    <row r="891" spans="1:54" s="5" customFormat="1" hidden="1">
      <c r="A891" s="8" t="str">
        <f>IF(INDEX(FORM!$A:$A,ROW())="","",ROW()-1)</f>
        <v/>
      </c>
      <c r="B891" s="41" t="str">
        <f>IF($A891="","",INDEX(FORM!$A:$A,ROW()))</f>
        <v/>
      </c>
      <c r="C891" s="8" t="str">
        <f>IF($A891="","",TRIM(INDEX(FORM!$B:$B,ROW())))</f>
        <v/>
      </c>
      <c r="D891" s="8" t="str">
        <f>IF($A891="","",TRIM(INDEX(FORM!$C:$C,ROW())&amp;""))</f>
        <v/>
      </c>
      <c r="E891" s="8" t="str">
        <f>IF($A891="","",UPPER(TRIM(INDEX(FORM!$D:$D,ROW()))))</f>
        <v/>
      </c>
      <c r="F891" s="8" t="str">
        <f>IF($A891="","",IFERROR(INDEX(PROGRES!$A$2:$A$92,MATCH(E891,PROGRES!$B$2:$B$92,0)),"-"))</f>
        <v/>
      </c>
      <c r="G891" s="8" t="str">
        <f>IF($A891="","",UPPER(TRIM(INDEX(FORM!$F:$F,ROW()))))</f>
        <v/>
      </c>
      <c r="H891" s="8" t="str">
        <f>IF($A891="","",UPPER(TRIM(INDEX(FORM!$E:$E,ROW()))))</f>
        <v/>
      </c>
      <c r="I891" s="8" t="str">
        <f>IF($A891="","",UPPER(TRIM(INDEX(FORM!$G:$G,ROW()))))</f>
        <v/>
      </c>
      <c r="J891" s="8" t="str">
        <f>IF($A891="","",IF(ISNUMBER(SEARCH("Ya,",INDEX(FORM!$H:$H,ROW()))),"YA",IF(ISNUMBER(SEARCH("Cukup,",INDEX(FORM!$H:$H,ROW()))),"CUKUP",IF(ISNUMBER(SEARCH("Kurang,",INDEX(FORM!$H:$H,ROW()))),"KURANG",""))))</f>
        <v/>
      </c>
      <c r="K891" s="8" t="str">
        <f>IF($A891="","",UPPER(TRIM(INDEX(FORM!$J:$J,ROW()))))</f>
        <v/>
      </c>
      <c r="L891" s="8" t="str">
        <f>IF($A891="","",IF(ISNUMBER(SEARCH("Aktivitas Harian",INDEX(FORM!$K:$K,ROW()))),1,0))</f>
        <v/>
      </c>
      <c r="M891" s="8" t="str">
        <f>IF($A891="","",IF(ISNUMBER(SEARCH("Aktivitas Mingguan",INDEX(FORM!$K:$K,ROW()))),1,0))</f>
        <v/>
      </c>
      <c r="N891" s="8" t="str">
        <f>IF($A891="","",IF(ISNUMBER(SEARCH("Aktivitas Bulanan",INDEX(FORM!$K:$K,ROW()))),1,0))</f>
        <v/>
      </c>
      <c r="O891" s="8" t="str">
        <f>IF($A891="","",IF(ISNUMBER(SEARCH("Overview Cabang",INDEX(FORM!$K:$K,ROW()))),1,0))</f>
        <v/>
      </c>
      <c r="P891" s="8" t="str">
        <f>IF($A891="","",IFERROR(VLOOKUP(I891,DATA!$AH$9:$AI$13,2,0),""))</f>
        <v/>
      </c>
      <c r="Q891" s="8" t="str">
        <f>IF($A891="","",IFERROR(VLOOKUP(J891,DATA!$AH$9:$AI$13,2,0),""))</f>
        <v/>
      </c>
      <c r="R891" s="8" t="str">
        <f>IF($A891="","",IFERROR(VLOOKUP(K891,DATA!$AH$9:$AI$13,2,0),""))</f>
        <v/>
      </c>
      <c r="S891" s="42" t="str">
        <f t="shared" si="286"/>
        <v/>
      </c>
      <c r="T891" s="8" t="str">
        <f>IF($A891="","",IF(COUNTIF($D$2:D891,D891)=1,1,0))</f>
        <v/>
      </c>
      <c r="U891" s="8" t="str">
        <f>IF($A891="","",IF(F891="-","Cabang tdk ada",IF(IFERROR(VLOOKUP(G891,#REF!,1,0),"")="","",IF(INDEX(DATA!$AH$2:$AH$5,MATCH(G891,DATA!$AI$2:$AI$5,0))&lt;&gt;F891,"Wilayah beda","OK"))))</f>
        <v/>
      </c>
      <c r="V891" s="8" t="str">
        <f>IF($A891="","",TRIM(INDEX(FORM!$I:$I,ROW())&amp;""))</f>
        <v/>
      </c>
      <c r="W891" s="8" t="str">
        <f>IF($A891="","",TRIM(INDEX(FORM!$L:$L,ROW())&amp;""))</f>
        <v/>
      </c>
      <c r="X891" s="8" t="str">
        <f>IF($A891="","",TRIM(INDEX(FORM!$M:$M,ROW())&amp;""))</f>
        <v/>
      </c>
      <c r="Y891" s="8" t="str">
        <f>IF($A891="","",IFERROR(MATCH(F891,DATA!$AH$2:$AH$5,0),9)*10000+A891)</f>
        <v/>
      </c>
      <c r="Z891" s="8" t="str">
        <f t="shared" si="287"/>
        <v/>
      </c>
      <c r="AA891" s="8" t="str">
        <f t="shared" si="288"/>
        <v/>
      </c>
      <c r="AB891" s="8" t="str">
        <f t="shared" si="289"/>
        <v/>
      </c>
      <c r="AC891" s="8"/>
      <c r="AD891" s="8"/>
      <c r="AE891" s="8"/>
      <c r="AK891" s="5" t="str">
        <f t="shared" si="290"/>
        <v/>
      </c>
      <c r="AL891" s="5" t="str">
        <f t="shared" si="291"/>
        <v/>
      </c>
      <c r="AM891" s="5" t="str">
        <f t="shared" si="292"/>
        <v/>
      </c>
      <c r="AN891" s="5" t="str">
        <f t="shared" si="293"/>
        <v/>
      </c>
      <c r="AO891" s="5" t="str">
        <f t="shared" si="294"/>
        <v/>
      </c>
      <c r="AP891" s="5" t="str">
        <f t="shared" si="295"/>
        <v/>
      </c>
      <c r="AQ891" s="5" t="str">
        <f t="shared" si="296"/>
        <v/>
      </c>
      <c r="AR891" s="5" t="str">
        <f t="shared" si="297"/>
        <v/>
      </c>
      <c r="AS891" s="5" t="str">
        <f t="shared" si="298"/>
        <v/>
      </c>
      <c r="AT891" s="5" t="str">
        <f t="shared" si="299"/>
        <v/>
      </c>
      <c r="AU891" s="5" t="str">
        <f t="shared" si="300"/>
        <v/>
      </c>
      <c r="AV891" s="5" t="str">
        <f t="shared" si="301"/>
        <v/>
      </c>
      <c r="AW891" s="5" t="str">
        <f t="shared" si="302"/>
        <v/>
      </c>
      <c r="AX891" s="5" t="str">
        <f t="shared" si="303"/>
        <v/>
      </c>
      <c r="AY891" s="5" t="str">
        <f t="shared" si="304"/>
        <v/>
      </c>
      <c r="AZ891" s="5" t="str">
        <f t="shared" si="305"/>
        <v/>
      </c>
      <c r="BA891" s="5" t="str">
        <f t="shared" si="306"/>
        <v/>
      </c>
      <c r="BB891" s="5" t="str">
        <f t="shared" si="307"/>
        <v/>
      </c>
    </row>
    <row r="892" spans="1:54" s="5" customFormat="1" hidden="1">
      <c r="A892" s="8" t="str">
        <f>IF(INDEX(FORM!$A:$A,ROW())="","",ROW()-1)</f>
        <v/>
      </c>
      <c r="B892" s="41" t="str">
        <f>IF($A892="","",INDEX(FORM!$A:$A,ROW()))</f>
        <v/>
      </c>
      <c r="C892" s="8" t="str">
        <f>IF($A892="","",TRIM(INDEX(FORM!$B:$B,ROW())))</f>
        <v/>
      </c>
      <c r="D892" s="8" t="str">
        <f>IF($A892="","",TRIM(INDEX(FORM!$C:$C,ROW())&amp;""))</f>
        <v/>
      </c>
      <c r="E892" s="8" t="str">
        <f>IF($A892="","",UPPER(TRIM(INDEX(FORM!$D:$D,ROW()))))</f>
        <v/>
      </c>
      <c r="F892" s="8" t="str">
        <f>IF($A892="","",IFERROR(INDEX(PROGRES!$A$2:$A$92,MATCH(E892,PROGRES!$B$2:$B$92,0)),"-"))</f>
        <v/>
      </c>
      <c r="G892" s="8" t="str">
        <f>IF($A892="","",UPPER(TRIM(INDEX(FORM!$F:$F,ROW()))))</f>
        <v/>
      </c>
      <c r="H892" s="8" t="str">
        <f>IF($A892="","",UPPER(TRIM(INDEX(FORM!$E:$E,ROW()))))</f>
        <v/>
      </c>
      <c r="I892" s="8" t="str">
        <f>IF($A892="","",UPPER(TRIM(INDEX(FORM!$G:$G,ROW()))))</f>
        <v/>
      </c>
      <c r="J892" s="8" t="str">
        <f>IF($A892="","",IF(ISNUMBER(SEARCH("Ya,",INDEX(FORM!$H:$H,ROW()))),"YA",IF(ISNUMBER(SEARCH("Cukup,",INDEX(FORM!$H:$H,ROW()))),"CUKUP",IF(ISNUMBER(SEARCH("Kurang,",INDEX(FORM!$H:$H,ROW()))),"KURANG",""))))</f>
        <v/>
      </c>
      <c r="K892" s="8" t="str">
        <f>IF($A892="","",UPPER(TRIM(INDEX(FORM!$J:$J,ROW()))))</f>
        <v/>
      </c>
      <c r="L892" s="8" t="str">
        <f>IF($A892="","",IF(ISNUMBER(SEARCH("Aktivitas Harian",INDEX(FORM!$K:$K,ROW()))),1,0))</f>
        <v/>
      </c>
      <c r="M892" s="8" t="str">
        <f>IF($A892="","",IF(ISNUMBER(SEARCH("Aktivitas Mingguan",INDEX(FORM!$K:$K,ROW()))),1,0))</f>
        <v/>
      </c>
      <c r="N892" s="8" t="str">
        <f>IF($A892="","",IF(ISNUMBER(SEARCH("Aktivitas Bulanan",INDEX(FORM!$K:$K,ROW()))),1,0))</f>
        <v/>
      </c>
      <c r="O892" s="8" t="str">
        <f>IF($A892="","",IF(ISNUMBER(SEARCH("Overview Cabang",INDEX(FORM!$K:$K,ROW()))),1,0))</f>
        <v/>
      </c>
      <c r="P892" s="8" t="str">
        <f>IF($A892="","",IFERROR(VLOOKUP(I892,DATA!$AH$9:$AI$13,2,0),""))</f>
        <v/>
      </c>
      <c r="Q892" s="8" t="str">
        <f>IF($A892="","",IFERROR(VLOOKUP(J892,DATA!$AH$9:$AI$13,2,0),""))</f>
        <v/>
      </c>
      <c r="R892" s="8" t="str">
        <f>IF($A892="","",IFERROR(VLOOKUP(K892,DATA!$AH$9:$AI$13,2,0),""))</f>
        <v/>
      </c>
      <c r="S892" s="42" t="str">
        <f t="shared" si="286"/>
        <v/>
      </c>
      <c r="T892" s="8" t="str">
        <f>IF($A892="","",IF(COUNTIF($D$2:D892,D892)=1,1,0))</f>
        <v/>
      </c>
      <c r="U892" s="8" t="str">
        <f>IF($A892="","",IF(F892="-","Cabang tdk ada",IF(IFERROR(VLOOKUP(G892,#REF!,1,0),"")="","",IF(INDEX(DATA!$AH$2:$AH$5,MATCH(G892,DATA!$AI$2:$AI$5,0))&lt;&gt;F892,"Wilayah beda","OK"))))</f>
        <v/>
      </c>
      <c r="V892" s="8" t="str">
        <f>IF($A892="","",TRIM(INDEX(FORM!$I:$I,ROW())&amp;""))</f>
        <v/>
      </c>
      <c r="W892" s="8" t="str">
        <f>IF($A892="","",TRIM(INDEX(FORM!$L:$L,ROW())&amp;""))</f>
        <v/>
      </c>
      <c r="X892" s="8" t="str">
        <f>IF($A892="","",TRIM(INDEX(FORM!$M:$M,ROW())&amp;""))</f>
        <v/>
      </c>
      <c r="Y892" s="8" t="str">
        <f>IF($A892="","",IFERROR(MATCH(F892,DATA!$AH$2:$AH$5,0),9)*10000+A892)</f>
        <v/>
      </c>
      <c r="Z892" s="8" t="str">
        <f t="shared" si="287"/>
        <v/>
      </c>
      <c r="AA892" s="8" t="str">
        <f t="shared" si="288"/>
        <v/>
      </c>
      <c r="AB892" s="8" t="str">
        <f t="shared" si="289"/>
        <v/>
      </c>
      <c r="AC892" s="8"/>
      <c r="AD892" s="8"/>
      <c r="AE892" s="8"/>
      <c r="AK892" s="5" t="str">
        <f t="shared" si="290"/>
        <v/>
      </c>
      <c r="AL892" s="5" t="str">
        <f t="shared" si="291"/>
        <v/>
      </c>
      <c r="AM892" s="5" t="str">
        <f t="shared" si="292"/>
        <v/>
      </c>
      <c r="AN892" s="5" t="str">
        <f t="shared" si="293"/>
        <v/>
      </c>
      <c r="AO892" s="5" t="str">
        <f t="shared" si="294"/>
        <v/>
      </c>
      <c r="AP892" s="5" t="str">
        <f t="shared" si="295"/>
        <v/>
      </c>
      <c r="AQ892" s="5" t="str">
        <f t="shared" si="296"/>
        <v/>
      </c>
      <c r="AR892" s="5" t="str">
        <f t="shared" si="297"/>
        <v/>
      </c>
      <c r="AS892" s="5" t="str">
        <f t="shared" si="298"/>
        <v/>
      </c>
      <c r="AT892" s="5" t="str">
        <f t="shared" si="299"/>
        <v/>
      </c>
      <c r="AU892" s="5" t="str">
        <f t="shared" si="300"/>
        <v/>
      </c>
      <c r="AV892" s="5" t="str">
        <f t="shared" si="301"/>
        <v/>
      </c>
      <c r="AW892" s="5" t="str">
        <f t="shared" si="302"/>
        <v/>
      </c>
      <c r="AX892" s="5" t="str">
        <f t="shared" si="303"/>
        <v/>
      </c>
      <c r="AY892" s="5" t="str">
        <f t="shared" si="304"/>
        <v/>
      </c>
      <c r="AZ892" s="5" t="str">
        <f t="shared" si="305"/>
        <v/>
      </c>
      <c r="BA892" s="5" t="str">
        <f t="shared" si="306"/>
        <v/>
      </c>
      <c r="BB892" s="5" t="str">
        <f t="shared" si="307"/>
        <v/>
      </c>
    </row>
    <row r="893" spans="1:54" s="5" customFormat="1" hidden="1">
      <c r="A893" s="8" t="str">
        <f>IF(INDEX(FORM!$A:$A,ROW())="","",ROW()-1)</f>
        <v/>
      </c>
      <c r="B893" s="41" t="str">
        <f>IF($A893="","",INDEX(FORM!$A:$A,ROW()))</f>
        <v/>
      </c>
      <c r="C893" s="8" t="str">
        <f>IF($A893="","",TRIM(INDEX(FORM!$B:$B,ROW())))</f>
        <v/>
      </c>
      <c r="D893" s="8" t="str">
        <f>IF($A893="","",TRIM(INDEX(FORM!$C:$C,ROW())&amp;""))</f>
        <v/>
      </c>
      <c r="E893" s="8" t="str">
        <f>IF($A893="","",UPPER(TRIM(INDEX(FORM!$D:$D,ROW()))))</f>
        <v/>
      </c>
      <c r="F893" s="8" t="str">
        <f>IF($A893="","",IFERROR(INDEX(PROGRES!$A$2:$A$92,MATCH(E893,PROGRES!$B$2:$B$92,0)),"-"))</f>
        <v/>
      </c>
      <c r="G893" s="8" t="str">
        <f>IF($A893="","",UPPER(TRIM(INDEX(FORM!$F:$F,ROW()))))</f>
        <v/>
      </c>
      <c r="H893" s="8" t="str">
        <f>IF($A893="","",UPPER(TRIM(INDEX(FORM!$E:$E,ROW()))))</f>
        <v/>
      </c>
      <c r="I893" s="8" t="str">
        <f>IF($A893="","",UPPER(TRIM(INDEX(FORM!$G:$G,ROW()))))</f>
        <v/>
      </c>
      <c r="J893" s="8" t="str">
        <f>IF($A893="","",IF(ISNUMBER(SEARCH("Ya,",INDEX(FORM!$H:$H,ROW()))),"YA",IF(ISNUMBER(SEARCH("Cukup,",INDEX(FORM!$H:$H,ROW()))),"CUKUP",IF(ISNUMBER(SEARCH("Kurang,",INDEX(FORM!$H:$H,ROW()))),"KURANG",""))))</f>
        <v/>
      </c>
      <c r="K893" s="8" t="str">
        <f>IF($A893="","",UPPER(TRIM(INDEX(FORM!$J:$J,ROW()))))</f>
        <v/>
      </c>
      <c r="L893" s="8" t="str">
        <f>IF($A893="","",IF(ISNUMBER(SEARCH("Aktivitas Harian",INDEX(FORM!$K:$K,ROW()))),1,0))</f>
        <v/>
      </c>
      <c r="M893" s="8" t="str">
        <f>IF($A893="","",IF(ISNUMBER(SEARCH("Aktivitas Mingguan",INDEX(FORM!$K:$K,ROW()))),1,0))</f>
        <v/>
      </c>
      <c r="N893" s="8" t="str">
        <f>IF($A893="","",IF(ISNUMBER(SEARCH("Aktivitas Bulanan",INDEX(FORM!$K:$K,ROW()))),1,0))</f>
        <v/>
      </c>
      <c r="O893" s="8" t="str">
        <f>IF($A893="","",IF(ISNUMBER(SEARCH("Overview Cabang",INDEX(FORM!$K:$K,ROW()))),1,0))</f>
        <v/>
      </c>
      <c r="P893" s="8" t="str">
        <f>IF($A893="","",IFERROR(VLOOKUP(I893,DATA!$AH$9:$AI$13,2,0),""))</f>
        <v/>
      </c>
      <c r="Q893" s="8" t="str">
        <f>IF($A893="","",IFERROR(VLOOKUP(J893,DATA!$AH$9:$AI$13,2,0),""))</f>
        <v/>
      </c>
      <c r="R893" s="8" t="str">
        <f>IF($A893="","",IFERROR(VLOOKUP(K893,DATA!$AH$9:$AI$13,2,0),""))</f>
        <v/>
      </c>
      <c r="S893" s="42" t="str">
        <f t="shared" si="286"/>
        <v/>
      </c>
      <c r="T893" s="8" t="str">
        <f>IF($A893="","",IF(COUNTIF($D$2:D893,D893)=1,1,0))</f>
        <v/>
      </c>
      <c r="U893" s="8" t="str">
        <f>IF($A893="","",IF(F893="-","Cabang tdk ada",IF(IFERROR(VLOOKUP(G893,#REF!,1,0),"")="","",IF(INDEX(DATA!$AH$2:$AH$5,MATCH(G893,DATA!$AI$2:$AI$5,0))&lt;&gt;F893,"Wilayah beda","OK"))))</f>
        <v/>
      </c>
      <c r="V893" s="8" t="str">
        <f>IF($A893="","",TRIM(INDEX(FORM!$I:$I,ROW())&amp;""))</f>
        <v/>
      </c>
      <c r="W893" s="8" t="str">
        <f>IF($A893="","",TRIM(INDEX(FORM!$L:$L,ROW())&amp;""))</f>
        <v/>
      </c>
      <c r="X893" s="8" t="str">
        <f>IF($A893="","",TRIM(INDEX(FORM!$M:$M,ROW())&amp;""))</f>
        <v/>
      </c>
      <c r="Y893" s="8" t="str">
        <f>IF($A893="","",IFERROR(MATCH(F893,DATA!$AH$2:$AH$5,0),9)*10000+A893)</f>
        <v/>
      </c>
      <c r="Z893" s="8" t="str">
        <f t="shared" si="287"/>
        <v/>
      </c>
      <c r="AA893" s="8" t="str">
        <f t="shared" si="288"/>
        <v/>
      </c>
      <c r="AB893" s="8" t="str">
        <f t="shared" si="289"/>
        <v/>
      </c>
      <c r="AC893" s="8"/>
      <c r="AD893" s="8"/>
      <c r="AE893" s="8"/>
      <c r="AK893" s="5" t="str">
        <f t="shared" si="290"/>
        <v/>
      </c>
      <c r="AL893" s="5" t="str">
        <f t="shared" si="291"/>
        <v/>
      </c>
      <c r="AM893" s="5" t="str">
        <f t="shared" si="292"/>
        <v/>
      </c>
      <c r="AN893" s="5" t="str">
        <f t="shared" si="293"/>
        <v/>
      </c>
      <c r="AO893" s="5" t="str">
        <f t="shared" si="294"/>
        <v/>
      </c>
      <c r="AP893" s="5" t="str">
        <f t="shared" si="295"/>
        <v/>
      </c>
      <c r="AQ893" s="5" t="str">
        <f t="shared" si="296"/>
        <v/>
      </c>
      <c r="AR893" s="5" t="str">
        <f t="shared" si="297"/>
        <v/>
      </c>
      <c r="AS893" s="5" t="str">
        <f t="shared" si="298"/>
        <v/>
      </c>
      <c r="AT893" s="5" t="str">
        <f t="shared" si="299"/>
        <v/>
      </c>
      <c r="AU893" s="5" t="str">
        <f t="shared" si="300"/>
        <v/>
      </c>
      <c r="AV893" s="5" t="str">
        <f t="shared" si="301"/>
        <v/>
      </c>
      <c r="AW893" s="5" t="str">
        <f t="shared" si="302"/>
        <v/>
      </c>
      <c r="AX893" s="5" t="str">
        <f t="shared" si="303"/>
        <v/>
      </c>
      <c r="AY893" s="5" t="str">
        <f t="shared" si="304"/>
        <v/>
      </c>
      <c r="AZ893" s="5" t="str">
        <f t="shared" si="305"/>
        <v/>
      </c>
      <c r="BA893" s="5" t="str">
        <f t="shared" si="306"/>
        <v/>
      </c>
      <c r="BB893" s="5" t="str">
        <f t="shared" si="307"/>
        <v/>
      </c>
    </row>
    <row r="894" spans="1:54" s="5" customFormat="1" hidden="1">
      <c r="A894" s="8" t="str">
        <f>IF(INDEX(FORM!$A:$A,ROW())="","",ROW()-1)</f>
        <v/>
      </c>
      <c r="B894" s="41" t="str">
        <f>IF($A894="","",INDEX(FORM!$A:$A,ROW()))</f>
        <v/>
      </c>
      <c r="C894" s="8" t="str">
        <f>IF($A894="","",TRIM(INDEX(FORM!$B:$B,ROW())))</f>
        <v/>
      </c>
      <c r="D894" s="8" t="str">
        <f>IF($A894="","",TRIM(INDEX(FORM!$C:$C,ROW())&amp;""))</f>
        <v/>
      </c>
      <c r="E894" s="8" t="str">
        <f>IF($A894="","",UPPER(TRIM(INDEX(FORM!$D:$D,ROW()))))</f>
        <v/>
      </c>
      <c r="F894" s="8" t="str">
        <f>IF($A894="","",IFERROR(INDEX(PROGRES!$A$2:$A$92,MATCH(E894,PROGRES!$B$2:$B$92,0)),"-"))</f>
        <v/>
      </c>
      <c r="G894" s="8" t="str">
        <f>IF($A894="","",UPPER(TRIM(INDEX(FORM!$F:$F,ROW()))))</f>
        <v/>
      </c>
      <c r="H894" s="8" t="str">
        <f>IF($A894="","",UPPER(TRIM(INDEX(FORM!$E:$E,ROW()))))</f>
        <v/>
      </c>
      <c r="I894" s="8" t="str">
        <f>IF($A894="","",UPPER(TRIM(INDEX(FORM!$G:$G,ROW()))))</f>
        <v/>
      </c>
      <c r="J894" s="8" t="str">
        <f>IF($A894="","",IF(ISNUMBER(SEARCH("Ya,",INDEX(FORM!$H:$H,ROW()))),"YA",IF(ISNUMBER(SEARCH("Cukup,",INDEX(FORM!$H:$H,ROW()))),"CUKUP",IF(ISNUMBER(SEARCH("Kurang,",INDEX(FORM!$H:$H,ROW()))),"KURANG",""))))</f>
        <v/>
      </c>
      <c r="K894" s="8" t="str">
        <f>IF($A894="","",UPPER(TRIM(INDEX(FORM!$J:$J,ROW()))))</f>
        <v/>
      </c>
      <c r="L894" s="8" t="str">
        <f>IF($A894="","",IF(ISNUMBER(SEARCH("Aktivitas Harian",INDEX(FORM!$K:$K,ROW()))),1,0))</f>
        <v/>
      </c>
      <c r="M894" s="8" t="str">
        <f>IF($A894="","",IF(ISNUMBER(SEARCH("Aktivitas Mingguan",INDEX(FORM!$K:$K,ROW()))),1,0))</f>
        <v/>
      </c>
      <c r="N894" s="8" t="str">
        <f>IF($A894="","",IF(ISNUMBER(SEARCH("Aktivitas Bulanan",INDEX(FORM!$K:$K,ROW()))),1,0))</f>
        <v/>
      </c>
      <c r="O894" s="8" t="str">
        <f>IF($A894="","",IF(ISNUMBER(SEARCH("Overview Cabang",INDEX(FORM!$K:$K,ROW()))),1,0))</f>
        <v/>
      </c>
      <c r="P894" s="8" t="str">
        <f>IF($A894="","",IFERROR(VLOOKUP(I894,DATA!$AH$9:$AI$13,2,0),""))</f>
        <v/>
      </c>
      <c r="Q894" s="8" t="str">
        <f>IF($A894="","",IFERROR(VLOOKUP(J894,DATA!$AH$9:$AI$13,2,0),""))</f>
        <v/>
      </c>
      <c r="R894" s="8" t="str">
        <f>IF($A894="","",IFERROR(VLOOKUP(K894,DATA!$AH$9:$AI$13,2,0),""))</f>
        <v/>
      </c>
      <c r="S894" s="42" t="str">
        <f t="shared" si="286"/>
        <v/>
      </c>
      <c r="T894" s="8" t="str">
        <f>IF($A894="","",IF(COUNTIF($D$2:D894,D894)=1,1,0))</f>
        <v/>
      </c>
      <c r="U894" s="8" t="str">
        <f>IF($A894="","",IF(F894="-","Cabang tdk ada",IF(IFERROR(VLOOKUP(G894,#REF!,1,0),"")="","",IF(INDEX(DATA!$AH$2:$AH$5,MATCH(G894,DATA!$AI$2:$AI$5,0))&lt;&gt;F894,"Wilayah beda","OK"))))</f>
        <v/>
      </c>
      <c r="V894" s="8" t="str">
        <f>IF($A894="","",TRIM(INDEX(FORM!$I:$I,ROW())&amp;""))</f>
        <v/>
      </c>
      <c r="W894" s="8" t="str">
        <f>IF($A894="","",TRIM(INDEX(FORM!$L:$L,ROW())&amp;""))</f>
        <v/>
      </c>
      <c r="X894" s="8" t="str">
        <f>IF($A894="","",TRIM(INDEX(FORM!$M:$M,ROW())&amp;""))</f>
        <v/>
      </c>
      <c r="Y894" s="8" t="str">
        <f>IF($A894="","",IFERROR(MATCH(F894,DATA!$AH$2:$AH$5,0),9)*10000+A894)</f>
        <v/>
      </c>
      <c r="Z894" s="8" t="str">
        <f t="shared" si="287"/>
        <v/>
      </c>
      <c r="AA894" s="8" t="str">
        <f t="shared" si="288"/>
        <v/>
      </c>
      <c r="AB894" s="8" t="str">
        <f t="shared" si="289"/>
        <v/>
      </c>
      <c r="AC894" s="8"/>
      <c r="AD894" s="8"/>
      <c r="AE894" s="8"/>
      <c r="AK894" s="5" t="str">
        <f t="shared" si="290"/>
        <v/>
      </c>
      <c r="AL894" s="5" t="str">
        <f t="shared" si="291"/>
        <v/>
      </c>
      <c r="AM894" s="5" t="str">
        <f t="shared" si="292"/>
        <v/>
      </c>
      <c r="AN894" s="5" t="str">
        <f t="shared" si="293"/>
        <v/>
      </c>
      <c r="AO894" s="5" t="str">
        <f t="shared" si="294"/>
        <v/>
      </c>
      <c r="AP894" s="5" t="str">
        <f t="shared" si="295"/>
        <v/>
      </c>
      <c r="AQ894" s="5" t="str">
        <f t="shared" si="296"/>
        <v/>
      </c>
      <c r="AR894" s="5" t="str">
        <f t="shared" si="297"/>
        <v/>
      </c>
      <c r="AS894" s="5" t="str">
        <f t="shared" si="298"/>
        <v/>
      </c>
      <c r="AT894" s="5" t="str">
        <f t="shared" si="299"/>
        <v/>
      </c>
      <c r="AU894" s="5" t="str">
        <f t="shared" si="300"/>
        <v/>
      </c>
      <c r="AV894" s="5" t="str">
        <f t="shared" si="301"/>
        <v/>
      </c>
      <c r="AW894" s="5" t="str">
        <f t="shared" si="302"/>
        <v/>
      </c>
      <c r="AX894" s="5" t="str">
        <f t="shared" si="303"/>
        <v/>
      </c>
      <c r="AY894" s="5" t="str">
        <f t="shared" si="304"/>
        <v/>
      </c>
      <c r="AZ894" s="5" t="str">
        <f t="shared" si="305"/>
        <v/>
      </c>
      <c r="BA894" s="5" t="str">
        <f t="shared" si="306"/>
        <v/>
      </c>
      <c r="BB894" s="5" t="str">
        <f t="shared" si="307"/>
        <v/>
      </c>
    </row>
    <row r="895" spans="1:54" s="5" customFormat="1" hidden="1">
      <c r="A895" s="8" t="str">
        <f>IF(INDEX(FORM!$A:$A,ROW())="","",ROW()-1)</f>
        <v/>
      </c>
      <c r="B895" s="41" t="str">
        <f>IF($A895="","",INDEX(FORM!$A:$A,ROW()))</f>
        <v/>
      </c>
      <c r="C895" s="8" t="str">
        <f>IF($A895="","",TRIM(INDEX(FORM!$B:$B,ROW())))</f>
        <v/>
      </c>
      <c r="D895" s="8" t="str">
        <f>IF($A895="","",TRIM(INDEX(FORM!$C:$C,ROW())&amp;""))</f>
        <v/>
      </c>
      <c r="E895" s="8" t="str">
        <f>IF($A895="","",UPPER(TRIM(INDEX(FORM!$D:$D,ROW()))))</f>
        <v/>
      </c>
      <c r="F895" s="8" t="str">
        <f>IF($A895="","",IFERROR(INDEX(PROGRES!$A$2:$A$92,MATCH(E895,PROGRES!$B$2:$B$92,0)),"-"))</f>
        <v/>
      </c>
      <c r="G895" s="8" t="str">
        <f>IF($A895="","",UPPER(TRIM(INDEX(FORM!$F:$F,ROW()))))</f>
        <v/>
      </c>
      <c r="H895" s="8" t="str">
        <f>IF($A895="","",UPPER(TRIM(INDEX(FORM!$E:$E,ROW()))))</f>
        <v/>
      </c>
      <c r="I895" s="8" t="str">
        <f>IF($A895="","",UPPER(TRIM(INDEX(FORM!$G:$G,ROW()))))</f>
        <v/>
      </c>
      <c r="J895" s="8" t="str">
        <f>IF($A895="","",IF(ISNUMBER(SEARCH("Ya,",INDEX(FORM!$H:$H,ROW()))),"YA",IF(ISNUMBER(SEARCH("Cukup,",INDEX(FORM!$H:$H,ROW()))),"CUKUP",IF(ISNUMBER(SEARCH("Kurang,",INDEX(FORM!$H:$H,ROW()))),"KURANG",""))))</f>
        <v/>
      </c>
      <c r="K895" s="8" t="str">
        <f>IF($A895="","",UPPER(TRIM(INDEX(FORM!$J:$J,ROW()))))</f>
        <v/>
      </c>
      <c r="L895" s="8" t="str">
        <f>IF($A895="","",IF(ISNUMBER(SEARCH("Aktivitas Harian",INDEX(FORM!$K:$K,ROW()))),1,0))</f>
        <v/>
      </c>
      <c r="M895" s="8" t="str">
        <f>IF($A895="","",IF(ISNUMBER(SEARCH("Aktivitas Mingguan",INDEX(FORM!$K:$K,ROW()))),1,0))</f>
        <v/>
      </c>
      <c r="N895" s="8" t="str">
        <f>IF($A895="","",IF(ISNUMBER(SEARCH("Aktivitas Bulanan",INDEX(FORM!$K:$K,ROW()))),1,0))</f>
        <v/>
      </c>
      <c r="O895" s="8" t="str">
        <f>IF($A895="","",IF(ISNUMBER(SEARCH("Overview Cabang",INDEX(FORM!$K:$K,ROW()))),1,0))</f>
        <v/>
      </c>
      <c r="P895" s="8" t="str">
        <f>IF($A895="","",IFERROR(VLOOKUP(I895,DATA!$AH$9:$AI$13,2,0),""))</f>
        <v/>
      </c>
      <c r="Q895" s="8" t="str">
        <f>IF($A895="","",IFERROR(VLOOKUP(J895,DATA!$AH$9:$AI$13,2,0),""))</f>
        <v/>
      </c>
      <c r="R895" s="8" t="str">
        <f>IF($A895="","",IFERROR(VLOOKUP(K895,DATA!$AH$9:$AI$13,2,0),""))</f>
        <v/>
      </c>
      <c r="S895" s="42" t="str">
        <f t="shared" si="286"/>
        <v/>
      </c>
      <c r="T895" s="8" t="str">
        <f>IF($A895="","",IF(COUNTIF($D$2:D895,D895)=1,1,0))</f>
        <v/>
      </c>
      <c r="U895" s="8" t="str">
        <f>IF($A895="","",IF(F895="-","Cabang tdk ada",IF(IFERROR(VLOOKUP(G895,#REF!,1,0),"")="","",IF(INDEX(DATA!$AH$2:$AH$5,MATCH(G895,DATA!$AI$2:$AI$5,0))&lt;&gt;F895,"Wilayah beda","OK"))))</f>
        <v/>
      </c>
      <c r="V895" s="8" t="str">
        <f>IF($A895="","",TRIM(INDEX(FORM!$I:$I,ROW())&amp;""))</f>
        <v/>
      </c>
      <c r="W895" s="8" t="str">
        <f>IF($A895="","",TRIM(INDEX(FORM!$L:$L,ROW())&amp;""))</f>
        <v/>
      </c>
      <c r="X895" s="8" t="str">
        <f>IF($A895="","",TRIM(INDEX(FORM!$M:$M,ROW())&amp;""))</f>
        <v/>
      </c>
      <c r="Y895" s="8" t="str">
        <f>IF($A895="","",IFERROR(MATCH(F895,DATA!$AH$2:$AH$5,0),9)*10000+A895)</f>
        <v/>
      </c>
      <c r="Z895" s="8" t="str">
        <f t="shared" si="287"/>
        <v/>
      </c>
      <c r="AA895" s="8" t="str">
        <f t="shared" si="288"/>
        <v/>
      </c>
      <c r="AB895" s="8" t="str">
        <f t="shared" si="289"/>
        <v/>
      </c>
      <c r="AC895" s="8"/>
      <c r="AD895" s="8"/>
      <c r="AE895" s="8"/>
      <c r="AK895" s="5" t="str">
        <f t="shared" si="290"/>
        <v/>
      </c>
      <c r="AL895" s="5" t="str">
        <f t="shared" si="291"/>
        <v/>
      </c>
      <c r="AM895" s="5" t="str">
        <f t="shared" si="292"/>
        <v/>
      </c>
      <c r="AN895" s="5" t="str">
        <f t="shared" si="293"/>
        <v/>
      </c>
      <c r="AO895" s="5" t="str">
        <f t="shared" si="294"/>
        <v/>
      </c>
      <c r="AP895" s="5" t="str">
        <f t="shared" si="295"/>
        <v/>
      </c>
      <c r="AQ895" s="5" t="str">
        <f t="shared" si="296"/>
        <v/>
      </c>
      <c r="AR895" s="5" t="str">
        <f t="shared" si="297"/>
        <v/>
      </c>
      <c r="AS895" s="5" t="str">
        <f t="shared" si="298"/>
        <v/>
      </c>
      <c r="AT895" s="5" t="str">
        <f t="shared" si="299"/>
        <v/>
      </c>
      <c r="AU895" s="5" t="str">
        <f t="shared" si="300"/>
        <v/>
      </c>
      <c r="AV895" s="5" t="str">
        <f t="shared" si="301"/>
        <v/>
      </c>
      <c r="AW895" s="5" t="str">
        <f t="shared" si="302"/>
        <v/>
      </c>
      <c r="AX895" s="5" t="str">
        <f t="shared" si="303"/>
        <v/>
      </c>
      <c r="AY895" s="5" t="str">
        <f t="shared" si="304"/>
        <v/>
      </c>
      <c r="AZ895" s="5" t="str">
        <f t="shared" si="305"/>
        <v/>
      </c>
      <c r="BA895" s="5" t="str">
        <f t="shared" si="306"/>
        <v/>
      </c>
      <c r="BB895" s="5" t="str">
        <f t="shared" si="307"/>
        <v/>
      </c>
    </row>
    <row r="896" spans="1:54" s="5" customFormat="1" hidden="1">
      <c r="A896" s="8" t="str">
        <f>IF(INDEX(FORM!$A:$A,ROW())="","",ROW()-1)</f>
        <v/>
      </c>
      <c r="B896" s="41" t="str">
        <f>IF($A896="","",INDEX(FORM!$A:$A,ROW()))</f>
        <v/>
      </c>
      <c r="C896" s="8" t="str">
        <f>IF($A896="","",TRIM(INDEX(FORM!$B:$B,ROW())))</f>
        <v/>
      </c>
      <c r="D896" s="8" t="str">
        <f>IF($A896="","",TRIM(INDEX(FORM!$C:$C,ROW())&amp;""))</f>
        <v/>
      </c>
      <c r="E896" s="8" t="str">
        <f>IF($A896="","",UPPER(TRIM(INDEX(FORM!$D:$D,ROW()))))</f>
        <v/>
      </c>
      <c r="F896" s="8" t="str">
        <f>IF($A896="","",IFERROR(INDEX(PROGRES!$A$2:$A$92,MATCH(E896,PROGRES!$B$2:$B$92,0)),"-"))</f>
        <v/>
      </c>
      <c r="G896" s="8" t="str">
        <f>IF($A896="","",UPPER(TRIM(INDEX(FORM!$F:$F,ROW()))))</f>
        <v/>
      </c>
      <c r="H896" s="8" t="str">
        <f>IF($A896="","",UPPER(TRIM(INDEX(FORM!$E:$E,ROW()))))</f>
        <v/>
      </c>
      <c r="I896" s="8" t="str">
        <f>IF($A896="","",UPPER(TRIM(INDEX(FORM!$G:$G,ROW()))))</f>
        <v/>
      </c>
      <c r="J896" s="8" t="str">
        <f>IF($A896="","",IF(ISNUMBER(SEARCH("Ya,",INDEX(FORM!$H:$H,ROW()))),"YA",IF(ISNUMBER(SEARCH("Cukup,",INDEX(FORM!$H:$H,ROW()))),"CUKUP",IF(ISNUMBER(SEARCH("Kurang,",INDEX(FORM!$H:$H,ROW()))),"KURANG",""))))</f>
        <v/>
      </c>
      <c r="K896" s="8" t="str">
        <f>IF($A896="","",UPPER(TRIM(INDEX(FORM!$J:$J,ROW()))))</f>
        <v/>
      </c>
      <c r="L896" s="8" t="str">
        <f>IF($A896="","",IF(ISNUMBER(SEARCH("Aktivitas Harian",INDEX(FORM!$K:$K,ROW()))),1,0))</f>
        <v/>
      </c>
      <c r="M896" s="8" t="str">
        <f>IF($A896="","",IF(ISNUMBER(SEARCH("Aktivitas Mingguan",INDEX(FORM!$K:$K,ROW()))),1,0))</f>
        <v/>
      </c>
      <c r="N896" s="8" t="str">
        <f>IF($A896="","",IF(ISNUMBER(SEARCH("Aktivitas Bulanan",INDEX(FORM!$K:$K,ROW()))),1,0))</f>
        <v/>
      </c>
      <c r="O896" s="8" t="str">
        <f>IF($A896="","",IF(ISNUMBER(SEARCH("Overview Cabang",INDEX(FORM!$K:$K,ROW()))),1,0))</f>
        <v/>
      </c>
      <c r="P896" s="8" t="str">
        <f>IF($A896="","",IFERROR(VLOOKUP(I896,DATA!$AH$9:$AI$13,2,0),""))</f>
        <v/>
      </c>
      <c r="Q896" s="8" t="str">
        <f>IF($A896="","",IFERROR(VLOOKUP(J896,DATA!$AH$9:$AI$13,2,0),""))</f>
        <v/>
      </c>
      <c r="R896" s="8" t="str">
        <f>IF($A896="","",IFERROR(VLOOKUP(K896,DATA!$AH$9:$AI$13,2,0),""))</f>
        <v/>
      </c>
      <c r="S896" s="42" t="str">
        <f t="shared" si="286"/>
        <v/>
      </c>
      <c r="T896" s="8" t="str">
        <f>IF($A896="","",IF(COUNTIF($D$2:D896,D896)=1,1,0))</f>
        <v/>
      </c>
      <c r="U896" s="8" t="str">
        <f>IF($A896="","",IF(F896="-","Cabang tdk ada",IF(IFERROR(VLOOKUP(G896,#REF!,1,0),"")="","",IF(INDEX(DATA!$AH$2:$AH$5,MATCH(G896,DATA!$AI$2:$AI$5,0))&lt;&gt;F896,"Wilayah beda","OK"))))</f>
        <v/>
      </c>
      <c r="V896" s="8" t="str">
        <f>IF($A896="","",TRIM(INDEX(FORM!$I:$I,ROW())&amp;""))</f>
        <v/>
      </c>
      <c r="W896" s="8" t="str">
        <f>IF($A896="","",TRIM(INDEX(FORM!$L:$L,ROW())&amp;""))</f>
        <v/>
      </c>
      <c r="X896" s="8" t="str">
        <f>IF($A896="","",TRIM(INDEX(FORM!$M:$M,ROW())&amp;""))</f>
        <v/>
      </c>
      <c r="Y896" s="8" t="str">
        <f>IF($A896="","",IFERROR(MATCH(F896,DATA!$AH$2:$AH$5,0),9)*10000+A896)</f>
        <v/>
      </c>
      <c r="Z896" s="8" t="str">
        <f t="shared" si="287"/>
        <v/>
      </c>
      <c r="AA896" s="8" t="str">
        <f t="shared" si="288"/>
        <v/>
      </c>
      <c r="AB896" s="8" t="str">
        <f t="shared" si="289"/>
        <v/>
      </c>
      <c r="AC896" s="8"/>
      <c r="AD896" s="8"/>
      <c r="AE896" s="8"/>
      <c r="AK896" s="5" t="str">
        <f t="shared" si="290"/>
        <v/>
      </c>
      <c r="AL896" s="5" t="str">
        <f t="shared" si="291"/>
        <v/>
      </c>
      <c r="AM896" s="5" t="str">
        <f t="shared" si="292"/>
        <v/>
      </c>
      <c r="AN896" s="5" t="str">
        <f t="shared" si="293"/>
        <v/>
      </c>
      <c r="AO896" s="5" t="str">
        <f t="shared" si="294"/>
        <v/>
      </c>
      <c r="AP896" s="5" t="str">
        <f t="shared" si="295"/>
        <v/>
      </c>
      <c r="AQ896" s="5" t="str">
        <f t="shared" si="296"/>
        <v/>
      </c>
      <c r="AR896" s="5" t="str">
        <f t="shared" si="297"/>
        <v/>
      </c>
      <c r="AS896" s="5" t="str">
        <f t="shared" si="298"/>
        <v/>
      </c>
      <c r="AT896" s="5" t="str">
        <f t="shared" si="299"/>
        <v/>
      </c>
      <c r="AU896" s="5" t="str">
        <f t="shared" si="300"/>
        <v/>
      </c>
      <c r="AV896" s="5" t="str">
        <f t="shared" si="301"/>
        <v/>
      </c>
      <c r="AW896" s="5" t="str">
        <f t="shared" si="302"/>
        <v/>
      </c>
      <c r="AX896" s="5" t="str">
        <f t="shared" si="303"/>
        <v/>
      </c>
      <c r="AY896" s="5" t="str">
        <f t="shared" si="304"/>
        <v/>
      </c>
      <c r="AZ896" s="5" t="str">
        <f t="shared" si="305"/>
        <v/>
      </c>
      <c r="BA896" s="5" t="str">
        <f t="shared" si="306"/>
        <v/>
      </c>
      <c r="BB896" s="5" t="str">
        <f t="shared" si="307"/>
        <v/>
      </c>
    </row>
    <row r="897" spans="1:54" s="5" customFormat="1" hidden="1">
      <c r="A897" s="8" t="str">
        <f>IF(INDEX(FORM!$A:$A,ROW())="","",ROW()-1)</f>
        <v/>
      </c>
      <c r="B897" s="41" t="str">
        <f>IF($A897="","",INDEX(FORM!$A:$A,ROW()))</f>
        <v/>
      </c>
      <c r="C897" s="8" t="str">
        <f>IF($A897="","",TRIM(INDEX(FORM!$B:$B,ROW())))</f>
        <v/>
      </c>
      <c r="D897" s="8" t="str">
        <f>IF($A897="","",TRIM(INDEX(FORM!$C:$C,ROW())&amp;""))</f>
        <v/>
      </c>
      <c r="E897" s="8" t="str">
        <f>IF($A897="","",UPPER(TRIM(INDEX(FORM!$D:$D,ROW()))))</f>
        <v/>
      </c>
      <c r="F897" s="8" t="str">
        <f>IF($A897="","",IFERROR(INDEX(PROGRES!$A$2:$A$92,MATCH(E897,PROGRES!$B$2:$B$92,0)),"-"))</f>
        <v/>
      </c>
      <c r="G897" s="8" t="str">
        <f>IF($A897="","",UPPER(TRIM(INDEX(FORM!$F:$F,ROW()))))</f>
        <v/>
      </c>
      <c r="H897" s="8" t="str">
        <f>IF($A897="","",UPPER(TRIM(INDEX(FORM!$E:$E,ROW()))))</f>
        <v/>
      </c>
      <c r="I897" s="8" t="str">
        <f>IF($A897="","",UPPER(TRIM(INDEX(FORM!$G:$G,ROW()))))</f>
        <v/>
      </c>
      <c r="J897" s="8" t="str">
        <f>IF($A897="","",IF(ISNUMBER(SEARCH("Ya,",INDEX(FORM!$H:$H,ROW()))),"YA",IF(ISNUMBER(SEARCH("Cukup,",INDEX(FORM!$H:$H,ROW()))),"CUKUP",IF(ISNUMBER(SEARCH("Kurang,",INDEX(FORM!$H:$H,ROW()))),"KURANG",""))))</f>
        <v/>
      </c>
      <c r="K897" s="8" t="str">
        <f>IF($A897="","",UPPER(TRIM(INDEX(FORM!$J:$J,ROW()))))</f>
        <v/>
      </c>
      <c r="L897" s="8" t="str">
        <f>IF($A897="","",IF(ISNUMBER(SEARCH("Aktivitas Harian",INDEX(FORM!$K:$K,ROW()))),1,0))</f>
        <v/>
      </c>
      <c r="M897" s="8" t="str">
        <f>IF($A897="","",IF(ISNUMBER(SEARCH("Aktivitas Mingguan",INDEX(FORM!$K:$K,ROW()))),1,0))</f>
        <v/>
      </c>
      <c r="N897" s="8" t="str">
        <f>IF($A897="","",IF(ISNUMBER(SEARCH("Aktivitas Bulanan",INDEX(FORM!$K:$K,ROW()))),1,0))</f>
        <v/>
      </c>
      <c r="O897" s="8" t="str">
        <f>IF($A897="","",IF(ISNUMBER(SEARCH("Overview Cabang",INDEX(FORM!$K:$K,ROW()))),1,0))</f>
        <v/>
      </c>
      <c r="P897" s="8" t="str">
        <f>IF($A897="","",IFERROR(VLOOKUP(I897,DATA!$AH$9:$AI$13,2,0),""))</f>
        <v/>
      </c>
      <c r="Q897" s="8" t="str">
        <f>IF($A897="","",IFERROR(VLOOKUP(J897,DATA!$AH$9:$AI$13,2,0),""))</f>
        <v/>
      </c>
      <c r="R897" s="8" t="str">
        <f>IF($A897="","",IFERROR(VLOOKUP(K897,DATA!$AH$9:$AI$13,2,0),""))</f>
        <v/>
      </c>
      <c r="S897" s="42" t="str">
        <f t="shared" si="286"/>
        <v/>
      </c>
      <c r="T897" s="8" t="str">
        <f>IF($A897="","",IF(COUNTIF($D$2:D897,D897)=1,1,0))</f>
        <v/>
      </c>
      <c r="U897" s="8" t="str">
        <f>IF($A897="","",IF(F897="-","Cabang tdk ada",IF(IFERROR(VLOOKUP(G897,#REF!,1,0),"")="","",IF(INDEX(DATA!$AH$2:$AH$5,MATCH(G897,DATA!$AI$2:$AI$5,0))&lt;&gt;F897,"Wilayah beda","OK"))))</f>
        <v/>
      </c>
      <c r="V897" s="8" t="str">
        <f>IF($A897="","",TRIM(INDEX(FORM!$I:$I,ROW())&amp;""))</f>
        <v/>
      </c>
      <c r="W897" s="8" t="str">
        <f>IF($A897="","",TRIM(INDEX(FORM!$L:$L,ROW())&amp;""))</f>
        <v/>
      </c>
      <c r="X897" s="8" t="str">
        <f>IF($A897="","",TRIM(INDEX(FORM!$M:$M,ROW())&amp;""))</f>
        <v/>
      </c>
      <c r="Y897" s="8" t="str">
        <f>IF($A897="","",IFERROR(MATCH(F897,DATA!$AH$2:$AH$5,0),9)*10000+A897)</f>
        <v/>
      </c>
      <c r="Z897" s="8" t="str">
        <f t="shared" si="287"/>
        <v/>
      </c>
      <c r="AA897" s="8" t="str">
        <f t="shared" si="288"/>
        <v/>
      </c>
      <c r="AB897" s="8" t="str">
        <f t="shared" si="289"/>
        <v/>
      </c>
      <c r="AC897" s="8"/>
      <c r="AD897" s="8"/>
      <c r="AE897" s="8"/>
      <c r="AK897" s="5" t="str">
        <f t="shared" si="290"/>
        <v/>
      </c>
      <c r="AL897" s="5" t="str">
        <f t="shared" si="291"/>
        <v/>
      </c>
      <c r="AM897" s="5" t="str">
        <f t="shared" si="292"/>
        <v/>
      </c>
      <c r="AN897" s="5" t="str">
        <f t="shared" si="293"/>
        <v/>
      </c>
      <c r="AO897" s="5" t="str">
        <f t="shared" si="294"/>
        <v/>
      </c>
      <c r="AP897" s="5" t="str">
        <f t="shared" si="295"/>
        <v/>
      </c>
      <c r="AQ897" s="5" t="str">
        <f t="shared" si="296"/>
        <v/>
      </c>
      <c r="AR897" s="5" t="str">
        <f t="shared" si="297"/>
        <v/>
      </c>
      <c r="AS897" s="5" t="str">
        <f t="shared" si="298"/>
        <v/>
      </c>
      <c r="AT897" s="5" t="str">
        <f t="shared" si="299"/>
        <v/>
      </c>
      <c r="AU897" s="5" t="str">
        <f t="shared" si="300"/>
        <v/>
      </c>
      <c r="AV897" s="5" t="str">
        <f t="shared" si="301"/>
        <v/>
      </c>
      <c r="AW897" s="5" t="str">
        <f t="shared" si="302"/>
        <v/>
      </c>
      <c r="AX897" s="5" t="str">
        <f t="shared" si="303"/>
        <v/>
      </c>
      <c r="AY897" s="5" t="str">
        <f t="shared" si="304"/>
        <v/>
      </c>
      <c r="AZ897" s="5" t="str">
        <f t="shared" si="305"/>
        <v/>
      </c>
      <c r="BA897" s="5" t="str">
        <f t="shared" si="306"/>
        <v/>
      </c>
      <c r="BB897" s="5" t="str">
        <f t="shared" si="307"/>
        <v/>
      </c>
    </row>
    <row r="898" spans="1:54" s="5" customFormat="1" hidden="1">
      <c r="A898" s="8" t="str">
        <f>IF(INDEX(FORM!$A:$A,ROW())="","",ROW()-1)</f>
        <v/>
      </c>
      <c r="B898" s="41" t="str">
        <f>IF($A898="","",INDEX(FORM!$A:$A,ROW()))</f>
        <v/>
      </c>
      <c r="C898" s="8" t="str">
        <f>IF($A898="","",TRIM(INDEX(FORM!$B:$B,ROW())))</f>
        <v/>
      </c>
      <c r="D898" s="8" t="str">
        <f>IF($A898="","",TRIM(INDEX(FORM!$C:$C,ROW())&amp;""))</f>
        <v/>
      </c>
      <c r="E898" s="8" t="str">
        <f>IF($A898="","",UPPER(TRIM(INDEX(FORM!$D:$D,ROW()))))</f>
        <v/>
      </c>
      <c r="F898" s="8" t="str">
        <f>IF($A898="","",IFERROR(INDEX(PROGRES!$A$2:$A$92,MATCH(E898,PROGRES!$B$2:$B$92,0)),"-"))</f>
        <v/>
      </c>
      <c r="G898" s="8" t="str">
        <f>IF($A898="","",UPPER(TRIM(INDEX(FORM!$F:$F,ROW()))))</f>
        <v/>
      </c>
      <c r="H898" s="8" t="str">
        <f>IF($A898="","",UPPER(TRIM(INDEX(FORM!$E:$E,ROW()))))</f>
        <v/>
      </c>
      <c r="I898" s="8" t="str">
        <f>IF($A898="","",UPPER(TRIM(INDEX(FORM!$G:$G,ROW()))))</f>
        <v/>
      </c>
      <c r="J898" s="8" t="str">
        <f>IF($A898="","",IF(ISNUMBER(SEARCH("Ya,",INDEX(FORM!$H:$H,ROW()))),"YA",IF(ISNUMBER(SEARCH("Cukup,",INDEX(FORM!$H:$H,ROW()))),"CUKUP",IF(ISNUMBER(SEARCH("Kurang,",INDEX(FORM!$H:$H,ROW()))),"KURANG",""))))</f>
        <v/>
      </c>
      <c r="K898" s="8" t="str">
        <f>IF($A898="","",UPPER(TRIM(INDEX(FORM!$J:$J,ROW()))))</f>
        <v/>
      </c>
      <c r="L898" s="8" t="str">
        <f>IF($A898="","",IF(ISNUMBER(SEARCH("Aktivitas Harian",INDEX(FORM!$K:$K,ROW()))),1,0))</f>
        <v/>
      </c>
      <c r="M898" s="8" t="str">
        <f>IF($A898="","",IF(ISNUMBER(SEARCH("Aktivitas Mingguan",INDEX(FORM!$K:$K,ROW()))),1,0))</f>
        <v/>
      </c>
      <c r="N898" s="8" t="str">
        <f>IF($A898="","",IF(ISNUMBER(SEARCH("Aktivitas Bulanan",INDEX(FORM!$K:$K,ROW()))),1,0))</f>
        <v/>
      </c>
      <c r="O898" s="8" t="str">
        <f>IF($A898="","",IF(ISNUMBER(SEARCH("Overview Cabang",INDEX(FORM!$K:$K,ROW()))),1,0))</f>
        <v/>
      </c>
      <c r="P898" s="8" t="str">
        <f>IF($A898="","",IFERROR(VLOOKUP(I898,DATA!$AH$9:$AI$13,2,0),""))</f>
        <v/>
      </c>
      <c r="Q898" s="8" t="str">
        <f>IF($A898="","",IFERROR(VLOOKUP(J898,DATA!$AH$9:$AI$13,2,0),""))</f>
        <v/>
      </c>
      <c r="R898" s="8" t="str">
        <f>IF($A898="","",IFERROR(VLOOKUP(K898,DATA!$AH$9:$AI$13,2,0),""))</f>
        <v/>
      </c>
      <c r="S898" s="42" t="str">
        <f t="shared" ref="S898:S961" si="308">IF($A898="","",IFERROR(AVERAGE(P898:R898),""))</f>
        <v/>
      </c>
      <c r="T898" s="8" t="str">
        <f>IF($A898="","",IF(COUNTIF($D$2:D898,D898)=1,1,0))</f>
        <v/>
      </c>
      <c r="U898" s="8" t="str">
        <f>IF($A898="","",IF(F898="-","Cabang tdk ada",IF(IFERROR(VLOOKUP(G898,#REF!,1,0),"")="","",IF(INDEX(DATA!$AH$2:$AH$5,MATCH(G898,DATA!$AI$2:$AI$5,0))&lt;&gt;F898,"Wilayah beda","OK"))))</f>
        <v/>
      </c>
      <c r="V898" s="8" t="str">
        <f>IF($A898="","",TRIM(INDEX(FORM!$I:$I,ROW())&amp;""))</f>
        <v/>
      </c>
      <c r="W898" s="8" t="str">
        <f>IF($A898="","",TRIM(INDEX(FORM!$L:$L,ROW())&amp;""))</f>
        <v/>
      </c>
      <c r="X898" s="8" t="str">
        <f>IF($A898="","",TRIM(INDEX(FORM!$M:$M,ROW())&amp;""))</f>
        <v/>
      </c>
      <c r="Y898" s="8" t="str">
        <f>IF($A898="","",IFERROR(MATCH(F898,DATA!$AH$2:$AH$5,0),9)*10000+A898)</f>
        <v/>
      </c>
      <c r="Z898" s="8" t="str">
        <f t="shared" ref="Z898:Z961" si="309">IF($A898="","",IF(LEN(SUBSTITUTE(SUBSTITUTE(SUBSTITUTE(V898,"-",""),".",""),"?",""))&lt;2,"Tidak ada masukan / sudah baik",IF(OR(ISNUMBER(SEARCH("memang harus",V898&amp;" "))),"Tidak ada masukan / sudah baik",IF(OR(ISNUMBER(SEARCH("lemot",V898&amp;" ")),ISNUMBER(SEARCH("loading",V898&amp;" ")),ISNUMBER(SEARCH("lambat",V898&amp;" ")),ISNUMBER(SEARCH("kecepatan",V898&amp;" ")),ISNUMBER(SEARCH("koneksi",V898&amp;" ")),ISNUMBER(SEARCH("eroro",V898&amp;" ")),ISNUMBER(SEARCH("error",V898&amp;" ")),ISNUMBER(SEARCH("ketutup",V898&amp;" "))),"Kecepatan &amp; Loading Website",IF(OR(ISNUMBER(SEARCH("kontak",V898&amp;" ")),ISNUMBER(SEARCH("pic",V898&amp;" ")),ISNUMBER(SEARCH("darurat",V898&amp;" "))),"Kontak &amp; Informasi PIC",IF(OR(ISNUMBER(SEARCH("sacs",V898&amp;" ")),ISNUMBER(SEARCH("aplikasi",V898&amp;" ")),ISNUMBER(SEARCH("kinerja",V898&amp;" ")),ISNUMBER(SEARCH("seluruh cabang",V898&amp;" "))),"Integrasi dengan SACS / Aplikasi",IF(OR(ISNUMBER(SEARCH("mobile",V898&amp;" ")),ISNUMBER(SEARCH("lebih responsif",V898&amp;" ")),ISNUMBER(SEARCH("scroll",V898&amp;" ")),ISNUMBER(SEARCH("melebar",V898&amp;" "))),"Tampilan di HP (Responsif)",IF(OR(ISNUMBER(SEARCH("simpel",V898&amp;" ")),ISNUMBER(SEARCH("simple",V898&amp;" ")),ISNUMBER(SEARCH("sederhana",V898&amp;" ")),ISNUMBER(SEARCH("ringkas",V898&amp;" ")),ISNUMBER(SEARCH("intinya",V898&amp;" ")),ISNUMBER(SEARCH("panjang lebar",V898&amp;" ")),ISNUMBER(SEARCH("mudah dipahami lagi",V898&amp;" ")),ISNUMBER(SEARCH("tata letak",V898&amp;" ")),ISNUMBER(SEARCH("harus mencari",V898&amp;" "))),"Penyederhanaan &amp; Ringkas Isi",IF(OR(ISNUMBER(SEARCH("menu ",V898&amp;" ")),ISNUMBER(SEARCH("tiap posisi",V898&amp;" ")),ISNUMBER(SEARCH("pilihan antara",V898&amp;" "))),"Menu per Jabatan / Navigasi",IF(OR(ISNUMBER(SEARCH("video",V898&amp;" ")),ISNUMBER(SEARCH("vidio",V898&amp;" ")),ISNUMBER(SEARCH("bagan",V898&amp;" ")),ISNUMBER(SEARCH("gambar",V898&amp;" ")),ISNUMBER(SEARCH("qna",V898&amp;" "))),"Tambah Video / Bagan",IF(OR(ISNUMBER(SEARCH("menarik",V898&amp;" ")),ISNUMBER(SEARCH("design",V898&amp;" ")),ISNUMBER(SEARCH("desain",V898&amp;" ")),ISNUMBER(SEARCH("font",V898&amp;" ")),ISNUMBER(SEARCH("warna",V898&amp;" ")),ISNUMBER(SEARCH("soft",V898&amp;" ")),ISNUMBER(SEARCH("kaku",V898&amp;" ")),ISNUMBER(SEARCH("elegan",V898&amp;" ")),ISNUMBER(SEARCH("grafis",V898&amp;" ")),ISNUMBER(SEARCH("visual",V898&amp;" ")),ISNUMBER(SEARCH("logo",V898&amp;" ")),ISNUMBER(SEARCH("jenuh",V898&amp;" ")),ISNUMBER(SEARCH("abu",V898&amp;" ")),ISNUMBER(SEARCH("tampilannya",V898&amp;" ")),ISNUMBER(SEARCH("tampilan dibuat",V898&amp;" ")),ISNUMBER(SEARCH("tamoilan",V898&amp;" ")),ISNUMBER(SEARCH("lebih user friendly",V898&amp;" "))),"Desain, Warna &amp; Font",IF(OR(ISNUMBER(SEARCH("perbanyak",V898&amp;" ")),ISNUMBER(SEARCH("jabarkan",V898&amp;" ")),ISNUMBER(SEARCH("jobdesk",V898&amp;" ")),ISNUMBER(SEARCH("pengajuan",V898&amp;" ")),ISNUMBER(SEARCH("informasi",V898&amp;" "))),"Penambahan Isi / Penjelasan",IF(OR(ISNUMBER(SEARCH("tingkat",V898&amp;" ")),ISNUMBER(SEARCH("kembang",V898&amp;" ")),ISNUMBER(SEARCH("lebih baik lagi",V898&amp;" ")),ISNUMBER(SEARCH("maksimal",V898&amp;" ")),ISNUMBER(SEARCH("penikatan",V898&amp;" "))),"Saran Umum Peningkatan",IF(OR(ISNUMBER(SEARCH("tidak",V898&amp;" ")),ISNUMBER(SEARCH("tdk",V898&amp;" ")),ISNUMBER(SEARCH("sudah",V898&amp;" ")),ISNUMBER(SEARCH("sdh",V898&amp;" ")),ISNUMBER(SEARCH("cukup",V898&amp;" ")),ISNUMBER(SEARCH("baik",V898&amp;" ")),ISNUMBER(SEARCH("bagus",V898&amp;" ")),ISNUMBER(SEARCH("ok",V898&amp;" ")),ISNUMBER(SEARCH("good",V898&amp;" ")),ISNUMBER(SEARCH("aman",V898&amp;" ")),ISNUMBER(SEARCH("lanjut",V898&amp;" ")),ISNUMBER(SEARCH("mantap",V898&amp;" ")),ISNUMBER(SEARCH("josjis",V898&amp;" ")),ISNUMBER(SEARCH("lumayan",V898&amp;" ")),ISNUMBER(SEARCH("mudah",V898&amp;" ")),ISNUMBER(SEARCH("belum",V898&amp;" ")),ISNUMBER(SEARCH("membantu",V898&amp;" ")),ISNUMBER(SEARCH("comment",V898&amp;" ")),ISNUMBER(SEARCH("lengkap",V898&amp;" ")),ISNUMBER(SEARCH("tercakup",V898&amp;" ")),ISNUMBER(SEARCH("mencakup",V898&amp;" ")),ISNUMBER(SEARCH("semua",V898&amp;" ")),ISNUMBER(SEARCH("penting",V898&amp;" ")),ISNUMBER(SEARCH("terangkum",V898&amp;" ")),ISNUMBER(SEARCH("pas",V898&amp;" ")),ISNUMBER(SEARCH("berjalan",V898&amp;" ")),ISNUMBER(SEARCH("sesuai",V898&amp;" "))),"Tidak ada masukan / sudah baik","Lainnya (perlu dibaca manual)"))))))))))))))</f>
        <v/>
      </c>
      <c r="AA898" s="8" t="str">
        <f t="shared" ref="AA898:AA961" si="310">IF($A898="","",IF(LEN(SUBSTITUTE(SUBSTITUTE(SUBSTITUTE(W898,"-",""),".",""),"?",""))&lt;2,"Tidak ada masukan / sudah baik",IF(OR(ISNUMBER(SEARCH("tampilan",W898&amp;" ")),ISNUMBER(SEARCH("lemot",W898&amp;" "))),"Bukan Terkait SOP (Tampilan / Akses)",IF(OR(ISNUMBER(SEARCH("sanksi",W898&amp;" ")),ISNUMBER(SEARCH("pelanggaran",W898&amp;" ")),ISNUMBER(SEARCH("larangan",W898&amp;" ")),ISNUMBER(SEARCH("rekening pribadi",W898&amp;" "))),"Sanksi &amp; Pelanggaran SOP",IF(OR(ISNUMBER(SEARCH("npl",W898&amp;" ")),ISNUMBER(SEARCH("piutang",W898&amp;" ")),ISNUMBER(SEARCH("rekon",W898&amp;" ")),ISNUMBER(SEARCH("overdue",W898&amp;" ")),ISNUMBER(SEARCH("restruk",W898&amp;" ")),ISNUMBER(SEARCH("tempo",W898&amp;" "))),"Piutang &amp; Pelanggan Bermasalah",IF(OR(ISNUMBER(SEARCH("kiriman",W898&amp;" ")),ISNUMBER(SEARCH("pengiriman",W898&amp;" ")),ISNUMBER(SEARCH("retur",W898&amp;" ")),ISNUMBER(SEARCH("barang",W898&amp;" "))),"Pengiriman, Retur &amp; Logistik",IF(OR(ISNUMBER(SEARCH("contact",W898&amp;" ")),ISNUMBER(SEARCH("kontak",W898&amp;" ")),ISNUMBER(SEARCH("pic",W898&amp;" ")),ISNUMBER(SEARCH("berwenang",W898&amp;" ")),ISNUMBER(SEARCH("follow up",W898&amp;" ")),ISNUMBER(SEARCH("eskalasi",W898&amp;" "))),"Kontak PIC &amp; Eskalasi",IF(OR(ISNUMBER(SEARCH("laporan evaluasi",W898&amp;" ")),ISNUMBER(SEARCH("aplikasi cp",W898&amp;" ")),ISNUMBER(SEARCH("flowchart",W898&amp;" ")),ISNUMBER(SEARCH("acuan",W898&amp;" ")),ISNUMBER(SEARCH("poa",W898&amp;" ")),ISNUMBER(SEARCH("aktifitas",W898&amp;" ")),ISNUMBER(SEARCH("aktivitas",W898&amp;" "))),"Panduan Laporan &amp; Alur Kerja",IF(OR(ISNUMBER(SEARCH("notifikasi",W898&amp;" ")),ISNUMBER(SEARCH("pembaruan",W898&amp;" ")),ISNUMBER(SEARCH("perubahan",W898&amp;" ")),ISNUMBER(SEARCH("update",W898&amp;" "))),"Pembaruan &amp; Notifikasi SOP",IF(OR(ISNUMBER(SEARCH("tidak",W898&amp;" ")),ISNUMBER(SEARCH("tdk",W898&amp;" ")),ISNUMBER(SEARCH("sudah",W898&amp;" ")),ISNUMBER(SEARCH("sdh",W898&amp;" ")),ISNUMBER(SEARCH("cukup",W898&amp;" ")),ISNUMBER(SEARCH("baik",W898&amp;" ")),ISNUMBER(SEARCH("bagus",W898&amp;" ")),ISNUMBER(SEARCH("ok",W898&amp;" ")),ISNUMBER(SEARCH("good",W898&amp;" ")),ISNUMBER(SEARCH("aman",W898&amp;" ")),ISNUMBER(SEARCH("lanjut",W898&amp;" ")),ISNUMBER(SEARCH("mantap",W898&amp;" ")),ISNUMBER(SEARCH("josjis",W898&amp;" ")),ISNUMBER(SEARCH("lumayan",W898&amp;" ")),ISNUMBER(SEARCH("mudah",W898&amp;" ")),ISNUMBER(SEARCH("belum",W898&amp;" ")),ISNUMBER(SEARCH("membantu",W898&amp;" ")),ISNUMBER(SEARCH("comment",W898&amp;" ")),ISNUMBER(SEARCH("lengkap",W898&amp;" ")),ISNUMBER(SEARCH("tercakup",W898&amp;" ")),ISNUMBER(SEARCH("mencakup",W898&amp;" ")),ISNUMBER(SEARCH("semua",W898&amp;" ")),ISNUMBER(SEARCH("penting",W898&amp;" ")),ISNUMBER(SEARCH("terangkum",W898&amp;" ")),ISNUMBER(SEARCH("pas",W898&amp;" ")),ISNUMBER(SEARCH("berjalan",W898&amp;" ")),ISNUMBER(SEARCH("sesuai",W898&amp;" "))),"Tidak ada masukan / sudah baik","Lainnya (perlu dibaca manual)"))))))))))</f>
        <v/>
      </c>
      <c r="AB898" s="8" t="str">
        <f t="shared" ref="AB898:AB961" si="311">IF($A898="","",IF(LEN(SUBSTITUTE(SUBSTITUTE(SUBSTITUTE(X898,"-",""),".",""),"?",""))&lt;2,"Tidak ada masukan / sudah baik",IF(OR(ISNUMBER(SEARCH("urgent",X898&amp;" "))),"Lainnya (perlu dibaca manual)",IF(OR(ISNUMBER(SEARCH("struktur organisasi",X898&amp;" ")),ISNUMBER(SEARCH("pic",X898&amp;" ")),ISNUMBER(SEARCH("cp",X898&amp;" ")),ISNUMBER(SEARCH("personil",X898&amp;" ")),ISNUMBER(SEARCH("sales",X898&amp;" ")),ISNUMBER(SEARCH("muka",X898&amp;" ")),ISNUMBER(SEARCH("eskalasi",X898&amp;" "))),"Struktur Organisasi, PIC &amp; Tim",IF(OR(ISNUMBER(SEARCH("lemot",X898&amp;" ")),ISNUMBER(SEARCH("lambat",X898&amp;" ")),ISNUMBER(SEARCH("memuat",X898&amp;" ")),ISNUMBER(SEARCH("koneksi",X898&amp;" "))),"Kecepatan Akses Website",IF(OR(ISNUMBER(SEARCH("sacs",X898&amp;" ")),ISNUMBER(SEARCH("aplikasi",X898&amp;" "))),"Integrasi ke SACS / Aplikasi Kerja",IF(OR(ISNUMBER(SEARCH("dashboard",X898&amp;" ")),ISNUMBER(SEARCH("kpi",X898&amp;" ")),ISNUMBER(SEARCH("database",X898&amp;" ")),ISNUMBER(SEARCH("kinerja",X898&amp;" ")),ISNUMBER(SEARCH("seluruh cabang",X898&amp;" "))),"Fitur Baru (Dashboard / KPI / Database)",IF(OR(ISNUMBER(SEARCH("video",X898&amp;" ")),ISNUMBER(SEARCH("gambar",X898&amp;" ")),ISNUMBER(SEARCH("jpg",X898&amp;" ")),ISNUMBER(SEARCH("flowchart",X898&amp;" ")),ISNUMBER(SEARCH("tutorial",X898&amp;" "))),"Tambah Video / Gambar / Flowchart",IF(OR(ISNUMBER(SEARCH("template",X898&amp;" ")),ISNUMBER(SEARCH("surat",X898&amp;" ")),ISNUMBER(SEARCH("korin",X898&amp;" ")),ISNUMBER(SEARCH("overdue",X898&amp;" ")),ISNUMBER(SEARCH("restruk",X898&amp;" ")),ISNUMBER(SEARCH("tempo",X898&amp;" ")),ISNUMBER(SEARCH("larangan",X898&amp;" ")),ISNUMBER(SEARCH("posisi lain",X898&amp;" ")),ISNUMBER(SEARCH("jobdesk",X898&amp;" ")),ISNUMBER(SEARCH("jobdisk",X898&amp;" ")),ISNUMBER(SEARCH("langkah",X898&amp;" ")),ISNUMBER(SEARCH("detail",X898&amp;" ")),ISNUMBER(SEARCH("panduan",X898&amp;" ")),ISNUMBER(SEARCH("lengkap lagi",X898&amp;" ")),ISNUMBER(SEARCH("tips",X898&amp;" "))),"Penambahan Materi &amp; Template",IF(OR(ISNUMBER(SEARCH("simpel",X898&amp;" ")),ISNUMBER(SEARCH("simple",X898&amp;" ")),ISNUMBER(SEARCH("ringkas",X898&amp;" ")),ISNUMBER(SEARCH("monoton",X898&amp;" ")),ISNUMBER(SEARCH("penataan",X898&amp;" "))),"Penyederhanaan Isi",IF(OR(ISNUMBER(SEARCH("menarik",X898&amp;" ")),ISNUMBER(SEARCH("design",X898&amp;" ")),ISNUMBER(SEARCH("desain",X898&amp;" ")),ISNUMBER(SEARCH("tampilan",X898&amp;" ")),ISNUMBER(SEARCH("kaku",X898&amp;" ")),ISNUMBER(SEARCH("user friendly",X898&amp;" "))),"Desain Tampilan",IF(OR(ISNUMBER(SEARCH("update",X898&amp;" ")),ISNUMBER(SEARCH("terbaru",X898&amp;" ")),ISNUMBER(SEARCH("terkini",X898&amp;" ")),ISNUMBER(SEARCH("uptodate",X898&amp;" "))),"Update Informasi Berkala",IF(OR(ISNUMBER(SEARCH("tingkat",X898&amp;" ")),ISNUMBER(SEARCH("kembang",X898&amp;" ")),ISNUMBER(SEARCH("inovasi",X898&amp;" ")),ISNUMBER(SEARCH("maintenance",X898&amp;" "))),"Saran Umum Peningkatan",IF(OR(ISNUMBER(SEARCH("tidak",X898&amp;" ")),ISNUMBER(SEARCH("tdk",X898&amp;" ")),ISNUMBER(SEARCH("sudah",X898&amp;" ")),ISNUMBER(SEARCH("sdh",X898&amp;" ")),ISNUMBER(SEARCH("cukup",X898&amp;" ")),ISNUMBER(SEARCH("baik",X898&amp;" ")),ISNUMBER(SEARCH("bagus",X898&amp;" ")),ISNUMBER(SEARCH("ok",X898&amp;" ")),ISNUMBER(SEARCH("good",X898&amp;" ")),ISNUMBER(SEARCH("aman",X898&amp;" ")),ISNUMBER(SEARCH("lanjut",X898&amp;" ")),ISNUMBER(SEARCH("mantap",X898&amp;" ")),ISNUMBER(SEARCH("josjis",X898&amp;" ")),ISNUMBER(SEARCH("lumayan",X898&amp;" ")),ISNUMBER(SEARCH("mudah",X898&amp;" ")),ISNUMBER(SEARCH("belum",X898&amp;" ")),ISNUMBER(SEARCH("membantu",X898&amp;" ")),ISNUMBER(SEARCH("comment",X898&amp;" ")),ISNUMBER(SEARCH("lengkap",X898&amp;" ")),ISNUMBER(SEARCH("tercakup",X898&amp;" ")),ISNUMBER(SEARCH("mencakup",X898&amp;" ")),ISNUMBER(SEARCH("semua",X898&amp;" ")),ISNUMBER(SEARCH("penting",X898&amp;" ")),ISNUMBER(SEARCH("terangkum",X898&amp;" ")),ISNUMBER(SEARCH("pas",X898&amp;" ")),ISNUMBER(SEARCH("berjalan",X898&amp;" ")),ISNUMBER(SEARCH("sesuai",X898&amp;" "))),"Tidak ada masukan / sudah baik","Lainnya (perlu dibaca manual)"))))))))))))))</f>
        <v/>
      </c>
      <c r="AC898" s="8"/>
      <c r="AD898" s="8"/>
      <c r="AE898" s="8"/>
      <c r="AK898" s="5" t="str">
        <f t="shared" ref="AK898:AK961" si="312">IF($A898="","",IF(OR($Z898="Kecepatan &amp; Loading Website",$AB898="Kecepatan Akses Website",AND($AA898="Bukan Terkait SOP (Tampilan / Akses)",OR(ISNUMBER(SEARCH("lemot",$W898)),ISNUMBER(SEARCH("loading",$W898)),ISNUMBER(SEARCH("lambat",$W898))))),1,0))</f>
        <v/>
      </c>
      <c r="AL898" s="5" t="str">
        <f t="shared" ref="AL898:AL961" si="313">IF($A898="","",IF(OR($Z898="Tampilan di HP (Responsif)"),1,0))</f>
        <v/>
      </c>
      <c r="AM898" s="5" t="str">
        <f t="shared" ref="AM898:AM961" si="314">IF($A898="","",IF(OR($Z898="Desain, Warna &amp; Font",$AB898="Desain Tampilan",AND($AA898="Bukan Terkait SOP (Tampilan / Akses)",NOT(OR(ISNUMBER(SEARCH("lemot",$W898)),ISNUMBER(SEARCH("loading",$W898)),ISNUMBER(SEARCH("lambat",$W898)))))),1,0))</f>
        <v/>
      </c>
      <c r="AN898" s="5" t="str">
        <f t="shared" ref="AN898:AN961" si="315">IF($A898="","",IF(OR($Z898="Menu per Jabatan / Navigasi"),1,0))</f>
        <v/>
      </c>
      <c r="AO898" s="5" t="str">
        <f t="shared" ref="AO898:AO961" si="316">IF($A898="","",IF(OR($Z898="Integrasi dengan SACS / Aplikasi",$AB898="Integrasi ke SACS / Aplikasi Kerja"),1,0))</f>
        <v/>
      </c>
      <c r="AP898" s="5" t="str">
        <f t="shared" ref="AP898:AP961" si="317">IF($A898="","",IF(OR($AB898="Fitur Baru (Dashboard / KPI / Database)"),1,0))</f>
        <v/>
      </c>
      <c r="AQ898" s="5" t="str">
        <f t="shared" ref="AQ898:AQ961" si="318">IF($A898="","",IF(OR($Z898="Penyederhanaan &amp; Ringkas Isi",$AB898="Penyederhanaan Isi"),1,0))</f>
        <v/>
      </c>
      <c r="AR898" s="5" t="str">
        <f t="shared" ref="AR898:AR961" si="319">IF($A898="","",IF(OR($Z898="Penambahan Isi / Penjelasan",$AB898="Penambahan Materi &amp; Template"),1,0))</f>
        <v/>
      </c>
      <c r="AS898" s="5" t="str">
        <f t="shared" ref="AS898:AS961" si="320">IF($A898="","",IF(OR($Z898="Tambah Video / Bagan",$AB898="Tambah Video / Gambar / Flowchart"),1,0))</f>
        <v/>
      </c>
      <c r="AT898" s="5" t="str">
        <f t="shared" ref="AT898:AT961" si="321">IF($A898="","",IF(OR($Z898="Kontak &amp; Informasi PIC",$AA898="Kontak PIC &amp; Eskalasi",$AB898="Struktur Organisasi, PIC &amp; Tim"),1,0))</f>
        <v/>
      </c>
      <c r="AU898" s="5" t="str">
        <f t="shared" ref="AU898:AU961" si="322">IF($A898="","",IF(OR($AA898="Pembaruan &amp; Notifikasi SOP",$AB898="Update Informasi Berkala"),1,0))</f>
        <v/>
      </c>
      <c r="AV898" s="5" t="str">
        <f t="shared" ref="AV898:AV961" si="323">IF($A898="","",IF(OR($AA898="Sanksi &amp; Pelanggaran SOP"),1,0))</f>
        <v/>
      </c>
      <c r="AW898" s="5" t="str">
        <f t="shared" ref="AW898:AW961" si="324">IF($A898="","",IF(OR($AA898="Piutang &amp; Pelanggan Bermasalah"),1,0))</f>
        <v/>
      </c>
      <c r="AX898" s="5" t="str">
        <f t="shared" ref="AX898:AX961" si="325">IF($A898="","",IF(OR($AA898="Pengiriman, Retur &amp; Logistik"),1,0))</f>
        <v/>
      </c>
      <c r="AY898" s="5" t="str">
        <f t="shared" ref="AY898:AY961" si="326">IF($A898="","",IF(OR($AA898="Panduan Laporan &amp; Alur Kerja"),1,0))</f>
        <v/>
      </c>
      <c r="AZ898" s="5" t="str">
        <f t="shared" ref="AZ898:AZ961" si="327">IF($A898="","",IF(OR($Z898="Saran Umum Peningkatan",$AB898="Saran Umum Peningkatan"),1,0))</f>
        <v/>
      </c>
      <c r="BA898" s="5" t="str">
        <f t="shared" ref="BA898:BA961" si="328">IF($A898="","",IF(OR($Z898="Lainnya (perlu dibaca manual)",$AA898="Lainnya (perlu dibaca manual)",$AB898="Lainnya (perlu dibaca manual)"),1,0))</f>
        <v/>
      </c>
      <c r="BB898" s="5" t="str">
        <f t="shared" ref="BB898:BB961" si="329">IF($A898="","",IF(AND($Z898="Tidak ada masukan / sudah baik",$AA898="Tidak ada masukan / sudah baik",$AB898="Tidak ada masukan / sudah baik"),0,1))</f>
        <v/>
      </c>
    </row>
    <row r="899" spans="1:54" s="5" customFormat="1" hidden="1">
      <c r="A899" s="8" t="str">
        <f>IF(INDEX(FORM!$A:$A,ROW())="","",ROW()-1)</f>
        <v/>
      </c>
      <c r="B899" s="41" t="str">
        <f>IF($A899="","",INDEX(FORM!$A:$A,ROW()))</f>
        <v/>
      </c>
      <c r="C899" s="8" t="str">
        <f>IF($A899="","",TRIM(INDEX(FORM!$B:$B,ROW())))</f>
        <v/>
      </c>
      <c r="D899" s="8" t="str">
        <f>IF($A899="","",TRIM(INDEX(FORM!$C:$C,ROW())&amp;""))</f>
        <v/>
      </c>
      <c r="E899" s="8" t="str">
        <f>IF($A899="","",UPPER(TRIM(INDEX(FORM!$D:$D,ROW()))))</f>
        <v/>
      </c>
      <c r="F899" s="8" t="str">
        <f>IF($A899="","",IFERROR(INDEX(PROGRES!$A$2:$A$92,MATCH(E899,PROGRES!$B$2:$B$92,0)),"-"))</f>
        <v/>
      </c>
      <c r="G899" s="8" t="str">
        <f>IF($A899="","",UPPER(TRIM(INDEX(FORM!$F:$F,ROW()))))</f>
        <v/>
      </c>
      <c r="H899" s="8" t="str">
        <f>IF($A899="","",UPPER(TRIM(INDEX(FORM!$E:$E,ROW()))))</f>
        <v/>
      </c>
      <c r="I899" s="8" t="str">
        <f>IF($A899="","",UPPER(TRIM(INDEX(FORM!$G:$G,ROW()))))</f>
        <v/>
      </c>
      <c r="J899" s="8" t="str">
        <f>IF($A899="","",IF(ISNUMBER(SEARCH("Ya,",INDEX(FORM!$H:$H,ROW()))),"YA",IF(ISNUMBER(SEARCH("Cukup,",INDEX(FORM!$H:$H,ROW()))),"CUKUP",IF(ISNUMBER(SEARCH("Kurang,",INDEX(FORM!$H:$H,ROW()))),"KURANG",""))))</f>
        <v/>
      </c>
      <c r="K899" s="8" t="str">
        <f>IF($A899="","",UPPER(TRIM(INDEX(FORM!$J:$J,ROW()))))</f>
        <v/>
      </c>
      <c r="L899" s="8" t="str">
        <f>IF($A899="","",IF(ISNUMBER(SEARCH("Aktivitas Harian",INDEX(FORM!$K:$K,ROW()))),1,0))</f>
        <v/>
      </c>
      <c r="M899" s="8" t="str">
        <f>IF($A899="","",IF(ISNUMBER(SEARCH("Aktivitas Mingguan",INDEX(FORM!$K:$K,ROW()))),1,0))</f>
        <v/>
      </c>
      <c r="N899" s="8" t="str">
        <f>IF($A899="","",IF(ISNUMBER(SEARCH("Aktivitas Bulanan",INDEX(FORM!$K:$K,ROW()))),1,0))</f>
        <v/>
      </c>
      <c r="O899" s="8" t="str">
        <f>IF($A899="","",IF(ISNUMBER(SEARCH("Overview Cabang",INDEX(FORM!$K:$K,ROW()))),1,0))</f>
        <v/>
      </c>
      <c r="P899" s="8" t="str">
        <f>IF($A899="","",IFERROR(VLOOKUP(I899,DATA!$AH$9:$AI$13,2,0),""))</f>
        <v/>
      </c>
      <c r="Q899" s="8" t="str">
        <f>IF($A899="","",IFERROR(VLOOKUP(J899,DATA!$AH$9:$AI$13,2,0),""))</f>
        <v/>
      </c>
      <c r="R899" s="8" t="str">
        <f>IF($A899="","",IFERROR(VLOOKUP(K899,DATA!$AH$9:$AI$13,2,0),""))</f>
        <v/>
      </c>
      <c r="S899" s="42" t="str">
        <f t="shared" si="308"/>
        <v/>
      </c>
      <c r="T899" s="8" t="str">
        <f>IF($A899="","",IF(COUNTIF($D$2:D899,D899)=1,1,0))</f>
        <v/>
      </c>
      <c r="U899" s="8" t="str">
        <f>IF($A899="","",IF(F899="-","Cabang tdk ada",IF(IFERROR(VLOOKUP(G899,#REF!,1,0),"")="","",IF(INDEX(DATA!$AH$2:$AH$5,MATCH(G899,DATA!$AI$2:$AI$5,0))&lt;&gt;F899,"Wilayah beda","OK"))))</f>
        <v/>
      </c>
      <c r="V899" s="8" t="str">
        <f>IF($A899="","",TRIM(INDEX(FORM!$I:$I,ROW())&amp;""))</f>
        <v/>
      </c>
      <c r="W899" s="8" t="str">
        <f>IF($A899="","",TRIM(INDEX(FORM!$L:$L,ROW())&amp;""))</f>
        <v/>
      </c>
      <c r="X899" s="8" t="str">
        <f>IF($A899="","",TRIM(INDEX(FORM!$M:$M,ROW())&amp;""))</f>
        <v/>
      </c>
      <c r="Y899" s="8" t="str">
        <f>IF($A899="","",IFERROR(MATCH(F899,DATA!$AH$2:$AH$5,0),9)*10000+A899)</f>
        <v/>
      </c>
      <c r="Z899" s="8" t="str">
        <f t="shared" si="309"/>
        <v/>
      </c>
      <c r="AA899" s="8" t="str">
        <f t="shared" si="310"/>
        <v/>
      </c>
      <c r="AB899" s="8" t="str">
        <f t="shared" si="311"/>
        <v/>
      </c>
      <c r="AC899" s="8"/>
      <c r="AD899" s="8"/>
      <c r="AE899" s="8"/>
      <c r="AK899" s="5" t="str">
        <f t="shared" si="312"/>
        <v/>
      </c>
      <c r="AL899" s="5" t="str">
        <f t="shared" si="313"/>
        <v/>
      </c>
      <c r="AM899" s="5" t="str">
        <f t="shared" si="314"/>
        <v/>
      </c>
      <c r="AN899" s="5" t="str">
        <f t="shared" si="315"/>
        <v/>
      </c>
      <c r="AO899" s="5" t="str">
        <f t="shared" si="316"/>
        <v/>
      </c>
      <c r="AP899" s="5" t="str">
        <f t="shared" si="317"/>
        <v/>
      </c>
      <c r="AQ899" s="5" t="str">
        <f t="shared" si="318"/>
        <v/>
      </c>
      <c r="AR899" s="5" t="str">
        <f t="shared" si="319"/>
        <v/>
      </c>
      <c r="AS899" s="5" t="str">
        <f t="shared" si="320"/>
        <v/>
      </c>
      <c r="AT899" s="5" t="str">
        <f t="shared" si="321"/>
        <v/>
      </c>
      <c r="AU899" s="5" t="str">
        <f t="shared" si="322"/>
        <v/>
      </c>
      <c r="AV899" s="5" t="str">
        <f t="shared" si="323"/>
        <v/>
      </c>
      <c r="AW899" s="5" t="str">
        <f t="shared" si="324"/>
        <v/>
      </c>
      <c r="AX899" s="5" t="str">
        <f t="shared" si="325"/>
        <v/>
      </c>
      <c r="AY899" s="5" t="str">
        <f t="shared" si="326"/>
        <v/>
      </c>
      <c r="AZ899" s="5" t="str">
        <f t="shared" si="327"/>
        <v/>
      </c>
      <c r="BA899" s="5" t="str">
        <f t="shared" si="328"/>
        <v/>
      </c>
      <c r="BB899" s="5" t="str">
        <f t="shared" si="329"/>
        <v/>
      </c>
    </row>
    <row r="900" spans="1:54" s="5" customFormat="1" hidden="1">
      <c r="A900" s="8" t="str">
        <f>IF(INDEX(FORM!$A:$A,ROW())="","",ROW()-1)</f>
        <v/>
      </c>
      <c r="B900" s="41" t="str">
        <f>IF($A900="","",INDEX(FORM!$A:$A,ROW()))</f>
        <v/>
      </c>
      <c r="C900" s="8" t="str">
        <f>IF($A900="","",TRIM(INDEX(FORM!$B:$B,ROW())))</f>
        <v/>
      </c>
      <c r="D900" s="8" t="str">
        <f>IF($A900="","",TRIM(INDEX(FORM!$C:$C,ROW())&amp;""))</f>
        <v/>
      </c>
      <c r="E900" s="8" t="str">
        <f>IF($A900="","",UPPER(TRIM(INDEX(FORM!$D:$D,ROW()))))</f>
        <v/>
      </c>
      <c r="F900" s="8" t="str">
        <f>IF($A900="","",IFERROR(INDEX(PROGRES!$A$2:$A$92,MATCH(E900,PROGRES!$B$2:$B$92,0)),"-"))</f>
        <v/>
      </c>
      <c r="G900" s="8" t="str">
        <f>IF($A900="","",UPPER(TRIM(INDEX(FORM!$F:$F,ROW()))))</f>
        <v/>
      </c>
      <c r="H900" s="8" t="str">
        <f>IF($A900="","",UPPER(TRIM(INDEX(FORM!$E:$E,ROW()))))</f>
        <v/>
      </c>
      <c r="I900" s="8" t="str">
        <f>IF($A900="","",UPPER(TRIM(INDEX(FORM!$G:$G,ROW()))))</f>
        <v/>
      </c>
      <c r="J900" s="8" t="str">
        <f>IF($A900="","",IF(ISNUMBER(SEARCH("Ya,",INDEX(FORM!$H:$H,ROW()))),"YA",IF(ISNUMBER(SEARCH("Cukup,",INDEX(FORM!$H:$H,ROW()))),"CUKUP",IF(ISNUMBER(SEARCH("Kurang,",INDEX(FORM!$H:$H,ROW()))),"KURANG",""))))</f>
        <v/>
      </c>
      <c r="K900" s="8" t="str">
        <f>IF($A900="","",UPPER(TRIM(INDEX(FORM!$J:$J,ROW()))))</f>
        <v/>
      </c>
      <c r="L900" s="8" t="str">
        <f>IF($A900="","",IF(ISNUMBER(SEARCH("Aktivitas Harian",INDEX(FORM!$K:$K,ROW()))),1,0))</f>
        <v/>
      </c>
      <c r="M900" s="8" t="str">
        <f>IF($A900="","",IF(ISNUMBER(SEARCH("Aktivitas Mingguan",INDEX(FORM!$K:$K,ROW()))),1,0))</f>
        <v/>
      </c>
      <c r="N900" s="8" t="str">
        <f>IF($A900="","",IF(ISNUMBER(SEARCH("Aktivitas Bulanan",INDEX(FORM!$K:$K,ROW()))),1,0))</f>
        <v/>
      </c>
      <c r="O900" s="8" t="str">
        <f>IF($A900="","",IF(ISNUMBER(SEARCH("Overview Cabang",INDEX(FORM!$K:$K,ROW()))),1,0))</f>
        <v/>
      </c>
      <c r="P900" s="8" t="str">
        <f>IF($A900="","",IFERROR(VLOOKUP(I900,DATA!$AH$9:$AI$13,2,0),""))</f>
        <v/>
      </c>
      <c r="Q900" s="8" t="str">
        <f>IF($A900="","",IFERROR(VLOOKUP(J900,DATA!$AH$9:$AI$13,2,0),""))</f>
        <v/>
      </c>
      <c r="R900" s="8" t="str">
        <f>IF($A900="","",IFERROR(VLOOKUP(K900,DATA!$AH$9:$AI$13,2,0),""))</f>
        <v/>
      </c>
      <c r="S900" s="42" t="str">
        <f t="shared" si="308"/>
        <v/>
      </c>
      <c r="T900" s="8" t="str">
        <f>IF($A900="","",IF(COUNTIF($D$2:D900,D900)=1,1,0))</f>
        <v/>
      </c>
      <c r="U900" s="8" t="str">
        <f>IF($A900="","",IF(F900="-","Cabang tdk ada",IF(IFERROR(VLOOKUP(G900,#REF!,1,0),"")="","",IF(INDEX(DATA!$AH$2:$AH$5,MATCH(G900,DATA!$AI$2:$AI$5,0))&lt;&gt;F900,"Wilayah beda","OK"))))</f>
        <v/>
      </c>
      <c r="V900" s="8" t="str">
        <f>IF($A900="","",TRIM(INDEX(FORM!$I:$I,ROW())&amp;""))</f>
        <v/>
      </c>
      <c r="W900" s="8" t="str">
        <f>IF($A900="","",TRIM(INDEX(FORM!$L:$L,ROW())&amp;""))</f>
        <v/>
      </c>
      <c r="X900" s="8" t="str">
        <f>IF($A900="","",TRIM(INDEX(FORM!$M:$M,ROW())&amp;""))</f>
        <v/>
      </c>
      <c r="Y900" s="8" t="str">
        <f>IF($A900="","",IFERROR(MATCH(F900,DATA!$AH$2:$AH$5,0),9)*10000+A900)</f>
        <v/>
      </c>
      <c r="Z900" s="8" t="str">
        <f t="shared" si="309"/>
        <v/>
      </c>
      <c r="AA900" s="8" t="str">
        <f t="shared" si="310"/>
        <v/>
      </c>
      <c r="AB900" s="8" t="str">
        <f t="shared" si="311"/>
        <v/>
      </c>
      <c r="AC900" s="8"/>
      <c r="AD900" s="8"/>
      <c r="AE900" s="8"/>
      <c r="AK900" s="5" t="str">
        <f t="shared" si="312"/>
        <v/>
      </c>
      <c r="AL900" s="5" t="str">
        <f t="shared" si="313"/>
        <v/>
      </c>
      <c r="AM900" s="5" t="str">
        <f t="shared" si="314"/>
        <v/>
      </c>
      <c r="AN900" s="5" t="str">
        <f t="shared" si="315"/>
        <v/>
      </c>
      <c r="AO900" s="5" t="str">
        <f t="shared" si="316"/>
        <v/>
      </c>
      <c r="AP900" s="5" t="str">
        <f t="shared" si="317"/>
        <v/>
      </c>
      <c r="AQ900" s="5" t="str">
        <f t="shared" si="318"/>
        <v/>
      </c>
      <c r="AR900" s="5" t="str">
        <f t="shared" si="319"/>
        <v/>
      </c>
      <c r="AS900" s="5" t="str">
        <f t="shared" si="320"/>
        <v/>
      </c>
      <c r="AT900" s="5" t="str">
        <f t="shared" si="321"/>
        <v/>
      </c>
      <c r="AU900" s="5" t="str">
        <f t="shared" si="322"/>
        <v/>
      </c>
      <c r="AV900" s="5" t="str">
        <f t="shared" si="323"/>
        <v/>
      </c>
      <c r="AW900" s="5" t="str">
        <f t="shared" si="324"/>
        <v/>
      </c>
      <c r="AX900" s="5" t="str">
        <f t="shared" si="325"/>
        <v/>
      </c>
      <c r="AY900" s="5" t="str">
        <f t="shared" si="326"/>
        <v/>
      </c>
      <c r="AZ900" s="5" t="str">
        <f t="shared" si="327"/>
        <v/>
      </c>
      <c r="BA900" s="5" t="str">
        <f t="shared" si="328"/>
        <v/>
      </c>
      <c r="BB900" s="5" t="str">
        <f t="shared" si="329"/>
        <v/>
      </c>
    </row>
    <row r="901" spans="1:54" s="5" customFormat="1" hidden="1">
      <c r="A901" s="8" t="str">
        <f>IF(INDEX(FORM!$A:$A,ROW())="","",ROW()-1)</f>
        <v/>
      </c>
      <c r="B901" s="41" t="str">
        <f>IF($A901="","",INDEX(FORM!$A:$A,ROW()))</f>
        <v/>
      </c>
      <c r="C901" s="8" t="str">
        <f>IF($A901="","",TRIM(INDEX(FORM!$B:$B,ROW())))</f>
        <v/>
      </c>
      <c r="D901" s="8" t="str">
        <f>IF($A901="","",TRIM(INDEX(FORM!$C:$C,ROW())&amp;""))</f>
        <v/>
      </c>
      <c r="E901" s="8" t="str">
        <f>IF($A901="","",UPPER(TRIM(INDEX(FORM!$D:$D,ROW()))))</f>
        <v/>
      </c>
      <c r="F901" s="8" t="str">
        <f>IF($A901="","",IFERROR(INDEX(PROGRES!$A$2:$A$92,MATCH(E901,PROGRES!$B$2:$B$92,0)),"-"))</f>
        <v/>
      </c>
      <c r="G901" s="8" t="str">
        <f>IF($A901="","",UPPER(TRIM(INDEX(FORM!$F:$F,ROW()))))</f>
        <v/>
      </c>
      <c r="H901" s="8" t="str">
        <f>IF($A901="","",UPPER(TRIM(INDEX(FORM!$E:$E,ROW()))))</f>
        <v/>
      </c>
      <c r="I901" s="8" t="str">
        <f>IF($A901="","",UPPER(TRIM(INDEX(FORM!$G:$G,ROW()))))</f>
        <v/>
      </c>
      <c r="J901" s="8" t="str">
        <f>IF($A901="","",IF(ISNUMBER(SEARCH("Ya,",INDEX(FORM!$H:$H,ROW()))),"YA",IF(ISNUMBER(SEARCH("Cukup,",INDEX(FORM!$H:$H,ROW()))),"CUKUP",IF(ISNUMBER(SEARCH("Kurang,",INDEX(FORM!$H:$H,ROW()))),"KURANG",""))))</f>
        <v/>
      </c>
      <c r="K901" s="8" t="str">
        <f>IF($A901="","",UPPER(TRIM(INDEX(FORM!$J:$J,ROW()))))</f>
        <v/>
      </c>
      <c r="L901" s="8" t="str">
        <f>IF($A901="","",IF(ISNUMBER(SEARCH("Aktivitas Harian",INDEX(FORM!$K:$K,ROW()))),1,0))</f>
        <v/>
      </c>
      <c r="M901" s="8" t="str">
        <f>IF($A901="","",IF(ISNUMBER(SEARCH("Aktivitas Mingguan",INDEX(FORM!$K:$K,ROW()))),1,0))</f>
        <v/>
      </c>
      <c r="N901" s="8" t="str">
        <f>IF($A901="","",IF(ISNUMBER(SEARCH("Aktivitas Bulanan",INDEX(FORM!$K:$K,ROW()))),1,0))</f>
        <v/>
      </c>
      <c r="O901" s="8" t="str">
        <f>IF($A901="","",IF(ISNUMBER(SEARCH("Overview Cabang",INDEX(FORM!$K:$K,ROW()))),1,0))</f>
        <v/>
      </c>
      <c r="P901" s="8" t="str">
        <f>IF($A901="","",IFERROR(VLOOKUP(I901,DATA!$AH$9:$AI$13,2,0),""))</f>
        <v/>
      </c>
      <c r="Q901" s="8" t="str">
        <f>IF($A901="","",IFERROR(VLOOKUP(J901,DATA!$AH$9:$AI$13,2,0),""))</f>
        <v/>
      </c>
      <c r="R901" s="8" t="str">
        <f>IF($A901="","",IFERROR(VLOOKUP(K901,DATA!$AH$9:$AI$13,2,0),""))</f>
        <v/>
      </c>
      <c r="S901" s="42" t="str">
        <f t="shared" si="308"/>
        <v/>
      </c>
      <c r="T901" s="8" t="str">
        <f>IF($A901="","",IF(COUNTIF($D$2:D901,D901)=1,1,0))</f>
        <v/>
      </c>
      <c r="U901" s="8" t="str">
        <f>IF($A901="","",IF(F901="-","Cabang tdk ada",IF(IFERROR(VLOOKUP(G901,#REF!,1,0),"")="","",IF(INDEX(DATA!$AH$2:$AH$5,MATCH(G901,DATA!$AI$2:$AI$5,0))&lt;&gt;F901,"Wilayah beda","OK"))))</f>
        <v/>
      </c>
      <c r="V901" s="8" t="str">
        <f>IF($A901="","",TRIM(INDEX(FORM!$I:$I,ROW())&amp;""))</f>
        <v/>
      </c>
      <c r="W901" s="8" t="str">
        <f>IF($A901="","",TRIM(INDEX(FORM!$L:$L,ROW())&amp;""))</f>
        <v/>
      </c>
      <c r="X901" s="8" t="str">
        <f>IF($A901="","",TRIM(INDEX(FORM!$M:$M,ROW())&amp;""))</f>
        <v/>
      </c>
      <c r="Y901" s="8" t="str">
        <f>IF($A901="","",IFERROR(MATCH(F901,DATA!$AH$2:$AH$5,0),9)*10000+A901)</f>
        <v/>
      </c>
      <c r="Z901" s="8" t="str">
        <f t="shared" si="309"/>
        <v/>
      </c>
      <c r="AA901" s="8" t="str">
        <f t="shared" si="310"/>
        <v/>
      </c>
      <c r="AB901" s="8" t="str">
        <f t="shared" si="311"/>
        <v/>
      </c>
      <c r="AC901" s="8"/>
      <c r="AD901" s="8"/>
      <c r="AE901" s="8"/>
      <c r="AK901" s="5" t="str">
        <f t="shared" si="312"/>
        <v/>
      </c>
      <c r="AL901" s="5" t="str">
        <f t="shared" si="313"/>
        <v/>
      </c>
      <c r="AM901" s="5" t="str">
        <f t="shared" si="314"/>
        <v/>
      </c>
      <c r="AN901" s="5" t="str">
        <f t="shared" si="315"/>
        <v/>
      </c>
      <c r="AO901" s="5" t="str">
        <f t="shared" si="316"/>
        <v/>
      </c>
      <c r="AP901" s="5" t="str">
        <f t="shared" si="317"/>
        <v/>
      </c>
      <c r="AQ901" s="5" t="str">
        <f t="shared" si="318"/>
        <v/>
      </c>
      <c r="AR901" s="5" t="str">
        <f t="shared" si="319"/>
        <v/>
      </c>
      <c r="AS901" s="5" t="str">
        <f t="shared" si="320"/>
        <v/>
      </c>
      <c r="AT901" s="5" t="str">
        <f t="shared" si="321"/>
        <v/>
      </c>
      <c r="AU901" s="5" t="str">
        <f t="shared" si="322"/>
        <v/>
      </c>
      <c r="AV901" s="5" t="str">
        <f t="shared" si="323"/>
        <v/>
      </c>
      <c r="AW901" s="5" t="str">
        <f t="shared" si="324"/>
        <v/>
      </c>
      <c r="AX901" s="5" t="str">
        <f t="shared" si="325"/>
        <v/>
      </c>
      <c r="AY901" s="5" t="str">
        <f t="shared" si="326"/>
        <v/>
      </c>
      <c r="AZ901" s="5" t="str">
        <f t="shared" si="327"/>
        <v/>
      </c>
      <c r="BA901" s="5" t="str">
        <f t="shared" si="328"/>
        <v/>
      </c>
      <c r="BB901" s="5" t="str">
        <f t="shared" si="329"/>
        <v/>
      </c>
    </row>
    <row r="902" spans="1:54" s="5" customFormat="1" hidden="1">
      <c r="A902" s="8" t="str">
        <f>IF(INDEX(FORM!$A:$A,ROW())="","",ROW()-1)</f>
        <v/>
      </c>
      <c r="B902" s="41" t="str">
        <f>IF($A902="","",INDEX(FORM!$A:$A,ROW()))</f>
        <v/>
      </c>
      <c r="C902" s="8" t="str">
        <f>IF($A902="","",TRIM(INDEX(FORM!$B:$B,ROW())))</f>
        <v/>
      </c>
      <c r="D902" s="8" t="str">
        <f>IF($A902="","",TRIM(INDEX(FORM!$C:$C,ROW())&amp;""))</f>
        <v/>
      </c>
      <c r="E902" s="8" t="str">
        <f>IF($A902="","",UPPER(TRIM(INDEX(FORM!$D:$D,ROW()))))</f>
        <v/>
      </c>
      <c r="F902" s="8" t="str">
        <f>IF($A902="","",IFERROR(INDEX(PROGRES!$A$2:$A$92,MATCH(E902,PROGRES!$B$2:$B$92,0)),"-"))</f>
        <v/>
      </c>
      <c r="G902" s="8" t="str">
        <f>IF($A902="","",UPPER(TRIM(INDEX(FORM!$F:$F,ROW()))))</f>
        <v/>
      </c>
      <c r="H902" s="8" t="str">
        <f>IF($A902="","",UPPER(TRIM(INDEX(FORM!$E:$E,ROW()))))</f>
        <v/>
      </c>
      <c r="I902" s="8" t="str">
        <f>IF($A902="","",UPPER(TRIM(INDEX(FORM!$G:$G,ROW()))))</f>
        <v/>
      </c>
      <c r="J902" s="8" t="str">
        <f>IF($A902="","",IF(ISNUMBER(SEARCH("Ya,",INDEX(FORM!$H:$H,ROW()))),"YA",IF(ISNUMBER(SEARCH("Cukup,",INDEX(FORM!$H:$H,ROW()))),"CUKUP",IF(ISNUMBER(SEARCH("Kurang,",INDEX(FORM!$H:$H,ROW()))),"KURANG",""))))</f>
        <v/>
      </c>
      <c r="K902" s="8" t="str">
        <f>IF($A902="","",UPPER(TRIM(INDEX(FORM!$J:$J,ROW()))))</f>
        <v/>
      </c>
      <c r="L902" s="8" t="str">
        <f>IF($A902="","",IF(ISNUMBER(SEARCH("Aktivitas Harian",INDEX(FORM!$K:$K,ROW()))),1,0))</f>
        <v/>
      </c>
      <c r="M902" s="8" t="str">
        <f>IF($A902="","",IF(ISNUMBER(SEARCH("Aktivitas Mingguan",INDEX(FORM!$K:$K,ROW()))),1,0))</f>
        <v/>
      </c>
      <c r="N902" s="8" t="str">
        <f>IF($A902="","",IF(ISNUMBER(SEARCH("Aktivitas Bulanan",INDEX(FORM!$K:$K,ROW()))),1,0))</f>
        <v/>
      </c>
      <c r="O902" s="8" t="str">
        <f>IF($A902="","",IF(ISNUMBER(SEARCH("Overview Cabang",INDEX(FORM!$K:$K,ROW()))),1,0))</f>
        <v/>
      </c>
      <c r="P902" s="8" t="str">
        <f>IF($A902="","",IFERROR(VLOOKUP(I902,DATA!$AH$9:$AI$13,2,0),""))</f>
        <v/>
      </c>
      <c r="Q902" s="8" t="str">
        <f>IF($A902="","",IFERROR(VLOOKUP(J902,DATA!$AH$9:$AI$13,2,0),""))</f>
        <v/>
      </c>
      <c r="R902" s="8" t="str">
        <f>IF($A902="","",IFERROR(VLOOKUP(K902,DATA!$AH$9:$AI$13,2,0),""))</f>
        <v/>
      </c>
      <c r="S902" s="42" t="str">
        <f t="shared" si="308"/>
        <v/>
      </c>
      <c r="T902" s="8" t="str">
        <f>IF($A902="","",IF(COUNTIF($D$2:D902,D902)=1,1,0))</f>
        <v/>
      </c>
      <c r="U902" s="8" t="str">
        <f>IF($A902="","",IF(F902="-","Cabang tdk ada",IF(IFERROR(VLOOKUP(G902,#REF!,1,0),"")="","",IF(INDEX(DATA!$AH$2:$AH$5,MATCH(G902,DATA!$AI$2:$AI$5,0))&lt;&gt;F902,"Wilayah beda","OK"))))</f>
        <v/>
      </c>
      <c r="V902" s="8" t="str">
        <f>IF($A902="","",TRIM(INDEX(FORM!$I:$I,ROW())&amp;""))</f>
        <v/>
      </c>
      <c r="W902" s="8" t="str">
        <f>IF($A902="","",TRIM(INDEX(FORM!$L:$L,ROW())&amp;""))</f>
        <v/>
      </c>
      <c r="X902" s="8" t="str">
        <f>IF($A902="","",TRIM(INDEX(FORM!$M:$M,ROW())&amp;""))</f>
        <v/>
      </c>
      <c r="Y902" s="8" t="str">
        <f>IF($A902="","",IFERROR(MATCH(F902,DATA!$AH$2:$AH$5,0),9)*10000+A902)</f>
        <v/>
      </c>
      <c r="Z902" s="8" t="str">
        <f t="shared" si="309"/>
        <v/>
      </c>
      <c r="AA902" s="8" t="str">
        <f t="shared" si="310"/>
        <v/>
      </c>
      <c r="AB902" s="8" t="str">
        <f t="shared" si="311"/>
        <v/>
      </c>
      <c r="AC902" s="8"/>
      <c r="AD902" s="8"/>
      <c r="AE902" s="8"/>
      <c r="AK902" s="5" t="str">
        <f t="shared" si="312"/>
        <v/>
      </c>
      <c r="AL902" s="5" t="str">
        <f t="shared" si="313"/>
        <v/>
      </c>
      <c r="AM902" s="5" t="str">
        <f t="shared" si="314"/>
        <v/>
      </c>
      <c r="AN902" s="5" t="str">
        <f t="shared" si="315"/>
        <v/>
      </c>
      <c r="AO902" s="5" t="str">
        <f t="shared" si="316"/>
        <v/>
      </c>
      <c r="AP902" s="5" t="str">
        <f t="shared" si="317"/>
        <v/>
      </c>
      <c r="AQ902" s="5" t="str">
        <f t="shared" si="318"/>
        <v/>
      </c>
      <c r="AR902" s="5" t="str">
        <f t="shared" si="319"/>
        <v/>
      </c>
      <c r="AS902" s="5" t="str">
        <f t="shared" si="320"/>
        <v/>
      </c>
      <c r="AT902" s="5" t="str">
        <f t="shared" si="321"/>
        <v/>
      </c>
      <c r="AU902" s="5" t="str">
        <f t="shared" si="322"/>
        <v/>
      </c>
      <c r="AV902" s="5" t="str">
        <f t="shared" si="323"/>
        <v/>
      </c>
      <c r="AW902" s="5" t="str">
        <f t="shared" si="324"/>
        <v/>
      </c>
      <c r="AX902" s="5" t="str">
        <f t="shared" si="325"/>
        <v/>
      </c>
      <c r="AY902" s="5" t="str">
        <f t="shared" si="326"/>
        <v/>
      </c>
      <c r="AZ902" s="5" t="str">
        <f t="shared" si="327"/>
        <v/>
      </c>
      <c r="BA902" s="5" t="str">
        <f t="shared" si="328"/>
        <v/>
      </c>
      <c r="BB902" s="5" t="str">
        <f t="shared" si="329"/>
        <v/>
      </c>
    </row>
    <row r="903" spans="1:54" s="5" customFormat="1" hidden="1">
      <c r="A903" s="8" t="str">
        <f>IF(INDEX(FORM!$A:$A,ROW())="","",ROW()-1)</f>
        <v/>
      </c>
      <c r="B903" s="41" t="str">
        <f>IF($A903="","",INDEX(FORM!$A:$A,ROW()))</f>
        <v/>
      </c>
      <c r="C903" s="8" t="str">
        <f>IF($A903="","",TRIM(INDEX(FORM!$B:$B,ROW())))</f>
        <v/>
      </c>
      <c r="D903" s="8" t="str">
        <f>IF($A903="","",TRIM(INDEX(FORM!$C:$C,ROW())&amp;""))</f>
        <v/>
      </c>
      <c r="E903" s="8" t="str">
        <f>IF($A903="","",UPPER(TRIM(INDEX(FORM!$D:$D,ROW()))))</f>
        <v/>
      </c>
      <c r="F903" s="8" t="str">
        <f>IF($A903="","",IFERROR(INDEX(PROGRES!$A$2:$A$92,MATCH(E903,PROGRES!$B$2:$B$92,0)),"-"))</f>
        <v/>
      </c>
      <c r="G903" s="8" t="str">
        <f>IF($A903="","",UPPER(TRIM(INDEX(FORM!$F:$F,ROW()))))</f>
        <v/>
      </c>
      <c r="H903" s="8" t="str">
        <f>IF($A903="","",UPPER(TRIM(INDEX(FORM!$E:$E,ROW()))))</f>
        <v/>
      </c>
      <c r="I903" s="8" t="str">
        <f>IF($A903="","",UPPER(TRIM(INDEX(FORM!$G:$G,ROW()))))</f>
        <v/>
      </c>
      <c r="J903" s="8" t="str">
        <f>IF($A903="","",IF(ISNUMBER(SEARCH("Ya,",INDEX(FORM!$H:$H,ROW()))),"YA",IF(ISNUMBER(SEARCH("Cukup,",INDEX(FORM!$H:$H,ROW()))),"CUKUP",IF(ISNUMBER(SEARCH("Kurang,",INDEX(FORM!$H:$H,ROW()))),"KURANG",""))))</f>
        <v/>
      </c>
      <c r="K903" s="8" t="str">
        <f>IF($A903="","",UPPER(TRIM(INDEX(FORM!$J:$J,ROW()))))</f>
        <v/>
      </c>
      <c r="L903" s="8" t="str">
        <f>IF($A903="","",IF(ISNUMBER(SEARCH("Aktivitas Harian",INDEX(FORM!$K:$K,ROW()))),1,0))</f>
        <v/>
      </c>
      <c r="M903" s="8" t="str">
        <f>IF($A903="","",IF(ISNUMBER(SEARCH("Aktivitas Mingguan",INDEX(FORM!$K:$K,ROW()))),1,0))</f>
        <v/>
      </c>
      <c r="N903" s="8" t="str">
        <f>IF($A903="","",IF(ISNUMBER(SEARCH("Aktivitas Bulanan",INDEX(FORM!$K:$K,ROW()))),1,0))</f>
        <v/>
      </c>
      <c r="O903" s="8" t="str">
        <f>IF($A903="","",IF(ISNUMBER(SEARCH("Overview Cabang",INDEX(FORM!$K:$K,ROW()))),1,0))</f>
        <v/>
      </c>
      <c r="P903" s="8" t="str">
        <f>IF($A903="","",IFERROR(VLOOKUP(I903,DATA!$AH$9:$AI$13,2,0),""))</f>
        <v/>
      </c>
      <c r="Q903" s="8" t="str">
        <f>IF($A903="","",IFERROR(VLOOKUP(J903,DATA!$AH$9:$AI$13,2,0),""))</f>
        <v/>
      </c>
      <c r="R903" s="8" t="str">
        <f>IF($A903="","",IFERROR(VLOOKUP(K903,DATA!$AH$9:$AI$13,2,0),""))</f>
        <v/>
      </c>
      <c r="S903" s="42" t="str">
        <f t="shared" si="308"/>
        <v/>
      </c>
      <c r="T903" s="8" t="str">
        <f>IF($A903="","",IF(COUNTIF($D$2:D903,D903)=1,1,0))</f>
        <v/>
      </c>
      <c r="U903" s="8" t="str">
        <f>IF($A903="","",IF(F903="-","Cabang tdk ada",IF(IFERROR(VLOOKUP(G903,#REF!,1,0),"")="","",IF(INDEX(DATA!$AH$2:$AH$5,MATCH(G903,DATA!$AI$2:$AI$5,0))&lt;&gt;F903,"Wilayah beda","OK"))))</f>
        <v/>
      </c>
      <c r="V903" s="8" t="str">
        <f>IF($A903="","",TRIM(INDEX(FORM!$I:$I,ROW())&amp;""))</f>
        <v/>
      </c>
      <c r="W903" s="8" t="str">
        <f>IF($A903="","",TRIM(INDEX(FORM!$L:$L,ROW())&amp;""))</f>
        <v/>
      </c>
      <c r="X903" s="8" t="str">
        <f>IF($A903="","",TRIM(INDEX(FORM!$M:$M,ROW())&amp;""))</f>
        <v/>
      </c>
      <c r="Y903" s="8" t="str">
        <f>IF($A903="","",IFERROR(MATCH(F903,DATA!$AH$2:$AH$5,0),9)*10000+A903)</f>
        <v/>
      </c>
      <c r="Z903" s="8" t="str">
        <f t="shared" si="309"/>
        <v/>
      </c>
      <c r="AA903" s="8" t="str">
        <f t="shared" si="310"/>
        <v/>
      </c>
      <c r="AB903" s="8" t="str">
        <f t="shared" si="311"/>
        <v/>
      </c>
      <c r="AC903" s="8"/>
      <c r="AD903" s="8"/>
      <c r="AE903" s="8"/>
      <c r="AK903" s="5" t="str">
        <f t="shared" si="312"/>
        <v/>
      </c>
      <c r="AL903" s="5" t="str">
        <f t="shared" si="313"/>
        <v/>
      </c>
      <c r="AM903" s="5" t="str">
        <f t="shared" si="314"/>
        <v/>
      </c>
      <c r="AN903" s="5" t="str">
        <f t="shared" si="315"/>
        <v/>
      </c>
      <c r="AO903" s="5" t="str">
        <f t="shared" si="316"/>
        <v/>
      </c>
      <c r="AP903" s="5" t="str">
        <f t="shared" si="317"/>
        <v/>
      </c>
      <c r="AQ903" s="5" t="str">
        <f t="shared" si="318"/>
        <v/>
      </c>
      <c r="AR903" s="5" t="str">
        <f t="shared" si="319"/>
        <v/>
      </c>
      <c r="AS903" s="5" t="str">
        <f t="shared" si="320"/>
        <v/>
      </c>
      <c r="AT903" s="5" t="str">
        <f t="shared" si="321"/>
        <v/>
      </c>
      <c r="AU903" s="5" t="str">
        <f t="shared" si="322"/>
        <v/>
      </c>
      <c r="AV903" s="5" t="str">
        <f t="shared" si="323"/>
        <v/>
      </c>
      <c r="AW903" s="5" t="str">
        <f t="shared" si="324"/>
        <v/>
      </c>
      <c r="AX903" s="5" t="str">
        <f t="shared" si="325"/>
        <v/>
      </c>
      <c r="AY903" s="5" t="str">
        <f t="shared" si="326"/>
        <v/>
      </c>
      <c r="AZ903" s="5" t="str">
        <f t="shared" si="327"/>
        <v/>
      </c>
      <c r="BA903" s="5" t="str">
        <f t="shared" si="328"/>
        <v/>
      </c>
      <c r="BB903" s="5" t="str">
        <f t="shared" si="329"/>
        <v/>
      </c>
    </row>
    <row r="904" spans="1:54" s="5" customFormat="1" hidden="1">
      <c r="A904" s="8" t="str">
        <f>IF(INDEX(FORM!$A:$A,ROW())="","",ROW()-1)</f>
        <v/>
      </c>
      <c r="B904" s="41" t="str">
        <f>IF($A904="","",INDEX(FORM!$A:$A,ROW()))</f>
        <v/>
      </c>
      <c r="C904" s="8" t="str">
        <f>IF($A904="","",TRIM(INDEX(FORM!$B:$B,ROW())))</f>
        <v/>
      </c>
      <c r="D904" s="8" t="str">
        <f>IF($A904="","",TRIM(INDEX(FORM!$C:$C,ROW())&amp;""))</f>
        <v/>
      </c>
      <c r="E904" s="8" t="str">
        <f>IF($A904="","",UPPER(TRIM(INDEX(FORM!$D:$D,ROW()))))</f>
        <v/>
      </c>
      <c r="F904" s="8" t="str">
        <f>IF($A904="","",IFERROR(INDEX(PROGRES!$A$2:$A$92,MATCH(E904,PROGRES!$B$2:$B$92,0)),"-"))</f>
        <v/>
      </c>
      <c r="G904" s="8" t="str">
        <f>IF($A904="","",UPPER(TRIM(INDEX(FORM!$F:$F,ROW()))))</f>
        <v/>
      </c>
      <c r="H904" s="8" t="str">
        <f>IF($A904="","",UPPER(TRIM(INDEX(FORM!$E:$E,ROW()))))</f>
        <v/>
      </c>
      <c r="I904" s="8" t="str">
        <f>IF($A904="","",UPPER(TRIM(INDEX(FORM!$G:$G,ROW()))))</f>
        <v/>
      </c>
      <c r="J904" s="8" t="str">
        <f>IF($A904="","",IF(ISNUMBER(SEARCH("Ya,",INDEX(FORM!$H:$H,ROW()))),"YA",IF(ISNUMBER(SEARCH("Cukup,",INDEX(FORM!$H:$H,ROW()))),"CUKUP",IF(ISNUMBER(SEARCH("Kurang,",INDEX(FORM!$H:$H,ROW()))),"KURANG",""))))</f>
        <v/>
      </c>
      <c r="K904" s="8" t="str">
        <f>IF($A904="","",UPPER(TRIM(INDEX(FORM!$J:$J,ROW()))))</f>
        <v/>
      </c>
      <c r="L904" s="8" t="str">
        <f>IF($A904="","",IF(ISNUMBER(SEARCH("Aktivitas Harian",INDEX(FORM!$K:$K,ROW()))),1,0))</f>
        <v/>
      </c>
      <c r="M904" s="8" t="str">
        <f>IF($A904="","",IF(ISNUMBER(SEARCH("Aktivitas Mingguan",INDEX(FORM!$K:$K,ROW()))),1,0))</f>
        <v/>
      </c>
      <c r="N904" s="8" t="str">
        <f>IF($A904="","",IF(ISNUMBER(SEARCH("Aktivitas Bulanan",INDEX(FORM!$K:$K,ROW()))),1,0))</f>
        <v/>
      </c>
      <c r="O904" s="8" t="str">
        <f>IF($A904="","",IF(ISNUMBER(SEARCH("Overview Cabang",INDEX(FORM!$K:$K,ROW()))),1,0))</f>
        <v/>
      </c>
      <c r="P904" s="8" t="str">
        <f>IF($A904="","",IFERROR(VLOOKUP(I904,DATA!$AH$9:$AI$13,2,0),""))</f>
        <v/>
      </c>
      <c r="Q904" s="8" t="str">
        <f>IF($A904="","",IFERROR(VLOOKUP(J904,DATA!$AH$9:$AI$13,2,0),""))</f>
        <v/>
      </c>
      <c r="R904" s="8" t="str">
        <f>IF($A904="","",IFERROR(VLOOKUP(K904,DATA!$AH$9:$AI$13,2,0),""))</f>
        <v/>
      </c>
      <c r="S904" s="42" t="str">
        <f t="shared" si="308"/>
        <v/>
      </c>
      <c r="T904" s="8" t="str">
        <f>IF($A904="","",IF(COUNTIF($D$2:D904,D904)=1,1,0))</f>
        <v/>
      </c>
      <c r="U904" s="8" t="str">
        <f>IF($A904="","",IF(F904="-","Cabang tdk ada",IF(IFERROR(VLOOKUP(G904,#REF!,1,0),"")="","",IF(INDEX(DATA!$AH$2:$AH$5,MATCH(G904,DATA!$AI$2:$AI$5,0))&lt;&gt;F904,"Wilayah beda","OK"))))</f>
        <v/>
      </c>
      <c r="V904" s="8" t="str">
        <f>IF($A904="","",TRIM(INDEX(FORM!$I:$I,ROW())&amp;""))</f>
        <v/>
      </c>
      <c r="W904" s="8" t="str">
        <f>IF($A904="","",TRIM(INDEX(FORM!$L:$L,ROW())&amp;""))</f>
        <v/>
      </c>
      <c r="X904" s="8" t="str">
        <f>IF($A904="","",TRIM(INDEX(FORM!$M:$M,ROW())&amp;""))</f>
        <v/>
      </c>
      <c r="Y904" s="8" t="str">
        <f>IF($A904="","",IFERROR(MATCH(F904,DATA!$AH$2:$AH$5,0),9)*10000+A904)</f>
        <v/>
      </c>
      <c r="Z904" s="8" t="str">
        <f t="shared" si="309"/>
        <v/>
      </c>
      <c r="AA904" s="8" t="str">
        <f t="shared" si="310"/>
        <v/>
      </c>
      <c r="AB904" s="8" t="str">
        <f t="shared" si="311"/>
        <v/>
      </c>
      <c r="AC904" s="8"/>
      <c r="AD904" s="8"/>
      <c r="AE904" s="8"/>
      <c r="AK904" s="5" t="str">
        <f t="shared" si="312"/>
        <v/>
      </c>
      <c r="AL904" s="5" t="str">
        <f t="shared" si="313"/>
        <v/>
      </c>
      <c r="AM904" s="5" t="str">
        <f t="shared" si="314"/>
        <v/>
      </c>
      <c r="AN904" s="5" t="str">
        <f t="shared" si="315"/>
        <v/>
      </c>
      <c r="AO904" s="5" t="str">
        <f t="shared" si="316"/>
        <v/>
      </c>
      <c r="AP904" s="5" t="str">
        <f t="shared" si="317"/>
        <v/>
      </c>
      <c r="AQ904" s="5" t="str">
        <f t="shared" si="318"/>
        <v/>
      </c>
      <c r="AR904" s="5" t="str">
        <f t="shared" si="319"/>
        <v/>
      </c>
      <c r="AS904" s="5" t="str">
        <f t="shared" si="320"/>
        <v/>
      </c>
      <c r="AT904" s="5" t="str">
        <f t="shared" si="321"/>
        <v/>
      </c>
      <c r="AU904" s="5" t="str">
        <f t="shared" si="322"/>
        <v/>
      </c>
      <c r="AV904" s="5" t="str">
        <f t="shared" si="323"/>
        <v/>
      </c>
      <c r="AW904" s="5" t="str">
        <f t="shared" si="324"/>
        <v/>
      </c>
      <c r="AX904" s="5" t="str">
        <f t="shared" si="325"/>
        <v/>
      </c>
      <c r="AY904" s="5" t="str">
        <f t="shared" si="326"/>
        <v/>
      </c>
      <c r="AZ904" s="5" t="str">
        <f t="shared" si="327"/>
        <v/>
      </c>
      <c r="BA904" s="5" t="str">
        <f t="shared" si="328"/>
        <v/>
      </c>
      <c r="BB904" s="5" t="str">
        <f t="shared" si="329"/>
        <v/>
      </c>
    </row>
    <row r="905" spans="1:54" s="5" customFormat="1" hidden="1">
      <c r="A905" s="8" t="str">
        <f>IF(INDEX(FORM!$A:$A,ROW())="","",ROW()-1)</f>
        <v/>
      </c>
      <c r="B905" s="41" t="str">
        <f>IF($A905="","",INDEX(FORM!$A:$A,ROW()))</f>
        <v/>
      </c>
      <c r="C905" s="8" t="str">
        <f>IF($A905="","",TRIM(INDEX(FORM!$B:$B,ROW())))</f>
        <v/>
      </c>
      <c r="D905" s="8" t="str">
        <f>IF($A905="","",TRIM(INDEX(FORM!$C:$C,ROW())&amp;""))</f>
        <v/>
      </c>
      <c r="E905" s="8" t="str">
        <f>IF($A905="","",UPPER(TRIM(INDEX(FORM!$D:$D,ROW()))))</f>
        <v/>
      </c>
      <c r="F905" s="8" t="str">
        <f>IF($A905="","",IFERROR(INDEX(PROGRES!$A$2:$A$92,MATCH(E905,PROGRES!$B$2:$B$92,0)),"-"))</f>
        <v/>
      </c>
      <c r="G905" s="8" t="str">
        <f>IF($A905="","",UPPER(TRIM(INDEX(FORM!$F:$F,ROW()))))</f>
        <v/>
      </c>
      <c r="H905" s="8" t="str">
        <f>IF($A905="","",UPPER(TRIM(INDEX(FORM!$E:$E,ROW()))))</f>
        <v/>
      </c>
      <c r="I905" s="8" t="str">
        <f>IF($A905="","",UPPER(TRIM(INDEX(FORM!$G:$G,ROW()))))</f>
        <v/>
      </c>
      <c r="J905" s="8" t="str">
        <f>IF($A905="","",IF(ISNUMBER(SEARCH("Ya,",INDEX(FORM!$H:$H,ROW()))),"YA",IF(ISNUMBER(SEARCH("Cukup,",INDEX(FORM!$H:$H,ROW()))),"CUKUP",IF(ISNUMBER(SEARCH("Kurang,",INDEX(FORM!$H:$H,ROW()))),"KURANG",""))))</f>
        <v/>
      </c>
      <c r="K905" s="8" t="str">
        <f>IF($A905="","",UPPER(TRIM(INDEX(FORM!$J:$J,ROW()))))</f>
        <v/>
      </c>
      <c r="L905" s="8" t="str">
        <f>IF($A905="","",IF(ISNUMBER(SEARCH("Aktivitas Harian",INDEX(FORM!$K:$K,ROW()))),1,0))</f>
        <v/>
      </c>
      <c r="M905" s="8" t="str">
        <f>IF($A905="","",IF(ISNUMBER(SEARCH("Aktivitas Mingguan",INDEX(FORM!$K:$K,ROW()))),1,0))</f>
        <v/>
      </c>
      <c r="N905" s="8" t="str">
        <f>IF($A905="","",IF(ISNUMBER(SEARCH("Aktivitas Bulanan",INDEX(FORM!$K:$K,ROW()))),1,0))</f>
        <v/>
      </c>
      <c r="O905" s="8" t="str">
        <f>IF($A905="","",IF(ISNUMBER(SEARCH("Overview Cabang",INDEX(FORM!$K:$K,ROW()))),1,0))</f>
        <v/>
      </c>
      <c r="P905" s="8" t="str">
        <f>IF($A905="","",IFERROR(VLOOKUP(I905,DATA!$AH$9:$AI$13,2,0),""))</f>
        <v/>
      </c>
      <c r="Q905" s="8" t="str">
        <f>IF($A905="","",IFERROR(VLOOKUP(J905,DATA!$AH$9:$AI$13,2,0),""))</f>
        <v/>
      </c>
      <c r="R905" s="8" t="str">
        <f>IF($A905="","",IFERROR(VLOOKUP(K905,DATA!$AH$9:$AI$13,2,0),""))</f>
        <v/>
      </c>
      <c r="S905" s="42" t="str">
        <f t="shared" si="308"/>
        <v/>
      </c>
      <c r="T905" s="8" t="str">
        <f>IF($A905="","",IF(COUNTIF($D$2:D905,D905)=1,1,0))</f>
        <v/>
      </c>
      <c r="U905" s="8" t="str">
        <f>IF($A905="","",IF(F905="-","Cabang tdk ada",IF(IFERROR(VLOOKUP(G905,#REF!,1,0),"")="","",IF(INDEX(DATA!$AH$2:$AH$5,MATCH(G905,DATA!$AI$2:$AI$5,0))&lt;&gt;F905,"Wilayah beda","OK"))))</f>
        <v/>
      </c>
      <c r="V905" s="8" t="str">
        <f>IF($A905="","",TRIM(INDEX(FORM!$I:$I,ROW())&amp;""))</f>
        <v/>
      </c>
      <c r="W905" s="8" t="str">
        <f>IF($A905="","",TRIM(INDEX(FORM!$L:$L,ROW())&amp;""))</f>
        <v/>
      </c>
      <c r="X905" s="8" t="str">
        <f>IF($A905="","",TRIM(INDEX(FORM!$M:$M,ROW())&amp;""))</f>
        <v/>
      </c>
      <c r="Y905" s="8" t="str">
        <f>IF($A905="","",IFERROR(MATCH(F905,DATA!$AH$2:$AH$5,0),9)*10000+A905)</f>
        <v/>
      </c>
      <c r="Z905" s="8" t="str">
        <f t="shared" si="309"/>
        <v/>
      </c>
      <c r="AA905" s="8" t="str">
        <f t="shared" si="310"/>
        <v/>
      </c>
      <c r="AB905" s="8" t="str">
        <f t="shared" si="311"/>
        <v/>
      </c>
      <c r="AC905" s="8"/>
      <c r="AD905" s="8"/>
      <c r="AE905" s="8"/>
      <c r="AK905" s="5" t="str">
        <f t="shared" si="312"/>
        <v/>
      </c>
      <c r="AL905" s="5" t="str">
        <f t="shared" si="313"/>
        <v/>
      </c>
      <c r="AM905" s="5" t="str">
        <f t="shared" si="314"/>
        <v/>
      </c>
      <c r="AN905" s="5" t="str">
        <f t="shared" si="315"/>
        <v/>
      </c>
      <c r="AO905" s="5" t="str">
        <f t="shared" si="316"/>
        <v/>
      </c>
      <c r="AP905" s="5" t="str">
        <f t="shared" si="317"/>
        <v/>
      </c>
      <c r="AQ905" s="5" t="str">
        <f t="shared" si="318"/>
        <v/>
      </c>
      <c r="AR905" s="5" t="str">
        <f t="shared" si="319"/>
        <v/>
      </c>
      <c r="AS905" s="5" t="str">
        <f t="shared" si="320"/>
        <v/>
      </c>
      <c r="AT905" s="5" t="str">
        <f t="shared" si="321"/>
        <v/>
      </c>
      <c r="AU905" s="5" t="str">
        <f t="shared" si="322"/>
        <v/>
      </c>
      <c r="AV905" s="5" t="str">
        <f t="shared" si="323"/>
        <v/>
      </c>
      <c r="AW905" s="5" t="str">
        <f t="shared" si="324"/>
        <v/>
      </c>
      <c r="AX905" s="5" t="str">
        <f t="shared" si="325"/>
        <v/>
      </c>
      <c r="AY905" s="5" t="str">
        <f t="shared" si="326"/>
        <v/>
      </c>
      <c r="AZ905" s="5" t="str">
        <f t="shared" si="327"/>
        <v/>
      </c>
      <c r="BA905" s="5" t="str">
        <f t="shared" si="328"/>
        <v/>
      </c>
      <c r="BB905" s="5" t="str">
        <f t="shared" si="329"/>
        <v/>
      </c>
    </row>
    <row r="906" spans="1:54" s="5" customFormat="1" hidden="1">
      <c r="A906" s="8" t="str">
        <f>IF(INDEX(FORM!$A:$A,ROW())="","",ROW()-1)</f>
        <v/>
      </c>
      <c r="B906" s="41" t="str">
        <f>IF($A906="","",INDEX(FORM!$A:$A,ROW()))</f>
        <v/>
      </c>
      <c r="C906" s="8" t="str">
        <f>IF($A906="","",TRIM(INDEX(FORM!$B:$B,ROW())))</f>
        <v/>
      </c>
      <c r="D906" s="8" t="str">
        <f>IF($A906="","",TRIM(INDEX(FORM!$C:$C,ROW())&amp;""))</f>
        <v/>
      </c>
      <c r="E906" s="8" t="str">
        <f>IF($A906="","",UPPER(TRIM(INDEX(FORM!$D:$D,ROW()))))</f>
        <v/>
      </c>
      <c r="F906" s="8" t="str">
        <f>IF($A906="","",IFERROR(INDEX(PROGRES!$A$2:$A$92,MATCH(E906,PROGRES!$B$2:$B$92,0)),"-"))</f>
        <v/>
      </c>
      <c r="G906" s="8" t="str">
        <f>IF($A906="","",UPPER(TRIM(INDEX(FORM!$F:$F,ROW()))))</f>
        <v/>
      </c>
      <c r="H906" s="8" t="str">
        <f>IF($A906="","",UPPER(TRIM(INDEX(FORM!$E:$E,ROW()))))</f>
        <v/>
      </c>
      <c r="I906" s="8" t="str">
        <f>IF($A906="","",UPPER(TRIM(INDEX(FORM!$G:$G,ROW()))))</f>
        <v/>
      </c>
      <c r="J906" s="8" t="str">
        <f>IF($A906="","",IF(ISNUMBER(SEARCH("Ya,",INDEX(FORM!$H:$H,ROW()))),"YA",IF(ISNUMBER(SEARCH("Cukup,",INDEX(FORM!$H:$H,ROW()))),"CUKUP",IF(ISNUMBER(SEARCH("Kurang,",INDEX(FORM!$H:$H,ROW()))),"KURANG",""))))</f>
        <v/>
      </c>
      <c r="K906" s="8" t="str">
        <f>IF($A906="","",UPPER(TRIM(INDEX(FORM!$J:$J,ROW()))))</f>
        <v/>
      </c>
      <c r="L906" s="8" t="str">
        <f>IF($A906="","",IF(ISNUMBER(SEARCH("Aktivitas Harian",INDEX(FORM!$K:$K,ROW()))),1,0))</f>
        <v/>
      </c>
      <c r="M906" s="8" t="str">
        <f>IF($A906="","",IF(ISNUMBER(SEARCH("Aktivitas Mingguan",INDEX(FORM!$K:$K,ROW()))),1,0))</f>
        <v/>
      </c>
      <c r="N906" s="8" t="str">
        <f>IF($A906="","",IF(ISNUMBER(SEARCH("Aktivitas Bulanan",INDEX(FORM!$K:$K,ROW()))),1,0))</f>
        <v/>
      </c>
      <c r="O906" s="8" t="str">
        <f>IF($A906="","",IF(ISNUMBER(SEARCH("Overview Cabang",INDEX(FORM!$K:$K,ROW()))),1,0))</f>
        <v/>
      </c>
      <c r="P906" s="8" t="str">
        <f>IF($A906="","",IFERROR(VLOOKUP(I906,DATA!$AH$9:$AI$13,2,0),""))</f>
        <v/>
      </c>
      <c r="Q906" s="8" t="str">
        <f>IF($A906="","",IFERROR(VLOOKUP(J906,DATA!$AH$9:$AI$13,2,0),""))</f>
        <v/>
      </c>
      <c r="R906" s="8" t="str">
        <f>IF($A906="","",IFERROR(VLOOKUP(K906,DATA!$AH$9:$AI$13,2,0),""))</f>
        <v/>
      </c>
      <c r="S906" s="42" t="str">
        <f t="shared" si="308"/>
        <v/>
      </c>
      <c r="T906" s="8" t="str">
        <f>IF($A906="","",IF(COUNTIF($D$2:D906,D906)=1,1,0))</f>
        <v/>
      </c>
      <c r="U906" s="8" t="str">
        <f>IF($A906="","",IF(F906="-","Cabang tdk ada",IF(IFERROR(VLOOKUP(G906,#REF!,1,0),"")="","",IF(INDEX(DATA!$AH$2:$AH$5,MATCH(G906,DATA!$AI$2:$AI$5,0))&lt;&gt;F906,"Wilayah beda","OK"))))</f>
        <v/>
      </c>
      <c r="V906" s="8" t="str">
        <f>IF($A906="","",TRIM(INDEX(FORM!$I:$I,ROW())&amp;""))</f>
        <v/>
      </c>
      <c r="W906" s="8" t="str">
        <f>IF($A906="","",TRIM(INDEX(FORM!$L:$L,ROW())&amp;""))</f>
        <v/>
      </c>
      <c r="X906" s="8" t="str">
        <f>IF($A906="","",TRIM(INDEX(FORM!$M:$M,ROW())&amp;""))</f>
        <v/>
      </c>
      <c r="Y906" s="8" t="str">
        <f>IF($A906="","",IFERROR(MATCH(F906,DATA!$AH$2:$AH$5,0),9)*10000+A906)</f>
        <v/>
      </c>
      <c r="Z906" s="8" t="str">
        <f t="shared" si="309"/>
        <v/>
      </c>
      <c r="AA906" s="8" t="str">
        <f t="shared" si="310"/>
        <v/>
      </c>
      <c r="AB906" s="8" t="str">
        <f t="shared" si="311"/>
        <v/>
      </c>
      <c r="AC906" s="8"/>
      <c r="AD906" s="8"/>
      <c r="AE906" s="8"/>
      <c r="AK906" s="5" t="str">
        <f t="shared" si="312"/>
        <v/>
      </c>
      <c r="AL906" s="5" t="str">
        <f t="shared" si="313"/>
        <v/>
      </c>
      <c r="AM906" s="5" t="str">
        <f t="shared" si="314"/>
        <v/>
      </c>
      <c r="AN906" s="5" t="str">
        <f t="shared" si="315"/>
        <v/>
      </c>
      <c r="AO906" s="5" t="str">
        <f t="shared" si="316"/>
        <v/>
      </c>
      <c r="AP906" s="5" t="str">
        <f t="shared" si="317"/>
        <v/>
      </c>
      <c r="AQ906" s="5" t="str">
        <f t="shared" si="318"/>
        <v/>
      </c>
      <c r="AR906" s="5" t="str">
        <f t="shared" si="319"/>
        <v/>
      </c>
      <c r="AS906" s="5" t="str">
        <f t="shared" si="320"/>
        <v/>
      </c>
      <c r="AT906" s="5" t="str">
        <f t="shared" si="321"/>
        <v/>
      </c>
      <c r="AU906" s="5" t="str">
        <f t="shared" si="322"/>
        <v/>
      </c>
      <c r="AV906" s="5" t="str">
        <f t="shared" si="323"/>
        <v/>
      </c>
      <c r="AW906" s="5" t="str">
        <f t="shared" si="324"/>
        <v/>
      </c>
      <c r="AX906" s="5" t="str">
        <f t="shared" si="325"/>
        <v/>
      </c>
      <c r="AY906" s="5" t="str">
        <f t="shared" si="326"/>
        <v/>
      </c>
      <c r="AZ906" s="5" t="str">
        <f t="shared" si="327"/>
        <v/>
      </c>
      <c r="BA906" s="5" t="str">
        <f t="shared" si="328"/>
        <v/>
      </c>
      <c r="BB906" s="5" t="str">
        <f t="shared" si="329"/>
        <v/>
      </c>
    </row>
    <row r="907" spans="1:54" s="5" customFormat="1" hidden="1">
      <c r="A907" s="8" t="str">
        <f>IF(INDEX(FORM!$A:$A,ROW())="","",ROW()-1)</f>
        <v/>
      </c>
      <c r="B907" s="41" t="str">
        <f>IF($A907="","",INDEX(FORM!$A:$A,ROW()))</f>
        <v/>
      </c>
      <c r="C907" s="8" t="str">
        <f>IF($A907="","",TRIM(INDEX(FORM!$B:$B,ROW())))</f>
        <v/>
      </c>
      <c r="D907" s="8" t="str">
        <f>IF($A907="","",TRIM(INDEX(FORM!$C:$C,ROW())&amp;""))</f>
        <v/>
      </c>
      <c r="E907" s="8" t="str">
        <f>IF($A907="","",UPPER(TRIM(INDEX(FORM!$D:$D,ROW()))))</f>
        <v/>
      </c>
      <c r="F907" s="8" t="str">
        <f>IF($A907="","",IFERROR(INDEX(PROGRES!$A$2:$A$92,MATCH(E907,PROGRES!$B$2:$B$92,0)),"-"))</f>
        <v/>
      </c>
      <c r="G907" s="8" t="str">
        <f>IF($A907="","",UPPER(TRIM(INDEX(FORM!$F:$F,ROW()))))</f>
        <v/>
      </c>
      <c r="H907" s="8" t="str">
        <f>IF($A907="","",UPPER(TRIM(INDEX(FORM!$E:$E,ROW()))))</f>
        <v/>
      </c>
      <c r="I907" s="8" t="str">
        <f>IF($A907="","",UPPER(TRIM(INDEX(FORM!$G:$G,ROW()))))</f>
        <v/>
      </c>
      <c r="J907" s="8" t="str">
        <f>IF($A907="","",IF(ISNUMBER(SEARCH("Ya,",INDEX(FORM!$H:$H,ROW()))),"YA",IF(ISNUMBER(SEARCH("Cukup,",INDEX(FORM!$H:$H,ROW()))),"CUKUP",IF(ISNUMBER(SEARCH("Kurang,",INDEX(FORM!$H:$H,ROW()))),"KURANG",""))))</f>
        <v/>
      </c>
      <c r="K907" s="8" t="str">
        <f>IF($A907="","",UPPER(TRIM(INDEX(FORM!$J:$J,ROW()))))</f>
        <v/>
      </c>
      <c r="L907" s="8" t="str">
        <f>IF($A907="","",IF(ISNUMBER(SEARCH("Aktivitas Harian",INDEX(FORM!$K:$K,ROW()))),1,0))</f>
        <v/>
      </c>
      <c r="M907" s="8" t="str">
        <f>IF($A907="","",IF(ISNUMBER(SEARCH("Aktivitas Mingguan",INDEX(FORM!$K:$K,ROW()))),1,0))</f>
        <v/>
      </c>
      <c r="N907" s="8" t="str">
        <f>IF($A907="","",IF(ISNUMBER(SEARCH("Aktivitas Bulanan",INDEX(FORM!$K:$K,ROW()))),1,0))</f>
        <v/>
      </c>
      <c r="O907" s="8" t="str">
        <f>IF($A907="","",IF(ISNUMBER(SEARCH("Overview Cabang",INDEX(FORM!$K:$K,ROW()))),1,0))</f>
        <v/>
      </c>
      <c r="P907" s="8" t="str">
        <f>IF($A907="","",IFERROR(VLOOKUP(I907,DATA!$AH$9:$AI$13,2,0),""))</f>
        <v/>
      </c>
      <c r="Q907" s="8" t="str">
        <f>IF($A907="","",IFERROR(VLOOKUP(J907,DATA!$AH$9:$AI$13,2,0),""))</f>
        <v/>
      </c>
      <c r="R907" s="8" t="str">
        <f>IF($A907="","",IFERROR(VLOOKUP(K907,DATA!$AH$9:$AI$13,2,0),""))</f>
        <v/>
      </c>
      <c r="S907" s="42" t="str">
        <f t="shared" si="308"/>
        <v/>
      </c>
      <c r="T907" s="8" t="str">
        <f>IF($A907="","",IF(COUNTIF($D$2:D907,D907)=1,1,0))</f>
        <v/>
      </c>
      <c r="U907" s="8" t="str">
        <f>IF($A907="","",IF(F907="-","Cabang tdk ada",IF(IFERROR(VLOOKUP(G907,#REF!,1,0),"")="","",IF(INDEX(DATA!$AH$2:$AH$5,MATCH(G907,DATA!$AI$2:$AI$5,0))&lt;&gt;F907,"Wilayah beda","OK"))))</f>
        <v/>
      </c>
      <c r="V907" s="8" t="str">
        <f>IF($A907="","",TRIM(INDEX(FORM!$I:$I,ROW())&amp;""))</f>
        <v/>
      </c>
      <c r="W907" s="8" t="str">
        <f>IF($A907="","",TRIM(INDEX(FORM!$L:$L,ROW())&amp;""))</f>
        <v/>
      </c>
      <c r="X907" s="8" t="str">
        <f>IF($A907="","",TRIM(INDEX(FORM!$M:$M,ROW())&amp;""))</f>
        <v/>
      </c>
      <c r="Y907" s="8" t="str">
        <f>IF($A907="","",IFERROR(MATCH(F907,DATA!$AH$2:$AH$5,0),9)*10000+A907)</f>
        <v/>
      </c>
      <c r="Z907" s="8" t="str">
        <f t="shared" si="309"/>
        <v/>
      </c>
      <c r="AA907" s="8" t="str">
        <f t="shared" si="310"/>
        <v/>
      </c>
      <c r="AB907" s="8" t="str">
        <f t="shared" si="311"/>
        <v/>
      </c>
      <c r="AC907" s="8"/>
      <c r="AD907" s="8"/>
      <c r="AE907" s="8"/>
      <c r="AK907" s="5" t="str">
        <f t="shared" si="312"/>
        <v/>
      </c>
      <c r="AL907" s="5" t="str">
        <f t="shared" si="313"/>
        <v/>
      </c>
      <c r="AM907" s="5" t="str">
        <f t="shared" si="314"/>
        <v/>
      </c>
      <c r="AN907" s="5" t="str">
        <f t="shared" si="315"/>
        <v/>
      </c>
      <c r="AO907" s="5" t="str">
        <f t="shared" si="316"/>
        <v/>
      </c>
      <c r="AP907" s="5" t="str">
        <f t="shared" si="317"/>
        <v/>
      </c>
      <c r="AQ907" s="5" t="str">
        <f t="shared" si="318"/>
        <v/>
      </c>
      <c r="AR907" s="5" t="str">
        <f t="shared" si="319"/>
        <v/>
      </c>
      <c r="AS907" s="5" t="str">
        <f t="shared" si="320"/>
        <v/>
      </c>
      <c r="AT907" s="5" t="str">
        <f t="shared" si="321"/>
        <v/>
      </c>
      <c r="AU907" s="5" t="str">
        <f t="shared" si="322"/>
        <v/>
      </c>
      <c r="AV907" s="5" t="str">
        <f t="shared" si="323"/>
        <v/>
      </c>
      <c r="AW907" s="5" t="str">
        <f t="shared" si="324"/>
        <v/>
      </c>
      <c r="AX907" s="5" t="str">
        <f t="shared" si="325"/>
        <v/>
      </c>
      <c r="AY907" s="5" t="str">
        <f t="shared" si="326"/>
        <v/>
      </c>
      <c r="AZ907" s="5" t="str">
        <f t="shared" si="327"/>
        <v/>
      </c>
      <c r="BA907" s="5" t="str">
        <f t="shared" si="328"/>
        <v/>
      </c>
      <c r="BB907" s="5" t="str">
        <f t="shared" si="329"/>
        <v/>
      </c>
    </row>
    <row r="908" spans="1:54" s="5" customFormat="1" hidden="1">
      <c r="A908" s="8" t="str">
        <f>IF(INDEX(FORM!$A:$A,ROW())="","",ROW()-1)</f>
        <v/>
      </c>
      <c r="B908" s="41" t="str">
        <f>IF($A908="","",INDEX(FORM!$A:$A,ROW()))</f>
        <v/>
      </c>
      <c r="C908" s="8" t="str">
        <f>IF($A908="","",TRIM(INDEX(FORM!$B:$B,ROW())))</f>
        <v/>
      </c>
      <c r="D908" s="8" t="str">
        <f>IF($A908="","",TRIM(INDEX(FORM!$C:$C,ROW())&amp;""))</f>
        <v/>
      </c>
      <c r="E908" s="8" t="str">
        <f>IF($A908="","",UPPER(TRIM(INDEX(FORM!$D:$D,ROW()))))</f>
        <v/>
      </c>
      <c r="F908" s="8" t="str">
        <f>IF($A908="","",IFERROR(INDEX(PROGRES!$A$2:$A$92,MATCH(E908,PROGRES!$B$2:$B$92,0)),"-"))</f>
        <v/>
      </c>
      <c r="G908" s="8" t="str">
        <f>IF($A908="","",UPPER(TRIM(INDEX(FORM!$F:$F,ROW()))))</f>
        <v/>
      </c>
      <c r="H908" s="8" t="str">
        <f>IF($A908="","",UPPER(TRIM(INDEX(FORM!$E:$E,ROW()))))</f>
        <v/>
      </c>
      <c r="I908" s="8" t="str">
        <f>IF($A908="","",UPPER(TRIM(INDEX(FORM!$G:$G,ROW()))))</f>
        <v/>
      </c>
      <c r="J908" s="8" t="str">
        <f>IF($A908="","",IF(ISNUMBER(SEARCH("Ya,",INDEX(FORM!$H:$H,ROW()))),"YA",IF(ISNUMBER(SEARCH("Cukup,",INDEX(FORM!$H:$H,ROW()))),"CUKUP",IF(ISNUMBER(SEARCH("Kurang,",INDEX(FORM!$H:$H,ROW()))),"KURANG",""))))</f>
        <v/>
      </c>
      <c r="K908" s="8" t="str">
        <f>IF($A908="","",UPPER(TRIM(INDEX(FORM!$J:$J,ROW()))))</f>
        <v/>
      </c>
      <c r="L908" s="8" t="str">
        <f>IF($A908="","",IF(ISNUMBER(SEARCH("Aktivitas Harian",INDEX(FORM!$K:$K,ROW()))),1,0))</f>
        <v/>
      </c>
      <c r="M908" s="8" t="str">
        <f>IF($A908="","",IF(ISNUMBER(SEARCH("Aktivitas Mingguan",INDEX(FORM!$K:$K,ROW()))),1,0))</f>
        <v/>
      </c>
      <c r="N908" s="8" t="str">
        <f>IF($A908="","",IF(ISNUMBER(SEARCH("Aktivitas Bulanan",INDEX(FORM!$K:$K,ROW()))),1,0))</f>
        <v/>
      </c>
      <c r="O908" s="8" t="str">
        <f>IF($A908="","",IF(ISNUMBER(SEARCH("Overview Cabang",INDEX(FORM!$K:$K,ROW()))),1,0))</f>
        <v/>
      </c>
      <c r="P908" s="8" t="str">
        <f>IF($A908="","",IFERROR(VLOOKUP(I908,DATA!$AH$9:$AI$13,2,0),""))</f>
        <v/>
      </c>
      <c r="Q908" s="8" t="str">
        <f>IF($A908="","",IFERROR(VLOOKUP(J908,DATA!$AH$9:$AI$13,2,0),""))</f>
        <v/>
      </c>
      <c r="R908" s="8" t="str">
        <f>IF($A908="","",IFERROR(VLOOKUP(K908,DATA!$AH$9:$AI$13,2,0),""))</f>
        <v/>
      </c>
      <c r="S908" s="42" t="str">
        <f t="shared" si="308"/>
        <v/>
      </c>
      <c r="T908" s="8" t="str">
        <f>IF($A908="","",IF(COUNTIF($D$2:D908,D908)=1,1,0))</f>
        <v/>
      </c>
      <c r="U908" s="8" t="str">
        <f>IF($A908="","",IF(F908="-","Cabang tdk ada",IF(IFERROR(VLOOKUP(G908,#REF!,1,0),"")="","",IF(INDEX(DATA!$AH$2:$AH$5,MATCH(G908,DATA!$AI$2:$AI$5,0))&lt;&gt;F908,"Wilayah beda","OK"))))</f>
        <v/>
      </c>
      <c r="V908" s="8" t="str">
        <f>IF($A908="","",TRIM(INDEX(FORM!$I:$I,ROW())&amp;""))</f>
        <v/>
      </c>
      <c r="W908" s="8" t="str">
        <f>IF($A908="","",TRIM(INDEX(FORM!$L:$L,ROW())&amp;""))</f>
        <v/>
      </c>
      <c r="X908" s="8" t="str">
        <f>IF($A908="","",TRIM(INDEX(FORM!$M:$M,ROW())&amp;""))</f>
        <v/>
      </c>
      <c r="Y908" s="8" t="str">
        <f>IF($A908="","",IFERROR(MATCH(F908,DATA!$AH$2:$AH$5,0),9)*10000+A908)</f>
        <v/>
      </c>
      <c r="Z908" s="8" t="str">
        <f t="shared" si="309"/>
        <v/>
      </c>
      <c r="AA908" s="8" t="str">
        <f t="shared" si="310"/>
        <v/>
      </c>
      <c r="AB908" s="8" t="str">
        <f t="shared" si="311"/>
        <v/>
      </c>
      <c r="AC908" s="8"/>
      <c r="AD908" s="8"/>
      <c r="AE908" s="8"/>
      <c r="AK908" s="5" t="str">
        <f t="shared" si="312"/>
        <v/>
      </c>
      <c r="AL908" s="5" t="str">
        <f t="shared" si="313"/>
        <v/>
      </c>
      <c r="AM908" s="5" t="str">
        <f t="shared" si="314"/>
        <v/>
      </c>
      <c r="AN908" s="5" t="str">
        <f t="shared" si="315"/>
        <v/>
      </c>
      <c r="AO908" s="5" t="str">
        <f t="shared" si="316"/>
        <v/>
      </c>
      <c r="AP908" s="5" t="str">
        <f t="shared" si="317"/>
        <v/>
      </c>
      <c r="AQ908" s="5" t="str">
        <f t="shared" si="318"/>
        <v/>
      </c>
      <c r="AR908" s="5" t="str">
        <f t="shared" si="319"/>
        <v/>
      </c>
      <c r="AS908" s="5" t="str">
        <f t="shared" si="320"/>
        <v/>
      </c>
      <c r="AT908" s="5" t="str">
        <f t="shared" si="321"/>
        <v/>
      </c>
      <c r="AU908" s="5" t="str">
        <f t="shared" si="322"/>
        <v/>
      </c>
      <c r="AV908" s="5" t="str">
        <f t="shared" si="323"/>
        <v/>
      </c>
      <c r="AW908" s="5" t="str">
        <f t="shared" si="324"/>
        <v/>
      </c>
      <c r="AX908" s="5" t="str">
        <f t="shared" si="325"/>
        <v/>
      </c>
      <c r="AY908" s="5" t="str">
        <f t="shared" si="326"/>
        <v/>
      </c>
      <c r="AZ908" s="5" t="str">
        <f t="shared" si="327"/>
        <v/>
      </c>
      <c r="BA908" s="5" t="str">
        <f t="shared" si="328"/>
        <v/>
      </c>
      <c r="BB908" s="5" t="str">
        <f t="shared" si="329"/>
        <v/>
      </c>
    </row>
    <row r="909" spans="1:54" s="5" customFormat="1" hidden="1">
      <c r="A909" s="8" t="str">
        <f>IF(INDEX(FORM!$A:$A,ROW())="","",ROW()-1)</f>
        <v/>
      </c>
      <c r="B909" s="41" t="str">
        <f>IF($A909="","",INDEX(FORM!$A:$A,ROW()))</f>
        <v/>
      </c>
      <c r="C909" s="8" t="str">
        <f>IF($A909="","",TRIM(INDEX(FORM!$B:$B,ROW())))</f>
        <v/>
      </c>
      <c r="D909" s="8" t="str">
        <f>IF($A909="","",TRIM(INDEX(FORM!$C:$C,ROW())&amp;""))</f>
        <v/>
      </c>
      <c r="E909" s="8" t="str">
        <f>IF($A909="","",UPPER(TRIM(INDEX(FORM!$D:$D,ROW()))))</f>
        <v/>
      </c>
      <c r="F909" s="8" t="str">
        <f>IF($A909="","",IFERROR(INDEX(PROGRES!$A$2:$A$92,MATCH(E909,PROGRES!$B$2:$B$92,0)),"-"))</f>
        <v/>
      </c>
      <c r="G909" s="8" t="str">
        <f>IF($A909="","",UPPER(TRIM(INDEX(FORM!$F:$F,ROW()))))</f>
        <v/>
      </c>
      <c r="H909" s="8" t="str">
        <f>IF($A909="","",UPPER(TRIM(INDEX(FORM!$E:$E,ROW()))))</f>
        <v/>
      </c>
      <c r="I909" s="8" t="str">
        <f>IF($A909="","",UPPER(TRIM(INDEX(FORM!$G:$G,ROW()))))</f>
        <v/>
      </c>
      <c r="J909" s="8" t="str">
        <f>IF($A909="","",IF(ISNUMBER(SEARCH("Ya,",INDEX(FORM!$H:$H,ROW()))),"YA",IF(ISNUMBER(SEARCH("Cukup,",INDEX(FORM!$H:$H,ROW()))),"CUKUP",IF(ISNUMBER(SEARCH("Kurang,",INDEX(FORM!$H:$H,ROW()))),"KURANG",""))))</f>
        <v/>
      </c>
      <c r="K909" s="8" t="str">
        <f>IF($A909="","",UPPER(TRIM(INDEX(FORM!$J:$J,ROW()))))</f>
        <v/>
      </c>
      <c r="L909" s="8" t="str">
        <f>IF($A909="","",IF(ISNUMBER(SEARCH("Aktivitas Harian",INDEX(FORM!$K:$K,ROW()))),1,0))</f>
        <v/>
      </c>
      <c r="M909" s="8" t="str">
        <f>IF($A909="","",IF(ISNUMBER(SEARCH("Aktivitas Mingguan",INDEX(FORM!$K:$K,ROW()))),1,0))</f>
        <v/>
      </c>
      <c r="N909" s="8" t="str">
        <f>IF($A909="","",IF(ISNUMBER(SEARCH("Aktivitas Bulanan",INDEX(FORM!$K:$K,ROW()))),1,0))</f>
        <v/>
      </c>
      <c r="O909" s="8" t="str">
        <f>IF($A909="","",IF(ISNUMBER(SEARCH("Overview Cabang",INDEX(FORM!$K:$K,ROW()))),1,0))</f>
        <v/>
      </c>
      <c r="P909" s="8" t="str">
        <f>IF($A909="","",IFERROR(VLOOKUP(I909,DATA!$AH$9:$AI$13,2,0),""))</f>
        <v/>
      </c>
      <c r="Q909" s="8" t="str">
        <f>IF($A909="","",IFERROR(VLOOKUP(J909,DATA!$AH$9:$AI$13,2,0),""))</f>
        <v/>
      </c>
      <c r="R909" s="8" t="str">
        <f>IF($A909="","",IFERROR(VLOOKUP(K909,DATA!$AH$9:$AI$13,2,0),""))</f>
        <v/>
      </c>
      <c r="S909" s="42" t="str">
        <f t="shared" si="308"/>
        <v/>
      </c>
      <c r="T909" s="8" t="str">
        <f>IF($A909="","",IF(COUNTIF($D$2:D909,D909)=1,1,0))</f>
        <v/>
      </c>
      <c r="U909" s="8" t="str">
        <f>IF($A909="","",IF(F909="-","Cabang tdk ada",IF(IFERROR(VLOOKUP(G909,#REF!,1,0),"")="","",IF(INDEX(DATA!$AH$2:$AH$5,MATCH(G909,DATA!$AI$2:$AI$5,0))&lt;&gt;F909,"Wilayah beda","OK"))))</f>
        <v/>
      </c>
      <c r="V909" s="8" t="str">
        <f>IF($A909="","",TRIM(INDEX(FORM!$I:$I,ROW())&amp;""))</f>
        <v/>
      </c>
      <c r="W909" s="8" t="str">
        <f>IF($A909="","",TRIM(INDEX(FORM!$L:$L,ROW())&amp;""))</f>
        <v/>
      </c>
      <c r="X909" s="8" t="str">
        <f>IF($A909="","",TRIM(INDEX(FORM!$M:$M,ROW())&amp;""))</f>
        <v/>
      </c>
      <c r="Y909" s="8" t="str">
        <f>IF($A909="","",IFERROR(MATCH(F909,DATA!$AH$2:$AH$5,0),9)*10000+A909)</f>
        <v/>
      </c>
      <c r="Z909" s="8" t="str">
        <f t="shared" si="309"/>
        <v/>
      </c>
      <c r="AA909" s="8" t="str">
        <f t="shared" si="310"/>
        <v/>
      </c>
      <c r="AB909" s="8" t="str">
        <f t="shared" si="311"/>
        <v/>
      </c>
      <c r="AC909" s="8"/>
      <c r="AD909" s="8"/>
      <c r="AE909" s="8"/>
      <c r="AK909" s="5" t="str">
        <f t="shared" si="312"/>
        <v/>
      </c>
      <c r="AL909" s="5" t="str">
        <f t="shared" si="313"/>
        <v/>
      </c>
      <c r="AM909" s="5" t="str">
        <f t="shared" si="314"/>
        <v/>
      </c>
      <c r="AN909" s="5" t="str">
        <f t="shared" si="315"/>
        <v/>
      </c>
      <c r="AO909" s="5" t="str">
        <f t="shared" si="316"/>
        <v/>
      </c>
      <c r="AP909" s="5" t="str">
        <f t="shared" si="317"/>
        <v/>
      </c>
      <c r="AQ909" s="5" t="str">
        <f t="shared" si="318"/>
        <v/>
      </c>
      <c r="AR909" s="5" t="str">
        <f t="shared" si="319"/>
        <v/>
      </c>
      <c r="AS909" s="5" t="str">
        <f t="shared" si="320"/>
        <v/>
      </c>
      <c r="AT909" s="5" t="str">
        <f t="shared" si="321"/>
        <v/>
      </c>
      <c r="AU909" s="5" t="str">
        <f t="shared" si="322"/>
        <v/>
      </c>
      <c r="AV909" s="5" t="str">
        <f t="shared" si="323"/>
        <v/>
      </c>
      <c r="AW909" s="5" t="str">
        <f t="shared" si="324"/>
        <v/>
      </c>
      <c r="AX909" s="5" t="str">
        <f t="shared" si="325"/>
        <v/>
      </c>
      <c r="AY909" s="5" t="str">
        <f t="shared" si="326"/>
        <v/>
      </c>
      <c r="AZ909" s="5" t="str">
        <f t="shared" si="327"/>
        <v/>
      </c>
      <c r="BA909" s="5" t="str">
        <f t="shared" si="328"/>
        <v/>
      </c>
      <c r="BB909" s="5" t="str">
        <f t="shared" si="329"/>
        <v/>
      </c>
    </row>
    <row r="910" spans="1:54" s="5" customFormat="1" hidden="1">
      <c r="A910" s="8" t="str">
        <f>IF(INDEX(FORM!$A:$A,ROW())="","",ROW()-1)</f>
        <v/>
      </c>
      <c r="B910" s="41" t="str">
        <f>IF($A910="","",INDEX(FORM!$A:$A,ROW()))</f>
        <v/>
      </c>
      <c r="C910" s="8" t="str">
        <f>IF($A910="","",TRIM(INDEX(FORM!$B:$B,ROW())))</f>
        <v/>
      </c>
      <c r="D910" s="8" t="str">
        <f>IF($A910="","",TRIM(INDEX(FORM!$C:$C,ROW())&amp;""))</f>
        <v/>
      </c>
      <c r="E910" s="8" t="str">
        <f>IF($A910="","",UPPER(TRIM(INDEX(FORM!$D:$D,ROW()))))</f>
        <v/>
      </c>
      <c r="F910" s="8" t="str">
        <f>IF($A910="","",IFERROR(INDEX(PROGRES!$A$2:$A$92,MATCH(E910,PROGRES!$B$2:$B$92,0)),"-"))</f>
        <v/>
      </c>
      <c r="G910" s="8" t="str">
        <f>IF($A910="","",UPPER(TRIM(INDEX(FORM!$F:$F,ROW()))))</f>
        <v/>
      </c>
      <c r="H910" s="8" t="str">
        <f>IF($A910="","",UPPER(TRIM(INDEX(FORM!$E:$E,ROW()))))</f>
        <v/>
      </c>
      <c r="I910" s="8" t="str">
        <f>IF($A910="","",UPPER(TRIM(INDEX(FORM!$G:$G,ROW()))))</f>
        <v/>
      </c>
      <c r="J910" s="8" t="str">
        <f>IF($A910="","",IF(ISNUMBER(SEARCH("Ya,",INDEX(FORM!$H:$H,ROW()))),"YA",IF(ISNUMBER(SEARCH("Cukup,",INDEX(FORM!$H:$H,ROW()))),"CUKUP",IF(ISNUMBER(SEARCH("Kurang,",INDEX(FORM!$H:$H,ROW()))),"KURANG",""))))</f>
        <v/>
      </c>
      <c r="K910" s="8" t="str">
        <f>IF($A910="","",UPPER(TRIM(INDEX(FORM!$J:$J,ROW()))))</f>
        <v/>
      </c>
      <c r="L910" s="8" t="str">
        <f>IF($A910="","",IF(ISNUMBER(SEARCH("Aktivitas Harian",INDEX(FORM!$K:$K,ROW()))),1,0))</f>
        <v/>
      </c>
      <c r="M910" s="8" t="str">
        <f>IF($A910="","",IF(ISNUMBER(SEARCH("Aktivitas Mingguan",INDEX(FORM!$K:$K,ROW()))),1,0))</f>
        <v/>
      </c>
      <c r="N910" s="8" t="str">
        <f>IF($A910="","",IF(ISNUMBER(SEARCH("Aktivitas Bulanan",INDEX(FORM!$K:$K,ROW()))),1,0))</f>
        <v/>
      </c>
      <c r="O910" s="8" t="str">
        <f>IF($A910="","",IF(ISNUMBER(SEARCH("Overview Cabang",INDEX(FORM!$K:$K,ROW()))),1,0))</f>
        <v/>
      </c>
      <c r="P910" s="8" t="str">
        <f>IF($A910="","",IFERROR(VLOOKUP(I910,DATA!$AH$9:$AI$13,2,0),""))</f>
        <v/>
      </c>
      <c r="Q910" s="8" t="str">
        <f>IF($A910="","",IFERROR(VLOOKUP(J910,DATA!$AH$9:$AI$13,2,0),""))</f>
        <v/>
      </c>
      <c r="R910" s="8" t="str">
        <f>IF($A910="","",IFERROR(VLOOKUP(K910,DATA!$AH$9:$AI$13,2,0),""))</f>
        <v/>
      </c>
      <c r="S910" s="42" t="str">
        <f t="shared" si="308"/>
        <v/>
      </c>
      <c r="T910" s="8" t="str">
        <f>IF($A910="","",IF(COUNTIF($D$2:D910,D910)=1,1,0))</f>
        <v/>
      </c>
      <c r="U910" s="8" t="str">
        <f>IF($A910="","",IF(F910="-","Cabang tdk ada",IF(IFERROR(VLOOKUP(G910,#REF!,1,0),"")="","",IF(INDEX(DATA!$AH$2:$AH$5,MATCH(G910,DATA!$AI$2:$AI$5,0))&lt;&gt;F910,"Wilayah beda","OK"))))</f>
        <v/>
      </c>
      <c r="V910" s="8" t="str">
        <f>IF($A910="","",TRIM(INDEX(FORM!$I:$I,ROW())&amp;""))</f>
        <v/>
      </c>
      <c r="W910" s="8" t="str">
        <f>IF($A910="","",TRIM(INDEX(FORM!$L:$L,ROW())&amp;""))</f>
        <v/>
      </c>
      <c r="X910" s="8" t="str">
        <f>IF($A910="","",TRIM(INDEX(FORM!$M:$M,ROW())&amp;""))</f>
        <v/>
      </c>
      <c r="Y910" s="8" t="str">
        <f>IF($A910="","",IFERROR(MATCH(F910,DATA!$AH$2:$AH$5,0),9)*10000+A910)</f>
        <v/>
      </c>
      <c r="Z910" s="8" t="str">
        <f t="shared" si="309"/>
        <v/>
      </c>
      <c r="AA910" s="8" t="str">
        <f t="shared" si="310"/>
        <v/>
      </c>
      <c r="AB910" s="8" t="str">
        <f t="shared" si="311"/>
        <v/>
      </c>
      <c r="AC910" s="8"/>
      <c r="AD910" s="8"/>
      <c r="AE910" s="8"/>
      <c r="AK910" s="5" t="str">
        <f t="shared" si="312"/>
        <v/>
      </c>
      <c r="AL910" s="5" t="str">
        <f t="shared" si="313"/>
        <v/>
      </c>
      <c r="AM910" s="5" t="str">
        <f t="shared" si="314"/>
        <v/>
      </c>
      <c r="AN910" s="5" t="str">
        <f t="shared" si="315"/>
        <v/>
      </c>
      <c r="AO910" s="5" t="str">
        <f t="shared" si="316"/>
        <v/>
      </c>
      <c r="AP910" s="5" t="str">
        <f t="shared" si="317"/>
        <v/>
      </c>
      <c r="AQ910" s="5" t="str">
        <f t="shared" si="318"/>
        <v/>
      </c>
      <c r="AR910" s="5" t="str">
        <f t="shared" si="319"/>
        <v/>
      </c>
      <c r="AS910" s="5" t="str">
        <f t="shared" si="320"/>
        <v/>
      </c>
      <c r="AT910" s="5" t="str">
        <f t="shared" si="321"/>
        <v/>
      </c>
      <c r="AU910" s="5" t="str">
        <f t="shared" si="322"/>
        <v/>
      </c>
      <c r="AV910" s="5" t="str">
        <f t="shared" si="323"/>
        <v/>
      </c>
      <c r="AW910" s="5" t="str">
        <f t="shared" si="324"/>
        <v/>
      </c>
      <c r="AX910" s="5" t="str">
        <f t="shared" si="325"/>
        <v/>
      </c>
      <c r="AY910" s="5" t="str">
        <f t="shared" si="326"/>
        <v/>
      </c>
      <c r="AZ910" s="5" t="str">
        <f t="shared" si="327"/>
        <v/>
      </c>
      <c r="BA910" s="5" t="str">
        <f t="shared" si="328"/>
        <v/>
      </c>
      <c r="BB910" s="5" t="str">
        <f t="shared" si="329"/>
        <v/>
      </c>
    </row>
    <row r="911" spans="1:54" s="5" customFormat="1" hidden="1">
      <c r="A911" s="8" t="str">
        <f>IF(INDEX(FORM!$A:$A,ROW())="","",ROW()-1)</f>
        <v/>
      </c>
      <c r="B911" s="41" t="str">
        <f>IF($A911="","",INDEX(FORM!$A:$A,ROW()))</f>
        <v/>
      </c>
      <c r="C911" s="8" t="str">
        <f>IF($A911="","",TRIM(INDEX(FORM!$B:$B,ROW())))</f>
        <v/>
      </c>
      <c r="D911" s="8" t="str">
        <f>IF($A911="","",TRIM(INDEX(FORM!$C:$C,ROW())&amp;""))</f>
        <v/>
      </c>
      <c r="E911" s="8" t="str">
        <f>IF($A911="","",UPPER(TRIM(INDEX(FORM!$D:$D,ROW()))))</f>
        <v/>
      </c>
      <c r="F911" s="8" t="str">
        <f>IF($A911="","",IFERROR(INDEX(PROGRES!$A$2:$A$92,MATCH(E911,PROGRES!$B$2:$B$92,0)),"-"))</f>
        <v/>
      </c>
      <c r="G911" s="8" t="str">
        <f>IF($A911="","",UPPER(TRIM(INDEX(FORM!$F:$F,ROW()))))</f>
        <v/>
      </c>
      <c r="H911" s="8" t="str">
        <f>IF($A911="","",UPPER(TRIM(INDEX(FORM!$E:$E,ROW()))))</f>
        <v/>
      </c>
      <c r="I911" s="8" t="str">
        <f>IF($A911="","",UPPER(TRIM(INDEX(FORM!$G:$G,ROW()))))</f>
        <v/>
      </c>
      <c r="J911" s="8" t="str">
        <f>IF($A911="","",IF(ISNUMBER(SEARCH("Ya,",INDEX(FORM!$H:$H,ROW()))),"YA",IF(ISNUMBER(SEARCH("Cukup,",INDEX(FORM!$H:$H,ROW()))),"CUKUP",IF(ISNUMBER(SEARCH("Kurang,",INDEX(FORM!$H:$H,ROW()))),"KURANG",""))))</f>
        <v/>
      </c>
      <c r="K911" s="8" t="str">
        <f>IF($A911="","",UPPER(TRIM(INDEX(FORM!$J:$J,ROW()))))</f>
        <v/>
      </c>
      <c r="L911" s="8" t="str">
        <f>IF($A911="","",IF(ISNUMBER(SEARCH("Aktivitas Harian",INDEX(FORM!$K:$K,ROW()))),1,0))</f>
        <v/>
      </c>
      <c r="M911" s="8" t="str">
        <f>IF($A911="","",IF(ISNUMBER(SEARCH("Aktivitas Mingguan",INDEX(FORM!$K:$K,ROW()))),1,0))</f>
        <v/>
      </c>
      <c r="N911" s="8" t="str">
        <f>IF($A911="","",IF(ISNUMBER(SEARCH("Aktivitas Bulanan",INDEX(FORM!$K:$K,ROW()))),1,0))</f>
        <v/>
      </c>
      <c r="O911" s="8" t="str">
        <f>IF($A911="","",IF(ISNUMBER(SEARCH("Overview Cabang",INDEX(FORM!$K:$K,ROW()))),1,0))</f>
        <v/>
      </c>
      <c r="P911" s="8" t="str">
        <f>IF($A911="","",IFERROR(VLOOKUP(I911,DATA!$AH$9:$AI$13,2,0),""))</f>
        <v/>
      </c>
      <c r="Q911" s="8" t="str">
        <f>IF($A911="","",IFERROR(VLOOKUP(J911,DATA!$AH$9:$AI$13,2,0),""))</f>
        <v/>
      </c>
      <c r="R911" s="8" t="str">
        <f>IF($A911="","",IFERROR(VLOOKUP(K911,DATA!$AH$9:$AI$13,2,0),""))</f>
        <v/>
      </c>
      <c r="S911" s="42" t="str">
        <f t="shared" si="308"/>
        <v/>
      </c>
      <c r="T911" s="8" t="str">
        <f>IF($A911="","",IF(COUNTIF($D$2:D911,D911)=1,1,0))</f>
        <v/>
      </c>
      <c r="U911" s="8" t="str">
        <f>IF($A911="","",IF(F911="-","Cabang tdk ada",IF(IFERROR(VLOOKUP(G911,#REF!,1,0),"")="","",IF(INDEX(DATA!$AH$2:$AH$5,MATCH(G911,DATA!$AI$2:$AI$5,0))&lt;&gt;F911,"Wilayah beda","OK"))))</f>
        <v/>
      </c>
      <c r="V911" s="8" t="str">
        <f>IF($A911="","",TRIM(INDEX(FORM!$I:$I,ROW())&amp;""))</f>
        <v/>
      </c>
      <c r="W911" s="8" t="str">
        <f>IF($A911="","",TRIM(INDEX(FORM!$L:$L,ROW())&amp;""))</f>
        <v/>
      </c>
      <c r="X911" s="8" t="str">
        <f>IF($A911="","",TRIM(INDEX(FORM!$M:$M,ROW())&amp;""))</f>
        <v/>
      </c>
      <c r="Y911" s="8" t="str">
        <f>IF($A911="","",IFERROR(MATCH(F911,DATA!$AH$2:$AH$5,0),9)*10000+A911)</f>
        <v/>
      </c>
      <c r="Z911" s="8" t="str">
        <f t="shared" si="309"/>
        <v/>
      </c>
      <c r="AA911" s="8" t="str">
        <f t="shared" si="310"/>
        <v/>
      </c>
      <c r="AB911" s="8" t="str">
        <f t="shared" si="311"/>
        <v/>
      </c>
      <c r="AC911" s="8"/>
      <c r="AD911" s="8"/>
      <c r="AE911" s="8"/>
      <c r="AK911" s="5" t="str">
        <f t="shared" si="312"/>
        <v/>
      </c>
      <c r="AL911" s="5" t="str">
        <f t="shared" si="313"/>
        <v/>
      </c>
      <c r="AM911" s="5" t="str">
        <f t="shared" si="314"/>
        <v/>
      </c>
      <c r="AN911" s="5" t="str">
        <f t="shared" si="315"/>
        <v/>
      </c>
      <c r="AO911" s="5" t="str">
        <f t="shared" si="316"/>
        <v/>
      </c>
      <c r="AP911" s="5" t="str">
        <f t="shared" si="317"/>
        <v/>
      </c>
      <c r="AQ911" s="5" t="str">
        <f t="shared" si="318"/>
        <v/>
      </c>
      <c r="AR911" s="5" t="str">
        <f t="shared" si="319"/>
        <v/>
      </c>
      <c r="AS911" s="5" t="str">
        <f t="shared" si="320"/>
        <v/>
      </c>
      <c r="AT911" s="5" t="str">
        <f t="shared" si="321"/>
        <v/>
      </c>
      <c r="AU911" s="5" t="str">
        <f t="shared" si="322"/>
        <v/>
      </c>
      <c r="AV911" s="5" t="str">
        <f t="shared" si="323"/>
        <v/>
      </c>
      <c r="AW911" s="5" t="str">
        <f t="shared" si="324"/>
        <v/>
      </c>
      <c r="AX911" s="5" t="str">
        <f t="shared" si="325"/>
        <v/>
      </c>
      <c r="AY911" s="5" t="str">
        <f t="shared" si="326"/>
        <v/>
      </c>
      <c r="AZ911" s="5" t="str">
        <f t="shared" si="327"/>
        <v/>
      </c>
      <c r="BA911" s="5" t="str">
        <f t="shared" si="328"/>
        <v/>
      </c>
      <c r="BB911" s="5" t="str">
        <f t="shared" si="329"/>
        <v/>
      </c>
    </row>
    <row r="912" spans="1:54" s="5" customFormat="1" hidden="1">
      <c r="A912" s="8" t="str">
        <f>IF(INDEX(FORM!$A:$A,ROW())="","",ROW()-1)</f>
        <v/>
      </c>
      <c r="B912" s="41" t="str">
        <f>IF($A912="","",INDEX(FORM!$A:$A,ROW()))</f>
        <v/>
      </c>
      <c r="C912" s="8" t="str">
        <f>IF($A912="","",TRIM(INDEX(FORM!$B:$B,ROW())))</f>
        <v/>
      </c>
      <c r="D912" s="8" t="str">
        <f>IF($A912="","",TRIM(INDEX(FORM!$C:$C,ROW())&amp;""))</f>
        <v/>
      </c>
      <c r="E912" s="8" t="str">
        <f>IF($A912="","",UPPER(TRIM(INDEX(FORM!$D:$D,ROW()))))</f>
        <v/>
      </c>
      <c r="F912" s="8" t="str">
        <f>IF($A912="","",IFERROR(INDEX(PROGRES!$A$2:$A$92,MATCH(E912,PROGRES!$B$2:$B$92,0)),"-"))</f>
        <v/>
      </c>
      <c r="G912" s="8" t="str">
        <f>IF($A912="","",UPPER(TRIM(INDEX(FORM!$F:$F,ROW()))))</f>
        <v/>
      </c>
      <c r="H912" s="8" t="str">
        <f>IF($A912="","",UPPER(TRIM(INDEX(FORM!$E:$E,ROW()))))</f>
        <v/>
      </c>
      <c r="I912" s="8" t="str">
        <f>IF($A912="","",UPPER(TRIM(INDEX(FORM!$G:$G,ROW()))))</f>
        <v/>
      </c>
      <c r="J912" s="8" t="str">
        <f>IF($A912="","",IF(ISNUMBER(SEARCH("Ya,",INDEX(FORM!$H:$H,ROW()))),"YA",IF(ISNUMBER(SEARCH("Cukup,",INDEX(FORM!$H:$H,ROW()))),"CUKUP",IF(ISNUMBER(SEARCH("Kurang,",INDEX(FORM!$H:$H,ROW()))),"KURANG",""))))</f>
        <v/>
      </c>
      <c r="K912" s="8" t="str">
        <f>IF($A912="","",UPPER(TRIM(INDEX(FORM!$J:$J,ROW()))))</f>
        <v/>
      </c>
      <c r="L912" s="8" t="str">
        <f>IF($A912="","",IF(ISNUMBER(SEARCH("Aktivitas Harian",INDEX(FORM!$K:$K,ROW()))),1,0))</f>
        <v/>
      </c>
      <c r="M912" s="8" t="str">
        <f>IF($A912="","",IF(ISNUMBER(SEARCH("Aktivitas Mingguan",INDEX(FORM!$K:$K,ROW()))),1,0))</f>
        <v/>
      </c>
      <c r="N912" s="8" t="str">
        <f>IF($A912="","",IF(ISNUMBER(SEARCH("Aktivitas Bulanan",INDEX(FORM!$K:$K,ROW()))),1,0))</f>
        <v/>
      </c>
      <c r="O912" s="8" t="str">
        <f>IF($A912="","",IF(ISNUMBER(SEARCH("Overview Cabang",INDEX(FORM!$K:$K,ROW()))),1,0))</f>
        <v/>
      </c>
      <c r="P912" s="8" t="str">
        <f>IF($A912="","",IFERROR(VLOOKUP(I912,DATA!$AH$9:$AI$13,2,0),""))</f>
        <v/>
      </c>
      <c r="Q912" s="8" t="str">
        <f>IF($A912="","",IFERROR(VLOOKUP(J912,DATA!$AH$9:$AI$13,2,0),""))</f>
        <v/>
      </c>
      <c r="R912" s="8" t="str">
        <f>IF($A912="","",IFERROR(VLOOKUP(K912,DATA!$AH$9:$AI$13,2,0),""))</f>
        <v/>
      </c>
      <c r="S912" s="42" t="str">
        <f t="shared" si="308"/>
        <v/>
      </c>
      <c r="T912" s="8" t="str">
        <f>IF($A912="","",IF(COUNTIF($D$2:D912,D912)=1,1,0))</f>
        <v/>
      </c>
      <c r="U912" s="8" t="str">
        <f>IF($A912="","",IF(F912="-","Cabang tdk ada",IF(IFERROR(VLOOKUP(G912,#REF!,1,0),"")="","",IF(INDEX(DATA!$AH$2:$AH$5,MATCH(G912,DATA!$AI$2:$AI$5,0))&lt;&gt;F912,"Wilayah beda","OK"))))</f>
        <v/>
      </c>
      <c r="V912" s="8" t="str">
        <f>IF($A912="","",TRIM(INDEX(FORM!$I:$I,ROW())&amp;""))</f>
        <v/>
      </c>
      <c r="W912" s="8" t="str">
        <f>IF($A912="","",TRIM(INDEX(FORM!$L:$L,ROW())&amp;""))</f>
        <v/>
      </c>
      <c r="X912" s="8" t="str">
        <f>IF($A912="","",TRIM(INDEX(FORM!$M:$M,ROW())&amp;""))</f>
        <v/>
      </c>
      <c r="Y912" s="8" t="str">
        <f>IF($A912="","",IFERROR(MATCH(F912,DATA!$AH$2:$AH$5,0),9)*10000+A912)</f>
        <v/>
      </c>
      <c r="Z912" s="8" t="str">
        <f t="shared" si="309"/>
        <v/>
      </c>
      <c r="AA912" s="8" t="str">
        <f t="shared" si="310"/>
        <v/>
      </c>
      <c r="AB912" s="8" t="str">
        <f t="shared" si="311"/>
        <v/>
      </c>
      <c r="AC912" s="8"/>
      <c r="AD912" s="8"/>
      <c r="AE912" s="8"/>
      <c r="AK912" s="5" t="str">
        <f t="shared" si="312"/>
        <v/>
      </c>
      <c r="AL912" s="5" t="str">
        <f t="shared" si="313"/>
        <v/>
      </c>
      <c r="AM912" s="5" t="str">
        <f t="shared" si="314"/>
        <v/>
      </c>
      <c r="AN912" s="5" t="str">
        <f t="shared" si="315"/>
        <v/>
      </c>
      <c r="AO912" s="5" t="str">
        <f t="shared" si="316"/>
        <v/>
      </c>
      <c r="AP912" s="5" t="str">
        <f t="shared" si="317"/>
        <v/>
      </c>
      <c r="AQ912" s="5" t="str">
        <f t="shared" si="318"/>
        <v/>
      </c>
      <c r="AR912" s="5" t="str">
        <f t="shared" si="319"/>
        <v/>
      </c>
      <c r="AS912" s="5" t="str">
        <f t="shared" si="320"/>
        <v/>
      </c>
      <c r="AT912" s="5" t="str">
        <f t="shared" si="321"/>
        <v/>
      </c>
      <c r="AU912" s="5" t="str">
        <f t="shared" si="322"/>
        <v/>
      </c>
      <c r="AV912" s="5" t="str">
        <f t="shared" si="323"/>
        <v/>
      </c>
      <c r="AW912" s="5" t="str">
        <f t="shared" si="324"/>
        <v/>
      </c>
      <c r="AX912" s="5" t="str">
        <f t="shared" si="325"/>
        <v/>
      </c>
      <c r="AY912" s="5" t="str">
        <f t="shared" si="326"/>
        <v/>
      </c>
      <c r="AZ912" s="5" t="str">
        <f t="shared" si="327"/>
        <v/>
      </c>
      <c r="BA912" s="5" t="str">
        <f t="shared" si="328"/>
        <v/>
      </c>
      <c r="BB912" s="5" t="str">
        <f t="shared" si="329"/>
        <v/>
      </c>
    </row>
    <row r="913" spans="1:54" s="5" customFormat="1" hidden="1">
      <c r="A913" s="8" t="str">
        <f>IF(INDEX(FORM!$A:$A,ROW())="","",ROW()-1)</f>
        <v/>
      </c>
      <c r="B913" s="41" t="str">
        <f>IF($A913="","",INDEX(FORM!$A:$A,ROW()))</f>
        <v/>
      </c>
      <c r="C913" s="8" t="str">
        <f>IF($A913="","",TRIM(INDEX(FORM!$B:$B,ROW())))</f>
        <v/>
      </c>
      <c r="D913" s="8" t="str">
        <f>IF($A913="","",TRIM(INDEX(FORM!$C:$C,ROW())&amp;""))</f>
        <v/>
      </c>
      <c r="E913" s="8" t="str">
        <f>IF($A913="","",UPPER(TRIM(INDEX(FORM!$D:$D,ROW()))))</f>
        <v/>
      </c>
      <c r="F913" s="8" t="str">
        <f>IF($A913="","",IFERROR(INDEX(PROGRES!$A$2:$A$92,MATCH(E913,PROGRES!$B$2:$B$92,0)),"-"))</f>
        <v/>
      </c>
      <c r="G913" s="8" t="str">
        <f>IF($A913="","",UPPER(TRIM(INDEX(FORM!$F:$F,ROW()))))</f>
        <v/>
      </c>
      <c r="H913" s="8" t="str">
        <f>IF($A913="","",UPPER(TRIM(INDEX(FORM!$E:$E,ROW()))))</f>
        <v/>
      </c>
      <c r="I913" s="8" t="str">
        <f>IF($A913="","",UPPER(TRIM(INDEX(FORM!$G:$G,ROW()))))</f>
        <v/>
      </c>
      <c r="J913" s="8" t="str">
        <f>IF($A913="","",IF(ISNUMBER(SEARCH("Ya,",INDEX(FORM!$H:$H,ROW()))),"YA",IF(ISNUMBER(SEARCH("Cukup,",INDEX(FORM!$H:$H,ROW()))),"CUKUP",IF(ISNUMBER(SEARCH("Kurang,",INDEX(FORM!$H:$H,ROW()))),"KURANG",""))))</f>
        <v/>
      </c>
      <c r="K913" s="8" t="str">
        <f>IF($A913="","",UPPER(TRIM(INDEX(FORM!$J:$J,ROW()))))</f>
        <v/>
      </c>
      <c r="L913" s="8" t="str">
        <f>IF($A913="","",IF(ISNUMBER(SEARCH("Aktivitas Harian",INDEX(FORM!$K:$K,ROW()))),1,0))</f>
        <v/>
      </c>
      <c r="M913" s="8" t="str">
        <f>IF($A913="","",IF(ISNUMBER(SEARCH("Aktivitas Mingguan",INDEX(FORM!$K:$K,ROW()))),1,0))</f>
        <v/>
      </c>
      <c r="N913" s="8" t="str">
        <f>IF($A913="","",IF(ISNUMBER(SEARCH("Aktivitas Bulanan",INDEX(FORM!$K:$K,ROW()))),1,0))</f>
        <v/>
      </c>
      <c r="O913" s="8" t="str">
        <f>IF($A913="","",IF(ISNUMBER(SEARCH("Overview Cabang",INDEX(FORM!$K:$K,ROW()))),1,0))</f>
        <v/>
      </c>
      <c r="P913" s="8" t="str">
        <f>IF($A913="","",IFERROR(VLOOKUP(I913,DATA!$AH$9:$AI$13,2,0),""))</f>
        <v/>
      </c>
      <c r="Q913" s="8" t="str">
        <f>IF($A913="","",IFERROR(VLOOKUP(J913,DATA!$AH$9:$AI$13,2,0),""))</f>
        <v/>
      </c>
      <c r="R913" s="8" t="str">
        <f>IF($A913="","",IFERROR(VLOOKUP(K913,DATA!$AH$9:$AI$13,2,0),""))</f>
        <v/>
      </c>
      <c r="S913" s="42" t="str">
        <f t="shared" si="308"/>
        <v/>
      </c>
      <c r="T913" s="8" t="str">
        <f>IF($A913="","",IF(COUNTIF($D$2:D913,D913)=1,1,0))</f>
        <v/>
      </c>
      <c r="U913" s="8" t="str">
        <f>IF($A913="","",IF(F913="-","Cabang tdk ada",IF(IFERROR(VLOOKUP(G913,#REF!,1,0),"")="","",IF(INDEX(DATA!$AH$2:$AH$5,MATCH(G913,DATA!$AI$2:$AI$5,0))&lt;&gt;F913,"Wilayah beda","OK"))))</f>
        <v/>
      </c>
      <c r="V913" s="8" t="str">
        <f>IF($A913="","",TRIM(INDEX(FORM!$I:$I,ROW())&amp;""))</f>
        <v/>
      </c>
      <c r="W913" s="8" t="str">
        <f>IF($A913="","",TRIM(INDEX(FORM!$L:$L,ROW())&amp;""))</f>
        <v/>
      </c>
      <c r="X913" s="8" t="str">
        <f>IF($A913="","",TRIM(INDEX(FORM!$M:$M,ROW())&amp;""))</f>
        <v/>
      </c>
      <c r="Y913" s="8" t="str">
        <f>IF($A913="","",IFERROR(MATCH(F913,DATA!$AH$2:$AH$5,0),9)*10000+A913)</f>
        <v/>
      </c>
      <c r="Z913" s="8" t="str">
        <f t="shared" si="309"/>
        <v/>
      </c>
      <c r="AA913" s="8" t="str">
        <f t="shared" si="310"/>
        <v/>
      </c>
      <c r="AB913" s="8" t="str">
        <f t="shared" si="311"/>
        <v/>
      </c>
      <c r="AC913" s="8"/>
      <c r="AD913" s="8"/>
      <c r="AE913" s="8"/>
      <c r="AK913" s="5" t="str">
        <f t="shared" si="312"/>
        <v/>
      </c>
      <c r="AL913" s="5" t="str">
        <f t="shared" si="313"/>
        <v/>
      </c>
      <c r="AM913" s="5" t="str">
        <f t="shared" si="314"/>
        <v/>
      </c>
      <c r="AN913" s="5" t="str">
        <f t="shared" si="315"/>
        <v/>
      </c>
      <c r="AO913" s="5" t="str">
        <f t="shared" si="316"/>
        <v/>
      </c>
      <c r="AP913" s="5" t="str">
        <f t="shared" si="317"/>
        <v/>
      </c>
      <c r="AQ913" s="5" t="str">
        <f t="shared" si="318"/>
        <v/>
      </c>
      <c r="AR913" s="5" t="str">
        <f t="shared" si="319"/>
        <v/>
      </c>
      <c r="AS913" s="5" t="str">
        <f t="shared" si="320"/>
        <v/>
      </c>
      <c r="AT913" s="5" t="str">
        <f t="shared" si="321"/>
        <v/>
      </c>
      <c r="AU913" s="5" t="str">
        <f t="shared" si="322"/>
        <v/>
      </c>
      <c r="AV913" s="5" t="str">
        <f t="shared" si="323"/>
        <v/>
      </c>
      <c r="AW913" s="5" t="str">
        <f t="shared" si="324"/>
        <v/>
      </c>
      <c r="AX913" s="5" t="str">
        <f t="shared" si="325"/>
        <v/>
      </c>
      <c r="AY913" s="5" t="str">
        <f t="shared" si="326"/>
        <v/>
      </c>
      <c r="AZ913" s="5" t="str">
        <f t="shared" si="327"/>
        <v/>
      </c>
      <c r="BA913" s="5" t="str">
        <f t="shared" si="328"/>
        <v/>
      </c>
      <c r="BB913" s="5" t="str">
        <f t="shared" si="329"/>
        <v/>
      </c>
    </row>
    <row r="914" spans="1:54" s="5" customFormat="1" hidden="1">
      <c r="A914" s="8" t="str">
        <f>IF(INDEX(FORM!$A:$A,ROW())="","",ROW()-1)</f>
        <v/>
      </c>
      <c r="B914" s="41" t="str">
        <f>IF($A914="","",INDEX(FORM!$A:$A,ROW()))</f>
        <v/>
      </c>
      <c r="C914" s="8" t="str">
        <f>IF($A914="","",TRIM(INDEX(FORM!$B:$B,ROW())))</f>
        <v/>
      </c>
      <c r="D914" s="8" t="str">
        <f>IF($A914="","",TRIM(INDEX(FORM!$C:$C,ROW())&amp;""))</f>
        <v/>
      </c>
      <c r="E914" s="8" t="str">
        <f>IF($A914="","",UPPER(TRIM(INDEX(FORM!$D:$D,ROW()))))</f>
        <v/>
      </c>
      <c r="F914" s="8" t="str">
        <f>IF($A914="","",IFERROR(INDEX(PROGRES!$A$2:$A$92,MATCH(E914,PROGRES!$B$2:$B$92,0)),"-"))</f>
        <v/>
      </c>
      <c r="G914" s="8" t="str">
        <f>IF($A914="","",UPPER(TRIM(INDEX(FORM!$F:$F,ROW()))))</f>
        <v/>
      </c>
      <c r="H914" s="8" t="str">
        <f>IF($A914="","",UPPER(TRIM(INDEX(FORM!$E:$E,ROW()))))</f>
        <v/>
      </c>
      <c r="I914" s="8" t="str">
        <f>IF($A914="","",UPPER(TRIM(INDEX(FORM!$G:$G,ROW()))))</f>
        <v/>
      </c>
      <c r="J914" s="8" t="str">
        <f>IF($A914="","",IF(ISNUMBER(SEARCH("Ya,",INDEX(FORM!$H:$H,ROW()))),"YA",IF(ISNUMBER(SEARCH("Cukup,",INDEX(FORM!$H:$H,ROW()))),"CUKUP",IF(ISNUMBER(SEARCH("Kurang,",INDEX(FORM!$H:$H,ROW()))),"KURANG",""))))</f>
        <v/>
      </c>
      <c r="K914" s="8" t="str">
        <f>IF($A914="","",UPPER(TRIM(INDEX(FORM!$J:$J,ROW()))))</f>
        <v/>
      </c>
      <c r="L914" s="8" t="str">
        <f>IF($A914="","",IF(ISNUMBER(SEARCH("Aktivitas Harian",INDEX(FORM!$K:$K,ROW()))),1,0))</f>
        <v/>
      </c>
      <c r="M914" s="8" t="str">
        <f>IF($A914="","",IF(ISNUMBER(SEARCH("Aktivitas Mingguan",INDEX(FORM!$K:$K,ROW()))),1,0))</f>
        <v/>
      </c>
      <c r="N914" s="8" t="str">
        <f>IF($A914="","",IF(ISNUMBER(SEARCH("Aktivitas Bulanan",INDEX(FORM!$K:$K,ROW()))),1,0))</f>
        <v/>
      </c>
      <c r="O914" s="8" t="str">
        <f>IF($A914="","",IF(ISNUMBER(SEARCH("Overview Cabang",INDEX(FORM!$K:$K,ROW()))),1,0))</f>
        <v/>
      </c>
      <c r="P914" s="8" t="str">
        <f>IF($A914="","",IFERROR(VLOOKUP(I914,DATA!$AH$9:$AI$13,2,0),""))</f>
        <v/>
      </c>
      <c r="Q914" s="8" t="str">
        <f>IF($A914="","",IFERROR(VLOOKUP(J914,DATA!$AH$9:$AI$13,2,0),""))</f>
        <v/>
      </c>
      <c r="R914" s="8" t="str">
        <f>IF($A914="","",IFERROR(VLOOKUP(K914,DATA!$AH$9:$AI$13,2,0),""))</f>
        <v/>
      </c>
      <c r="S914" s="42" t="str">
        <f t="shared" si="308"/>
        <v/>
      </c>
      <c r="T914" s="8" t="str">
        <f>IF($A914="","",IF(COUNTIF($D$2:D914,D914)=1,1,0))</f>
        <v/>
      </c>
      <c r="U914" s="8" t="str">
        <f>IF($A914="","",IF(F914="-","Cabang tdk ada",IF(IFERROR(VLOOKUP(G914,#REF!,1,0),"")="","",IF(INDEX(DATA!$AH$2:$AH$5,MATCH(G914,DATA!$AI$2:$AI$5,0))&lt;&gt;F914,"Wilayah beda","OK"))))</f>
        <v/>
      </c>
      <c r="V914" s="8" t="str">
        <f>IF($A914="","",TRIM(INDEX(FORM!$I:$I,ROW())&amp;""))</f>
        <v/>
      </c>
      <c r="W914" s="8" t="str">
        <f>IF($A914="","",TRIM(INDEX(FORM!$L:$L,ROW())&amp;""))</f>
        <v/>
      </c>
      <c r="X914" s="8" t="str">
        <f>IF($A914="","",TRIM(INDEX(FORM!$M:$M,ROW())&amp;""))</f>
        <v/>
      </c>
      <c r="Y914" s="8" t="str">
        <f>IF($A914="","",IFERROR(MATCH(F914,DATA!$AH$2:$AH$5,0),9)*10000+A914)</f>
        <v/>
      </c>
      <c r="Z914" s="8" t="str">
        <f t="shared" si="309"/>
        <v/>
      </c>
      <c r="AA914" s="8" t="str">
        <f t="shared" si="310"/>
        <v/>
      </c>
      <c r="AB914" s="8" t="str">
        <f t="shared" si="311"/>
        <v/>
      </c>
      <c r="AC914" s="8"/>
      <c r="AD914" s="8"/>
      <c r="AE914" s="8"/>
      <c r="AK914" s="5" t="str">
        <f t="shared" si="312"/>
        <v/>
      </c>
      <c r="AL914" s="5" t="str">
        <f t="shared" si="313"/>
        <v/>
      </c>
      <c r="AM914" s="5" t="str">
        <f t="shared" si="314"/>
        <v/>
      </c>
      <c r="AN914" s="5" t="str">
        <f t="shared" si="315"/>
        <v/>
      </c>
      <c r="AO914" s="5" t="str">
        <f t="shared" si="316"/>
        <v/>
      </c>
      <c r="AP914" s="5" t="str">
        <f t="shared" si="317"/>
        <v/>
      </c>
      <c r="AQ914" s="5" t="str">
        <f t="shared" si="318"/>
        <v/>
      </c>
      <c r="AR914" s="5" t="str">
        <f t="shared" si="319"/>
        <v/>
      </c>
      <c r="AS914" s="5" t="str">
        <f t="shared" si="320"/>
        <v/>
      </c>
      <c r="AT914" s="5" t="str">
        <f t="shared" si="321"/>
        <v/>
      </c>
      <c r="AU914" s="5" t="str">
        <f t="shared" si="322"/>
        <v/>
      </c>
      <c r="AV914" s="5" t="str">
        <f t="shared" si="323"/>
        <v/>
      </c>
      <c r="AW914" s="5" t="str">
        <f t="shared" si="324"/>
        <v/>
      </c>
      <c r="AX914" s="5" t="str">
        <f t="shared" si="325"/>
        <v/>
      </c>
      <c r="AY914" s="5" t="str">
        <f t="shared" si="326"/>
        <v/>
      </c>
      <c r="AZ914" s="5" t="str">
        <f t="shared" si="327"/>
        <v/>
      </c>
      <c r="BA914" s="5" t="str">
        <f t="shared" si="328"/>
        <v/>
      </c>
      <c r="BB914" s="5" t="str">
        <f t="shared" si="329"/>
        <v/>
      </c>
    </row>
    <row r="915" spans="1:54" s="5" customFormat="1" hidden="1">
      <c r="A915" s="8" t="str">
        <f>IF(INDEX(FORM!$A:$A,ROW())="","",ROW()-1)</f>
        <v/>
      </c>
      <c r="B915" s="41" t="str">
        <f>IF($A915="","",INDEX(FORM!$A:$A,ROW()))</f>
        <v/>
      </c>
      <c r="C915" s="8" t="str">
        <f>IF($A915="","",TRIM(INDEX(FORM!$B:$B,ROW())))</f>
        <v/>
      </c>
      <c r="D915" s="8" t="str">
        <f>IF($A915="","",TRIM(INDEX(FORM!$C:$C,ROW())&amp;""))</f>
        <v/>
      </c>
      <c r="E915" s="8" t="str">
        <f>IF($A915="","",UPPER(TRIM(INDEX(FORM!$D:$D,ROW()))))</f>
        <v/>
      </c>
      <c r="F915" s="8" t="str">
        <f>IF($A915="","",IFERROR(INDEX(PROGRES!$A$2:$A$92,MATCH(E915,PROGRES!$B$2:$B$92,0)),"-"))</f>
        <v/>
      </c>
      <c r="G915" s="8" t="str">
        <f>IF($A915="","",UPPER(TRIM(INDEX(FORM!$F:$F,ROW()))))</f>
        <v/>
      </c>
      <c r="H915" s="8" t="str">
        <f>IF($A915="","",UPPER(TRIM(INDEX(FORM!$E:$E,ROW()))))</f>
        <v/>
      </c>
      <c r="I915" s="8" t="str">
        <f>IF($A915="","",UPPER(TRIM(INDEX(FORM!$G:$G,ROW()))))</f>
        <v/>
      </c>
      <c r="J915" s="8" t="str">
        <f>IF($A915="","",IF(ISNUMBER(SEARCH("Ya,",INDEX(FORM!$H:$H,ROW()))),"YA",IF(ISNUMBER(SEARCH("Cukup,",INDEX(FORM!$H:$H,ROW()))),"CUKUP",IF(ISNUMBER(SEARCH("Kurang,",INDEX(FORM!$H:$H,ROW()))),"KURANG",""))))</f>
        <v/>
      </c>
      <c r="K915" s="8" t="str">
        <f>IF($A915="","",UPPER(TRIM(INDEX(FORM!$J:$J,ROW()))))</f>
        <v/>
      </c>
      <c r="L915" s="8" t="str">
        <f>IF($A915="","",IF(ISNUMBER(SEARCH("Aktivitas Harian",INDEX(FORM!$K:$K,ROW()))),1,0))</f>
        <v/>
      </c>
      <c r="M915" s="8" t="str">
        <f>IF($A915="","",IF(ISNUMBER(SEARCH("Aktivitas Mingguan",INDEX(FORM!$K:$K,ROW()))),1,0))</f>
        <v/>
      </c>
      <c r="N915" s="8" t="str">
        <f>IF($A915="","",IF(ISNUMBER(SEARCH("Aktivitas Bulanan",INDEX(FORM!$K:$K,ROW()))),1,0))</f>
        <v/>
      </c>
      <c r="O915" s="8" t="str">
        <f>IF($A915="","",IF(ISNUMBER(SEARCH("Overview Cabang",INDEX(FORM!$K:$K,ROW()))),1,0))</f>
        <v/>
      </c>
      <c r="P915" s="8" t="str">
        <f>IF($A915="","",IFERROR(VLOOKUP(I915,DATA!$AH$9:$AI$13,2,0),""))</f>
        <v/>
      </c>
      <c r="Q915" s="8" t="str">
        <f>IF($A915="","",IFERROR(VLOOKUP(J915,DATA!$AH$9:$AI$13,2,0),""))</f>
        <v/>
      </c>
      <c r="R915" s="8" t="str">
        <f>IF($A915="","",IFERROR(VLOOKUP(K915,DATA!$AH$9:$AI$13,2,0),""))</f>
        <v/>
      </c>
      <c r="S915" s="42" t="str">
        <f t="shared" si="308"/>
        <v/>
      </c>
      <c r="T915" s="8" t="str">
        <f>IF($A915="","",IF(COUNTIF($D$2:D915,D915)=1,1,0))</f>
        <v/>
      </c>
      <c r="U915" s="8" t="str">
        <f>IF($A915="","",IF(F915="-","Cabang tdk ada",IF(IFERROR(VLOOKUP(G915,#REF!,1,0),"")="","",IF(INDEX(DATA!$AH$2:$AH$5,MATCH(G915,DATA!$AI$2:$AI$5,0))&lt;&gt;F915,"Wilayah beda","OK"))))</f>
        <v/>
      </c>
      <c r="V915" s="8" t="str">
        <f>IF($A915="","",TRIM(INDEX(FORM!$I:$I,ROW())&amp;""))</f>
        <v/>
      </c>
      <c r="W915" s="8" t="str">
        <f>IF($A915="","",TRIM(INDEX(FORM!$L:$L,ROW())&amp;""))</f>
        <v/>
      </c>
      <c r="X915" s="8" t="str">
        <f>IF($A915="","",TRIM(INDEX(FORM!$M:$M,ROW())&amp;""))</f>
        <v/>
      </c>
      <c r="Y915" s="8" t="str">
        <f>IF($A915="","",IFERROR(MATCH(F915,DATA!$AH$2:$AH$5,0),9)*10000+A915)</f>
        <v/>
      </c>
      <c r="Z915" s="8" t="str">
        <f t="shared" si="309"/>
        <v/>
      </c>
      <c r="AA915" s="8" t="str">
        <f t="shared" si="310"/>
        <v/>
      </c>
      <c r="AB915" s="8" t="str">
        <f t="shared" si="311"/>
        <v/>
      </c>
      <c r="AC915" s="8"/>
      <c r="AD915" s="8"/>
      <c r="AE915" s="8"/>
      <c r="AK915" s="5" t="str">
        <f t="shared" si="312"/>
        <v/>
      </c>
      <c r="AL915" s="5" t="str">
        <f t="shared" si="313"/>
        <v/>
      </c>
      <c r="AM915" s="5" t="str">
        <f t="shared" si="314"/>
        <v/>
      </c>
      <c r="AN915" s="5" t="str">
        <f t="shared" si="315"/>
        <v/>
      </c>
      <c r="AO915" s="5" t="str">
        <f t="shared" si="316"/>
        <v/>
      </c>
      <c r="AP915" s="5" t="str">
        <f t="shared" si="317"/>
        <v/>
      </c>
      <c r="AQ915" s="5" t="str">
        <f t="shared" si="318"/>
        <v/>
      </c>
      <c r="AR915" s="5" t="str">
        <f t="shared" si="319"/>
        <v/>
      </c>
      <c r="AS915" s="5" t="str">
        <f t="shared" si="320"/>
        <v/>
      </c>
      <c r="AT915" s="5" t="str">
        <f t="shared" si="321"/>
        <v/>
      </c>
      <c r="AU915" s="5" t="str">
        <f t="shared" si="322"/>
        <v/>
      </c>
      <c r="AV915" s="5" t="str">
        <f t="shared" si="323"/>
        <v/>
      </c>
      <c r="AW915" s="5" t="str">
        <f t="shared" si="324"/>
        <v/>
      </c>
      <c r="AX915" s="5" t="str">
        <f t="shared" si="325"/>
        <v/>
      </c>
      <c r="AY915" s="5" t="str">
        <f t="shared" si="326"/>
        <v/>
      </c>
      <c r="AZ915" s="5" t="str">
        <f t="shared" si="327"/>
        <v/>
      </c>
      <c r="BA915" s="5" t="str">
        <f t="shared" si="328"/>
        <v/>
      </c>
      <c r="BB915" s="5" t="str">
        <f t="shared" si="329"/>
        <v/>
      </c>
    </row>
    <row r="916" spans="1:54" s="5" customFormat="1" hidden="1">
      <c r="A916" s="8" t="str">
        <f>IF(INDEX(FORM!$A:$A,ROW())="","",ROW()-1)</f>
        <v/>
      </c>
      <c r="B916" s="41" t="str">
        <f>IF($A916="","",INDEX(FORM!$A:$A,ROW()))</f>
        <v/>
      </c>
      <c r="C916" s="8" t="str">
        <f>IF($A916="","",TRIM(INDEX(FORM!$B:$B,ROW())))</f>
        <v/>
      </c>
      <c r="D916" s="8" t="str">
        <f>IF($A916="","",TRIM(INDEX(FORM!$C:$C,ROW())&amp;""))</f>
        <v/>
      </c>
      <c r="E916" s="8" t="str">
        <f>IF($A916="","",UPPER(TRIM(INDEX(FORM!$D:$D,ROW()))))</f>
        <v/>
      </c>
      <c r="F916" s="8" t="str">
        <f>IF($A916="","",IFERROR(INDEX(PROGRES!$A$2:$A$92,MATCH(E916,PROGRES!$B$2:$B$92,0)),"-"))</f>
        <v/>
      </c>
      <c r="G916" s="8" t="str">
        <f>IF($A916="","",UPPER(TRIM(INDEX(FORM!$F:$F,ROW()))))</f>
        <v/>
      </c>
      <c r="H916" s="8" t="str">
        <f>IF($A916="","",UPPER(TRIM(INDEX(FORM!$E:$E,ROW()))))</f>
        <v/>
      </c>
      <c r="I916" s="8" t="str">
        <f>IF($A916="","",UPPER(TRIM(INDEX(FORM!$G:$G,ROW()))))</f>
        <v/>
      </c>
      <c r="J916" s="8" t="str">
        <f>IF($A916="","",IF(ISNUMBER(SEARCH("Ya,",INDEX(FORM!$H:$H,ROW()))),"YA",IF(ISNUMBER(SEARCH("Cukup,",INDEX(FORM!$H:$H,ROW()))),"CUKUP",IF(ISNUMBER(SEARCH("Kurang,",INDEX(FORM!$H:$H,ROW()))),"KURANG",""))))</f>
        <v/>
      </c>
      <c r="K916" s="8" t="str">
        <f>IF($A916="","",UPPER(TRIM(INDEX(FORM!$J:$J,ROW()))))</f>
        <v/>
      </c>
      <c r="L916" s="8" t="str">
        <f>IF($A916="","",IF(ISNUMBER(SEARCH("Aktivitas Harian",INDEX(FORM!$K:$K,ROW()))),1,0))</f>
        <v/>
      </c>
      <c r="M916" s="8" t="str">
        <f>IF($A916="","",IF(ISNUMBER(SEARCH("Aktivitas Mingguan",INDEX(FORM!$K:$K,ROW()))),1,0))</f>
        <v/>
      </c>
      <c r="N916" s="8" t="str">
        <f>IF($A916="","",IF(ISNUMBER(SEARCH("Aktivitas Bulanan",INDEX(FORM!$K:$K,ROW()))),1,0))</f>
        <v/>
      </c>
      <c r="O916" s="8" t="str">
        <f>IF($A916="","",IF(ISNUMBER(SEARCH("Overview Cabang",INDEX(FORM!$K:$K,ROW()))),1,0))</f>
        <v/>
      </c>
      <c r="P916" s="8" t="str">
        <f>IF($A916="","",IFERROR(VLOOKUP(I916,DATA!$AH$9:$AI$13,2,0),""))</f>
        <v/>
      </c>
      <c r="Q916" s="8" t="str">
        <f>IF($A916="","",IFERROR(VLOOKUP(J916,DATA!$AH$9:$AI$13,2,0),""))</f>
        <v/>
      </c>
      <c r="R916" s="8" t="str">
        <f>IF($A916="","",IFERROR(VLOOKUP(K916,DATA!$AH$9:$AI$13,2,0),""))</f>
        <v/>
      </c>
      <c r="S916" s="42" t="str">
        <f t="shared" si="308"/>
        <v/>
      </c>
      <c r="T916" s="8" t="str">
        <f>IF($A916="","",IF(COUNTIF($D$2:D916,D916)=1,1,0))</f>
        <v/>
      </c>
      <c r="U916" s="8" t="str">
        <f>IF($A916="","",IF(F916="-","Cabang tdk ada",IF(IFERROR(VLOOKUP(G916,#REF!,1,0),"")="","",IF(INDEX(DATA!$AH$2:$AH$5,MATCH(G916,DATA!$AI$2:$AI$5,0))&lt;&gt;F916,"Wilayah beda","OK"))))</f>
        <v/>
      </c>
      <c r="V916" s="8" t="str">
        <f>IF($A916="","",TRIM(INDEX(FORM!$I:$I,ROW())&amp;""))</f>
        <v/>
      </c>
      <c r="W916" s="8" t="str">
        <f>IF($A916="","",TRIM(INDEX(FORM!$L:$L,ROW())&amp;""))</f>
        <v/>
      </c>
      <c r="X916" s="8" t="str">
        <f>IF($A916="","",TRIM(INDEX(FORM!$M:$M,ROW())&amp;""))</f>
        <v/>
      </c>
      <c r="Y916" s="8" t="str">
        <f>IF($A916="","",IFERROR(MATCH(F916,DATA!$AH$2:$AH$5,0),9)*10000+A916)</f>
        <v/>
      </c>
      <c r="Z916" s="8" t="str">
        <f t="shared" si="309"/>
        <v/>
      </c>
      <c r="AA916" s="8" t="str">
        <f t="shared" si="310"/>
        <v/>
      </c>
      <c r="AB916" s="8" t="str">
        <f t="shared" si="311"/>
        <v/>
      </c>
      <c r="AC916" s="8"/>
      <c r="AD916" s="8"/>
      <c r="AE916" s="8"/>
      <c r="AK916" s="5" t="str">
        <f t="shared" si="312"/>
        <v/>
      </c>
      <c r="AL916" s="5" t="str">
        <f t="shared" si="313"/>
        <v/>
      </c>
      <c r="AM916" s="5" t="str">
        <f t="shared" si="314"/>
        <v/>
      </c>
      <c r="AN916" s="5" t="str">
        <f t="shared" si="315"/>
        <v/>
      </c>
      <c r="AO916" s="5" t="str">
        <f t="shared" si="316"/>
        <v/>
      </c>
      <c r="AP916" s="5" t="str">
        <f t="shared" si="317"/>
        <v/>
      </c>
      <c r="AQ916" s="5" t="str">
        <f t="shared" si="318"/>
        <v/>
      </c>
      <c r="AR916" s="5" t="str">
        <f t="shared" si="319"/>
        <v/>
      </c>
      <c r="AS916" s="5" t="str">
        <f t="shared" si="320"/>
        <v/>
      </c>
      <c r="AT916" s="5" t="str">
        <f t="shared" si="321"/>
        <v/>
      </c>
      <c r="AU916" s="5" t="str">
        <f t="shared" si="322"/>
        <v/>
      </c>
      <c r="AV916" s="5" t="str">
        <f t="shared" si="323"/>
        <v/>
      </c>
      <c r="AW916" s="5" t="str">
        <f t="shared" si="324"/>
        <v/>
      </c>
      <c r="AX916" s="5" t="str">
        <f t="shared" si="325"/>
        <v/>
      </c>
      <c r="AY916" s="5" t="str">
        <f t="shared" si="326"/>
        <v/>
      </c>
      <c r="AZ916" s="5" t="str">
        <f t="shared" si="327"/>
        <v/>
      </c>
      <c r="BA916" s="5" t="str">
        <f t="shared" si="328"/>
        <v/>
      </c>
      <c r="BB916" s="5" t="str">
        <f t="shared" si="329"/>
        <v/>
      </c>
    </row>
    <row r="917" spans="1:54" s="5" customFormat="1" hidden="1">
      <c r="A917" s="8" t="str">
        <f>IF(INDEX(FORM!$A:$A,ROW())="","",ROW()-1)</f>
        <v/>
      </c>
      <c r="B917" s="41" t="str">
        <f>IF($A917="","",INDEX(FORM!$A:$A,ROW()))</f>
        <v/>
      </c>
      <c r="C917" s="8" t="str">
        <f>IF($A917="","",TRIM(INDEX(FORM!$B:$B,ROW())))</f>
        <v/>
      </c>
      <c r="D917" s="8" t="str">
        <f>IF($A917="","",TRIM(INDEX(FORM!$C:$C,ROW())&amp;""))</f>
        <v/>
      </c>
      <c r="E917" s="8" t="str">
        <f>IF($A917="","",UPPER(TRIM(INDEX(FORM!$D:$D,ROW()))))</f>
        <v/>
      </c>
      <c r="F917" s="8" t="str">
        <f>IF($A917="","",IFERROR(INDEX(PROGRES!$A$2:$A$92,MATCH(E917,PROGRES!$B$2:$B$92,0)),"-"))</f>
        <v/>
      </c>
      <c r="G917" s="8" t="str">
        <f>IF($A917="","",UPPER(TRIM(INDEX(FORM!$F:$F,ROW()))))</f>
        <v/>
      </c>
      <c r="H917" s="8" t="str">
        <f>IF($A917="","",UPPER(TRIM(INDEX(FORM!$E:$E,ROW()))))</f>
        <v/>
      </c>
      <c r="I917" s="8" t="str">
        <f>IF($A917="","",UPPER(TRIM(INDEX(FORM!$G:$G,ROW()))))</f>
        <v/>
      </c>
      <c r="J917" s="8" t="str">
        <f>IF($A917="","",IF(ISNUMBER(SEARCH("Ya,",INDEX(FORM!$H:$H,ROW()))),"YA",IF(ISNUMBER(SEARCH("Cukup,",INDEX(FORM!$H:$H,ROW()))),"CUKUP",IF(ISNUMBER(SEARCH("Kurang,",INDEX(FORM!$H:$H,ROW()))),"KURANG",""))))</f>
        <v/>
      </c>
      <c r="K917" s="8" t="str">
        <f>IF($A917="","",UPPER(TRIM(INDEX(FORM!$J:$J,ROW()))))</f>
        <v/>
      </c>
      <c r="L917" s="8" t="str">
        <f>IF($A917="","",IF(ISNUMBER(SEARCH("Aktivitas Harian",INDEX(FORM!$K:$K,ROW()))),1,0))</f>
        <v/>
      </c>
      <c r="M917" s="8" t="str">
        <f>IF($A917="","",IF(ISNUMBER(SEARCH("Aktivitas Mingguan",INDEX(FORM!$K:$K,ROW()))),1,0))</f>
        <v/>
      </c>
      <c r="N917" s="8" t="str">
        <f>IF($A917="","",IF(ISNUMBER(SEARCH("Aktivitas Bulanan",INDEX(FORM!$K:$K,ROW()))),1,0))</f>
        <v/>
      </c>
      <c r="O917" s="8" t="str">
        <f>IF($A917="","",IF(ISNUMBER(SEARCH("Overview Cabang",INDEX(FORM!$K:$K,ROW()))),1,0))</f>
        <v/>
      </c>
      <c r="P917" s="8" t="str">
        <f>IF($A917="","",IFERROR(VLOOKUP(I917,DATA!$AH$9:$AI$13,2,0),""))</f>
        <v/>
      </c>
      <c r="Q917" s="8" t="str">
        <f>IF($A917="","",IFERROR(VLOOKUP(J917,DATA!$AH$9:$AI$13,2,0),""))</f>
        <v/>
      </c>
      <c r="R917" s="8" t="str">
        <f>IF($A917="","",IFERROR(VLOOKUP(K917,DATA!$AH$9:$AI$13,2,0),""))</f>
        <v/>
      </c>
      <c r="S917" s="42" t="str">
        <f t="shared" si="308"/>
        <v/>
      </c>
      <c r="T917" s="8" t="str">
        <f>IF($A917="","",IF(COUNTIF($D$2:D917,D917)=1,1,0))</f>
        <v/>
      </c>
      <c r="U917" s="8" t="str">
        <f>IF($A917="","",IF(F917="-","Cabang tdk ada",IF(IFERROR(VLOOKUP(G917,#REF!,1,0),"")="","",IF(INDEX(DATA!$AH$2:$AH$5,MATCH(G917,DATA!$AI$2:$AI$5,0))&lt;&gt;F917,"Wilayah beda","OK"))))</f>
        <v/>
      </c>
      <c r="V917" s="8" t="str">
        <f>IF($A917="","",TRIM(INDEX(FORM!$I:$I,ROW())&amp;""))</f>
        <v/>
      </c>
      <c r="W917" s="8" t="str">
        <f>IF($A917="","",TRIM(INDEX(FORM!$L:$L,ROW())&amp;""))</f>
        <v/>
      </c>
      <c r="X917" s="8" t="str">
        <f>IF($A917="","",TRIM(INDEX(FORM!$M:$M,ROW())&amp;""))</f>
        <v/>
      </c>
      <c r="Y917" s="8" t="str">
        <f>IF($A917="","",IFERROR(MATCH(F917,DATA!$AH$2:$AH$5,0),9)*10000+A917)</f>
        <v/>
      </c>
      <c r="Z917" s="8" t="str">
        <f t="shared" si="309"/>
        <v/>
      </c>
      <c r="AA917" s="8" t="str">
        <f t="shared" si="310"/>
        <v/>
      </c>
      <c r="AB917" s="8" t="str">
        <f t="shared" si="311"/>
        <v/>
      </c>
      <c r="AC917" s="8"/>
      <c r="AD917" s="8"/>
      <c r="AE917" s="8"/>
      <c r="AK917" s="5" t="str">
        <f t="shared" si="312"/>
        <v/>
      </c>
      <c r="AL917" s="5" t="str">
        <f t="shared" si="313"/>
        <v/>
      </c>
      <c r="AM917" s="5" t="str">
        <f t="shared" si="314"/>
        <v/>
      </c>
      <c r="AN917" s="5" t="str">
        <f t="shared" si="315"/>
        <v/>
      </c>
      <c r="AO917" s="5" t="str">
        <f t="shared" si="316"/>
        <v/>
      </c>
      <c r="AP917" s="5" t="str">
        <f t="shared" si="317"/>
        <v/>
      </c>
      <c r="AQ917" s="5" t="str">
        <f t="shared" si="318"/>
        <v/>
      </c>
      <c r="AR917" s="5" t="str">
        <f t="shared" si="319"/>
        <v/>
      </c>
      <c r="AS917" s="5" t="str">
        <f t="shared" si="320"/>
        <v/>
      </c>
      <c r="AT917" s="5" t="str">
        <f t="shared" si="321"/>
        <v/>
      </c>
      <c r="AU917" s="5" t="str">
        <f t="shared" si="322"/>
        <v/>
      </c>
      <c r="AV917" s="5" t="str">
        <f t="shared" si="323"/>
        <v/>
      </c>
      <c r="AW917" s="5" t="str">
        <f t="shared" si="324"/>
        <v/>
      </c>
      <c r="AX917" s="5" t="str">
        <f t="shared" si="325"/>
        <v/>
      </c>
      <c r="AY917" s="5" t="str">
        <f t="shared" si="326"/>
        <v/>
      </c>
      <c r="AZ917" s="5" t="str">
        <f t="shared" si="327"/>
        <v/>
      </c>
      <c r="BA917" s="5" t="str">
        <f t="shared" si="328"/>
        <v/>
      </c>
      <c r="BB917" s="5" t="str">
        <f t="shared" si="329"/>
        <v/>
      </c>
    </row>
    <row r="918" spans="1:54" s="5" customFormat="1" hidden="1">
      <c r="A918" s="8" t="str">
        <f>IF(INDEX(FORM!$A:$A,ROW())="","",ROW()-1)</f>
        <v/>
      </c>
      <c r="B918" s="41" t="str">
        <f>IF($A918="","",INDEX(FORM!$A:$A,ROW()))</f>
        <v/>
      </c>
      <c r="C918" s="8" t="str">
        <f>IF($A918="","",TRIM(INDEX(FORM!$B:$B,ROW())))</f>
        <v/>
      </c>
      <c r="D918" s="8" t="str">
        <f>IF($A918="","",TRIM(INDEX(FORM!$C:$C,ROW())&amp;""))</f>
        <v/>
      </c>
      <c r="E918" s="8" t="str">
        <f>IF($A918="","",UPPER(TRIM(INDEX(FORM!$D:$D,ROW()))))</f>
        <v/>
      </c>
      <c r="F918" s="8" t="str">
        <f>IF($A918="","",IFERROR(INDEX(PROGRES!$A$2:$A$92,MATCH(E918,PROGRES!$B$2:$B$92,0)),"-"))</f>
        <v/>
      </c>
      <c r="G918" s="8" t="str">
        <f>IF($A918="","",UPPER(TRIM(INDEX(FORM!$F:$F,ROW()))))</f>
        <v/>
      </c>
      <c r="H918" s="8" t="str">
        <f>IF($A918="","",UPPER(TRIM(INDEX(FORM!$E:$E,ROW()))))</f>
        <v/>
      </c>
      <c r="I918" s="8" t="str">
        <f>IF($A918="","",UPPER(TRIM(INDEX(FORM!$G:$G,ROW()))))</f>
        <v/>
      </c>
      <c r="J918" s="8" t="str">
        <f>IF($A918="","",IF(ISNUMBER(SEARCH("Ya,",INDEX(FORM!$H:$H,ROW()))),"YA",IF(ISNUMBER(SEARCH("Cukup,",INDEX(FORM!$H:$H,ROW()))),"CUKUP",IF(ISNUMBER(SEARCH("Kurang,",INDEX(FORM!$H:$H,ROW()))),"KURANG",""))))</f>
        <v/>
      </c>
      <c r="K918" s="8" t="str">
        <f>IF($A918="","",UPPER(TRIM(INDEX(FORM!$J:$J,ROW()))))</f>
        <v/>
      </c>
      <c r="L918" s="8" t="str">
        <f>IF($A918="","",IF(ISNUMBER(SEARCH("Aktivitas Harian",INDEX(FORM!$K:$K,ROW()))),1,0))</f>
        <v/>
      </c>
      <c r="M918" s="8" t="str">
        <f>IF($A918="","",IF(ISNUMBER(SEARCH("Aktivitas Mingguan",INDEX(FORM!$K:$K,ROW()))),1,0))</f>
        <v/>
      </c>
      <c r="N918" s="8" t="str">
        <f>IF($A918="","",IF(ISNUMBER(SEARCH("Aktivitas Bulanan",INDEX(FORM!$K:$K,ROW()))),1,0))</f>
        <v/>
      </c>
      <c r="O918" s="8" t="str">
        <f>IF($A918="","",IF(ISNUMBER(SEARCH("Overview Cabang",INDEX(FORM!$K:$K,ROW()))),1,0))</f>
        <v/>
      </c>
      <c r="P918" s="8" t="str">
        <f>IF($A918="","",IFERROR(VLOOKUP(I918,DATA!$AH$9:$AI$13,2,0),""))</f>
        <v/>
      </c>
      <c r="Q918" s="8" t="str">
        <f>IF($A918="","",IFERROR(VLOOKUP(J918,DATA!$AH$9:$AI$13,2,0),""))</f>
        <v/>
      </c>
      <c r="R918" s="8" t="str">
        <f>IF($A918="","",IFERROR(VLOOKUP(K918,DATA!$AH$9:$AI$13,2,0),""))</f>
        <v/>
      </c>
      <c r="S918" s="42" t="str">
        <f t="shared" si="308"/>
        <v/>
      </c>
      <c r="T918" s="8" t="str">
        <f>IF($A918="","",IF(COUNTIF($D$2:D918,D918)=1,1,0))</f>
        <v/>
      </c>
      <c r="U918" s="8" t="str">
        <f>IF($A918="","",IF(F918="-","Cabang tdk ada",IF(IFERROR(VLOOKUP(G918,#REF!,1,0),"")="","",IF(INDEX(DATA!$AH$2:$AH$5,MATCH(G918,DATA!$AI$2:$AI$5,0))&lt;&gt;F918,"Wilayah beda","OK"))))</f>
        <v/>
      </c>
      <c r="V918" s="8" t="str">
        <f>IF($A918="","",TRIM(INDEX(FORM!$I:$I,ROW())&amp;""))</f>
        <v/>
      </c>
      <c r="W918" s="8" t="str">
        <f>IF($A918="","",TRIM(INDEX(FORM!$L:$L,ROW())&amp;""))</f>
        <v/>
      </c>
      <c r="X918" s="8" t="str">
        <f>IF($A918="","",TRIM(INDEX(FORM!$M:$M,ROW())&amp;""))</f>
        <v/>
      </c>
      <c r="Y918" s="8" t="str">
        <f>IF($A918="","",IFERROR(MATCH(F918,DATA!$AH$2:$AH$5,0),9)*10000+A918)</f>
        <v/>
      </c>
      <c r="Z918" s="8" t="str">
        <f t="shared" si="309"/>
        <v/>
      </c>
      <c r="AA918" s="8" t="str">
        <f t="shared" si="310"/>
        <v/>
      </c>
      <c r="AB918" s="8" t="str">
        <f t="shared" si="311"/>
        <v/>
      </c>
      <c r="AC918" s="8"/>
      <c r="AD918" s="8"/>
      <c r="AE918" s="8"/>
      <c r="AK918" s="5" t="str">
        <f t="shared" si="312"/>
        <v/>
      </c>
      <c r="AL918" s="5" t="str">
        <f t="shared" si="313"/>
        <v/>
      </c>
      <c r="AM918" s="5" t="str">
        <f t="shared" si="314"/>
        <v/>
      </c>
      <c r="AN918" s="5" t="str">
        <f t="shared" si="315"/>
        <v/>
      </c>
      <c r="AO918" s="5" t="str">
        <f t="shared" si="316"/>
        <v/>
      </c>
      <c r="AP918" s="5" t="str">
        <f t="shared" si="317"/>
        <v/>
      </c>
      <c r="AQ918" s="5" t="str">
        <f t="shared" si="318"/>
        <v/>
      </c>
      <c r="AR918" s="5" t="str">
        <f t="shared" si="319"/>
        <v/>
      </c>
      <c r="AS918" s="5" t="str">
        <f t="shared" si="320"/>
        <v/>
      </c>
      <c r="AT918" s="5" t="str">
        <f t="shared" si="321"/>
        <v/>
      </c>
      <c r="AU918" s="5" t="str">
        <f t="shared" si="322"/>
        <v/>
      </c>
      <c r="AV918" s="5" t="str">
        <f t="shared" si="323"/>
        <v/>
      </c>
      <c r="AW918" s="5" t="str">
        <f t="shared" si="324"/>
        <v/>
      </c>
      <c r="AX918" s="5" t="str">
        <f t="shared" si="325"/>
        <v/>
      </c>
      <c r="AY918" s="5" t="str">
        <f t="shared" si="326"/>
        <v/>
      </c>
      <c r="AZ918" s="5" t="str">
        <f t="shared" si="327"/>
        <v/>
      </c>
      <c r="BA918" s="5" t="str">
        <f t="shared" si="328"/>
        <v/>
      </c>
      <c r="BB918" s="5" t="str">
        <f t="shared" si="329"/>
        <v/>
      </c>
    </row>
    <row r="919" spans="1:54" s="5" customFormat="1" hidden="1">
      <c r="A919" s="8" t="str">
        <f>IF(INDEX(FORM!$A:$A,ROW())="","",ROW()-1)</f>
        <v/>
      </c>
      <c r="B919" s="41" t="str">
        <f>IF($A919="","",INDEX(FORM!$A:$A,ROW()))</f>
        <v/>
      </c>
      <c r="C919" s="8" t="str">
        <f>IF($A919="","",TRIM(INDEX(FORM!$B:$B,ROW())))</f>
        <v/>
      </c>
      <c r="D919" s="8" t="str">
        <f>IF($A919="","",TRIM(INDEX(FORM!$C:$C,ROW())&amp;""))</f>
        <v/>
      </c>
      <c r="E919" s="8" t="str">
        <f>IF($A919="","",UPPER(TRIM(INDEX(FORM!$D:$D,ROW()))))</f>
        <v/>
      </c>
      <c r="F919" s="8" t="str">
        <f>IF($A919="","",IFERROR(INDEX(PROGRES!$A$2:$A$92,MATCH(E919,PROGRES!$B$2:$B$92,0)),"-"))</f>
        <v/>
      </c>
      <c r="G919" s="8" t="str">
        <f>IF($A919="","",UPPER(TRIM(INDEX(FORM!$F:$F,ROW()))))</f>
        <v/>
      </c>
      <c r="H919" s="8" t="str">
        <f>IF($A919="","",UPPER(TRIM(INDEX(FORM!$E:$E,ROW()))))</f>
        <v/>
      </c>
      <c r="I919" s="8" t="str">
        <f>IF($A919="","",UPPER(TRIM(INDEX(FORM!$G:$G,ROW()))))</f>
        <v/>
      </c>
      <c r="J919" s="8" t="str">
        <f>IF($A919="","",IF(ISNUMBER(SEARCH("Ya,",INDEX(FORM!$H:$H,ROW()))),"YA",IF(ISNUMBER(SEARCH("Cukup,",INDEX(FORM!$H:$H,ROW()))),"CUKUP",IF(ISNUMBER(SEARCH("Kurang,",INDEX(FORM!$H:$H,ROW()))),"KURANG",""))))</f>
        <v/>
      </c>
      <c r="K919" s="8" t="str">
        <f>IF($A919="","",UPPER(TRIM(INDEX(FORM!$J:$J,ROW()))))</f>
        <v/>
      </c>
      <c r="L919" s="8" t="str">
        <f>IF($A919="","",IF(ISNUMBER(SEARCH("Aktivitas Harian",INDEX(FORM!$K:$K,ROW()))),1,0))</f>
        <v/>
      </c>
      <c r="M919" s="8" t="str">
        <f>IF($A919="","",IF(ISNUMBER(SEARCH("Aktivitas Mingguan",INDEX(FORM!$K:$K,ROW()))),1,0))</f>
        <v/>
      </c>
      <c r="N919" s="8" t="str">
        <f>IF($A919="","",IF(ISNUMBER(SEARCH("Aktivitas Bulanan",INDEX(FORM!$K:$K,ROW()))),1,0))</f>
        <v/>
      </c>
      <c r="O919" s="8" t="str">
        <f>IF($A919="","",IF(ISNUMBER(SEARCH("Overview Cabang",INDEX(FORM!$K:$K,ROW()))),1,0))</f>
        <v/>
      </c>
      <c r="P919" s="8" t="str">
        <f>IF($A919="","",IFERROR(VLOOKUP(I919,DATA!$AH$9:$AI$13,2,0),""))</f>
        <v/>
      </c>
      <c r="Q919" s="8" t="str">
        <f>IF($A919="","",IFERROR(VLOOKUP(J919,DATA!$AH$9:$AI$13,2,0),""))</f>
        <v/>
      </c>
      <c r="R919" s="8" t="str">
        <f>IF($A919="","",IFERROR(VLOOKUP(K919,DATA!$AH$9:$AI$13,2,0),""))</f>
        <v/>
      </c>
      <c r="S919" s="42" t="str">
        <f t="shared" si="308"/>
        <v/>
      </c>
      <c r="T919" s="8" t="str">
        <f>IF($A919="","",IF(COUNTIF($D$2:D919,D919)=1,1,0))</f>
        <v/>
      </c>
      <c r="U919" s="8" t="str">
        <f>IF($A919="","",IF(F919="-","Cabang tdk ada",IF(IFERROR(VLOOKUP(G919,#REF!,1,0),"")="","",IF(INDEX(DATA!$AH$2:$AH$5,MATCH(G919,DATA!$AI$2:$AI$5,0))&lt;&gt;F919,"Wilayah beda","OK"))))</f>
        <v/>
      </c>
      <c r="V919" s="8" t="str">
        <f>IF($A919="","",TRIM(INDEX(FORM!$I:$I,ROW())&amp;""))</f>
        <v/>
      </c>
      <c r="W919" s="8" t="str">
        <f>IF($A919="","",TRIM(INDEX(FORM!$L:$L,ROW())&amp;""))</f>
        <v/>
      </c>
      <c r="X919" s="8" t="str">
        <f>IF($A919="","",TRIM(INDEX(FORM!$M:$M,ROW())&amp;""))</f>
        <v/>
      </c>
      <c r="Y919" s="8" t="str">
        <f>IF($A919="","",IFERROR(MATCH(F919,DATA!$AH$2:$AH$5,0),9)*10000+A919)</f>
        <v/>
      </c>
      <c r="Z919" s="8" t="str">
        <f t="shared" si="309"/>
        <v/>
      </c>
      <c r="AA919" s="8" t="str">
        <f t="shared" si="310"/>
        <v/>
      </c>
      <c r="AB919" s="8" t="str">
        <f t="shared" si="311"/>
        <v/>
      </c>
      <c r="AC919" s="8"/>
      <c r="AD919" s="8"/>
      <c r="AE919" s="8"/>
      <c r="AK919" s="5" t="str">
        <f t="shared" si="312"/>
        <v/>
      </c>
      <c r="AL919" s="5" t="str">
        <f t="shared" si="313"/>
        <v/>
      </c>
      <c r="AM919" s="5" t="str">
        <f t="shared" si="314"/>
        <v/>
      </c>
      <c r="AN919" s="5" t="str">
        <f t="shared" si="315"/>
        <v/>
      </c>
      <c r="AO919" s="5" t="str">
        <f t="shared" si="316"/>
        <v/>
      </c>
      <c r="AP919" s="5" t="str">
        <f t="shared" si="317"/>
        <v/>
      </c>
      <c r="AQ919" s="5" t="str">
        <f t="shared" si="318"/>
        <v/>
      </c>
      <c r="AR919" s="5" t="str">
        <f t="shared" si="319"/>
        <v/>
      </c>
      <c r="AS919" s="5" t="str">
        <f t="shared" si="320"/>
        <v/>
      </c>
      <c r="AT919" s="5" t="str">
        <f t="shared" si="321"/>
        <v/>
      </c>
      <c r="AU919" s="5" t="str">
        <f t="shared" si="322"/>
        <v/>
      </c>
      <c r="AV919" s="5" t="str">
        <f t="shared" si="323"/>
        <v/>
      </c>
      <c r="AW919" s="5" t="str">
        <f t="shared" si="324"/>
        <v/>
      </c>
      <c r="AX919" s="5" t="str">
        <f t="shared" si="325"/>
        <v/>
      </c>
      <c r="AY919" s="5" t="str">
        <f t="shared" si="326"/>
        <v/>
      </c>
      <c r="AZ919" s="5" t="str">
        <f t="shared" si="327"/>
        <v/>
      </c>
      <c r="BA919" s="5" t="str">
        <f t="shared" si="328"/>
        <v/>
      </c>
      <c r="BB919" s="5" t="str">
        <f t="shared" si="329"/>
        <v/>
      </c>
    </row>
    <row r="920" spans="1:54" s="5" customFormat="1" hidden="1">
      <c r="A920" s="8" t="str">
        <f>IF(INDEX(FORM!$A:$A,ROW())="","",ROW()-1)</f>
        <v/>
      </c>
      <c r="B920" s="41" t="str">
        <f>IF($A920="","",INDEX(FORM!$A:$A,ROW()))</f>
        <v/>
      </c>
      <c r="C920" s="8" t="str">
        <f>IF($A920="","",TRIM(INDEX(FORM!$B:$B,ROW())))</f>
        <v/>
      </c>
      <c r="D920" s="8" t="str">
        <f>IF($A920="","",TRIM(INDEX(FORM!$C:$C,ROW())&amp;""))</f>
        <v/>
      </c>
      <c r="E920" s="8" t="str">
        <f>IF($A920="","",UPPER(TRIM(INDEX(FORM!$D:$D,ROW()))))</f>
        <v/>
      </c>
      <c r="F920" s="8" t="str">
        <f>IF($A920="","",IFERROR(INDEX(PROGRES!$A$2:$A$92,MATCH(E920,PROGRES!$B$2:$B$92,0)),"-"))</f>
        <v/>
      </c>
      <c r="G920" s="8" t="str">
        <f>IF($A920="","",UPPER(TRIM(INDEX(FORM!$F:$F,ROW()))))</f>
        <v/>
      </c>
      <c r="H920" s="8" t="str">
        <f>IF($A920="","",UPPER(TRIM(INDEX(FORM!$E:$E,ROW()))))</f>
        <v/>
      </c>
      <c r="I920" s="8" t="str">
        <f>IF($A920="","",UPPER(TRIM(INDEX(FORM!$G:$G,ROW()))))</f>
        <v/>
      </c>
      <c r="J920" s="8" t="str">
        <f>IF($A920="","",IF(ISNUMBER(SEARCH("Ya,",INDEX(FORM!$H:$H,ROW()))),"YA",IF(ISNUMBER(SEARCH("Cukup,",INDEX(FORM!$H:$H,ROW()))),"CUKUP",IF(ISNUMBER(SEARCH("Kurang,",INDEX(FORM!$H:$H,ROW()))),"KURANG",""))))</f>
        <v/>
      </c>
      <c r="K920" s="8" t="str">
        <f>IF($A920="","",UPPER(TRIM(INDEX(FORM!$J:$J,ROW()))))</f>
        <v/>
      </c>
      <c r="L920" s="8" t="str">
        <f>IF($A920="","",IF(ISNUMBER(SEARCH("Aktivitas Harian",INDEX(FORM!$K:$K,ROW()))),1,0))</f>
        <v/>
      </c>
      <c r="M920" s="8" t="str">
        <f>IF($A920="","",IF(ISNUMBER(SEARCH("Aktivitas Mingguan",INDEX(FORM!$K:$K,ROW()))),1,0))</f>
        <v/>
      </c>
      <c r="N920" s="8" t="str">
        <f>IF($A920="","",IF(ISNUMBER(SEARCH("Aktivitas Bulanan",INDEX(FORM!$K:$K,ROW()))),1,0))</f>
        <v/>
      </c>
      <c r="O920" s="8" t="str">
        <f>IF($A920="","",IF(ISNUMBER(SEARCH("Overview Cabang",INDEX(FORM!$K:$K,ROW()))),1,0))</f>
        <v/>
      </c>
      <c r="P920" s="8" t="str">
        <f>IF($A920="","",IFERROR(VLOOKUP(I920,DATA!$AH$9:$AI$13,2,0),""))</f>
        <v/>
      </c>
      <c r="Q920" s="8" t="str">
        <f>IF($A920="","",IFERROR(VLOOKUP(J920,DATA!$AH$9:$AI$13,2,0),""))</f>
        <v/>
      </c>
      <c r="R920" s="8" t="str">
        <f>IF($A920="","",IFERROR(VLOOKUP(K920,DATA!$AH$9:$AI$13,2,0),""))</f>
        <v/>
      </c>
      <c r="S920" s="42" t="str">
        <f t="shared" si="308"/>
        <v/>
      </c>
      <c r="T920" s="8" t="str">
        <f>IF($A920="","",IF(COUNTIF($D$2:D920,D920)=1,1,0))</f>
        <v/>
      </c>
      <c r="U920" s="8" t="str">
        <f>IF($A920="","",IF(F920="-","Cabang tdk ada",IF(IFERROR(VLOOKUP(G920,#REF!,1,0),"")="","",IF(INDEX(DATA!$AH$2:$AH$5,MATCH(G920,DATA!$AI$2:$AI$5,0))&lt;&gt;F920,"Wilayah beda","OK"))))</f>
        <v/>
      </c>
      <c r="V920" s="8" t="str">
        <f>IF($A920="","",TRIM(INDEX(FORM!$I:$I,ROW())&amp;""))</f>
        <v/>
      </c>
      <c r="W920" s="8" t="str">
        <f>IF($A920="","",TRIM(INDEX(FORM!$L:$L,ROW())&amp;""))</f>
        <v/>
      </c>
      <c r="X920" s="8" t="str">
        <f>IF($A920="","",TRIM(INDEX(FORM!$M:$M,ROW())&amp;""))</f>
        <v/>
      </c>
      <c r="Y920" s="8" t="str">
        <f>IF($A920="","",IFERROR(MATCH(F920,DATA!$AH$2:$AH$5,0),9)*10000+A920)</f>
        <v/>
      </c>
      <c r="Z920" s="8" t="str">
        <f t="shared" si="309"/>
        <v/>
      </c>
      <c r="AA920" s="8" t="str">
        <f t="shared" si="310"/>
        <v/>
      </c>
      <c r="AB920" s="8" t="str">
        <f t="shared" si="311"/>
        <v/>
      </c>
      <c r="AC920" s="8"/>
      <c r="AD920" s="8"/>
      <c r="AE920" s="8"/>
      <c r="AK920" s="5" t="str">
        <f t="shared" si="312"/>
        <v/>
      </c>
      <c r="AL920" s="5" t="str">
        <f t="shared" si="313"/>
        <v/>
      </c>
      <c r="AM920" s="5" t="str">
        <f t="shared" si="314"/>
        <v/>
      </c>
      <c r="AN920" s="5" t="str">
        <f t="shared" si="315"/>
        <v/>
      </c>
      <c r="AO920" s="5" t="str">
        <f t="shared" si="316"/>
        <v/>
      </c>
      <c r="AP920" s="5" t="str">
        <f t="shared" si="317"/>
        <v/>
      </c>
      <c r="AQ920" s="5" t="str">
        <f t="shared" si="318"/>
        <v/>
      </c>
      <c r="AR920" s="5" t="str">
        <f t="shared" si="319"/>
        <v/>
      </c>
      <c r="AS920" s="5" t="str">
        <f t="shared" si="320"/>
        <v/>
      </c>
      <c r="AT920" s="5" t="str">
        <f t="shared" si="321"/>
        <v/>
      </c>
      <c r="AU920" s="5" t="str">
        <f t="shared" si="322"/>
        <v/>
      </c>
      <c r="AV920" s="5" t="str">
        <f t="shared" si="323"/>
        <v/>
      </c>
      <c r="AW920" s="5" t="str">
        <f t="shared" si="324"/>
        <v/>
      </c>
      <c r="AX920" s="5" t="str">
        <f t="shared" si="325"/>
        <v/>
      </c>
      <c r="AY920" s="5" t="str">
        <f t="shared" si="326"/>
        <v/>
      </c>
      <c r="AZ920" s="5" t="str">
        <f t="shared" si="327"/>
        <v/>
      </c>
      <c r="BA920" s="5" t="str">
        <f t="shared" si="328"/>
        <v/>
      </c>
      <c r="BB920" s="5" t="str">
        <f t="shared" si="329"/>
        <v/>
      </c>
    </row>
    <row r="921" spans="1:54" s="5" customFormat="1" hidden="1">
      <c r="A921" s="8" t="str">
        <f>IF(INDEX(FORM!$A:$A,ROW())="","",ROW()-1)</f>
        <v/>
      </c>
      <c r="B921" s="41" t="str">
        <f>IF($A921="","",INDEX(FORM!$A:$A,ROW()))</f>
        <v/>
      </c>
      <c r="C921" s="8" t="str">
        <f>IF($A921="","",TRIM(INDEX(FORM!$B:$B,ROW())))</f>
        <v/>
      </c>
      <c r="D921" s="8" t="str">
        <f>IF($A921="","",TRIM(INDEX(FORM!$C:$C,ROW())&amp;""))</f>
        <v/>
      </c>
      <c r="E921" s="8" t="str">
        <f>IF($A921="","",UPPER(TRIM(INDEX(FORM!$D:$D,ROW()))))</f>
        <v/>
      </c>
      <c r="F921" s="8" t="str">
        <f>IF($A921="","",IFERROR(INDEX(PROGRES!$A$2:$A$92,MATCH(E921,PROGRES!$B$2:$B$92,0)),"-"))</f>
        <v/>
      </c>
      <c r="G921" s="8" t="str">
        <f>IF($A921="","",UPPER(TRIM(INDEX(FORM!$F:$F,ROW()))))</f>
        <v/>
      </c>
      <c r="H921" s="8" t="str">
        <f>IF($A921="","",UPPER(TRIM(INDEX(FORM!$E:$E,ROW()))))</f>
        <v/>
      </c>
      <c r="I921" s="8" t="str">
        <f>IF($A921="","",UPPER(TRIM(INDEX(FORM!$G:$G,ROW()))))</f>
        <v/>
      </c>
      <c r="J921" s="8" t="str">
        <f>IF($A921="","",IF(ISNUMBER(SEARCH("Ya,",INDEX(FORM!$H:$H,ROW()))),"YA",IF(ISNUMBER(SEARCH("Cukup,",INDEX(FORM!$H:$H,ROW()))),"CUKUP",IF(ISNUMBER(SEARCH("Kurang,",INDEX(FORM!$H:$H,ROW()))),"KURANG",""))))</f>
        <v/>
      </c>
      <c r="K921" s="8" t="str">
        <f>IF($A921="","",UPPER(TRIM(INDEX(FORM!$J:$J,ROW()))))</f>
        <v/>
      </c>
      <c r="L921" s="8" t="str">
        <f>IF($A921="","",IF(ISNUMBER(SEARCH("Aktivitas Harian",INDEX(FORM!$K:$K,ROW()))),1,0))</f>
        <v/>
      </c>
      <c r="M921" s="8" t="str">
        <f>IF($A921="","",IF(ISNUMBER(SEARCH("Aktivitas Mingguan",INDEX(FORM!$K:$K,ROW()))),1,0))</f>
        <v/>
      </c>
      <c r="N921" s="8" t="str">
        <f>IF($A921="","",IF(ISNUMBER(SEARCH("Aktivitas Bulanan",INDEX(FORM!$K:$K,ROW()))),1,0))</f>
        <v/>
      </c>
      <c r="O921" s="8" t="str">
        <f>IF($A921="","",IF(ISNUMBER(SEARCH("Overview Cabang",INDEX(FORM!$K:$K,ROW()))),1,0))</f>
        <v/>
      </c>
      <c r="P921" s="8" t="str">
        <f>IF($A921="","",IFERROR(VLOOKUP(I921,DATA!$AH$9:$AI$13,2,0),""))</f>
        <v/>
      </c>
      <c r="Q921" s="8" t="str">
        <f>IF($A921="","",IFERROR(VLOOKUP(J921,DATA!$AH$9:$AI$13,2,0),""))</f>
        <v/>
      </c>
      <c r="R921" s="8" t="str">
        <f>IF($A921="","",IFERROR(VLOOKUP(K921,DATA!$AH$9:$AI$13,2,0),""))</f>
        <v/>
      </c>
      <c r="S921" s="42" t="str">
        <f t="shared" si="308"/>
        <v/>
      </c>
      <c r="T921" s="8" t="str">
        <f>IF($A921="","",IF(COUNTIF($D$2:D921,D921)=1,1,0))</f>
        <v/>
      </c>
      <c r="U921" s="8" t="str">
        <f>IF($A921="","",IF(F921="-","Cabang tdk ada",IF(IFERROR(VLOOKUP(G921,#REF!,1,0),"")="","",IF(INDEX(DATA!$AH$2:$AH$5,MATCH(G921,DATA!$AI$2:$AI$5,0))&lt;&gt;F921,"Wilayah beda","OK"))))</f>
        <v/>
      </c>
      <c r="V921" s="8" t="str">
        <f>IF($A921="","",TRIM(INDEX(FORM!$I:$I,ROW())&amp;""))</f>
        <v/>
      </c>
      <c r="W921" s="8" t="str">
        <f>IF($A921="","",TRIM(INDEX(FORM!$L:$L,ROW())&amp;""))</f>
        <v/>
      </c>
      <c r="X921" s="8" t="str">
        <f>IF($A921="","",TRIM(INDEX(FORM!$M:$M,ROW())&amp;""))</f>
        <v/>
      </c>
      <c r="Y921" s="8" t="str">
        <f>IF($A921="","",IFERROR(MATCH(F921,DATA!$AH$2:$AH$5,0),9)*10000+A921)</f>
        <v/>
      </c>
      <c r="Z921" s="8" t="str">
        <f t="shared" si="309"/>
        <v/>
      </c>
      <c r="AA921" s="8" t="str">
        <f t="shared" si="310"/>
        <v/>
      </c>
      <c r="AB921" s="8" t="str">
        <f t="shared" si="311"/>
        <v/>
      </c>
      <c r="AC921" s="8"/>
      <c r="AD921" s="8"/>
      <c r="AE921" s="8"/>
      <c r="AK921" s="5" t="str">
        <f t="shared" si="312"/>
        <v/>
      </c>
      <c r="AL921" s="5" t="str">
        <f t="shared" si="313"/>
        <v/>
      </c>
      <c r="AM921" s="5" t="str">
        <f t="shared" si="314"/>
        <v/>
      </c>
      <c r="AN921" s="5" t="str">
        <f t="shared" si="315"/>
        <v/>
      </c>
      <c r="AO921" s="5" t="str">
        <f t="shared" si="316"/>
        <v/>
      </c>
      <c r="AP921" s="5" t="str">
        <f t="shared" si="317"/>
        <v/>
      </c>
      <c r="AQ921" s="5" t="str">
        <f t="shared" si="318"/>
        <v/>
      </c>
      <c r="AR921" s="5" t="str">
        <f t="shared" si="319"/>
        <v/>
      </c>
      <c r="AS921" s="5" t="str">
        <f t="shared" si="320"/>
        <v/>
      </c>
      <c r="AT921" s="5" t="str">
        <f t="shared" si="321"/>
        <v/>
      </c>
      <c r="AU921" s="5" t="str">
        <f t="shared" si="322"/>
        <v/>
      </c>
      <c r="AV921" s="5" t="str">
        <f t="shared" si="323"/>
        <v/>
      </c>
      <c r="AW921" s="5" t="str">
        <f t="shared" si="324"/>
        <v/>
      </c>
      <c r="AX921" s="5" t="str">
        <f t="shared" si="325"/>
        <v/>
      </c>
      <c r="AY921" s="5" t="str">
        <f t="shared" si="326"/>
        <v/>
      </c>
      <c r="AZ921" s="5" t="str">
        <f t="shared" si="327"/>
        <v/>
      </c>
      <c r="BA921" s="5" t="str">
        <f t="shared" si="328"/>
        <v/>
      </c>
      <c r="BB921" s="5" t="str">
        <f t="shared" si="329"/>
        <v/>
      </c>
    </row>
    <row r="922" spans="1:54" s="5" customFormat="1" hidden="1">
      <c r="A922" s="8" t="str">
        <f>IF(INDEX(FORM!$A:$A,ROW())="","",ROW()-1)</f>
        <v/>
      </c>
      <c r="B922" s="41" t="str">
        <f>IF($A922="","",INDEX(FORM!$A:$A,ROW()))</f>
        <v/>
      </c>
      <c r="C922" s="8" t="str">
        <f>IF($A922="","",TRIM(INDEX(FORM!$B:$B,ROW())))</f>
        <v/>
      </c>
      <c r="D922" s="8" t="str">
        <f>IF($A922="","",TRIM(INDEX(FORM!$C:$C,ROW())&amp;""))</f>
        <v/>
      </c>
      <c r="E922" s="8" t="str">
        <f>IF($A922="","",UPPER(TRIM(INDEX(FORM!$D:$D,ROW()))))</f>
        <v/>
      </c>
      <c r="F922" s="8" t="str">
        <f>IF($A922="","",IFERROR(INDEX(PROGRES!$A$2:$A$92,MATCH(E922,PROGRES!$B$2:$B$92,0)),"-"))</f>
        <v/>
      </c>
      <c r="G922" s="8" t="str">
        <f>IF($A922="","",UPPER(TRIM(INDEX(FORM!$F:$F,ROW()))))</f>
        <v/>
      </c>
      <c r="H922" s="8" t="str">
        <f>IF($A922="","",UPPER(TRIM(INDEX(FORM!$E:$E,ROW()))))</f>
        <v/>
      </c>
      <c r="I922" s="8" t="str">
        <f>IF($A922="","",UPPER(TRIM(INDEX(FORM!$G:$G,ROW()))))</f>
        <v/>
      </c>
      <c r="J922" s="8" t="str">
        <f>IF($A922="","",IF(ISNUMBER(SEARCH("Ya,",INDEX(FORM!$H:$H,ROW()))),"YA",IF(ISNUMBER(SEARCH("Cukup,",INDEX(FORM!$H:$H,ROW()))),"CUKUP",IF(ISNUMBER(SEARCH("Kurang,",INDEX(FORM!$H:$H,ROW()))),"KURANG",""))))</f>
        <v/>
      </c>
      <c r="K922" s="8" t="str">
        <f>IF($A922="","",UPPER(TRIM(INDEX(FORM!$J:$J,ROW()))))</f>
        <v/>
      </c>
      <c r="L922" s="8" t="str">
        <f>IF($A922="","",IF(ISNUMBER(SEARCH("Aktivitas Harian",INDEX(FORM!$K:$K,ROW()))),1,0))</f>
        <v/>
      </c>
      <c r="M922" s="8" t="str">
        <f>IF($A922="","",IF(ISNUMBER(SEARCH("Aktivitas Mingguan",INDEX(FORM!$K:$K,ROW()))),1,0))</f>
        <v/>
      </c>
      <c r="N922" s="8" t="str">
        <f>IF($A922="","",IF(ISNUMBER(SEARCH("Aktivitas Bulanan",INDEX(FORM!$K:$K,ROW()))),1,0))</f>
        <v/>
      </c>
      <c r="O922" s="8" t="str">
        <f>IF($A922="","",IF(ISNUMBER(SEARCH("Overview Cabang",INDEX(FORM!$K:$K,ROW()))),1,0))</f>
        <v/>
      </c>
      <c r="P922" s="8" t="str">
        <f>IF($A922="","",IFERROR(VLOOKUP(I922,DATA!$AH$9:$AI$13,2,0),""))</f>
        <v/>
      </c>
      <c r="Q922" s="8" t="str">
        <f>IF($A922="","",IFERROR(VLOOKUP(J922,DATA!$AH$9:$AI$13,2,0),""))</f>
        <v/>
      </c>
      <c r="R922" s="8" t="str">
        <f>IF($A922="","",IFERROR(VLOOKUP(K922,DATA!$AH$9:$AI$13,2,0),""))</f>
        <v/>
      </c>
      <c r="S922" s="42" t="str">
        <f t="shared" si="308"/>
        <v/>
      </c>
      <c r="T922" s="8" t="str">
        <f>IF($A922="","",IF(COUNTIF($D$2:D922,D922)=1,1,0))</f>
        <v/>
      </c>
      <c r="U922" s="8" t="str">
        <f>IF($A922="","",IF(F922="-","Cabang tdk ada",IF(IFERROR(VLOOKUP(G922,#REF!,1,0),"")="","",IF(INDEX(DATA!$AH$2:$AH$5,MATCH(G922,DATA!$AI$2:$AI$5,0))&lt;&gt;F922,"Wilayah beda","OK"))))</f>
        <v/>
      </c>
      <c r="V922" s="8" t="str">
        <f>IF($A922="","",TRIM(INDEX(FORM!$I:$I,ROW())&amp;""))</f>
        <v/>
      </c>
      <c r="W922" s="8" t="str">
        <f>IF($A922="","",TRIM(INDEX(FORM!$L:$L,ROW())&amp;""))</f>
        <v/>
      </c>
      <c r="X922" s="8" t="str">
        <f>IF($A922="","",TRIM(INDEX(FORM!$M:$M,ROW())&amp;""))</f>
        <v/>
      </c>
      <c r="Y922" s="8" t="str">
        <f>IF($A922="","",IFERROR(MATCH(F922,DATA!$AH$2:$AH$5,0),9)*10000+A922)</f>
        <v/>
      </c>
      <c r="Z922" s="8" t="str">
        <f t="shared" si="309"/>
        <v/>
      </c>
      <c r="AA922" s="8" t="str">
        <f t="shared" si="310"/>
        <v/>
      </c>
      <c r="AB922" s="8" t="str">
        <f t="shared" si="311"/>
        <v/>
      </c>
      <c r="AC922" s="8"/>
      <c r="AD922" s="8"/>
      <c r="AE922" s="8"/>
      <c r="AK922" s="5" t="str">
        <f t="shared" si="312"/>
        <v/>
      </c>
      <c r="AL922" s="5" t="str">
        <f t="shared" si="313"/>
        <v/>
      </c>
      <c r="AM922" s="5" t="str">
        <f t="shared" si="314"/>
        <v/>
      </c>
      <c r="AN922" s="5" t="str">
        <f t="shared" si="315"/>
        <v/>
      </c>
      <c r="AO922" s="5" t="str">
        <f t="shared" si="316"/>
        <v/>
      </c>
      <c r="AP922" s="5" t="str">
        <f t="shared" si="317"/>
        <v/>
      </c>
      <c r="AQ922" s="5" t="str">
        <f t="shared" si="318"/>
        <v/>
      </c>
      <c r="AR922" s="5" t="str">
        <f t="shared" si="319"/>
        <v/>
      </c>
      <c r="AS922" s="5" t="str">
        <f t="shared" si="320"/>
        <v/>
      </c>
      <c r="AT922" s="5" t="str">
        <f t="shared" si="321"/>
        <v/>
      </c>
      <c r="AU922" s="5" t="str">
        <f t="shared" si="322"/>
        <v/>
      </c>
      <c r="AV922" s="5" t="str">
        <f t="shared" si="323"/>
        <v/>
      </c>
      <c r="AW922" s="5" t="str">
        <f t="shared" si="324"/>
        <v/>
      </c>
      <c r="AX922" s="5" t="str">
        <f t="shared" si="325"/>
        <v/>
      </c>
      <c r="AY922" s="5" t="str">
        <f t="shared" si="326"/>
        <v/>
      </c>
      <c r="AZ922" s="5" t="str">
        <f t="shared" si="327"/>
        <v/>
      </c>
      <c r="BA922" s="5" t="str">
        <f t="shared" si="328"/>
        <v/>
      </c>
      <c r="BB922" s="5" t="str">
        <f t="shared" si="329"/>
        <v/>
      </c>
    </row>
    <row r="923" spans="1:54" s="5" customFormat="1" hidden="1">
      <c r="A923" s="8" t="str">
        <f>IF(INDEX(FORM!$A:$A,ROW())="","",ROW()-1)</f>
        <v/>
      </c>
      <c r="B923" s="41" t="str">
        <f>IF($A923="","",INDEX(FORM!$A:$A,ROW()))</f>
        <v/>
      </c>
      <c r="C923" s="8" t="str">
        <f>IF($A923="","",TRIM(INDEX(FORM!$B:$B,ROW())))</f>
        <v/>
      </c>
      <c r="D923" s="8" t="str">
        <f>IF($A923="","",TRIM(INDEX(FORM!$C:$C,ROW())&amp;""))</f>
        <v/>
      </c>
      <c r="E923" s="8" t="str">
        <f>IF($A923="","",UPPER(TRIM(INDEX(FORM!$D:$D,ROW()))))</f>
        <v/>
      </c>
      <c r="F923" s="8" t="str">
        <f>IF($A923="","",IFERROR(INDEX(PROGRES!$A$2:$A$92,MATCH(E923,PROGRES!$B$2:$B$92,0)),"-"))</f>
        <v/>
      </c>
      <c r="G923" s="8" t="str">
        <f>IF($A923="","",UPPER(TRIM(INDEX(FORM!$F:$F,ROW()))))</f>
        <v/>
      </c>
      <c r="H923" s="8" t="str">
        <f>IF($A923="","",UPPER(TRIM(INDEX(FORM!$E:$E,ROW()))))</f>
        <v/>
      </c>
      <c r="I923" s="8" t="str">
        <f>IF($A923="","",UPPER(TRIM(INDEX(FORM!$G:$G,ROW()))))</f>
        <v/>
      </c>
      <c r="J923" s="8" t="str">
        <f>IF($A923="","",IF(ISNUMBER(SEARCH("Ya,",INDEX(FORM!$H:$H,ROW()))),"YA",IF(ISNUMBER(SEARCH("Cukup,",INDEX(FORM!$H:$H,ROW()))),"CUKUP",IF(ISNUMBER(SEARCH("Kurang,",INDEX(FORM!$H:$H,ROW()))),"KURANG",""))))</f>
        <v/>
      </c>
      <c r="K923" s="8" t="str">
        <f>IF($A923="","",UPPER(TRIM(INDEX(FORM!$J:$J,ROW()))))</f>
        <v/>
      </c>
      <c r="L923" s="8" t="str">
        <f>IF($A923="","",IF(ISNUMBER(SEARCH("Aktivitas Harian",INDEX(FORM!$K:$K,ROW()))),1,0))</f>
        <v/>
      </c>
      <c r="M923" s="8" t="str">
        <f>IF($A923="","",IF(ISNUMBER(SEARCH("Aktivitas Mingguan",INDEX(FORM!$K:$K,ROW()))),1,0))</f>
        <v/>
      </c>
      <c r="N923" s="8" t="str">
        <f>IF($A923="","",IF(ISNUMBER(SEARCH("Aktivitas Bulanan",INDEX(FORM!$K:$K,ROW()))),1,0))</f>
        <v/>
      </c>
      <c r="O923" s="8" t="str">
        <f>IF($A923="","",IF(ISNUMBER(SEARCH("Overview Cabang",INDEX(FORM!$K:$K,ROW()))),1,0))</f>
        <v/>
      </c>
      <c r="P923" s="8" t="str">
        <f>IF($A923="","",IFERROR(VLOOKUP(I923,DATA!$AH$9:$AI$13,2,0),""))</f>
        <v/>
      </c>
      <c r="Q923" s="8" t="str">
        <f>IF($A923="","",IFERROR(VLOOKUP(J923,DATA!$AH$9:$AI$13,2,0),""))</f>
        <v/>
      </c>
      <c r="R923" s="8" t="str">
        <f>IF($A923="","",IFERROR(VLOOKUP(K923,DATA!$AH$9:$AI$13,2,0),""))</f>
        <v/>
      </c>
      <c r="S923" s="42" t="str">
        <f t="shared" si="308"/>
        <v/>
      </c>
      <c r="T923" s="8" t="str">
        <f>IF($A923="","",IF(COUNTIF($D$2:D923,D923)=1,1,0))</f>
        <v/>
      </c>
      <c r="U923" s="8" t="str">
        <f>IF($A923="","",IF(F923="-","Cabang tdk ada",IF(IFERROR(VLOOKUP(G923,#REF!,1,0),"")="","",IF(INDEX(DATA!$AH$2:$AH$5,MATCH(G923,DATA!$AI$2:$AI$5,0))&lt;&gt;F923,"Wilayah beda","OK"))))</f>
        <v/>
      </c>
      <c r="V923" s="8" t="str">
        <f>IF($A923="","",TRIM(INDEX(FORM!$I:$I,ROW())&amp;""))</f>
        <v/>
      </c>
      <c r="W923" s="8" t="str">
        <f>IF($A923="","",TRIM(INDEX(FORM!$L:$L,ROW())&amp;""))</f>
        <v/>
      </c>
      <c r="X923" s="8" t="str">
        <f>IF($A923="","",TRIM(INDEX(FORM!$M:$M,ROW())&amp;""))</f>
        <v/>
      </c>
      <c r="Y923" s="8" t="str">
        <f>IF($A923="","",IFERROR(MATCH(F923,DATA!$AH$2:$AH$5,0),9)*10000+A923)</f>
        <v/>
      </c>
      <c r="Z923" s="8" t="str">
        <f t="shared" si="309"/>
        <v/>
      </c>
      <c r="AA923" s="8" t="str">
        <f t="shared" si="310"/>
        <v/>
      </c>
      <c r="AB923" s="8" t="str">
        <f t="shared" si="311"/>
        <v/>
      </c>
      <c r="AC923" s="8"/>
      <c r="AD923" s="8"/>
      <c r="AE923" s="8"/>
      <c r="AK923" s="5" t="str">
        <f t="shared" si="312"/>
        <v/>
      </c>
      <c r="AL923" s="5" t="str">
        <f t="shared" si="313"/>
        <v/>
      </c>
      <c r="AM923" s="5" t="str">
        <f t="shared" si="314"/>
        <v/>
      </c>
      <c r="AN923" s="5" t="str">
        <f t="shared" si="315"/>
        <v/>
      </c>
      <c r="AO923" s="5" t="str">
        <f t="shared" si="316"/>
        <v/>
      </c>
      <c r="AP923" s="5" t="str">
        <f t="shared" si="317"/>
        <v/>
      </c>
      <c r="AQ923" s="5" t="str">
        <f t="shared" si="318"/>
        <v/>
      </c>
      <c r="AR923" s="5" t="str">
        <f t="shared" si="319"/>
        <v/>
      </c>
      <c r="AS923" s="5" t="str">
        <f t="shared" si="320"/>
        <v/>
      </c>
      <c r="AT923" s="5" t="str">
        <f t="shared" si="321"/>
        <v/>
      </c>
      <c r="AU923" s="5" t="str">
        <f t="shared" si="322"/>
        <v/>
      </c>
      <c r="AV923" s="5" t="str">
        <f t="shared" si="323"/>
        <v/>
      </c>
      <c r="AW923" s="5" t="str">
        <f t="shared" si="324"/>
        <v/>
      </c>
      <c r="AX923" s="5" t="str">
        <f t="shared" si="325"/>
        <v/>
      </c>
      <c r="AY923" s="5" t="str">
        <f t="shared" si="326"/>
        <v/>
      </c>
      <c r="AZ923" s="5" t="str">
        <f t="shared" si="327"/>
        <v/>
      </c>
      <c r="BA923" s="5" t="str">
        <f t="shared" si="328"/>
        <v/>
      </c>
      <c r="BB923" s="5" t="str">
        <f t="shared" si="329"/>
        <v/>
      </c>
    </row>
    <row r="924" spans="1:54" s="5" customFormat="1" hidden="1">
      <c r="A924" s="8" t="str">
        <f>IF(INDEX(FORM!$A:$A,ROW())="","",ROW()-1)</f>
        <v/>
      </c>
      <c r="B924" s="41" t="str">
        <f>IF($A924="","",INDEX(FORM!$A:$A,ROW()))</f>
        <v/>
      </c>
      <c r="C924" s="8" t="str">
        <f>IF($A924="","",TRIM(INDEX(FORM!$B:$B,ROW())))</f>
        <v/>
      </c>
      <c r="D924" s="8" t="str">
        <f>IF($A924="","",TRIM(INDEX(FORM!$C:$C,ROW())&amp;""))</f>
        <v/>
      </c>
      <c r="E924" s="8" t="str">
        <f>IF($A924="","",UPPER(TRIM(INDEX(FORM!$D:$D,ROW()))))</f>
        <v/>
      </c>
      <c r="F924" s="8" t="str">
        <f>IF($A924="","",IFERROR(INDEX(PROGRES!$A$2:$A$92,MATCH(E924,PROGRES!$B$2:$B$92,0)),"-"))</f>
        <v/>
      </c>
      <c r="G924" s="8" t="str">
        <f>IF($A924="","",UPPER(TRIM(INDEX(FORM!$F:$F,ROW()))))</f>
        <v/>
      </c>
      <c r="H924" s="8" t="str">
        <f>IF($A924="","",UPPER(TRIM(INDEX(FORM!$E:$E,ROW()))))</f>
        <v/>
      </c>
      <c r="I924" s="8" t="str">
        <f>IF($A924="","",UPPER(TRIM(INDEX(FORM!$G:$G,ROW()))))</f>
        <v/>
      </c>
      <c r="J924" s="8" t="str">
        <f>IF($A924="","",IF(ISNUMBER(SEARCH("Ya,",INDEX(FORM!$H:$H,ROW()))),"YA",IF(ISNUMBER(SEARCH("Cukup,",INDEX(FORM!$H:$H,ROW()))),"CUKUP",IF(ISNUMBER(SEARCH("Kurang,",INDEX(FORM!$H:$H,ROW()))),"KURANG",""))))</f>
        <v/>
      </c>
      <c r="K924" s="8" t="str">
        <f>IF($A924="","",UPPER(TRIM(INDEX(FORM!$J:$J,ROW()))))</f>
        <v/>
      </c>
      <c r="L924" s="8" t="str">
        <f>IF($A924="","",IF(ISNUMBER(SEARCH("Aktivitas Harian",INDEX(FORM!$K:$K,ROW()))),1,0))</f>
        <v/>
      </c>
      <c r="M924" s="8" t="str">
        <f>IF($A924="","",IF(ISNUMBER(SEARCH("Aktivitas Mingguan",INDEX(FORM!$K:$K,ROW()))),1,0))</f>
        <v/>
      </c>
      <c r="N924" s="8" t="str">
        <f>IF($A924="","",IF(ISNUMBER(SEARCH("Aktivitas Bulanan",INDEX(FORM!$K:$K,ROW()))),1,0))</f>
        <v/>
      </c>
      <c r="O924" s="8" t="str">
        <f>IF($A924="","",IF(ISNUMBER(SEARCH("Overview Cabang",INDEX(FORM!$K:$K,ROW()))),1,0))</f>
        <v/>
      </c>
      <c r="P924" s="8" t="str">
        <f>IF($A924="","",IFERROR(VLOOKUP(I924,DATA!$AH$9:$AI$13,2,0),""))</f>
        <v/>
      </c>
      <c r="Q924" s="8" t="str">
        <f>IF($A924="","",IFERROR(VLOOKUP(J924,DATA!$AH$9:$AI$13,2,0),""))</f>
        <v/>
      </c>
      <c r="R924" s="8" t="str">
        <f>IF($A924="","",IFERROR(VLOOKUP(K924,DATA!$AH$9:$AI$13,2,0),""))</f>
        <v/>
      </c>
      <c r="S924" s="42" t="str">
        <f t="shared" si="308"/>
        <v/>
      </c>
      <c r="T924" s="8" t="str">
        <f>IF($A924="","",IF(COUNTIF($D$2:D924,D924)=1,1,0))</f>
        <v/>
      </c>
      <c r="U924" s="8" t="str">
        <f>IF($A924="","",IF(F924="-","Cabang tdk ada",IF(IFERROR(VLOOKUP(G924,#REF!,1,0),"")="","",IF(INDEX(DATA!$AH$2:$AH$5,MATCH(G924,DATA!$AI$2:$AI$5,0))&lt;&gt;F924,"Wilayah beda","OK"))))</f>
        <v/>
      </c>
      <c r="V924" s="8" t="str">
        <f>IF($A924="","",TRIM(INDEX(FORM!$I:$I,ROW())&amp;""))</f>
        <v/>
      </c>
      <c r="W924" s="8" t="str">
        <f>IF($A924="","",TRIM(INDEX(FORM!$L:$L,ROW())&amp;""))</f>
        <v/>
      </c>
      <c r="X924" s="8" t="str">
        <f>IF($A924="","",TRIM(INDEX(FORM!$M:$M,ROW())&amp;""))</f>
        <v/>
      </c>
      <c r="Y924" s="8" t="str">
        <f>IF($A924="","",IFERROR(MATCH(F924,DATA!$AH$2:$AH$5,0),9)*10000+A924)</f>
        <v/>
      </c>
      <c r="Z924" s="8" t="str">
        <f t="shared" si="309"/>
        <v/>
      </c>
      <c r="AA924" s="8" t="str">
        <f t="shared" si="310"/>
        <v/>
      </c>
      <c r="AB924" s="8" t="str">
        <f t="shared" si="311"/>
        <v/>
      </c>
      <c r="AC924" s="8"/>
      <c r="AD924" s="8"/>
      <c r="AE924" s="8"/>
      <c r="AK924" s="5" t="str">
        <f t="shared" si="312"/>
        <v/>
      </c>
      <c r="AL924" s="5" t="str">
        <f t="shared" si="313"/>
        <v/>
      </c>
      <c r="AM924" s="5" t="str">
        <f t="shared" si="314"/>
        <v/>
      </c>
      <c r="AN924" s="5" t="str">
        <f t="shared" si="315"/>
        <v/>
      </c>
      <c r="AO924" s="5" t="str">
        <f t="shared" si="316"/>
        <v/>
      </c>
      <c r="AP924" s="5" t="str">
        <f t="shared" si="317"/>
        <v/>
      </c>
      <c r="AQ924" s="5" t="str">
        <f t="shared" si="318"/>
        <v/>
      </c>
      <c r="AR924" s="5" t="str">
        <f t="shared" si="319"/>
        <v/>
      </c>
      <c r="AS924" s="5" t="str">
        <f t="shared" si="320"/>
        <v/>
      </c>
      <c r="AT924" s="5" t="str">
        <f t="shared" si="321"/>
        <v/>
      </c>
      <c r="AU924" s="5" t="str">
        <f t="shared" si="322"/>
        <v/>
      </c>
      <c r="AV924" s="5" t="str">
        <f t="shared" si="323"/>
        <v/>
      </c>
      <c r="AW924" s="5" t="str">
        <f t="shared" si="324"/>
        <v/>
      </c>
      <c r="AX924" s="5" t="str">
        <f t="shared" si="325"/>
        <v/>
      </c>
      <c r="AY924" s="5" t="str">
        <f t="shared" si="326"/>
        <v/>
      </c>
      <c r="AZ924" s="5" t="str">
        <f t="shared" si="327"/>
        <v/>
      </c>
      <c r="BA924" s="5" t="str">
        <f t="shared" si="328"/>
        <v/>
      </c>
      <c r="BB924" s="5" t="str">
        <f t="shared" si="329"/>
        <v/>
      </c>
    </row>
    <row r="925" spans="1:54" s="5" customFormat="1" hidden="1">
      <c r="A925" s="8" t="str">
        <f>IF(INDEX(FORM!$A:$A,ROW())="","",ROW()-1)</f>
        <v/>
      </c>
      <c r="B925" s="41" t="str">
        <f>IF($A925="","",INDEX(FORM!$A:$A,ROW()))</f>
        <v/>
      </c>
      <c r="C925" s="8" t="str">
        <f>IF($A925="","",TRIM(INDEX(FORM!$B:$B,ROW())))</f>
        <v/>
      </c>
      <c r="D925" s="8" t="str">
        <f>IF($A925="","",TRIM(INDEX(FORM!$C:$C,ROW())&amp;""))</f>
        <v/>
      </c>
      <c r="E925" s="8" t="str">
        <f>IF($A925="","",UPPER(TRIM(INDEX(FORM!$D:$D,ROW()))))</f>
        <v/>
      </c>
      <c r="F925" s="8" t="str">
        <f>IF($A925="","",IFERROR(INDEX(PROGRES!$A$2:$A$92,MATCH(E925,PROGRES!$B$2:$B$92,0)),"-"))</f>
        <v/>
      </c>
      <c r="G925" s="8" t="str">
        <f>IF($A925="","",UPPER(TRIM(INDEX(FORM!$F:$F,ROW()))))</f>
        <v/>
      </c>
      <c r="H925" s="8" t="str">
        <f>IF($A925="","",UPPER(TRIM(INDEX(FORM!$E:$E,ROW()))))</f>
        <v/>
      </c>
      <c r="I925" s="8" t="str">
        <f>IF($A925="","",UPPER(TRIM(INDEX(FORM!$G:$G,ROW()))))</f>
        <v/>
      </c>
      <c r="J925" s="8" t="str">
        <f>IF($A925="","",IF(ISNUMBER(SEARCH("Ya,",INDEX(FORM!$H:$H,ROW()))),"YA",IF(ISNUMBER(SEARCH("Cukup,",INDEX(FORM!$H:$H,ROW()))),"CUKUP",IF(ISNUMBER(SEARCH("Kurang,",INDEX(FORM!$H:$H,ROW()))),"KURANG",""))))</f>
        <v/>
      </c>
      <c r="K925" s="8" t="str">
        <f>IF($A925="","",UPPER(TRIM(INDEX(FORM!$J:$J,ROW()))))</f>
        <v/>
      </c>
      <c r="L925" s="8" t="str">
        <f>IF($A925="","",IF(ISNUMBER(SEARCH("Aktivitas Harian",INDEX(FORM!$K:$K,ROW()))),1,0))</f>
        <v/>
      </c>
      <c r="M925" s="8" t="str">
        <f>IF($A925="","",IF(ISNUMBER(SEARCH("Aktivitas Mingguan",INDEX(FORM!$K:$K,ROW()))),1,0))</f>
        <v/>
      </c>
      <c r="N925" s="8" t="str">
        <f>IF($A925="","",IF(ISNUMBER(SEARCH("Aktivitas Bulanan",INDEX(FORM!$K:$K,ROW()))),1,0))</f>
        <v/>
      </c>
      <c r="O925" s="8" t="str">
        <f>IF($A925="","",IF(ISNUMBER(SEARCH("Overview Cabang",INDEX(FORM!$K:$K,ROW()))),1,0))</f>
        <v/>
      </c>
      <c r="P925" s="8" t="str">
        <f>IF($A925="","",IFERROR(VLOOKUP(I925,DATA!$AH$9:$AI$13,2,0),""))</f>
        <v/>
      </c>
      <c r="Q925" s="8" t="str">
        <f>IF($A925="","",IFERROR(VLOOKUP(J925,DATA!$AH$9:$AI$13,2,0),""))</f>
        <v/>
      </c>
      <c r="R925" s="8" t="str">
        <f>IF($A925="","",IFERROR(VLOOKUP(K925,DATA!$AH$9:$AI$13,2,0),""))</f>
        <v/>
      </c>
      <c r="S925" s="42" t="str">
        <f t="shared" si="308"/>
        <v/>
      </c>
      <c r="T925" s="8" t="str">
        <f>IF($A925="","",IF(COUNTIF($D$2:D925,D925)=1,1,0))</f>
        <v/>
      </c>
      <c r="U925" s="8" t="str">
        <f>IF($A925="","",IF(F925="-","Cabang tdk ada",IF(IFERROR(VLOOKUP(G925,#REF!,1,0),"")="","",IF(INDEX(DATA!$AH$2:$AH$5,MATCH(G925,DATA!$AI$2:$AI$5,0))&lt;&gt;F925,"Wilayah beda","OK"))))</f>
        <v/>
      </c>
      <c r="V925" s="8" t="str">
        <f>IF($A925="","",TRIM(INDEX(FORM!$I:$I,ROW())&amp;""))</f>
        <v/>
      </c>
      <c r="W925" s="8" t="str">
        <f>IF($A925="","",TRIM(INDEX(FORM!$L:$L,ROW())&amp;""))</f>
        <v/>
      </c>
      <c r="X925" s="8" t="str">
        <f>IF($A925="","",TRIM(INDEX(FORM!$M:$M,ROW())&amp;""))</f>
        <v/>
      </c>
      <c r="Y925" s="8" t="str">
        <f>IF($A925="","",IFERROR(MATCH(F925,DATA!$AH$2:$AH$5,0),9)*10000+A925)</f>
        <v/>
      </c>
      <c r="Z925" s="8" t="str">
        <f t="shared" si="309"/>
        <v/>
      </c>
      <c r="AA925" s="8" t="str">
        <f t="shared" si="310"/>
        <v/>
      </c>
      <c r="AB925" s="8" t="str">
        <f t="shared" si="311"/>
        <v/>
      </c>
      <c r="AC925" s="8"/>
      <c r="AD925" s="8"/>
      <c r="AE925" s="8"/>
      <c r="AK925" s="5" t="str">
        <f t="shared" si="312"/>
        <v/>
      </c>
      <c r="AL925" s="5" t="str">
        <f t="shared" si="313"/>
        <v/>
      </c>
      <c r="AM925" s="5" t="str">
        <f t="shared" si="314"/>
        <v/>
      </c>
      <c r="AN925" s="5" t="str">
        <f t="shared" si="315"/>
        <v/>
      </c>
      <c r="AO925" s="5" t="str">
        <f t="shared" si="316"/>
        <v/>
      </c>
      <c r="AP925" s="5" t="str">
        <f t="shared" si="317"/>
        <v/>
      </c>
      <c r="AQ925" s="5" t="str">
        <f t="shared" si="318"/>
        <v/>
      </c>
      <c r="AR925" s="5" t="str">
        <f t="shared" si="319"/>
        <v/>
      </c>
      <c r="AS925" s="5" t="str">
        <f t="shared" si="320"/>
        <v/>
      </c>
      <c r="AT925" s="5" t="str">
        <f t="shared" si="321"/>
        <v/>
      </c>
      <c r="AU925" s="5" t="str">
        <f t="shared" si="322"/>
        <v/>
      </c>
      <c r="AV925" s="5" t="str">
        <f t="shared" si="323"/>
        <v/>
      </c>
      <c r="AW925" s="5" t="str">
        <f t="shared" si="324"/>
        <v/>
      </c>
      <c r="AX925" s="5" t="str">
        <f t="shared" si="325"/>
        <v/>
      </c>
      <c r="AY925" s="5" t="str">
        <f t="shared" si="326"/>
        <v/>
      </c>
      <c r="AZ925" s="5" t="str">
        <f t="shared" si="327"/>
        <v/>
      </c>
      <c r="BA925" s="5" t="str">
        <f t="shared" si="328"/>
        <v/>
      </c>
      <c r="BB925" s="5" t="str">
        <f t="shared" si="329"/>
        <v/>
      </c>
    </row>
    <row r="926" spans="1:54" s="5" customFormat="1" hidden="1">
      <c r="A926" s="8" t="str">
        <f>IF(INDEX(FORM!$A:$A,ROW())="","",ROW()-1)</f>
        <v/>
      </c>
      <c r="B926" s="41" t="str">
        <f>IF($A926="","",INDEX(FORM!$A:$A,ROW()))</f>
        <v/>
      </c>
      <c r="C926" s="8" t="str">
        <f>IF($A926="","",TRIM(INDEX(FORM!$B:$B,ROW())))</f>
        <v/>
      </c>
      <c r="D926" s="8" t="str">
        <f>IF($A926="","",TRIM(INDEX(FORM!$C:$C,ROW())&amp;""))</f>
        <v/>
      </c>
      <c r="E926" s="8" t="str">
        <f>IF($A926="","",UPPER(TRIM(INDEX(FORM!$D:$D,ROW()))))</f>
        <v/>
      </c>
      <c r="F926" s="8" t="str">
        <f>IF($A926="","",IFERROR(INDEX(PROGRES!$A$2:$A$92,MATCH(E926,PROGRES!$B$2:$B$92,0)),"-"))</f>
        <v/>
      </c>
      <c r="G926" s="8" t="str">
        <f>IF($A926="","",UPPER(TRIM(INDEX(FORM!$F:$F,ROW()))))</f>
        <v/>
      </c>
      <c r="H926" s="8" t="str">
        <f>IF($A926="","",UPPER(TRIM(INDEX(FORM!$E:$E,ROW()))))</f>
        <v/>
      </c>
      <c r="I926" s="8" t="str">
        <f>IF($A926="","",UPPER(TRIM(INDEX(FORM!$G:$G,ROW()))))</f>
        <v/>
      </c>
      <c r="J926" s="8" t="str">
        <f>IF($A926="","",IF(ISNUMBER(SEARCH("Ya,",INDEX(FORM!$H:$H,ROW()))),"YA",IF(ISNUMBER(SEARCH("Cukup,",INDEX(FORM!$H:$H,ROW()))),"CUKUP",IF(ISNUMBER(SEARCH("Kurang,",INDEX(FORM!$H:$H,ROW()))),"KURANG",""))))</f>
        <v/>
      </c>
      <c r="K926" s="8" t="str">
        <f>IF($A926="","",UPPER(TRIM(INDEX(FORM!$J:$J,ROW()))))</f>
        <v/>
      </c>
      <c r="L926" s="8" t="str">
        <f>IF($A926="","",IF(ISNUMBER(SEARCH("Aktivitas Harian",INDEX(FORM!$K:$K,ROW()))),1,0))</f>
        <v/>
      </c>
      <c r="M926" s="8" t="str">
        <f>IF($A926="","",IF(ISNUMBER(SEARCH("Aktivitas Mingguan",INDEX(FORM!$K:$K,ROW()))),1,0))</f>
        <v/>
      </c>
      <c r="N926" s="8" t="str">
        <f>IF($A926="","",IF(ISNUMBER(SEARCH("Aktivitas Bulanan",INDEX(FORM!$K:$K,ROW()))),1,0))</f>
        <v/>
      </c>
      <c r="O926" s="8" t="str">
        <f>IF($A926="","",IF(ISNUMBER(SEARCH("Overview Cabang",INDEX(FORM!$K:$K,ROW()))),1,0))</f>
        <v/>
      </c>
      <c r="P926" s="8" t="str">
        <f>IF($A926="","",IFERROR(VLOOKUP(I926,DATA!$AH$9:$AI$13,2,0),""))</f>
        <v/>
      </c>
      <c r="Q926" s="8" t="str">
        <f>IF($A926="","",IFERROR(VLOOKUP(J926,DATA!$AH$9:$AI$13,2,0),""))</f>
        <v/>
      </c>
      <c r="R926" s="8" t="str">
        <f>IF($A926="","",IFERROR(VLOOKUP(K926,DATA!$AH$9:$AI$13,2,0),""))</f>
        <v/>
      </c>
      <c r="S926" s="42" t="str">
        <f t="shared" si="308"/>
        <v/>
      </c>
      <c r="T926" s="8" t="str">
        <f>IF($A926="","",IF(COUNTIF($D$2:D926,D926)=1,1,0))</f>
        <v/>
      </c>
      <c r="U926" s="8" t="str">
        <f>IF($A926="","",IF(F926="-","Cabang tdk ada",IF(IFERROR(VLOOKUP(G926,#REF!,1,0),"")="","",IF(INDEX(DATA!$AH$2:$AH$5,MATCH(G926,DATA!$AI$2:$AI$5,0))&lt;&gt;F926,"Wilayah beda","OK"))))</f>
        <v/>
      </c>
      <c r="V926" s="8" t="str">
        <f>IF($A926="","",TRIM(INDEX(FORM!$I:$I,ROW())&amp;""))</f>
        <v/>
      </c>
      <c r="W926" s="8" t="str">
        <f>IF($A926="","",TRIM(INDEX(FORM!$L:$L,ROW())&amp;""))</f>
        <v/>
      </c>
      <c r="X926" s="8" t="str">
        <f>IF($A926="","",TRIM(INDEX(FORM!$M:$M,ROW())&amp;""))</f>
        <v/>
      </c>
      <c r="Y926" s="8" t="str">
        <f>IF($A926="","",IFERROR(MATCH(F926,DATA!$AH$2:$AH$5,0),9)*10000+A926)</f>
        <v/>
      </c>
      <c r="Z926" s="8" t="str">
        <f t="shared" si="309"/>
        <v/>
      </c>
      <c r="AA926" s="8" t="str">
        <f t="shared" si="310"/>
        <v/>
      </c>
      <c r="AB926" s="8" t="str">
        <f t="shared" si="311"/>
        <v/>
      </c>
      <c r="AC926" s="8"/>
      <c r="AD926" s="8"/>
      <c r="AE926" s="8"/>
      <c r="AK926" s="5" t="str">
        <f t="shared" si="312"/>
        <v/>
      </c>
      <c r="AL926" s="5" t="str">
        <f t="shared" si="313"/>
        <v/>
      </c>
      <c r="AM926" s="5" t="str">
        <f t="shared" si="314"/>
        <v/>
      </c>
      <c r="AN926" s="5" t="str">
        <f t="shared" si="315"/>
        <v/>
      </c>
      <c r="AO926" s="5" t="str">
        <f t="shared" si="316"/>
        <v/>
      </c>
      <c r="AP926" s="5" t="str">
        <f t="shared" si="317"/>
        <v/>
      </c>
      <c r="AQ926" s="5" t="str">
        <f t="shared" si="318"/>
        <v/>
      </c>
      <c r="AR926" s="5" t="str">
        <f t="shared" si="319"/>
        <v/>
      </c>
      <c r="AS926" s="5" t="str">
        <f t="shared" si="320"/>
        <v/>
      </c>
      <c r="AT926" s="5" t="str">
        <f t="shared" si="321"/>
        <v/>
      </c>
      <c r="AU926" s="5" t="str">
        <f t="shared" si="322"/>
        <v/>
      </c>
      <c r="AV926" s="5" t="str">
        <f t="shared" si="323"/>
        <v/>
      </c>
      <c r="AW926" s="5" t="str">
        <f t="shared" si="324"/>
        <v/>
      </c>
      <c r="AX926" s="5" t="str">
        <f t="shared" si="325"/>
        <v/>
      </c>
      <c r="AY926" s="5" t="str">
        <f t="shared" si="326"/>
        <v/>
      </c>
      <c r="AZ926" s="5" t="str">
        <f t="shared" si="327"/>
        <v/>
      </c>
      <c r="BA926" s="5" t="str">
        <f t="shared" si="328"/>
        <v/>
      </c>
      <c r="BB926" s="5" t="str">
        <f t="shared" si="329"/>
        <v/>
      </c>
    </row>
    <row r="927" spans="1:54" s="5" customFormat="1" hidden="1">
      <c r="A927" s="8" t="str">
        <f>IF(INDEX(FORM!$A:$A,ROW())="","",ROW()-1)</f>
        <v/>
      </c>
      <c r="B927" s="41" t="str">
        <f>IF($A927="","",INDEX(FORM!$A:$A,ROW()))</f>
        <v/>
      </c>
      <c r="C927" s="8" t="str">
        <f>IF($A927="","",TRIM(INDEX(FORM!$B:$B,ROW())))</f>
        <v/>
      </c>
      <c r="D927" s="8" t="str">
        <f>IF($A927="","",TRIM(INDEX(FORM!$C:$C,ROW())&amp;""))</f>
        <v/>
      </c>
      <c r="E927" s="8" t="str">
        <f>IF($A927="","",UPPER(TRIM(INDEX(FORM!$D:$D,ROW()))))</f>
        <v/>
      </c>
      <c r="F927" s="8" t="str">
        <f>IF($A927="","",IFERROR(INDEX(PROGRES!$A$2:$A$92,MATCH(E927,PROGRES!$B$2:$B$92,0)),"-"))</f>
        <v/>
      </c>
      <c r="G927" s="8" t="str">
        <f>IF($A927="","",UPPER(TRIM(INDEX(FORM!$F:$F,ROW()))))</f>
        <v/>
      </c>
      <c r="H927" s="8" t="str">
        <f>IF($A927="","",UPPER(TRIM(INDEX(FORM!$E:$E,ROW()))))</f>
        <v/>
      </c>
      <c r="I927" s="8" t="str">
        <f>IF($A927="","",UPPER(TRIM(INDEX(FORM!$G:$G,ROW()))))</f>
        <v/>
      </c>
      <c r="J927" s="8" t="str">
        <f>IF($A927="","",IF(ISNUMBER(SEARCH("Ya,",INDEX(FORM!$H:$H,ROW()))),"YA",IF(ISNUMBER(SEARCH("Cukup,",INDEX(FORM!$H:$H,ROW()))),"CUKUP",IF(ISNUMBER(SEARCH("Kurang,",INDEX(FORM!$H:$H,ROW()))),"KURANG",""))))</f>
        <v/>
      </c>
      <c r="K927" s="8" t="str">
        <f>IF($A927="","",UPPER(TRIM(INDEX(FORM!$J:$J,ROW()))))</f>
        <v/>
      </c>
      <c r="L927" s="8" t="str">
        <f>IF($A927="","",IF(ISNUMBER(SEARCH("Aktivitas Harian",INDEX(FORM!$K:$K,ROW()))),1,0))</f>
        <v/>
      </c>
      <c r="M927" s="8" t="str">
        <f>IF($A927="","",IF(ISNUMBER(SEARCH("Aktivitas Mingguan",INDEX(FORM!$K:$K,ROW()))),1,0))</f>
        <v/>
      </c>
      <c r="N927" s="8" t="str">
        <f>IF($A927="","",IF(ISNUMBER(SEARCH("Aktivitas Bulanan",INDEX(FORM!$K:$K,ROW()))),1,0))</f>
        <v/>
      </c>
      <c r="O927" s="8" t="str">
        <f>IF($A927="","",IF(ISNUMBER(SEARCH("Overview Cabang",INDEX(FORM!$K:$K,ROW()))),1,0))</f>
        <v/>
      </c>
      <c r="P927" s="8" t="str">
        <f>IF($A927="","",IFERROR(VLOOKUP(I927,DATA!$AH$9:$AI$13,2,0),""))</f>
        <v/>
      </c>
      <c r="Q927" s="8" t="str">
        <f>IF($A927="","",IFERROR(VLOOKUP(J927,DATA!$AH$9:$AI$13,2,0),""))</f>
        <v/>
      </c>
      <c r="R927" s="8" t="str">
        <f>IF($A927="","",IFERROR(VLOOKUP(K927,DATA!$AH$9:$AI$13,2,0),""))</f>
        <v/>
      </c>
      <c r="S927" s="42" t="str">
        <f t="shared" si="308"/>
        <v/>
      </c>
      <c r="T927" s="8" t="str">
        <f>IF($A927="","",IF(COUNTIF($D$2:D927,D927)=1,1,0))</f>
        <v/>
      </c>
      <c r="U927" s="8" t="str">
        <f>IF($A927="","",IF(F927="-","Cabang tdk ada",IF(IFERROR(VLOOKUP(G927,#REF!,1,0),"")="","",IF(INDEX(DATA!$AH$2:$AH$5,MATCH(G927,DATA!$AI$2:$AI$5,0))&lt;&gt;F927,"Wilayah beda","OK"))))</f>
        <v/>
      </c>
      <c r="V927" s="8" t="str">
        <f>IF($A927="","",TRIM(INDEX(FORM!$I:$I,ROW())&amp;""))</f>
        <v/>
      </c>
      <c r="W927" s="8" t="str">
        <f>IF($A927="","",TRIM(INDEX(FORM!$L:$L,ROW())&amp;""))</f>
        <v/>
      </c>
      <c r="X927" s="8" t="str">
        <f>IF($A927="","",TRIM(INDEX(FORM!$M:$M,ROW())&amp;""))</f>
        <v/>
      </c>
      <c r="Y927" s="8" t="str">
        <f>IF($A927="","",IFERROR(MATCH(F927,DATA!$AH$2:$AH$5,0),9)*10000+A927)</f>
        <v/>
      </c>
      <c r="Z927" s="8" t="str">
        <f t="shared" si="309"/>
        <v/>
      </c>
      <c r="AA927" s="8" t="str">
        <f t="shared" si="310"/>
        <v/>
      </c>
      <c r="AB927" s="8" t="str">
        <f t="shared" si="311"/>
        <v/>
      </c>
      <c r="AC927" s="8"/>
      <c r="AD927" s="8"/>
      <c r="AE927" s="8"/>
      <c r="AK927" s="5" t="str">
        <f t="shared" si="312"/>
        <v/>
      </c>
      <c r="AL927" s="5" t="str">
        <f t="shared" si="313"/>
        <v/>
      </c>
      <c r="AM927" s="5" t="str">
        <f t="shared" si="314"/>
        <v/>
      </c>
      <c r="AN927" s="5" t="str">
        <f t="shared" si="315"/>
        <v/>
      </c>
      <c r="AO927" s="5" t="str">
        <f t="shared" si="316"/>
        <v/>
      </c>
      <c r="AP927" s="5" t="str">
        <f t="shared" si="317"/>
        <v/>
      </c>
      <c r="AQ927" s="5" t="str">
        <f t="shared" si="318"/>
        <v/>
      </c>
      <c r="AR927" s="5" t="str">
        <f t="shared" si="319"/>
        <v/>
      </c>
      <c r="AS927" s="5" t="str">
        <f t="shared" si="320"/>
        <v/>
      </c>
      <c r="AT927" s="5" t="str">
        <f t="shared" si="321"/>
        <v/>
      </c>
      <c r="AU927" s="5" t="str">
        <f t="shared" si="322"/>
        <v/>
      </c>
      <c r="AV927" s="5" t="str">
        <f t="shared" si="323"/>
        <v/>
      </c>
      <c r="AW927" s="5" t="str">
        <f t="shared" si="324"/>
        <v/>
      </c>
      <c r="AX927" s="5" t="str">
        <f t="shared" si="325"/>
        <v/>
      </c>
      <c r="AY927" s="5" t="str">
        <f t="shared" si="326"/>
        <v/>
      </c>
      <c r="AZ927" s="5" t="str">
        <f t="shared" si="327"/>
        <v/>
      </c>
      <c r="BA927" s="5" t="str">
        <f t="shared" si="328"/>
        <v/>
      </c>
      <c r="BB927" s="5" t="str">
        <f t="shared" si="329"/>
        <v/>
      </c>
    </row>
    <row r="928" spans="1:54" s="5" customFormat="1" hidden="1">
      <c r="A928" s="8" t="str">
        <f>IF(INDEX(FORM!$A:$A,ROW())="","",ROW()-1)</f>
        <v/>
      </c>
      <c r="B928" s="41" t="str">
        <f>IF($A928="","",INDEX(FORM!$A:$A,ROW()))</f>
        <v/>
      </c>
      <c r="C928" s="8" t="str">
        <f>IF($A928="","",TRIM(INDEX(FORM!$B:$B,ROW())))</f>
        <v/>
      </c>
      <c r="D928" s="8" t="str">
        <f>IF($A928="","",TRIM(INDEX(FORM!$C:$C,ROW())&amp;""))</f>
        <v/>
      </c>
      <c r="E928" s="8" t="str">
        <f>IF($A928="","",UPPER(TRIM(INDEX(FORM!$D:$D,ROW()))))</f>
        <v/>
      </c>
      <c r="F928" s="8" t="str">
        <f>IF($A928="","",IFERROR(INDEX(PROGRES!$A$2:$A$92,MATCH(E928,PROGRES!$B$2:$B$92,0)),"-"))</f>
        <v/>
      </c>
      <c r="G928" s="8" t="str">
        <f>IF($A928="","",UPPER(TRIM(INDEX(FORM!$F:$F,ROW()))))</f>
        <v/>
      </c>
      <c r="H928" s="8" t="str">
        <f>IF($A928="","",UPPER(TRIM(INDEX(FORM!$E:$E,ROW()))))</f>
        <v/>
      </c>
      <c r="I928" s="8" t="str">
        <f>IF($A928="","",UPPER(TRIM(INDEX(FORM!$G:$G,ROW()))))</f>
        <v/>
      </c>
      <c r="J928" s="8" t="str">
        <f>IF($A928="","",IF(ISNUMBER(SEARCH("Ya,",INDEX(FORM!$H:$H,ROW()))),"YA",IF(ISNUMBER(SEARCH("Cukup,",INDEX(FORM!$H:$H,ROW()))),"CUKUP",IF(ISNUMBER(SEARCH("Kurang,",INDEX(FORM!$H:$H,ROW()))),"KURANG",""))))</f>
        <v/>
      </c>
      <c r="K928" s="8" t="str">
        <f>IF($A928="","",UPPER(TRIM(INDEX(FORM!$J:$J,ROW()))))</f>
        <v/>
      </c>
      <c r="L928" s="8" t="str">
        <f>IF($A928="","",IF(ISNUMBER(SEARCH("Aktivitas Harian",INDEX(FORM!$K:$K,ROW()))),1,0))</f>
        <v/>
      </c>
      <c r="M928" s="8" t="str">
        <f>IF($A928="","",IF(ISNUMBER(SEARCH("Aktivitas Mingguan",INDEX(FORM!$K:$K,ROW()))),1,0))</f>
        <v/>
      </c>
      <c r="N928" s="8" t="str">
        <f>IF($A928="","",IF(ISNUMBER(SEARCH("Aktivitas Bulanan",INDEX(FORM!$K:$K,ROW()))),1,0))</f>
        <v/>
      </c>
      <c r="O928" s="8" t="str">
        <f>IF($A928="","",IF(ISNUMBER(SEARCH("Overview Cabang",INDEX(FORM!$K:$K,ROW()))),1,0))</f>
        <v/>
      </c>
      <c r="P928" s="8" t="str">
        <f>IF($A928="","",IFERROR(VLOOKUP(I928,DATA!$AH$9:$AI$13,2,0),""))</f>
        <v/>
      </c>
      <c r="Q928" s="8" t="str">
        <f>IF($A928="","",IFERROR(VLOOKUP(J928,DATA!$AH$9:$AI$13,2,0),""))</f>
        <v/>
      </c>
      <c r="R928" s="8" t="str">
        <f>IF($A928="","",IFERROR(VLOOKUP(K928,DATA!$AH$9:$AI$13,2,0),""))</f>
        <v/>
      </c>
      <c r="S928" s="42" t="str">
        <f t="shared" si="308"/>
        <v/>
      </c>
      <c r="T928" s="8" t="str">
        <f>IF($A928="","",IF(COUNTIF($D$2:D928,D928)=1,1,0))</f>
        <v/>
      </c>
      <c r="U928" s="8" t="str">
        <f>IF($A928="","",IF(F928="-","Cabang tdk ada",IF(IFERROR(VLOOKUP(G928,#REF!,1,0),"")="","",IF(INDEX(DATA!$AH$2:$AH$5,MATCH(G928,DATA!$AI$2:$AI$5,0))&lt;&gt;F928,"Wilayah beda","OK"))))</f>
        <v/>
      </c>
      <c r="V928" s="8" t="str">
        <f>IF($A928="","",TRIM(INDEX(FORM!$I:$I,ROW())&amp;""))</f>
        <v/>
      </c>
      <c r="W928" s="8" t="str">
        <f>IF($A928="","",TRIM(INDEX(FORM!$L:$L,ROW())&amp;""))</f>
        <v/>
      </c>
      <c r="X928" s="8" t="str">
        <f>IF($A928="","",TRIM(INDEX(FORM!$M:$M,ROW())&amp;""))</f>
        <v/>
      </c>
      <c r="Y928" s="8" t="str">
        <f>IF($A928="","",IFERROR(MATCH(F928,DATA!$AH$2:$AH$5,0),9)*10000+A928)</f>
        <v/>
      </c>
      <c r="Z928" s="8" t="str">
        <f t="shared" si="309"/>
        <v/>
      </c>
      <c r="AA928" s="8" t="str">
        <f t="shared" si="310"/>
        <v/>
      </c>
      <c r="AB928" s="8" t="str">
        <f t="shared" si="311"/>
        <v/>
      </c>
      <c r="AC928" s="8"/>
      <c r="AD928" s="8"/>
      <c r="AE928" s="8"/>
      <c r="AK928" s="5" t="str">
        <f t="shared" si="312"/>
        <v/>
      </c>
      <c r="AL928" s="5" t="str">
        <f t="shared" si="313"/>
        <v/>
      </c>
      <c r="AM928" s="5" t="str">
        <f t="shared" si="314"/>
        <v/>
      </c>
      <c r="AN928" s="5" t="str">
        <f t="shared" si="315"/>
        <v/>
      </c>
      <c r="AO928" s="5" t="str">
        <f t="shared" si="316"/>
        <v/>
      </c>
      <c r="AP928" s="5" t="str">
        <f t="shared" si="317"/>
        <v/>
      </c>
      <c r="AQ928" s="5" t="str">
        <f t="shared" si="318"/>
        <v/>
      </c>
      <c r="AR928" s="5" t="str">
        <f t="shared" si="319"/>
        <v/>
      </c>
      <c r="AS928" s="5" t="str">
        <f t="shared" si="320"/>
        <v/>
      </c>
      <c r="AT928" s="5" t="str">
        <f t="shared" si="321"/>
        <v/>
      </c>
      <c r="AU928" s="5" t="str">
        <f t="shared" si="322"/>
        <v/>
      </c>
      <c r="AV928" s="5" t="str">
        <f t="shared" si="323"/>
        <v/>
      </c>
      <c r="AW928" s="5" t="str">
        <f t="shared" si="324"/>
        <v/>
      </c>
      <c r="AX928" s="5" t="str">
        <f t="shared" si="325"/>
        <v/>
      </c>
      <c r="AY928" s="5" t="str">
        <f t="shared" si="326"/>
        <v/>
      </c>
      <c r="AZ928" s="5" t="str">
        <f t="shared" si="327"/>
        <v/>
      </c>
      <c r="BA928" s="5" t="str">
        <f t="shared" si="328"/>
        <v/>
      </c>
      <c r="BB928" s="5" t="str">
        <f t="shared" si="329"/>
        <v/>
      </c>
    </row>
    <row r="929" spans="1:54" s="5" customFormat="1" hidden="1">
      <c r="A929" s="8" t="str">
        <f>IF(INDEX(FORM!$A:$A,ROW())="","",ROW()-1)</f>
        <v/>
      </c>
      <c r="B929" s="41" t="str">
        <f>IF($A929="","",INDEX(FORM!$A:$A,ROW()))</f>
        <v/>
      </c>
      <c r="C929" s="8" t="str">
        <f>IF($A929="","",TRIM(INDEX(FORM!$B:$B,ROW())))</f>
        <v/>
      </c>
      <c r="D929" s="8" t="str">
        <f>IF($A929="","",TRIM(INDEX(FORM!$C:$C,ROW())&amp;""))</f>
        <v/>
      </c>
      <c r="E929" s="8" t="str">
        <f>IF($A929="","",UPPER(TRIM(INDEX(FORM!$D:$D,ROW()))))</f>
        <v/>
      </c>
      <c r="F929" s="8" t="str">
        <f>IF($A929="","",IFERROR(INDEX(PROGRES!$A$2:$A$92,MATCH(E929,PROGRES!$B$2:$B$92,0)),"-"))</f>
        <v/>
      </c>
      <c r="G929" s="8" t="str">
        <f>IF($A929="","",UPPER(TRIM(INDEX(FORM!$F:$F,ROW()))))</f>
        <v/>
      </c>
      <c r="H929" s="8" t="str">
        <f>IF($A929="","",UPPER(TRIM(INDEX(FORM!$E:$E,ROW()))))</f>
        <v/>
      </c>
      <c r="I929" s="8" t="str">
        <f>IF($A929="","",UPPER(TRIM(INDEX(FORM!$G:$G,ROW()))))</f>
        <v/>
      </c>
      <c r="J929" s="8" t="str">
        <f>IF($A929="","",IF(ISNUMBER(SEARCH("Ya,",INDEX(FORM!$H:$H,ROW()))),"YA",IF(ISNUMBER(SEARCH("Cukup,",INDEX(FORM!$H:$H,ROW()))),"CUKUP",IF(ISNUMBER(SEARCH("Kurang,",INDEX(FORM!$H:$H,ROW()))),"KURANG",""))))</f>
        <v/>
      </c>
      <c r="K929" s="8" t="str">
        <f>IF($A929="","",UPPER(TRIM(INDEX(FORM!$J:$J,ROW()))))</f>
        <v/>
      </c>
      <c r="L929" s="8" t="str">
        <f>IF($A929="","",IF(ISNUMBER(SEARCH("Aktivitas Harian",INDEX(FORM!$K:$K,ROW()))),1,0))</f>
        <v/>
      </c>
      <c r="M929" s="8" t="str">
        <f>IF($A929="","",IF(ISNUMBER(SEARCH("Aktivitas Mingguan",INDEX(FORM!$K:$K,ROW()))),1,0))</f>
        <v/>
      </c>
      <c r="N929" s="8" t="str">
        <f>IF($A929="","",IF(ISNUMBER(SEARCH("Aktivitas Bulanan",INDEX(FORM!$K:$K,ROW()))),1,0))</f>
        <v/>
      </c>
      <c r="O929" s="8" t="str">
        <f>IF($A929="","",IF(ISNUMBER(SEARCH("Overview Cabang",INDEX(FORM!$K:$K,ROW()))),1,0))</f>
        <v/>
      </c>
      <c r="P929" s="8" t="str">
        <f>IF($A929="","",IFERROR(VLOOKUP(I929,DATA!$AH$9:$AI$13,2,0),""))</f>
        <v/>
      </c>
      <c r="Q929" s="8" t="str">
        <f>IF($A929="","",IFERROR(VLOOKUP(J929,DATA!$AH$9:$AI$13,2,0),""))</f>
        <v/>
      </c>
      <c r="R929" s="8" t="str">
        <f>IF($A929="","",IFERROR(VLOOKUP(K929,DATA!$AH$9:$AI$13,2,0),""))</f>
        <v/>
      </c>
      <c r="S929" s="42" t="str">
        <f t="shared" si="308"/>
        <v/>
      </c>
      <c r="T929" s="8" t="str">
        <f>IF($A929="","",IF(COUNTIF($D$2:D929,D929)=1,1,0))</f>
        <v/>
      </c>
      <c r="U929" s="8" t="str">
        <f>IF($A929="","",IF(F929="-","Cabang tdk ada",IF(IFERROR(VLOOKUP(G929,#REF!,1,0),"")="","",IF(INDEX(DATA!$AH$2:$AH$5,MATCH(G929,DATA!$AI$2:$AI$5,0))&lt;&gt;F929,"Wilayah beda","OK"))))</f>
        <v/>
      </c>
      <c r="V929" s="8" t="str">
        <f>IF($A929="","",TRIM(INDEX(FORM!$I:$I,ROW())&amp;""))</f>
        <v/>
      </c>
      <c r="W929" s="8" t="str">
        <f>IF($A929="","",TRIM(INDEX(FORM!$L:$L,ROW())&amp;""))</f>
        <v/>
      </c>
      <c r="X929" s="8" t="str">
        <f>IF($A929="","",TRIM(INDEX(FORM!$M:$M,ROW())&amp;""))</f>
        <v/>
      </c>
      <c r="Y929" s="8" t="str">
        <f>IF($A929="","",IFERROR(MATCH(F929,DATA!$AH$2:$AH$5,0),9)*10000+A929)</f>
        <v/>
      </c>
      <c r="Z929" s="8" t="str">
        <f t="shared" si="309"/>
        <v/>
      </c>
      <c r="AA929" s="8" t="str">
        <f t="shared" si="310"/>
        <v/>
      </c>
      <c r="AB929" s="8" t="str">
        <f t="shared" si="311"/>
        <v/>
      </c>
      <c r="AC929" s="8"/>
      <c r="AD929" s="8"/>
      <c r="AE929" s="8"/>
      <c r="AK929" s="5" t="str">
        <f t="shared" si="312"/>
        <v/>
      </c>
      <c r="AL929" s="5" t="str">
        <f t="shared" si="313"/>
        <v/>
      </c>
      <c r="AM929" s="5" t="str">
        <f t="shared" si="314"/>
        <v/>
      </c>
      <c r="AN929" s="5" t="str">
        <f t="shared" si="315"/>
        <v/>
      </c>
      <c r="AO929" s="5" t="str">
        <f t="shared" si="316"/>
        <v/>
      </c>
      <c r="AP929" s="5" t="str">
        <f t="shared" si="317"/>
        <v/>
      </c>
      <c r="AQ929" s="5" t="str">
        <f t="shared" si="318"/>
        <v/>
      </c>
      <c r="AR929" s="5" t="str">
        <f t="shared" si="319"/>
        <v/>
      </c>
      <c r="AS929" s="5" t="str">
        <f t="shared" si="320"/>
        <v/>
      </c>
      <c r="AT929" s="5" t="str">
        <f t="shared" si="321"/>
        <v/>
      </c>
      <c r="AU929" s="5" t="str">
        <f t="shared" si="322"/>
        <v/>
      </c>
      <c r="AV929" s="5" t="str">
        <f t="shared" si="323"/>
        <v/>
      </c>
      <c r="AW929" s="5" t="str">
        <f t="shared" si="324"/>
        <v/>
      </c>
      <c r="AX929" s="5" t="str">
        <f t="shared" si="325"/>
        <v/>
      </c>
      <c r="AY929" s="5" t="str">
        <f t="shared" si="326"/>
        <v/>
      </c>
      <c r="AZ929" s="5" t="str">
        <f t="shared" si="327"/>
        <v/>
      </c>
      <c r="BA929" s="5" t="str">
        <f t="shared" si="328"/>
        <v/>
      </c>
      <c r="BB929" s="5" t="str">
        <f t="shared" si="329"/>
        <v/>
      </c>
    </row>
    <row r="930" spans="1:54" s="5" customFormat="1" hidden="1">
      <c r="A930" s="8" t="str">
        <f>IF(INDEX(FORM!$A:$A,ROW())="","",ROW()-1)</f>
        <v/>
      </c>
      <c r="B930" s="41" t="str">
        <f>IF($A930="","",INDEX(FORM!$A:$A,ROW()))</f>
        <v/>
      </c>
      <c r="C930" s="8" t="str">
        <f>IF($A930="","",TRIM(INDEX(FORM!$B:$B,ROW())))</f>
        <v/>
      </c>
      <c r="D930" s="8" t="str">
        <f>IF($A930="","",TRIM(INDEX(FORM!$C:$C,ROW())&amp;""))</f>
        <v/>
      </c>
      <c r="E930" s="8" t="str">
        <f>IF($A930="","",UPPER(TRIM(INDEX(FORM!$D:$D,ROW()))))</f>
        <v/>
      </c>
      <c r="F930" s="8" t="str">
        <f>IF($A930="","",IFERROR(INDEX(PROGRES!$A$2:$A$92,MATCH(E930,PROGRES!$B$2:$B$92,0)),"-"))</f>
        <v/>
      </c>
      <c r="G930" s="8" t="str">
        <f>IF($A930="","",UPPER(TRIM(INDEX(FORM!$F:$F,ROW()))))</f>
        <v/>
      </c>
      <c r="H930" s="8" t="str">
        <f>IF($A930="","",UPPER(TRIM(INDEX(FORM!$E:$E,ROW()))))</f>
        <v/>
      </c>
      <c r="I930" s="8" t="str">
        <f>IF($A930="","",UPPER(TRIM(INDEX(FORM!$G:$G,ROW()))))</f>
        <v/>
      </c>
      <c r="J930" s="8" t="str">
        <f>IF($A930="","",IF(ISNUMBER(SEARCH("Ya,",INDEX(FORM!$H:$H,ROW()))),"YA",IF(ISNUMBER(SEARCH("Cukup,",INDEX(FORM!$H:$H,ROW()))),"CUKUP",IF(ISNUMBER(SEARCH("Kurang,",INDEX(FORM!$H:$H,ROW()))),"KURANG",""))))</f>
        <v/>
      </c>
      <c r="K930" s="8" t="str">
        <f>IF($A930="","",UPPER(TRIM(INDEX(FORM!$J:$J,ROW()))))</f>
        <v/>
      </c>
      <c r="L930" s="8" t="str">
        <f>IF($A930="","",IF(ISNUMBER(SEARCH("Aktivitas Harian",INDEX(FORM!$K:$K,ROW()))),1,0))</f>
        <v/>
      </c>
      <c r="M930" s="8" t="str">
        <f>IF($A930="","",IF(ISNUMBER(SEARCH("Aktivitas Mingguan",INDEX(FORM!$K:$K,ROW()))),1,0))</f>
        <v/>
      </c>
      <c r="N930" s="8" t="str">
        <f>IF($A930="","",IF(ISNUMBER(SEARCH("Aktivitas Bulanan",INDEX(FORM!$K:$K,ROW()))),1,0))</f>
        <v/>
      </c>
      <c r="O930" s="8" t="str">
        <f>IF($A930="","",IF(ISNUMBER(SEARCH("Overview Cabang",INDEX(FORM!$K:$K,ROW()))),1,0))</f>
        <v/>
      </c>
      <c r="P930" s="8" t="str">
        <f>IF($A930="","",IFERROR(VLOOKUP(I930,DATA!$AH$9:$AI$13,2,0),""))</f>
        <v/>
      </c>
      <c r="Q930" s="8" t="str">
        <f>IF($A930="","",IFERROR(VLOOKUP(J930,DATA!$AH$9:$AI$13,2,0),""))</f>
        <v/>
      </c>
      <c r="R930" s="8" t="str">
        <f>IF($A930="","",IFERROR(VLOOKUP(K930,DATA!$AH$9:$AI$13,2,0),""))</f>
        <v/>
      </c>
      <c r="S930" s="42" t="str">
        <f t="shared" si="308"/>
        <v/>
      </c>
      <c r="T930" s="8" t="str">
        <f>IF($A930="","",IF(COUNTIF($D$2:D930,D930)=1,1,0))</f>
        <v/>
      </c>
      <c r="U930" s="8" t="str">
        <f>IF($A930="","",IF(F930="-","Cabang tdk ada",IF(IFERROR(VLOOKUP(G930,#REF!,1,0),"")="","",IF(INDEX(DATA!$AH$2:$AH$5,MATCH(G930,DATA!$AI$2:$AI$5,0))&lt;&gt;F930,"Wilayah beda","OK"))))</f>
        <v/>
      </c>
      <c r="V930" s="8" t="str">
        <f>IF($A930="","",TRIM(INDEX(FORM!$I:$I,ROW())&amp;""))</f>
        <v/>
      </c>
      <c r="W930" s="8" t="str">
        <f>IF($A930="","",TRIM(INDEX(FORM!$L:$L,ROW())&amp;""))</f>
        <v/>
      </c>
      <c r="X930" s="8" t="str">
        <f>IF($A930="","",TRIM(INDEX(FORM!$M:$M,ROW())&amp;""))</f>
        <v/>
      </c>
      <c r="Y930" s="8" t="str">
        <f>IF($A930="","",IFERROR(MATCH(F930,DATA!$AH$2:$AH$5,0),9)*10000+A930)</f>
        <v/>
      </c>
      <c r="Z930" s="8" t="str">
        <f t="shared" si="309"/>
        <v/>
      </c>
      <c r="AA930" s="8" t="str">
        <f t="shared" si="310"/>
        <v/>
      </c>
      <c r="AB930" s="8" t="str">
        <f t="shared" si="311"/>
        <v/>
      </c>
      <c r="AC930" s="8"/>
      <c r="AD930" s="8"/>
      <c r="AE930" s="8"/>
      <c r="AK930" s="5" t="str">
        <f t="shared" si="312"/>
        <v/>
      </c>
      <c r="AL930" s="5" t="str">
        <f t="shared" si="313"/>
        <v/>
      </c>
      <c r="AM930" s="5" t="str">
        <f t="shared" si="314"/>
        <v/>
      </c>
      <c r="AN930" s="5" t="str">
        <f t="shared" si="315"/>
        <v/>
      </c>
      <c r="AO930" s="5" t="str">
        <f t="shared" si="316"/>
        <v/>
      </c>
      <c r="AP930" s="5" t="str">
        <f t="shared" si="317"/>
        <v/>
      </c>
      <c r="AQ930" s="5" t="str">
        <f t="shared" si="318"/>
        <v/>
      </c>
      <c r="AR930" s="5" t="str">
        <f t="shared" si="319"/>
        <v/>
      </c>
      <c r="AS930" s="5" t="str">
        <f t="shared" si="320"/>
        <v/>
      </c>
      <c r="AT930" s="5" t="str">
        <f t="shared" si="321"/>
        <v/>
      </c>
      <c r="AU930" s="5" t="str">
        <f t="shared" si="322"/>
        <v/>
      </c>
      <c r="AV930" s="5" t="str">
        <f t="shared" si="323"/>
        <v/>
      </c>
      <c r="AW930" s="5" t="str">
        <f t="shared" si="324"/>
        <v/>
      </c>
      <c r="AX930" s="5" t="str">
        <f t="shared" si="325"/>
        <v/>
      </c>
      <c r="AY930" s="5" t="str">
        <f t="shared" si="326"/>
        <v/>
      </c>
      <c r="AZ930" s="5" t="str">
        <f t="shared" si="327"/>
        <v/>
      </c>
      <c r="BA930" s="5" t="str">
        <f t="shared" si="328"/>
        <v/>
      </c>
      <c r="BB930" s="5" t="str">
        <f t="shared" si="329"/>
        <v/>
      </c>
    </row>
    <row r="931" spans="1:54" s="5" customFormat="1" hidden="1">
      <c r="A931" s="8" t="str">
        <f>IF(INDEX(FORM!$A:$A,ROW())="","",ROW()-1)</f>
        <v/>
      </c>
      <c r="B931" s="41" t="str">
        <f>IF($A931="","",INDEX(FORM!$A:$A,ROW()))</f>
        <v/>
      </c>
      <c r="C931" s="8" t="str">
        <f>IF($A931="","",TRIM(INDEX(FORM!$B:$B,ROW())))</f>
        <v/>
      </c>
      <c r="D931" s="8" t="str">
        <f>IF($A931="","",TRIM(INDEX(FORM!$C:$C,ROW())&amp;""))</f>
        <v/>
      </c>
      <c r="E931" s="8" t="str">
        <f>IF($A931="","",UPPER(TRIM(INDEX(FORM!$D:$D,ROW()))))</f>
        <v/>
      </c>
      <c r="F931" s="8" t="str">
        <f>IF($A931="","",IFERROR(INDEX(PROGRES!$A$2:$A$92,MATCH(E931,PROGRES!$B$2:$B$92,0)),"-"))</f>
        <v/>
      </c>
      <c r="G931" s="8" t="str">
        <f>IF($A931="","",UPPER(TRIM(INDEX(FORM!$F:$F,ROW()))))</f>
        <v/>
      </c>
      <c r="H931" s="8" t="str">
        <f>IF($A931="","",UPPER(TRIM(INDEX(FORM!$E:$E,ROW()))))</f>
        <v/>
      </c>
      <c r="I931" s="8" t="str">
        <f>IF($A931="","",UPPER(TRIM(INDEX(FORM!$G:$G,ROW()))))</f>
        <v/>
      </c>
      <c r="J931" s="8" t="str">
        <f>IF($A931="","",IF(ISNUMBER(SEARCH("Ya,",INDEX(FORM!$H:$H,ROW()))),"YA",IF(ISNUMBER(SEARCH("Cukup,",INDEX(FORM!$H:$H,ROW()))),"CUKUP",IF(ISNUMBER(SEARCH("Kurang,",INDEX(FORM!$H:$H,ROW()))),"KURANG",""))))</f>
        <v/>
      </c>
      <c r="K931" s="8" t="str">
        <f>IF($A931="","",UPPER(TRIM(INDEX(FORM!$J:$J,ROW()))))</f>
        <v/>
      </c>
      <c r="L931" s="8" t="str">
        <f>IF($A931="","",IF(ISNUMBER(SEARCH("Aktivitas Harian",INDEX(FORM!$K:$K,ROW()))),1,0))</f>
        <v/>
      </c>
      <c r="M931" s="8" t="str">
        <f>IF($A931="","",IF(ISNUMBER(SEARCH("Aktivitas Mingguan",INDEX(FORM!$K:$K,ROW()))),1,0))</f>
        <v/>
      </c>
      <c r="N931" s="8" t="str">
        <f>IF($A931="","",IF(ISNUMBER(SEARCH("Aktivitas Bulanan",INDEX(FORM!$K:$K,ROW()))),1,0))</f>
        <v/>
      </c>
      <c r="O931" s="8" t="str">
        <f>IF($A931="","",IF(ISNUMBER(SEARCH("Overview Cabang",INDEX(FORM!$K:$K,ROW()))),1,0))</f>
        <v/>
      </c>
      <c r="P931" s="8" t="str">
        <f>IF($A931="","",IFERROR(VLOOKUP(I931,DATA!$AH$9:$AI$13,2,0),""))</f>
        <v/>
      </c>
      <c r="Q931" s="8" t="str">
        <f>IF($A931="","",IFERROR(VLOOKUP(J931,DATA!$AH$9:$AI$13,2,0),""))</f>
        <v/>
      </c>
      <c r="R931" s="8" t="str">
        <f>IF($A931="","",IFERROR(VLOOKUP(K931,DATA!$AH$9:$AI$13,2,0),""))</f>
        <v/>
      </c>
      <c r="S931" s="42" t="str">
        <f t="shared" si="308"/>
        <v/>
      </c>
      <c r="T931" s="8" t="str">
        <f>IF($A931="","",IF(COUNTIF($D$2:D931,D931)=1,1,0))</f>
        <v/>
      </c>
      <c r="U931" s="8" t="str">
        <f>IF($A931="","",IF(F931="-","Cabang tdk ada",IF(IFERROR(VLOOKUP(G931,#REF!,1,0),"")="","",IF(INDEX(DATA!$AH$2:$AH$5,MATCH(G931,DATA!$AI$2:$AI$5,0))&lt;&gt;F931,"Wilayah beda","OK"))))</f>
        <v/>
      </c>
      <c r="V931" s="8" t="str">
        <f>IF($A931="","",TRIM(INDEX(FORM!$I:$I,ROW())&amp;""))</f>
        <v/>
      </c>
      <c r="W931" s="8" t="str">
        <f>IF($A931="","",TRIM(INDEX(FORM!$L:$L,ROW())&amp;""))</f>
        <v/>
      </c>
      <c r="X931" s="8" t="str">
        <f>IF($A931="","",TRIM(INDEX(FORM!$M:$M,ROW())&amp;""))</f>
        <v/>
      </c>
      <c r="Y931" s="8" t="str">
        <f>IF($A931="","",IFERROR(MATCH(F931,DATA!$AH$2:$AH$5,0),9)*10000+A931)</f>
        <v/>
      </c>
      <c r="Z931" s="8" t="str">
        <f t="shared" si="309"/>
        <v/>
      </c>
      <c r="AA931" s="8" t="str">
        <f t="shared" si="310"/>
        <v/>
      </c>
      <c r="AB931" s="8" t="str">
        <f t="shared" si="311"/>
        <v/>
      </c>
      <c r="AC931" s="8"/>
      <c r="AD931" s="8"/>
      <c r="AE931" s="8"/>
      <c r="AK931" s="5" t="str">
        <f t="shared" si="312"/>
        <v/>
      </c>
      <c r="AL931" s="5" t="str">
        <f t="shared" si="313"/>
        <v/>
      </c>
      <c r="AM931" s="5" t="str">
        <f t="shared" si="314"/>
        <v/>
      </c>
      <c r="AN931" s="5" t="str">
        <f t="shared" si="315"/>
        <v/>
      </c>
      <c r="AO931" s="5" t="str">
        <f t="shared" si="316"/>
        <v/>
      </c>
      <c r="AP931" s="5" t="str">
        <f t="shared" si="317"/>
        <v/>
      </c>
      <c r="AQ931" s="5" t="str">
        <f t="shared" si="318"/>
        <v/>
      </c>
      <c r="AR931" s="5" t="str">
        <f t="shared" si="319"/>
        <v/>
      </c>
      <c r="AS931" s="5" t="str">
        <f t="shared" si="320"/>
        <v/>
      </c>
      <c r="AT931" s="5" t="str">
        <f t="shared" si="321"/>
        <v/>
      </c>
      <c r="AU931" s="5" t="str">
        <f t="shared" si="322"/>
        <v/>
      </c>
      <c r="AV931" s="5" t="str">
        <f t="shared" si="323"/>
        <v/>
      </c>
      <c r="AW931" s="5" t="str">
        <f t="shared" si="324"/>
        <v/>
      </c>
      <c r="AX931" s="5" t="str">
        <f t="shared" si="325"/>
        <v/>
      </c>
      <c r="AY931" s="5" t="str">
        <f t="shared" si="326"/>
        <v/>
      </c>
      <c r="AZ931" s="5" t="str">
        <f t="shared" si="327"/>
        <v/>
      </c>
      <c r="BA931" s="5" t="str">
        <f t="shared" si="328"/>
        <v/>
      </c>
      <c r="BB931" s="5" t="str">
        <f t="shared" si="329"/>
        <v/>
      </c>
    </row>
    <row r="932" spans="1:54" s="5" customFormat="1" hidden="1">
      <c r="A932" s="8" t="str">
        <f>IF(INDEX(FORM!$A:$A,ROW())="","",ROW()-1)</f>
        <v/>
      </c>
      <c r="B932" s="41" t="str">
        <f>IF($A932="","",INDEX(FORM!$A:$A,ROW()))</f>
        <v/>
      </c>
      <c r="C932" s="8" t="str">
        <f>IF($A932="","",TRIM(INDEX(FORM!$B:$B,ROW())))</f>
        <v/>
      </c>
      <c r="D932" s="8" t="str">
        <f>IF($A932="","",TRIM(INDEX(FORM!$C:$C,ROW())&amp;""))</f>
        <v/>
      </c>
      <c r="E932" s="8" t="str">
        <f>IF($A932="","",UPPER(TRIM(INDEX(FORM!$D:$D,ROW()))))</f>
        <v/>
      </c>
      <c r="F932" s="8" t="str">
        <f>IF($A932="","",IFERROR(INDEX(PROGRES!$A$2:$A$92,MATCH(E932,PROGRES!$B$2:$B$92,0)),"-"))</f>
        <v/>
      </c>
      <c r="G932" s="8" t="str">
        <f>IF($A932="","",UPPER(TRIM(INDEX(FORM!$F:$F,ROW()))))</f>
        <v/>
      </c>
      <c r="H932" s="8" t="str">
        <f>IF($A932="","",UPPER(TRIM(INDEX(FORM!$E:$E,ROW()))))</f>
        <v/>
      </c>
      <c r="I932" s="8" t="str">
        <f>IF($A932="","",UPPER(TRIM(INDEX(FORM!$G:$G,ROW()))))</f>
        <v/>
      </c>
      <c r="J932" s="8" t="str">
        <f>IF($A932="","",IF(ISNUMBER(SEARCH("Ya,",INDEX(FORM!$H:$H,ROW()))),"YA",IF(ISNUMBER(SEARCH("Cukup,",INDEX(FORM!$H:$H,ROW()))),"CUKUP",IF(ISNUMBER(SEARCH("Kurang,",INDEX(FORM!$H:$H,ROW()))),"KURANG",""))))</f>
        <v/>
      </c>
      <c r="K932" s="8" t="str">
        <f>IF($A932="","",UPPER(TRIM(INDEX(FORM!$J:$J,ROW()))))</f>
        <v/>
      </c>
      <c r="L932" s="8" t="str">
        <f>IF($A932="","",IF(ISNUMBER(SEARCH("Aktivitas Harian",INDEX(FORM!$K:$K,ROW()))),1,0))</f>
        <v/>
      </c>
      <c r="M932" s="8" t="str">
        <f>IF($A932="","",IF(ISNUMBER(SEARCH("Aktivitas Mingguan",INDEX(FORM!$K:$K,ROW()))),1,0))</f>
        <v/>
      </c>
      <c r="N932" s="8" t="str">
        <f>IF($A932="","",IF(ISNUMBER(SEARCH("Aktivitas Bulanan",INDEX(FORM!$K:$K,ROW()))),1,0))</f>
        <v/>
      </c>
      <c r="O932" s="8" t="str">
        <f>IF($A932="","",IF(ISNUMBER(SEARCH("Overview Cabang",INDEX(FORM!$K:$K,ROW()))),1,0))</f>
        <v/>
      </c>
      <c r="P932" s="8" t="str">
        <f>IF($A932="","",IFERROR(VLOOKUP(I932,DATA!$AH$9:$AI$13,2,0),""))</f>
        <v/>
      </c>
      <c r="Q932" s="8" t="str">
        <f>IF($A932="","",IFERROR(VLOOKUP(J932,DATA!$AH$9:$AI$13,2,0),""))</f>
        <v/>
      </c>
      <c r="R932" s="8" t="str">
        <f>IF($A932="","",IFERROR(VLOOKUP(K932,DATA!$AH$9:$AI$13,2,0),""))</f>
        <v/>
      </c>
      <c r="S932" s="42" t="str">
        <f t="shared" si="308"/>
        <v/>
      </c>
      <c r="T932" s="8" t="str">
        <f>IF($A932="","",IF(COUNTIF($D$2:D932,D932)=1,1,0))</f>
        <v/>
      </c>
      <c r="U932" s="8" t="str">
        <f>IF($A932="","",IF(F932="-","Cabang tdk ada",IF(IFERROR(VLOOKUP(G932,#REF!,1,0),"")="","",IF(INDEX(DATA!$AH$2:$AH$5,MATCH(G932,DATA!$AI$2:$AI$5,0))&lt;&gt;F932,"Wilayah beda","OK"))))</f>
        <v/>
      </c>
      <c r="V932" s="8" t="str">
        <f>IF($A932="","",TRIM(INDEX(FORM!$I:$I,ROW())&amp;""))</f>
        <v/>
      </c>
      <c r="W932" s="8" t="str">
        <f>IF($A932="","",TRIM(INDEX(FORM!$L:$L,ROW())&amp;""))</f>
        <v/>
      </c>
      <c r="X932" s="8" t="str">
        <f>IF($A932="","",TRIM(INDEX(FORM!$M:$M,ROW())&amp;""))</f>
        <v/>
      </c>
      <c r="Y932" s="8" t="str">
        <f>IF($A932="","",IFERROR(MATCH(F932,DATA!$AH$2:$AH$5,0),9)*10000+A932)</f>
        <v/>
      </c>
      <c r="Z932" s="8" t="str">
        <f t="shared" si="309"/>
        <v/>
      </c>
      <c r="AA932" s="8" t="str">
        <f t="shared" si="310"/>
        <v/>
      </c>
      <c r="AB932" s="8" t="str">
        <f t="shared" si="311"/>
        <v/>
      </c>
      <c r="AC932" s="8"/>
      <c r="AD932" s="8"/>
      <c r="AE932" s="8"/>
      <c r="AK932" s="5" t="str">
        <f t="shared" si="312"/>
        <v/>
      </c>
      <c r="AL932" s="5" t="str">
        <f t="shared" si="313"/>
        <v/>
      </c>
      <c r="AM932" s="5" t="str">
        <f t="shared" si="314"/>
        <v/>
      </c>
      <c r="AN932" s="5" t="str">
        <f t="shared" si="315"/>
        <v/>
      </c>
      <c r="AO932" s="5" t="str">
        <f t="shared" si="316"/>
        <v/>
      </c>
      <c r="AP932" s="5" t="str">
        <f t="shared" si="317"/>
        <v/>
      </c>
      <c r="AQ932" s="5" t="str">
        <f t="shared" si="318"/>
        <v/>
      </c>
      <c r="AR932" s="5" t="str">
        <f t="shared" si="319"/>
        <v/>
      </c>
      <c r="AS932" s="5" t="str">
        <f t="shared" si="320"/>
        <v/>
      </c>
      <c r="AT932" s="5" t="str">
        <f t="shared" si="321"/>
        <v/>
      </c>
      <c r="AU932" s="5" t="str">
        <f t="shared" si="322"/>
        <v/>
      </c>
      <c r="AV932" s="5" t="str">
        <f t="shared" si="323"/>
        <v/>
      </c>
      <c r="AW932" s="5" t="str">
        <f t="shared" si="324"/>
        <v/>
      </c>
      <c r="AX932" s="5" t="str">
        <f t="shared" si="325"/>
        <v/>
      </c>
      <c r="AY932" s="5" t="str">
        <f t="shared" si="326"/>
        <v/>
      </c>
      <c r="AZ932" s="5" t="str">
        <f t="shared" si="327"/>
        <v/>
      </c>
      <c r="BA932" s="5" t="str">
        <f t="shared" si="328"/>
        <v/>
      </c>
      <c r="BB932" s="5" t="str">
        <f t="shared" si="329"/>
        <v/>
      </c>
    </row>
    <row r="933" spans="1:54" s="5" customFormat="1" hidden="1">
      <c r="A933" s="8" t="str">
        <f>IF(INDEX(FORM!$A:$A,ROW())="","",ROW()-1)</f>
        <v/>
      </c>
      <c r="B933" s="41" t="str">
        <f>IF($A933="","",INDEX(FORM!$A:$A,ROW()))</f>
        <v/>
      </c>
      <c r="C933" s="8" t="str">
        <f>IF($A933="","",TRIM(INDEX(FORM!$B:$B,ROW())))</f>
        <v/>
      </c>
      <c r="D933" s="8" t="str">
        <f>IF($A933="","",TRIM(INDEX(FORM!$C:$C,ROW())&amp;""))</f>
        <v/>
      </c>
      <c r="E933" s="8" t="str">
        <f>IF($A933="","",UPPER(TRIM(INDEX(FORM!$D:$D,ROW()))))</f>
        <v/>
      </c>
      <c r="F933" s="8" t="str">
        <f>IF($A933="","",IFERROR(INDEX(PROGRES!$A$2:$A$92,MATCH(E933,PROGRES!$B$2:$B$92,0)),"-"))</f>
        <v/>
      </c>
      <c r="G933" s="8" t="str">
        <f>IF($A933="","",UPPER(TRIM(INDEX(FORM!$F:$F,ROW()))))</f>
        <v/>
      </c>
      <c r="H933" s="8" t="str">
        <f>IF($A933="","",UPPER(TRIM(INDEX(FORM!$E:$E,ROW()))))</f>
        <v/>
      </c>
      <c r="I933" s="8" t="str">
        <f>IF($A933="","",UPPER(TRIM(INDEX(FORM!$G:$G,ROW()))))</f>
        <v/>
      </c>
      <c r="J933" s="8" t="str">
        <f>IF($A933="","",IF(ISNUMBER(SEARCH("Ya,",INDEX(FORM!$H:$H,ROW()))),"YA",IF(ISNUMBER(SEARCH("Cukup,",INDEX(FORM!$H:$H,ROW()))),"CUKUP",IF(ISNUMBER(SEARCH("Kurang,",INDEX(FORM!$H:$H,ROW()))),"KURANG",""))))</f>
        <v/>
      </c>
      <c r="K933" s="8" t="str">
        <f>IF($A933="","",UPPER(TRIM(INDEX(FORM!$J:$J,ROW()))))</f>
        <v/>
      </c>
      <c r="L933" s="8" t="str">
        <f>IF($A933="","",IF(ISNUMBER(SEARCH("Aktivitas Harian",INDEX(FORM!$K:$K,ROW()))),1,0))</f>
        <v/>
      </c>
      <c r="M933" s="8" t="str">
        <f>IF($A933="","",IF(ISNUMBER(SEARCH("Aktivitas Mingguan",INDEX(FORM!$K:$K,ROW()))),1,0))</f>
        <v/>
      </c>
      <c r="N933" s="8" t="str">
        <f>IF($A933="","",IF(ISNUMBER(SEARCH("Aktivitas Bulanan",INDEX(FORM!$K:$K,ROW()))),1,0))</f>
        <v/>
      </c>
      <c r="O933" s="8" t="str">
        <f>IF($A933="","",IF(ISNUMBER(SEARCH("Overview Cabang",INDEX(FORM!$K:$K,ROW()))),1,0))</f>
        <v/>
      </c>
      <c r="P933" s="8" t="str">
        <f>IF($A933="","",IFERROR(VLOOKUP(I933,DATA!$AH$9:$AI$13,2,0),""))</f>
        <v/>
      </c>
      <c r="Q933" s="8" t="str">
        <f>IF($A933="","",IFERROR(VLOOKUP(J933,DATA!$AH$9:$AI$13,2,0),""))</f>
        <v/>
      </c>
      <c r="R933" s="8" t="str">
        <f>IF($A933="","",IFERROR(VLOOKUP(K933,DATA!$AH$9:$AI$13,2,0),""))</f>
        <v/>
      </c>
      <c r="S933" s="42" t="str">
        <f t="shared" si="308"/>
        <v/>
      </c>
      <c r="T933" s="8" t="str">
        <f>IF($A933="","",IF(COUNTIF($D$2:D933,D933)=1,1,0))</f>
        <v/>
      </c>
      <c r="U933" s="8" t="str">
        <f>IF($A933="","",IF(F933="-","Cabang tdk ada",IF(IFERROR(VLOOKUP(G933,#REF!,1,0),"")="","",IF(INDEX(DATA!$AH$2:$AH$5,MATCH(G933,DATA!$AI$2:$AI$5,0))&lt;&gt;F933,"Wilayah beda","OK"))))</f>
        <v/>
      </c>
      <c r="V933" s="8" t="str">
        <f>IF($A933="","",TRIM(INDEX(FORM!$I:$I,ROW())&amp;""))</f>
        <v/>
      </c>
      <c r="W933" s="8" t="str">
        <f>IF($A933="","",TRIM(INDEX(FORM!$L:$L,ROW())&amp;""))</f>
        <v/>
      </c>
      <c r="X933" s="8" t="str">
        <f>IF($A933="","",TRIM(INDEX(FORM!$M:$M,ROW())&amp;""))</f>
        <v/>
      </c>
      <c r="Y933" s="8" t="str">
        <f>IF($A933="","",IFERROR(MATCH(F933,DATA!$AH$2:$AH$5,0),9)*10000+A933)</f>
        <v/>
      </c>
      <c r="Z933" s="8" t="str">
        <f t="shared" si="309"/>
        <v/>
      </c>
      <c r="AA933" s="8" t="str">
        <f t="shared" si="310"/>
        <v/>
      </c>
      <c r="AB933" s="8" t="str">
        <f t="shared" si="311"/>
        <v/>
      </c>
      <c r="AC933" s="8"/>
      <c r="AD933" s="8"/>
      <c r="AE933" s="8"/>
      <c r="AK933" s="5" t="str">
        <f t="shared" si="312"/>
        <v/>
      </c>
      <c r="AL933" s="5" t="str">
        <f t="shared" si="313"/>
        <v/>
      </c>
      <c r="AM933" s="5" t="str">
        <f t="shared" si="314"/>
        <v/>
      </c>
      <c r="AN933" s="5" t="str">
        <f t="shared" si="315"/>
        <v/>
      </c>
      <c r="AO933" s="5" t="str">
        <f t="shared" si="316"/>
        <v/>
      </c>
      <c r="AP933" s="5" t="str">
        <f t="shared" si="317"/>
        <v/>
      </c>
      <c r="AQ933" s="5" t="str">
        <f t="shared" si="318"/>
        <v/>
      </c>
      <c r="AR933" s="5" t="str">
        <f t="shared" si="319"/>
        <v/>
      </c>
      <c r="AS933" s="5" t="str">
        <f t="shared" si="320"/>
        <v/>
      </c>
      <c r="AT933" s="5" t="str">
        <f t="shared" si="321"/>
        <v/>
      </c>
      <c r="AU933" s="5" t="str">
        <f t="shared" si="322"/>
        <v/>
      </c>
      <c r="AV933" s="5" t="str">
        <f t="shared" si="323"/>
        <v/>
      </c>
      <c r="AW933" s="5" t="str">
        <f t="shared" si="324"/>
        <v/>
      </c>
      <c r="AX933" s="5" t="str">
        <f t="shared" si="325"/>
        <v/>
      </c>
      <c r="AY933" s="5" t="str">
        <f t="shared" si="326"/>
        <v/>
      </c>
      <c r="AZ933" s="5" t="str">
        <f t="shared" si="327"/>
        <v/>
      </c>
      <c r="BA933" s="5" t="str">
        <f t="shared" si="328"/>
        <v/>
      </c>
      <c r="BB933" s="5" t="str">
        <f t="shared" si="329"/>
        <v/>
      </c>
    </row>
    <row r="934" spans="1:54" s="5" customFormat="1" hidden="1">
      <c r="A934" s="8" t="str">
        <f>IF(INDEX(FORM!$A:$A,ROW())="","",ROW()-1)</f>
        <v/>
      </c>
      <c r="B934" s="41" t="str">
        <f>IF($A934="","",INDEX(FORM!$A:$A,ROW()))</f>
        <v/>
      </c>
      <c r="C934" s="8" t="str">
        <f>IF($A934="","",TRIM(INDEX(FORM!$B:$B,ROW())))</f>
        <v/>
      </c>
      <c r="D934" s="8" t="str">
        <f>IF($A934="","",TRIM(INDEX(FORM!$C:$C,ROW())&amp;""))</f>
        <v/>
      </c>
      <c r="E934" s="8" t="str">
        <f>IF($A934="","",UPPER(TRIM(INDEX(FORM!$D:$D,ROW()))))</f>
        <v/>
      </c>
      <c r="F934" s="8" t="str">
        <f>IF($A934="","",IFERROR(INDEX(PROGRES!$A$2:$A$92,MATCH(E934,PROGRES!$B$2:$B$92,0)),"-"))</f>
        <v/>
      </c>
      <c r="G934" s="8" t="str">
        <f>IF($A934="","",UPPER(TRIM(INDEX(FORM!$F:$F,ROW()))))</f>
        <v/>
      </c>
      <c r="H934" s="8" t="str">
        <f>IF($A934="","",UPPER(TRIM(INDEX(FORM!$E:$E,ROW()))))</f>
        <v/>
      </c>
      <c r="I934" s="8" t="str">
        <f>IF($A934="","",UPPER(TRIM(INDEX(FORM!$G:$G,ROW()))))</f>
        <v/>
      </c>
      <c r="J934" s="8" t="str">
        <f>IF($A934="","",IF(ISNUMBER(SEARCH("Ya,",INDEX(FORM!$H:$H,ROW()))),"YA",IF(ISNUMBER(SEARCH("Cukup,",INDEX(FORM!$H:$H,ROW()))),"CUKUP",IF(ISNUMBER(SEARCH("Kurang,",INDEX(FORM!$H:$H,ROW()))),"KURANG",""))))</f>
        <v/>
      </c>
      <c r="K934" s="8" t="str">
        <f>IF($A934="","",UPPER(TRIM(INDEX(FORM!$J:$J,ROW()))))</f>
        <v/>
      </c>
      <c r="L934" s="8" t="str">
        <f>IF($A934="","",IF(ISNUMBER(SEARCH("Aktivitas Harian",INDEX(FORM!$K:$K,ROW()))),1,0))</f>
        <v/>
      </c>
      <c r="M934" s="8" t="str">
        <f>IF($A934="","",IF(ISNUMBER(SEARCH("Aktivitas Mingguan",INDEX(FORM!$K:$K,ROW()))),1,0))</f>
        <v/>
      </c>
      <c r="N934" s="8" t="str">
        <f>IF($A934="","",IF(ISNUMBER(SEARCH("Aktivitas Bulanan",INDEX(FORM!$K:$K,ROW()))),1,0))</f>
        <v/>
      </c>
      <c r="O934" s="8" t="str">
        <f>IF($A934="","",IF(ISNUMBER(SEARCH("Overview Cabang",INDEX(FORM!$K:$K,ROW()))),1,0))</f>
        <v/>
      </c>
      <c r="P934" s="8" t="str">
        <f>IF($A934="","",IFERROR(VLOOKUP(I934,DATA!$AH$9:$AI$13,2,0),""))</f>
        <v/>
      </c>
      <c r="Q934" s="8" t="str">
        <f>IF($A934="","",IFERROR(VLOOKUP(J934,DATA!$AH$9:$AI$13,2,0),""))</f>
        <v/>
      </c>
      <c r="R934" s="8" t="str">
        <f>IF($A934="","",IFERROR(VLOOKUP(K934,DATA!$AH$9:$AI$13,2,0),""))</f>
        <v/>
      </c>
      <c r="S934" s="42" t="str">
        <f t="shared" si="308"/>
        <v/>
      </c>
      <c r="T934" s="8" t="str">
        <f>IF($A934="","",IF(COUNTIF($D$2:D934,D934)=1,1,0))</f>
        <v/>
      </c>
      <c r="U934" s="8" t="str">
        <f>IF($A934="","",IF(F934="-","Cabang tdk ada",IF(IFERROR(VLOOKUP(G934,#REF!,1,0),"")="","",IF(INDEX(DATA!$AH$2:$AH$5,MATCH(G934,DATA!$AI$2:$AI$5,0))&lt;&gt;F934,"Wilayah beda","OK"))))</f>
        <v/>
      </c>
      <c r="V934" s="8" t="str">
        <f>IF($A934="","",TRIM(INDEX(FORM!$I:$I,ROW())&amp;""))</f>
        <v/>
      </c>
      <c r="W934" s="8" t="str">
        <f>IF($A934="","",TRIM(INDEX(FORM!$L:$L,ROW())&amp;""))</f>
        <v/>
      </c>
      <c r="X934" s="8" t="str">
        <f>IF($A934="","",TRIM(INDEX(FORM!$M:$M,ROW())&amp;""))</f>
        <v/>
      </c>
      <c r="Y934" s="8" t="str">
        <f>IF($A934="","",IFERROR(MATCH(F934,DATA!$AH$2:$AH$5,0),9)*10000+A934)</f>
        <v/>
      </c>
      <c r="Z934" s="8" t="str">
        <f t="shared" si="309"/>
        <v/>
      </c>
      <c r="AA934" s="8" t="str">
        <f t="shared" si="310"/>
        <v/>
      </c>
      <c r="AB934" s="8" t="str">
        <f t="shared" si="311"/>
        <v/>
      </c>
      <c r="AC934" s="8"/>
      <c r="AD934" s="8"/>
      <c r="AE934" s="8"/>
      <c r="AK934" s="5" t="str">
        <f t="shared" si="312"/>
        <v/>
      </c>
      <c r="AL934" s="5" t="str">
        <f t="shared" si="313"/>
        <v/>
      </c>
      <c r="AM934" s="5" t="str">
        <f t="shared" si="314"/>
        <v/>
      </c>
      <c r="AN934" s="5" t="str">
        <f t="shared" si="315"/>
        <v/>
      </c>
      <c r="AO934" s="5" t="str">
        <f t="shared" si="316"/>
        <v/>
      </c>
      <c r="AP934" s="5" t="str">
        <f t="shared" si="317"/>
        <v/>
      </c>
      <c r="AQ934" s="5" t="str">
        <f t="shared" si="318"/>
        <v/>
      </c>
      <c r="AR934" s="5" t="str">
        <f t="shared" si="319"/>
        <v/>
      </c>
      <c r="AS934" s="5" t="str">
        <f t="shared" si="320"/>
        <v/>
      </c>
      <c r="AT934" s="5" t="str">
        <f t="shared" si="321"/>
        <v/>
      </c>
      <c r="AU934" s="5" t="str">
        <f t="shared" si="322"/>
        <v/>
      </c>
      <c r="AV934" s="5" t="str">
        <f t="shared" si="323"/>
        <v/>
      </c>
      <c r="AW934" s="5" t="str">
        <f t="shared" si="324"/>
        <v/>
      </c>
      <c r="AX934" s="5" t="str">
        <f t="shared" si="325"/>
        <v/>
      </c>
      <c r="AY934" s="5" t="str">
        <f t="shared" si="326"/>
        <v/>
      </c>
      <c r="AZ934" s="5" t="str">
        <f t="shared" si="327"/>
        <v/>
      </c>
      <c r="BA934" s="5" t="str">
        <f t="shared" si="328"/>
        <v/>
      </c>
      <c r="BB934" s="5" t="str">
        <f t="shared" si="329"/>
        <v/>
      </c>
    </row>
    <row r="935" spans="1:54" s="5" customFormat="1" hidden="1">
      <c r="A935" s="8" t="str">
        <f>IF(INDEX(FORM!$A:$A,ROW())="","",ROW()-1)</f>
        <v/>
      </c>
      <c r="B935" s="41" t="str">
        <f>IF($A935="","",INDEX(FORM!$A:$A,ROW()))</f>
        <v/>
      </c>
      <c r="C935" s="8" t="str">
        <f>IF($A935="","",TRIM(INDEX(FORM!$B:$B,ROW())))</f>
        <v/>
      </c>
      <c r="D935" s="8" t="str">
        <f>IF($A935="","",TRIM(INDEX(FORM!$C:$C,ROW())&amp;""))</f>
        <v/>
      </c>
      <c r="E935" s="8" t="str">
        <f>IF($A935="","",UPPER(TRIM(INDEX(FORM!$D:$D,ROW()))))</f>
        <v/>
      </c>
      <c r="F935" s="8" t="str">
        <f>IF($A935="","",IFERROR(INDEX(PROGRES!$A$2:$A$92,MATCH(E935,PROGRES!$B$2:$B$92,0)),"-"))</f>
        <v/>
      </c>
      <c r="G935" s="8" t="str">
        <f>IF($A935="","",UPPER(TRIM(INDEX(FORM!$F:$F,ROW()))))</f>
        <v/>
      </c>
      <c r="H935" s="8" t="str">
        <f>IF($A935="","",UPPER(TRIM(INDEX(FORM!$E:$E,ROW()))))</f>
        <v/>
      </c>
      <c r="I935" s="8" t="str">
        <f>IF($A935="","",UPPER(TRIM(INDEX(FORM!$G:$G,ROW()))))</f>
        <v/>
      </c>
      <c r="J935" s="8" t="str">
        <f>IF($A935="","",IF(ISNUMBER(SEARCH("Ya,",INDEX(FORM!$H:$H,ROW()))),"YA",IF(ISNUMBER(SEARCH("Cukup,",INDEX(FORM!$H:$H,ROW()))),"CUKUP",IF(ISNUMBER(SEARCH("Kurang,",INDEX(FORM!$H:$H,ROW()))),"KURANG",""))))</f>
        <v/>
      </c>
      <c r="K935" s="8" t="str">
        <f>IF($A935="","",UPPER(TRIM(INDEX(FORM!$J:$J,ROW()))))</f>
        <v/>
      </c>
      <c r="L935" s="8" t="str">
        <f>IF($A935="","",IF(ISNUMBER(SEARCH("Aktivitas Harian",INDEX(FORM!$K:$K,ROW()))),1,0))</f>
        <v/>
      </c>
      <c r="M935" s="8" t="str">
        <f>IF($A935="","",IF(ISNUMBER(SEARCH("Aktivitas Mingguan",INDEX(FORM!$K:$K,ROW()))),1,0))</f>
        <v/>
      </c>
      <c r="N935" s="8" t="str">
        <f>IF($A935="","",IF(ISNUMBER(SEARCH("Aktivitas Bulanan",INDEX(FORM!$K:$K,ROW()))),1,0))</f>
        <v/>
      </c>
      <c r="O935" s="8" t="str">
        <f>IF($A935="","",IF(ISNUMBER(SEARCH("Overview Cabang",INDEX(FORM!$K:$K,ROW()))),1,0))</f>
        <v/>
      </c>
      <c r="P935" s="8" t="str">
        <f>IF($A935="","",IFERROR(VLOOKUP(I935,DATA!$AH$9:$AI$13,2,0),""))</f>
        <v/>
      </c>
      <c r="Q935" s="8" t="str">
        <f>IF($A935="","",IFERROR(VLOOKUP(J935,DATA!$AH$9:$AI$13,2,0),""))</f>
        <v/>
      </c>
      <c r="R935" s="8" t="str">
        <f>IF($A935="","",IFERROR(VLOOKUP(K935,DATA!$AH$9:$AI$13,2,0),""))</f>
        <v/>
      </c>
      <c r="S935" s="42" t="str">
        <f t="shared" si="308"/>
        <v/>
      </c>
      <c r="T935" s="8" t="str">
        <f>IF($A935="","",IF(COUNTIF($D$2:D935,D935)=1,1,0))</f>
        <v/>
      </c>
      <c r="U935" s="8" t="str">
        <f>IF($A935="","",IF(F935="-","Cabang tdk ada",IF(IFERROR(VLOOKUP(G935,#REF!,1,0),"")="","",IF(INDEX(DATA!$AH$2:$AH$5,MATCH(G935,DATA!$AI$2:$AI$5,0))&lt;&gt;F935,"Wilayah beda","OK"))))</f>
        <v/>
      </c>
      <c r="V935" s="8" t="str">
        <f>IF($A935="","",TRIM(INDEX(FORM!$I:$I,ROW())&amp;""))</f>
        <v/>
      </c>
      <c r="W935" s="8" t="str">
        <f>IF($A935="","",TRIM(INDEX(FORM!$L:$L,ROW())&amp;""))</f>
        <v/>
      </c>
      <c r="X935" s="8" t="str">
        <f>IF($A935="","",TRIM(INDEX(FORM!$M:$M,ROW())&amp;""))</f>
        <v/>
      </c>
      <c r="Y935" s="8" t="str">
        <f>IF($A935="","",IFERROR(MATCH(F935,DATA!$AH$2:$AH$5,0),9)*10000+A935)</f>
        <v/>
      </c>
      <c r="Z935" s="8" t="str">
        <f t="shared" si="309"/>
        <v/>
      </c>
      <c r="AA935" s="8" t="str">
        <f t="shared" si="310"/>
        <v/>
      </c>
      <c r="AB935" s="8" t="str">
        <f t="shared" si="311"/>
        <v/>
      </c>
      <c r="AC935" s="8"/>
      <c r="AD935" s="8"/>
      <c r="AE935" s="8"/>
      <c r="AK935" s="5" t="str">
        <f t="shared" si="312"/>
        <v/>
      </c>
      <c r="AL935" s="5" t="str">
        <f t="shared" si="313"/>
        <v/>
      </c>
      <c r="AM935" s="5" t="str">
        <f t="shared" si="314"/>
        <v/>
      </c>
      <c r="AN935" s="5" t="str">
        <f t="shared" si="315"/>
        <v/>
      </c>
      <c r="AO935" s="5" t="str">
        <f t="shared" si="316"/>
        <v/>
      </c>
      <c r="AP935" s="5" t="str">
        <f t="shared" si="317"/>
        <v/>
      </c>
      <c r="AQ935" s="5" t="str">
        <f t="shared" si="318"/>
        <v/>
      </c>
      <c r="AR935" s="5" t="str">
        <f t="shared" si="319"/>
        <v/>
      </c>
      <c r="AS935" s="5" t="str">
        <f t="shared" si="320"/>
        <v/>
      </c>
      <c r="AT935" s="5" t="str">
        <f t="shared" si="321"/>
        <v/>
      </c>
      <c r="AU935" s="5" t="str">
        <f t="shared" si="322"/>
        <v/>
      </c>
      <c r="AV935" s="5" t="str">
        <f t="shared" si="323"/>
        <v/>
      </c>
      <c r="AW935" s="5" t="str">
        <f t="shared" si="324"/>
        <v/>
      </c>
      <c r="AX935" s="5" t="str">
        <f t="shared" si="325"/>
        <v/>
      </c>
      <c r="AY935" s="5" t="str">
        <f t="shared" si="326"/>
        <v/>
      </c>
      <c r="AZ935" s="5" t="str">
        <f t="shared" si="327"/>
        <v/>
      </c>
      <c r="BA935" s="5" t="str">
        <f t="shared" si="328"/>
        <v/>
      </c>
      <c r="BB935" s="5" t="str">
        <f t="shared" si="329"/>
        <v/>
      </c>
    </row>
    <row r="936" spans="1:54" s="5" customFormat="1" hidden="1">
      <c r="A936" s="8" t="str">
        <f>IF(INDEX(FORM!$A:$A,ROW())="","",ROW()-1)</f>
        <v/>
      </c>
      <c r="B936" s="41" t="str">
        <f>IF($A936="","",INDEX(FORM!$A:$A,ROW()))</f>
        <v/>
      </c>
      <c r="C936" s="8" t="str">
        <f>IF($A936="","",TRIM(INDEX(FORM!$B:$B,ROW())))</f>
        <v/>
      </c>
      <c r="D936" s="8" t="str">
        <f>IF($A936="","",TRIM(INDEX(FORM!$C:$C,ROW())&amp;""))</f>
        <v/>
      </c>
      <c r="E936" s="8" t="str">
        <f>IF($A936="","",UPPER(TRIM(INDEX(FORM!$D:$D,ROW()))))</f>
        <v/>
      </c>
      <c r="F936" s="8" t="str">
        <f>IF($A936="","",IFERROR(INDEX(PROGRES!$A$2:$A$92,MATCH(E936,PROGRES!$B$2:$B$92,0)),"-"))</f>
        <v/>
      </c>
      <c r="G936" s="8" t="str">
        <f>IF($A936="","",UPPER(TRIM(INDEX(FORM!$F:$F,ROW()))))</f>
        <v/>
      </c>
      <c r="H936" s="8" t="str">
        <f>IF($A936="","",UPPER(TRIM(INDEX(FORM!$E:$E,ROW()))))</f>
        <v/>
      </c>
      <c r="I936" s="8" t="str">
        <f>IF($A936="","",UPPER(TRIM(INDEX(FORM!$G:$G,ROW()))))</f>
        <v/>
      </c>
      <c r="J936" s="8" t="str">
        <f>IF($A936="","",IF(ISNUMBER(SEARCH("Ya,",INDEX(FORM!$H:$H,ROW()))),"YA",IF(ISNUMBER(SEARCH("Cukup,",INDEX(FORM!$H:$H,ROW()))),"CUKUP",IF(ISNUMBER(SEARCH("Kurang,",INDEX(FORM!$H:$H,ROW()))),"KURANG",""))))</f>
        <v/>
      </c>
      <c r="K936" s="8" t="str">
        <f>IF($A936="","",UPPER(TRIM(INDEX(FORM!$J:$J,ROW()))))</f>
        <v/>
      </c>
      <c r="L936" s="8" t="str">
        <f>IF($A936="","",IF(ISNUMBER(SEARCH("Aktivitas Harian",INDEX(FORM!$K:$K,ROW()))),1,0))</f>
        <v/>
      </c>
      <c r="M936" s="8" t="str">
        <f>IF($A936="","",IF(ISNUMBER(SEARCH("Aktivitas Mingguan",INDEX(FORM!$K:$K,ROW()))),1,0))</f>
        <v/>
      </c>
      <c r="N936" s="8" t="str">
        <f>IF($A936="","",IF(ISNUMBER(SEARCH("Aktivitas Bulanan",INDEX(FORM!$K:$K,ROW()))),1,0))</f>
        <v/>
      </c>
      <c r="O936" s="8" t="str">
        <f>IF($A936="","",IF(ISNUMBER(SEARCH("Overview Cabang",INDEX(FORM!$K:$K,ROW()))),1,0))</f>
        <v/>
      </c>
      <c r="P936" s="8" t="str">
        <f>IF($A936="","",IFERROR(VLOOKUP(I936,DATA!$AH$9:$AI$13,2,0),""))</f>
        <v/>
      </c>
      <c r="Q936" s="8" t="str">
        <f>IF($A936="","",IFERROR(VLOOKUP(J936,DATA!$AH$9:$AI$13,2,0),""))</f>
        <v/>
      </c>
      <c r="R936" s="8" t="str">
        <f>IF($A936="","",IFERROR(VLOOKUP(K936,DATA!$AH$9:$AI$13,2,0),""))</f>
        <v/>
      </c>
      <c r="S936" s="42" t="str">
        <f t="shared" si="308"/>
        <v/>
      </c>
      <c r="T936" s="8" t="str">
        <f>IF($A936="","",IF(COUNTIF($D$2:D936,D936)=1,1,0))</f>
        <v/>
      </c>
      <c r="U936" s="8" t="str">
        <f>IF($A936="","",IF(F936="-","Cabang tdk ada",IF(IFERROR(VLOOKUP(G936,#REF!,1,0),"")="","",IF(INDEX(DATA!$AH$2:$AH$5,MATCH(G936,DATA!$AI$2:$AI$5,0))&lt;&gt;F936,"Wilayah beda","OK"))))</f>
        <v/>
      </c>
      <c r="V936" s="8" t="str">
        <f>IF($A936="","",TRIM(INDEX(FORM!$I:$I,ROW())&amp;""))</f>
        <v/>
      </c>
      <c r="W936" s="8" t="str">
        <f>IF($A936="","",TRIM(INDEX(FORM!$L:$L,ROW())&amp;""))</f>
        <v/>
      </c>
      <c r="X936" s="8" t="str">
        <f>IF($A936="","",TRIM(INDEX(FORM!$M:$M,ROW())&amp;""))</f>
        <v/>
      </c>
      <c r="Y936" s="8" t="str">
        <f>IF($A936="","",IFERROR(MATCH(F936,DATA!$AH$2:$AH$5,0),9)*10000+A936)</f>
        <v/>
      </c>
      <c r="Z936" s="8" t="str">
        <f t="shared" si="309"/>
        <v/>
      </c>
      <c r="AA936" s="8" t="str">
        <f t="shared" si="310"/>
        <v/>
      </c>
      <c r="AB936" s="8" t="str">
        <f t="shared" si="311"/>
        <v/>
      </c>
      <c r="AC936" s="8"/>
      <c r="AD936" s="8"/>
      <c r="AE936" s="8"/>
      <c r="AK936" s="5" t="str">
        <f t="shared" si="312"/>
        <v/>
      </c>
      <c r="AL936" s="5" t="str">
        <f t="shared" si="313"/>
        <v/>
      </c>
      <c r="AM936" s="5" t="str">
        <f t="shared" si="314"/>
        <v/>
      </c>
      <c r="AN936" s="5" t="str">
        <f t="shared" si="315"/>
        <v/>
      </c>
      <c r="AO936" s="5" t="str">
        <f t="shared" si="316"/>
        <v/>
      </c>
      <c r="AP936" s="5" t="str">
        <f t="shared" si="317"/>
        <v/>
      </c>
      <c r="AQ936" s="5" t="str">
        <f t="shared" si="318"/>
        <v/>
      </c>
      <c r="AR936" s="5" t="str">
        <f t="shared" si="319"/>
        <v/>
      </c>
      <c r="AS936" s="5" t="str">
        <f t="shared" si="320"/>
        <v/>
      </c>
      <c r="AT936" s="5" t="str">
        <f t="shared" si="321"/>
        <v/>
      </c>
      <c r="AU936" s="5" t="str">
        <f t="shared" si="322"/>
        <v/>
      </c>
      <c r="AV936" s="5" t="str">
        <f t="shared" si="323"/>
        <v/>
      </c>
      <c r="AW936" s="5" t="str">
        <f t="shared" si="324"/>
        <v/>
      </c>
      <c r="AX936" s="5" t="str">
        <f t="shared" si="325"/>
        <v/>
      </c>
      <c r="AY936" s="5" t="str">
        <f t="shared" si="326"/>
        <v/>
      </c>
      <c r="AZ936" s="5" t="str">
        <f t="shared" si="327"/>
        <v/>
      </c>
      <c r="BA936" s="5" t="str">
        <f t="shared" si="328"/>
        <v/>
      </c>
      <c r="BB936" s="5" t="str">
        <f t="shared" si="329"/>
        <v/>
      </c>
    </row>
    <row r="937" spans="1:54" s="5" customFormat="1" hidden="1">
      <c r="A937" s="8" t="str">
        <f>IF(INDEX(FORM!$A:$A,ROW())="","",ROW()-1)</f>
        <v/>
      </c>
      <c r="B937" s="41" t="str">
        <f>IF($A937="","",INDEX(FORM!$A:$A,ROW()))</f>
        <v/>
      </c>
      <c r="C937" s="8" t="str">
        <f>IF($A937="","",TRIM(INDEX(FORM!$B:$B,ROW())))</f>
        <v/>
      </c>
      <c r="D937" s="8" t="str">
        <f>IF($A937="","",TRIM(INDEX(FORM!$C:$C,ROW())&amp;""))</f>
        <v/>
      </c>
      <c r="E937" s="8" t="str">
        <f>IF($A937="","",UPPER(TRIM(INDEX(FORM!$D:$D,ROW()))))</f>
        <v/>
      </c>
      <c r="F937" s="8" t="str">
        <f>IF($A937="","",IFERROR(INDEX(PROGRES!$A$2:$A$92,MATCH(E937,PROGRES!$B$2:$B$92,0)),"-"))</f>
        <v/>
      </c>
      <c r="G937" s="8" t="str">
        <f>IF($A937="","",UPPER(TRIM(INDEX(FORM!$F:$F,ROW()))))</f>
        <v/>
      </c>
      <c r="H937" s="8" t="str">
        <f>IF($A937="","",UPPER(TRIM(INDEX(FORM!$E:$E,ROW()))))</f>
        <v/>
      </c>
      <c r="I937" s="8" t="str">
        <f>IF($A937="","",UPPER(TRIM(INDEX(FORM!$G:$G,ROW()))))</f>
        <v/>
      </c>
      <c r="J937" s="8" t="str">
        <f>IF($A937="","",IF(ISNUMBER(SEARCH("Ya,",INDEX(FORM!$H:$H,ROW()))),"YA",IF(ISNUMBER(SEARCH("Cukup,",INDEX(FORM!$H:$H,ROW()))),"CUKUP",IF(ISNUMBER(SEARCH("Kurang,",INDEX(FORM!$H:$H,ROW()))),"KURANG",""))))</f>
        <v/>
      </c>
      <c r="K937" s="8" t="str">
        <f>IF($A937="","",UPPER(TRIM(INDEX(FORM!$J:$J,ROW()))))</f>
        <v/>
      </c>
      <c r="L937" s="8" t="str">
        <f>IF($A937="","",IF(ISNUMBER(SEARCH("Aktivitas Harian",INDEX(FORM!$K:$K,ROW()))),1,0))</f>
        <v/>
      </c>
      <c r="M937" s="8" t="str">
        <f>IF($A937="","",IF(ISNUMBER(SEARCH("Aktivitas Mingguan",INDEX(FORM!$K:$K,ROW()))),1,0))</f>
        <v/>
      </c>
      <c r="N937" s="8" t="str">
        <f>IF($A937="","",IF(ISNUMBER(SEARCH("Aktivitas Bulanan",INDEX(FORM!$K:$K,ROW()))),1,0))</f>
        <v/>
      </c>
      <c r="O937" s="8" t="str">
        <f>IF($A937="","",IF(ISNUMBER(SEARCH("Overview Cabang",INDEX(FORM!$K:$K,ROW()))),1,0))</f>
        <v/>
      </c>
      <c r="P937" s="8" t="str">
        <f>IF($A937="","",IFERROR(VLOOKUP(I937,DATA!$AH$9:$AI$13,2,0),""))</f>
        <v/>
      </c>
      <c r="Q937" s="8" t="str">
        <f>IF($A937="","",IFERROR(VLOOKUP(J937,DATA!$AH$9:$AI$13,2,0),""))</f>
        <v/>
      </c>
      <c r="R937" s="8" t="str">
        <f>IF($A937="","",IFERROR(VLOOKUP(K937,DATA!$AH$9:$AI$13,2,0),""))</f>
        <v/>
      </c>
      <c r="S937" s="42" t="str">
        <f t="shared" si="308"/>
        <v/>
      </c>
      <c r="T937" s="8" t="str">
        <f>IF($A937="","",IF(COUNTIF($D$2:D937,D937)=1,1,0))</f>
        <v/>
      </c>
      <c r="U937" s="8" t="str">
        <f>IF($A937="","",IF(F937="-","Cabang tdk ada",IF(IFERROR(VLOOKUP(G937,#REF!,1,0),"")="","",IF(INDEX(DATA!$AH$2:$AH$5,MATCH(G937,DATA!$AI$2:$AI$5,0))&lt;&gt;F937,"Wilayah beda","OK"))))</f>
        <v/>
      </c>
      <c r="V937" s="8" t="str">
        <f>IF($A937="","",TRIM(INDEX(FORM!$I:$I,ROW())&amp;""))</f>
        <v/>
      </c>
      <c r="W937" s="8" t="str">
        <f>IF($A937="","",TRIM(INDEX(FORM!$L:$L,ROW())&amp;""))</f>
        <v/>
      </c>
      <c r="X937" s="8" t="str">
        <f>IF($A937="","",TRIM(INDEX(FORM!$M:$M,ROW())&amp;""))</f>
        <v/>
      </c>
      <c r="Y937" s="8" t="str">
        <f>IF($A937="","",IFERROR(MATCH(F937,DATA!$AH$2:$AH$5,0),9)*10000+A937)</f>
        <v/>
      </c>
      <c r="Z937" s="8" t="str">
        <f t="shared" si="309"/>
        <v/>
      </c>
      <c r="AA937" s="8" t="str">
        <f t="shared" si="310"/>
        <v/>
      </c>
      <c r="AB937" s="8" t="str">
        <f t="shared" si="311"/>
        <v/>
      </c>
      <c r="AC937" s="8"/>
      <c r="AD937" s="8"/>
      <c r="AE937" s="8"/>
      <c r="AK937" s="5" t="str">
        <f t="shared" si="312"/>
        <v/>
      </c>
      <c r="AL937" s="5" t="str">
        <f t="shared" si="313"/>
        <v/>
      </c>
      <c r="AM937" s="5" t="str">
        <f t="shared" si="314"/>
        <v/>
      </c>
      <c r="AN937" s="5" t="str">
        <f t="shared" si="315"/>
        <v/>
      </c>
      <c r="AO937" s="5" t="str">
        <f t="shared" si="316"/>
        <v/>
      </c>
      <c r="AP937" s="5" t="str">
        <f t="shared" si="317"/>
        <v/>
      </c>
      <c r="AQ937" s="5" t="str">
        <f t="shared" si="318"/>
        <v/>
      </c>
      <c r="AR937" s="5" t="str">
        <f t="shared" si="319"/>
        <v/>
      </c>
      <c r="AS937" s="5" t="str">
        <f t="shared" si="320"/>
        <v/>
      </c>
      <c r="AT937" s="5" t="str">
        <f t="shared" si="321"/>
        <v/>
      </c>
      <c r="AU937" s="5" t="str">
        <f t="shared" si="322"/>
        <v/>
      </c>
      <c r="AV937" s="5" t="str">
        <f t="shared" si="323"/>
        <v/>
      </c>
      <c r="AW937" s="5" t="str">
        <f t="shared" si="324"/>
        <v/>
      </c>
      <c r="AX937" s="5" t="str">
        <f t="shared" si="325"/>
        <v/>
      </c>
      <c r="AY937" s="5" t="str">
        <f t="shared" si="326"/>
        <v/>
      </c>
      <c r="AZ937" s="5" t="str">
        <f t="shared" si="327"/>
        <v/>
      </c>
      <c r="BA937" s="5" t="str">
        <f t="shared" si="328"/>
        <v/>
      </c>
      <c r="BB937" s="5" t="str">
        <f t="shared" si="329"/>
        <v/>
      </c>
    </row>
    <row r="938" spans="1:54" s="5" customFormat="1" hidden="1">
      <c r="A938" s="8" t="str">
        <f>IF(INDEX(FORM!$A:$A,ROW())="","",ROW()-1)</f>
        <v/>
      </c>
      <c r="B938" s="41" t="str">
        <f>IF($A938="","",INDEX(FORM!$A:$A,ROW()))</f>
        <v/>
      </c>
      <c r="C938" s="8" t="str">
        <f>IF($A938="","",TRIM(INDEX(FORM!$B:$B,ROW())))</f>
        <v/>
      </c>
      <c r="D938" s="8" t="str">
        <f>IF($A938="","",TRIM(INDEX(FORM!$C:$C,ROW())&amp;""))</f>
        <v/>
      </c>
      <c r="E938" s="8" t="str">
        <f>IF($A938="","",UPPER(TRIM(INDEX(FORM!$D:$D,ROW()))))</f>
        <v/>
      </c>
      <c r="F938" s="8" t="str">
        <f>IF($A938="","",IFERROR(INDEX(PROGRES!$A$2:$A$92,MATCH(E938,PROGRES!$B$2:$B$92,0)),"-"))</f>
        <v/>
      </c>
      <c r="G938" s="8" t="str">
        <f>IF($A938="","",UPPER(TRIM(INDEX(FORM!$F:$F,ROW()))))</f>
        <v/>
      </c>
      <c r="H938" s="8" t="str">
        <f>IF($A938="","",UPPER(TRIM(INDEX(FORM!$E:$E,ROW()))))</f>
        <v/>
      </c>
      <c r="I938" s="8" t="str">
        <f>IF($A938="","",UPPER(TRIM(INDEX(FORM!$G:$G,ROW()))))</f>
        <v/>
      </c>
      <c r="J938" s="8" t="str">
        <f>IF($A938="","",IF(ISNUMBER(SEARCH("Ya,",INDEX(FORM!$H:$H,ROW()))),"YA",IF(ISNUMBER(SEARCH("Cukup,",INDEX(FORM!$H:$H,ROW()))),"CUKUP",IF(ISNUMBER(SEARCH("Kurang,",INDEX(FORM!$H:$H,ROW()))),"KURANG",""))))</f>
        <v/>
      </c>
      <c r="K938" s="8" t="str">
        <f>IF($A938="","",UPPER(TRIM(INDEX(FORM!$J:$J,ROW()))))</f>
        <v/>
      </c>
      <c r="L938" s="8" t="str">
        <f>IF($A938="","",IF(ISNUMBER(SEARCH("Aktivitas Harian",INDEX(FORM!$K:$K,ROW()))),1,0))</f>
        <v/>
      </c>
      <c r="M938" s="8" t="str">
        <f>IF($A938="","",IF(ISNUMBER(SEARCH("Aktivitas Mingguan",INDEX(FORM!$K:$K,ROW()))),1,0))</f>
        <v/>
      </c>
      <c r="N938" s="8" t="str">
        <f>IF($A938="","",IF(ISNUMBER(SEARCH("Aktivitas Bulanan",INDEX(FORM!$K:$K,ROW()))),1,0))</f>
        <v/>
      </c>
      <c r="O938" s="8" t="str">
        <f>IF($A938="","",IF(ISNUMBER(SEARCH("Overview Cabang",INDEX(FORM!$K:$K,ROW()))),1,0))</f>
        <v/>
      </c>
      <c r="P938" s="8" t="str">
        <f>IF($A938="","",IFERROR(VLOOKUP(I938,DATA!$AH$9:$AI$13,2,0),""))</f>
        <v/>
      </c>
      <c r="Q938" s="8" t="str">
        <f>IF($A938="","",IFERROR(VLOOKUP(J938,DATA!$AH$9:$AI$13,2,0),""))</f>
        <v/>
      </c>
      <c r="R938" s="8" t="str">
        <f>IF($A938="","",IFERROR(VLOOKUP(K938,DATA!$AH$9:$AI$13,2,0),""))</f>
        <v/>
      </c>
      <c r="S938" s="42" t="str">
        <f t="shared" si="308"/>
        <v/>
      </c>
      <c r="T938" s="8" t="str">
        <f>IF($A938="","",IF(COUNTIF($D$2:D938,D938)=1,1,0))</f>
        <v/>
      </c>
      <c r="U938" s="8" t="str">
        <f>IF($A938="","",IF(F938="-","Cabang tdk ada",IF(IFERROR(VLOOKUP(G938,#REF!,1,0),"")="","",IF(INDEX(DATA!$AH$2:$AH$5,MATCH(G938,DATA!$AI$2:$AI$5,0))&lt;&gt;F938,"Wilayah beda","OK"))))</f>
        <v/>
      </c>
      <c r="V938" s="8" t="str">
        <f>IF($A938="","",TRIM(INDEX(FORM!$I:$I,ROW())&amp;""))</f>
        <v/>
      </c>
      <c r="W938" s="8" t="str">
        <f>IF($A938="","",TRIM(INDEX(FORM!$L:$L,ROW())&amp;""))</f>
        <v/>
      </c>
      <c r="X938" s="8" t="str">
        <f>IF($A938="","",TRIM(INDEX(FORM!$M:$M,ROW())&amp;""))</f>
        <v/>
      </c>
      <c r="Y938" s="8" t="str">
        <f>IF($A938="","",IFERROR(MATCH(F938,DATA!$AH$2:$AH$5,0),9)*10000+A938)</f>
        <v/>
      </c>
      <c r="Z938" s="8" t="str">
        <f t="shared" si="309"/>
        <v/>
      </c>
      <c r="AA938" s="8" t="str">
        <f t="shared" si="310"/>
        <v/>
      </c>
      <c r="AB938" s="8" t="str">
        <f t="shared" si="311"/>
        <v/>
      </c>
      <c r="AC938" s="8"/>
      <c r="AD938" s="8"/>
      <c r="AE938" s="8"/>
      <c r="AK938" s="5" t="str">
        <f t="shared" si="312"/>
        <v/>
      </c>
      <c r="AL938" s="5" t="str">
        <f t="shared" si="313"/>
        <v/>
      </c>
      <c r="AM938" s="5" t="str">
        <f t="shared" si="314"/>
        <v/>
      </c>
      <c r="AN938" s="5" t="str">
        <f t="shared" si="315"/>
        <v/>
      </c>
      <c r="AO938" s="5" t="str">
        <f t="shared" si="316"/>
        <v/>
      </c>
      <c r="AP938" s="5" t="str">
        <f t="shared" si="317"/>
        <v/>
      </c>
      <c r="AQ938" s="5" t="str">
        <f t="shared" si="318"/>
        <v/>
      </c>
      <c r="AR938" s="5" t="str">
        <f t="shared" si="319"/>
        <v/>
      </c>
      <c r="AS938" s="5" t="str">
        <f t="shared" si="320"/>
        <v/>
      </c>
      <c r="AT938" s="5" t="str">
        <f t="shared" si="321"/>
        <v/>
      </c>
      <c r="AU938" s="5" t="str">
        <f t="shared" si="322"/>
        <v/>
      </c>
      <c r="AV938" s="5" t="str">
        <f t="shared" si="323"/>
        <v/>
      </c>
      <c r="AW938" s="5" t="str">
        <f t="shared" si="324"/>
        <v/>
      </c>
      <c r="AX938" s="5" t="str">
        <f t="shared" si="325"/>
        <v/>
      </c>
      <c r="AY938" s="5" t="str">
        <f t="shared" si="326"/>
        <v/>
      </c>
      <c r="AZ938" s="5" t="str">
        <f t="shared" si="327"/>
        <v/>
      </c>
      <c r="BA938" s="5" t="str">
        <f t="shared" si="328"/>
        <v/>
      </c>
      <c r="BB938" s="5" t="str">
        <f t="shared" si="329"/>
        <v/>
      </c>
    </row>
    <row r="939" spans="1:54" s="5" customFormat="1" hidden="1">
      <c r="A939" s="8" t="str">
        <f>IF(INDEX(FORM!$A:$A,ROW())="","",ROW()-1)</f>
        <v/>
      </c>
      <c r="B939" s="41" t="str">
        <f>IF($A939="","",INDEX(FORM!$A:$A,ROW()))</f>
        <v/>
      </c>
      <c r="C939" s="8" t="str">
        <f>IF($A939="","",TRIM(INDEX(FORM!$B:$B,ROW())))</f>
        <v/>
      </c>
      <c r="D939" s="8" t="str">
        <f>IF($A939="","",TRIM(INDEX(FORM!$C:$C,ROW())&amp;""))</f>
        <v/>
      </c>
      <c r="E939" s="8" t="str">
        <f>IF($A939="","",UPPER(TRIM(INDEX(FORM!$D:$D,ROW()))))</f>
        <v/>
      </c>
      <c r="F939" s="8" t="str">
        <f>IF($A939="","",IFERROR(INDEX(PROGRES!$A$2:$A$92,MATCH(E939,PROGRES!$B$2:$B$92,0)),"-"))</f>
        <v/>
      </c>
      <c r="G939" s="8" t="str">
        <f>IF($A939="","",UPPER(TRIM(INDEX(FORM!$F:$F,ROW()))))</f>
        <v/>
      </c>
      <c r="H939" s="8" t="str">
        <f>IF($A939="","",UPPER(TRIM(INDEX(FORM!$E:$E,ROW()))))</f>
        <v/>
      </c>
      <c r="I939" s="8" t="str">
        <f>IF($A939="","",UPPER(TRIM(INDEX(FORM!$G:$G,ROW()))))</f>
        <v/>
      </c>
      <c r="J939" s="8" t="str">
        <f>IF($A939="","",IF(ISNUMBER(SEARCH("Ya,",INDEX(FORM!$H:$H,ROW()))),"YA",IF(ISNUMBER(SEARCH("Cukup,",INDEX(FORM!$H:$H,ROW()))),"CUKUP",IF(ISNUMBER(SEARCH("Kurang,",INDEX(FORM!$H:$H,ROW()))),"KURANG",""))))</f>
        <v/>
      </c>
      <c r="K939" s="8" t="str">
        <f>IF($A939="","",UPPER(TRIM(INDEX(FORM!$J:$J,ROW()))))</f>
        <v/>
      </c>
      <c r="L939" s="8" t="str">
        <f>IF($A939="","",IF(ISNUMBER(SEARCH("Aktivitas Harian",INDEX(FORM!$K:$K,ROW()))),1,0))</f>
        <v/>
      </c>
      <c r="M939" s="8" t="str">
        <f>IF($A939="","",IF(ISNUMBER(SEARCH("Aktivitas Mingguan",INDEX(FORM!$K:$K,ROW()))),1,0))</f>
        <v/>
      </c>
      <c r="N939" s="8" t="str">
        <f>IF($A939="","",IF(ISNUMBER(SEARCH("Aktivitas Bulanan",INDEX(FORM!$K:$K,ROW()))),1,0))</f>
        <v/>
      </c>
      <c r="O939" s="8" t="str">
        <f>IF($A939="","",IF(ISNUMBER(SEARCH("Overview Cabang",INDEX(FORM!$K:$K,ROW()))),1,0))</f>
        <v/>
      </c>
      <c r="P939" s="8" t="str">
        <f>IF($A939="","",IFERROR(VLOOKUP(I939,DATA!$AH$9:$AI$13,2,0),""))</f>
        <v/>
      </c>
      <c r="Q939" s="8" t="str">
        <f>IF($A939="","",IFERROR(VLOOKUP(J939,DATA!$AH$9:$AI$13,2,0),""))</f>
        <v/>
      </c>
      <c r="R939" s="8" t="str">
        <f>IF($A939="","",IFERROR(VLOOKUP(K939,DATA!$AH$9:$AI$13,2,0),""))</f>
        <v/>
      </c>
      <c r="S939" s="42" t="str">
        <f t="shared" si="308"/>
        <v/>
      </c>
      <c r="T939" s="8" t="str">
        <f>IF($A939="","",IF(COUNTIF($D$2:D939,D939)=1,1,0))</f>
        <v/>
      </c>
      <c r="U939" s="8" t="str">
        <f>IF($A939="","",IF(F939="-","Cabang tdk ada",IF(IFERROR(VLOOKUP(G939,#REF!,1,0),"")="","",IF(INDEX(DATA!$AH$2:$AH$5,MATCH(G939,DATA!$AI$2:$AI$5,0))&lt;&gt;F939,"Wilayah beda","OK"))))</f>
        <v/>
      </c>
      <c r="V939" s="8" t="str">
        <f>IF($A939="","",TRIM(INDEX(FORM!$I:$I,ROW())&amp;""))</f>
        <v/>
      </c>
      <c r="W939" s="8" t="str">
        <f>IF($A939="","",TRIM(INDEX(FORM!$L:$L,ROW())&amp;""))</f>
        <v/>
      </c>
      <c r="X939" s="8" t="str">
        <f>IF($A939="","",TRIM(INDEX(FORM!$M:$M,ROW())&amp;""))</f>
        <v/>
      </c>
      <c r="Y939" s="8" t="str">
        <f>IF($A939="","",IFERROR(MATCH(F939,DATA!$AH$2:$AH$5,0),9)*10000+A939)</f>
        <v/>
      </c>
      <c r="Z939" s="8" t="str">
        <f t="shared" si="309"/>
        <v/>
      </c>
      <c r="AA939" s="8" t="str">
        <f t="shared" si="310"/>
        <v/>
      </c>
      <c r="AB939" s="8" t="str">
        <f t="shared" si="311"/>
        <v/>
      </c>
      <c r="AC939" s="8"/>
      <c r="AD939" s="8"/>
      <c r="AE939" s="8"/>
      <c r="AK939" s="5" t="str">
        <f t="shared" si="312"/>
        <v/>
      </c>
      <c r="AL939" s="5" t="str">
        <f t="shared" si="313"/>
        <v/>
      </c>
      <c r="AM939" s="5" t="str">
        <f t="shared" si="314"/>
        <v/>
      </c>
      <c r="AN939" s="5" t="str">
        <f t="shared" si="315"/>
        <v/>
      </c>
      <c r="AO939" s="5" t="str">
        <f t="shared" si="316"/>
        <v/>
      </c>
      <c r="AP939" s="5" t="str">
        <f t="shared" si="317"/>
        <v/>
      </c>
      <c r="AQ939" s="5" t="str">
        <f t="shared" si="318"/>
        <v/>
      </c>
      <c r="AR939" s="5" t="str">
        <f t="shared" si="319"/>
        <v/>
      </c>
      <c r="AS939" s="5" t="str">
        <f t="shared" si="320"/>
        <v/>
      </c>
      <c r="AT939" s="5" t="str">
        <f t="shared" si="321"/>
        <v/>
      </c>
      <c r="AU939" s="5" t="str">
        <f t="shared" si="322"/>
        <v/>
      </c>
      <c r="AV939" s="5" t="str">
        <f t="shared" si="323"/>
        <v/>
      </c>
      <c r="AW939" s="5" t="str">
        <f t="shared" si="324"/>
        <v/>
      </c>
      <c r="AX939" s="5" t="str">
        <f t="shared" si="325"/>
        <v/>
      </c>
      <c r="AY939" s="5" t="str">
        <f t="shared" si="326"/>
        <v/>
      </c>
      <c r="AZ939" s="5" t="str">
        <f t="shared" si="327"/>
        <v/>
      </c>
      <c r="BA939" s="5" t="str">
        <f t="shared" si="328"/>
        <v/>
      </c>
      <c r="BB939" s="5" t="str">
        <f t="shared" si="329"/>
        <v/>
      </c>
    </row>
    <row r="940" spans="1:54" s="5" customFormat="1" hidden="1">
      <c r="A940" s="8" t="str">
        <f>IF(INDEX(FORM!$A:$A,ROW())="","",ROW()-1)</f>
        <v/>
      </c>
      <c r="B940" s="41" t="str">
        <f>IF($A940="","",INDEX(FORM!$A:$A,ROW()))</f>
        <v/>
      </c>
      <c r="C940" s="8" t="str">
        <f>IF($A940="","",TRIM(INDEX(FORM!$B:$B,ROW())))</f>
        <v/>
      </c>
      <c r="D940" s="8" t="str">
        <f>IF($A940="","",TRIM(INDEX(FORM!$C:$C,ROW())&amp;""))</f>
        <v/>
      </c>
      <c r="E940" s="8" t="str">
        <f>IF($A940="","",UPPER(TRIM(INDEX(FORM!$D:$D,ROW()))))</f>
        <v/>
      </c>
      <c r="F940" s="8" t="str">
        <f>IF($A940="","",IFERROR(INDEX(PROGRES!$A$2:$A$92,MATCH(E940,PROGRES!$B$2:$B$92,0)),"-"))</f>
        <v/>
      </c>
      <c r="G940" s="8" t="str">
        <f>IF($A940="","",UPPER(TRIM(INDEX(FORM!$F:$F,ROW()))))</f>
        <v/>
      </c>
      <c r="H940" s="8" t="str">
        <f>IF($A940="","",UPPER(TRIM(INDEX(FORM!$E:$E,ROW()))))</f>
        <v/>
      </c>
      <c r="I940" s="8" t="str">
        <f>IF($A940="","",UPPER(TRIM(INDEX(FORM!$G:$G,ROW()))))</f>
        <v/>
      </c>
      <c r="J940" s="8" t="str">
        <f>IF($A940="","",IF(ISNUMBER(SEARCH("Ya,",INDEX(FORM!$H:$H,ROW()))),"YA",IF(ISNUMBER(SEARCH("Cukup,",INDEX(FORM!$H:$H,ROW()))),"CUKUP",IF(ISNUMBER(SEARCH("Kurang,",INDEX(FORM!$H:$H,ROW()))),"KURANG",""))))</f>
        <v/>
      </c>
      <c r="K940" s="8" t="str">
        <f>IF($A940="","",UPPER(TRIM(INDEX(FORM!$J:$J,ROW()))))</f>
        <v/>
      </c>
      <c r="L940" s="8" t="str">
        <f>IF($A940="","",IF(ISNUMBER(SEARCH("Aktivitas Harian",INDEX(FORM!$K:$K,ROW()))),1,0))</f>
        <v/>
      </c>
      <c r="M940" s="8" t="str">
        <f>IF($A940="","",IF(ISNUMBER(SEARCH("Aktivitas Mingguan",INDEX(FORM!$K:$K,ROW()))),1,0))</f>
        <v/>
      </c>
      <c r="N940" s="8" t="str">
        <f>IF($A940="","",IF(ISNUMBER(SEARCH("Aktivitas Bulanan",INDEX(FORM!$K:$K,ROW()))),1,0))</f>
        <v/>
      </c>
      <c r="O940" s="8" t="str">
        <f>IF($A940="","",IF(ISNUMBER(SEARCH("Overview Cabang",INDEX(FORM!$K:$K,ROW()))),1,0))</f>
        <v/>
      </c>
      <c r="P940" s="8" t="str">
        <f>IF($A940="","",IFERROR(VLOOKUP(I940,DATA!$AH$9:$AI$13,2,0),""))</f>
        <v/>
      </c>
      <c r="Q940" s="8" t="str">
        <f>IF($A940="","",IFERROR(VLOOKUP(J940,DATA!$AH$9:$AI$13,2,0),""))</f>
        <v/>
      </c>
      <c r="R940" s="8" t="str">
        <f>IF($A940="","",IFERROR(VLOOKUP(K940,DATA!$AH$9:$AI$13,2,0),""))</f>
        <v/>
      </c>
      <c r="S940" s="42" t="str">
        <f t="shared" si="308"/>
        <v/>
      </c>
      <c r="T940" s="8" t="str">
        <f>IF($A940="","",IF(COUNTIF($D$2:D940,D940)=1,1,0))</f>
        <v/>
      </c>
      <c r="U940" s="8" t="str">
        <f>IF($A940="","",IF(F940="-","Cabang tdk ada",IF(IFERROR(VLOOKUP(G940,#REF!,1,0),"")="","",IF(INDEX(DATA!$AH$2:$AH$5,MATCH(G940,DATA!$AI$2:$AI$5,0))&lt;&gt;F940,"Wilayah beda","OK"))))</f>
        <v/>
      </c>
      <c r="V940" s="8" t="str">
        <f>IF($A940="","",TRIM(INDEX(FORM!$I:$I,ROW())&amp;""))</f>
        <v/>
      </c>
      <c r="W940" s="8" t="str">
        <f>IF($A940="","",TRIM(INDEX(FORM!$L:$L,ROW())&amp;""))</f>
        <v/>
      </c>
      <c r="X940" s="8" t="str">
        <f>IF($A940="","",TRIM(INDEX(FORM!$M:$M,ROW())&amp;""))</f>
        <v/>
      </c>
      <c r="Y940" s="8" t="str">
        <f>IF($A940="","",IFERROR(MATCH(F940,DATA!$AH$2:$AH$5,0),9)*10000+A940)</f>
        <v/>
      </c>
      <c r="Z940" s="8" t="str">
        <f t="shared" si="309"/>
        <v/>
      </c>
      <c r="AA940" s="8" t="str">
        <f t="shared" si="310"/>
        <v/>
      </c>
      <c r="AB940" s="8" t="str">
        <f t="shared" si="311"/>
        <v/>
      </c>
      <c r="AC940" s="8"/>
      <c r="AD940" s="8"/>
      <c r="AE940" s="8"/>
      <c r="AK940" s="5" t="str">
        <f t="shared" si="312"/>
        <v/>
      </c>
      <c r="AL940" s="5" t="str">
        <f t="shared" si="313"/>
        <v/>
      </c>
      <c r="AM940" s="5" t="str">
        <f t="shared" si="314"/>
        <v/>
      </c>
      <c r="AN940" s="5" t="str">
        <f t="shared" si="315"/>
        <v/>
      </c>
      <c r="AO940" s="5" t="str">
        <f t="shared" si="316"/>
        <v/>
      </c>
      <c r="AP940" s="5" t="str">
        <f t="shared" si="317"/>
        <v/>
      </c>
      <c r="AQ940" s="5" t="str">
        <f t="shared" si="318"/>
        <v/>
      </c>
      <c r="AR940" s="5" t="str">
        <f t="shared" si="319"/>
        <v/>
      </c>
      <c r="AS940" s="5" t="str">
        <f t="shared" si="320"/>
        <v/>
      </c>
      <c r="AT940" s="5" t="str">
        <f t="shared" si="321"/>
        <v/>
      </c>
      <c r="AU940" s="5" t="str">
        <f t="shared" si="322"/>
        <v/>
      </c>
      <c r="AV940" s="5" t="str">
        <f t="shared" si="323"/>
        <v/>
      </c>
      <c r="AW940" s="5" t="str">
        <f t="shared" si="324"/>
        <v/>
      </c>
      <c r="AX940" s="5" t="str">
        <f t="shared" si="325"/>
        <v/>
      </c>
      <c r="AY940" s="5" t="str">
        <f t="shared" si="326"/>
        <v/>
      </c>
      <c r="AZ940" s="5" t="str">
        <f t="shared" si="327"/>
        <v/>
      </c>
      <c r="BA940" s="5" t="str">
        <f t="shared" si="328"/>
        <v/>
      </c>
      <c r="BB940" s="5" t="str">
        <f t="shared" si="329"/>
        <v/>
      </c>
    </row>
    <row r="941" spans="1:54" s="5" customFormat="1" hidden="1">
      <c r="A941" s="8" t="str">
        <f>IF(INDEX(FORM!$A:$A,ROW())="","",ROW()-1)</f>
        <v/>
      </c>
      <c r="B941" s="41" t="str">
        <f>IF($A941="","",INDEX(FORM!$A:$A,ROW()))</f>
        <v/>
      </c>
      <c r="C941" s="8" t="str">
        <f>IF($A941="","",TRIM(INDEX(FORM!$B:$B,ROW())))</f>
        <v/>
      </c>
      <c r="D941" s="8" t="str">
        <f>IF($A941="","",TRIM(INDEX(FORM!$C:$C,ROW())&amp;""))</f>
        <v/>
      </c>
      <c r="E941" s="8" t="str">
        <f>IF($A941="","",UPPER(TRIM(INDEX(FORM!$D:$D,ROW()))))</f>
        <v/>
      </c>
      <c r="F941" s="8" t="str">
        <f>IF($A941="","",IFERROR(INDEX(PROGRES!$A$2:$A$92,MATCH(E941,PROGRES!$B$2:$B$92,0)),"-"))</f>
        <v/>
      </c>
      <c r="G941" s="8" t="str">
        <f>IF($A941="","",UPPER(TRIM(INDEX(FORM!$F:$F,ROW()))))</f>
        <v/>
      </c>
      <c r="H941" s="8" t="str">
        <f>IF($A941="","",UPPER(TRIM(INDEX(FORM!$E:$E,ROW()))))</f>
        <v/>
      </c>
      <c r="I941" s="8" t="str">
        <f>IF($A941="","",UPPER(TRIM(INDEX(FORM!$G:$G,ROW()))))</f>
        <v/>
      </c>
      <c r="J941" s="8" t="str">
        <f>IF($A941="","",IF(ISNUMBER(SEARCH("Ya,",INDEX(FORM!$H:$H,ROW()))),"YA",IF(ISNUMBER(SEARCH("Cukup,",INDEX(FORM!$H:$H,ROW()))),"CUKUP",IF(ISNUMBER(SEARCH("Kurang,",INDEX(FORM!$H:$H,ROW()))),"KURANG",""))))</f>
        <v/>
      </c>
      <c r="K941" s="8" t="str">
        <f>IF($A941="","",UPPER(TRIM(INDEX(FORM!$J:$J,ROW()))))</f>
        <v/>
      </c>
      <c r="L941" s="8" t="str">
        <f>IF($A941="","",IF(ISNUMBER(SEARCH("Aktivitas Harian",INDEX(FORM!$K:$K,ROW()))),1,0))</f>
        <v/>
      </c>
      <c r="M941" s="8" t="str">
        <f>IF($A941="","",IF(ISNUMBER(SEARCH("Aktivitas Mingguan",INDEX(FORM!$K:$K,ROW()))),1,0))</f>
        <v/>
      </c>
      <c r="N941" s="8" t="str">
        <f>IF($A941="","",IF(ISNUMBER(SEARCH("Aktivitas Bulanan",INDEX(FORM!$K:$K,ROW()))),1,0))</f>
        <v/>
      </c>
      <c r="O941" s="8" t="str">
        <f>IF($A941="","",IF(ISNUMBER(SEARCH("Overview Cabang",INDEX(FORM!$K:$K,ROW()))),1,0))</f>
        <v/>
      </c>
      <c r="P941" s="8" t="str">
        <f>IF($A941="","",IFERROR(VLOOKUP(I941,DATA!$AH$9:$AI$13,2,0),""))</f>
        <v/>
      </c>
      <c r="Q941" s="8" t="str">
        <f>IF($A941="","",IFERROR(VLOOKUP(J941,DATA!$AH$9:$AI$13,2,0),""))</f>
        <v/>
      </c>
      <c r="R941" s="8" t="str">
        <f>IF($A941="","",IFERROR(VLOOKUP(K941,DATA!$AH$9:$AI$13,2,0),""))</f>
        <v/>
      </c>
      <c r="S941" s="42" t="str">
        <f t="shared" si="308"/>
        <v/>
      </c>
      <c r="T941" s="8" t="str">
        <f>IF($A941="","",IF(COUNTIF($D$2:D941,D941)=1,1,0))</f>
        <v/>
      </c>
      <c r="U941" s="8" t="str">
        <f>IF($A941="","",IF(F941="-","Cabang tdk ada",IF(IFERROR(VLOOKUP(G941,#REF!,1,0),"")="","",IF(INDEX(DATA!$AH$2:$AH$5,MATCH(G941,DATA!$AI$2:$AI$5,0))&lt;&gt;F941,"Wilayah beda","OK"))))</f>
        <v/>
      </c>
      <c r="V941" s="8" t="str">
        <f>IF($A941="","",TRIM(INDEX(FORM!$I:$I,ROW())&amp;""))</f>
        <v/>
      </c>
      <c r="W941" s="8" t="str">
        <f>IF($A941="","",TRIM(INDEX(FORM!$L:$L,ROW())&amp;""))</f>
        <v/>
      </c>
      <c r="X941" s="8" t="str">
        <f>IF($A941="","",TRIM(INDEX(FORM!$M:$M,ROW())&amp;""))</f>
        <v/>
      </c>
      <c r="Y941" s="8" t="str">
        <f>IF($A941="","",IFERROR(MATCH(F941,DATA!$AH$2:$AH$5,0),9)*10000+A941)</f>
        <v/>
      </c>
      <c r="Z941" s="8" t="str">
        <f t="shared" si="309"/>
        <v/>
      </c>
      <c r="AA941" s="8" t="str">
        <f t="shared" si="310"/>
        <v/>
      </c>
      <c r="AB941" s="8" t="str">
        <f t="shared" si="311"/>
        <v/>
      </c>
      <c r="AC941" s="8"/>
      <c r="AD941" s="8"/>
      <c r="AE941" s="8"/>
      <c r="AK941" s="5" t="str">
        <f t="shared" si="312"/>
        <v/>
      </c>
      <c r="AL941" s="5" t="str">
        <f t="shared" si="313"/>
        <v/>
      </c>
      <c r="AM941" s="5" t="str">
        <f t="shared" si="314"/>
        <v/>
      </c>
      <c r="AN941" s="5" t="str">
        <f t="shared" si="315"/>
        <v/>
      </c>
      <c r="AO941" s="5" t="str">
        <f t="shared" si="316"/>
        <v/>
      </c>
      <c r="AP941" s="5" t="str">
        <f t="shared" si="317"/>
        <v/>
      </c>
      <c r="AQ941" s="5" t="str">
        <f t="shared" si="318"/>
        <v/>
      </c>
      <c r="AR941" s="5" t="str">
        <f t="shared" si="319"/>
        <v/>
      </c>
      <c r="AS941" s="5" t="str">
        <f t="shared" si="320"/>
        <v/>
      </c>
      <c r="AT941" s="5" t="str">
        <f t="shared" si="321"/>
        <v/>
      </c>
      <c r="AU941" s="5" t="str">
        <f t="shared" si="322"/>
        <v/>
      </c>
      <c r="AV941" s="5" t="str">
        <f t="shared" si="323"/>
        <v/>
      </c>
      <c r="AW941" s="5" t="str">
        <f t="shared" si="324"/>
        <v/>
      </c>
      <c r="AX941" s="5" t="str">
        <f t="shared" si="325"/>
        <v/>
      </c>
      <c r="AY941" s="5" t="str">
        <f t="shared" si="326"/>
        <v/>
      </c>
      <c r="AZ941" s="5" t="str">
        <f t="shared" si="327"/>
        <v/>
      </c>
      <c r="BA941" s="5" t="str">
        <f t="shared" si="328"/>
        <v/>
      </c>
      <c r="BB941" s="5" t="str">
        <f t="shared" si="329"/>
        <v/>
      </c>
    </row>
    <row r="942" spans="1:54" s="5" customFormat="1" hidden="1">
      <c r="A942" s="8" t="str">
        <f>IF(INDEX(FORM!$A:$A,ROW())="","",ROW()-1)</f>
        <v/>
      </c>
      <c r="B942" s="41" t="str">
        <f>IF($A942="","",INDEX(FORM!$A:$A,ROW()))</f>
        <v/>
      </c>
      <c r="C942" s="8" t="str">
        <f>IF($A942="","",TRIM(INDEX(FORM!$B:$B,ROW())))</f>
        <v/>
      </c>
      <c r="D942" s="8" t="str">
        <f>IF($A942="","",TRIM(INDEX(FORM!$C:$C,ROW())&amp;""))</f>
        <v/>
      </c>
      <c r="E942" s="8" t="str">
        <f>IF($A942="","",UPPER(TRIM(INDEX(FORM!$D:$D,ROW()))))</f>
        <v/>
      </c>
      <c r="F942" s="8" t="str">
        <f>IF($A942="","",IFERROR(INDEX(PROGRES!$A$2:$A$92,MATCH(E942,PROGRES!$B$2:$B$92,0)),"-"))</f>
        <v/>
      </c>
      <c r="G942" s="8" t="str">
        <f>IF($A942="","",UPPER(TRIM(INDEX(FORM!$F:$F,ROW()))))</f>
        <v/>
      </c>
      <c r="H942" s="8" t="str">
        <f>IF($A942="","",UPPER(TRIM(INDEX(FORM!$E:$E,ROW()))))</f>
        <v/>
      </c>
      <c r="I942" s="8" t="str">
        <f>IF($A942="","",UPPER(TRIM(INDEX(FORM!$G:$G,ROW()))))</f>
        <v/>
      </c>
      <c r="J942" s="8" t="str">
        <f>IF($A942="","",IF(ISNUMBER(SEARCH("Ya,",INDEX(FORM!$H:$H,ROW()))),"YA",IF(ISNUMBER(SEARCH("Cukup,",INDEX(FORM!$H:$H,ROW()))),"CUKUP",IF(ISNUMBER(SEARCH("Kurang,",INDEX(FORM!$H:$H,ROW()))),"KURANG",""))))</f>
        <v/>
      </c>
      <c r="K942" s="8" t="str">
        <f>IF($A942="","",UPPER(TRIM(INDEX(FORM!$J:$J,ROW()))))</f>
        <v/>
      </c>
      <c r="L942" s="8" t="str">
        <f>IF($A942="","",IF(ISNUMBER(SEARCH("Aktivitas Harian",INDEX(FORM!$K:$K,ROW()))),1,0))</f>
        <v/>
      </c>
      <c r="M942" s="8" t="str">
        <f>IF($A942="","",IF(ISNUMBER(SEARCH("Aktivitas Mingguan",INDEX(FORM!$K:$K,ROW()))),1,0))</f>
        <v/>
      </c>
      <c r="N942" s="8" t="str">
        <f>IF($A942="","",IF(ISNUMBER(SEARCH("Aktivitas Bulanan",INDEX(FORM!$K:$K,ROW()))),1,0))</f>
        <v/>
      </c>
      <c r="O942" s="8" t="str">
        <f>IF($A942="","",IF(ISNUMBER(SEARCH("Overview Cabang",INDEX(FORM!$K:$K,ROW()))),1,0))</f>
        <v/>
      </c>
      <c r="P942" s="8" t="str">
        <f>IF($A942="","",IFERROR(VLOOKUP(I942,DATA!$AH$9:$AI$13,2,0),""))</f>
        <v/>
      </c>
      <c r="Q942" s="8" t="str">
        <f>IF($A942="","",IFERROR(VLOOKUP(J942,DATA!$AH$9:$AI$13,2,0),""))</f>
        <v/>
      </c>
      <c r="R942" s="8" t="str">
        <f>IF($A942="","",IFERROR(VLOOKUP(K942,DATA!$AH$9:$AI$13,2,0),""))</f>
        <v/>
      </c>
      <c r="S942" s="42" t="str">
        <f t="shared" si="308"/>
        <v/>
      </c>
      <c r="T942" s="8" t="str">
        <f>IF($A942="","",IF(COUNTIF($D$2:D942,D942)=1,1,0))</f>
        <v/>
      </c>
      <c r="U942" s="8" t="str">
        <f>IF($A942="","",IF(F942="-","Cabang tdk ada",IF(IFERROR(VLOOKUP(G942,#REF!,1,0),"")="","",IF(INDEX(DATA!$AH$2:$AH$5,MATCH(G942,DATA!$AI$2:$AI$5,0))&lt;&gt;F942,"Wilayah beda","OK"))))</f>
        <v/>
      </c>
      <c r="V942" s="8" t="str">
        <f>IF($A942="","",TRIM(INDEX(FORM!$I:$I,ROW())&amp;""))</f>
        <v/>
      </c>
      <c r="W942" s="8" t="str">
        <f>IF($A942="","",TRIM(INDEX(FORM!$L:$L,ROW())&amp;""))</f>
        <v/>
      </c>
      <c r="X942" s="8" t="str">
        <f>IF($A942="","",TRIM(INDEX(FORM!$M:$M,ROW())&amp;""))</f>
        <v/>
      </c>
      <c r="Y942" s="8" t="str">
        <f>IF($A942="","",IFERROR(MATCH(F942,DATA!$AH$2:$AH$5,0),9)*10000+A942)</f>
        <v/>
      </c>
      <c r="Z942" s="8" t="str">
        <f t="shared" si="309"/>
        <v/>
      </c>
      <c r="AA942" s="8" t="str">
        <f t="shared" si="310"/>
        <v/>
      </c>
      <c r="AB942" s="8" t="str">
        <f t="shared" si="311"/>
        <v/>
      </c>
      <c r="AC942" s="8"/>
      <c r="AD942" s="8"/>
      <c r="AE942" s="8"/>
      <c r="AK942" s="5" t="str">
        <f t="shared" si="312"/>
        <v/>
      </c>
      <c r="AL942" s="5" t="str">
        <f t="shared" si="313"/>
        <v/>
      </c>
      <c r="AM942" s="5" t="str">
        <f t="shared" si="314"/>
        <v/>
      </c>
      <c r="AN942" s="5" t="str">
        <f t="shared" si="315"/>
        <v/>
      </c>
      <c r="AO942" s="5" t="str">
        <f t="shared" si="316"/>
        <v/>
      </c>
      <c r="AP942" s="5" t="str">
        <f t="shared" si="317"/>
        <v/>
      </c>
      <c r="AQ942" s="5" t="str">
        <f t="shared" si="318"/>
        <v/>
      </c>
      <c r="AR942" s="5" t="str">
        <f t="shared" si="319"/>
        <v/>
      </c>
      <c r="AS942" s="5" t="str">
        <f t="shared" si="320"/>
        <v/>
      </c>
      <c r="AT942" s="5" t="str">
        <f t="shared" si="321"/>
        <v/>
      </c>
      <c r="AU942" s="5" t="str">
        <f t="shared" si="322"/>
        <v/>
      </c>
      <c r="AV942" s="5" t="str">
        <f t="shared" si="323"/>
        <v/>
      </c>
      <c r="AW942" s="5" t="str">
        <f t="shared" si="324"/>
        <v/>
      </c>
      <c r="AX942" s="5" t="str">
        <f t="shared" si="325"/>
        <v/>
      </c>
      <c r="AY942" s="5" t="str">
        <f t="shared" si="326"/>
        <v/>
      </c>
      <c r="AZ942" s="5" t="str">
        <f t="shared" si="327"/>
        <v/>
      </c>
      <c r="BA942" s="5" t="str">
        <f t="shared" si="328"/>
        <v/>
      </c>
      <c r="BB942" s="5" t="str">
        <f t="shared" si="329"/>
        <v/>
      </c>
    </row>
    <row r="943" spans="1:54" s="5" customFormat="1" hidden="1">
      <c r="A943" s="8" t="str">
        <f>IF(INDEX(FORM!$A:$A,ROW())="","",ROW()-1)</f>
        <v/>
      </c>
      <c r="B943" s="41" t="str">
        <f>IF($A943="","",INDEX(FORM!$A:$A,ROW()))</f>
        <v/>
      </c>
      <c r="C943" s="8" t="str">
        <f>IF($A943="","",TRIM(INDEX(FORM!$B:$B,ROW())))</f>
        <v/>
      </c>
      <c r="D943" s="8" t="str">
        <f>IF($A943="","",TRIM(INDEX(FORM!$C:$C,ROW())&amp;""))</f>
        <v/>
      </c>
      <c r="E943" s="8" t="str">
        <f>IF($A943="","",UPPER(TRIM(INDEX(FORM!$D:$D,ROW()))))</f>
        <v/>
      </c>
      <c r="F943" s="8" t="str">
        <f>IF($A943="","",IFERROR(INDEX(PROGRES!$A$2:$A$92,MATCH(E943,PROGRES!$B$2:$B$92,0)),"-"))</f>
        <v/>
      </c>
      <c r="G943" s="8" t="str">
        <f>IF($A943="","",UPPER(TRIM(INDEX(FORM!$F:$F,ROW()))))</f>
        <v/>
      </c>
      <c r="H943" s="8" t="str">
        <f>IF($A943="","",UPPER(TRIM(INDEX(FORM!$E:$E,ROW()))))</f>
        <v/>
      </c>
      <c r="I943" s="8" t="str">
        <f>IF($A943="","",UPPER(TRIM(INDEX(FORM!$G:$G,ROW()))))</f>
        <v/>
      </c>
      <c r="J943" s="8" t="str">
        <f>IF($A943="","",IF(ISNUMBER(SEARCH("Ya,",INDEX(FORM!$H:$H,ROW()))),"YA",IF(ISNUMBER(SEARCH("Cukup,",INDEX(FORM!$H:$H,ROW()))),"CUKUP",IF(ISNUMBER(SEARCH("Kurang,",INDEX(FORM!$H:$H,ROW()))),"KURANG",""))))</f>
        <v/>
      </c>
      <c r="K943" s="8" t="str">
        <f>IF($A943="","",UPPER(TRIM(INDEX(FORM!$J:$J,ROW()))))</f>
        <v/>
      </c>
      <c r="L943" s="8" t="str">
        <f>IF($A943="","",IF(ISNUMBER(SEARCH("Aktivitas Harian",INDEX(FORM!$K:$K,ROW()))),1,0))</f>
        <v/>
      </c>
      <c r="M943" s="8" t="str">
        <f>IF($A943="","",IF(ISNUMBER(SEARCH("Aktivitas Mingguan",INDEX(FORM!$K:$K,ROW()))),1,0))</f>
        <v/>
      </c>
      <c r="N943" s="8" t="str">
        <f>IF($A943="","",IF(ISNUMBER(SEARCH("Aktivitas Bulanan",INDEX(FORM!$K:$K,ROW()))),1,0))</f>
        <v/>
      </c>
      <c r="O943" s="8" t="str">
        <f>IF($A943="","",IF(ISNUMBER(SEARCH("Overview Cabang",INDEX(FORM!$K:$K,ROW()))),1,0))</f>
        <v/>
      </c>
      <c r="P943" s="8" t="str">
        <f>IF($A943="","",IFERROR(VLOOKUP(I943,DATA!$AH$9:$AI$13,2,0),""))</f>
        <v/>
      </c>
      <c r="Q943" s="8" t="str">
        <f>IF($A943="","",IFERROR(VLOOKUP(J943,DATA!$AH$9:$AI$13,2,0),""))</f>
        <v/>
      </c>
      <c r="R943" s="8" t="str">
        <f>IF($A943="","",IFERROR(VLOOKUP(K943,DATA!$AH$9:$AI$13,2,0),""))</f>
        <v/>
      </c>
      <c r="S943" s="42" t="str">
        <f t="shared" si="308"/>
        <v/>
      </c>
      <c r="T943" s="8" t="str">
        <f>IF($A943="","",IF(COUNTIF($D$2:D943,D943)=1,1,0))</f>
        <v/>
      </c>
      <c r="U943" s="8" t="str">
        <f>IF($A943="","",IF(F943="-","Cabang tdk ada",IF(IFERROR(VLOOKUP(G943,#REF!,1,0),"")="","",IF(INDEX(DATA!$AH$2:$AH$5,MATCH(G943,DATA!$AI$2:$AI$5,0))&lt;&gt;F943,"Wilayah beda","OK"))))</f>
        <v/>
      </c>
      <c r="V943" s="8" t="str">
        <f>IF($A943="","",TRIM(INDEX(FORM!$I:$I,ROW())&amp;""))</f>
        <v/>
      </c>
      <c r="W943" s="8" t="str">
        <f>IF($A943="","",TRIM(INDEX(FORM!$L:$L,ROW())&amp;""))</f>
        <v/>
      </c>
      <c r="X943" s="8" t="str">
        <f>IF($A943="","",TRIM(INDEX(FORM!$M:$M,ROW())&amp;""))</f>
        <v/>
      </c>
      <c r="Y943" s="8" t="str">
        <f>IF($A943="","",IFERROR(MATCH(F943,DATA!$AH$2:$AH$5,0),9)*10000+A943)</f>
        <v/>
      </c>
      <c r="Z943" s="8" t="str">
        <f t="shared" si="309"/>
        <v/>
      </c>
      <c r="AA943" s="8" t="str">
        <f t="shared" si="310"/>
        <v/>
      </c>
      <c r="AB943" s="8" t="str">
        <f t="shared" si="311"/>
        <v/>
      </c>
      <c r="AC943" s="8"/>
      <c r="AD943" s="8"/>
      <c r="AE943" s="8"/>
      <c r="AK943" s="5" t="str">
        <f t="shared" si="312"/>
        <v/>
      </c>
      <c r="AL943" s="5" t="str">
        <f t="shared" si="313"/>
        <v/>
      </c>
      <c r="AM943" s="5" t="str">
        <f t="shared" si="314"/>
        <v/>
      </c>
      <c r="AN943" s="5" t="str">
        <f t="shared" si="315"/>
        <v/>
      </c>
      <c r="AO943" s="5" t="str">
        <f t="shared" si="316"/>
        <v/>
      </c>
      <c r="AP943" s="5" t="str">
        <f t="shared" si="317"/>
        <v/>
      </c>
      <c r="AQ943" s="5" t="str">
        <f t="shared" si="318"/>
        <v/>
      </c>
      <c r="AR943" s="5" t="str">
        <f t="shared" si="319"/>
        <v/>
      </c>
      <c r="AS943" s="5" t="str">
        <f t="shared" si="320"/>
        <v/>
      </c>
      <c r="AT943" s="5" t="str">
        <f t="shared" si="321"/>
        <v/>
      </c>
      <c r="AU943" s="5" t="str">
        <f t="shared" si="322"/>
        <v/>
      </c>
      <c r="AV943" s="5" t="str">
        <f t="shared" si="323"/>
        <v/>
      </c>
      <c r="AW943" s="5" t="str">
        <f t="shared" si="324"/>
        <v/>
      </c>
      <c r="AX943" s="5" t="str">
        <f t="shared" si="325"/>
        <v/>
      </c>
      <c r="AY943" s="5" t="str">
        <f t="shared" si="326"/>
        <v/>
      </c>
      <c r="AZ943" s="5" t="str">
        <f t="shared" si="327"/>
        <v/>
      </c>
      <c r="BA943" s="5" t="str">
        <f t="shared" si="328"/>
        <v/>
      </c>
      <c r="BB943" s="5" t="str">
        <f t="shared" si="329"/>
        <v/>
      </c>
    </row>
    <row r="944" spans="1:54" s="5" customFormat="1" hidden="1">
      <c r="A944" s="8" t="str">
        <f>IF(INDEX(FORM!$A:$A,ROW())="","",ROW()-1)</f>
        <v/>
      </c>
      <c r="B944" s="41" t="str">
        <f>IF($A944="","",INDEX(FORM!$A:$A,ROW()))</f>
        <v/>
      </c>
      <c r="C944" s="8" t="str">
        <f>IF($A944="","",TRIM(INDEX(FORM!$B:$B,ROW())))</f>
        <v/>
      </c>
      <c r="D944" s="8" t="str">
        <f>IF($A944="","",TRIM(INDEX(FORM!$C:$C,ROW())&amp;""))</f>
        <v/>
      </c>
      <c r="E944" s="8" t="str">
        <f>IF($A944="","",UPPER(TRIM(INDEX(FORM!$D:$D,ROW()))))</f>
        <v/>
      </c>
      <c r="F944" s="8" t="str">
        <f>IF($A944="","",IFERROR(INDEX(PROGRES!$A$2:$A$92,MATCH(E944,PROGRES!$B$2:$B$92,0)),"-"))</f>
        <v/>
      </c>
      <c r="G944" s="8" t="str">
        <f>IF($A944="","",UPPER(TRIM(INDEX(FORM!$F:$F,ROW()))))</f>
        <v/>
      </c>
      <c r="H944" s="8" t="str">
        <f>IF($A944="","",UPPER(TRIM(INDEX(FORM!$E:$E,ROW()))))</f>
        <v/>
      </c>
      <c r="I944" s="8" t="str">
        <f>IF($A944="","",UPPER(TRIM(INDEX(FORM!$G:$G,ROW()))))</f>
        <v/>
      </c>
      <c r="J944" s="8" t="str">
        <f>IF($A944="","",IF(ISNUMBER(SEARCH("Ya,",INDEX(FORM!$H:$H,ROW()))),"YA",IF(ISNUMBER(SEARCH("Cukup,",INDEX(FORM!$H:$H,ROW()))),"CUKUP",IF(ISNUMBER(SEARCH("Kurang,",INDEX(FORM!$H:$H,ROW()))),"KURANG",""))))</f>
        <v/>
      </c>
      <c r="K944" s="8" t="str">
        <f>IF($A944="","",UPPER(TRIM(INDEX(FORM!$J:$J,ROW()))))</f>
        <v/>
      </c>
      <c r="L944" s="8" t="str">
        <f>IF($A944="","",IF(ISNUMBER(SEARCH("Aktivitas Harian",INDEX(FORM!$K:$K,ROW()))),1,0))</f>
        <v/>
      </c>
      <c r="M944" s="8" t="str">
        <f>IF($A944="","",IF(ISNUMBER(SEARCH("Aktivitas Mingguan",INDEX(FORM!$K:$K,ROW()))),1,0))</f>
        <v/>
      </c>
      <c r="N944" s="8" t="str">
        <f>IF($A944="","",IF(ISNUMBER(SEARCH("Aktivitas Bulanan",INDEX(FORM!$K:$K,ROW()))),1,0))</f>
        <v/>
      </c>
      <c r="O944" s="8" t="str">
        <f>IF($A944="","",IF(ISNUMBER(SEARCH("Overview Cabang",INDEX(FORM!$K:$K,ROW()))),1,0))</f>
        <v/>
      </c>
      <c r="P944" s="8" t="str">
        <f>IF($A944="","",IFERROR(VLOOKUP(I944,DATA!$AH$9:$AI$13,2,0),""))</f>
        <v/>
      </c>
      <c r="Q944" s="8" t="str">
        <f>IF($A944="","",IFERROR(VLOOKUP(J944,DATA!$AH$9:$AI$13,2,0),""))</f>
        <v/>
      </c>
      <c r="R944" s="8" t="str">
        <f>IF($A944="","",IFERROR(VLOOKUP(K944,DATA!$AH$9:$AI$13,2,0),""))</f>
        <v/>
      </c>
      <c r="S944" s="42" t="str">
        <f t="shared" si="308"/>
        <v/>
      </c>
      <c r="T944" s="8" t="str">
        <f>IF($A944="","",IF(COUNTIF($D$2:D944,D944)=1,1,0))</f>
        <v/>
      </c>
      <c r="U944" s="8" t="str">
        <f>IF($A944="","",IF(F944="-","Cabang tdk ada",IF(IFERROR(VLOOKUP(G944,#REF!,1,0),"")="","",IF(INDEX(DATA!$AH$2:$AH$5,MATCH(G944,DATA!$AI$2:$AI$5,0))&lt;&gt;F944,"Wilayah beda","OK"))))</f>
        <v/>
      </c>
      <c r="V944" s="8" t="str">
        <f>IF($A944="","",TRIM(INDEX(FORM!$I:$I,ROW())&amp;""))</f>
        <v/>
      </c>
      <c r="W944" s="8" t="str">
        <f>IF($A944="","",TRIM(INDEX(FORM!$L:$L,ROW())&amp;""))</f>
        <v/>
      </c>
      <c r="X944" s="8" t="str">
        <f>IF($A944="","",TRIM(INDEX(FORM!$M:$M,ROW())&amp;""))</f>
        <v/>
      </c>
      <c r="Y944" s="8" t="str">
        <f>IF($A944="","",IFERROR(MATCH(F944,DATA!$AH$2:$AH$5,0),9)*10000+A944)</f>
        <v/>
      </c>
      <c r="Z944" s="8" t="str">
        <f t="shared" si="309"/>
        <v/>
      </c>
      <c r="AA944" s="8" t="str">
        <f t="shared" si="310"/>
        <v/>
      </c>
      <c r="AB944" s="8" t="str">
        <f t="shared" si="311"/>
        <v/>
      </c>
      <c r="AC944" s="8"/>
      <c r="AD944" s="8"/>
      <c r="AE944" s="8"/>
      <c r="AK944" s="5" t="str">
        <f t="shared" si="312"/>
        <v/>
      </c>
      <c r="AL944" s="5" t="str">
        <f t="shared" si="313"/>
        <v/>
      </c>
      <c r="AM944" s="5" t="str">
        <f t="shared" si="314"/>
        <v/>
      </c>
      <c r="AN944" s="5" t="str">
        <f t="shared" si="315"/>
        <v/>
      </c>
      <c r="AO944" s="5" t="str">
        <f t="shared" si="316"/>
        <v/>
      </c>
      <c r="AP944" s="5" t="str">
        <f t="shared" si="317"/>
        <v/>
      </c>
      <c r="AQ944" s="5" t="str">
        <f t="shared" si="318"/>
        <v/>
      </c>
      <c r="AR944" s="5" t="str">
        <f t="shared" si="319"/>
        <v/>
      </c>
      <c r="AS944" s="5" t="str">
        <f t="shared" si="320"/>
        <v/>
      </c>
      <c r="AT944" s="5" t="str">
        <f t="shared" si="321"/>
        <v/>
      </c>
      <c r="AU944" s="5" t="str">
        <f t="shared" si="322"/>
        <v/>
      </c>
      <c r="AV944" s="5" t="str">
        <f t="shared" si="323"/>
        <v/>
      </c>
      <c r="AW944" s="5" t="str">
        <f t="shared" si="324"/>
        <v/>
      </c>
      <c r="AX944" s="5" t="str">
        <f t="shared" si="325"/>
        <v/>
      </c>
      <c r="AY944" s="5" t="str">
        <f t="shared" si="326"/>
        <v/>
      </c>
      <c r="AZ944" s="5" t="str">
        <f t="shared" si="327"/>
        <v/>
      </c>
      <c r="BA944" s="5" t="str">
        <f t="shared" si="328"/>
        <v/>
      </c>
      <c r="BB944" s="5" t="str">
        <f t="shared" si="329"/>
        <v/>
      </c>
    </row>
    <row r="945" spans="1:54" s="5" customFormat="1" hidden="1">
      <c r="A945" s="8" t="str">
        <f>IF(INDEX(FORM!$A:$A,ROW())="","",ROW()-1)</f>
        <v/>
      </c>
      <c r="B945" s="41" t="str">
        <f>IF($A945="","",INDEX(FORM!$A:$A,ROW()))</f>
        <v/>
      </c>
      <c r="C945" s="8" t="str">
        <f>IF($A945="","",TRIM(INDEX(FORM!$B:$B,ROW())))</f>
        <v/>
      </c>
      <c r="D945" s="8" t="str">
        <f>IF($A945="","",TRIM(INDEX(FORM!$C:$C,ROW())&amp;""))</f>
        <v/>
      </c>
      <c r="E945" s="8" t="str">
        <f>IF($A945="","",UPPER(TRIM(INDEX(FORM!$D:$D,ROW()))))</f>
        <v/>
      </c>
      <c r="F945" s="8" t="str">
        <f>IF($A945="","",IFERROR(INDEX(PROGRES!$A$2:$A$92,MATCH(E945,PROGRES!$B$2:$B$92,0)),"-"))</f>
        <v/>
      </c>
      <c r="G945" s="8" t="str">
        <f>IF($A945="","",UPPER(TRIM(INDEX(FORM!$F:$F,ROW()))))</f>
        <v/>
      </c>
      <c r="H945" s="8" t="str">
        <f>IF($A945="","",UPPER(TRIM(INDEX(FORM!$E:$E,ROW()))))</f>
        <v/>
      </c>
      <c r="I945" s="8" t="str">
        <f>IF($A945="","",UPPER(TRIM(INDEX(FORM!$G:$G,ROW()))))</f>
        <v/>
      </c>
      <c r="J945" s="8" t="str">
        <f>IF($A945="","",IF(ISNUMBER(SEARCH("Ya,",INDEX(FORM!$H:$H,ROW()))),"YA",IF(ISNUMBER(SEARCH("Cukup,",INDEX(FORM!$H:$H,ROW()))),"CUKUP",IF(ISNUMBER(SEARCH("Kurang,",INDEX(FORM!$H:$H,ROW()))),"KURANG",""))))</f>
        <v/>
      </c>
      <c r="K945" s="8" t="str">
        <f>IF($A945="","",UPPER(TRIM(INDEX(FORM!$J:$J,ROW()))))</f>
        <v/>
      </c>
      <c r="L945" s="8" t="str">
        <f>IF($A945="","",IF(ISNUMBER(SEARCH("Aktivitas Harian",INDEX(FORM!$K:$K,ROW()))),1,0))</f>
        <v/>
      </c>
      <c r="M945" s="8" t="str">
        <f>IF($A945="","",IF(ISNUMBER(SEARCH("Aktivitas Mingguan",INDEX(FORM!$K:$K,ROW()))),1,0))</f>
        <v/>
      </c>
      <c r="N945" s="8" t="str">
        <f>IF($A945="","",IF(ISNUMBER(SEARCH("Aktivitas Bulanan",INDEX(FORM!$K:$K,ROW()))),1,0))</f>
        <v/>
      </c>
      <c r="O945" s="8" t="str">
        <f>IF($A945="","",IF(ISNUMBER(SEARCH("Overview Cabang",INDEX(FORM!$K:$K,ROW()))),1,0))</f>
        <v/>
      </c>
      <c r="P945" s="8" t="str">
        <f>IF($A945="","",IFERROR(VLOOKUP(I945,DATA!$AH$9:$AI$13,2,0),""))</f>
        <v/>
      </c>
      <c r="Q945" s="8" t="str">
        <f>IF($A945="","",IFERROR(VLOOKUP(J945,DATA!$AH$9:$AI$13,2,0),""))</f>
        <v/>
      </c>
      <c r="R945" s="8" t="str">
        <f>IF($A945="","",IFERROR(VLOOKUP(K945,DATA!$AH$9:$AI$13,2,0),""))</f>
        <v/>
      </c>
      <c r="S945" s="42" t="str">
        <f t="shared" si="308"/>
        <v/>
      </c>
      <c r="T945" s="8" t="str">
        <f>IF($A945="","",IF(COUNTIF($D$2:D945,D945)=1,1,0))</f>
        <v/>
      </c>
      <c r="U945" s="8" t="str">
        <f>IF($A945="","",IF(F945="-","Cabang tdk ada",IF(IFERROR(VLOOKUP(G945,#REF!,1,0),"")="","",IF(INDEX(DATA!$AH$2:$AH$5,MATCH(G945,DATA!$AI$2:$AI$5,0))&lt;&gt;F945,"Wilayah beda","OK"))))</f>
        <v/>
      </c>
      <c r="V945" s="8" t="str">
        <f>IF($A945="","",TRIM(INDEX(FORM!$I:$I,ROW())&amp;""))</f>
        <v/>
      </c>
      <c r="W945" s="8" t="str">
        <f>IF($A945="","",TRIM(INDEX(FORM!$L:$L,ROW())&amp;""))</f>
        <v/>
      </c>
      <c r="X945" s="8" t="str">
        <f>IF($A945="","",TRIM(INDEX(FORM!$M:$M,ROW())&amp;""))</f>
        <v/>
      </c>
      <c r="Y945" s="8" t="str">
        <f>IF($A945="","",IFERROR(MATCH(F945,DATA!$AH$2:$AH$5,0),9)*10000+A945)</f>
        <v/>
      </c>
      <c r="Z945" s="8" t="str">
        <f t="shared" si="309"/>
        <v/>
      </c>
      <c r="AA945" s="8" t="str">
        <f t="shared" si="310"/>
        <v/>
      </c>
      <c r="AB945" s="8" t="str">
        <f t="shared" si="311"/>
        <v/>
      </c>
      <c r="AC945" s="8"/>
      <c r="AD945" s="8"/>
      <c r="AE945" s="8"/>
      <c r="AK945" s="5" t="str">
        <f t="shared" si="312"/>
        <v/>
      </c>
      <c r="AL945" s="5" t="str">
        <f t="shared" si="313"/>
        <v/>
      </c>
      <c r="AM945" s="5" t="str">
        <f t="shared" si="314"/>
        <v/>
      </c>
      <c r="AN945" s="5" t="str">
        <f t="shared" si="315"/>
        <v/>
      </c>
      <c r="AO945" s="5" t="str">
        <f t="shared" si="316"/>
        <v/>
      </c>
      <c r="AP945" s="5" t="str">
        <f t="shared" si="317"/>
        <v/>
      </c>
      <c r="AQ945" s="5" t="str">
        <f t="shared" si="318"/>
        <v/>
      </c>
      <c r="AR945" s="5" t="str">
        <f t="shared" si="319"/>
        <v/>
      </c>
      <c r="AS945" s="5" t="str">
        <f t="shared" si="320"/>
        <v/>
      </c>
      <c r="AT945" s="5" t="str">
        <f t="shared" si="321"/>
        <v/>
      </c>
      <c r="AU945" s="5" t="str">
        <f t="shared" si="322"/>
        <v/>
      </c>
      <c r="AV945" s="5" t="str">
        <f t="shared" si="323"/>
        <v/>
      </c>
      <c r="AW945" s="5" t="str">
        <f t="shared" si="324"/>
        <v/>
      </c>
      <c r="AX945" s="5" t="str">
        <f t="shared" si="325"/>
        <v/>
      </c>
      <c r="AY945" s="5" t="str">
        <f t="shared" si="326"/>
        <v/>
      </c>
      <c r="AZ945" s="5" t="str">
        <f t="shared" si="327"/>
        <v/>
      </c>
      <c r="BA945" s="5" t="str">
        <f t="shared" si="328"/>
        <v/>
      </c>
      <c r="BB945" s="5" t="str">
        <f t="shared" si="329"/>
        <v/>
      </c>
    </row>
    <row r="946" spans="1:54" s="5" customFormat="1" hidden="1">
      <c r="A946" s="8" t="str">
        <f>IF(INDEX(FORM!$A:$A,ROW())="","",ROW()-1)</f>
        <v/>
      </c>
      <c r="B946" s="41" t="str">
        <f>IF($A946="","",INDEX(FORM!$A:$A,ROW()))</f>
        <v/>
      </c>
      <c r="C946" s="8" t="str">
        <f>IF($A946="","",TRIM(INDEX(FORM!$B:$B,ROW())))</f>
        <v/>
      </c>
      <c r="D946" s="8" t="str">
        <f>IF($A946="","",TRIM(INDEX(FORM!$C:$C,ROW())&amp;""))</f>
        <v/>
      </c>
      <c r="E946" s="8" t="str">
        <f>IF($A946="","",UPPER(TRIM(INDEX(FORM!$D:$D,ROW()))))</f>
        <v/>
      </c>
      <c r="F946" s="8" t="str">
        <f>IF($A946="","",IFERROR(INDEX(PROGRES!$A$2:$A$92,MATCH(E946,PROGRES!$B$2:$B$92,0)),"-"))</f>
        <v/>
      </c>
      <c r="G946" s="8" t="str">
        <f>IF($A946="","",UPPER(TRIM(INDEX(FORM!$F:$F,ROW()))))</f>
        <v/>
      </c>
      <c r="H946" s="8" t="str">
        <f>IF($A946="","",UPPER(TRIM(INDEX(FORM!$E:$E,ROW()))))</f>
        <v/>
      </c>
      <c r="I946" s="8" t="str">
        <f>IF($A946="","",UPPER(TRIM(INDEX(FORM!$G:$G,ROW()))))</f>
        <v/>
      </c>
      <c r="J946" s="8" t="str">
        <f>IF($A946="","",IF(ISNUMBER(SEARCH("Ya,",INDEX(FORM!$H:$H,ROW()))),"YA",IF(ISNUMBER(SEARCH("Cukup,",INDEX(FORM!$H:$H,ROW()))),"CUKUP",IF(ISNUMBER(SEARCH("Kurang,",INDEX(FORM!$H:$H,ROW()))),"KURANG",""))))</f>
        <v/>
      </c>
      <c r="K946" s="8" t="str">
        <f>IF($A946="","",UPPER(TRIM(INDEX(FORM!$J:$J,ROW()))))</f>
        <v/>
      </c>
      <c r="L946" s="8" t="str">
        <f>IF($A946="","",IF(ISNUMBER(SEARCH("Aktivitas Harian",INDEX(FORM!$K:$K,ROW()))),1,0))</f>
        <v/>
      </c>
      <c r="M946" s="8" t="str">
        <f>IF($A946="","",IF(ISNUMBER(SEARCH("Aktivitas Mingguan",INDEX(FORM!$K:$K,ROW()))),1,0))</f>
        <v/>
      </c>
      <c r="N946" s="8" t="str">
        <f>IF($A946="","",IF(ISNUMBER(SEARCH("Aktivitas Bulanan",INDEX(FORM!$K:$K,ROW()))),1,0))</f>
        <v/>
      </c>
      <c r="O946" s="8" t="str">
        <f>IF($A946="","",IF(ISNUMBER(SEARCH("Overview Cabang",INDEX(FORM!$K:$K,ROW()))),1,0))</f>
        <v/>
      </c>
      <c r="P946" s="8" t="str">
        <f>IF($A946="","",IFERROR(VLOOKUP(I946,DATA!$AH$9:$AI$13,2,0),""))</f>
        <v/>
      </c>
      <c r="Q946" s="8" t="str">
        <f>IF($A946="","",IFERROR(VLOOKUP(J946,DATA!$AH$9:$AI$13,2,0),""))</f>
        <v/>
      </c>
      <c r="R946" s="8" t="str">
        <f>IF($A946="","",IFERROR(VLOOKUP(K946,DATA!$AH$9:$AI$13,2,0),""))</f>
        <v/>
      </c>
      <c r="S946" s="42" t="str">
        <f t="shared" si="308"/>
        <v/>
      </c>
      <c r="T946" s="8" t="str">
        <f>IF($A946="","",IF(COUNTIF($D$2:D946,D946)=1,1,0))</f>
        <v/>
      </c>
      <c r="U946" s="8" t="str">
        <f>IF($A946="","",IF(F946="-","Cabang tdk ada",IF(IFERROR(VLOOKUP(G946,#REF!,1,0),"")="","",IF(INDEX(DATA!$AH$2:$AH$5,MATCH(G946,DATA!$AI$2:$AI$5,0))&lt;&gt;F946,"Wilayah beda","OK"))))</f>
        <v/>
      </c>
      <c r="V946" s="8" t="str">
        <f>IF($A946="","",TRIM(INDEX(FORM!$I:$I,ROW())&amp;""))</f>
        <v/>
      </c>
      <c r="W946" s="8" t="str">
        <f>IF($A946="","",TRIM(INDEX(FORM!$L:$L,ROW())&amp;""))</f>
        <v/>
      </c>
      <c r="X946" s="8" t="str">
        <f>IF($A946="","",TRIM(INDEX(FORM!$M:$M,ROW())&amp;""))</f>
        <v/>
      </c>
      <c r="Y946" s="8" t="str">
        <f>IF($A946="","",IFERROR(MATCH(F946,DATA!$AH$2:$AH$5,0),9)*10000+A946)</f>
        <v/>
      </c>
      <c r="Z946" s="8" t="str">
        <f t="shared" si="309"/>
        <v/>
      </c>
      <c r="AA946" s="8" t="str">
        <f t="shared" si="310"/>
        <v/>
      </c>
      <c r="AB946" s="8" t="str">
        <f t="shared" si="311"/>
        <v/>
      </c>
      <c r="AC946" s="8"/>
      <c r="AD946" s="8"/>
      <c r="AE946" s="8"/>
      <c r="AK946" s="5" t="str">
        <f t="shared" si="312"/>
        <v/>
      </c>
      <c r="AL946" s="5" t="str">
        <f t="shared" si="313"/>
        <v/>
      </c>
      <c r="AM946" s="5" t="str">
        <f t="shared" si="314"/>
        <v/>
      </c>
      <c r="AN946" s="5" t="str">
        <f t="shared" si="315"/>
        <v/>
      </c>
      <c r="AO946" s="5" t="str">
        <f t="shared" si="316"/>
        <v/>
      </c>
      <c r="AP946" s="5" t="str">
        <f t="shared" si="317"/>
        <v/>
      </c>
      <c r="AQ946" s="5" t="str">
        <f t="shared" si="318"/>
        <v/>
      </c>
      <c r="AR946" s="5" t="str">
        <f t="shared" si="319"/>
        <v/>
      </c>
      <c r="AS946" s="5" t="str">
        <f t="shared" si="320"/>
        <v/>
      </c>
      <c r="AT946" s="5" t="str">
        <f t="shared" si="321"/>
        <v/>
      </c>
      <c r="AU946" s="5" t="str">
        <f t="shared" si="322"/>
        <v/>
      </c>
      <c r="AV946" s="5" t="str">
        <f t="shared" si="323"/>
        <v/>
      </c>
      <c r="AW946" s="5" t="str">
        <f t="shared" si="324"/>
        <v/>
      </c>
      <c r="AX946" s="5" t="str">
        <f t="shared" si="325"/>
        <v/>
      </c>
      <c r="AY946" s="5" t="str">
        <f t="shared" si="326"/>
        <v/>
      </c>
      <c r="AZ946" s="5" t="str">
        <f t="shared" si="327"/>
        <v/>
      </c>
      <c r="BA946" s="5" t="str">
        <f t="shared" si="328"/>
        <v/>
      </c>
      <c r="BB946" s="5" t="str">
        <f t="shared" si="329"/>
        <v/>
      </c>
    </row>
    <row r="947" spans="1:54" s="5" customFormat="1" hidden="1">
      <c r="A947" s="8" t="str">
        <f>IF(INDEX(FORM!$A:$A,ROW())="","",ROW()-1)</f>
        <v/>
      </c>
      <c r="B947" s="41" t="str">
        <f>IF($A947="","",INDEX(FORM!$A:$A,ROW()))</f>
        <v/>
      </c>
      <c r="C947" s="8" t="str">
        <f>IF($A947="","",TRIM(INDEX(FORM!$B:$B,ROW())))</f>
        <v/>
      </c>
      <c r="D947" s="8" t="str">
        <f>IF($A947="","",TRIM(INDEX(FORM!$C:$C,ROW())&amp;""))</f>
        <v/>
      </c>
      <c r="E947" s="8" t="str">
        <f>IF($A947="","",UPPER(TRIM(INDEX(FORM!$D:$D,ROW()))))</f>
        <v/>
      </c>
      <c r="F947" s="8" t="str">
        <f>IF($A947="","",IFERROR(INDEX(PROGRES!$A$2:$A$92,MATCH(E947,PROGRES!$B$2:$B$92,0)),"-"))</f>
        <v/>
      </c>
      <c r="G947" s="8" t="str">
        <f>IF($A947="","",UPPER(TRIM(INDEX(FORM!$F:$F,ROW()))))</f>
        <v/>
      </c>
      <c r="H947" s="8" t="str">
        <f>IF($A947="","",UPPER(TRIM(INDEX(FORM!$E:$E,ROW()))))</f>
        <v/>
      </c>
      <c r="I947" s="8" t="str">
        <f>IF($A947="","",UPPER(TRIM(INDEX(FORM!$G:$G,ROW()))))</f>
        <v/>
      </c>
      <c r="J947" s="8" t="str">
        <f>IF($A947="","",IF(ISNUMBER(SEARCH("Ya,",INDEX(FORM!$H:$H,ROW()))),"YA",IF(ISNUMBER(SEARCH("Cukup,",INDEX(FORM!$H:$H,ROW()))),"CUKUP",IF(ISNUMBER(SEARCH("Kurang,",INDEX(FORM!$H:$H,ROW()))),"KURANG",""))))</f>
        <v/>
      </c>
      <c r="K947" s="8" t="str">
        <f>IF($A947="","",UPPER(TRIM(INDEX(FORM!$J:$J,ROW()))))</f>
        <v/>
      </c>
      <c r="L947" s="8" t="str">
        <f>IF($A947="","",IF(ISNUMBER(SEARCH("Aktivitas Harian",INDEX(FORM!$K:$K,ROW()))),1,0))</f>
        <v/>
      </c>
      <c r="M947" s="8" t="str">
        <f>IF($A947="","",IF(ISNUMBER(SEARCH("Aktivitas Mingguan",INDEX(FORM!$K:$K,ROW()))),1,0))</f>
        <v/>
      </c>
      <c r="N947" s="8" t="str">
        <f>IF($A947="","",IF(ISNUMBER(SEARCH("Aktivitas Bulanan",INDEX(FORM!$K:$K,ROW()))),1,0))</f>
        <v/>
      </c>
      <c r="O947" s="8" t="str">
        <f>IF($A947="","",IF(ISNUMBER(SEARCH("Overview Cabang",INDEX(FORM!$K:$K,ROW()))),1,0))</f>
        <v/>
      </c>
      <c r="P947" s="8" t="str">
        <f>IF($A947="","",IFERROR(VLOOKUP(I947,DATA!$AH$9:$AI$13,2,0),""))</f>
        <v/>
      </c>
      <c r="Q947" s="8" t="str">
        <f>IF($A947="","",IFERROR(VLOOKUP(J947,DATA!$AH$9:$AI$13,2,0),""))</f>
        <v/>
      </c>
      <c r="R947" s="8" t="str">
        <f>IF($A947="","",IFERROR(VLOOKUP(K947,DATA!$AH$9:$AI$13,2,0),""))</f>
        <v/>
      </c>
      <c r="S947" s="42" t="str">
        <f t="shared" si="308"/>
        <v/>
      </c>
      <c r="T947" s="8" t="str">
        <f>IF($A947="","",IF(COUNTIF($D$2:D947,D947)=1,1,0))</f>
        <v/>
      </c>
      <c r="U947" s="8" t="str">
        <f>IF($A947="","",IF(F947="-","Cabang tdk ada",IF(IFERROR(VLOOKUP(G947,#REF!,1,0),"")="","",IF(INDEX(DATA!$AH$2:$AH$5,MATCH(G947,DATA!$AI$2:$AI$5,0))&lt;&gt;F947,"Wilayah beda","OK"))))</f>
        <v/>
      </c>
      <c r="V947" s="8" t="str">
        <f>IF($A947="","",TRIM(INDEX(FORM!$I:$I,ROW())&amp;""))</f>
        <v/>
      </c>
      <c r="W947" s="8" t="str">
        <f>IF($A947="","",TRIM(INDEX(FORM!$L:$L,ROW())&amp;""))</f>
        <v/>
      </c>
      <c r="X947" s="8" t="str">
        <f>IF($A947="","",TRIM(INDEX(FORM!$M:$M,ROW())&amp;""))</f>
        <v/>
      </c>
      <c r="Y947" s="8" t="str">
        <f>IF($A947="","",IFERROR(MATCH(F947,DATA!$AH$2:$AH$5,0),9)*10000+A947)</f>
        <v/>
      </c>
      <c r="Z947" s="8" t="str">
        <f t="shared" si="309"/>
        <v/>
      </c>
      <c r="AA947" s="8" t="str">
        <f t="shared" si="310"/>
        <v/>
      </c>
      <c r="AB947" s="8" t="str">
        <f t="shared" si="311"/>
        <v/>
      </c>
      <c r="AC947" s="8"/>
      <c r="AD947" s="8"/>
      <c r="AE947" s="8"/>
      <c r="AK947" s="5" t="str">
        <f t="shared" si="312"/>
        <v/>
      </c>
      <c r="AL947" s="5" t="str">
        <f t="shared" si="313"/>
        <v/>
      </c>
      <c r="AM947" s="5" t="str">
        <f t="shared" si="314"/>
        <v/>
      </c>
      <c r="AN947" s="5" t="str">
        <f t="shared" si="315"/>
        <v/>
      </c>
      <c r="AO947" s="5" t="str">
        <f t="shared" si="316"/>
        <v/>
      </c>
      <c r="AP947" s="5" t="str">
        <f t="shared" si="317"/>
        <v/>
      </c>
      <c r="AQ947" s="5" t="str">
        <f t="shared" si="318"/>
        <v/>
      </c>
      <c r="AR947" s="5" t="str">
        <f t="shared" si="319"/>
        <v/>
      </c>
      <c r="AS947" s="5" t="str">
        <f t="shared" si="320"/>
        <v/>
      </c>
      <c r="AT947" s="5" t="str">
        <f t="shared" si="321"/>
        <v/>
      </c>
      <c r="AU947" s="5" t="str">
        <f t="shared" si="322"/>
        <v/>
      </c>
      <c r="AV947" s="5" t="str">
        <f t="shared" si="323"/>
        <v/>
      </c>
      <c r="AW947" s="5" t="str">
        <f t="shared" si="324"/>
        <v/>
      </c>
      <c r="AX947" s="5" t="str">
        <f t="shared" si="325"/>
        <v/>
      </c>
      <c r="AY947" s="5" t="str">
        <f t="shared" si="326"/>
        <v/>
      </c>
      <c r="AZ947" s="5" t="str">
        <f t="shared" si="327"/>
        <v/>
      </c>
      <c r="BA947" s="5" t="str">
        <f t="shared" si="328"/>
        <v/>
      </c>
      <c r="BB947" s="5" t="str">
        <f t="shared" si="329"/>
        <v/>
      </c>
    </row>
    <row r="948" spans="1:54" s="5" customFormat="1" hidden="1">
      <c r="A948" s="8" t="str">
        <f>IF(INDEX(FORM!$A:$A,ROW())="","",ROW()-1)</f>
        <v/>
      </c>
      <c r="B948" s="41" t="str">
        <f>IF($A948="","",INDEX(FORM!$A:$A,ROW()))</f>
        <v/>
      </c>
      <c r="C948" s="8" t="str">
        <f>IF($A948="","",TRIM(INDEX(FORM!$B:$B,ROW())))</f>
        <v/>
      </c>
      <c r="D948" s="8" t="str">
        <f>IF($A948="","",TRIM(INDEX(FORM!$C:$C,ROW())&amp;""))</f>
        <v/>
      </c>
      <c r="E948" s="8" t="str">
        <f>IF($A948="","",UPPER(TRIM(INDEX(FORM!$D:$D,ROW()))))</f>
        <v/>
      </c>
      <c r="F948" s="8" t="str">
        <f>IF($A948="","",IFERROR(INDEX(PROGRES!$A$2:$A$92,MATCH(E948,PROGRES!$B$2:$B$92,0)),"-"))</f>
        <v/>
      </c>
      <c r="G948" s="8" t="str">
        <f>IF($A948="","",UPPER(TRIM(INDEX(FORM!$F:$F,ROW()))))</f>
        <v/>
      </c>
      <c r="H948" s="8" t="str">
        <f>IF($A948="","",UPPER(TRIM(INDEX(FORM!$E:$E,ROW()))))</f>
        <v/>
      </c>
      <c r="I948" s="8" t="str">
        <f>IF($A948="","",UPPER(TRIM(INDEX(FORM!$G:$G,ROW()))))</f>
        <v/>
      </c>
      <c r="J948" s="8" t="str">
        <f>IF($A948="","",IF(ISNUMBER(SEARCH("Ya,",INDEX(FORM!$H:$H,ROW()))),"YA",IF(ISNUMBER(SEARCH("Cukup,",INDEX(FORM!$H:$H,ROW()))),"CUKUP",IF(ISNUMBER(SEARCH("Kurang,",INDEX(FORM!$H:$H,ROW()))),"KURANG",""))))</f>
        <v/>
      </c>
      <c r="K948" s="8" t="str">
        <f>IF($A948="","",UPPER(TRIM(INDEX(FORM!$J:$J,ROW()))))</f>
        <v/>
      </c>
      <c r="L948" s="8" t="str">
        <f>IF($A948="","",IF(ISNUMBER(SEARCH("Aktivitas Harian",INDEX(FORM!$K:$K,ROW()))),1,0))</f>
        <v/>
      </c>
      <c r="M948" s="8" t="str">
        <f>IF($A948="","",IF(ISNUMBER(SEARCH("Aktivitas Mingguan",INDEX(FORM!$K:$K,ROW()))),1,0))</f>
        <v/>
      </c>
      <c r="N948" s="8" t="str">
        <f>IF($A948="","",IF(ISNUMBER(SEARCH("Aktivitas Bulanan",INDEX(FORM!$K:$K,ROW()))),1,0))</f>
        <v/>
      </c>
      <c r="O948" s="8" t="str">
        <f>IF($A948="","",IF(ISNUMBER(SEARCH("Overview Cabang",INDEX(FORM!$K:$K,ROW()))),1,0))</f>
        <v/>
      </c>
      <c r="P948" s="8" t="str">
        <f>IF($A948="","",IFERROR(VLOOKUP(I948,DATA!$AH$9:$AI$13,2,0),""))</f>
        <v/>
      </c>
      <c r="Q948" s="8" t="str">
        <f>IF($A948="","",IFERROR(VLOOKUP(J948,DATA!$AH$9:$AI$13,2,0),""))</f>
        <v/>
      </c>
      <c r="R948" s="8" t="str">
        <f>IF($A948="","",IFERROR(VLOOKUP(K948,DATA!$AH$9:$AI$13,2,0),""))</f>
        <v/>
      </c>
      <c r="S948" s="42" t="str">
        <f t="shared" si="308"/>
        <v/>
      </c>
      <c r="T948" s="8" t="str">
        <f>IF($A948="","",IF(COUNTIF($D$2:D948,D948)=1,1,0))</f>
        <v/>
      </c>
      <c r="U948" s="8" t="str">
        <f>IF($A948="","",IF(F948="-","Cabang tdk ada",IF(IFERROR(VLOOKUP(G948,#REF!,1,0),"")="","",IF(INDEX(DATA!$AH$2:$AH$5,MATCH(G948,DATA!$AI$2:$AI$5,0))&lt;&gt;F948,"Wilayah beda","OK"))))</f>
        <v/>
      </c>
      <c r="V948" s="8" t="str">
        <f>IF($A948="","",TRIM(INDEX(FORM!$I:$I,ROW())&amp;""))</f>
        <v/>
      </c>
      <c r="W948" s="8" t="str">
        <f>IF($A948="","",TRIM(INDEX(FORM!$L:$L,ROW())&amp;""))</f>
        <v/>
      </c>
      <c r="X948" s="8" t="str">
        <f>IF($A948="","",TRIM(INDEX(FORM!$M:$M,ROW())&amp;""))</f>
        <v/>
      </c>
      <c r="Y948" s="8" t="str">
        <f>IF($A948="","",IFERROR(MATCH(F948,DATA!$AH$2:$AH$5,0),9)*10000+A948)</f>
        <v/>
      </c>
      <c r="Z948" s="8" t="str">
        <f t="shared" si="309"/>
        <v/>
      </c>
      <c r="AA948" s="8" t="str">
        <f t="shared" si="310"/>
        <v/>
      </c>
      <c r="AB948" s="8" t="str">
        <f t="shared" si="311"/>
        <v/>
      </c>
      <c r="AC948" s="8"/>
      <c r="AD948" s="8"/>
      <c r="AE948" s="8"/>
      <c r="AK948" s="5" t="str">
        <f t="shared" si="312"/>
        <v/>
      </c>
      <c r="AL948" s="5" t="str">
        <f t="shared" si="313"/>
        <v/>
      </c>
      <c r="AM948" s="5" t="str">
        <f t="shared" si="314"/>
        <v/>
      </c>
      <c r="AN948" s="5" t="str">
        <f t="shared" si="315"/>
        <v/>
      </c>
      <c r="AO948" s="5" t="str">
        <f t="shared" si="316"/>
        <v/>
      </c>
      <c r="AP948" s="5" t="str">
        <f t="shared" si="317"/>
        <v/>
      </c>
      <c r="AQ948" s="5" t="str">
        <f t="shared" si="318"/>
        <v/>
      </c>
      <c r="AR948" s="5" t="str">
        <f t="shared" si="319"/>
        <v/>
      </c>
      <c r="AS948" s="5" t="str">
        <f t="shared" si="320"/>
        <v/>
      </c>
      <c r="AT948" s="5" t="str">
        <f t="shared" si="321"/>
        <v/>
      </c>
      <c r="AU948" s="5" t="str">
        <f t="shared" si="322"/>
        <v/>
      </c>
      <c r="AV948" s="5" t="str">
        <f t="shared" si="323"/>
        <v/>
      </c>
      <c r="AW948" s="5" t="str">
        <f t="shared" si="324"/>
        <v/>
      </c>
      <c r="AX948" s="5" t="str">
        <f t="shared" si="325"/>
        <v/>
      </c>
      <c r="AY948" s="5" t="str">
        <f t="shared" si="326"/>
        <v/>
      </c>
      <c r="AZ948" s="5" t="str">
        <f t="shared" si="327"/>
        <v/>
      </c>
      <c r="BA948" s="5" t="str">
        <f t="shared" si="328"/>
        <v/>
      </c>
      <c r="BB948" s="5" t="str">
        <f t="shared" si="329"/>
        <v/>
      </c>
    </row>
    <row r="949" spans="1:54" s="5" customFormat="1" hidden="1">
      <c r="A949" s="8" t="str">
        <f>IF(INDEX(FORM!$A:$A,ROW())="","",ROW()-1)</f>
        <v/>
      </c>
      <c r="B949" s="41" t="str">
        <f>IF($A949="","",INDEX(FORM!$A:$A,ROW()))</f>
        <v/>
      </c>
      <c r="C949" s="8" t="str">
        <f>IF($A949="","",TRIM(INDEX(FORM!$B:$B,ROW())))</f>
        <v/>
      </c>
      <c r="D949" s="8" t="str">
        <f>IF($A949="","",TRIM(INDEX(FORM!$C:$C,ROW())&amp;""))</f>
        <v/>
      </c>
      <c r="E949" s="8" t="str">
        <f>IF($A949="","",UPPER(TRIM(INDEX(FORM!$D:$D,ROW()))))</f>
        <v/>
      </c>
      <c r="F949" s="8" t="str">
        <f>IF($A949="","",IFERROR(INDEX(PROGRES!$A$2:$A$92,MATCH(E949,PROGRES!$B$2:$B$92,0)),"-"))</f>
        <v/>
      </c>
      <c r="G949" s="8" t="str">
        <f>IF($A949="","",UPPER(TRIM(INDEX(FORM!$F:$F,ROW()))))</f>
        <v/>
      </c>
      <c r="H949" s="8" t="str">
        <f>IF($A949="","",UPPER(TRIM(INDEX(FORM!$E:$E,ROW()))))</f>
        <v/>
      </c>
      <c r="I949" s="8" t="str">
        <f>IF($A949="","",UPPER(TRIM(INDEX(FORM!$G:$G,ROW()))))</f>
        <v/>
      </c>
      <c r="J949" s="8" t="str">
        <f>IF($A949="","",IF(ISNUMBER(SEARCH("Ya,",INDEX(FORM!$H:$H,ROW()))),"YA",IF(ISNUMBER(SEARCH("Cukup,",INDEX(FORM!$H:$H,ROW()))),"CUKUP",IF(ISNUMBER(SEARCH("Kurang,",INDEX(FORM!$H:$H,ROW()))),"KURANG",""))))</f>
        <v/>
      </c>
      <c r="K949" s="8" t="str">
        <f>IF($A949="","",UPPER(TRIM(INDEX(FORM!$J:$J,ROW()))))</f>
        <v/>
      </c>
      <c r="L949" s="8" t="str">
        <f>IF($A949="","",IF(ISNUMBER(SEARCH("Aktivitas Harian",INDEX(FORM!$K:$K,ROW()))),1,0))</f>
        <v/>
      </c>
      <c r="M949" s="8" t="str">
        <f>IF($A949="","",IF(ISNUMBER(SEARCH("Aktivitas Mingguan",INDEX(FORM!$K:$K,ROW()))),1,0))</f>
        <v/>
      </c>
      <c r="N949" s="8" t="str">
        <f>IF($A949="","",IF(ISNUMBER(SEARCH("Aktivitas Bulanan",INDEX(FORM!$K:$K,ROW()))),1,0))</f>
        <v/>
      </c>
      <c r="O949" s="8" t="str">
        <f>IF($A949="","",IF(ISNUMBER(SEARCH("Overview Cabang",INDEX(FORM!$K:$K,ROW()))),1,0))</f>
        <v/>
      </c>
      <c r="P949" s="8" t="str">
        <f>IF($A949="","",IFERROR(VLOOKUP(I949,DATA!$AH$9:$AI$13,2,0),""))</f>
        <v/>
      </c>
      <c r="Q949" s="8" t="str">
        <f>IF($A949="","",IFERROR(VLOOKUP(J949,DATA!$AH$9:$AI$13,2,0),""))</f>
        <v/>
      </c>
      <c r="R949" s="8" t="str">
        <f>IF($A949="","",IFERROR(VLOOKUP(K949,DATA!$AH$9:$AI$13,2,0),""))</f>
        <v/>
      </c>
      <c r="S949" s="42" t="str">
        <f t="shared" si="308"/>
        <v/>
      </c>
      <c r="T949" s="8" t="str">
        <f>IF($A949="","",IF(COUNTIF($D$2:D949,D949)=1,1,0))</f>
        <v/>
      </c>
      <c r="U949" s="8" t="str">
        <f>IF($A949="","",IF(F949="-","Cabang tdk ada",IF(IFERROR(VLOOKUP(G949,#REF!,1,0),"")="","",IF(INDEX(DATA!$AH$2:$AH$5,MATCH(G949,DATA!$AI$2:$AI$5,0))&lt;&gt;F949,"Wilayah beda","OK"))))</f>
        <v/>
      </c>
      <c r="V949" s="8" t="str">
        <f>IF($A949="","",TRIM(INDEX(FORM!$I:$I,ROW())&amp;""))</f>
        <v/>
      </c>
      <c r="W949" s="8" t="str">
        <f>IF($A949="","",TRIM(INDEX(FORM!$L:$L,ROW())&amp;""))</f>
        <v/>
      </c>
      <c r="X949" s="8" t="str">
        <f>IF($A949="","",TRIM(INDEX(FORM!$M:$M,ROW())&amp;""))</f>
        <v/>
      </c>
      <c r="Y949" s="8" t="str">
        <f>IF($A949="","",IFERROR(MATCH(F949,DATA!$AH$2:$AH$5,0),9)*10000+A949)</f>
        <v/>
      </c>
      <c r="Z949" s="8" t="str">
        <f t="shared" si="309"/>
        <v/>
      </c>
      <c r="AA949" s="8" t="str">
        <f t="shared" si="310"/>
        <v/>
      </c>
      <c r="AB949" s="8" t="str">
        <f t="shared" si="311"/>
        <v/>
      </c>
      <c r="AC949" s="8"/>
      <c r="AD949" s="8"/>
      <c r="AE949" s="8"/>
      <c r="AK949" s="5" t="str">
        <f t="shared" si="312"/>
        <v/>
      </c>
      <c r="AL949" s="5" t="str">
        <f t="shared" si="313"/>
        <v/>
      </c>
      <c r="AM949" s="5" t="str">
        <f t="shared" si="314"/>
        <v/>
      </c>
      <c r="AN949" s="5" t="str">
        <f t="shared" si="315"/>
        <v/>
      </c>
      <c r="AO949" s="5" t="str">
        <f t="shared" si="316"/>
        <v/>
      </c>
      <c r="AP949" s="5" t="str">
        <f t="shared" si="317"/>
        <v/>
      </c>
      <c r="AQ949" s="5" t="str">
        <f t="shared" si="318"/>
        <v/>
      </c>
      <c r="AR949" s="5" t="str">
        <f t="shared" si="319"/>
        <v/>
      </c>
      <c r="AS949" s="5" t="str">
        <f t="shared" si="320"/>
        <v/>
      </c>
      <c r="AT949" s="5" t="str">
        <f t="shared" si="321"/>
        <v/>
      </c>
      <c r="AU949" s="5" t="str">
        <f t="shared" si="322"/>
        <v/>
      </c>
      <c r="AV949" s="5" t="str">
        <f t="shared" si="323"/>
        <v/>
      </c>
      <c r="AW949" s="5" t="str">
        <f t="shared" si="324"/>
        <v/>
      </c>
      <c r="AX949" s="5" t="str">
        <f t="shared" si="325"/>
        <v/>
      </c>
      <c r="AY949" s="5" t="str">
        <f t="shared" si="326"/>
        <v/>
      </c>
      <c r="AZ949" s="5" t="str">
        <f t="shared" si="327"/>
        <v/>
      </c>
      <c r="BA949" s="5" t="str">
        <f t="shared" si="328"/>
        <v/>
      </c>
      <c r="BB949" s="5" t="str">
        <f t="shared" si="329"/>
        <v/>
      </c>
    </row>
    <row r="950" spans="1:54" s="5" customFormat="1" hidden="1">
      <c r="A950" s="8" t="str">
        <f>IF(INDEX(FORM!$A:$A,ROW())="","",ROW()-1)</f>
        <v/>
      </c>
      <c r="B950" s="41" t="str">
        <f>IF($A950="","",INDEX(FORM!$A:$A,ROW()))</f>
        <v/>
      </c>
      <c r="C950" s="8" t="str">
        <f>IF($A950="","",TRIM(INDEX(FORM!$B:$B,ROW())))</f>
        <v/>
      </c>
      <c r="D950" s="8" t="str">
        <f>IF($A950="","",TRIM(INDEX(FORM!$C:$C,ROW())&amp;""))</f>
        <v/>
      </c>
      <c r="E950" s="8" t="str">
        <f>IF($A950="","",UPPER(TRIM(INDEX(FORM!$D:$D,ROW()))))</f>
        <v/>
      </c>
      <c r="F950" s="8" t="str">
        <f>IF($A950="","",IFERROR(INDEX(PROGRES!$A$2:$A$92,MATCH(E950,PROGRES!$B$2:$B$92,0)),"-"))</f>
        <v/>
      </c>
      <c r="G950" s="8" t="str">
        <f>IF($A950="","",UPPER(TRIM(INDEX(FORM!$F:$F,ROW()))))</f>
        <v/>
      </c>
      <c r="H950" s="8" t="str">
        <f>IF($A950="","",UPPER(TRIM(INDEX(FORM!$E:$E,ROW()))))</f>
        <v/>
      </c>
      <c r="I950" s="8" t="str">
        <f>IF($A950="","",UPPER(TRIM(INDEX(FORM!$G:$G,ROW()))))</f>
        <v/>
      </c>
      <c r="J950" s="8" t="str">
        <f>IF($A950="","",IF(ISNUMBER(SEARCH("Ya,",INDEX(FORM!$H:$H,ROW()))),"YA",IF(ISNUMBER(SEARCH("Cukup,",INDEX(FORM!$H:$H,ROW()))),"CUKUP",IF(ISNUMBER(SEARCH("Kurang,",INDEX(FORM!$H:$H,ROW()))),"KURANG",""))))</f>
        <v/>
      </c>
      <c r="K950" s="8" t="str">
        <f>IF($A950="","",UPPER(TRIM(INDEX(FORM!$J:$J,ROW()))))</f>
        <v/>
      </c>
      <c r="L950" s="8" t="str">
        <f>IF($A950="","",IF(ISNUMBER(SEARCH("Aktivitas Harian",INDEX(FORM!$K:$K,ROW()))),1,0))</f>
        <v/>
      </c>
      <c r="M950" s="8" t="str">
        <f>IF($A950="","",IF(ISNUMBER(SEARCH("Aktivitas Mingguan",INDEX(FORM!$K:$K,ROW()))),1,0))</f>
        <v/>
      </c>
      <c r="N950" s="8" t="str">
        <f>IF($A950="","",IF(ISNUMBER(SEARCH("Aktivitas Bulanan",INDEX(FORM!$K:$K,ROW()))),1,0))</f>
        <v/>
      </c>
      <c r="O950" s="8" t="str">
        <f>IF($A950="","",IF(ISNUMBER(SEARCH("Overview Cabang",INDEX(FORM!$K:$K,ROW()))),1,0))</f>
        <v/>
      </c>
      <c r="P950" s="8" t="str">
        <f>IF($A950="","",IFERROR(VLOOKUP(I950,DATA!$AH$9:$AI$13,2,0),""))</f>
        <v/>
      </c>
      <c r="Q950" s="8" t="str">
        <f>IF($A950="","",IFERROR(VLOOKUP(J950,DATA!$AH$9:$AI$13,2,0),""))</f>
        <v/>
      </c>
      <c r="R950" s="8" t="str">
        <f>IF($A950="","",IFERROR(VLOOKUP(K950,DATA!$AH$9:$AI$13,2,0),""))</f>
        <v/>
      </c>
      <c r="S950" s="42" t="str">
        <f t="shared" si="308"/>
        <v/>
      </c>
      <c r="T950" s="8" t="str">
        <f>IF($A950="","",IF(COUNTIF($D$2:D950,D950)=1,1,0))</f>
        <v/>
      </c>
      <c r="U950" s="8" t="str">
        <f>IF($A950="","",IF(F950="-","Cabang tdk ada",IF(IFERROR(VLOOKUP(G950,#REF!,1,0),"")="","",IF(INDEX(DATA!$AH$2:$AH$5,MATCH(G950,DATA!$AI$2:$AI$5,0))&lt;&gt;F950,"Wilayah beda","OK"))))</f>
        <v/>
      </c>
      <c r="V950" s="8" t="str">
        <f>IF($A950="","",TRIM(INDEX(FORM!$I:$I,ROW())&amp;""))</f>
        <v/>
      </c>
      <c r="W950" s="8" t="str">
        <f>IF($A950="","",TRIM(INDEX(FORM!$L:$L,ROW())&amp;""))</f>
        <v/>
      </c>
      <c r="X950" s="8" t="str">
        <f>IF($A950="","",TRIM(INDEX(FORM!$M:$M,ROW())&amp;""))</f>
        <v/>
      </c>
      <c r="Y950" s="8" t="str">
        <f>IF($A950="","",IFERROR(MATCH(F950,DATA!$AH$2:$AH$5,0),9)*10000+A950)</f>
        <v/>
      </c>
      <c r="Z950" s="8" t="str">
        <f t="shared" si="309"/>
        <v/>
      </c>
      <c r="AA950" s="8" t="str">
        <f t="shared" si="310"/>
        <v/>
      </c>
      <c r="AB950" s="8" t="str">
        <f t="shared" si="311"/>
        <v/>
      </c>
      <c r="AC950" s="8"/>
      <c r="AD950" s="8"/>
      <c r="AE950" s="8"/>
      <c r="AK950" s="5" t="str">
        <f t="shared" si="312"/>
        <v/>
      </c>
      <c r="AL950" s="5" t="str">
        <f t="shared" si="313"/>
        <v/>
      </c>
      <c r="AM950" s="5" t="str">
        <f t="shared" si="314"/>
        <v/>
      </c>
      <c r="AN950" s="5" t="str">
        <f t="shared" si="315"/>
        <v/>
      </c>
      <c r="AO950" s="5" t="str">
        <f t="shared" si="316"/>
        <v/>
      </c>
      <c r="AP950" s="5" t="str">
        <f t="shared" si="317"/>
        <v/>
      </c>
      <c r="AQ950" s="5" t="str">
        <f t="shared" si="318"/>
        <v/>
      </c>
      <c r="AR950" s="5" t="str">
        <f t="shared" si="319"/>
        <v/>
      </c>
      <c r="AS950" s="5" t="str">
        <f t="shared" si="320"/>
        <v/>
      </c>
      <c r="AT950" s="5" t="str">
        <f t="shared" si="321"/>
        <v/>
      </c>
      <c r="AU950" s="5" t="str">
        <f t="shared" si="322"/>
        <v/>
      </c>
      <c r="AV950" s="5" t="str">
        <f t="shared" si="323"/>
        <v/>
      </c>
      <c r="AW950" s="5" t="str">
        <f t="shared" si="324"/>
        <v/>
      </c>
      <c r="AX950" s="5" t="str">
        <f t="shared" si="325"/>
        <v/>
      </c>
      <c r="AY950" s="5" t="str">
        <f t="shared" si="326"/>
        <v/>
      </c>
      <c r="AZ950" s="5" t="str">
        <f t="shared" si="327"/>
        <v/>
      </c>
      <c r="BA950" s="5" t="str">
        <f t="shared" si="328"/>
        <v/>
      </c>
      <c r="BB950" s="5" t="str">
        <f t="shared" si="329"/>
        <v/>
      </c>
    </row>
    <row r="951" spans="1:54" s="5" customFormat="1" hidden="1">
      <c r="A951" s="8" t="str">
        <f>IF(INDEX(FORM!$A:$A,ROW())="","",ROW()-1)</f>
        <v/>
      </c>
      <c r="B951" s="41" t="str">
        <f>IF($A951="","",INDEX(FORM!$A:$A,ROW()))</f>
        <v/>
      </c>
      <c r="C951" s="8" t="str">
        <f>IF($A951="","",TRIM(INDEX(FORM!$B:$B,ROW())))</f>
        <v/>
      </c>
      <c r="D951" s="8" t="str">
        <f>IF($A951="","",TRIM(INDEX(FORM!$C:$C,ROW())&amp;""))</f>
        <v/>
      </c>
      <c r="E951" s="8" t="str">
        <f>IF($A951="","",UPPER(TRIM(INDEX(FORM!$D:$D,ROW()))))</f>
        <v/>
      </c>
      <c r="F951" s="8" t="str">
        <f>IF($A951="","",IFERROR(INDEX(PROGRES!$A$2:$A$92,MATCH(E951,PROGRES!$B$2:$B$92,0)),"-"))</f>
        <v/>
      </c>
      <c r="G951" s="8" t="str">
        <f>IF($A951="","",UPPER(TRIM(INDEX(FORM!$F:$F,ROW()))))</f>
        <v/>
      </c>
      <c r="H951" s="8" t="str">
        <f>IF($A951="","",UPPER(TRIM(INDEX(FORM!$E:$E,ROW()))))</f>
        <v/>
      </c>
      <c r="I951" s="8" t="str">
        <f>IF($A951="","",UPPER(TRIM(INDEX(FORM!$G:$G,ROW()))))</f>
        <v/>
      </c>
      <c r="J951" s="8" t="str">
        <f>IF($A951="","",IF(ISNUMBER(SEARCH("Ya,",INDEX(FORM!$H:$H,ROW()))),"YA",IF(ISNUMBER(SEARCH("Cukup,",INDEX(FORM!$H:$H,ROW()))),"CUKUP",IF(ISNUMBER(SEARCH("Kurang,",INDEX(FORM!$H:$H,ROW()))),"KURANG",""))))</f>
        <v/>
      </c>
      <c r="K951" s="8" t="str">
        <f>IF($A951="","",UPPER(TRIM(INDEX(FORM!$J:$J,ROW()))))</f>
        <v/>
      </c>
      <c r="L951" s="8" t="str">
        <f>IF($A951="","",IF(ISNUMBER(SEARCH("Aktivitas Harian",INDEX(FORM!$K:$K,ROW()))),1,0))</f>
        <v/>
      </c>
      <c r="M951" s="8" t="str">
        <f>IF($A951="","",IF(ISNUMBER(SEARCH("Aktivitas Mingguan",INDEX(FORM!$K:$K,ROW()))),1,0))</f>
        <v/>
      </c>
      <c r="N951" s="8" t="str">
        <f>IF($A951="","",IF(ISNUMBER(SEARCH("Aktivitas Bulanan",INDEX(FORM!$K:$K,ROW()))),1,0))</f>
        <v/>
      </c>
      <c r="O951" s="8" t="str">
        <f>IF($A951="","",IF(ISNUMBER(SEARCH("Overview Cabang",INDEX(FORM!$K:$K,ROW()))),1,0))</f>
        <v/>
      </c>
      <c r="P951" s="8" t="str">
        <f>IF($A951="","",IFERROR(VLOOKUP(I951,DATA!$AH$9:$AI$13,2,0),""))</f>
        <v/>
      </c>
      <c r="Q951" s="8" t="str">
        <f>IF($A951="","",IFERROR(VLOOKUP(J951,DATA!$AH$9:$AI$13,2,0),""))</f>
        <v/>
      </c>
      <c r="R951" s="8" t="str">
        <f>IF($A951="","",IFERROR(VLOOKUP(K951,DATA!$AH$9:$AI$13,2,0),""))</f>
        <v/>
      </c>
      <c r="S951" s="42" t="str">
        <f t="shared" si="308"/>
        <v/>
      </c>
      <c r="T951" s="8" t="str">
        <f>IF($A951="","",IF(COUNTIF($D$2:D951,D951)=1,1,0))</f>
        <v/>
      </c>
      <c r="U951" s="8" t="str">
        <f>IF($A951="","",IF(F951="-","Cabang tdk ada",IF(IFERROR(VLOOKUP(G951,#REF!,1,0),"")="","",IF(INDEX(DATA!$AH$2:$AH$5,MATCH(G951,DATA!$AI$2:$AI$5,0))&lt;&gt;F951,"Wilayah beda","OK"))))</f>
        <v/>
      </c>
      <c r="V951" s="8" t="str">
        <f>IF($A951="","",TRIM(INDEX(FORM!$I:$I,ROW())&amp;""))</f>
        <v/>
      </c>
      <c r="W951" s="8" t="str">
        <f>IF($A951="","",TRIM(INDEX(FORM!$L:$L,ROW())&amp;""))</f>
        <v/>
      </c>
      <c r="X951" s="8" t="str">
        <f>IF($A951="","",TRIM(INDEX(FORM!$M:$M,ROW())&amp;""))</f>
        <v/>
      </c>
      <c r="Y951" s="8" t="str">
        <f>IF($A951="","",IFERROR(MATCH(F951,DATA!$AH$2:$AH$5,0),9)*10000+A951)</f>
        <v/>
      </c>
      <c r="Z951" s="8" t="str">
        <f t="shared" si="309"/>
        <v/>
      </c>
      <c r="AA951" s="8" t="str">
        <f t="shared" si="310"/>
        <v/>
      </c>
      <c r="AB951" s="8" t="str">
        <f t="shared" si="311"/>
        <v/>
      </c>
      <c r="AC951" s="8"/>
      <c r="AD951" s="8"/>
      <c r="AE951" s="8"/>
      <c r="AK951" s="5" t="str">
        <f t="shared" si="312"/>
        <v/>
      </c>
      <c r="AL951" s="5" t="str">
        <f t="shared" si="313"/>
        <v/>
      </c>
      <c r="AM951" s="5" t="str">
        <f t="shared" si="314"/>
        <v/>
      </c>
      <c r="AN951" s="5" t="str">
        <f t="shared" si="315"/>
        <v/>
      </c>
      <c r="AO951" s="5" t="str">
        <f t="shared" si="316"/>
        <v/>
      </c>
      <c r="AP951" s="5" t="str">
        <f t="shared" si="317"/>
        <v/>
      </c>
      <c r="AQ951" s="5" t="str">
        <f t="shared" si="318"/>
        <v/>
      </c>
      <c r="AR951" s="5" t="str">
        <f t="shared" si="319"/>
        <v/>
      </c>
      <c r="AS951" s="5" t="str">
        <f t="shared" si="320"/>
        <v/>
      </c>
      <c r="AT951" s="5" t="str">
        <f t="shared" si="321"/>
        <v/>
      </c>
      <c r="AU951" s="5" t="str">
        <f t="shared" si="322"/>
        <v/>
      </c>
      <c r="AV951" s="5" t="str">
        <f t="shared" si="323"/>
        <v/>
      </c>
      <c r="AW951" s="5" t="str">
        <f t="shared" si="324"/>
        <v/>
      </c>
      <c r="AX951" s="5" t="str">
        <f t="shared" si="325"/>
        <v/>
      </c>
      <c r="AY951" s="5" t="str">
        <f t="shared" si="326"/>
        <v/>
      </c>
      <c r="AZ951" s="5" t="str">
        <f t="shared" si="327"/>
        <v/>
      </c>
      <c r="BA951" s="5" t="str">
        <f t="shared" si="328"/>
        <v/>
      </c>
      <c r="BB951" s="5" t="str">
        <f t="shared" si="329"/>
        <v/>
      </c>
    </row>
    <row r="952" spans="1:54" s="5" customFormat="1" hidden="1">
      <c r="A952" s="8" t="str">
        <f>IF(INDEX(FORM!$A:$A,ROW())="","",ROW()-1)</f>
        <v/>
      </c>
      <c r="B952" s="41" t="str">
        <f>IF($A952="","",INDEX(FORM!$A:$A,ROW()))</f>
        <v/>
      </c>
      <c r="C952" s="8" t="str">
        <f>IF($A952="","",TRIM(INDEX(FORM!$B:$B,ROW())))</f>
        <v/>
      </c>
      <c r="D952" s="8" t="str">
        <f>IF($A952="","",TRIM(INDEX(FORM!$C:$C,ROW())&amp;""))</f>
        <v/>
      </c>
      <c r="E952" s="8" t="str">
        <f>IF($A952="","",UPPER(TRIM(INDEX(FORM!$D:$D,ROW()))))</f>
        <v/>
      </c>
      <c r="F952" s="8" t="str">
        <f>IF($A952="","",IFERROR(INDEX(PROGRES!$A$2:$A$92,MATCH(E952,PROGRES!$B$2:$B$92,0)),"-"))</f>
        <v/>
      </c>
      <c r="G952" s="8" t="str">
        <f>IF($A952="","",UPPER(TRIM(INDEX(FORM!$F:$F,ROW()))))</f>
        <v/>
      </c>
      <c r="H952" s="8" t="str">
        <f>IF($A952="","",UPPER(TRIM(INDEX(FORM!$E:$E,ROW()))))</f>
        <v/>
      </c>
      <c r="I952" s="8" t="str">
        <f>IF($A952="","",UPPER(TRIM(INDEX(FORM!$G:$G,ROW()))))</f>
        <v/>
      </c>
      <c r="J952" s="8" t="str">
        <f>IF($A952="","",IF(ISNUMBER(SEARCH("Ya,",INDEX(FORM!$H:$H,ROW()))),"YA",IF(ISNUMBER(SEARCH("Cukup,",INDEX(FORM!$H:$H,ROW()))),"CUKUP",IF(ISNUMBER(SEARCH("Kurang,",INDEX(FORM!$H:$H,ROW()))),"KURANG",""))))</f>
        <v/>
      </c>
      <c r="K952" s="8" t="str">
        <f>IF($A952="","",UPPER(TRIM(INDEX(FORM!$J:$J,ROW()))))</f>
        <v/>
      </c>
      <c r="L952" s="8" t="str">
        <f>IF($A952="","",IF(ISNUMBER(SEARCH("Aktivitas Harian",INDEX(FORM!$K:$K,ROW()))),1,0))</f>
        <v/>
      </c>
      <c r="M952" s="8" t="str">
        <f>IF($A952="","",IF(ISNUMBER(SEARCH("Aktivitas Mingguan",INDEX(FORM!$K:$K,ROW()))),1,0))</f>
        <v/>
      </c>
      <c r="N952" s="8" t="str">
        <f>IF($A952="","",IF(ISNUMBER(SEARCH("Aktivitas Bulanan",INDEX(FORM!$K:$K,ROW()))),1,0))</f>
        <v/>
      </c>
      <c r="O952" s="8" t="str">
        <f>IF($A952="","",IF(ISNUMBER(SEARCH("Overview Cabang",INDEX(FORM!$K:$K,ROW()))),1,0))</f>
        <v/>
      </c>
      <c r="P952" s="8" t="str">
        <f>IF($A952="","",IFERROR(VLOOKUP(I952,DATA!$AH$9:$AI$13,2,0),""))</f>
        <v/>
      </c>
      <c r="Q952" s="8" t="str">
        <f>IF($A952="","",IFERROR(VLOOKUP(J952,DATA!$AH$9:$AI$13,2,0),""))</f>
        <v/>
      </c>
      <c r="R952" s="8" t="str">
        <f>IF($A952="","",IFERROR(VLOOKUP(K952,DATA!$AH$9:$AI$13,2,0),""))</f>
        <v/>
      </c>
      <c r="S952" s="42" t="str">
        <f t="shared" si="308"/>
        <v/>
      </c>
      <c r="T952" s="8" t="str">
        <f>IF($A952="","",IF(COUNTIF($D$2:D952,D952)=1,1,0))</f>
        <v/>
      </c>
      <c r="U952" s="8" t="str">
        <f>IF($A952="","",IF(F952="-","Cabang tdk ada",IF(IFERROR(VLOOKUP(G952,#REF!,1,0),"")="","",IF(INDEX(DATA!$AH$2:$AH$5,MATCH(G952,DATA!$AI$2:$AI$5,0))&lt;&gt;F952,"Wilayah beda","OK"))))</f>
        <v/>
      </c>
      <c r="V952" s="8" t="str">
        <f>IF($A952="","",TRIM(INDEX(FORM!$I:$I,ROW())&amp;""))</f>
        <v/>
      </c>
      <c r="W952" s="8" t="str">
        <f>IF($A952="","",TRIM(INDEX(FORM!$L:$L,ROW())&amp;""))</f>
        <v/>
      </c>
      <c r="X952" s="8" t="str">
        <f>IF($A952="","",TRIM(INDEX(FORM!$M:$M,ROW())&amp;""))</f>
        <v/>
      </c>
      <c r="Y952" s="8" t="str">
        <f>IF($A952="","",IFERROR(MATCH(F952,DATA!$AH$2:$AH$5,0),9)*10000+A952)</f>
        <v/>
      </c>
      <c r="Z952" s="8" t="str">
        <f t="shared" si="309"/>
        <v/>
      </c>
      <c r="AA952" s="8" t="str">
        <f t="shared" si="310"/>
        <v/>
      </c>
      <c r="AB952" s="8" t="str">
        <f t="shared" si="311"/>
        <v/>
      </c>
      <c r="AC952" s="8"/>
      <c r="AD952" s="8"/>
      <c r="AE952" s="8"/>
      <c r="AK952" s="5" t="str">
        <f t="shared" si="312"/>
        <v/>
      </c>
      <c r="AL952" s="5" t="str">
        <f t="shared" si="313"/>
        <v/>
      </c>
      <c r="AM952" s="5" t="str">
        <f t="shared" si="314"/>
        <v/>
      </c>
      <c r="AN952" s="5" t="str">
        <f t="shared" si="315"/>
        <v/>
      </c>
      <c r="AO952" s="5" t="str">
        <f t="shared" si="316"/>
        <v/>
      </c>
      <c r="AP952" s="5" t="str">
        <f t="shared" si="317"/>
        <v/>
      </c>
      <c r="AQ952" s="5" t="str">
        <f t="shared" si="318"/>
        <v/>
      </c>
      <c r="AR952" s="5" t="str">
        <f t="shared" si="319"/>
        <v/>
      </c>
      <c r="AS952" s="5" t="str">
        <f t="shared" si="320"/>
        <v/>
      </c>
      <c r="AT952" s="5" t="str">
        <f t="shared" si="321"/>
        <v/>
      </c>
      <c r="AU952" s="5" t="str">
        <f t="shared" si="322"/>
        <v/>
      </c>
      <c r="AV952" s="5" t="str">
        <f t="shared" si="323"/>
        <v/>
      </c>
      <c r="AW952" s="5" t="str">
        <f t="shared" si="324"/>
        <v/>
      </c>
      <c r="AX952" s="5" t="str">
        <f t="shared" si="325"/>
        <v/>
      </c>
      <c r="AY952" s="5" t="str">
        <f t="shared" si="326"/>
        <v/>
      </c>
      <c r="AZ952" s="5" t="str">
        <f t="shared" si="327"/>
        <v/>
      </c>
      <c r="BA952" s="5" t="str">
        <f t="shared" si="328"/>
        <v/>
      </c>
      <c r="BB952" s="5" t="str">
        <f t="shared" si="329"/>
        <v/>
      </c>
    </row>
    <row r="953" spans="1:54" s="5" customFormat="1" hidden="1">
      <c r="A953" s="8" t="str">
        <f>IF(INDEX(FORM!$A:$A,ROW())="","",ROW()-1)</f>
        <v/>
      </c>
      <c r="B953" s="41" t="str">
        <f>IF($A953="","",INDEX(FORM!$A:$A,ROW()))</f>
        <v/>
      </c>
      <c r="C953" s="8" t="str">
        <f>IF($A953="","",TRIM(INDEX(FORM!$B:$B,ROW())))</f>
        <v/>
      </c>
      <c r="D953" s="8" t="str">
        <f>IF($A953="","",TRIM(INDEX(FORM!$C:$C,ROW())&amp;""))</f>
        <v/>
      </c>
      <c r="E953" s="8" t="str">
        <f>IF($A953="","",UPPER(TRIM(INDEX(FORM!$D:$D,ROW()))))</f>
        <v/>
      </c>
      <c r="F953" s="8" t="str">
        <f>IF($A953="","",IFERROR(INDEX(PROGRES!$A$2:$A$92,MATCH(E953,PROGRES!$B$2:$B$92,0)),"-"))</f>
        <v/>
      </c>
      <c r="G953" s="8" t="str">
        <f>IF($A953="","",UPPER(TRIM(INDEX(FORM!$F:$F,ROW()))))</f>
        <v/>
      </c>
      <c r="H953" s="8" t="str">
        <f>IF($A953="","",UPPER(TRIM(INDEX(FORM!$E:$E,ROW()))))</f>
        <v/>
      </c>
      <c r="I953" s="8" t="str">
        <f>IF($A953="","",UPPER(TRIM(INDEX(FORM!$G:$G,ROW()))))</f>
        <v/>
      </c>
      <c r="J953" s="8" t="str">
        <f>IF($A953="","",IF(ISNUMBER(SEARCH("Ya,",INDEX(FORM!$H:$H,ROW()))),"YA",IF(ISNUMBER(SEARCH("Cukup,",INDEX(FORM!$H:$H,ROW()))),"CUKUP",IF(ISNUMBER(SEARCH("Kurang,",INDEX(FORM!$H:$H,ROW()))),"KURANG",""))))</f>
        <v/>
      </c>
      <c r="K953" s="8" t="str">
        <f>IF($A953="","",UPPER(TRIM(INDEX(FORM!$J:$J,ROW()))))</f>
        <v/>
      </c>
      <c r="L953" s="8" t="str">
        <f>IF($A953="","",IF(ISNUMBER(SEARCH("Aktivitas Harian",INDEX(FORM!$K:$K,ROW()))),1,0))</f>
        <v/>
      </c>
      <c r="M953" s="8" t="str">
        <f>IF($A953="","",IF(ISNUMBER(SEARCH("Aktivitas Mingguan",INDEX(FORM!$K:$K,ROW()))),1,0))</f>
        <v/>
      </c>
      <c r="N953" s="8" t="str">
        <f>IF($A953="","",IF(ISNUMBER(SEARCH("Aktivitas Bulanan",INDEX(FORM!$K:$K,ROW()))),1,0))</f>
        <v/>
      </c>
      <c r="O953" s="8" t="str">
        <f>IF($A953="","",IF(ISNUMBER(SEARCH("Overview Cabang",INDEX(FORM!$K:$K,ROW()))),1,0))</f>
        <v/>
      </c>
      <c r="P953" s="8" t="str">
        <f>IF($A953="","",IFERROR(VLOOKUP(I953,DATA!$AH$9:$AI$13,2,0),""))</f>
        <v/>
      </c>
      <c r="Q953" s="8" t="str">
        <f>IF($A953="","",IFERROR(VLOOKUP(J953,DATA!$AH$9:$AI$13,2,0),""))</f>
        <v/>
      </c>
      <c r="R953" s="8" t="str">
        <f>IF($A953="","",IFERROR(VLOOKUP(K953,DATA!$AH$9:$AI$13,2,0),""))</f>
        <v/>
      </c>
      <c r="S953" s="42" t="str">
        <f t="shared" si="308"/>
        <v/>
      </c>
      <c r="T953" s="8" t="str">
        <f>IF($A953="","",IF(COUNTIF($D$2:D953,D953)=1,1,0))</f>
        <v/>
      </c>
      <c r="U953" s="8" t="str">
        <f>IF($A953="","",IF(F953="-","Cabang tdk ada",IF(IFERROR(VLOOKUP(G953,#REF!,1,0),"")="","",IF(INDEX(DATA!$AH$2:$AH$5,MATCH(G953,DATA!$AI$2:$AI$5,0))&lt;&gt;F953,"Wilayah beda","OK"))))</f>
        <v/>
      </c>
      <c r="V953" s="8" t="str">
        <f>IF($A953="","",TRIM(INDEX(FORM!$I:$I,ROW())&amp;""))</f>
        <v/>
      </c>
      <c r="W953" s="8" t="str">
        <f>IF($A953="","",TRIM(INDEX(FORM!$L:$L,ROW())&amp;""))</f>
        <v/>
      </c>
      <c r="X953" s="8" t="str">
        <f>IF($A953="","",TRIM(INDEX(FORM!$M:$M,ROW())&amp;""))</f>
        <v/>
      </c>
      <c r="Y953" s="8" t="str">
        <f>IF($A953="","",IFERROR(MATCH(F953,DATA!$AH$2:$AH$5,0),9)*10000+A953)</f>
        <v/>
      </c>
      <c r="Z953" s="8" t="str">
        <f t="shared" si="309"/>
        <v/>
      </c>
      <c r="AA953" s="8" t="str">
        <f t="shared" si="310"/>
        <v/>
      </c>
      <c r="AB953" s="8" t="str">
        <f t="shared" si="311"/>
        <v/>
      </c>
      <c r="AC953" s="8"/>
      <c r="AD953" s="8"/>
      <c r="AE953" s="8"/>
      <c r="AK953" s="5" t="str">
        <f t="shared" si="312"/>
        <v/>
      </c>
      <c r="AL953" s="5" t="str">
        <f t="shared" si="313"/>
        <v/>
      </c>
      <c r="AM953" s="5" t="str">
        <f t="shared" si="314"/>
        <v/>
      </c>
      <c r="AN953" s="5" t="str">
        <f t="shared" si="315"/>
        <v/>
      </c>
      <c r="AO953" s="5" t="str">
        <f t="shared" si="316"/>
        <v/>
      </c>
      <c r="AP953" s="5" t="str">
        <f t="shared" si="317"/>
        <v/>
      </c>
      <c r="AQ953" s="5" t="str">
        <f t="shared" si="318"/>
        <v/>
      </c>
      <c r="AR953" s="5" t="str">
        <f t="shared" si="319"/>
        <v/>
      </c>
      <c r="AS953" s="5" t="str">
        <f t="shared" si="320"/>
        <v/>
      </c>
      <c r="AT953" s="5" t="str">
        <f t="shared" si="321"/>
        <v/>
      </c>
      <c r="AU953" s="5" t="str">
        <f t="shared" si="322"/>
        <v/>
      </c>
      <c r="AV953" s="5" t="str">
        <f t="shared" si="323"/>
        <v/>
      </c>
      <c r="AW953" s="5" t="str">
        <f t="shared" si="324"/>
        <v/>
      </c>
      <c r="AX953" s="5" t="str">
        <f t="shared" si="325"/>
        <v/>
      </c>
      <c r="AY953" s="5" t="str">
        <f t="shared" si="326"/>
        <v/>
      </c>
      <c r="AZ953" s="5" t="str">
        <f t="shared" si="327"/>
        <v/>
      </c>
      <c r="BA953" s="5" t="str">
        <f t="shared" si="328"/>
        <v/>
      </c>
      <c r="BB953" s="5" t="str">
        <f t="shared" si="329"/>
        <v/>
      </c>
    </row>
    <row r="954" spans="1:54" s="5" customFormat="1" hidden="1">
      <c r="A954" s="8" t="str">
        <f>IF(INDEX(FORM!$A:$A,ROW())="","",ROW()-1)</f>
        <v/>
      </c>
      <c r="B954" s="41" t="str">
        <f>IF($A954="","",INDEX(FORM!$A:$A,ROW()))</f>
        <v/>
      </c>
      <c r="C954" s="8" t="str">
        <f>IF($A954="","",TRIM(INDEX(FORM!$B:$B,ROW())))</f>
        <v/>
      </c>
      <c r="D954" s="8" t="str">
        <f>IF($A954="","",TRIM(INDEX(FORM!$C:$C,ROW())&amp;""))</f>
        <v/>
      </c>
      <c r="E954" s="8" t="str">
        <f>IF($A954="","",UPPER(TRIM(INDEX(FORM!$D:$D,ROW()))))</f>
        <v/>
      </c>
      <c r="F954" s="8" t="str">
        <f>IF($A954="","",IFERROR(INDEX(PROGRES!$A$2:$A$92,MATCH(E954,PROGRES!$B$2:$B$92,0)),"-"))</f>
        <v/>
      </c>
      <c r="G954" s="8" t="str">
        <f>IF($A954="","",UPPER(TRIM(INDEX(FORM!$F:$F,ROW()))))</f>
        <v/>
      </c>
      <c r="H954" s="8" t="str">
        <f>IF($A954="","",UPPER(TRIM(INDEX(FORM!$E:$E,ROW()))))</f>
        <v/>
      </c>
      <c r="I954" s="8" t="str">
        <f>IF($A954="","",UPPER(TRIM(INDEX(FORM!$G:$G,ROW()))))</f>
        <v/>
      </c>
      <c r="J954" s="8" t="str">
        <f>IF($A954="","",IF(ISNUMBER(SEARCH("Ya,",INDEX(FORM!$H:$H,ROW()))),"YA",IF(ISNUMBER(SEARCH("Cukup,",INDEX(FORM!$H:$H,ROW()))),"CUKUP",IF(ISNUMBER(SEARCH("Kurang,",INDEX(FORM!$H:$H,ROW()))),"KURANG",""))))</f>
        <v/>
      </c>
      <c r="K954" s="8" t="str">
        <f>IF($A954="","",UPPER(TRIM(INDEX(FORM!$J:$J,ROW()))))</f>
        <v/>
      </c>
      <c r="L954" s="8" t="str">
        <f>IF($A954="","",IF(ISNUMBER(SEARCH("Aktivitas Harian",INDEX(FORM!$K:$K,ROW()))),1,0))</f>
        <v/>
      </c>
      <c r="M954" s="8" t="str">
        <f>IF($A954="","",IF(ISNUMBER(SEARCH("Aktivitas Mingguan",INDEX(FORM!$K:$K,ROW()))),1,0))</f>
        <v/>
      </c>
      <c r="N954" s="8" t="str">
        <f>IF($A954="","",IF(ISNUMBER(SEARCH("Aktivitas Bulanan",INDEX(FORM!$K:$K,ROW()))),1,0))</f>
        <v/>
      </c>
      <c r="O954" s="8" t="str">
        <f>IF($A954="","",IF(ISNUMBER(SEARCH("Overview Cabang",INDEX(FORM!$K:$K,ROW()))),1,0))</f>
        <v/>
      </c>
      <c r="P954" s="8" t="str">
        <f>IF($A954="","",IFERROR(VLOOKUP(I954,DATA!$AH$9:$AI$13,2,0),""))</f>
        <v/>
      </c>
      <c r="Q954" s="8" t="str">
        <f>IF($A954="","",IFERROR(VLOOKUP(J954,DATA!$AH$9:$AI$13,2,0),""))</f>
        <v/>
      </c>
      <c r="R954" s="8" t="str">
        <f>IF($A954="","",IFERROR(VLOOKUP(K954,DATA!$AH$9:$AI$13,2,0),""))</f>
        <v/>
      </c>
      <c r="S954" s="42" t="str">
        <f t="shared" si="308"/>
        <v/>
      </c>
      <c r="T954" s="8" t="str">
        <f>IF($A954="","",IF(COUNTIF($D$2:D954,D954)=1,1,0))</f>
        <v/>
      </c>
      <c r="U954" s="8" t="str">
        <f>IF($A954="","",IF(F954="-","Cabang tdk ada",IF(IFERROR(VLOOKUP(G954,#REF!,1,0),"")="","",IF(INDEX(DATA!$AH$2:$AH$5,MATCH(G954,DATA!$AI$2:$AI$5,0))&lt;&gt;F954,"Wilayah beda","OK"))))</f>
        <v/>
      </c>
      <c r="V954" s="8" t="str">
        <f>IF($A954="","",TRIM(INDEX(FORM!$I:$I,ROW())&amp;""))</f>
        <v/>
      </c>
      <c r="W954" s="8" t="str">
        <f>IF($A954="","",TRIM(INDEX(FORM!$L:$L,ROW())&amp;""))</f>
        <v/>
      </c>
      <c r="X954" s="8" t="str">
        <f>IF($A954="","",TRIM(INDEX(FORM!$M:$M,ROW())&amp;""))</f>
        <v/>
      </c>
      <c r="Y954" s="8" t="str">
        <f>IF($A954="","",IFERROR(MATCH(F954,DATA!$AH$2:$AH$5,0),9)*10000+A954)</f>
        <v/>
      </c>
      <c r="Z954" s="8" t="str">
        <f t="shared" si="309"/>
        <v/>
      </c>
      <c r="AA954" s="8" t="str">
        <f t="shared" si="310"/>
        <v/>
      </c>
      <c r="AB954" s="8" t="str">
        <f t="shared" si="311"/>
        <v/>
      </c>
      <c r="AC954" s="8"/>
      <c r="AD954" s="8"/>
      <c r="AE954" s="8"/>
      <c r="AK954" s="5" t="str">
        <f t="shared" si="312"/>
        <v/>
      </c>
      <c r="AL954" s="5" t="str">
        <f t="shared" si="313"/>
        <v/>
      </c>
      <c r="AM954" s="5" t="str">
        <f t="shared" si="314"/>
        <v/>
      </c>
      <c r="AN954" s="5" t="str">
        <f t="shared" si="315"/>
        <v/>
      </c>
      <c r="AO954" s="5" t="str">
        <f t="shared" si="316"/>
        <v/>
      </c>
      <c r="AP954" s="5" t="str">
        <f t="shared" si="317"/>
        <v/>
      </c>
      <c r="AQ954" s="5" t="str">
        <f t="shared" si="318"/>
        <v/>
      </c>
      <c r="AR954" s="5" t="str">
        <f t="shared" si="319"/>
        <v/>
      </c>
      <c r="AS954" s="5" t="str">
        <f t="shared" si="320"/>
        <v/>
      </c>
      <c r="AT954" s="5" t="str">
        <f t="shared" si="321"/>
        <v/>
      </c>
      <c r="AU954" s="5" t="str">
        <f t="shared" si="322"/>
        <v/>
      </c>
      <c r="AV954" s="5" t="str">
        <f t="shared" si="323"/>
        <v/>
      </c>
      <c r="AW954" s="5" t="str">
        <f t="shared" si="324"/>
        <v/>
      </c>
      <c r="AX954" s="5" t="str">
        <f t="shared" si="325"/>
        <v/>
      </c>
      <c r="AY954" s="5" t="str">
        <f t="shared" si="326"/>
        <v/>
      </c>
      <c r="AZ954" s="5" t="str">
        <f t="shared" si="327"/>
        <v/>
      </c>
      <c r="BA954" s="5" t="str">
        <f t="shared" si="328"/>
        <v/>
      </c>
      <c r="BB954" s="5" t="str">
        <f t="shared" si="329"/>
        <v/>
      </c>
    </row>
    <row r="955" spans="1:54" s="5" customFormat="1" hidden="1">
      <c r="A955" s="8" t="str">
        <f>IF(INDEX(FORM!$A:$A,ROW())="","",ROW()-1)</f>
        <v/>
      </c>
      <c r="B955" s="41" t="str">
        <f>IF($A955="","",INDEX(FORM!$A:$A,ROW()))</f>
        <v/>
      </c>
      <c r="C955" s="8" t="str">
        <f>IF($A955="","",TRIM(INDEX(FORM!$B:$B,ROW())))</f>
        <v/>
      </c>
      <c r="D955" s="8" t="str">
        <f>IF($A955="","",TRIM(INDEX(FORM!$C:$C,ROW())&amp;""))</f>
        <v/>
      </c>
      <c r="E955" s="8" t="str">
        <f>IF($A955="","",UPPER(TRIM(INDEX(FORM!$D:$D,ROW()))))</f>
        <v/>
      </c>
      <c r="F955" s="8" t="str">
        <f>IF($A955="","",IFERROR(INDEX(PROGRES!$A$2:$A$92,MATCH(E955,PROGRES!$B$2:$B$92,0)),"-"))</f>
        <v/>
      </c>
      <c r="G955" s="8" t="str">
        <f>IF($A955="","",UPPER(TRIM(INDEX(FORM!$F:$F,ROW()))))</f>
        <v/>
      </c>
      <c r="H955" s="8" t="str">
        <f>IF($A955="","",UPPER(TRIM(INDEX(FORM!$E:$E,ROW()))))</f>
        <v/>
      </c>
      <c r="I955" s="8" t="str">
        <f>IF($A955="","",UPPER(TRIM(INDEX(FORM!$G:$G,ROW()))))</f>
        <v/>
      </c>
      <c r="J955" s="8" t="str">
        <f>IF($A955="","",IF(ISNUMBER(SEARCH("Ya,",INDEX(FORM!$H:$H,ROW()))),"YA",IF(ISNUMBER(SEARCH("Cukup,",INDEX(FORM!$H:$H,ROW()))),"CUKUP",IF(ISNUMBER(SEARCH("Kurang,",INDEX(FORM!$H:$H,ROW()))),"KURANG",""))))</f>
        <v/>
      </c>
      <c r="K955" s="8" t="str">
        <f>IF($A955="","",UPPER(TRIM(INDEX(FORM!$J:$J,ROW()))))</f>
        <v/>
      </c>
      <c r="L955" s="8" t="str">
        <f>IF($A955="","",IF(ISNUMBER(SEARCH("Aktivitas Harian",INDEX(FORM!$K:$K,ROW()))),1,0))</f>
        <v/>
      </c>
      <c r="M955" s="8" t="str">
        <f>IF($A955="","",IF(ISNUMBER(SEARCH("Aktivitas Mingguan",INDEX(FORM!$K:$K,ROW()))),1,0))</f>
        <v/>
      </c>
      <c r="N955" s="8" t="str">
        <f>IF($A955="","",IF(ISNUMBER(SEARCH("Aktivitas Bulanan",INDEX(FORM!$K:$K,ROW()))),1,0))</f>
        <v/>
      </c>
      <c r="O955" s="8" t="str">
        <f>IF($A955="","",IF(ISNUMBER(SEARCH("Overview Cabang",INDEX(FORM!$K:$K,ROW()))),1,0))</f>
        <v/>
      </c>
      <c r="P955" s="8" t="str">
        <f>IF($A955="","",IFERROR(VLOOKUP(I955,DATA!$AH$9:$AI$13,2,0),""))</f>
        <v/>
      </c>
      <c r="Q955" s="8" t="str">
        <f>IF($A955="","",IFERROR(VLOOKUP(J955,DATA!$AH$9:$AI$13,2,0),""))</f>
        <v/>
      </c>
      <c r="R955" s="8" t="str">
        <f>IF($A955="","",IFERROR(VLOOKUP(K955,DATA!$AH$9:$AI$13,2,0),""))</f>
        <v/>
      </c>
      <c r="S955" s="42" t="str">
        <f t="shared" si="308"/>
        <v/>
      </c>
      <c r="T955" s="8" t="str">
        <f>IF($A955="","",IF(COUNTIF($D$2:D955,D955)=1,1,0))</f>
        <v/>
      </c>
      <c r="U955" s="8" t="str">
        <f>IF($A955="","",IF(F955="-","Cabang tdk ada",IF(IFERROR(VLOOKUP(G955,#REF!,1,0),"")="","",IF(INDEX(DATA!$AH$2:$AH$5,MATCH(G955,DATA!$AI$2:$AI$5,0))&lt;&gt;F955,"Wilayah beda","OK"))))</f>
        <v/>
      </c>
      <c r="V955" s="8" t="str">
        <f>IF($A955="","",TRIM(INDEX(FORM!$I:$I,ROW())&amp;""))</f>
        <v/>
      </c>
      <c r="W955" s="8" t="str">
        <f>IF($A955="","",TRIM(INDEX(FORM!$L:$L,ROW())&amp;""))</f>
        <v/>
      </c>
      <c r="X955" s="8" t="str">
        <f>IF($A955="","",TRIM(INDEX(FORM!$M:$M,ROW())&amp;""))</f>
        <v/>
      </c>
      <c r="Y955" s="8" t="str">
        <f>IF($A955="","",IFERROR(MATCH(F955,DATA!$AH$2:$AH$5,0),9)*10000+A955)</f>
        <v/>
      </c>
      <c r="Z955" s="8" t="str">
        <f t="shared" si="309"/>
        <v/>
      </c>
      <c r="AA955" s="8" t="str">
        <f t="shared" si="310"/>
        <v/>
      </c>
      <c r="AB955" s="8" t="str">
        <f t="shared" si="311"/>
        <v/>
      </c>
      <c r="AC955" s="8"/>
      <c r="AD955" s="8"/>
      <c r="AE955" s="8"/>
      <c r="AK955" s="5" t="str">
        <f t="shared" si="312"/>
        <v/>
      </c>
      <c r="AL955" s="5" t="str">
        <f t="shared" si="313"/>
        <v/>
      </c>
      <c r="AM955" s="5" t="str">
        <f t="shared" si="314"/>
        <v/>
      </c>
      <c r="AN955" s="5" t="str">
        <f t="shared" si="315"/>
        <v/>
      </c>
      <c r="AO955" s="5" t="str">
        <f t="shared" si="316"/>
        <v/>
      </c>
      <c r="AP955" s="5" t="str">
        <f t="shared" si="317"/>
        <v/>
      </c>
      <c r="AQ955" s="5" t="str">
        <f t="shared" si="318"/>
        <v/>
      </c>
      <c r="AR955" s="5" t="str">
        <f t="shared" si="319"/>
        <v/>
      </c>
      <c r="AS955" s="5" t="str">
        <f t="shared" si="320"/>
        <v/>
      </c>
      <c r="AT955" s="5" t="str">
        <f t="shared" si="321"/>
        <v/>
      </c>
      <c r="AU955" s="5" t="str">
        <f t="shared" si="322"/>
        <v/>
      </c>
      <c r="AV955" s="5" t="str">
        <f t="shared" si="323"/>
        <v/>
      </c>
      <c r="AW955" s="5" t="str">
        <f t="shared" si="324"/>
        <v/>
      </c>
      <c r="AX955" s="5" t="str">
        <f t="shared" si="325"/>
        <v/>
      </c>
      <c r="AY955" s="5" t="str">
        <f t="shared" si="326"/>
        <v/>
      </c>
      <c r="AZ955" s="5" t="str">
        <f t="shared" si="327"/>
        <v/>
      </c>
      <c r="BA955" s="5" t="str">
        <f t="shared" si="328"/>
        <v/>
      </c>
      <c r="BB955" s="5" t="str">
        <f t="shared" si="329"/>
        <v/>
      </c>
    </row>
    <row r="956" spans="1:54" s="5" customFormat="1" hidden="1">
      <c r="A956" s="8" t="str">
        <f>IF(INDEX(FORM!$A:$A,ROW())="","",ROW()-1)</f>
        <v/>
      </c>
      <c r="B956" s="41" t="str">
        <f>IF($A956="","",INDEX(FORM!$A:$A,ROW()))</f>
        <v/>
      </c>
      <c r="C956" s="8" t="str">
        <f>IF($A956="","",TRIM(INDEX(FORM!$B:$B,ROW())))</f>
        <v/>
      </c>
      <c r="D956" s="8" t="str">
        <f>IF($A956="","",TRIM(INDEX(FORM!$C:$C,ROW())&amp;""))</f>
        <v/>
      </c>
      <c r="E956" s="8" t="str">
        <f>IF($A956="","",UPPER(TRIM(INDEX(FORM!$D:$D,ROW()))))</f>
        <v/>
      </c>
      <c r="F956" s="8" t="str">
        <f>IF($A956="","",IFERROR(INDEX(PROGRES!$A$2:$A$92,MATCH(E956,PROGRES!$B$2:$B$92,0)),"-"))</f>
        <v/>
      </c>
      <c r="G956" s="8" t="str">
        <f>IF($A956="","",UPPER(TRIM(INDEX(FORM!$F:$F,ROW()))))</f>
        <v/>
      </c>
      <c r="H956" s="8" t="str">
        <f>IF($A956="","",UPPER(TRIM(INDEX(FORM!$E:$E,ROW()))))</f>
        <v/>
      </c>
      <c r="I956" s="8" t="str">
        <f>IF($A956="","",UPPER(TRIM(INDEX(FORM!$G:$G,ROW()))))</f>
        <v/>
      </c>
      <c r="J956" s="8" t="str">
        <f>IF($A956="","",IF(ISNUMBER(SEARCH("Ya,",INDEX(FORM!$H:$H,ROW()))),"YA",IF(ISNUMBER(SEARCH("Cukup,",INDEX(FORM!$H:$H,ROW()))),"CUKUP",IF(ISNUMBER(SEARCH("Kurang,",INDEX(FORM!$H:$H,ROW()))),"KURANG",""))))</f>
        <v/>
      </c>
      <c r="K956" s="8" t="str">
        <f>IF($A956="","",UPPER(TRIM(INDEX(FORM!$J:$J,ROW()))))</f>
        <v/>
      </c>
      <c r="L956" s="8" t="str">
        <f>IF($A956="","",IF(ISNUMBER(SEARCH("Aktivitas Harian",INDEX(FORM!$K:$K,ROW()))),1,0))</f>
        <v/>
      </c>
      <c r="M956" s="8" t="str">
        <f>IF($A956="","",IF(ISNUMBER(SEARCH("Aktivitas Mingguan",INDEX(FORM!$K:$K,ROW()))),1,0))</f>
        <v/>
      </c>
      <c r="N956" s="8" t="str">
        <f>IF($A956="","",IF(ISNUMBER(SEARCH("Aktivitas Bulanan",INDEX(FORM!$K:$K,ROW()))),1,0))</f>
        <v/>
      </c>
      <c r="O956" s="8" t="str">
        <f>IF($A956="","",IF(ISNUMBER(SEARCH("Overview Cabang",INDEX(FORM!$K:$K,ROW()))),1,0))</f>
        <v/>
      </c>
      <c r="P956" s="8" t="str">
        <f>IF($A956="","",IFERROR(VLOOKUP(I956,DATA!$AH$9:$AI$13,2,0),""))</f>
        <v/>
      </c>
      <c r="Q956" s="8" t="str">
        <f>IF($A956="","",IFERROR(VLOOKUP(J956,DATA!$AH$9:$AI$13,2,0),""))</f>
        <v/>
      </c>
      <c r="R956" s="8" t="str">
        <f>IF($A956="","",IFERROR(VLOOKUP(K956,DATA!$AH$9:$AI$13,2,0),""))</f>
        <v/>
      </c>
      <c r="S956" s="42" t="str">
        <f t="shared" si="308"/>
        <v/>
      </c>
      <c r="T956" s="8" t="str">
        <f>IF($A956="","",IF(COUNTIF($D$2:D956,D956)=1,1,0))</f>
        <v/>
      </c>
      <c r="U956" s="8" t="str">
        <f>IF($A956="","",IF(F956="-","Cabang tdk ada",IF(IFERROR(VLOOKUP(G956,#REF!,1,0),"")="","",IF(INDEX(DATA!$AH$2:$AH$5,MATCH(G956,DATA!$AI$2:$AI$5,0))&lt;&gt;F956,"Wilayah beda","OK"))))</f>
        <v/>
      </c>
      <c r="V956" s="8" t="str">
        <f>IF($A956="","",TRIM(INDEX(FORM!$I:$I,ROW())&amp;""))</f>
        <v/>
      </c>
      <c r="W956" s="8" t="str">
        <f>IF($A956="","",TRIM(INDEX(FORM!$L:$L,ROW())&amp;""))</f>
        <v/>
      </c>
      <c r="X956" s="8" t="str">
        <f>IF($A956="","",TRIM(INDEX(FORM!$M:$M,ROW())&amp;""))</f>
        <v/>
      </c>
      <c r="Y956" s="8" t="str">
        <f>IF($A956="","",IFERROR(MATCH(F956,DATA!$AH$2:$AH$5,0),9)*10000+A956)</f>
        <v/>
      </c>
      <c r="Z956" s="8" t="str">
        <f t="shared" si="309"/>
        <v/>
      </c>
      <c r="AA956" s="8" t="str">
        <f t="shared" si="310"/>
        <v/>
      </c>
      <c r="AB956" s="8" t="str">
        <f t="shared" si="311"/>
        <v/>
      </c>
      <c r="AC956" s="8"/>
      <c r="AD956" s="8"/>
      <c r="AE956" s="8"/>
      <c r="AK956" s="5" t="str">
        <f t="shared" si="312"/>
        <v/>
      </c>
      <c r="AL956" s="5" t="str">
        <f t="shared" si="313"/>
        <v/>
      </c>
      <c r="AM956" s="5" t="str">
        <f t="shared" si="314"/>
        <v/>
      </c>
      <c r="AN956" s="5" t="str">
        <f t="shared" si="315"/>
        <v/>
      </c>
      <c r="AO956" s="5" t="str">
        <f t="shared" si="316"/>
        <v/>
      </c>
      <c r="AP956" s="5" t="str">
        <f t="shared" si="317"/>
        <v/>
      </c>
      <c r="AQ956" s="5" t="str">
        <f t="shared" si="318"/>
        <v/>
      </c>
      <c r="AR956" s="5" t="str">
        <f t="shared" si="319"/>
        <v/>
      </c>
      <c r="AS956" s="5" t="str">
        <f t="shared" si="320"/>
        <v/>
      </c>
      <c r="AT956" s="5" t="str">
        <f t="shared" si="321"/>
        <v/>
      </c>
      <c r="AU956" s="5" t="str">
        <f t="shared" si="322"/>
        <v/>
      </c>
      <c r="AV956" s="5" t="str">
        <f t="shared" si="323"/>
        <v/>
      </c>
      <c r="AW956" s="5" t="str">
        <f t="shared" si="324"/>
        <v/>
      </c>
      <c r="AX956" s="5" t="str">
        <f t="shared" si="325"/>
        <v/>
      </c>
      <c r="AY956" s="5" t="str">
        <f t="shared" si="326"/>
        <v/>
      </c>
      <c r="AZ956" s="5" t="str">
        <f t="shared" si="327"/>
        <v/>
      </c>
      <c r="BA956" s="5" t="str">
        <f t="shared" si="328"/>
        <v/>
      </c>
      <c r="BB956" s="5" t="str">
        <f t="shared" si="329"/>
        <v/>
      </c>
    </row>
    <row r="957" spans="1:54" s="5" customFormat="1" hidden="1">
      <c r="A957" s="8" t="str">
        <f>IF(INDEX(FORM!$A:$A,ROW())="","",ROW()-1)</f>
        <v/>
      </c>
      <c r="B957" s="41" t="str">
        <f>IF($A957="","",INDEX(FORM!$A:$A,ROW()))</f>
        <v/>
      </c>
      <c r="C957" s="8" t="str">
        <f>IF($A957="","",TRIM(INDEX(FORM!$B:$B,ROW())))</f>
        <v/>
      </c>
      <c r="D957" s="8" t="str">
        <f>IF($A957="","",TRIM(INDEX(FORM!$C:$C,ROW())&amp;""))</f>
        <v/>
      </c>
      <c r="E957" s="8" t="str">
        <f>IF($A957="","",UPPER(TRIM(INDEX(FORM!$D:$D,ROW()))))</f>
        <v/>
      </c>
      <c r="F957" s="8" t="str">
        <f>IF($A957="","",IFERROR(INDEX(PROGRES!$A$2:$A$92,MATCH(E957,PROGRES!$B$2:$B$92,0)),"-"))</f>
        <v/>
      </c>
      <c r="G957" s="8" t="str">
        <f>IF($A957="","",UPPER(TRIM(INDEX(FORM!$F:$F,ROW()))))</f>
        <v/>
      </c>
      <c r="H957" s="8" t="str">
        <f>IF($A957="","",UPPER(TRIM(INDEX(FORM!$E:$E,ROW()))))</f>
        <v/>
      </c>
      <c r="I957" s="8" t="str">
        <f>IF($A957="","",UPPER(TRIM(INDEX(FORM!$G:$G,ROW()))))</f>
        <v/>
      </c>
      <c r="J957" s="8" t="str">
        <f>IF($A957="","",IF(ISNUMBER(SEARCH("Ya,",INDEX(FORM!$H:$H,ROW()))),"YA",IF(ISNUMBER(SEARCH("Cukup,",INDEX(FORM!$H:$H,ROW()))),"CUKUP",IF(ISNUMBER(SEARCH("Kurang,",INDEX(FORM!$H:$H,ROW()))),"KURANG",""))))</f>
        <v/>
      </c>
      <c r="K957" s="8" t="str">
        <f>IF($A957="","",UPPER(TRIM(INDEX(FORM!$J:$J,ROW()))))</f>
        <v/>
      </c>
      <c r="L957" s="8" t="str">
        <f>IF($A957="","",IF(ISNUMBER(SEARCH("Aktivitas Harian",INDEX(FORM!$K:$K,ROW()))),1,0))</f>
        <v/>
      </c>
      <c r="M957" s="8" t="str">
        <f>IF($A957="","",IF(ISNUMBER(SEARCH("Aktivitas Mingguan",INDEX(FORM!$K:$K,ROW()))),1,0))</f>
        <v/>
      </c>
      <c r="N957" s="8" t="str">
        <f>IF($A957="","",IF(ISNUMBER(SEARCH("Aktivitas Bulanan",INDEX(FORM!$K:$K,ROW()))),1,0))</f>
        <v/>
      </c>
      <c r="O957" s="8" t="str">
        <f>IF($A957="","",IF(ISNUMBER(SEARCH("Overview Cabang",INDEX(FORM!$K:$K,ROW()))),1,0))</f>
        <v/>
      </c>
      <c r="P957" s="8" t="str">
        <f>IF($A957="","",IFERROR(VLOOKUP(I957,DATA!$AH$9:$AI$13,2,0),""))</f>
        <v/>
      </c>
      <c r="Q957" s="8" t="str">
        <f>IF($A957="","",IFERROR(VLOOKUP(J957,DATA!$AH$9:$AI$13,2,0),""))</f>
        <v/>
      </c>
      <c r="R957" s="8" t="str">
        <f>IF($A957="","",IFERROR(VLOOKUP(K957,DATA!$AH$9:$AI$13,2,0),""))</f>
        <v/>
      </c>
      <c r="S957" s="42" t="str">
        <f t="shared" si="308"/>
        <v/>
      </c>
      <c r="T957" s="8" t="str">
        <f>IF($A957="","",IF(COUNTIF($D$2:D957,D957)=1,1,0))</f>
        <v/>
      </c>
      <c r="U957" s="8" t="str">
        <f>IF($A957="","",IF(F957="-","Cabang tdk ada",IF(IFERROR(VLOOKUP(G957,#REF!,1,0),"")="","",IF(INDEX(DATA!$AH$2:$AH$5,MATCH(G957,DATA!$AI$2:$AI$5,0))&lt;&gt;F957,"Wilayah beda","OK"))))</f>
        <v/>
      </c>
      <c r="V957" s="8" t="str">
        <f>IF($A957="","",TRIM(INDEX(FORM!$I:$I,ROW())&amp;""))</f>
        <v/>
      </c>
      <c r="W957" s="8" t="str">
        <f>IF($A957="","",TRIM(INDEX(FORM!$L:$L,ROW())&amp;""))</f>
        <v/>
      </c>
      <c r="X957" s="8" t="str">
        <f>IF($A957="","",TRIM(INDEX(FORM!$M:$M,ROW())&amp;""))</f>
        <v/>
      </c>
      <c r="Y957" s="8" t="str">
        <f>IF($A957="","",IFERROR(MATCH(F957,DATA!$AH$2:$AH$5,0),9)*10000+A957)</f>
        <v/>
      </c>
      <c r="Z957" s="8" t="str">
        <f t="shared" si="309"/>
        <v/>
      </c>
      <c r="AA957" s="8" t="str">
        <f t="shared" si="310"/>
        <v/>
      </c>
      <c r="AB957" s="8" t="str">
        <f t="shared" si="311"/>
        <v/>
      </c>
      <c r="AC957" s="8"/>
      <c r="AD957" s="8"/>
      <c r="AE957" s="8"/>
      <c r="AK957" s="5" t="str">
        <f t="shared" si="312"/>
        <v/>
      </c>
      <c r="AL957" s="5" t="str">
        <f t="shared" si="313"/>
        <v/>
      </c>
      <c r="AM957" s="5" t="str">
        <f t="shared" si="314"/>
        <v/>
      </c>
      <c r="AN957" s="5" t="str">
        <f t="shared" si="315"/>
        <v/>
      </c>
      <c r="AO957" s="5" t="str">
        <f t="shared" si="316"/>
        <v/>
      </c>
      <c r="AP957" s="5" t="str">
        <f t="shared" si="317"/>
        <v/>
      </c>
      <c r="AQ957" s="5" t="str">
        <f t="shared" si="318"/>
        <v/>
      </c>
      <c r="AR957" s="5" t="str">
        <f t="shared" si="319"/>
        <v/>
      </c>
      <c r="AS957" s="5" t="str">
        <f t="shared" si="320"/>
        <v/>
      </c>
      <c r="AT957" s="5" t="str">
        <f t="shared" si="321"/>
        <v/>
      </c>
      <c r="AU957" s="5" t="str">
        <f t="shared" si="322"/>
        <v/>
      </c>
      <c r="AV957" s="5" t="str">
        <f t="shared" si="323"/>
        <v/>
      </c>
      <c r="AW957" s="5" t="str">
        <f t="shared" si="324"/>
        <v/>
      </c>
      <c r="AX957" s="5" t="str">
        <f t="shared" si="325"/>
        <v/>
      </c>
      <c r="AY957" s="5" t="str">
        <f t="shared" si="326"/>
        <v/>
      </c>
      <c r="AZ957" s="5" t="str">
        <f t="shared" si="327"/>
        <v/>
      </c>
      <c r="BA957" s="5" t="str">
        <f t="shared" si="328"/>
        <v/>
      </c>
      <c r="BB957" s="5" t="str">
        <f t="shared" si="329"/>
        <v/>
      </c>
    </row>
    <row r="958" spans="1:54" s="5" customFormat="1" hidden="1">
      <c r="A958" s="8" t="str">
        <f>IF(INDEX(FORM!$A:$A,ROW())="","",ROW()-1)</f>
        <v/>
      </c>
      <c r="B958" s="41" t="str">
        <f>IF($A958="","",INDEX(FORM!$A:$A,ROW()))</f>
        <v/>
      </c>
      <c r="C958" s="8" t="str">
        <f>IF($A958="","",TRIM(INDEX(FORM!$B:$B,ROW())))</f>
        <v/>
      </c>
      <c r="D958" s="8" t="str">
        <f>IF($A958="","",TRIM(INDEX(FORM!$C:$C,ROW())&amp;""))</f>
        <v/>
      </c>
      <c r="E958" s="8" t="str">
        <f>IF($A958="","",UPPER(TRIM(INDEX(FORM!$D:$D,ROW()))))</f>
        <v/>
      </c>
      <c r="F958" s="8" t="str">
        <f>IF($A958="","",IFERROR(INDEX(PROGRES!$A$2:$A$92,MATCH(E958,PROGRES!$B$2:$B$92,0)),"-"))</f>
        <v/>
      </c>
      <c r="G958" s="8" t="str">
        <f>IF($A958="","",UPPER(TRIM(INDEX(FORM!$F:$F,ROW()))))</f>
        <v/>
      </c>
      <c r="H958" s="8" t="str">
        <f>IF($A958="","",UPPER(TRIM(INDEX(FORM!$E:$E,ROW()))))</f>
        <v/>
      </c>
      <c r="I958" s="8" t="str">
        <f>IF($A958="","",UPPER(TRIM(INDEX(FORM!$G:$G,ROW()))))</f>
        <v/>
      </c>
      <c r="J958" s="8" t="str">
        <f>IF($A958="","",IF(ISNUMBER(SEARCH("Ya,",INDEX(FORM!$H:$H,ROW()))),"YA",IF(ISNUMBER(SEARCH("Cukup,",INDEX(FORM!$H:$H,ROW()))),"CUKUP",IF(ISNUMBER(SEARCH("Kurang,",INDEX(FORM!$H:$H,ROW()))),"KURANG",""))))</f>
        <v/>
      </c>
      <c r="K958" s="8" t="str">
        <f>IF($A958="","",UPPER(TRIM(INDEX(FORM!$J:$J,ROW()))))</f>
        <v/>
      </c>
      <c r="L958" s="8" t="str">
        <f>IF($A958="","",IF(ISNUMBER(SEARCH("Aktivitas Harian",INDEX(FORM!$K:$K,ROW()))),1,0))</f>
        <v/>
      </c>
      <c r="M958" s="8" t="str">
        <f>IF($A958="","",IF(ISNUMBER(SEARCH("Aktivitas Mingguan",INDEX(FORM!$K:$K,ROW()))),1,0))</f>
        <v/>
      </c>
      <c r="N958" s="8" t="str">
        <f>IF($A958="","",IF(ISNUMBER(SEARCH("Aktivitas Bulanan",INDEX(FORM!$K:$K,ROW()))),1,0))</f>
        <v/>
      </c>
      <c r="O958" s="8" t="str">
        <f>IF($A958="","",IF(ISNUMBER(SEARCH("Overview Cabang",INDEX(FORM!$K:$K,ROW()))),1,0))</f>
        <v/>
      </c>
      <c r="P958" s="8" t="str">
        <f>IF($A958="","",IFERROR(VLOOKUP(I958,DATA!$AH$9:$AI$13,2,0),""))</f>
        <v/>
      </c>
      <c r="Q958" s="8" t="str">
        <f>IF($A958="","",IFERROR(VLOOKUP(J958,DATA!$AH$9:$AI$13,2,0),""))</f>
        <v/>
      </c>
      <c r="R958" s="8" t="str">
        <f>IF($A958="","",IFERROR(VLOOKUP(K958,DATA!$AH$9:$AI$13,2,0),""))</f>
        <v/>
      </c>
      <c r="S958" s="42" t="str">
        <f t="shared" si="308"/>
        <v/>
      </c>
      <c r="T958" s="8" t="str">
        <f>IF($A958="","",IF(COUNTIF($D$2:D958,D958)=1,1,0))</f>
        <v/>
      </c>
      <c r="U958" s="8" t="str">
        <f>IF($A958="","",IF(F958="-","Cabang tdk ada",IF(IFERROR(VLOOKUP(G958,#REF!,1,0),"")="","",IF(INDEX(DATA!$AH$2:$AH$5,MATCH(G958,DATA!$AI$2:$AI$5,0))&lt;&gt;F958,"Wilayah beda","OK"))))</f>
        <v/>
      </c>
      <c r="V958" s="8" t="str">
        <f>IF($A958="","",TRIM(INDEX(FORM!$I:$I,ROW())&amp;""))</f>
        <v/>
      </c>
      <c r="W958" s="8" t="str">
        <f>IF($A958="","",TRIM(INDEX(FORM!$L:$L,ROW())&amp;""))</f>
        <v/>
      </c>
      <c r="X958" s="8" t="str">
        <f>IF($A958="","",TRIM(INDEX(FORM!$M:$M,ROW())&amp;""))</f>
        <v/>
      </c>
      <c r="Y958" s="8" t="str">
        <f>IF($A958="","",IFERROR(MATCH(F958,DATA!$AH$2:$AH$5,0),9)*10000+A958)</f>
        <v/>
      </c>
      <c r="Z958" s="8" t="str">
        <f t="shared" si="309"/>
        <v/>
      </c>
      <c r="AA958" s="8" t="str">
        <f t="shared" si="310"/>
        <v/>
      </c>
      <c r="AB958" s="8" t="str">
        <f t="shared" si="311"/>
        <v/>
      </c>
      <c r="AC958" s="8"/>
      <c r="AD958" s="8"/>
      <c r="AE958" s="8"/>
      <c r="AK958" s="5" t="str">
        <f t="shared" si="312"/>
        <v/>
      </c>
      <c r="AL958" s="5" t="str">
        <f t="shared" si="313"/>
        <v/>
      </c>
      <c r="AM958" s="5" t="str">
        <f t="shared" si="314"/>
        <v/>
      </c>
      <c r="AN958" s="5" t="str">
        <f t="shared" si="315"/>
        <v/>
      </c>
      <c r="AO958" s="5" t="str">
        <f t="shared" si="316"/>
        <v/>
      </c>
      <c r="AP958" s="5" t="str">
        <f t="shared" si="317"/>
        <v/>
      </c>
      <c r="AQ958" s="5" t="str">
        <f t="shared" si="318"/>
        <v/>
      </c>
      <c r="AR958" s="5" t="str">
        <f t="shared" si="319"/>
        <v/>
      </c>
      <c r="AS958" s="5" t="str">
        <f t="shared" si="320"/>
        <v/>
      </c>
      <c r="AT958" s="5" t="str">
        <f t="shared" si="321"/>
        <v/>
      </c>
      <c r="AU958" s="5" t="str">
        <f t="shared" si="322"/>
        <v/>
      </c>
      <c r="AV958" s="5" t="str">
        <f t="shared" si="323"/>
        <v/>
      </c>
      <c r="AW958" s="5" t="str">
        <f t="shared" si="324"/>
        <v/>
      </c>
      <c r="AX958" s="5" t="str">
        <f t="shared" si="325"/>
        <v/>
      </c>
      <c r="AY958" s="5" t="str">
        <f t="shared" si="326"/>
        <v/>
      </c>
      <c r="AZ958" s="5" t="str">
        <f t="shared" si="327"/>
        <v/>
      </c>
      <c r="BA958" s="5" t="str">
        <f t="shared" si="328"/>
        <v/>
      </c>
      <c r="BB958" s="5" t="str">
        <f t="shared" si="329"/>
        <v/>
      </c>
    </row>
    <row r="959" spans="1:54" s="5" customFormat="1" hidden="1">
      <c r="A959" s="8" t="str">
        <f>IF(INDEX(FORM!$A:$A,ROW())="","",ROW()-1)</f>
        <v/>
      </c>
      <c r="B959" s="41" t="str">
        <f>IF($A959="","",INDEX(FORM!$A:$A,ROW()))</f>
        <v/>
      </c>
      <c r="C959" s="8" t="str">
        <f>IF($A959="","",TRIM(INDEX(FORM!$B:$B,ROW())))</f>
        <v/>
      </c>
      <c r="D959" s="8" t="str">
        <f>IF($A959="","",TRIM(INDEX(FORM!$C:$C,ROW())&amp;""))</f>
        <v/>
      </c>
      <c r="E959" s="8" t="str">
        <f>IF($A959="","",UPPER(TRIM(INDEX(FORM!$D:$D,ROW()))))</f>
        <v/>
      </c>
      <c r="F959" s="8" t="str">
        <f>IF($A959="","",IFERROR(INDEX(PROGRES!$A$2:$A$92,MATCH(E959,PROGRES!$B$2:$B$92,0)),"-"))</f>
        <v/>
      </c>
      <c r="G959" s="8" t="str">
        <f>IF($A959="","",UPPER(TRIM(INDEX(FORM!$F:$F,ROW()))))</f>
        <v/>
      </c>
      <c r="H959" s="8" t="str">
        <f>IF($A959="","",UPPER(TRIM(INDEX(FORM!$E:$E,ROW()))))</f>
        <v/>
      </c>
      <c r="I959" s="8" t="str">
        <f>IF($A959="","",UPPER(TRIM(INDEX(FORM!$G:$G,ROW()))))</f>
        <v/>
      </c>
      <c r="J959" s="8" t="str">
        <f>IF($A959="","",IF(ISNUMBER(SEARCH("Ya,",INDEX(FORM!$H:$H,ROW()))),"YA",IF(ISNUMBER(SEARCH("Cukup,",INDEX(FORM!$H:$H,ROW()))),"CUKUP",IF(ISNUMBER(SEARCH("Kurang,",INDEX(FORM!$H:$H,ROW()))),"KURANG",""))))</f>
        <v/>
      </c>
      <c r="K959" s="8" t="str">
        <f>IF($A959="","",UPPER(TRIM(INDEX(FORM!$J:$J,ROW()))))</f>
        <v/>
      </c>
      <c r="L959" s="8" t="str">
        <f>IF($A959="","",IF(ISNUMBER(SEARCH("Aktivitas Harian",INDEX(FORM!$K:$K,ROW()))),1,0))</f>
        <v/>
      </c>
      <c r="M959" s="8" t="str">
        <f>IF($A959="","",IF(ISNUMBER(SEARCH("Aktivitas Mingguan",INDEX(FORM!$K:$K,ROW()))),1,0))</f>
        <v/>
      </c>
      <c r="N959" s="8" t="str">
        <f>IF($A959="","",IF(ISNUMBER(SEARCH("Aktivitas Bulanan",INDEX(FORM!$K:$K,ROW()))),1,0))</f>
        <v/>
      </c>
      <c r="O959" s="8" t="str">
        <f>IF($A959="","",IF(ISNUMBER(SEARCH("Overview Cabang",INDEX(FORM!$K:$K,ROW()))),1,0))</f>
        <v/>
      </c>
      <c r="P959" s="8" t="str">
        <f>IF($A959="","",IFERROR(VLOOKUP(I959,DATA!$AH$9:$AI$13,2,0),""))</f>
        <v/>
      </c>
      <c r="Q959" s="8" t="str">
        <f>IF($A959="","",IFERROR(VLOOKUP(J959,DATA!$AH$9:$AI$13,2,0),""))</f>
        <v/>
      </c>
      <c r="R959" s="8" t="str">
        <f>IF($A959="","",IFERROR(VLOOKUP(K959,DATA!$AH$9:$AI$13,2,0),""))</f>
        <v/>
      </c>
      <c r="S959" s="42" t="str">
        <f t="shared" si="308"/>
        <v/>
      </c>
      <c r="T959" s="8" t="str">
        <f>IF($A959="","",IF(COUNTIF($D$2:D959,D959)=1,1,0))</f>
        <v/>
      </c>
      <c r="U959" s="8" t="str">
        <f>IF($A959="","",IF(F959="-","Cabang tdk ada",IF(IFERROR(VLOOKUP(G959,#REF!,1,0),"")="","",IF(INDEX(DATA!$AH$2:$AH$5,MATCH(G959,DATA!$AI$2:$AI$5,0))&lt;&gt;F959,"Wilayah beda","OK"))))</f>
        <v/>
      </c>
      <c r="V959" s="8" t="str">
        <f>IF($A959="","",TRIM(INDEX(FORM!$I:$I,ROW())&amp;""))</f>
        <v/>
      </c>
      <c r="W959" s="8" t="str">
        <f>IF($A959="","",TRIM(INDEX(FORM!$L:$L,ROW())&amp;""))</f>
        <v/>
      </c>
      <c r="X959" s="8" t="str">
        <f>IF($A959="","",TRIM(INDEX(FORM!$M:$M,ROW())&amp;""))</f>
        <v/>
      </c>
      <c r="Y959" s="8" t="str">
        <f>IF($A959="","",IFERROR(MATCH(F959,DATA!$AH$2:$AH$5,0),9)*10000+A959)</f>
        <v/>
      </c>
      <c r="Z959" s="8" t="str">
        <f t="shared" si="309"/>
        <v/>
      </c>
      <c r="AA959" s="8" t="str">
        <f t="shared" si="310"/>
        <v/>
      </c>
      <c r="AB959" s="8" t="str">
        <f t="shared" si="311"/>
        <v/>
      </c>
      <c r="AC959" s="8"/>
      <c r="AD959" s="8"/>
      <c r="AE959" s="8"/>
      <c r="AK959" s="5" t="str">
        <f t="shared" si="312"/>
        <v/>
      </c>
      <c r="AL959" s="5" t="str">
        <f t="shared" si="313"/>
        <v/>
      </c>
      <c r="AM959" s="5" t="str">
        <f t="shared" si="314"/>
        <v/>
      </c>
      <c r="AN959" s="5" t="str">
        <f t="shared" si="315"/>
        <v/>
      </c>
      <c r="AO959" s="5" t="str">
        <f t="shared" si="316"/>
        <v/>
      </c>
      <c r="AP959" s="5" t="str">
        <f t="shared" si="317"/>
        <v/>
      </c>
      <c r="AQ959" s="5" t="str">
        <f t="shared" si="318"/>
        <v/>
      </c>
      <c r="AR959" s="5" t="str">
        <f t="shared" si="319"/>
        <v/>
      </c>
      <c r="AS959" s="5" t="str">
        <f t="shared" si="320"/>
        <v/>
      </c>
      <c r="AT959" s="5" t="str">
        <f t="shared" si="321"/>
        <v/>
      </c>
      <c r="AU959" s="5" t="str">
        <f t="shared" si="322"/>
        <v/>
      </c>
      <c r="AV959" s="5" t="str">
        <f t="shared" si="323"/>
        <v/>
      </c>
      <c r="AW959" s="5" t="str">
        <f t="shared" si="324"/>
        <v/>
      </c>
      <c r="AX959" s="5" t="str">
        <f t="shared" si="325"/>
        <v/>
      </c>
      <c r="AY959" s="5" t="str">
        <f t="shared" si="326"/>
        <v/>
      </c>
      <c r="AZ959" s="5" t="str">
        <f t="shared" si="327"/>
        <v/>
      </c>
      <c r="BA959" s="5" t="str">
        <f t="shared" si="328"/>
        <v/>
      </c>
      <c r="BB959" s="5" t="str">
        <f t="shared" si="329"/>
        <v/>
      </c>
    </row>
    <row r="960" spans="1:54" s="5" customFormat="1" hidden="1">
      <c r="A960" s="8" t="str">
        <f>IF(INDEX(FORM!$A:$A,ROW())="","",ROW()-1)</f>
        <v/>
      </c>
      <c r="B960" s="41" t="str">
        <f>IF($A960="","",INDEX(FORM!$A:$A,ROW()))</f>
        <v/>
      </c>
      <c r="C960" s="8" t="str">
        <f>IF($A960="","",TRIM(INDEX(FORM!$B:$B,ROW())))</f>
        <v/>
      </c>
      <c r="D960" s="8" t="str">
        <f>IF($A960="","",TRIM(INDEX(FORM!$C:$C,ROW())&amp;""))</f>
        <v/>
      </c>
      <c r="E960" s="8" t="str">
        <f>IF($A960="","",UPPER(TRIM(INDEX(FORM!$D:$D,ROW()))))</f>
        <v/>
      </c>
      <c r="F960" s="8" t="str">
        <f>IF($A960="","",IFERROR(INDEX(PROGRES!$A$2:$A$92,MATCH(E960,PROGRES!$B$2:$B$92,0)),"-"))</f>
        <v/>
      </c>
      <c r="G960" s="8" t="str">
        <f>IF($A960="","",UPPER(TRIM(INDEX(FORM!$F:$F,ROW()))))</f>
        <v/>
      </c>
      <c r="H960" s="8" t="str">
        <f>IF($A960="","",UPPER(TRIM(INDEX(FORM!$E:$E,ROW()))))</f>
        <v/>
      </c>
      <c r="I960" s="8" t="str">
        <f>IF($A960="","",UPPER(TRIM(INDEX(FORM!$G:$G,ROW()))))</f>
        <v/>
      </c>
      <c r="J960" s="8" t="str">
        <f>IF($A960="","",IF(ISNUMBER(SEARCH("Ya,",INDEX(FORM!$H:$H,ROW()))),"YA",IF(ISNUMBER(SEARCH("Cukup,",INDEX(FORM!$H:$H,ROW()))),"CUKUP",IF(ISNUMBER(SEARCH("Kurang,",INDEX(FORM!$H:$H,ROW()))),"KURANG",""))))</f>
        <v/>
      </c>
      <c r="K960" s="8" t="str">
        <f>IF($A960="","",UPPER(TRIM(INDEX(FORM!$J:$J,ROW()))))</f>
        <v/>
      </c>
      <c r="L960" s="8" t="str">
        <f>IF($A960="","",IF(ISNUMBER(SEARCH("Aktivitas Harian",INDEX(FORM!$K:$K,ROW()))),1,0))</f>
        <v/>
      </c>
      <c r="M960" s="8" t="str">
        <f>IF($A960="","",IF(ISNUMBER(SEARCH("Aktivitas Mingguan",INDEX(FORM!$K:$K,ROW()))),1,0))</f>
        <v/>
      </c>
      <c r="N960" s="8" t="str">
        <f>IF($A960="","",IF(ISNUMBER(SEARCH("Aktivitas Bulanan",INDEX(FORM!$K:$K,ROW()))),1,0))</f>
        <v/>
      </c>
      <c r="O960" s="8" t="str">
        <f>IF($A960="","",IF(ISNUMBER(SEARCH("Overview Cabang",INDEX(FORM!$K:$K,ROW()))),1,0))</f>
        <v/>
      </c>
      <c r="P960" s="8" t="str">
        <f>IF($A960="","",IFERROR(VLOOKUP(I960,DATA!$AH$9:$AI$13,2,0),""))</f>
        <v/>
      </c>
      <c r="Q960" s="8" t="str">
        <f>IF($A960="","",IFERROR(VLOOKUP(J960,DATA!$AH$9:$AI$13,2,0),""))</f>
        <v/>
      </c>
      <c r="R960" s="8" t="str">
        <f>IF($A960="","",IFERROR(VLOOKUP(K960,DATA!$AH$9:$AI$13,2,0),""))</f>
        <v/>
      </c>
      <c r="S960" s="42" t="str">
        <f t="shared" si="308"/>
        <v/>
      </c>
      <c r="T960" s="8" t="str">
        <f>IF($A960="","",IF(COUNTIF($D$2:D960,D960)=1,1,0))</f>
        <v/>
      </c>
      <c r="U960" s="8" t="str">
        <f>IF($A960="","",IF(F960="-","Cabang tdk ada",IF(IFERROR(VLOOKUP(G960,#REF!,1,0),"")="","",IF(INDEX(DATA!$AH$2:$AH$5,MATCH(G960,DATA!$AI$2:$AI$5,0))&lt;&gt;F960,"Wilayah beda","OK"))))</f>
        <v/>
      </c>
      <c r="V960" s="8" t="str">
        <f>IF($A960="","",TRIM(INDEX(FORM!$I:$I,ROW())&amp;""))</f>
        <v/>
      </c>
      <c r="W960" s="8" t="str">
        <f>IF($A960="","",TRIM(INDEX(FORM!$L:$L,ROW())&amp;""))</f>
        <v/>
      </c>
      <c r="X960" s="8" t="str">
        <f>IF($A960="","",TRIM(INDEX(FORM!$M:$M,ROW())&amp;""))</f>
        <v/>
      </c>
      <c r="Y960" s="8" t="str">
        <f>IF($A960="","",IFERROR(MATCH(F960,DATA!$AH$2:$AH$5,0),9)*10000+A960)</f>
        <v/>
      </c>
      <c r="Z960" s="8" t="str">
        <f t="shared" si="309"/>
        <v/>
      </c>
      <c r="AA960" s="8" t="str">
        <f t="shared" si="310"/>
        <v/>
      </c>
      <c r="AB960" s="8" t="str">
        <f t="shared" si="311"/>
        <v/>
      </c>
      <c r="AC960" s="8"/>
      <c r="AD960" s="8"/>
      <c r="AE960" s="8"/>
      <c r="AK960" s="5" t="str">
        <f t="shared" si="312"/>
        <v/>
      </c>
      <c r="AL960" s="5" t="str">
        <f t="shared" si="313"/>
        <v/>
      </c>
      <c r="AM960" s="5" t="str">
        <f t="shared" si="314"/>
        <v/>
      </c>
      <c r="AN960" s="5" t="str">
        <f t="shared" si="315"/>
        <v/>
      </c>
      <c r="AO960" s="5" t="str">
        <f t="shared" si="316"/>
        <v/>
      </c>
      <c r="AP960" s="5" t="str">
        <f t="shared" si="317"/>
        <v/>
      </c>
      <c r="AQ960" s="5" t="str">
        <f t="shared" si="318"/>
        <v/>
      </c>
      <c r="AR960" s="5" t="str">
        <f t="shared" si="319"/>
        <v/>
      </c>
      <c r="AS960" s="5" t="str">
        <f t="shared" si="320"/>
        <v/>
      </c>
      <c r="AT960" s="5" t="str">
        <f t="shared" si="321"/>
        <v/>
      </c>
      <c r="AU960" s="5" t="str">
        <f t="shared" si="322"/>
        <v/>
      </c>
      <c r="AV960" s="5" t="str">
        <f t="shared" si="323"/>
        <v/>
      </c>
      <c r="AW960" s="5" t="str">
        <f t="shared" si="324"/>
        <v/>
      </c>
      <c r="AX960" s="5" t="str">
        <f t="shared" si="325"/>
        <v/>
      </c>
      <c r="AY960" s="5" t="str">
        <f t="shared" si="326"/>
        <v/>
      </c>
      <c r="AZ960" s="5" t="str">
        <f t="shared" si="327"/>
        <v/>
      </c>
      <c r="BA960" s="5" t="str">
        <f t="shared" si="328"/>
        <v/>
      </c>
      <c r="BB960" s="5" t="str">
        <f t="shared" si="329"/>
        <v/>
      </c>
    </row>
    <row r="961" spans="1:54" s="5" customFormat="1" hidden="1">
      <c r="A961" s="8" t="str">
        <f>IF(INDEX(FORM!$A:$A,ROW())="","",ROW()-1)</f>
        <v/>
      </c>
      <c r="B961" s="41" t="str">
        <f>IF($A961="","",INDEX(FORM!$A:$A,ROW()))</f>
        <v/>
      </c>
      <c r="C961" s="8" t="str">
        <f>IF($A961="","",TRIM(INDEX(FORM!$B:$B,ROW())))</f>
        <v/>
      </c>
      <c r="D961" s="8" t="str">
        <f>IF($A961="","",TRIM(INDEX(FORM!$C:$C,ROW())&amp;""))</f>
        <v/>
      </c>
      <c r="E961" s="8" t="str">
        <f>IF($A961="","",UPPER(TRIM(INDEX(FORM!$D:$D,ROW()))))</f>
        <v/>
      </c>
      <c r="F961" s="8" t="str">
        <f>IF($A961="","",IFERROR(INDEX(PROGRES!$A$2:$A$92,MATCH(E961,PROGRES!$B$2:$B$92,0)),"-"))</f>
        <v/>
      </c>
      <c r="G961" s="8" t="str">
        <f>IF($A961="","",UPPER(TRIM(INDEX(FORM!$F:$F,ROW()))))</f>
        <v/>
      </c>
      <c r="H961" s="8" t="str">
        <f>IF($A961="","",UPPER(TRIM(INDEX(FORM!$E:$E,ROW()))))</f>
        <v/>
      </c>
      <c r="I961" s="8" t="str">
        <f>IF($A961="","",UPPER(TRIM(INDEX(FORM!$G:$G,ROW()))))</f>
        <v/>
      </c>
      <c r="J961" s="8" t="str">
        <f>IF($A961="","",IF(ISNUMBER(SEARCH("Ya,",INDEX(FORM!$H:$H,ROW()))),"YA",IF(ISNUMBER(SEARCH("Cukup,",INDEX(FORM!$H:$H,ROW()))),"CUKUP",IF(ISNUMBER(SEARCH("Kurang,",INDEX(FORM!$H:$H,ROW()))),"KURANG",""))))</f>
        <v/>
      </c>
      <c r="K961" s="8" t="str">
        <f>IF($A961="","",UPPER(TRIM(INDEX(FORM!$J:$J,ROW()))))</f>
        <v/>
      </c>
      <c r="L961" s="8" t="str">
        <f>IF($A961="","",IF(ISNUMBER(SEARCH("Aktivitas Harian",INDEX(FORM!$K:$K,ROW()))),1,0))</f>
        <v/>
      </c>
      <c r="M961" s="8" t="str">
        <f>IF($A961="","",IF(ISNUMBER(SEARCH("Aktivitas Mingguan",INDEX(FORM!$K:$K,ROW()))),1,0))</f>
        <v/>
      </c>
      <c r="N961" s="8" t="str">
        <f>IF($A961="","",IF(ISNUMBER(SEARCH("Aktivitas Bulanan",INDEX(FORM!$K:$K,ROW()))),1,0))</f>
        <v/>
      </c>
      <c r="O961" s="8" t="str">
        <f>IF($A961="","",IF(ISNUMBER(SEARCH("Overview Cabang",INDEX(FORM!$K:$K,ROW()))),1,0))</f>
        <v/>
      </c>
      <c r="P961" s="8" t="str">
        <f>IF($A961="","",IFERROR(VLOOKUP(I961,DATA!$AH$9:$AI$13,2,0),""))</f>
        <v/>
      </c>
      <c r="Q961" s="8" t="str">
        <f>IF($A961="","",IFERROR(VLOOKUP(J961,DATA!$AH$9:$AI$13,2,0),""))</f>
        <v/>
      </c>
      <c r="R961" s="8" t="str">
        <f>IF($A961="","",IFERROR(VLOOKUP(K961,DATA!$AH$9:$AI$13,2,0),""))</f>
        <v/>
      </c>
      <c r="S961" s="42" t="str">
        <f t="shared" si="308"/>
        <v/>
      </c>
      <c r="T961" s="8" t="str">
        <f>IF($A961="","",IF(COUNTIF($D$2:D961,D961)=1,1,0))</f>
        <v/>
      </c>
      <c r="U961" s="8" t="str">
        <f>IF($A961="","",IF(F961="-","Cabang tdk ada",IF(IFERROR(VLOOKUP(G961,#REF!,1,0),"")="","",IF(INDEX(DATA!$AH$2:$AH$5,MATCH(G961,DATA!$AI$2:$AI$5,0))&lt;&gt;F961,"Wilayah beda","OK"))))</f>
        <v/>
      </c>
      <c r="V961" s="8" t="str">
        <f>IF($A961="","",TRIM(INDEX(FORM!$I:$I,ROW())&amp;""))</f>
        <v/>
      </c>
      <c r="W961" s="8" t="str">
        <f>IF($A961="","",TRIM(INDEX(FORM!$L:$L,ROW())&amp;""))</f>
        <v/>
      </c>
      <c r="X961" s="8" t="str">
        <f>IF($A961="","",TRIM(INDEX(FORM!$M:$M,ROW())&amp;""))</f>
        <v/>
      </c>
      <c r="Y961" s="8" t="str">
        <f>IF($A961="","",IFERROR(MATCH(F961,DATA!$AH$2:$AH$5,0),9)*10000+A961)</f>
        <v/>
      </c>
      <c r="Z961" s="8" t="str">
        <f t="shared" si="309"/>
        <v/>
      </c>
      <c r="AA961" s="8" t="str">
        <f t="shared" si="310"/>
        <v/>
      </c>
      <c r="AB961" s="8" t="str">
        <f t="shared" si="311"/>
        <v/>
      </c>
      <c r="AC961" s="8"/>
      <c r="AD961" s="8"/>
      <c r="AE961" s="8"/>
      <c r="AK961" s="5" t="str">
        <f t="shared" si="312"/>
        <v/>
      </c>
      <c r="AL961" s="5" t="str">
        <f t="shared" si="313"/>
        <v/>
      </c>
      <c r="AM961" s="5" t="str">
        <f t="shared" si="314"/>
        <v/>
      </c>
      <c r="AN961" s="5" t="str">
        <f t="shared" si="315"/>
        <v/>
      </c>
      <c r="AO961" s="5" t="str">
        <f t="shared" si="316"/>
        <v/>
      </c>
      <c r="AP961" s="5" t="str">
        <f t="shared" si="317"/>
        <v/>
      </c>
      <c r="AQ961" s="5" t="str">
        <f t="shared" si="318"/>
        <v/>
      </c>
      <c r="AR961" s="5" t="str">
        <f t="shared" si="319"/>
        <v/>
      </c>
      <c r="AS961" s="5" t="str">
        <f t="shared" si="320"/>
        <v/>
      </c>
      <c r="AT961" s="5" t="str">
        <f t="shared" si="321"/>
        <v/>
      </c>
      <c r="AU961" s="5" t="str">
        <f t="shared" si="322"/>
        <v/>
      </c>
      <c r="AV961" s="5" t="str">
        <f t="shared" si="323"/>
        <v/>
      </c>
      <c r="AW961" s="5" t="str">
        <f t="shared" si="324"/>
        <v/>
      </c>
      <c r="AX961" s="5" t="str">
        <f t="shared" si="325"/>
        <v/>
      </c>
      <c r="AY961" s="5" t="str">
        <f t="shared" si="326"/>
        <v/>
      </c>
      <c r="AZ961" s="5" t="str">
        <f t="shared" si="327"/>
        <v/>
      </c>
      <c r="BA961" s="5" t="str">
        <f t="shared" si="328"/>
        <v/>
      </c>
      <c r="BB961" s="5" t="str">
        <f t="shared" si="329"/>
        <v/>
      </c>
    </row>
    <row r="962" spans="1:54" s="5" customFormat="1" hidden="1">
      <c r="A962" s="8" t="str">
        <f>IF(INDEX(FORM!$A:$A,ROW())="","",ROW()-1)</f>
        <v/>
      </c>
      <c r="B962" s="41" t="str">
        <f>IF($A962="","",INDEX(FORM!$A:$A,ROW()))</f>
        <v/>
      </c>
      <c r="C962" s="8" t="str">
        <f>IF($A962="","",TRIM(INDEX(FORM!$B:$B,ROW())))</f>
        <v/>
      </c>
      <c r="D962" s="8" t="str">
        <f>IF($A962="","",TRIM(INDEX(FORM!$C:$C,ROW())&amp;""))</f>
        <v/>
      </c>
      <c r="E962" s="8" t="str">
        <f>IF($A962="","",UPPER(TRIM(INDEX(FORM!$D:$D,ROW()))))</f>
        <v/>
      </c>
      <c r="F962" s="8" t="str">
        <f>IF($A962="","",IFERROR(INDEX(PROGRES!$A$2:$A$92,MATCH(E962,PROGRES!$B$2:$B$92,0)),"-"))</f>
        <v/>
      </c>
      <c r="G962" s="8" t="str">
        <f>IF($A962="","",UPPER(TRIM(INDEX(FORM!$F:$F,ROW()))))</f>
        <v/>
      </c>
      <c r="H962" s="8" t="str">
        <f>IF($A962="","",UPPER(TRIM(INDEX(FORM!$E:$E,ROW()))))</f>
        <v/>
      </c>
      <c r="I962" s="8" t="str">
        <f>IF($A962="","",UPPER(TRIM(INDEX(FORM!$G:$G,ROW()))))</f>
        <v/>
      </c>
      <c r="J962" s="8" t="str">
        <f>IF($A962="","",IF(ISNUMBER(SEARCH("Ya,",INDEX(FORM!$H:$H,ROW()))),"YA",IF(ISNUMBER(SEARCH("Cukup,",INDEX(FORM!$H:$H,ROW()))),"CUKUP",IF(ISNUMBER(SEARCH("Kurang,",INDEX(FORM!$H:$H,ROW()))),"KURANG",""))))</f>
        <v/>
      </c>
      <c r="K962" s="8" t="str">
        <f>IF($A962="","",UPPER(TRIM(INDEX(FORM!$J:$J,ROW()))))</f>
        <v/>
      </c>
      <c r="L962" s="8" t="str">
        <f>IF($A962="","",IF(ISNUMBER(SEARCH("Aktivitas Harian",INDEX(FORM!$K:$K,ROW()))),1,0))</f>
        <v/>
      </c>
      <c r="M962" s="8" t="str">
        <f>IF($A962="","",IF(ISNUMBER(SEARCH("Aktivitas Mingguan",INDEX(FORM!$K:$K,ROW()))),1,0))</f>
        <v/>
      </c>
      <c r="N962" s="8" t="str">
        <f>IF($A962="","",IF(ISNUMBER(SEARCH("Aktivitas Bulanan",INDEX(FORM!$K:$K,ROW()))),1,0))</f>
        <v/>
      </c>
      <c r="O962" s="8" t="str">
        <f>IF($A962="","",IF(ISNUMBER(SEARCH("Overview Cabang",INDEX(FORM!$K:$K,ROW()))),1,0))</f>
        <v/>
      </c>
      <c r="P962" s="8" t="str">
        <f>IF($A962="","",IFERROR(VLOOKUP(I962,DATA!$AH$9:$AI$13,2,0),""))</f>
        <v/>
      </c>
      <c r="Q962" s="8" t="str">
        <f>IF($A962="","",IFERROR(VLOOKUP(J962,DATA!$AH$9:$AI$13,2,0),""))</f>
        <v/>
      </c>
      <c r="R962" s="8" t="str">
        <f>IF($A962="","",IFERROR(VLOOKUP(K962,DATA!$AH$9:$AI$13,2,0),""))</f>
        <v/>
      </c>
      <c r="S962" s="42" t="str">
        <f t="shared" ref="S962:S1025" si="330">IF($A962="","",IFERROR(AVERAGE(P962:R962),""))</f>
        <v/>
      </c>
      <c r="T962" s="8" t="str">
        <f>IF($A962="","",IF(COUNTIF($D$2:D962,D962)=1,1,0))</f>
        <v/>
      </c>
      <c r="U962" s="8" t="str">
        <f>IF($A962="","",IF(F962="-","Cabang tdk ada",IF(IFERROR(VLOOKUP(G962,#REF!,1,0),"")="","",IF(INDEX(DATA!$AH$2:$AH$5,MATCH(G962,DATA!$AI$2:$AI$5,0))&lt;&gt;F962,"Wilayah beda","OK"))))</f>
        <v/>
      </c>
      <c r="V962" s="8" t="str">
        <f>IF($A962="","",TRIM(INDEX(FORM!$I:$I,ROW())&amp;""))</f>
        <v/>
      </c>
      <c r="W962" s="8" t="str">
        <f>IF($A962="","",TRIM(INDEX(FORM!$L:$L,ROW())&amp;""))</f>
        <v/>
      </c>
      <c r="X962" s="8" t="str">
        <f>IF($A962="","",TRIM(INDEX(FORM!$M:$M,ROW())&amp;""))</f>
        <v/>
      </c>
      <c r="Y962" s="8" t="str">
        <f>IF($A962="","",IFERROR(MATCH(F962,DATA!$AH$2:$AH$5,0),9)*10000+A962)</f>
        <v/>
      </c>
      <c r="Z962" s="8" t="str">
        <f t="shared" ref="Z962:Z1001" si="331">IF($A962="","",IF(LEN(SUBSTITUTE(SUBSTITUTE(SUBSTITUTE(V962,"-",""),".",""),"?",""))&lt;2,"Tidak ada masukan / sudah baik",IF(OR(ISNUMBER(SEARCH("memang harus",V962&amp;" "))),"Tidak ada masukan / sudah baik",IF(OR(ISNUMBER(SEARCH("lemot",V962&amp;" ")),ISNUMBER(SEARCH("loading",V962&amp;" ")),ISNUMBER(SEARCH("lambat",V962&amp;" ")),ISNUMBER(SEARCH("kecepatan",V962&amp;" ")),ISNUMBER(SEARCH("koneksi",V962&amp;" ")),ISNUMBER(SEARCH("eroro",V962&amp;" ")),ISNUMBER(SEARCH("error",V962&amp;" ")),ISNUMBER(SEARCH("ketutup",V962&amp;" "))),"Kecepatan &amp; Loading Website",IF(OR(ISNUMBER(SEARCH("kontak",V962&amp;" ")),ISNUMBER(SEARCH("pic",V962&amp;" ")),ISNUMBER(SEARCH("darurat",V962&amp;" "))),"Kontak &amp; Informasi PIC",IF(OR(ISNUMBER(SEARCH("sacs",V962&amp;" ")),ISNUMBER(SEARCH("aplikasi",V962&amp;" ")),ISNUMBER(SEARCH("kinerja",V962&amp;" ")),ISNUMBER(SEARCH("seluruh cabang",V962&amp;" "))),"Integrasi dengan SACS / Aplikasi",IF(OR(ISNUMBER(SEARCH("mobile",V962&amp;" ")),ISNUMBER(SEARCH("lebih responsif",V962&amp;" ")),ISNUMBER(SEARCH("scroll",V962&amp;" ")),ISNUMBER(SEARCH("melebar",V962&amp;" "))),"Tampilan di HP (Responsif)",IF(OR(ISNUMBER(SEARCH("simpel",V962&amp;" ")),ISNUMBER(SEARCH("simple",V962&amp;" ")),ISNUMBER(SEARCH("sederhana",V962&amp;" ")),ISNUMBER(SEARCH("ringkas",V962&amp;" ")),ISNUMBER(SEARCH("intinya",V962&amp;" ")),ISNUMBER(SEARCH("panjang lebar",V962&amp;" ")),ISNUMBER(SEARCH("mudah dipahami lagi",V962&amp;" ")),ISNUMBER(SEARCH("tata letak",V962&amp;" ")),ISNUMBER(SEARCH("harus mencari",V962&amp;" "))),"Penyederhanaan &amp; Ringkas Isi",IF(OR(ISNUMBER(SEARCH("menu ",V962&amp;" ")),ISNUMBER(SEARCH("tiap posisi",V962&amp;" ")),ISNUMBER(SEARCH("pilihan antara",V962&amp;" "))),"Menu per Jabatan / Navigasi",IF(OR(ISNUMBER(SEARCH("video",V962&amp;" ")),ISNUMBER(SEARCH("vidio",V962&amp;" ")),ISNUMBER(SEARCH("bagan",V962&amp;" ")),ISNUMBER(SEARCH("gambar",V962&amp;" ")),ISNUMBER(SEARCH("qna",V962&amp;" "))),"Tambah Video / Bagan",IF(OR(ISNUMBER(SEARCH("menarik",V962&amp;" ")),ISNUMBER(SEARCH("design",V962&amp;" ")),ISNUMBER(SEARCH("desain",V962&amp;" ")),ISNUMBER(SEARCH("font",V962&amp;" ")),ISNUMBER(SEARCH("warna",V962&amp;" ")),ISNUMBER(SEARCH("soft",V962&amp;" ")),ISNUMBER(SEARCH("kaku",V962&amp;" ")),ISNUMBER(SEARCH("elegan",V962&amp;" ")),ISNUMBER(SEARCH("grafis",V962&amp;" ")),ISNUMBER(SEARCH("visual",V962&amp;" ")),ISNUMBER(SEARCH("logo",V962&amp;" ")),ISNUMBER(SEARCH("jenuh",V962&amp;" ")),ISNUMBER(SEARCH("abu",V962&amp;" ")),ISNUMBER(SEARCH("tampilannya",V962&amp;" ")),ISNUMBER(SEARCH("tampilan dibuat",V962&amp;" ")),ISNUMBER(SEARCH("tamoilan",V962&amp;" ")),ISNUMBER(SEARCH("lebih user friendly",V962&amp;" "))),"Desain, Warna &amp; Font",IF(OR(ISNUMBER(SEARCH("perbanyak",V962&amp;" ")),ISNUMBER(SEARCH("jabarkan",V962&amp;" ")),ISNUMBER(SEARCH("jobdesk",V962&amp;" ")),ISNUMBER(SEARCH("pengajuan",V962&amp;" ")),ISNUMBER(SEARCH("informasi",V962&amp;" "))),"Penambahan Isi / Penjelasan",IF(OR(ISNUMBER(SEARCH("tingkat",V962&amp;" ")),ISNUMBER(SEARCH("kembang",V962&amp;" ")),ISNUMBER(SEARCH("lebih baik lagi",V962&amp;" ")),ISNUMBER(SEARCH("maksimal",V962&amp;" ")),ISNUMBER(SEARCH("penikatan",V962&amp;" "))),"Saran Umum Peningkatan",IF(OR(ISNUMBER(SEARCH("tidak",V962&amp;" ")),ISNUMBER(SEARCH("tdk",V962&amp;" ")),ISNUMBER(SEARCH("sudah",V962&amp;" ")),ISNUMBER(SEARCH("sdh",V962&amp;" ")),ISNUMBER(SEARCH("cukup",V962&amp;" ")),ISNUMBER(SEARCH("baik",V962&amp;" ")),ISNUMBER(SEARCH("bagus",V962&amp;" ")),ISNUMBER(SEARCH("ok",V962&amp;" ")),ISNUMBER(SEARCH("good",V962&amp;" ")),ISNUMBER(SEARCH("aman",V962&amp;" ")),ISNUMBER(SEARCH("lanjut",V962&amp;" ")),ISNUMBER(SEARCH("mantap",V962&amp;" ")),ISNUMBER(SEARCH("josjis",V962&amp;" ")),ISNUMBER(SEARCH("lumayan",V962&amp;" ")),ISNUMBER(SEARCH("mudah",V962&amp;" ")),ISNUMBER(SEARCH("belum",V962&amp;" ")),ISNUMBER(SEARCH("membantu",V962&amp;" ")),ISNUMBER(SEARCH("comment",V962&amp;" ")),ISNUMBER(SEARCH("lengkap",V962&amp;" ")),ISNUMBER(SEARCH("tercakup",V962&amp;" ")),ISNUMBER(SEARCH("mencakup",V962&amp;" ")),ISNUMBER(SEARCH("semua",V962&amp;" ")),ISNUMBER(SEARCH("penting",V962&amp;" ")),ISNUMBER(SEARCH("terangkum",V962&amp;" ")),ISNUMBER(SEARCH("pas",V962&amp;" ")),ISNUMBER(SEARCH("berjalan",V962&amp;" ")),ISNUMBER(SEARCH("sesuai",V962&amp;" "))),"Tidak ada masukan / sudah baik","Lainnya (perlu dibaca manual)"))))))))))))))</f>
        <v/>
      </c>
      <c r="AA962" s="8" t="str">
        <f t="shared" ref="AA962:AA1001" si="332">IF($A962="","",IF(LEN(SUBSTITUTE(SUBSTITUTE(SUBSTITUTE(W962,"-",""),".",""),"?",""))&lt;2,"Tidak ada masukan / sudah baik",IF(OR(ISNUMBER(SEARCH("tampilan",W962&amp;" ")),ISNUMBER(SEARCH("lemot",W962&amp;" "))),"Bukan Terkait SOP (Tampilan / Akses)",IF(OR(ISNUMBER(SEARCH("sanksi",W962&amp;" ")),ISNUMBER(SEARCH("pelanggaran",W962&amp;" ")),ISNUMBER(SEARCH("larangan",W962&amp;" ")),ISNUMBER(SEARCH("rekening pribadi",W962&amp;" "))),"Sanksi &amp; Pelanggaran SOP",IF(OR(ISNUMBER(SEARCH("npl",W962&amp;" ")),ISNUMBER(SEARCH("piutang",W962&amp;" ")),ISNUMBER(SEARCH("rekon",W962&amp;" ")),ISNUMBER(SEARCH("overdue",W962&amp;" ")),ISNUMBER(SEARCH("restruk",W962&amp;" ")),ISNUMBER(SEARCH("tempo",W962&amp;" "))),"Piutang &amp; Pelanggan Bermasalah",IF(OR(ISNUMBER(SEARCH("kiriman",W962&amp;" ")),ISNUMBER(SEARCH("pengiriman",W962&amp;" ")),ISNUMBER(SEARCH("retur",W962&amp;" ")),ISNUMBER(SEARCH("barang",W962&amp;" "))),"Pengiriman, Retur &amp; Logistik",IF(OR(ISNUMBER(SEARCH("contact",W962&amp;" ")),ISNUMBER(SEARCH("kontak",W962&amp;" ")),ISNUMBER(SEARCH("pic",W962&amp;" ")),ISNUMBER(SEARCH("berwenang",W962&amp;" ")),ISNUMBER(SEARCH("follow up",W962&amp;" ")),ISNUMBER(SEARCH("eskalasi",W962&amp;" "))),"Kontak PIC &amp; Eskalasi",IF(OR(ISNUMBER(SEARCH("laporan evaluasi",W962&amp;" ")),ISNUMBER(SEARCH("aplikasi cp",W962&amp;" ")),ISNUMBER(SEARCH("flowchart",W962&amp;" ")),ISNUMBER(SEARCH("acuan",W962&amp;" ")),ISNUMBER(SEARCH("poa",W962&amp;" ")),ISNUMBER(SEARCH("aktifitas",W962&amp;" ")),ISNUMBER(SEARCH("aktivitas",W962&amp;" "))),"Panduan Laporan &amp; Alur Kerja",IF(OR(ISNUMBER(SEARCH("notifikasi",W962&amp;" ")),ISNUMBER(SEARCH("pembaruan",W962&amp;" ")),ISNUMBER(SEARCH("perubahan",W962&amp;" ")),ISNUMBER(SEARCH("update",W962&amp;" "))),"Pembaruan &amp; Notifikasi SOP",IF(OR(ISNUMBER(SEARCH("tidak",W962&amp;" ")),ISNUMBER(SEARCH("tdk",W962&amp;" ")),ISNUMBER(SEARCH("sudah",W962&amp;" ")),ISNUMBER(SEARCH("sdh",W962&amp;" ")),ISNUMBER(SEARCH("cukup",W962&amp;" ")),ISNUMBER(SEARCH("baik",W962&amp;" ")),ISNUMBER(SEARCH("bagus",W962&amp;" ")),ISNUMBER(SEARCH("ok",W962&amp;" ")),ISNUMBER(SEARCH("good",W962&amp;" ")),ISNUMBER(SEARCH("aman",W962&amp;" ")),ISNUMBER(SEARCH("lanjut",W962&amp;" ")),ISNUMBER(SEARCH("mantap",W962&amp;" ")),ISNUMBER(SEARCH("josjis",W962&amp;" ")),ISNUMBER(SEARCH("lumayan",W962&amp;" ")),ISNUMBER(SEARCH("mudah",W962&amp;" ")),ISNUMBER(SEARCH("belum",W962&amp;" ")),ISNUMBER(SEARCH("membantu",W962&amp;" ")),ISNUMBER(SEARCH("comment",W962&amp;" ")),ISNUMBER(SEARCH("lengkap",W962&amp;" ")),ISNUMBER(SEARCH("tercakup",W962&amp;" ")),ISNUMBER(SEARCH("mencakup",W962&amp;" ")),ISNUMBER(SEARCH("semua",W962&amp;" ")),ISNUMBER(SEARCH("penting",W962&amp;" ")),ISNUMBER(SEARCH("terangkum",W962&amp;" ")),ISNUMBER(SEARCH("pas",W962&amp;" ")),ISNUMBER(SEARCH("berjalan",W962&amp;" ")),ISNUMBER(SEARCH("sesuai",W962&amp;" "))),"Tidak ada masukan / sudah baik","Lainnya (perlu dibaca manual)"))))))))))</f>
        <v/>
      </c>
      <c r="AB962" s="8" t="str">
        <f t="shared" ref="AB962:AB1001" si="333">IF($A962="","",IF(LEN(SUBSTITUTE(SUBSTITUTE(SUBSTITUTE(X962,"-",""),".",""),"?",""))&lt;2,"Tidak ada masukan / sudah baik",IF(OR(ISNUMBER(SEARCH("urgent",X962&amp;" "))),"Lainnya (perlu dibaca manual)",IF(OR(ISNUMBER(SEARCH("struktur organisasi",X962&amp;" ")),ISNUMBER(SEARCH("pic",X962&amp;" ")),ISNUMBER(SEARCH("cp",X962&amp;" ")),ISNUMBER(SEARCH("personil",X962&amp;" ")),ISNUMBER(SEARCH("sales",X962&amp;" ")),ISNUMBER(SEARCH("muka",X962&amp;" ")),ISNUMBER(SEARCH("eskalasi",X962&amp;" "))),"Struktur Organisasi, PIC &amp; Tim",IF(OR(ISNUMBER(SEARCH("lemot",X962&amp;" ")),ISNUMBER(SEARCH("lambat",X962&amp;" ")),ISNUMBER(SEARCH("memuat",X962&amp;" ")),ISNUMBER(SEARCH("koneksi",X962&amp;" "))),"Kecepatan Akses Website",IF(OR(ISNUMBER(SEARCH("sacs",X962&amp;" ")),ISNUMBER(SEARCH("aplikasi",X962&amp;" "))),"Integrasi ke SACS / Aplikasi Kerja",IF(OR(ISNUMBER(SEARCH("dashboard",X962&amp;" ")),ISNUMBER(SEARCH("kpi",X962&amp;" ")),ISNUMBER(SEARCH("database",X962&amp;" ")),ISNUMBER(SEARCH("kinerja",X962&amp;" ")),ISNUMBER(SEARCH("seluruh cabang",X962&amp;" "))),"Fitur Baru (Dashboard / KPI / Database)",IF(OR(ISNUMBER(SEARCH("video",X962&amp;" ")),ISNUMBER(SEARCH("gambar",X962&amp;" ")),ISNUMBER(SEARCH("jpg",X962&amp;" ")),ISNUMBER(SEARCH("flowchart",X962&amp;" ")),ISNUMBER(SEARCH("tutorial",X962&amp;" "))),"Tambah Video / Gambar / Flowchart",IF(OR(ISNUMBER(SEARCH("template",X962&amp;" ")),ISNUMBER(SEARCH("surat",X962&amp;" ")),ISNUMBER(SEARCH("korin",X962&amp;" ")),ISNUMBER(SEARCH("overdue",X962&amp;" ")),ISNUMBER(SEARCH("restruk",X962&amp;" ")),ISNUMBER(SEARCH("tempo",X962&amp;" ")),ISNUMBER(SEARCH("larangan",X962&amp;" ")),ISNUMBER(SEARCH("posisi lain",X962&amp;" ")),ISNUMBER(SEARCH("jobdesk",X962&amp;" ")),ISNUMBER(SEARCH("jobdisk",X962&amp;" ")),ISNUMBER(SEARCH("langkah",X962&amp;" ")),ISNUMBER(SEARCH("detail",X962&amp;" ")),ISNUMBER(SEARCH("panduan",X962&amp;" ")),ISNUMBER(SEARCH("lengkap lagi",X962&amp;" ")),ISNUMBER(SEARCH("tips",X962&amp;" "))),"Penambahan Materi &amp; Template",IF(OR(ISNUMBER(SEARCH("simpel",X962&amp;" ")),ISNUMBER(SEARCH("simple",X962&amp;" ")),ISNUMBER(SEARCH("ringkas",X962&amp;" ")),ISNUMBER(SEARCH("monoton",X962&amp;" ")),ISNUMBER(SEARCH("penataan",X962&amp;" "))),"Penyederhanaan Isi",IF(OR(ISNUMBER(SEARCH("menarik",X962&amp;" ")),ISNUMBER(SEARCH("design",X962&amp;" ")),ISNUMBER(SEARCH("desain",X962&amp;" ")),ISNUMBER(SEARCH("tampilan",X962&amp;" ")),ISNUMBER(SEARCH("kaku",X962&amp;" ")),ISNUMBER(SEARCH("user friendly",X962&amp;" "))),"Desain Tampilan",IF(OR(ISNUMBER(SEARCH("update",X962&amp;" ")),ISNUMBER(SEARCH("terbaru",X962&amp;" ")),ISNUMBER(SEARCH("terkini",X962&amp;" ")),ISNUMBER(SEARCH("uptodate",X962&amp;" "))),"Update Informasi Berkala",IF(OR(ISNUMBER(SEARCH("tingkat",X962&amp;" ")),ISNUMBER(SEARCH("kembang",X962&amp;" ")),ISNUMBER(SEARCH("inovasi",X962&amp;" ")),ISNUMBER(SEARCH("maintenance",X962&amp;" "))),"Saran Umum Peningkatan",IF(OR(ISNUMBER(SEARCH("tidak",X962&amp;" ")),ISNUMBER(SEARCH("tdk",X962&amp;" ")),ISNUMBER(SEARCH("sudah",X962&amp;" ")),ISNUMBER(SEARCH("sdh",X962&amp;" ")),ISNUMBER(SEARCH("cukup",X962&amp;" ")),ISNUMBER(SEARCH("baik",X962&amp;" ")),ISNUMBER(SEARCH("bagus",X962&amp;" ")),ISNUMBER(SEARCH("ok",X962&amp;" ")),ISNUMBER(SEARCH("good",X962&amp;" ")),ISNUMBER(SEARCH("aman",X962&amp;" ")),ISNUMBER(SEARCH("lanjut",X962&amp;" ")),ISNUMBER(SEARCH("mantap",X962&amp;" ")),ISNUMBER(SEARCH("josjis",X962&amp;" ")),ISNUMBER(SEARCH("lumayan",X962&amp;" ")),ISNUMBER(SEARCH("mudah",X962&amp;" ")),ISNUMBER(SEARCH("belum",X962&amp;" ")),ISNUMBER(SEARCH("membantu",X962&amp;" ")),ISNUMBER(SEARCH("comment",X962&amp;" ")),ISNUMBER(SEARCH("lengkap",X962&amp;" ")),ISNUMBER(SEARCH("tercakup",X962&amp;" ")),ISNUMBER(SEARCH("mencakup",X962&amp;" ")),ISNUMBER(SEARCH("semua",X962&amp;" ")),ISNUMBER(SEARCH("penting",X962&amp;" ")),ISNUMBER(SEARCH("terangkum",X962&amp;" ")),ISNUMBER(SEARCH("pas",X962&amp;" ")),ISNUMBER(SEARCH("berjalan",X962&amp;" ")),ISNUMBER(SEARCH("sesuai",X962&amp;" "))),"Tidak ada masukan / sudah baik","Lainnya (perlu dibaca manual)"))))))))))))))</f>
        <v/>
      </c>
      <c r="AC962" s="8"/>
      <c r="AD962" s="8"/>
      <c r="AE962" s="8"/>
      <c r="AK962" s="5" t="str">
        <f t="shared" ref="AK962:AK1001" si="334">IF($A962="","",IF(OR($Z962="Kecepatan &amp; Loading Website",$AB962="Kecepatan Akses Website",AND($AA962="Bukan Terkait SOP (Tampilan / Akses)",OR(ISNUMBER(SEARCH("lemot",$W962)),ISNUMBER(SEARCH("loading",$W962)),ISNUMBER(SEARCH("lambat",$W962))))),1,0))</f>
        <v/>
      </c>
      <c r="AL962" s="5" t="str">
        <f t="shared" ref="AL962:AL1001" si="335">IF($A962="","",IF(OR($Z962="Tampilan di HP (Responsif)"),1,0))</f>
        <v/>
      </c>
      <c r="AM962" s="5" t="str">
        <f t="shared" ref="AM962:AM1001" si="336">IF($A962="","",IF(OR($Z962="Desain, Warna &amp; Font",$AB962="Desain Tampilan",AND($AA962="Bukan Terkait SOP (Tampilan / Akses)",NOT(OR(ISNUMBER(SEARCH("lemot",$W962)),ISNUMBER(SEARCH("loading",$W962)),ISNUMBER(SEARCH("lambat",$W962)))))),1,0))</f>
        <v/>
      </c>
      <c r="AN962" s="5" t="str">
        <f t="shared" ref="AN962:AN1001" si="337">IF($A962="","",IF(OR($Z962="Menu per Jabatan / Navigasi"),1,0))</f>
        <v/>
      </c>
      <c r="AO962" s="5" t="str">
        <f t="shared" ref="AO962:AO1001" si="338">IF($A962="","",IF(OR($Z962="Integrasi dengan SACS / Aplikasi",$AB962="Integrasi ke SACS / Aplikasi Kerja"),1,0))</f>
        <v/>
      </c>
      <c r="AP962" s="5" t="str">
        <f t="shared" ref="AP962:AP1001" si="339">IF($A962="","",IF(OR($AB962="Fitur Baru (Dashboard / KPI / Database)"),1,0))</f>
        <v/>
      </c>
      <c r="AQ962" s="5" t="str">
        <f t="shared" ref="AQ962:AQ1001" si="340">IF($A962="","",IF(OR($Z962="Penyederhanaan &amp; Ringkas Isi",$AB962="Penyederhanaan Isi"),1,0))</f>
        <v/>
      </c>
      <c r="AR962" s="5" t="str">
        <f t="shared" ref="AR962:AR1001" si="341">IF($A962="","",IF(OR($Z962="Penambahan Isi / Penjelasan",$AB962="Penambahan Materi &amp; Template"),1,0))</f>
        <v/>
      </c>
      <c r="AS962" s="5" t="str">
        <f t="shared" ref="AS962:AS1001" si="342">IF($A962="","",IF(OR($Z962="Tambah Video / Bagan",$AB962="Tambah Video / Gambar / Flowchart"),1,0))</f>
        <v/>
      </c>
      <c r="AT962" s="5" t="str">
        <f t="shared" ref="AT962:AT1001" si="343">IF($A962="","",IF(OR($Z962="Kontak &amp; Informasi PIC",$AA962="Kontak PIC &amp; Eskalasi",$AB962="Struktur Organisasi, PIC &amp; Tim"),1,0))</f>
        <v/>
      </c>
      <c r="AU962" s="5" t="str">
        <f t="shared" ref="AU962:AU1001" si="344">IF($A962="","",IF(OR($AA962="Pembaruan &amp; Notifikasi SOP",$AB962="Update Informasi Berkala"),1,0))</f>
        <v/>
      </c>
      <c r="AV962" s="5" t="str">
        <f t="shared" ref="AV962:AV1001" si="345">IF($A962="","",IF(OR($AA962="Sanksi &amp; Pelanggaran SOP"),1,0))</f>
        <v/>
      </c>
      <c r="AW962" s="5" t="str">
        <f t="shared" ref="AW962:AW1001" si="346">IF($A962="","",IF(OR($AA962="Piutang &amp; Pelanggan Bermasalah"),1,0))</f>
        <v/>
      </c>
      <c r="AX962" s="5" t="str">
        <f t="shared" ref="AX962:AX1001" si="347">IF($A962="","",IF(OR($AA962="Pengiriman, Retur &amp; Logistik"),1,0))</f>
        <v/>
      </c>
      <c r="AY962" s="5" t="str">
        <f t="shared" ref="AY962:AY1001" si="348">IF($A962="","",IF(OR($AA962="Panduan Laporan &amp; Alur Kerja"),1,0))</f>
        <v/>
      </c>
      <c r="AZ962" s="5" t="str">
        <f t="shared" ref="AZ962:AZ1001" si="349">IF($A962="","",IF(OR($Z962="Saran Umum Peningkatan",$AB962="Saran Umum Peningkatan"),1,0))</f>
        <v/>
      </c>
      <c r="BA962" s="5" t="str">
        <f t="shared" ref="BA962:BA1001" si="350">IF($A962="","",IF(OR($Z962="Lainnya (perlu dibaca manual)",$AA962="Lainnya (perlu dibaca manual)",$AB962="Lainnya (perlu dibaca manual)"),1,0))</f>
        <v/>
      </c>
      <c r="BB962" s="5" t="str">
        <f t="shared" ref="BB962:BB1001" si="351">IF($A962="","",IF(AND($Z962="Tidak ada masukan / sudah baik",$AA962="Tidak ada masukan / sudah baik",$AB962="Tidak ada masukan / sudah baik"),0,1))</f>
        <v/>
      </c>
    </row>
    <row r="963" spans="1:54" s="5" customFormat="1" hidden="1">
      <c r="A963" s="8" t="str">
        <f>IF(INDEX(FORM!$A:$A,ROW())="","",ROW()-1)</f>
        <v/>
      </c>
      <c r="B963" s="41" t="str">
        <f>IF($A963="","",INDEX(FORM!$A:$A,ROW()))</f>
        <v/>
      </c>
      <c r="C963" s="8" t="str">
        <f>IF($A963="","",TRIM(INDEX(FORM!$B:$B,ROW())))</f>
        <v/>
      </c>
      <c r="D963" s="8" t="str">
        <f>IF($A963="","",TRIM(INDEX(FORM!$C:$C,ROW())&amp;""))</f>
        <v/>
      </c>
      <c r="E963" s="8" t="str">
        <f>IF($A963="","",UPPER(TRIM(INDEX(FORM!$D:$D,ROW()))))</f>
        <v/>
      </c>
      <c r="F963" s="8" t="str">
        <f>IF($A963="","",IFERROR(INDEX(PROGRES!$A$2:$A$92,MATCH(E963,PROGRES!$B$2:$B$92,0)),"-"))</f>
        <v/>
      </c>
      <c r="G963" s="8" t="str">
        <f>IF($A963="","",UPPER(TRIM(INDEX(FORM!$F:$F,ROW()))))</f>
        <v/>
      </c>
      <c r="H963" s="8" t="str">
        <f>IF($A963="","",UPPER(TRIM(INDEX(FORM!$E:$E,ROW()))))</f>
        <v/>
      </c>
      <c r="I963" s="8" t="str">
        <f>IF($A963="","",UPPER(TRIM(INDEX(FORM!$G:$G,ROW()))))</f>
        <v/>
      </c>
      <c r="J963" s="8" t="str">
        <f>IF($A963="","",IF(ISNUMBER(SEARCH("Ya,",INDEX(FORM!$H:$H,ROW()))),"YA",IF(ISNUMBER(SEARCH("Cukup,",INDEX(FORM!$H:$H,ROW()))),"CUKUP",IF(ISNUMBER(SEARCH("Kurang,",INDEX(FORM!$H:$H,ROW()))),"KURANG",""))))</f>
        <v/>
      </c>
      <c r="K963" s="8" t="str">
        <f>IF($A963="","",UPPER(TRIM(INDEX(FORM!$J:$J,ROW()))))</f>
        <v/>
      </c>
      <c r="L963" s="8" t="str">
        <f>IF($A963="","",IF(ISNUMBER(SEARCH("Aktivitas Harian",INDEX(FORM!$K:$K,ROW()))),1,0))</f>
        <v/>
      </c>
      <c r="M963" s="8" t="str">
        <f>IF($A963="","",IF(ISNUMBER(SEARCH("Aktivitas Mingguan",INDEX(FORM!$K:$K,ROW()))),1,0))</f>
        <v/>
      </c>
      <c r="N963" s="8" t="str">
        <f>IF($A963="","",IF(ISNUMBER(SEARCH("Aktivitas Bulanan",INDEX(FORM!$K:$K,ROW()))),1,0))</f>
        <v/>
      </c>
      <c r="O963" s="8" t="str">
        <f>IF($A963="","",IF(ISNUMBER(SEARCH("Overview Cabang",INDEX(FORM!$K:$K,ROW()))),1,0))</f>
        <v/>
      </c>
      <c r="P963" s="8" t="str">
        <f>IF($A963="","",IFERROR(VLOOKUP(I963,DATA!$AH$9:$AI$13,2,0),""))</f>
        <v/>
      </c>
      <c r="Q963" s="8" t="str">
        <f>IF($A963="","",IFERROR(VLOOKUP(J963,DATA!$AH$9:$AI$13,2,0),""))</f>
        <v/>
      </c>
      <c r="R963" s="8" t="str">
        <f>IF($A963="","",IFERROR(VLOOKUP(K963,DATA!$AH$9:$AI$13,2,0),""))</f>
        <v/>
      </c>
      <c r="S963" s="42" t="str">
        <f t="shared" si="330"/>
        <v/>
      </c>
      <c r="T963" s="8" t="str">
        <f>IF($A963="","",IF(COUNTIF($D$2:D963,D963)=1,1,0))</f>
        <v/>
      </c>
      <c r="U963" s="8" t="str">
        <f>IF($A963="","",IF(F963="-","Cabang tdk ada",IF(IFERROR(VLOOKUP(G963,#REF!,1,0),"")="","",IF(INDEX(DATA!$AH$2:$AH$5,MATCH(G963,DATA!$AI$2:$AI$5,0))&lt;&gt;F963,"Wilayah beda","OK"))))</f>
        <v/>
      </c>
      <c r="V963" s="8" t="str">
        <f>IF($A963="","",TRIM(INDEX(FORM!$I:$I,ROW())&amp;""))</f>
        <v/>
      </c>
      <c r="W963" s="8" t="str">
        <f>IF($A963="","",TRIM(INDEX(FORM!$L:$L,ROW())&amp;""))</f>
        <v/>
      </c>
      <c r="X963" s="8" t="str">
        <f>IF($A963="","",TRIM(INDEX(FORM!$M:$M,ROW())&amp;""))</f>
        <v/>
      </c>
      <c r="Y963" s="8" t="str">
        <f>IF($A963="","",IFERROR(MATCH(F963,DATA!$AH$2:$AH$5,0),9)*10000+A963)</f>
        <v/>
      </c>
      <c r="Z963" s="8" t="str">
        <f t="shared" si="331"/>
        <v/>
      </c>
      <c r="AA963" s="8" t="str">
        <f t="shared" si="332"/>
        <v/>
      </c>
      <c r="AB963" s="8" t="str">
        <f t="shared" si="333"/>
        <v/>
      </c>
      <c r="AC963" s="8"/>
      <c r="AD963" s="8"/>
      <c r="AE963" s="8"/>
      <c r="AK963" s="5" t="str">
        <f t="shared" si="334"/>
        <v/>
      </c>
      <c r="AL963" s="5" t="str">
        <f t="shared" si="335"/>
        <v/>
      </c>
      <c r="AM963" s="5" t="str">
        <f t="shared" si="336"/>
        <v/>
      </c>
      <c r="AN963" s="5" t="str">
        <f t="shared" si="337"/>
        <v/>
      </c>
      <c r="AO963" s="5" t="str">
        <f t="shared" si="338"/>
        <v/>
      </c>
      <c r="AP963" s="5" t="str">
        <f t="shared" si="339"/>
        <v/>
      </c>
      <c r="AQ963" s="5" t="str">
        <f t="shared" si="340"/>
        <v/>
      </c>
      <c r="AR963" s="5" t="str">
        <f t="shared" si="341"/>
        <v/>
      </c>
      <c r="AS963" s="5" t="str">
        <f t="shared" si="342"/>
        <v/>
      </c>
      <c r="AT963" s="5" t="str">
        <f t="shared" si="343"/>
        <v/>
      </c>
      <c r="AU963" s="5" t="str">
        <f t="shared" si="344"/>
        <v/>
      </c>
      <c r="AV963" s="5" t="str">
        <f t="shared" si="345"/>
        <v/>
      </c>
      <c r="AW963" s="5" t="str">
        <f t="shared" si="346"/>
        <v/>
      </c>
      <c r="AX963" s="5" t="str">
        <f t="shared" si="347"/>
        <v/>
      </c>
      <c r="AY963" s="5" t="str">
        <f t="shared" si="348"/>
        <v/>
      </c>
      <c r="AZ963" s="5" t="str">
        <f t="shared" si="349"/>
        <v/>
      </c>
      <c r="BA963" s="5" t="str">
        <f t="shared" si="350"/>
        <v/>
      </c>
      <c r="BB963" s="5" t="str">
        <f t="shared" si="351"/>
        <v/>
      </c>
    </row>
    <row r="964" spans="1:54" s="5" customFormat="1" hidden="1">
      <c r="A964" s="8" t="str">
        <f>IF(INDEX(FORM!$A:$A,ROW())="","",ROW()-1)</f>
        <v/>
      </c>
      <c r="B964" s="41" t="str">
        <f>IF($A964="","",INDEX(FORM!$A:$A,ROW()))</f>
        <v/>
      </c>
      <c r="C964" s="8" t="str">
        <f>IF($A964="","",TRIM(INDEX(FORM!$B:$B,ROW())))</f>
        <v/>
      </c>
      <c r="D964" s="8" t="str">
        <f>IF($A964="","",TRIM(INDEX(FORM!$C:$C,ROW())&amp;""))</f>
        <v/>
      </c>
      <c r="E964" s="8" t="str">
        <f>IF($A964="","",UPPER(TRIM(INDEX(FORM!$D:$D,ROW()))))</f>
        <v/>
      </c>
      <c r="F964" s="8" t="str">
        <f>IF($A964="","",IFERROR(INDEX(PROGRES!$A$2:$A$92,MATCH(E964,PROGRES!$B$2:$B$92,0)),"-"))</f>
        <v/>
      </c>
      <c r="G964" s="8" t="str">
        <f>IF($A964="","",UPPER(TRIM(INDEX(FORM!$F:$F,ROW()))))</f>
        <v/>
      </c>
      <c r="H964" s="8" t="str">
        <f>IF($A964="","",UPPER(TRIM(INDEX(FORM!$E:$E,ROW()))))</f>
        <v/>
      </c>
      <c r="I964" s="8" t="str">
        <f>IF($A964="","",UPPER(TRIM(INDEX(FORM!$G:$G,ROW()))))</f>
        <v/>
      </c>
      <c r="J964" s="8" t="str">
        <f>IF($A964="","",IF(ISNUMBER(SEARCH("Ya,",INDEX(FORM!$H:$H,ROW()))),"YA",IF(ISNUMBER(SEARCH("Cukup,",INDEX(FORM!$H:$H,ROW()))),"CUKUP",IF(ISNUMBER(SEARCH("Kurang,",INDEX(FORM!$H:$H,ROW()))),"KURANG",""))))</f>
        <v/>
      </c>
      <c r="K964" s="8" t="str">
        <f>IF($A964="","",UPPER(TRIM(INDEX(FORM!$J:$J,ROW()))))</f>
        <v/>
      </c>
      <c r="L964" s="8" t="str">
        <f>IF($A964="","",IF(ISNUMBER(SEARCH("Aktivitas Harian",INDEX(FORM!$K:$K,ROW()))),1,0))</f>
        <v/>
      </c>
      <c r="M964" s="8" t="str">
        <f>IF($A964="","",IF(ISNUMBER(SEARCH("Aktivitas Mingguan",INDEX(FORM!$K:$K,ROW()))),1,0))</f>
        <v/>
      </c>
      <c r="N964" s="8" t="str">
        <f>IF($A964="","",IF(ISNUMBER(SEARCH("Aktivitas Bulanan",INDEX(FORM!$K:$K,ROW()))),1,0))</f>
        <v/>
      </c>
      <c r="O964" s="8" t="str">
        <f>IF($A964="","",IF(ISNUMBER(SEARCH("Overview Cabang",INDEX(FORM!$K:$K,ROW()))),1,0))</f>
        <v/>
      </c>
      <c r="P964" s="8" t="str">
        <f>IF($A964="","",IFERROR(VLOOKUP(I964,DATA!$AH$9:$AI$13,2,0),""))</f>
        <v/>
      </c>
      <c r="Q964" s="8" t="str">
        <f>IF($A964="","",IFERROR(VLOOKUP(J964,DATA!$AH$9:$AI$13,2,0),""))</f>
        <v/>
      </c>
      <c r="R964" s="8" t="str">
        <f>IF($A964="","",IFERROR(VLOOKUP(K964,DATA!$AH$9:$AI$13,2,0),""))</f>
        <v/>
      </c>
      <c r="S964" s="42" t="str">
        <f t="shared" si="330"/>
        <v/>
      </c>
      <c r="T964" s="8" t="str">
        <f>IF($A964="","",IF(COUNTIF($D$2:D964,D964)=1,1,0))</f>
        <v/>
      </c>
      <c r="U964" s="8" t="str">
        <f>IF($A964="","",IF(F964="-","Cabang tdk ada",IF(IFERROR(VLOOKUP(G964,#REF!,1,0),"")="","",IF(INDEX(DATA!$AH$2:$AH$5,MATCH(G964,DATA!$AI$2:$AI$5,0))&lt;&gt;F964,"Wilayah beda","OK"))))</f>
        <v/>
      </c>
      <c r="V964" s="8" t="str">
        <f>IF($A964="","",TRIM(INDEX(FORM!$I:$I,ROW())&amp;""))</f>
        <v/>
      </c>
      <c r="W964" s="8" t="str">
        <f>IF($A964="","",TRIM(INDEX(FORM!$L:$L,ROW())&amp;""))</f>
        <v/>
      </c>
      <c r="X964" s="8" t="str">
        <f>IF($A964="","",TRIM(INDEX(FORM!$M:$M,ROW())&amp;""))</f>
        <v/>
      </c>
      <c r="Y964" s="8" t="str">
        <f>IF($A964="","",IFERROR(MATCH(F964,DATA!$AH$2:$AH$5,0),9)*10000+A964)</f>
        <v/>
      </c>
      <c r="Z964" s="8" t="str">
        <f t="shared" si="331"/>
        <v/>
      </c>
      <c r="AA964" s="8" t="str">
        <f t="shared" si="332"/>
        <v/>
      </c>
      <c r="AB964" s="8" t="str">
        <f t="shared" si="333"/>
        <v/>
      </c>
      <c r="AC964" s="8"/>
      <c r="AD964" s="8"/>
      <c r="AE964" s="8"/>
      <c r="AK964" s="5" t="str">
        <f t="shared" si="334"/>
        <v/>
      </c>
      <c r="AL964" s="5" t="str">
        <f t="shared" si="335"/>
        <v/>
      </c>
      <c r="AM964" s="5" t="str">
        <f t="shared" si="336"/>
        <v/>
      </c>
      <c r="AN964" s="5" t="str">
        <f t="shared" si="337"/>
        <v/>
      </c>
      <c r="AO964" s="5" t="str">
        <f t="shared" si="338"/>
        <v/>
      </c>
      <c r="AP964" s="5" t="str">
        <f t="shared" si="339"/>
        <v/>
      </c>
      <c r="AQ964" s="5" t="str">
        <f t="shared" si="340"/>
        <v/>
      </c>
      <c r="AR964" s="5" t="str">
        <f t="shared" si="341"/>
        <v/>
      </c>
      <c r="AS964" s="5" t="str">
        <f t="shared" si="342"/>
        <v/>
      </c>
      <c r="AT964" s="5" t="str">
        <f t="shared" si="343"/>
        <v/>
      </c>
      <c r="AU964" s="5" t="str">
        <f t="shared" si="344"/>
        <v/>
      </c>
      <c r="AV964" s="5" t="str">
        <f t="shared" si="345"/>
        <v/>
      </c>
      <c r="AW964" s="5" t="str">
        <f t="shared" si="346"/>
        <v/>
      </c>
      <c r="AX964" s="5" t="str">
        <f t="shared" si="347"/>
        <v/>
      </c>
      <c r="AY964" s="5" t="str">
        <f t="shared" si="348"/>
        <v/>
      </c>
      <c r="AZ964" s="5" t="str">
        <f t="shared" si="349"/>
        <v/>
      </c>
      <c r="BA964" s="5" t="str">
        <f t="shared" si="350"/>
        <v/>
      </c>
      <c r="BB964" s="5" t="str">
        <f t="shared" si="351"/>
        <v/>
      </c>
    </row>
    <row r="965" spans="1:54" s="5" customFormat="1" hidden="1">
      <c r="A965" s="8" t="str">
        <f>IF(INDEX(FORM!$A:$A,ROW())="","",ROW()-1)</f>
        <v/>
      </c>
      <c r="B965" s="41" t="str">
        <f>IF($A965="","",INDEX(FORM!$A:$A,ROW()))</f>
        <v/>
      </c>
      <c r="C965" s="8" t="str">
        <f>IF($A965="","",TRIM(INDEX(FORM!$B:$B,ROW())))</f>
        <v/>
      </c>
      <c r="D965" s="8" t="str">
        <f>IF($A965="","",TRIM(INDEX(FORM!$C:$C,ROW())&amp;""))</f>
        <v/>
      </c>
      <c r="E965" s="8" t="str">
        <f>IF($A965="","",UPPER(TRIM(INDEX(FORM!$D:$D,ROW()))))</f>
        <v/>
      </c>
      <c r="F965" s="8" t="str">
        <f>IF($A965="","",IFERROR(INDEX(PROGRES!$A$2:$A$92,MATCH(E965,PROGRES!$B$2:$B$92,0)),"-"))</f>
        <v/>
      </c>
      <c r="G965" s="8" t="str">
        <f>IF($A965="","",UPPER(TRIM(INDEX(FORM!$F:$F,ROW()))))</f>
        <v/>
      </c>
      <c r="H965" s="8" t="str">
        <f>IF($A965="","",UPPER(TRIM(INDEX(FORM!$E:$E,ROW()))))</f>
        <v/>
      </c>
      <c r="I965" s="8" t="str">
        <f>IF($A965="","",UPPER(TRIM(INDEX(FORM!$G:$G,ROW()))))</f>
        <v/>
      </c>
      <c r="J965" s="8" t="str">
        <f>IF($A965="","",IF(ISNUMBER(SEARCH("Ya,",INDEX(FORM!$H:$H,ROW()))),"YA",IF(ISNUMBER(SEARCH("Cukup,",INDEX(FORM!$H:$H,ROW()))),"CUKUP",IF(ISNUMBER(SEARCH("Kurang,",INDEX(FORM!$H:$H,ROW()))),"KURANG",""))))</f>
        <v/>
      </c>
      <c r="K965" s="8" t="str">
        <f>IF($A965="","",UPPER(TRIM(INDEX(FORM!$J:$J,ROW()))))</f>
        <v/>
      </c>
      <c r="L965" s="8" t="str">
        <f>IF($A965="","",IF(ISNUMBER(SEARCH("Aktivitas Harian",INDEX(FORM!$K:$K,ROW()))),1,0))</f>
        <v/>
      </c>
      <c r="M965" s="8" t="str">
        <f>IF($A965="","",IF(ISNUMBER(SEARCH("Aktivitas Mingguan",INDEX(FORM!$K:$K,ROW()))),1,0))</f>
        <v/>
      </c>
      <c r="N965" s="8" t="str">
        <f>IF($A965="","",IF(ISNUMBER(SEARCH("Aktivitas Bulanan",INDEX(FORM!$K:$K,ROW()))),1,0))</f>
        <v/>
      </c>
      <c r="O965" s="8" t="str">
        <f>IF($A965="","",IF(ISNUMBER(SEARCH("Overview Cabang",INDEX(FORM!$K:$K,ROW()))),1,0))</f>
        <v/>
      </c>
      <c r="P965" s="8" t="str">
        <f>IF($A965="","",IFERROR(VLOOKUP(I965,DATA!$AH$9:$AI$13,2,0),""))</f>
        <v/>
      </c>
      <c r="Q965" s="8" t="str">
        <f>IF($A965="","",IFERROR(VLOOKUP(J965,DATA!$AH$9:$AI$13,2,0),""))</f>
        <v/>
      </c>
      <c r="R965" s="8" t="str">
        <f>IF($A965="","",IFERROR(VLOOKUP(K965,DATA!$AH$9:$AI$13,2,0),""))</f>
        <v/>
      </c>
      <c r="S965" s="42" t="str">
        <f t="shared" si="330"/>
        <v/>
      </c>
      <c r="T965" s="8" t="str">
        <f>IF($A965="","",IF(COUNTIF($D$2:D965,D965)=1,1,0))</f>
        <v/>
      </c>
      <c r="U965" s="8" t="str">
        <f>IF($A965="","",IF(F965="-","Cabang tdk ada",IF(IFERROR(VLOOKUP(G965,#REF!,1,0),"")="","",IF(INDEX(DATA!$AH$2:$AH$5,MATCH(G965,DATA!$AI$2:$AI$5,0))&lt;&gt;F965,"Wilayah beda","OK"))))</f>
        <v/>
      </c>
      <c r="V965" s="8" t="str">
        <f>IF($A965="","",TRIM(INDEX(FORM!$I:$I,ROW())&amp;""))</f>
        <v/>
      </c>
      <c r="W965" s="8" t="str">
        <f>IF($A965="","",TRIM(INDEX(FORM!$L:$L,ROW())&amp;""))</f>
        <v/>
      </c>
      <c r="X965" s="8" t="str">
        <f>IF($A965="","",TRIM(INDEX(FORM!$M:$M,ROW())&amp;""))</f>
        <v/>
      </c>
      <c r="Y965" s="8" t="str">
        <f>IF($A965="","",IFERROR(MATCH(F965,DATA!$AH$2:$AH$5,0),9)*10000+A965)</f>
        <v/>
      </c>
      <c r="Z965" s="8" t="str">
        <f t="shared" si="331"/>
        <v/>
      </c>
      <c r="AA965" s="8" t="str">
        <f t="shared" si="332"/>
        <v/>
      </c>
      <c r="AB965" s="8" t="str">
        <f t="shared" si="333"/>
        <v/>
      </c>
      <c r="AC965" s="8"/>
      <c r="AD965" s="8"/>
      <c r="AE965" s="8"/>
      <c r="AK965" s="5" t="str">
        <f t="shared" si="334"/>
        <v/>
      </c>
      <c r="AL965" s="5" t="str">
        <f t="shared" si="335"/>
        <v/>
      </c>
      <c r="AM965" s="5" t="str">
        <f t="shared" si="336"/>
        <v/>
      </c>
      <c r="AN965" s="5" t="str">
        <f t="shared" si="337"/>
        <v/>
      </c>
      <c r="AO965" s="5" t="str">
        <f t="shared" si="338"/>
        <v/>
      </c>
      <c r="AP965" s="5" t="str">
        <f t="shared" si="339"/>
        <v/>
      </c>
      <c r="AQ965" s="5" t="str">
        <f t="shared" si="340"/>
        <v/>
      </c>
      <c r="AR965" s="5" t="str">
        <f t="shared" si="341"/>
        <v/>
      </c>
      <c r="AS965" s="5" t="str">
        <f t="shared" si="342"/>
        <v/>
      </c>
      <c r="AT965" s="5" t="str">
        <f t="shared" si="343"/>
        <v/>
      </c>
      <c r="AU965" s="5" t="str">
        <f t="shared" si="344"/>
        <v/>
      </c>
      <c r="AV965" s="5" t="str">
        <f t="shared" si="345"/>
        <v/>
      </c>
      <c r="AW965" s="5" t="str">
        <f t="shared" si="346"/>
        <v/>
      </c>
      <c r="AX965" s="5" t="str">
        <f t="shared" si="347"/>
        <v/>
      </c>
      <c r="AY965" s="5" t="str">
        <f t="shared" si="348"/>
        <v/>
      </c>
      <c r="AZ965" s="5" t="str">
        <f t="shared" si="349"/>
        <v/>
      </c>
      <c r="BA965" s="5" t="str">
        <f t="shared" si="350"/>
        <v/>
      </c>
      <c r="BB965" s="5" t="str">
        <f t="shared" si="351"/>
        <v/>
      </c>
    </row>
    <row r="966" spans="1:54" s="5" customFormat="1" hidden="1">
      <c r="A966" s="8" t="str">
        <f>IF(INDEX(FORM!$A:$A,ROW())="","",ROW()-1)</f>
        <v/>
      </c>
      <c r="B966" s="41" t="str">
        <f>IF($A966="","",INDEX(FORM!$A:$A,ROW()))</f>
        <v/>
      </c>
      <c r="C966" s="8" t="str">
        <f>IF($A966="","",TRIM(INDEX(FORM!$B:$B,ROW())))</f>
        <v/>
      </c>
      <c r="D966" s="8" t="str">
        <f>IF($A966="","",TRIM(INDEX(FORM!$C:$C,ROW())&amp;""))</f>
        <v/>
      </c>
      <c r="E966" s="8" t="str">
        <f>IF($A966="","",UPPER(TRIM(INDEX(FORM!$D:$D,ROW()))))</f>
        <v/>
      </c>
      <c r="F966" s="8" t="str">
        <f>IF($A966="","",IFERROR(INDEX(PROGRES!$A$2:$A$92,MATCH(E966,PROGRES!$B$2:$B$92,0)),"-"))</f>
        <v/>
      </c>
      <c r="G966" s="8" t="str">
        <f>IF($A966="","",UPPER(TRIM(INDEX(FORM!$F:$F,ROW()))))</f>
        <v/>
      </c>
      <c r="H966" s="8" t="str">
        <f>IF($A966="","",UPPER(TRIM(INDEX(FORM!$E:$E,ROW()))))</f>
        <v/>
      </c>
      <c r="I966" s="8" t="str">
        <f>IF($A966="","",UPPER(TRIM(INDEX(FORM!$G:$G,ROW()))))</f>
        <v/>
      </c>
      <c r="J966" s="8" t="str">
        <f>IF($A966="","",IF(ISNUMBER(SEARCH("Ya,",INDEX(FORM!$H:$H,ROW()))),"YA",IF(ISNUMBER(SEARCH("Cukup,",INDEX(FORM!$H:$H,ROW()))),"CUKUP",IF(ISNUMBER(SEARCH("Kurang,",INDEX(FORM!$H:$H,ROW()))),"KURANG",""))))</f>
        <v/>
      </c>
      <c r="K966" s="8" t="str">
        <f>IF($A966="","",UPPER(TRIM(INDEX(FORM!$J:$J,ROW()))))</f>
        <v/>
      </c>
      <c r="L966" s="8" t="str">
        <f>IF($A966="","",IF(ISNUMBER(SEARCH("Aktivitas Harian",INDEX(FORM!$K:$K,ROW()))),1,0))</f>
        <v/>
      </c>
      <c r="M966" s="8" t="str">
        <f>IF($A966="","",IF(ISNUMBER(SEARCH("Aktivitas Mingguan",INDEX(FORM!$K:$K,ROW()))),1,0))</f>
        <v/>
      </c>
      <c r="N966" s="8" t="str">
        <f>IF($A966="","",IF(ISNUMBER(SEARCH("Aktivitas Bulanan",INDEX(FORM!$K:$K,ROW()))),1,0))</f>
        <v/>
      </c>
      <c r="O966" s="8" t="str">
        <f>IF($A966="","",IF(ISNUMBER(SEARCH("Overview Cabang",INDEX(FORM!$K:$K,ROW()))),1,0))</f>
        <v/>
      </c>
      <c r="P966" s="8" t="str">
        <f>IF($A966="","",IFERROR(VLOOKUP(I966,DATA!$AH$9:$AI$13,2,0),""))</f>
        <v/>
      </c>
      <c r="Q966" s="8" t="str">
        <f>IF($A966="","",IFERROR(VLOOKUP(J966,DATA!$AH$9:$AI$13,2,0),""))</f>
        <v/>
      </c>
      <c r="R966" s="8" t="str">
        <f>IF($A966="","",IFERROR(VLOOKUP(K966,DATA!$AH$9:$AI$13,2,0),""))</f>
        <v/>
      </c>
      <c r="S966" s="42" t="str">
        <f t="shared" si="330"/>
        <v/>
      </c>
      <c r="T966" s="8" t="str">
        <f>IF($A966="","",IF(COUNTIF($D$2:D966,D966)=1,1,0))</f>
        <v/>
      </c>
      <c r="U966" s="8" t="str">
        <f>IF($A966="","",IF(F966="-","Cabang tdk ada",IF(IFERROR(VLOOKUP(G966,#REF!,1,0),"")="","",IF(INDEX(DATA!$AH$2:$AH$5,MATCH(G966,DATA!$AI$2:$AI$5,0))&lt;&gt;F966,"Wilayah beda","OK"))))</f>
        <v/>
      </c>
      <c r="V966" s="8" t="str">
        <f>IF($A966="","",TRIM(INDEX(FORM!$I:$I,ROW())&amp;""))</f>
        <v/>
      </c>
      <c r="W966" s="8" t="str">
        <f>IF($A966="","",TRIM(INDEX(FORM!$L:$L,ROW())&amp;""))</f>
        <v/>
      </c>
      <c r="X966" s="8" t="str">
        <f>IF($A966="","",TRIM(INDEX(FORM!$M:$M,ROW())&amp;""))</f>
        <v/>
      </c>
      <c r="Y966" s="8" t="str">
        <f>IF($A966="","",IFERROR(MATCH(F966,DATA!$AH$2:$AH$5,0),9)*10000+A966)</f>
        <v/>
      </c>
      <c r="Z966" s="8" t="str">
        <f t="shared" si="331"/>
        <v/>
      </c>
      <c r="AA966" s="8" t="str">
        <f t="shared" si="332"/>
        <v/>
      </c>
      <c r="AB966" s="8" t="str">
        <f t="shared" si="333"/>
        <v/>
      </c>
      <c r="AC966" s="8"/>
      <c r="AD966" s="8"/>
      <c r="AE966" s="8"/>
      <c r="AK966" s="5" t="str">
        <f t="shared" si="334"/>
        <v/>
      </c>
      <c r="AL966" s="5" t="str">
        <f t="shared" si="335"/>
        <v/>
      </c>
      <c r="AM966" s="5" t="str">
        <f t="shared" si="336"/>
        <v/>
      </c>
      <c r="AN966" s="5" t="str">
        <f t="shared" si="337"/>
        <v/>
      </c>
      <c r="AO966" s="5" t="str">
        <f t="shared" si="338"/>
        <v/>
      </c>
      <c r="AP966" s="5" t="str">
        <f t="shared" si="339"/>
        <v/>
      </c>
      <c r="AQ966" s="5" t="str">
        <f t="shared" si="340"/>
        <v/>
      </c>
      <c r="AR966" s="5" t="str">
        <f t="shared" si="341"/>
        <v/>
      </c>
      <c r="AS966" s="5" t="str">
        <f t="shared" si="342"/>
        <v/>
      </c>
      <c r="AT966" s="5" t="str">
        <f t="shared" si="343"/>
        <v/>
      </c>
      <c r="AU966" s="5" t="str">
        <f t="shared" si="344"/>
        <v/>
      </c>
      <c r="AV966" s="5" t="str">
        <f t="shared" si="345"/>
        <v/>
      </c>
      <c r="AW966" s="5" t="str">
        <f t="shared" si="346"/>
        <v/>
      </c>
      <c r="AX966" s="5" t="str">
        <f t="shared" si="347"/>
        <v/>
      </c>
      <c r="AY966" s="5" t="str">
        <f t="shared" si="348"/>
        <v/>
      </c>
      <c r="AZ966" s="5" t="str">
        <f t="shared" si="349"/>
        <v/>
      </c>
      <c r="BA966" s="5" t="str">
        <f t="shared" si="350"/>
        <v/>
      </c>
      <c r="BB966" s="5" t="str">
        <f t="shared" si="351"/>
        <v/>
      </c>
    </row>
    <row r="967" spans="1:54" s="5" customFormat="1" hidden="1">
      <c r="A967" s="8" t="str">
        <f>IF(INDEX(FORM!$A:$A,ROW())="","",ROW()-1)</f>
        <v/>
      </c>
      <c r="B967" s="41" t="str">
        <f>IF($A967="","",INDEX(FORM!$A:$A,ROW()))</f>
        <v/>
      </c>
      <c r="C967" s="8" t="str">
        <f>IF($A967="","",TRIM(INDEX(FORM!$B:$B,ROW())))</f>
        <v/>
      </c>
      <c r="D967" s="8" t="str">
        <f>IF($A967="","",TRIM(INDEX(FORM!$C:$C,ROW())&amp;""))</f>
        <v/>
      </c>
      <c r="E967" s="8" t="str">
        <f>IF($A967="","",UPPER(TRIM(INDEX(FORM!$D:$D,ROW()))))</f>
        <v/>
      </c>
      <c r="F967" s="8" t="str">
        <f>IF($A967="","",IFERROR(INDEX(PROGRES!$A$2:$A$92,MATCH(E967,PROGRES!$B$2:$B$92,0)),"-"))</f>
        <v/>
      </c>
      <c r="G967" s="8" t="str">
        <f>IF($A967="","",UPPER(TRIM(INDEX(FORM!$F:$F,ROW()))))</f>
        <v/>
      </c>
      <c r="H967" s="8" t="str">
        <f>IF($A967="","",UPPER(TRIM(INDEX(FORM!$E:$E,ROW()))))</f>
        <v/>
      </c>
      <c r="I967" s="8" t="str">
        <f>IF($A967="","",UPPER(TRIM(INDEX(FORM!$G:$G,ROW()))))</f>
        <v/>
      </c>
      <c r="J967" s="8" t="str">
        <f>IF($A967="","",IF(ISNUMBER(SEARCH("Ya,",INDEX(FORM!$H:$H,ROW()))),"YA",IF(ISNUMBER(SEARCH("Cukup,",INDEX(FORM!$H:$H,ROW()))),"CUKUP",IF(ISNUMBER(SEARCH("Kurang,",INDEX(FORM!$H:$H,ROW()))),"KURANG",""))))</f>
        <v/>
      </c>
      <c r="K967" s="8" t="str">
        <f>IF($A967="","",UPPER(TRIM(INDEX(FORM!$J:$J,ROW()))))</f>
        <v/>
      </c>
      <c r="L967" s="8" t="str">
        <f>IF($A967="","",IF(ISNUMBER(SEARCH("Aktivitas Harian",INDEX(FORM!$K:$K,ROW()))),1,0))</f>
        <v/>
      </c>
      <c r="M967" s="8" t="str">
        <f>IF($A967="","",IF(ISNUMBER(SEARCH("Aktivitas Mingguan",INDEX(FORM!$K:$K,ROW()))),1,0))</f>
        <v/>
      </c>
      <c r="N967" s="8" t="str">
        <f>IF($A967="","",IF(ISNUMBER(SEARCH("Aktivitas Bulanan",INDEX(FORM!$K:$K,ROW()))),1,0))</f>
        <v/>
      </c>
      <c r="O967" s="8" t="str">
        <f>IF($A967="","",IF(ISNUMBER(SEARCH("Overview Cabang",INDEX(FORM!$K:$K,ROW()))),1,0))</f>
        <v/>
      </c>
      <c r="P967" s="8" t="str">
        <f>IF($A967="","",IFERROR(VLOOKUP(I967,DATA!$AH$9:$AI$13,2,0),""))</f>
        <v/>
      </c>
      <c r="Q967" s="8" t="str">
        <f>IF($A967="","",IFERROR(VLOOKUP(J967,DATA!$AH$9:$AI$13,2,0),""))</f>
        <v/>
      </c>
      <c r="R967" s="8" t="str">
        <f>IF($A967="","",IFERROR(VLOOKUP(K967,DATA!$AH$9:$AI$13,2,0),""))</f>
        <v/>
      </c>
      <c r="S967" s="42" t="str">
        <f t="shared" si="330"/>
        <v/>
      </c>
      <c r="T967" s="8" t="str">
        <f>IF($A967="","",IF(COUNTIF($D$2:D967,D967)=1,1,0))</f>
        <v/>
      </c>
      <c r="U967" s="8" t="str">
        <f>IF($A967="","",IF(F967="-","Cabang tdk ada",IF(IFERROR(VLOOKUP(G967,#REF!,1,0),"")="","",IF(INDEX(DATA!$AH$2:$AH$5,MATCH(G967,DATA!$AI$2:$AI$5,0))&lt;&gt;F967,"Wilayah beda","OK"))))</f>
        <v/>
      </c>
      <c r="V967" s="8" t="str">
        <f>IF($A967="","",TRIM(INDEX(FORM!$I:$I,ROW())&amp;""))</f>
        <v/>
      </c>
      <c r="W967" s="8" t="str">
        <f>IF($A967="","",TRIM(INDEX(FORM!$L:$L,ROW())&amp;""))</f>
        <v/>
      </c>
      <c r="X967" s="8" t="str">
        <f>IF($A967="","",TRIM(INDEX(FORM!$M:$M,ROW())&amp;""))</f>
        <v/>
      </c>
      <c r="Y967" s="8" t="str">
        <f>IF($A967="","",IFERROR(MATCH(F967,DATA!$AH$2:$AH$5,0),9)*10000+A967)</f>
        <v/>
      </c>
      <c r="Z967" s="8" t="str">
        <f t="shared" si="331"/>
        <v/>
      </c>
      <c r="AA967" s="8" t="str">
        <f t="shared" si="332"/>
        <v/>
      </c>
      <c r="AB967" s="8" t="str">
        <f t="shared" si="333"/>
        <v/>
      </c>
      <c r="AC967" s="8"/>
      <c r="AD967" s="8"/>
      <c r="AE967" s="8"/>
      <c r="AK967" s="5" t="str">
        <f t="shared" si="334"/>
        <v/>
      </c>
      <c r="AL967" s="5" t="str">
        <f t="shared" si="335"/>
        <v/>
      </c>
      <c r="AM967" s="5" t="str">
        <f t="shared" si="336"/>
        <v/>
      </c>
      <c r="AN967" s="5" t="str">
        <f t="shared" si="337"/>
        <v/>
      </c>
      <c r="AO967" s="5" t="str">
        <f t="shared" si="338"/>
        <v/>
      </c>
      <c r="AP967" s="5" t="str">
        <f t="shared" si="339"/>
        <v/>
      </c>
      <c r="AQ967" s="5" t="str">
        <f t="shared" si="340"/>
        <v/>
      </c>
      <c r="AR967" s="5" t="str">
        <f t="shared" si="341"/>
        <v/>
      </c>
      <c r="AS967" s="5" t="str">
        <f t="shared" si="342"/>
        <v/>
      </c>
      <c r="AT967" s="5" t="str">
        <f t="shared" si="343"/>
        <v/>
      </c>
      <c r="AU967" s="5" t="str">
        <f t="shared" si="344"/>
        <v/>
      </c>
      <c r="AV967" s="5" t="str">
        <f t="shared" si="345"/>
        <v/>
      </c>
      <c r="AW967" s="5" t="str">
        <f t="shared" si="346"/>
        <v/>
      </c>
      <c r="AX967" s="5" t="str">
        <f t="shared" si="347"/>
        <v/>
      </c>
      <c r="AY967" s="5" t="str">
        <f t="shared" si="348"/>
        <v/>
      </c>
      <c r="AZ967" s="5" t="str">
        <f t="shared" si="349"/>
        <v/>
      </c>
      <c r="BA967" s="5" t="str">
        <f t="shared" si="350"/>
        <v/>
      </c>
      <c r="BB967" s="5" t="str">
        <f t="shared" si="351"/>
        <v/>
      </c>
    </row>
    <row r="968" spans="1:54" s="5" customFormat="1" hidden="1">
      <c r="A968" s="8" t="str">
        <f>IF(INDEX(FORM!$A:$A,ROW())="","",ROW()-1)</f>
        <v/>
      </c>
      <c r="B968" s="41" t="str">
        <f>IF($A968="","",INDEX(FORM!$A:$A,ROW()))</f>
        <v/>
      </c>
      <c r="C968" s="8" t="str">
        <f>IF($A968="","",TRIM(INDEX(FORM!$B:$B,ROW())))</f>
        <v/>
      </c>
      <c r="D968" s="8" t="str">
        <f>IF($A968="","",TRIM(INDEX(FORM!$C:$C,ROW())&amp;""))</f>
        <v/>
      </c>
      <c r="E968" s="8" t="str">
        <f>IF($A968="","",UPPER(TRIM(INDEX(FORM!$D:$D,ROW()))))</f>
        <v/>
      </c>
      <c r="F968" s="8" t="str">
        <f>IF($A968="","",IFERROR(INDEX(PROGRES!$A$2:$A$92,MATCH(E968,PROGRES!$B$2:$B$92,0)),"-"))</f>
        <v/>
      </c>
      <c r="G968" s="8" t="str">
        <f>IF($A968="","",UPPER(TRIM(INDEX(FORM!$F:$F,ROW()))))</f>
        <v/>
      </c>
      <c r="H968" s="8" t="str">
        <f>IF($A968="","",UPPER(TRIM(INDEX(FORM!$E:$E,ROW()))))</f>
        <v/>
      </c>
      <c r="I968" s="8" t="str">
        <f>IF($A968="","",UPPER(TRIM(INDEX(FORM!$G:$G,ROW()))))</f>
        <v/>
      </c>
      <c r="J968" s="8" t="str">
        <f>IF($A968="","",IF(ISNUMBER(SEARCH("Ya,",INDEX(FORM!$H:$H,ROW()))),"YA",IF(ISNUMBER(SEARCH("Cukup,",INDEX(FORM!$H:$H,ROW()))),"CUKUP",IF(ISNUMBER(SEARCH("Kurang,",INDEX(FORM!$H:$H,ROW()))),"KURANG",""))))</f>
        <v/>
      </c>
      <c r="K968" s="8" t="str">
        <f>IF($A968="","",UPPER(TRIM(INDEX(FORM!$J:$J,ROW()))))</f>
        <v/>
      </c>
      <c r="L968" s="8" t="str">
        <f>IF($A968="","",IF(ISNUMBER(SEARCH("Aktivitas Harian",INDEX(FORM!$K:$K,ROW()))),1,0))</f>
        <v/>
      </c>
      <c r="M968" s="8" t="str">
        <f>IF($A968="","",IF(ISNUMBER(SEARCH("Aktivitas Mingguan",INDEX(FORM!$K:$K,ROW()))),1,0))</f>
        <v/>
      </c>
      <c r="N968" s="8" t="str">
        <f>IF($A968="","",IF(ISNUMBER(SEARCH("Aktivitas Bulanan",INDEX(FORM!$K:$K,ROW()))),1,0))</f>
        <v/>
      </c>
      <c r="O968" s="8" t="str">
        <f>IF($A968="","",IF(ISNUMBER(SEARCH("Overview Cabang",INDEX(FORM!$K:$K,ROW()))),1,0))</f>
        <v/>
      </c>
      <c r="P968" s="8" t="str">
        <f>IF($A968="","",IFERROR(VLOOKUP(I968,DATA!$AH$9:$AI$13,2,0),""))</f>
        <v/>
      </c>
      <c r="Q968" s="8" t="str">
        <f>IF($A968="","",IFERROR(VLOOKUP(J968,DATA!$AH$9:$AI$13,2,0),""))</f>
        <v/>
      </c>
      <c r="R968" s="8" t="str">
        <f>IF($A968="","",IFERROR(VLOOKUP(K968,DATA!$AH$9:$AI$13,2,0),""))</f>
        <v/>
      </c>
      <c r="S968" s="42" t="str">
        <f t="shared" si="330"/>
        <v/>
      </c>
      <c r="T968" s="8" t="str">
        <f>IF($A968="","",IF(COUNTIF($D$2:D968,D968)=1,1,0))</f>
        <v/>
      </c>
      <c r="U968" s="8" t="str">
        <f>IF($A968="","",IF(F968="-","Cabang tdk ada",IF(IFERROR(VLOOKUP(G968,#REF!,1,0),"")="","",IF(INDEX(DATA!$AH$2:$AH$5,MATCH(G968,DATA!$AI$2:$AI$5,0))&lt;&gt;F968,"Wilayah beda","OK"))))</f>
        <v/>
      </c>
      <c r="V968" s="8" t="str">
        <f>IF($A968="","",TRIM(INDEX(FORM!$I:$I,ROW())&amp;""))</f>
        <v/>
      </c>
      <c r="W968" s="8" t="str">
        <f>IF($A968="","",TRIM(INDEX(FORM!$L:$L,ROW())&amp;""))</f>
        <v/>
      </c>
      <c r="X968" s="8" t="str">
        <f>IF($A968="","",TRIM(INDEX(FORM!$M:$M,ROW())&amp;""))</f>
        <v/>
      </c>
      <c r="Y968" s="8" t="str">
        <f>IF($A968="","",IFERROR(MATCH(F968,DATA!$AH$2:$AH$5,0),9)*10000+A968)</f>
        <v/>
      </c>
      <c r="Z968" s="8" t="str">
        <f t="shared" si="331"/>
        <v/>
      </c>
      <c r="AA968" s="8" t="str">
        <f t="shared" si="332"/>
        <v/>
      </c>
      <c r="AB968" s="8" t="str">
        <f t="shared" si="333"/>
        <v/>
      </c>
      <c r="AC968" s="8"/>
      <c r="AD968" s="8"/>
      <c r="AE968" s="8"/>
      <c r="AK968" s="5" t="str">
        <f t="shared" si="334"/>
        <v/>
      </c>
      <c r="AL968" s="5" t="str">
        <f t="shared" si="335"/>
        <v/>
      </c>
      <c r="AM968" s="5" t="str">
        <f t="shared" si="336"/>
        <v/>
      </c>
      <c r="AN968" s="5" t="str">
        <f t="shared" si="337"/>
        <v/>
      </c>
      <c r="AO968" s="5" t="str">
        <f t="shared" si="338"/>
        <v/>
      </c>
      <c r="AP968" s="5" t="str">
        <f t="shared" si="339"/>
        <v/>
      </c>
      <c r="AQ968" s="5" t="str">
        <f t="shared" si="340"/>
        <v/>
      </c>
      <c r="AR968" s="5" t="str">
        <f t="shared" si="341"/>
        <v/>
      </c>
      <c r="AS968" s="5" t="str">
        <f t="shared" si="342"/>
        <v/>
      </c>
      <c r="AT968" s="5" t="str">
        <f t="shared" si="343"/>
        <v/>
      </c>
      <c r="AU968" s="5" t="str">
        <f t="shared" si="344"/>
        <v/>
      </c>
      <c r="AV968" s="5" t="str">
        <f t="shared" si="345"/>
        <v/>
      </c>
      <c r="AW968" s="5" t="str">
        <f t="shared" si="346"/>
        <v/>
      </c>
      <c r="AX968" s="5" t="str">
        <f t="shared" si="347"/>
        <v/>
      </c>
      <c r="AY968" s="5" t="str">
        <f t="shared" si="348"/>
        <v/>
      </c>
      <c r="AZ968" s="5" t="str">
        <f t="shared" si="349"/>
        <v/>
      </c>
      <c r="BA968" s="5" t="str">
        <f t="shared" si="350"/>
        <v/>
      </c>
      <c r="BB968" s="5" t="str">
        <f t="shared" si="351"/>
        <v/>
      </c>
    </row>
    <row r="969" spans="1:54" s="5" customFormat="1" hidden="1">
      <c r="A969" s="8" t="str">
        <f>IF(INDEX(FORM!$A:$A,ROW())="","",ROW()-1)</f>
        <v/>
      </c>
      <c r="B969" s="41" t="str">
        <f>IF($A969="","",INDEX(FORM!$A:$A,ROW()))</f>
        <v/>
      </c>
      <c r="C969" s="8" t="str">
        <f>IF($A969="","",TRIM(INDEX(FORM!$B:$B,ROW())))</f>
        <v/>
      </c>
      <c r="D969" s="8" t="str">
        <f>IF($A969="","",TRIM(INDEX(FORM!$C:$C,ROW())&amp;""))</f>
        <v/>
      </c>
      <c r="E969" s="8" t="str">
        <f>IF($A969="","",UPPER(TRIM(INDEX(FORM!$D:$D,ROW()))))</f>
        <v/>
      </c>
      <c r="F969" s="8" t="str">
        <f>IF($A969="","",IFERROR(INDEX(PROGRES!$A$2:$A$92,MATCH(E969,PROGRES!$B$2:$B$92,0)),"-"))</f>
        <v/>
      </c>
      <c r="G969" s="8" t="str">
        <f>IF($A969="","",UPPER(TRIM(INDEX(FORM!$F:$F,ROW()))))</f>
        <v/>
      </c>
      <c r="H969" s="8" t="str">
        <f>IF($A969="","",UPPER(TRIM(INDEX(FORM!$E:$E,ROW()))))</f>
        <v/>
      </c>
      <c r="I969" s="8" t="str">
        <f>IF($A969="","",UPPER(TRIM(INDEX(FORM!$G:$G,ROW()))))</f>
        <v/>
      </c>
      <c r="J969" s="8" t="str">
        <f>IF($A969="","",IF(ISNUMBER(SEARCH("Ya,",INDEX(FORM!$H:$H,ROW()))),"YA",IF(ISNUMBER(SEARCH("Cukup,",INDEX(FORM!$H:$H,ROW()))),"CUKUP",IF(ISNUMBER(SEARCH("Kurang,",INDEX(FORM!$H:$H,ROW()))),"KURANG",""))))</f>
        <v/>
      </c>
      <c r="K969" s="8" t="str">
        <f>IF($A969="","",UPPER(TRIM(INDEX(FORM!$J:$J,ROW()))))</f>
        <v/>
      </c>
      <c r="L969" s="8" t="str">
        <f>IF($A969="","",IF(ISNUMBER(SEARCH("Aktivitas Harian",INDEX(FORM!$K:$K,ROW()))),1,0))</f>
        <v/>
      </c>
      <c r="M969" s="8" t="str">
        <f>IF($A969="","",IF(ISNUMBER(SEARCH("Aktivitas Mingguan",INDEX(FORM!$K:$K,ROW()))),1,0))</f>
        <v/>
      </c>
      <c r="N969" s="8" t="str">
        <f>IF($A969="","",IF(ISNUMBER(SEARCH("Aktivitas Bulanan",INDEX(FORM!$K:$K,ROW()))),1,0))</f>
        <v/>
      </c>
      <c r="O969" s="8" t="str">
        <f>IF($A969="","",IF(ISNUMBER(SEARCH("Overview Cabang",INDEX(FORM!$K:$K,ROW()))),1,0))</f>
        <v/>
      </c>
      <c r="P969" s="8" t="str">
        <f>IF($A969="","",IFERROR(VLOOKUP(I969,DATA!$AH$9:$AI$13,2,0),""))</f>
        <v/>
      </c>
      <c r="Q969" s="8" t="str">
        <f>IF($A969="","",IFERROR(VLOOKUP(J969,DATA!$AH$9:$AI$13,2,0),""))</f>
        <v/>
      </c>
      <c r="R969" s="8" t="str">
        <f>IF($A969="","",IFERROR(VLOOKUP(K969,DATA!$AH$9:$AI$13,2,0),""))</f>
        <v/>
      </c>
      <c r="S969" s="42" t="str">
        <f t="shared" si="330"/>
        <v/>
      </c>
      <c r="T969" s="8" t="str">
        <f>IF($A969="","",IF(COUNTIF($D$2:D969,D969)=1,1,0))</f>
        <v/>
      </c>
      <c r="U969" s="8" t="str">
        <f>IF($A969="","",IF(F969="-","Cabang tdk ada",IF(IFERROR(VLOOKUP(G969,#REF!,1,0),"")="","",IF(INDEX(DATA!$AH$2:$AH$5,MATCH(G969,DATA!$AI$2:$AI$5,0))&lt;&gt;F969,"Wilayah beda","OK"))))</f>
        <v/>
      </c>
      <c r="V969" s="8" t="str">
        <f>IF($A969="","",TRIM(INDEX(FORM!$I:$I,ROW())&amp;""))</f>
        <v/>
      </c>
      <c r="W969" s="8" t="str">
        <f>IF($A969="","",TRIM(INDEX(FORM!$L:$L,ROW())&amp;""))</f>
        <v/>
      </c>
      <c r="X969" s="8" t="str">
        <f>IF($A969="","",TRIM(INDEX(FORM!$M:$M,ROW())&amp;""))</f>
        <v/>
      </c>
      <c r="Y969" s="8" t="str">
        <f>IF($A969="","",IFERROR(MATCH(F969,DATA!$AH$2:$AH$5,0),9)*10000+A969)</f>
        <v/>
      </c>
      <c r="Z969" s="8" t="str">
        <f t="shared" si="331"/>
        <v/>
      </c>
      <c r="AA969" s="8" t="str">
        <f t="shared" si="332"/>
        <v/>
      </c>
      <c r="AB969" s="8" t="str">
        <f t="shared" si="333"/>
        <v/>
      </c>
      <c r="AC969" s="8"/>
      <c r="AD969" s="8"/>
      <c r="AE969" s="8"/>
      <c r="AK969" s="5" t="str">
        <f t="shared" si="334"/>
        <v/>
      </c>
      <c r="AL969" s="5" t="str">
        <f t="shared" si="335"/>
        <v/>
      </c>
      <c r="AM969" s="5" t="str">
        <f t="shared" si="336"/>
        <v/>
      </c>
      <c r="AN969" s="5" t="str">
        <f t="shared" si="337"/>
        <v/>
      </c>
      <c r="AO969" s="5" t="str">
        <f t="shared" si="338"/>
        <v/>
      </c>
      <c r="AP969" s="5" t="str">
        <f t="shared" si="339"/>
        <v/>
      </c>
      <c r="AQ969" s="5" t="str">
        <f t="shared" si="340"/>
        <v/>
      </c>
      <c r="AR969" s="5" t="str">
        <f t="shared" si="341"/>
        <v/>
      </c>
      <c r="AS969" s="5" t="str">
        <f t="shared" si="342"/>
        <v/>
      </c>
      <c r="AT969" s="5" t="str">
        <f t="shared" si="343"/>
        <v/>
      </c>
      <c r="AU969" s="5" t="str">
        <f t="shared" si="344"/>
        <v/>
      </c>
      <c r="AV969" s="5" t="str">
        <f t="shared" si="345"/>
        <v/>
      </c>
      <c r="AW969" s="5" t="str">
        <f t="shared" si="346"/>
        <v/>
      </c>
      <c r="AX969" s="5" t="str">
        <f t="shared" si="347"/>
        <v/>
      </c>
      <c r="AY969" s="5" t="str">
        <f t="shared" si="348"/>
        <v/>
      </c>
      <c r="AZ969" s="5" t="str">
        <f t="shared" si="349"/>
        <v/>
      </c>
      <c r="BA969" s="5" t="str">
        <f t="shared" si="350"/>
        <v/>
      </c>
      <c r="BB969" s="5" t="str">
        <f t="shared" si="351"/>
        <v/>
      </c>
    </row>
    <row r="970" spans="1:54" s="5" customFormat="1" hidden="1">
      <c r="A970" s="8" t="str">
        <f>IF(INDEX(FORM!$A:$A,ROW())="","",ROW()-1)</f>
        <v/>
      </c>
      <c r="B970" s="41" t="str">
        <f>IF($A970="","",INDEX(FORM!$A:$A,ROW()))</f>
        <v/>
      </c>
      <c r="C970" s="8" t="str">
        <f>IF($A970="","",TRIM(INDEX(FORM!$B:$B,ROW())))</f>
        <v/>
      </c>
      <c r="D970" s="8" t="str">
        <f>IF($A970="","",TRIM(INDEX(FORM!$C:$C,ROW())&amp;""))</f>
        <v/>
      </c>
      <c r="E970" s="8" t="str">
        <f>IF($A970="","",UPPER(TRIM(INDEX(FORM!$D:$D,ROW()))))</f>
        <v/>
      </c>
      <c r="F970" s="8" t="str">
        <f>IF($A970="","",IFERROR(INDEX(PROGRES!$A$2:$A$92,MATCH(E970,PROGRES!$B$2:$B$92,0)),"-"))</f>
        <v/>
      </c>
      <c r="G970" s="8" t="str">
        <f>IF($A970="","",UPPER(TRIM(INDEX(FORM!$F:$F,ROW()))))</f>
        <v/>
      </c>
      <c r="H970" s="8" t="str">
        <f>IF($A970="","",UPPER(TRIM(INDEX(FORM!$E:$E,ROW()))))</f>
        <v/>
      </c>
      <c r="I970" s="8" t="str">
        <f>IF($A970="","",UPPER(TRIM(INDEX(FORM!$G:$G,ROW()))))</f>
        <v/>
      </c>
      <c r="J970" s="8" t="str">
        <f>IF($A970="","",IF(ISNUMBER(SEARCH("Ya,",INDEX(FORM!$H:$H,ROW()))),"YA",IF(ISNUMBER(SEARCH("Cukup,",INDEX(FORM!$H:$H,ROW()))),"CUKUP",IF(ISNUMBER(SEARCH("Kurang,",INDEX(FORM!$H:$H,ROW()))),"KURANG",""))))</f>
        <v/>
      </c>
      <c r="K970" s="8" t="str">
        <f>IF($A970="","",UPPER(TRIM(INDEX(FORM!$J:$J,ROW()))))</f>
        <v/>
      </c>
      <c r="L970" s="8" t="str">
        <f>IF($A970="","",IF(ISNUMBER(SEARCH("Aktivitas Harian",INDEX(FORM!$K:$K,ROW()))),1,0))</f>
        <v/>
      </c>
      <c r="M970" s="8" t="str">
        <f>IF($A970="","",IF(ISNUMBER(SEARCH("Aktivitas Mingguan",INDEX(FORM!$K:$K,ROW()))),1,0))</f>
        <v/>
      </c>
      <c r="N970" s="8" t="str">
        <f>IF($A970="","",IF(ISNUMBER(SEARCH("Aktivitas Bulanan",INDEX(FORM!$K:$K,ROW()))),1,0))</f>
        <v/>
      </c>
      <c r="O970" s="8" t="str">
        <f>IF($A970="","",IF(ISNUMBER(SEARCH("Overview Cabang",INDEX(FORM!$K:$K,ROW()))),1,0))</f>
        <v/>
      </c>
      <c r="P970" s="8" t="str">
        <f>IF($A970="","",IFERROR(VLOOKUP(I970,DATA!$AH$9:$AI$13,2,0),""))</f>
        <v/>
      </c>
      <c r="Q970" s="8" t="str">
        <f>IF($A970="","",IFERROR(VLOOKUP(J970,DATA!$AH$9:$AI$13,2,0),""))</f>
        <v/>
      </c>
      <c r="R970" s="8" t="str">
        <f>IF($A970="","",IFERROR(VLOOKUP(K970,DATA!$AH$9:$AI$13,2,0),""))</f>
        <v/>
      </c>
      <c r="S970" s="42" t="str">
        <f t="shared" si="330"/>
        <v/>
      </c>
      <c r="T970" s="8" t="str">
        <f>IF($A970="","",IF(COUNTIF($D$2:D970,D970)=1,1,0))</f>
        <v/>
      </c>
      <c r="U970" s="8" t="str">
        <f>IF($A970="","",IF(F970="-","Cabang tdk ada",IF(IFERROR(VLOOKUP(G970,#REF!,1,0),"")="","",IF(INDEX(DATA!$AH$2:$AH$5,MATCH(G970,DATA!$AI$2:$AI$5,0))&lt;&gt;F970,"Wilayah beda","OK"))))</f>
        <v/>
      </c>
      <c r="V970" s="8" t="str">
        <f>IF($A970="","",TRIM(INDEX(FORM!$I:$I,ROW())&amp;""))</f>
        <v/>
      </c>
      <c r="W970" s="8" t="str">
        <f>IF($A970="","",TRIM(INDEX(FORM!$L:$L,ROW())&amp;""))</f>
        <v/>
      </c>
      <c r="X970" s="8" t="str">
        <f>IF($A970="","",TRIM(INDEX(FORM!$M:$M,ROW())&amp;""))</f>
        <v/>
      </c>
      <c r="Y970" s="8" t="str">
        <f>IF($A970="","",IFERROR(MATCH(F970,DATA!$AH$2:$AH$5,0),9)*10000+A970)</f>
        <v/>
      </c>
      <c r="Z970" s="8" t="str">
        <f t="shared" si="331"/>
        <v/>
      </c>
      <c r="AA970" s="8" t="str">
        <f t="shared" si="332"/>
        <v/>
      </c>
      <c r="AB970" s="8" t="str">
        <f t="shared" si="333"/>
        <v/>
      </c>
      <c r="AC970" s="8"/>
      <c r="AD970" s="8"/>
      <c r="AE970" s="8"/>
      <c r="AK970" s="5" t="str">
        <f t="shared" si="334"/>
        <v/>
      </c>
      <c r="AL970" s="5" t="str">
        <f t="shared" si="335"/>
        <v/>
      </c>
      <c r="AM970" s="5" t="str">
        <f t="shared" si="336"/>
        <v/>
      </c>
      <c r="AN970" s="5" t="str">
        <f t="shared" si="337"/>
        <v/>
      </c>
      <c r="AO970" s="5" t="str">
        <f t="shared" si="338"/>
        <v/>
      </c>
      <c r="AP970" s="5" t="str">
        <f t="shared" si="339"/>
        <v/>
      </c>
      <c r="AQ970" s="5" t="str">
        <f t="shared" si="340"/>
        <v/>
      </c>
      <c r="AR970" s="5" t="str">
        <f t="shared" si="341"/>
        <v/>
      </c>
      <c r="AS970" s="5" t="str">
        <f t="shared" si="342"/>
        <v/>
      </c>
      <c r="AT970" s="5" t="str">
        <f t="shared" si="343"/>
        <v/>
      </c>
      <c r="AU970" s="5" t="str">
        <f t="shared" si="344"/>
        <v/>
      </c>
      <c r="AV970" s="5" t="str">
        <f t="shared" si="345"/>
        <v/>
      </c>
      <c r="AW970" s="5" t="str">
        <f t="shared" si="346"/>
        <v/>
      </c>
      <c r="AX970" s="5" t="str">
        <f t="shared" si="347"/>
        <v/>
      </c>
      <c r="AY970" s="5" t="str">
        <f t="shared" si="348"/>
        <v/>
      </c>
      <c r="AZ970" s="5" t="str">
        <f t="shared" si="349"/>
        <v/>
      </c>
      <c r="BA970" s="5" t="str">
        <f t="shared" si="350"/>
        <v/>
      </c>
      <c r="BB970" s="5" t="str">
        <f t="shared" si="351"/>
        <v/>
      </c>
    </row>
    <row r="971" spans="1:54" s="5" customFormat="1" hidden="1">
      <c r="A971" s="8" t="str">
        <f>IF(INDEX(FORM!$A:$A,ROW())="","",ROW()-1)</f>
        <v/>
      </c>
      <c r="B971" s="41" t="str">
        <f>IF($A971="","",INDEX(FORM!$A:$A,ROW()))</f>
        <v/>
      </c>
      <c r="C971" s="8" t="str">
        <f>IF($A971="","",TRIM(INDEX(FORM!$B:$B,ROW())))</f>
        <v/>
      </c>
      <c r="D971" s="8" t="str">
        <f>IF($A971="","",TRIM(INDEX(FORM!$C:$C,ROW())&amp;""))</f>
        <v/>
      </c>
      <c r="E971" s="8" t="str">
        <f>IF($A971="","",UPPER(TRIM(INDEX(FORM!$D:$D,ROW()))))</f>
        <v/>
      </c>
      <c r="F971" s="8" t="str">
        <f>IF($A971="","",IFERROR(INDEX(PROGRES!$A$2:$A$92,MATCH(E971,PROGRES!$B$2:$B$92,0)),"-"))</f>
        <v/>
      </c>
      <c r="G971" s="8" t="str">
        <f>IF($A971="","",UPPER(TRIM(INDEX(FORM!$F:$F,ROW()))))</f>
        <v/>
      </c>
      <c r="H971" s="8" t="str">
        <f>IF($A971="","",UPPER(TRIM(INDEX(FORM!$E:$E,ROW()))))</f>
        <v/>
      </c>
      <c r="I971" s="8" t="str">
        <f>IF($A971="","",UPPER(TRIM(INDEX(FORM!$G:$G,ROW()))))</f>
        <v/>
      </c>
      <c r="J971" s="8" t="str">
        <f>IF($A971="","",IF(ISNUMBER(SEARCH("Ya,",INDEX(FORM!$H:$H,ROW()))),"YA",IF(ISNUMBER(SEARCH("Cukup,",INDEX(FORM!$H:$H,ROW()))),"CUKUP",IF(ISNUMBER(SEARCH("Kurang,",INDEX(FORM!$H:$H,ROW()))),"KURANG",""))))</f>
        <v/>
      </c>
      <c r="K971" s="8" t="str">
        <f>IF($A971="","",UPPER(TRIM(INDEX(FORM!$J:$J,ROW()))))</f>
        <v/>
      </c>
      <c r="L971" s="8" t="str">
        <f>IF($A971="","",IF(ISNUMBER(SEARCH("Aktivitas Harian",INDEX(FORM!$K:$K,ROW()))),1,0))</f>
        <v/>
      </c>
      <c r="M971" s="8" t="str">
        <f>IF($A971="","",IF(ISNUMBER(SEARCH("Aktivitas Mingguan",INDEX(FORM!$K:$K,ROW()))),1,0))</f>
        <v/>
      </c>
      <c r="N971" s="8" t="str">
        <f>IF($A971="","",IF(ISNUMBER(SEARCH("Aktivitas Bulanan",INDEX(FORM!$K:$K,ROW()))),1,0))</f>
        <v/>
      </c>
      <c r="O971" s="8" t="str">
        <f>IF($A971="","",IF(ISNUMBER(SEARCH("Overview Cabang",INDEX(FORM!$K:$K,ROW()))),1,0))</f>
        <v/>
      </c>
      <c r="P971" s="8" t="str">
        <f>IF($A971="","",IFERROR(VLOOKUP(I971,DATA!$AH$9:$AI$13,2,0),""))</f>
        <v/>
      </c>
      <c r="Q971" s="8" t="str">
        <f>IF($A971="","",IFERROR(VLOOKUP(J971,DATA!$AH$9:$AI$13,2,0),""))</f>
        <v/>
      </c>
      <c r="R971" s="8" t="str">
        <f>IF($A971="","",IFERROR(VLOOKUP(K971,DATA!$AH$9:$AI$13,2,0),""))</f>
        <v/>
      </c>
      <c r="S971" s="42" t="str">
        <f t="shared" si="330"/>
        <v/>
      </c>
      <c r="T971" s="8" t="str">
        <f>IF($A971="","",IF(COUNTIF($D$2:D971,D971)=1,1,0))</f>
        <v/>
      </c>
      <c r="U971" s="8" t="str">
        <f>IF($A971="","",IF(F971="-","Cabang tdk ada",IF(IFERROR(VLOOKUP(G971,#REF!,1,0),"")="","",IF(INDEX(DATA!$AH$2:$AH$5,MATCH(G971,DATA!$AI$2:$AI$5,0))&lt;&gt;F971,"Wilayah beda","OK"))))</f>
        <v/>
      </c>
      <c r="V971" s="8" t="str">
        <f>IF($A971="","",TRIM(INDEX(FORM!$I:$I,ROW())&amp;""))</f>
        <v/>
      </c>
      <c r="W971" s="8" t="str">
        <f>IF($A971="","",TRIM(INDEX(FORM!$L:$L,ROW())&amp;""))</f>
        <v/>
      </c>
      <c r="X971" s="8" t="str">
        <f>IF($A971="","",TRIM(INDEX(FORM!$M:$M,ROW())&amp;""))</f>
        <v/>
      </c>
      <c r="Y971" s="8" t="str">
        <f>IF($A971="","",IFERROR(MATCH(F971,DATA!$AH$2:$AH$5,0),9)*10000+A971)</f>
        <v/>
      </c>
      <c r="Z971" s="8" t="str">
        <f t="shared" si="331"/>
        <v/>
      </c>
      <c r="AA971" s="8" t="str">
        <f t="shared" si="332"/>
        <v/>
      </c>
      <c r="AB971" s="8" t="str">
        <f t="shared" si="333"/>
        <v/>
      </c>
      <c r="AC971" s="8"/>
      <c r="AD971" s="8"/>
      <c r="AE971" s="8"/>
      <c r="AK971" s="5" t="str">
        <f t="shared" si="334"/>
        <v/>
      </c>
      <c r="AL971" s="5" t="str">
        <f t="shared" si="335"/>
        <v/>
      </c>
      <c r="AM971" s="5" t="str">
        <f t="shared" si="336"/>
        <v/>
      </c>
      <c r="AN971" s="5" t="str">
        <f t="shared" si="337"/>
        <v/>
      </c>
      <c r="AO971" s="5" t="str">
        <f t="shared" si="338"/>
        <v/>
      </c>
      <c r="AP971" s="5" t="str">
        <f t="shared" si="339"/>
        <v/>
      </c>
      <c r="AQ971" s="5" t="str">
        <f t="shared" si="340"/>
        <v/>
      </c>
      <c r="AR971" s="5" t="str">
        <f t="shared" si="341"/>
        <v/>
      </c>
      <c r="AS971" s="5" t="str">
        <f t="shared" si="342"/>
        <v/>
      </c>
      <c r="AT971" s="5" t="str">
        <f t="shared" si="343"/>
        <v/>
      </c>
      <c r="AU971" s="5" t="str">
        <f t="shared" si="344"/>
        <v/>
      </c>
      <c r="AV971" s="5" t="str">
        <f t="shared" si="345"/>
        <v/>
      </c>
      <c r="AW971" s="5" t="str">
        <f t="shared" si="346"/>
        <v/>
      </c>
      <c r="AX971" s="5" t="str">
        <f t="shared" si="347"/>
        <v/>
      </c>
      <c r="AY971" s="5" t="str">
        <f t="shared" si="348"/>
        <v/>
      </c>
      <c r="AZ971" s="5" t="str">
        <f t="shared" si="349"/>
        <v/>
      </c>
      <c r="BA971" s="5" t="str">
        <f t="shared" si="350"/>
        <v/>
      </c>
      <c r="BB971" s="5" t="str">
        <f t="shared" si="351"/>
        <v/>
      </c>
    </row>
    <row r="972" spans="1:54" s="5" customFormat="1" hidden="1">
      <c r="A972" s="8" t="str">
        <f>IF(INDEX(FORM!$A:$A,ROW())="","",ROW()-1)</f>
        <v/>
      </c>
      <c r="B972" s="41" t="str">
        <f>IF($A972="","",INDEX(FORM!$A:$A,ROW()))</f>
        <v/>
      </c>
      <c r="C972" s="8" t="str">
        <f>IF($A972="","",TRIM(INDEX(FORM!$B:$B,ROW())))</f>
        <v/>
      </c>
      <c r="D972" s="8" t="str">
        <f>IF($A972="","",TRIM(INDEX(FORM!$C:$C,ROW())&amp;""))</f>
        <v/>
      </c>
      <c r="E972" s="8" t="str">
        <f>IF($A972="","",UPPER(TRIM(INDEX(FORM!$D:$D,ROW()))))</f>
        <v/>
      </c>
      <c r="F972" s="8" t="str">
        <f>IF($A972="","",IFERROR(INDEX(PROGRES!$A$2:$A$92,MATCH(E972,PROGRES!$B$2:$B$92,0)),"-"))</f>
        <v/>
      </c>
      <c r="G972" s="8" t="str">
        <f>IF($A972="","",UPPER(TRIM(INDEX(FORM!$F:$F,ROW()))))</f>
        <v/>
      </c>
      <c r="H972" s="8" t="str">
        <f>IF($A972="","",UPPER(TRIM(INDEX(FORM!$E:$E,ROW()))))</f>
        <v/>
      </c>
      <c r="I972" s="8" t="str">
        <f>IF($A972="","",UPPER(TRIM(INDEX(FORM!$G:$G,ROW()))))</f>
        <v/>
      </c>
      <c r="J972" s="8" t="str">
        <f>IF($A972="","",IF(ISNUMBER(SEARCH("Ya,",INDEX(FORM!$H:$H,ROW()))),"YA",IF(ISNUMBER(SEARCH("Cukup,",INDEX(FORM!$H:$H,ROW()))),"CUKUP",IF(ISNUMBER(SEARCH("Kurang,",INDEX(FORM!$H:$H,ROW()))),"KURANG",""))))</f>
        <v/>
      </c>
      <c r="K972" s="8" t="str">
        <f>IF($A972="","",UPPER(TRIM(INDEX(FORM!$J:$J,ROW()))))</f>
        <v/>
      </c>
      <c r="L972" s="8" t="str">
        <f>IF($A972="","",IF(ISNUMBER(SEARCH("Aktivitas Harian",INDEX(FORM!$K:$K,ROW()))),1,0))</f>
        <v/>
      </c>
      <c r="M972" s="8" t="str">
        <f>IF($A972="","",IF(ISNUMBER(SEARCH("Aktivitas Mingguan",INDEX(FORM!$K:$K,ROW()))),1,0))</f>
        <v/>
      </c>
      <c r="N972" s="8" t="str">
        <f>IF($A972="","",IF(ISNUMBER(SEARCH("Aktivitas Bulanan",INDEX(FORM!$K:$K,ROW()))),1,0))</f>
        <v/>
      </c>
      <c r="O972" s="8" t="str">
        <f>IF($A972="","",IF(ISNUMBER(SEARCH("Overview Cabang",INDEX(FORM!$K:$K,ROW()))),1,0))</f>
        <v/>
      </c>
      <c r="P972" s="8" t="str">
        <f>IF($A972="","",IFERROR(VLOOKUP(I972,DATA!$AH$9:$AI$13,2,0),""))</f>
        <v/>
      </c>
      <c r="Q972" s="8" t="str">
        <f>IF($A972="","",IFERROR(VLOOKUP(J972,DATA!$AH$9:$AI$13,2,0),""))</f>
        <v/>
      </c>
      <c r="R972" s="8" t="str">
        <f>IF($A972="","",IFERROR(VLOOKUP(K972,DATA!$AH$9:$AI$13,2,0),""))</f>
        <v/>
      </c>
      <c r="S972" s="42" t="str">
        <f t="shared" si="330"/>
        <v/>
      </c>
      <c r="T972" s="8" t="str">
        <f>IF($A972="","",IF(COUNTIF($D$2:D972,D972)=1,1,0))</f>
        <v/>
      </c>
      <c r="U972" s="8" t="str">
        <f>IF($A972="","",IF(F972="-","Cabang tdk ada",IF(IFERROR(VLOOKUP(G972,#REF!,1,0),"")="","",IF(INDEX(DATA!$AH$2:$AH$5,MATCH(G972,DATA!$AI$2:$AI$5,0))&lt;&gt;F972,"Wilayah beda","OK"))))</f>
        <v/>
      </c>
      <c r="V972" s="8" t="str">
        <f>IF($A972="","",TRIM(INDEX(FORM!$I:$I,ROW())&amp;""))</f>
        <v/>
      </c>
      <c r="W972" s="8" t="str">
        <f>IF($A972="","",TRIM(INDEX(FORM!$L:$L,ROW())&amp;""))</f>
        <v/>
      </c>
      <c r="X972" s="8" t="str">
        <f>IF($A972="","",TRIM(INDEX(FORM!$M:$M,ROW())&amp;""))</f>
        <v/>
      </c>
      <c r="Y972" s="8" t="str">
        <f>IF($A972="","",IFERROR(MATCH(F972,DATA!$AH$2:$AH$5,0),9)*10000+A972)</f>
        <v/>
      </c>
      <c r="Z972" s="8" t="str">
        <f t="shared" si="331"/>
        <v/>
      </c>
      <c r="AA972" s="8" t="str">
        <f t="shared" si="332"/>
        <v/>
      </c>
      <c r="AB972" s="8" t="str">
        <f t="shared" si="333"/>
        <v/>
      </c>
      <c r="AC972" s="8"/>
      <c r="AD972" s="8"/>
      <c r="AE972" s="8"/>
      <c r="AK972" s="5" t="str">
        <f t="shared" si="334"/>
        <v/>
      </c>
      <c r="AL972" s="5" t="str">
        <f t="shared" si="335"/>
        <v/>
      </c>
      <c r="AM972" s="5" t="str">
        <f t="shared" si="336"/>
        <v/>
      </c>
      <c r="AN972" s="5" t="str">
        <f t="shared" si="337"/>
        <v/>
      </c>
      <c r="AO972" s="5" t="str">
        <f t="shared" si="338"/>
        <v/>
      </c>
      <c r="AP972" s="5" t="str">
        <f t="shared" si="339"/>
        <v/>
      </c>
      <c r="AQ972" s="5" t="str">
        <f t="shared" si="340"/>
        <v/>
      </c>
      <c r="AR972" s="5" t="str">
        <f t="shared" si="341"/>
        <v/>
      </c>
      <c r="AS972" s="5" t="str">
        <f t="shared" si="342"/>
        <v/>
      </c>
      <c r="AT972" s="5" t="str">
        <f t="shared" si="343"/>
        <v/>
      </c>
      <c r="AU972" s="5" t="str">
        <f t="shared" si="344"/>
        <v/>
      </c>
      <c r="AV972" s="5" t="str">
        <f t="shared" si="345"/>
        <v/>
      </c>
      <c r="AW972" s="5" t="str">
        <f t="shared" si="346"/>
        <v/>
      </c>
      <c r="AX972" s="5" t="str">
        <f t="shared" si="347"/>
        <v/>
      </c>
      <c r="AY972" s="5" t="str">
        <f t="shared" si="348"/>
        <v/>
      </c>
      <c r="AZ972" s="5" t="str">
        <f t="shared" si="349"/>
        <v/>
      </c>
      <c r="BA972" s="5" t="str">
        <f t="shared" si="350"/>
        <v/>
      </c>
      <c r="BB972" s="5" t="str">
        <f t="shared" si="351"/>
        <v/>
      </c>
    </row>
    <row r="973" spans="1:54" s="5" customFormat="1" hidden="1">
      <c r="A973" s="8" t="str">
        <f>IF(INDEX(FORM!$A:$A,ROW())="","",ROW()-1)</f>
        <v/>
      </c>
      <c r="B973" s="41" t="str">
        <f>IF($A973="","",INDEX(FORM!$A:$A,ROW()))</f>
        <v/>
      </c>
      <c r="C973" s="8" t="str">
        <f>IF($A973="","",TRIM(INDEX(FORM!$B:$B,ROW())))</f>
        <v/>
      </c>
      <c r="D973" s="8" t="str">
        <f>IF($A973="","",TRIM(INDEX(FORM!$C:$C,ROW())&amp;""))</f>
        <v/>
      </c>
      <c r="E973" s="8" t="str">
        <f>IF($A973="","",UPPER(TRIM(INDEX(FORM!$D:$D,ROW()))))</f>
        <v/>
      </c>
      <c r="F973" s="8" t="str">
        <f>IF($A973="","",IFERROR(INDEX(PROGRES!$A$2:$A$92,MATCH(E973,PROGRES!$B$2:$B$92,0)),"-"))</f>
        <v/>
      </c>
      <c r="G973" s="8" t="str">
        <f>IF($A973="","",UPPER(TRIM(INDEX(FORM!$F:$F,ROW()))))</f>
        <v/>
      </c>
      <c r="H973" s="8" t="str">
        <f>IF($A973="","",UPPER(TRIM(INDEX(FORM!$E:$E,ROW()))))</f>
        <v/>
      </c>
      <c r="I973" s="8" t="str">
        <f>IF($A973="","",UPPER(TRIM(INDEX(FORM!$G:$G,ROW()))))</f>
        <v/>
      </c>
      <c r="J973" s="8" t="str">
        <f>IF($A973="","",IF(ISNUMBER(SEARCH("Ya,",INDEX(FORM!$H:$H,ROW()))),"YA",IF(ISNUMBER(SEARCH("Cukup,",INDEX(FORM!$H:$H,ROW()))),"CUKUP",IF(ISNUMBER(SEARCH("Kurang,",INDEX(FORM!$H:$H,ROW()))),"KURANG",""))))</f>
        <v/>
      </c>
      <c r="K973" s="8" t="str">
        <f>IF($A973="","",UPPER(TRIM(INDEX(FORM!$J:$J,ROW()))))</f>
        <v/>
      </c>
      <c r="L973" s="8" t="str">
        <f>IF($A973="","",IF(ISNUMBER(SEARCH("Aktivitas Harian",INDEX(FORM!$K:$K,ROW()))),1,0))</f>
        <v/>
      </c>
      <c r="M973" s="8" t="str">
        <f>IF($A973="","",IF(ISNUMBER(SEARCH("Aktivitas Mingguan",INDEX(FORM!$K:$K,ROW()))),1,0))</f>
        <v/>
      </c>
      <c r="N973" s="8" t="str">
        <f>IF($A973="","",IF(ISNUMBER(SEARCH("Aktivitas Bulanan",INDEX(FORM!$K:$K,ROW()))),1,0))</f>
        <v/>
      </c>
      <c r="O973" s="8" t="str">
        <f>IF($A973="","",IF(ISNUMBER(SEARCH("Overview Cabang",INDEX(FORM!$K:$K,ROW()))),1,0))</f>
        <v/>
      </c>
      <c r="P973" s="8" t="str">
        <f>IF($A973="","",IFERROR(VLOOKUP(I973,DATA!$AH$9:$AI$13,2,0),""))</f>
        <v/>
      </c>
      <c r="Q973" s="8" t="str">
        <f>IF($A973="","",IFERROR(VLOOKUP(J973,DATA!$AH$9:$AI$13,2,0),""))</f>
        <v/>
      </c>
      <c r="R973" s="8" t="str">
        <f>IF($A973="","",IFERROR(VLOOKUP(K973,DATA!$AH$9:$AI$13,2,0),""))</f>
        <v/>
      </c>
      <c r="S973" s="42" t="str">
        <f t="shared" si="330"/>
        <v/>
      </c>
      <c r="T973" s="8" t="str">
        <f>IF($A973="","",IF(COUNTIF($D$2:D973,D973)=1,1,0))</f>
        <v/>
      </c>
      <c r="U973" s="8" t="str">
        <f>IF($A973="","",IF(F973="-","Cabang tdk ada",IF(IFERROR(VLOOKUP(G973,#REF!,1,0),"")="","",IF(INDEX(DATA!$AH$2:$AH$5,MATCH(G973,DATA!$AI$2:$AI$5,0))&lt;&gt;F973,"Wilayah beda","OK"))))</f>
        <v/>
      </c>
      <c r="V973" s="8" t="str">
        <f>IF($A973="","",TRIM(INDEX(FORM!$I:$I,ROW())&amp;""))</f>
        <v/>
      </c>
      <c r="W973" s="8" t="str">
        <f>IF($A973="","",TRIM(INDEX(FORM!$L:$L,ROW())&amp;""))</f>
        <v/>
      </c>
      <c r="X973" s="8" t="str">
        <f>IF($A973="","",TRIM(INDEX(FORM!$M:$M,ROW())&amp;""))</f>
        <v/>
      </c>
      <c r="Y973" s="8" t="str">
        <f>IF($A973="","",IFERROR(MATCH(F973,DATA!$AH$2:$AH$5,0),9)*10000+A973)</f>
        <v/>
      </c>
      <c r="Z973" s="8" t="str">
        <f t="shared" si="331"/>
        <v/>
      </c>
      <c r="AA973" s="8" t="str">
        <f t="shared" si="332"/>
        <v/>
      </c>
      <c r="AB973" s="8" t="str">
        <f t="shared" si="333"/>
        <v/>
      </c>
      <c r="AC973" s="8"/>
      <c r="AD973" s="8"/>
      <c r="AE973" s="8"/>
      <c r="AK973" s="5" t="str">
        <f t="shared" si="334"/>
        <v/>
      </c>
      <c r="AL973" s="5" t="str">
        <f t="shared" si="335"/>
        <v/>
      </c>
      <c r="AM973" s="5" t="str">
        <f t="shared" si="336"/>
        <v/>
      </c>
      <c r="AN973" s="5" t="str">
        <f t="shared" si="337"/>
        <v/>
      </c>
      <c r="AO973" s="5" t="str">
        <f t="shared" si="338"/>
        <v/>
      </c>
      <c r="AP973" s="5" t="str">
        <f t="shared" si="339"/>
        <v/>
      </c>
      <c r="AQ973" s="5" t="str">
        <f t="shared" si="340"/>
        <v/>
      </c>
      <c r="AR973" s="5" t="str">
        <f t="shared" si="341"/>
        <v/>
      </c>
      <c r="AS973" s="5" t="str">
        <f t="shared" si="342"/>
        <v/>
      </c>
      <c r="AT973" s="5" t="str">
        <f t="shared" si="343"/>
        <v/>
      </c>
      <c r="AU973" s="5" t="str">
        <f t="shared" si="344"/>
        <v/>
      </c>
      <c r="AV973" s="5" t="str">
        <f t="shared" si="345"/>
        <v/>
      </c>
      <c r="AW973" s="5" t="str">
        <f t="shared" si="346"/>
        <v/>
      </c>
      <c r="AX973" s="5" t="str">
        <f t="shared" si="347"/>
        <v/>
      </c>
      <c r="AY973" s="5" t="str">
        <f t="shared" si="348"/>
        <v/>
      </c>
      <c r="AZ973" s="5" t="str">
        <f t="shared" si="349"/>
        <v/>
      </c>
      <c r="BA973" s="5" t="str">
        <f t="shared" si="350"/>
        <v/>
      </c>
      <c r="BB973" s="5" t="str">
        <f t="shared" si="351"/>
        <v/>
      </c>
    </row>
    <row r="974" spans="1:54" s="5" customFormat="1" hidden="1">
      <c r="A974" s="8" t="str">
        <f>IF(INDEX(FORM!$A:$A,ROW())="","",ROW()-1)</f>
        <v/>
      </c>
      <c r="B974" s="41" t="str">
        <f>IF($A974="","",INDEX(FORM!$A:$A,ROW()))</f>
        <v/>
      </c>
      <c r="C974" s="8" t="str">
        <f>IF($A974="","",TRIM(INDEX(FORM!$B:$B,ROW())))</f>
        <v/>
      </c>
      <c r="D974" s="8" t="str">
        <f>IF($A974="","",TRIM(INDEX(FORM!$C:$C,ROW())&amp;""))</f>
        <v/>
      </c>
      <c r="E974" s="8" t="str">
        <f>IF($A974="","",UPPER(TRIM(INDEX(FORM!$D:$D,ROW()))))</f>
        <v/>
      </c>
      <c r="F974" s="8" t="str">
        <f>IF($A974="","",IFERROR(INDEX(PROGRES!$A$2:$A$92,MATCH(E974,PROGRES!$B$2:$B$92,0)),"-"))</f>
        <v/>
      </c>
      <c r="G974" s="8" t="str">
        <f>IF($A974="","",UPPER(TRIM(INDEX(FORM!$F:$F,ROW()))))</f>
        <v/>
      </c>
      <c r="H974" s="8" t="str">
        <f>IF($A974="","",UPPER(TRIM(INDEX(FORM!$E:$E,ROW()))))</f>
        <v/>
      </c>
      <c r="I974" s="8" t="str">
        <f>IF($A974="","",UPPER(TRIM(INDEX(FORM!$G:$G,ROW()))))</f>
        <v/>
      </c>
      <c r="J974" s="8" t="str">
        <f>IF($A974="","",IF(ISNUMBER(SEARCH("Ya,",INDEX(FORM!$H:$H,ROW()))),"YA",IF(ISNUMBER(SEARCH("Cukup,",INDEX(FORM!$H:$H,ROW()))),"CUKUP",IF(ISNUMBER(SEARCH("Kurang,",INDEX(FORM!$H:$H,ROW()))),"KURANG",""))))</f>
        <v/>
      </c>
      <c r="K974" s="8" t="str">
        <f>IF($A974="","",UPPER(TRIM(INDEX(FORM!$J:$J,ROW()))))</f>
        <v/>
      </c>
      <c r="L974" s="8" t="str">
        <f>IF($A974="","",IF(ISNUMBER(SEARCH("Aktivitas Harian",INDEX(FORM!$K:$K,ROW()))),1,0))</f>
        <v/>
      </c>
      <c r="M974" s="8" t="str">
        <f>IF($A974="","",IF(ISNUMBER(SEARCH("Aktivitas Mingguan",INDEX(FORM!$K:$K,ROW()))),1,0))</f>
        <v/>
      </c>
      <c r="N974" s="8" t="str">
        <f>IF($A974="","",IF(ISNUMBER(SEARCH("Aktivitas Bulanan",INDEX(FORM!$K:$K,ROW()))),1,0))</f>
        <v/>
      </c>
      <c r="O974" s="8" t="str">
        <f>IF($A974="","",IF(ISNUMBER(SEARCH("Overview Cabang",INDEX(FORM!$K:$K,ROW()))),1,0))</f>
        <v/>
      </c>
      <c r="P974" s="8" t="str">
        <f>IF($A974="","",IFERROR(VLOOKUP(I974,DATA!$AH$9:$AI$13,2,0),""))</f>
        <v/>
      </c>
      <c r="Q974" s="8" t="str">
        <f>IF($A974="","",IFERROR(VLOOKUP(J974,DATA!$AH$9:$AI$13,2,0),""))</f>
        <v/>
      </c>
      <c r="R974" s="8" t="str">
        <f>IF($A974="","",IFERROR(VLOOKUP(K974,DATA!$AH$9:$AI$13,2,0),""))</f>
        <v/>
      </c>
      <c r="S974" s="42" t="str">
        <f t="shared" si="330"/>
        <v/>
      </c>
      <c r="T974" s="8" t="str">
        <f>IF($A974="","",IF(COUNTIF($D$2:D974,D974)=1,1,0))</f>
        <v/>
      </c>
      <c r="U974" s="8" t="str">
        <f>IF($A974="","",IF(F974="-","Cabang tdk ada",IF(IFERROR(VLOOKUP(G974,#REF!,1,0),"")="","",IF(INDEX(DATA!$AH$2:$AH$5,MATCH(G974,DATA!$AI$2:$AI$5,0))&lt;&gt;F974,"Wilayah beda","OK"))))</f>
        <v/>
      </c>
      <c r="V974" s="8" t="str">
        <f>IF($A974="","",TRIM(INDEX(FORM!$I:$I,ROW())&amp;""))</f>
        <v/>
      </c>
      <c r="W974" s="8" t="str">
        <f>IF($A974="","",TRIM(INDEX(FORM!$L:$L,ROW())&amp;""))</f>
        <v/>
      </c>
      <c r="X974" s="8" t="str">
        <f>IF($A974="","",TRIM(INDEX(FORM!$M:$M,ROW())&amp;""))</f>
        <v/>
      </c>
      <c r="Y974" s="8" t="str">
        <f>IF($A974="","",IFERROR(MATCH(F974,DATA!$AH$2:$AH$5,0),9)*10000+A974)</f>
        <v/>
      </c>
      <c r="Z974" s="8" t="str">
        <f t="shared" si="331"/>
        <v/>
      </c>
      <c r="AA974" s="8" t="str">
        <f t="shared" si="332"/>
        <v/>
      </c>
      <c r="AB974" s="8" t="str">
        <f t="shared" si="333"/>
        <v/>
      </c>
      <c r="AC974" s="8"/>
      <c r="AD974" s="8"/>
      <c r="AE974" s="8"/>
      <c r="AK974" s="5" t="str">
        <f t="shared" si="334"/>
        <v/>
      </c>
      <c r="AL974" s="5" t="str">
        <f t="shared" si="335"/>
        <v/>
      </c>
      <c r="AM974" s="5" t="str">
        <f t="shared" si="336"/>
        <v/>
      </c>
      <c r="AN974" s="5" t="str">
        <f t="shared" si="337"/>
        <v/>
      </c>
      <c r="AO974" s="5" t="str">
        <f t="shared" si="338"/>
        <v/>
      </c>
      <c r="AP974" s="5" t="str">
        <f t="shared" si="339"/>
        <v/>
      </c>
      <c r="AQ974" s="5" t="str">
        <f t="shared" si="340"/>
        <v/>
      </c>
      <c r="AR974" s="5" t="str">
        <f t="shared" si="341"/>
        <v/>
      </c>
      <c r="AS974" s="5" t="str">
        <f t="shared" si="342"/>
        <v/>
      </c>
      <c r="AT974" s="5" t="str">
        <f t="shared" si="343"/>
        <v/>
      </c>
      <c r="AU974" s="5" t="str">
        <f t="shared" si="344"/>
        <v/>
      </c>
      <c r="AV974" s="5" t="str">
        <f t="shared" si="345"/>
        <v/>
      </c>
      <c r="AW974" s="5" t="str">
        <f t="shared" si="346"/>
        <v/>
      </c>
      <c r="AX974" s="5" t="str">
        <f t="shared" si="347"/>
        <v/>
      </c>
      <c r="AY974" s="5" t="str">
        <f t="shared" si="348"/>
        <v/>
      </c>
      <c r="AZ974" s="5" t="str">
        <f t="shared" si="349"/>
        <v/>
      </c>
      <c r="BA974" s="5" t="str">
        <f t="shared" si="350"/>
        <v/>
      </c>
      <c r="BB974" s="5" t="str">
        <f t="shared" si="351"/>
        <v/>
      </c>
    </row>
    <row r="975" spans="1:54" s="5" customFormat="1" hidden="1">
      <c r="A975" s="8" t="str">
        <f>IF(INDEX(FORM!$A:$A,ROW())="","",ROW()-1)</f>
        <v/>
      </c>
      <c r="B975" s="41" t="str">
        <f>IF($A975="","",INDEX(FORM!$A:$A,ROW()))</f>
        <v/>
      </c>
      <c r="C975" s="8" t="str">
        <f>IF($A975="","",TRIM(INDEX(FORM!$B:$B,ROW())))</f>
        <v/>
      </c>
      <c r="D975" s="8" t="str">
        <f>IF($A975="","",TRIM(INDEX(FORM!$C:$C,ROW())&amp;""))</f>
        <v/>
      </c>
      <c r="E975" s="8" t="str">
        <f>IF($A975="","",UPPER(TRIM(INDEX(FORM!$D:$D,ROW()))))</f>
        <v/>
      </c>
      <c r="F975" s="8" t="str">
        <f>IF($A975="","",IFERROR(INDEX(PROGRES!$A$2:$A$92,MATCH(E975,PROGRES!$B$2:$B$92,0)),"-"))</f>
        <v/>
      </c>
      <c r="G975" s="8" t="str">
        <f>IF($A975="","",UPPER(TRIM(INDEX(FORM!$F:$F,ROW()))))</f>
        <v/>
      </c>
      <c r="H975" s="8" t="str">
        <f>IF($A975="","",UPPER(TRIM(INDEX(FORM!$E:$E,ROW()))))</f>
        <v/>
      </c>
      <c r="I975" s="8" t="str">
        <f>IF($A975="","",UPPER(TRIM(INDEX(FORM!$G:$G,ROW()))))</f>
        <v/>
      </c>
      <c r="J975" s="8" t="str">
        <f>IF($A975="","",IF(ISNUMBER(SEARCH("Ya,",INDEX(FORM!$H:$H,ROW()))),"YA",IF(ISNUMBER(SEARCH("Cukup,",INDEX(FORM!$H:$H,ROW()))),"CUKUP",IF(ISNUMBER(SEARCH("Kurang,",INDEX(FORM!$H:$H,ROW()))),"KURANG",""))))</f>
        <v/>
      </c>
      <c r="K975" s="8" t="str">
        <f>IF($A975="","",UPPER(TRIM(INDEX(FORM!$J:$J,ROW()))))</f>
        <v/>
      </c>
      <c r="L975" s="8" t="str">
        <f>IF($A975="","",IF(ISNUMBER(SEARCH("Aktivitas Harian",INDEX(FORM!$K:$K,ROW()))),1,0))</f>
        <v/>
      </c>
      <c r="M975" s="8" t="str">
        <f>IF($A975="","",IF(ISNUMBER(SEARCH("Aktivitas Mingguan",INDEX(FORM!$K:$K,ROW()))),1,0))</f>
        <v/>
      </c>
      <c r="N975" s="8" t="str">
        <f>IF($A975="","",IF(ISNUMBER(SEARCH("Aktivitas Bulanan",INDEX(FORM!$K:$K,ROW()))),1,0))</f>
        <v/>
      </c>
      <c r="O975" s="8" t="str">
        <f>IF($A975="","",IF(ISNUMBER(SEARCH("Overview Cabang",INDEX(FORM!$K:$K,ROW()))),1,0))</f>
        <v/>
      </c>
      <c r="P975" s="8" t="str">
        <f>IF($A975="","",IFERROR(VLOOKUP(I975,DATA!$AH$9:$AI$13,2,0),""))</f>
        <v/>
      </c>
      <c r="Q975" s="8" t="str">
        <f>IF($A975="","",IFERROR(VLOOKUP(J975,DATA!$AH$9:$AI$13,2,0),""))</f>
        <v/>
      </c>
      <c r="R975" s="8" t="str">
        <f>IF($A975="","",IFERROR(VLOOKUP(K975,DATA!$AH$9:$AI$13,2,0),""))</f>
        <v/>
      </c>
      <c r="S975" s="42" t="str">
        <f t="shared" si="330"/>
        <v/>
      </c>
      <c r="T975" s="8" t="str">
        <f>IF($A975="","",IF(COUNTIF($D$2:D975,D975)=1,1,0))</f>
        <v/>
      </c>
      <c r="U975" s="8" t="str">
        <f>IF($A975="","",IF(F975="-","Cabang tdk ada",IF(IFERROR(VLOOKUP(G975,#REF!,1,0),"")="","",IF(INDEX(DATA!$AH$2:$AH$5,MATCH(G975,DATA!$AI$2:$AI$5,0))&lt;&gt;F975,"Wilayah beda","OK"))))</f>
        <v/>
      </c>
      <c r="V975" s="8" t="str">
        <f>IF($A975="","",TRIM(INDEX(FORM!$I:$I,ROW())&amp;""))</f>
        <v/>
      </c>
      <c r="W975" s="8" t="str">
        <f>IF($A975="","",TRIM(INDEX(FORM!$L:$L,ROW())&amp;""))</f>
        <v/>
      </c>
      <c r="X975" s="8" t="str">
        <f>IF($A975="","",TRIM(INDEX(FORM!$M:$M,ROW())&amp;""))</f>
        <v/>
      </c>
      <c r="Y975" s="8" t="str">
        <f>IF($A975="","",IFERROR(MATCH(F975,DATA!$AH$2:$AH$5,0),9)*10000+A975)</f>
        <v/>
      </c>
      <c r="Z975" s="8" t="str">
        <f t="shared" si="331"/>
        <v/>
      </c>
      <c r="AA975" s="8" t="str">
        <f t="shared" si="332"/>
        <v/>
      </c>
      <c r="AB975" s="8" t="str">
        <f t="shared" si="333"/>
        <v/>
      </c>
      <c r="AC975" s="8"/>
      <c r="AD975" s="8"/>
      <c r="AE975" s="8"/>
      <c r="AK975" s="5" t="str">
        <f t="shared" si="334"/>
        <v/>
      </c>
      <c r="AL975" s="5" t="str">
        <f t="shared" si="335"/>
        <v/>
      </c>
      <c r="AM975" s="5" t="str">
        <f t="shared" si="336"/>
        <v/>
      </c>
      <c r="AN975" s="5" t="str">
        <f t="shared" si="337"/>
        <v/>
      </c>
      <c r="AO975" s="5" t="str">
        <f t="shared" si="338"/>
        <v/>
      </c>
      <c r="AP975" s="5" t="str">
        <f t="shared" si="339"/>
        <v/>
      </c>
      <c r="AQ975" s="5" t="str">
        <f t="shared" si="340"/>
        <v/>
      </c>
      <c r="AR975" s="5" t="str">
        <f t="shared" si="341"/>
        <v/>
      </c>
      <c r="AS975" s="5" t="str">
        <f t="shared" si="342"/>
        <v/>
      </c>
      <c r="AT975" s="5" t="str">
        <f t="shared" si="343"/>
        <v/>
      </c>
      <c r="AU975" s="5" t="str">
        <f t="shared" si="344"/>
        <v/>
      </c>
      <c r="AV975" s="5" t="str">
        <f t="shared" si="345"/>
        <v/>
      </c>
      <c r="AW975" s="5" t="str">
        <f t="shared" si="346"/>
        <v/>
      </c>
      <c r="AX975" s="5" t="str">
        <f t="shared" si="347"/>
        <v/>
      </c>
      <c r="AY975" s="5" t="str">
        <f t="shared" si="348"/>
        <v/>
      </c>
      <c r="AZ975" s="5" t="str">
        <f t="shared" si="349"/>
        <v/>
      </c>
      <c r="BA975" s="5" t="str">
        <f t="shared" si="350"/>
        <v/>
      </c>
      <c r="BB975" s="5" t="str">
        <f t="shared" si="351"/>
        <v/>
      </c>
    </row>
    <row r="976" spans="1:54" s="5" customFormat="1" hidden="1">
      <c r="A976" s="8" t="str">
        <f>IF(INDEX(FORM!$A:$A,ROW())="","",ROW()-1)</f>
        <v/>
      </c>
      <c r="B976" s="41" t="str">
        <f>IF($A976="","",INDEX(FORM!$A:$A,ROW()))</f>
        <v/>
      </c>
      <c r="C976" s="8" t="str">
        <f>IF($A976="","",TRIM(INDEX(FORM!$B:$B,ROW())))</f>
        <v/>
      </c>
      <c r="D976" s="8" t="str">
        <f>IF($A976="","",TRIM(INDEX(FORM!$C:$C,ROW())&amp;""))</f>
        <v/>
      </c>
      <c r="E976" s="8" t="str">
        <f>IF($A976="","",UPPER(TRIM(INDEX(FORM!$D:$D,ROW()))))</f>
        <v/>
      </c>
      <c r="F976" s="8" t="str">
        <f>IF($A976="","",IFERROR(INDEX(PROGRES!$A$2:$A$92,MATCH(E976,PROGRES!$B$2:$B$92,0)),"-"))</f>
        <v/>
      </c>
      <c r="G976" s="8" t="str">
        <f>IF($A976="","",UPPER(TRIM(INDEX(FORM!$F:$F,ROW()))))</f>
        <v/>
      </c>
      <c r="H976" s="8" t="str">
        <f>IF($A976="","",UPPER(TRIM(INDEX(FORM!$E:$E,ROW()))))</f>
        <v/>
      </c>
      <c r="I976" s="8" t="str">
        <f>IF($A976="","",UPPER(TRIM(INDEX(FORM!$G:$G,ROW()))))</f>
        <v/>
      </c>
      <c r="J976" s="8" t="str">
        <f>IF($A976="","",IF(ISNUMBER(SEARCH("Ya,",INDEX(FORM!$H:$H,ROW()))),"YA",IF(ISNUMBER(SEARCH("Cukup,",INDEX(FORM!$H:$H,ROW()))),"CUKUP",IF(ISNUMBER(SEARCH("Kurang,",INDEX(FORM!$H:$H,ROW()))),"KURANG",""))))</f>
        <v/>
      </c>
      <c r="K976" s="8" t="str">
        <f>IF($A976="","",UPPER(TRIM(INDEX(FORM!$J:$J,ROW()))))</f>
        <v/>
      </c>
      <c r="L976" s="8" t="str">
        <f>IF($A976="","",IF(ISNUMBER(SEARCH("Aktivitas Harian",INDEX(FORM!$K:$K,ROW()))),1,0))</f>
        <v/>
      </c>
      <c r="M976" s="8" t="str">
        <f>IF($A976="","",IF(ISNUMBER(SEARCH("Aktivitas Mingguan",INDEX(FORM!$K:$K,ROW()))),1,0))</f>
        <v/>
      </c>
      <c r="N976" s="8" t="str">
        <f>IF($A976="","",IF(ISNUMBER(SEARCH("Aktivitas Bulanan",INDEX(FORM!$K:$K,ROW()))),1,0))</f>
        <v/>
      </c>
      <c r="O976" s="8" t="str">
        <f>IF($A976="","",IF(ISNUMBER(SEARCH("Overview Cabang",INDEX(FORM!$K:$K,ROW()))),1,0))</f>
        <v/>
      </c>
      <c r="P976" s="8" t="str">
        <f>IF($A976="","",IFERROR(VLOOKUP(I976,DATA!$AH$9:$AI$13,2,0),""))</f>
        <v/>
      </c>
      <c r="Q976" s="8" t="str">
        <f>IF($A976="","",IFERROR(VLOOKUP(J976,DATA!$AH$9:$AI$13,2,0),""))</f>
        <v/>
      </c>
      <c r="R976" s="8" t="str">
        <f>IF($A976="","",IFERROR(VLOOKUP(K976,DATA!$AH$9:$AI$13,2,0),""))</f>
        <v/>
      </c>
      <c r="S976" s="42" t="str">
        <f t="shared" si="330"/>
        <v/>
      </c>
      <c r="T976" s="8" t="str">
        <f>IF($A976="","",IF(COUNTIF($D$2:D976,D976)=1,1,0))</f>
        <v/>
      </c>
      <c r="U976" s="8" t="str">
        <f>IF($A976="","",IF(F976="-","Cabang tdk ada",IF(IFERROR(VLOOKUP(G976,#REF!,1,0),"")="","",IF(INDEX(DATA!$AH$2:$AH$5,MATCH(G976,DATA!$AI$2:$AI$5,0))&lt;&gt;F976,"Wilayah beda","OK"))))</f>
        <v/>
      </c>
      <c r="V976" s="8" t="str">
        <f>IF($A976="","",TRIM(INDEX(FORM!$I:$I,ROW())&amp;""))</f>
        <v/>
      </c>
      <c r="W976" s="8" t="str">
        <f>IF($A976="","",TRIM(INDEX(FORM!$L:$L,ROW())&amp;""))</f>
        <v/>
      </c>
      <c r="X976" s="8" t="str">
        <f>IF($A976="","",TRIM(INDEX(FORM!$M:$M,ROW())&amp;""))</f>
        <v/>
      </c>
      <c r="Y976" s="8" t="str">
        <f>IF($A976="","",IFERROR(MATCH(F976,DATA!$AH$2:$AH$5,0),9)*10000+A976)</f>
        <v/>
      </c>
      <c r="Z976" s="8" t="str">
        <f t="shared" si="331"/>
        <v/>
      </c>
      <c r="AA976" s="8" t="str">
        <f t="shared" si="332"/>
        <v/>
      </c>
      <c r="AB976" s="8" t="str">
        <f t="shared" si="333"/>
        <v/>
      </c>
      <c r="AC976" s="8"/>
      <c r="AD976" s="8"/>
      <c r="AE976" s="8"/>
      <c r="AK976" s="5" t="str">
        <f t="shared" si="334"/>
        <v/>
      </c>
      <c r="AL976" s="5" t="str">
        <f t="shared" si="335"/>
        <v/>
      </c>
      <c r="AM976" s="5" t="str">
        <f t="shared" si="336"/>
        <v/>
      </c>
      <c r="AN976" s="5" t="str">
        <f t="shared" si="337"/>
        <v/>
      </c>
      <c r="AO976" s="5" t="str">
        <f t="shared" si="338"/>
        <v/>
      </c>
      <c r="AP976" s="5" t="str">
        <f t="shared" si="339"/>
        <v/>
      </c>
      <c r="AQ976" s="5" t="str">
        <f t="shared" si="340"/>
        <v/>
      </c>
      <c r="AR976" s="5" t="str">
        <f t="shared" si="341"/>
        <v/>
      </c>
      <c r="AS976" s="5" t="str">
        <f t="shared" si="342"/>
        <v/>
      </c>
      <c r="AT976" s="5" t="str">
        <f t="shared" si="343"/>
        <v/>
      </c>
      <c r="AU976" s="5" t="str">
        <f t="shared" si="344"/>
        <v/>
      </c>
      <c r="AV976" s="5" t="str">
        <f t="shared" si="345"/>
        <v/>
      </c>
      <c r="AW976" s="5" t="str">
        <f t="shared" si="346"/>
        <v/>
      </c>
      <c r="AX976" s="5" t="str">
        <f t="shared" si="347"/>
        <v/>
      </c>
      <c r="AY976" s="5" t="str">
        <f t="shared" si="348"/>
        <v/>
      </c>
      <c r="AZ976" s="5" t="str">
        <f t="shared" si="349"/>
        <v/>
      </c>
      <c r="BA976" s="5" t="str">
        <f t="shared" si="350"/>
        <v/>
      </c>
      <c r="BB976" s="5" t="str">
        <f t="shared" si="351"/>
        <v/>
      </c>
    </row>
    <row r="977" spans="1:54" s="5" customFormat="1" hidden="1">
      <c r="A977" s="8" t="str">
        <f>IF(INDEX(FORM!$A:$A,ROW())="","",ROW()-1)</f>
        <v/>
      </c>
      <c r="B977" s="41" t="str">
        <f>IF($A977="","",INDEX(FORM!$A:$A,ROW()))</f>
        <v/>
      </c>
      <c r="C977" s="8" t="str">
        <f>IF($A977="","",TRIM(INDEX(FORM!$B:$B,ROW())))</f>
        <v/>
      </c>
      <c r="D977" s="8" t="str">
        <f>IF($A977="","",TRIM(INDEX(FORM!$C:$C,ROW())&amp;""))</f>
        <v/>
      </c>
      <c r="E977" s="8" t="str">
        <f>IF($A977="","",UPPER(TRIM(INDEX(FORM!$D:$D,ROW()))))</f>
        <v/>
      </c>
      <c r="F977" s="8" t="str">
        <f>IF($A977="","",IFERROR(INDEX(PROGRES!$A$2:$A$92,MATCH(E977,PROGRES!$B$2:$B$92,0)),"-"))</f>
        <v/>
      </c>
      <c r="G977" s="8" t="str">
        <f>IF($A977="","",UPPER(TRIM(INDEX(FORM!$F:$F,ROW()))))</f>
        <v/>
      </c>
      <c r="H977" s="8" t="str">
        <f>IF($A977="","",UPPER(TRIM(INDEX(FORM!$E:$E,ROW()))))</f>
        <v/>
      </c>
      <c r="I977" s="8" t="str">
        <f>IF($A977="","",UPPER(TRIM(INDEX(FORM!$G:$G,ROW()))))</f>
        <v/>
      </c>
      <c r="J977" s="8" t="str">
        <f>IF($A977="","",IF(ISNUMBER(SEARCH("Ya,",INDEX(FORM!$H:$H,ROW()))),"YA",IF(ISNUMBER(SEARCH("Cukup,",INDEX(FORM!$H:$H,ROW()))),"CUKUP",IF(ISNUMBER(SEARCH("Kurang,",INDEX(FORM!$H:$H,ROW()))),"KURANG",""))))</f>
        <v/>
      </c>
      <c r="K977" s="8" t="str">
        <f>IF($A977="","",UPPER(TRIM(INDEX(FORM!$J:$J,ROW()))))</f>
        <v/>
      </c>
      <c r="L977" s="8" t="str">
        <f>IF($A977="","",IF(ISNUMBER(SEARCH("Aktivitas Harian",INDEX(FORM!$K:$K,ROW()))),1,0))</f>
        <v/>
      </c>
      <c r="M977" s="8" t="str">
        <f>IF($A977="","",IF(ISNUMBER(SEARCH("Aktivitas Mingguan",INDEX(FORM!$K:$K,ROW()))),1,0))</f>
        <v/>
      </c>
      <c r="N977" s="8" t="str">
        <f>IF($A977="","",IF(ISNUMBER(SEARCH("Aktivitas Bulanan",INDEX(FORM!$K:$K,ROW()))),1,0))</f>
        <v/>
      </c>
      <c r="O977" s="8" t="str">
        <f>IF($A977="","",IF(ISNUMBER(SEARCH("Overview Cabang",INDEX(FORM!$K:$K,ROW()))),1,0))</f>
        <v/>
      </c>
      <c r="P977" s="8" t="str">
        <f>IF($A977="","",IFERROR(VLOOKUP(I977,DATA!$AH$9:$AI$13,2,0),""))</f>
        <v/>
      </c>
      <c r="Q977" s="8" t="str">
        <f>IF($A977="","",IFERROR(VLOOKUP(J977,DATA!$AH$9:$AI$13,2,0),""))</f>
        <v/>
      </c>
      <c r="R977" s="8" t="str">
        <f>IF($A977="","",IFERROR(VLOOKUP(K977,DATA!$AH$9:$AI$13,2,0),""))</f>
        <v/>
      </c>
      <c r="S977" s="42" t="str">
        <f t="shared" si="330"/>
        <v/>
      </c>
      <c r="T977" s="8" t="str">
        <f>IF($A977="","",IF(COUNTIF($D$2:D977,D977)=1,1,0))</f>
        <v/>
      </c>
      <c r="U977" s="8" t="str">
        <f>IF($A977="","",IF(F977="-","Cabang tdk ada",IF(IFERROR(VLOOKUP(G977,#REF!,1,0),"")="","",IF(INDEX(DATA!$AH$2:$AH$5,MATCH(G977,DATA!$AI$2:$AI$5,0))&lt;&gt;F977,"Wilayah beda","OK"))))</f>
        <v/>
      </c>
      <c r="V977" s="8" t="str">
        <f>IF($A977="","",TRIM(INDEX(FORM!$I:$I,ROW())&amp;""))</f>
        <v/>
      </c>
      <c r="W977" s="8" t="str">
        <f>IF($A977="","",TRIM(INDEX(FORM!$L:$L,ROW())&amp;""))</f>
        <v/>
      </c>
      <c r="X977" s="8" t="str">
        <f>IF($A977="","",TRIM(INDEX(FORM!$M:$M,ROW())&amp;""))</f>
        <v/>
      </c>
      <c r="Y977" s="8" t="str">
        <f>IF($A977="","",IFERROR(MATCH(F977,DATA!$AH$2:$AH$5,0),9)*10000+A977)</f>
        <v/>
      </c>
      <c r="Z977" s="8" t="str">
        <f t="shared" si="331"/>
        <v/>
      </c>
      <c r="AA977" s="8" t="str">
        <f t="shared" si="332"/>
        <v/>
      </c>
      <c r="AB977" s="8" t="str">
        <f t="shared" si="333"/>
        <v/>
      </c>
      <c r="AC977" s="8"/>
      <c r="AD977" s="8"/>
      <c r="AE977" s="8"/>
      <c r="AK977" s="5" t="str">
        <f t="shared" si="334"/>
        <v/>
      </c>
      <c r="AL977" s="5" t="str">
        <f t="shared" si="335"/>
        <v/>
      </c>
      <c r="AM977" s="5" t="str">
        <f t="shared" si="336"/>
        <v/>
      </c>
      <c r="AN977" s="5" t="str">
        <f t="shared" si="337"/>
        <v/>
      </c>
      <c r="AO977" s="5" t="str">
        <f t="shared" si="338"/>
        <v/>
      </c>
      <c r="AP977" s="5" t="str">
        <f t="shared" si="339"/>
        <v/>
      </c>
      <c r="AQ977" s="5" t="str">
        <f t="shared" si="340"/>
        <v/>
      </c>
      <c r="AR977" s="5" t="str">
        <f t="shared" si="341"/>
        <v/>
      </c>
      <c r="AS977" s="5" t="str">
        <f t="shared" si="342"/>
        <v/>
      </c>
      <c r="AT977" s="5" t="str">
        <f t="shared" si="343"/>
        <v/>
      </c>
      <c r="AU977" s="5" t="str">
        <f t="shared" si="344"/>
        <v/>
      </c>
      <c r="AV977" s="5" t="str">
        <f t="shared" si="345"/>
        <v/>
      </c>
      <c r="AW977" s="5" t="str">
        <f t="shared" si="346"/>
        <v/>
      </c>
      <c r="AX977" s="5" t="str">
        <f t="shared" si="347"/>
        <v/>
      </c>
      <c r="AY977" s="5" t="str">
        <f t="shared" si="348"/>
        <v/>
      </c>
      <c r="AZ977" s="5" t="str">
        <f t="shared" si="349"/>
        <v/>
      </c>
      <c r="BA977" s="5" t="str">
        <f t="shared" si="350"/>
        <v/>
      </c>
      <c r="BB977" s="5" t="str">
        <f t="shared" si="351"/>
        <v/>
      </c>
    </row>
    <row r="978" spans="1:54" s="5" customFormat="1" hidden="1">
      <c r="A978" s="8" t="str">
        <f>IF(INDEX(FORM!$A:$A,ROW())="","",ROW()-1)</f>
        <v/>
      </c>
      <c r="B978" s="41" t="str">
        <f>IF($A978="","",INDEX(FORM!$A:$A,ROW()))</f>
        <v/>
      </c>
      <c r="C978" s="8" t="str">
        <f>IF($A978="","",TRIM(INDEX(FORM!$B:$B,ROW())))</f>
        <v/>
      </c>
      <c r="D978" s="8" t="str">
        <f>IF($A978="","",TRIM(INDEX(FORM!$C:$C,ROW())&amp;""))</f>
        <v/>
      </c>
      <c r="E978" s="8" t="str">
        <f>IF($A978="","",UPPER(TRIM(INDEX(FORM!$D:$D,ROW()))))</f>
        <v/>
      </c>
      <c r="F978" s="8" t="str">
        <f>IF($A978="","",IFERROR(INDEX(PROGRES!$A$2:$A$92,MATCH(E978,PROGRES!$B$2:$B$92,0)),"-"))</f>
        <v/>
      </c>
      <c r="G978" s="8" t="str">
        <f>IF($A978="","",UPPER(TRIM(INDEX(FORM!$F:$F,ROW()))))</f>
        <v/>
      </c>
      <c r="H978" s="8" t="str">
        <f>IF($A978="","",UPPER(TRIM(INDEX(FORM!$E:$E,ROW()))))</f>
        <v/>
      </c>
      <c r="I978" s="8" t="str">
        <f>IF($A978="","",UPPER(TRIM(INDEX(FORM!$G:$G,ROW()))))</f>
        <v/>
      </c>
      <c r="J978" s="8" t="str">
        <f>IF($A978="","",IF(ISNUMBER(SEARCH("Ya,",INDEX(FORM!$H:$H,ROW()))),"YA",IF(ISNUMBER(SEARCH("Cukup,",INDEX(FORM!$H:$H,ROW()))),"CUKUP",IF(ISNUMBER(SEARCH("Kurang,",INDEX(FORM!$H:$H,ROW()))),"KURANG",""))))</f>
        <v/>
      </c>
      <c r="K978" s="8" t="str">
        <f>IF($A978="","",UPPER(TRIM(INDEX(FORM!$J:$J,ROW()))))</f>
        <v/>
      </c>
      <c r="L978" s="8" t="str">
        <f>IF($A978="","",IF(ISNUMBER(SEARCH("Aktivitas Harian",INDEX(FORM!$K:$K,ROW()))),1,0))</f>
        <v/>
      </c>
      <c r="M978" s="8" t="str">
        <f>IF($A978="","",IF(ISNUMBER(SEARCH("Aktivitas Mingguan",INDEX(FORM!$K:$K,ROW()))),1,0))</f>
        <v/>
      </c>
      <c r="N978" s="8" t="str">
        <f>IF($A978="","",IF(ISNUMBER(SEARCH("Aktivitas Bulanan",INDEX(FORM!$K:$K,ROW()))),1,0))</f>
        <v/>
      </c>
      <c r="O978" s="8" t="str">
        <f>IF($A978="","",IF(ISNUMBER(SEARCH("Overview Cabang",INDEX(FORM!$K:$K,ROW()))),1,0))</f>
        <v/>
      </c>
      <c r="P978" s="8" t="str">
        <f>IF($A978="","",IFERROR(VLOOKUP(I978,DATA!$AH$9:$AI$13,2,0),""))</f>
        <v/>
      </c>
      <c r="Q978" s="8" t="str">
        <f>IF($A978="","",IFERROR(VLOOKUP(J978,DATA!$AH$9:$AI$13,2,0),""))</f>
        <v/>
      </c>
      <c r="R978" s="8" t="str">
        <f>IF($A978="","",IFERROR(VLOOKUP(K978,DATA!$AH$9:$AI$13,2,0),""))</f>
        <v/>
      </c>
      <c r="S978" s="42" t="str">
        <f t="shared" si="330"/>
        <v/>
      </c>
      <c r="T978" s="8" t="str">
        <f>IF($A978="","",IF(COUNTIF($D$2:D978,D978)=1,1,0))</f>
        <v/>
      </c>
      <c r="U978" s="8" t="str">
        <f>IF($A978="","",IF(F978="-","Cabang tdk ada",IF(IFERROR(VLOOKUP(G978,#REF!,1,0),"")="","",IF(INDEX(DATA!$AH$2:$AH$5,MATCH(G978,DATA!$AI$2:$AI$5,0))&lt;&gt;F978,"Wilayah beda","OK"))))</f>
        <v/>
      </c>
      <c r="V978" s="8" t="str">
        <f>IF($A978="","",TRIM(INDEX(FORM!$I:$I,ROW())&amp;""))</f>
        <v/>
      </c>
      <c r="W978" s="8" t="str">
        <f>IF($A978="","",TRIM(INDEX(FORM!$L:$L,ROW())&amp;""))</f>
        <v/>
      </c>
      <c r="X978" s="8" t="str">
        <f>IF($A978="","",TRIM(INDEX(FORM!$M:$M,ROW())&amp;""))</f>
        <v/>
      </c>
      <c r="Y978" s="8" t="str">
        <f>IF($A978="","",IFERROR(MATCH(F978,DATA!$AH$2:$AH$5,0),9)*10000+A978)</f>
        <v/>
      </c>
      <c r="Z978" s="8" t="str">
        <f t="shared" si="331"/>
        <v/>
      </c>
      <c r="AA978" s="8" t="str">
        <f t="shared" si="332"/>
        <v/>
      </c>
      <c r="AB978" s="8" t="str">
        <f t="shared" si="333"/>
        <v/>
      </c>
      <c r="AC978" s="8"/>
      <c r="AD978" s="8"/>
      <c r="AE978" s="8"/>
      <c r="AK978" s="5" t="str">
        <f t="shared" si="334"/>
        <v/>
      </c>
      <c r="AL978" s="5" t="str">
        <f t="shared" si="335"/>
        <v/>
      </c>
      <c r="AM978" s="5" t="str">
        <f t="shared" si="336"/>
        <v/>
      </c>
      <c r="AN978" s="5" t="str">
        <f t="shared" si="337"/>
        <v/>
      </c>
      <c r="AO978" s="5" t="str">
        <f t="shared" si="338"/>
        <v/>
      </c>
      <c r="AP978" s="5" t="str">
        <f t="shared" si="339"/>
        <v/>
      </c>
      <c r="AQ978" s="5" t="str">
        <f t="shared" si="340"/>
        <v/>
      </c>
      <c r="AR978" s="5" t="str">
        <f t="shared" si="341"/>
        <v/>
      </c>
      <c r="AS978" s="5" t="str">
        <f t="shared" si="342"/>
        <v/>
      </c>
      <c r="AT978" s="5" t="str">
        <f t="shared" si="343"/>
        <v/>
      </c>
      <c r="AU978" s="5" t="str">
        <f t="shared" si="344"/>
        <v/>
      </c>
      <c r="AV978" s="5" t="str">
        <f t="shared" si="345"/>
        <v/>
      </c>
      <c r="AW978" s="5" t="str">
        <f t="shared" si="346"/>
        <v/>
      </c>
      <c r="AX978" s="5" t="str">
        <f t="shared" si="347"/>
        <v/>
      </c>
      <c r="AY978" s="5" t="str">
        <f t="shared" si="348"/>
        <v/>
      </c>
      <c r="AZ978" s="5" t="str">
        <f t="shared" si="349"/>
        <v/>
      </c>
      <c r="BA978" s="5" t="str">
        <f t="shared" si="350"/>
        <v/>
      </c>
      <c r="BB978" s="5" t="str">
        <f t="shared" si="351"/>
        <v/>
      </c>
    </row>
    <row r="979" spans="1:54" s="5" customFormat="1" hidden="1">
      <c r="A979" s="8" t="str">
        <f>IF(INDEX(FORM!$A:$A,ROW())="","",ROW()-1)</f>
        <v/>
      </c>
      <c r="B979" s="41" t="str">
        <f>IF($A979="","",INDEX(FORM!$A:$A,ROW()))</f>
        <v/>
      </c>
      <c r="C979" s="8" t="str">
        <f>IF($A979="","",TRIM(INDEX(FORM!$B:$B,ROW())))</f>
        <v/>
      </c>
      <c r="D979" s="8" t="str">
        <f>IF($A979="","",TRIM(INDEX(FORM!$C:$C,ROW())&amp;""))</f>
        <v/>
      </c>
      <c r="E979" s="8" t="str">
        <f>IF($A979="","",UPPER(TRIM(INDEX(FORM!$D:$D,ROW()))))</f>
        <v/>
      </c>
      <c r="F979" s="8" t="str">
        <f>IF($A979="","",IFERROR(INDEX(PROGRES!$A$2:$A$92,MATCH(E979,PROGRES!$B$2:$B$92,0)),"-"))</f>
        <v/>
      </c>
      <c r="G979" s="8" t="str">
        <f>IF($A979="","",UPPER(TRIM(INDEX(FORM!$F:$F,ROW()))))</f>
        <v/>
      </c>
      <c r="H979" s="8" t="str">
        <f>IF($A979="","",UPPER(TRIM(INDEX(FORM!$E:$E,ROW()))))</f>
        <v/>
      </c>
      <c r="I979" s="8" t="str">
        <f>IF($A979="","",UPPER(TRIM(INDEX(FORM!$G:$G,ROW()))))</f>
        <v/>
      </c>
      <c r="J979" s="8" t="str">
        <f>IF($A979="","",IF(ISNUMBER(SEARCH("Ya,",INDEX(FORM!$H:$H,ROW()))),"YA",IF(ISNUMBER(SEARCH("Cukup,",INDEX(FORM!$H:$H,ROW()))),"CUKUP",IF(ISNUMBER(SEARCH("Kurang,",INDEX(FORM!$H:$H,ROW()))),"KURANG",""))))</f>
        <v/>
      </c>
      <c r="K979" s="8" t="str">
        <f>IF($A979="","",UPPER(TRIM(INDEX(FORM!$J:$J,ROW()))))</f>
        <v/>
      </c>
      <c r="L979" s="8" t="str">
        <f>IF($A979="","",IF(ISNUMBER(SEARCH("Aktivitas Harian",INDEX(FORM!$K:$K,ROW()))),1,0))</f>
        <v/>
      </c>
      <c r="M979" s="8" t="str">
        <f>IF($A979="","",IF(ISNUMBER(SEARCH("Aktivitas Mingguan",INDEX(FORM!$K:$K,ROW()))),1,0))</f>
        <v/>
      </c>
      <c r="N979" s="8" t="str">
        <f>IF($A979="","",IF(ISNUMBER(SEARCH("Aktivitas Bulanan",INDEX(FORM!$K:$K,ROW()))),1,0))</f>
        <v/>
      </c>
      <c r="O979" s="8" t="str">
        <f>IF($A979="","",IF(ISNUMBER(SEARCH("Overview Cabang",INDEX(FORM!$K:$K,ROW()))),1,0))</f>
        <v/>
      </c>
      <c r="P979" s="8" t="str">
        <f>IF($A979="","",IFERROR(VLOOKUP(I979,DATA!$AH$9:$AI$13,2,0),""))</f>
        <v/>
      </c>
      <c r="Q979" s="8" t="str">
        <f>IF($A979="","",IFERROR(VLOOKUP(J979,DATA!$AH$9:$AI$13,2,0),""))</f>
        <v/>
      </c>
      <c r="R979" s="8" t="str">
        <f>IF($A979="","",IFERROR(VLOOKUP(K979,DATA!$AH$9:$AI$13,2,0),""))</f>
        <v/>
      </c>
      <c r="S979" s="42" t="str">
        <f t="shared" si="330"/>
        <v/>
      </c>
      <c r="T979" s="8" t="str">
        <f>IF($A979="","",IF(COUNTIF($D$2:D979,D979)=1,1,0))</f>
        <v/>
      </c>
      <c r="U979" s="8" t="str">
        <f>IF($A979="","",IF(F979="-","Cabang tdk ada",IF(IFERROR(VLOOKUP(G979,#REF!,1,0),"")="","",IF(INDEX(DATA!$AH$2:$AH$5,MATCH(G979,DATA!$AI$2:$AI$5,0))&lt;&gt;F979,"Wilayah beda","OK"))))</f>
        <v/>
      </c>
      <c r="V979" s="8" t="str">
        <f>IF($A979="","",TRIM(INDEX(FORM!$I:$I,ROW())&amp;""))</f>
        <v/>
      </c>
      <c r="W979" s="8" t="str">
        <f>IF($A979="","",TRIM(INDEX(FORM!$L:$L,ROW())&amp;""))</f>
        <v/>
      </c>
      <c r="X979" s="8" t="str">
        <f>IF($A979="","",TRIM(INDEX(FORM!$M:$M,ROW())&amp;""))</f>
        <v/>
      </c>
      <c r="Y979" s="8" t="str">
        <f>IF($A979="","",IFERROR(MATCH(F979,DATA!$AH$2:$AH$5,0),9)*10000+A979)</f>
        <v/>
      </c>
      <c r="Z979" s="8" t="str">
        <f t="shared" si="331"/>
        <v/>
      </c>
      <c r="AA979" s="8" t="str">
        <f t="shared" si="332"/>
        <v/>
      </c>
      <c r="AB979" s="8" t="str">
        <f t="shared" si="333"/>
        <v/>
      </c>
      <c r="AC979" s="8"/>
      <c r="AD979" s="8"/>
      <c r="AE979" s="8"/>
      <c r="AK979" s="5" t="str">
        <f t="shared" si="334"/>
        <v/>
      </c>
      <c r="AL979" s="5" t="str">
        <f t="shared" si="335"/>
        <v/>
      </c>
      <c r="AM979" s="5" t="str">
        <f t="shared" si="336"/>
        <v/>
      </c>
      <c r="AN979" s="5" t="str">
        <f t="shared" si="337"/>
        <v/>
      </c>
      <c r="AO979" s="5" t="str">
        <f t="shared" si="338"/>
        <v/>
      </c>
      <c r="AP979" s="5" t="str">
        <f t="shared" si="339"/>
        <v/>
      </c>
      <c r="AQ979" s="5" t="str">
        <f t="shared" si="340"/>
        <v/>
      </c>
      <c r="AR979" s="5" t="str">
        <f t="shared" si="341"/>
        <v/>
      </c>
      <c r="AS979" s="5" t="str">
        <f t="shared" si="342"/>
        <v/>
      </c>
      <c r="AT979" s="5" t="str">
        <f t="shared" si="343"/>
        <v/>
      </c>
      <c r="AU979" s="5" t="str">
        <f t="shared" si="344"/>
        <v/>
      </c>
      <c r="AV979" s="5" t="str">
        <f t="shared" si="345"/>
        <v/>
      </c>
      <c r="AW979" s="5" t="str">
        <f t="shared" si="346"/>
        <v/>
      </c>
      <c r="AX979" s="5" t="str">
        <f t="shared" si="347"/>
        <v/>
      </c>
      <c r="AY979" s="5" t="str">
        <f t="shared" si="348"/>
        <v/>
      </c>
      <c r="AZ979" s="5" t="str">
        <f t="shared" si="349"/>
        <v/>
      </c>
      <c r="BA979" s="5" t="str">
        <f t="shared" si="350"/>
        <v/>
      </c>
      <c r="BB979" s="5" t="str">
        <f t="shared" si="351"/>
        <v/>
      </c>
    </row>
    <row r="980" spans="1:54" s="5" customFormat="1" hidden="1">
      <c r="A980" s="8" t="str">
        <f>IF(INDEX(FORM!$A:$A,ROW())="","",ROW()-1)</f>
        <v/>
      </c>
      <c r="B980" s="41" t="str">
        <f>IF($A980="","",INDEX(FORM!$A:$A,ROW()))</f>
        <v/>
      </c>
      <c r="C980" s="8" t="str">
        <f>IF($A980="","",TRIM(INDEX(FORM!$B:$B,ROW())))</f>
        <v/>
      </c>
      <c r="D980" s="8" t="str">
        <f>IF($A980="","",TRIM(INDEX(FORM!$C:$C,ROW())&amp;""))</f>
        <v/>
      </c>
      <c r="E980" s="8" t="str">
        <f>IF($A980="","",UPPER(TRIM(INDEX(FORM!$D:$D,ROW()))))</f>
        <v/>
      </c>
      <c r="F980" s="8" t="str">
        <f>IF($A980="","",IFERROR(INDEX(PROGRES!$A$2:$A$92,MATCH(E980,PROGRES!$B$2:$B$92,0)),"-"))</f>
        <v/>
      </c>
      <c r="G980" s="8" t="str">
        <f>IF($A980="","",UPPER(TRIM(INDEX(FORM!$F:$F,ROW()))))</f>
        <v/>
      </c>
      <c r="H980" s="8" t="str">
        <f>IF($A980="","",UPPER(TRIM(INDEX(FORM!$E:$E,ROW()))))</f>
        <v/>
      </c>
      <c r="I980" s="8" t="str">
        <f>IF($A980="","",UPPER(TRIM(INDEX(FORM!$G:$G,ROW()))))</f>
        <v/>
      </c>
      <c r="J980" s="8" t="str">
        <f>IF($A980="","",IF(ISNUMBER(SEARCH("Ya,",INDEX(FORM!$H:$H,ROW()))),"YA",IF(ISNUMBER(SEARCH("Cukup,",INDEX(FORM!$H:$H,ROW()))),"CUKUP",IF(ISNUMBER(SEARCH("Kurang,",INDEX(FORM!$H:$H,ROW()))),"KURANG",""))))</f>
        <v/>
      </c>
      <c r="K980" s="8" t="str">
        <f>IF($A980="","",UPPER(TRIM(INDEX(FORM!$J:$J,ROW()))))</f>
        <v/>
      </c>
      <c r="L980" s="8" t="str">
        <f>IF($A980="","",IF(ISNUMBER(SEARCH("Aktivitas Harian",INDEX(FORM!$K:$K,ROW()))),1,0))</f>
        <v/>
      </c>
      <c r="M980" s="8" t="str">
        <f>IF($A980="","",IF(ISNUMBER(SEARCH("Aktivitas Mingguan",INDEX(FORM!$K:$K,ROW()))),1,0))</f>
        <v/>
      </c>
      <c r="N980" s="8" t="str">
        <f>IF($A980="","",IF(ISNUMBER(SEARCH("Aktivitas Bulanan",INDEX(FORM!$K:$K,ROW()))),1,0))</f>
        <v/>
      </c>
      <c r="O980" s="8" t="str">
        <f>IF($A980="","",IF(ISNUMBER(SEARCH("Overview Cabang",INDEX(FORM!$K:$K,ROW()))),1,0))</f>
        <v/>
      </c>
      <c r="P980" s="8" t="str">
        <f>IF($A980="","",IFERROR(VLOOKUP(I980,DATA!$AH$9:$AI$13,2,0),""))</f>
        <v/>
      </c>
      <c r="Q980" s="8" t="str">
        <f>IF($A980="","",IFERROR(VLOOKUP(J980,DATA!$AH$9:$AI$13,2,0),""))</f>
        <v/>
      </c>
      <c r="R980" s="8" t="str">
        <f>IF($A980="","",IFERROR(VLOOKUP(K980,DATA!$AH$9:$AI$13,2,0),""))</f>
        <v/>
      </c>
      <c r="S980" s="42" t="str">
        <f t="shared" si="330"/>
        <v/>
      </c>
      <c r="T980" s="8" t="str">
        <f>IF($A980="","",IF(COUNTIF($D$2:D980,D980)=1,1,0))</f>
        <v/>
      </c>
      <c r="U980" s="8" t="str">
        <f>IF($A980="","",IF(F980="-","Cabang tdk ada",IF(IFERROR(VLOOKUP(G980,#REF!,1,0),"")="","",IF(INDEX(DATA!$AH$2:$AH$5,MATCH(G980,DATA!$AI$2:$AI$5,0))&lt;&gt;F980,"Wilayah beda","OK"))))</f>
        <v/>
      </c>
      <c r="V980" s="8" t="str">
        <f>IF($A980="","",TRIM(INDEX(FORM!$I:$I,ROW())&amp;""))</f>
        <v/>
      </c>
      <c r="W980" s="8" t="str">
        <f>IF($A980="","",TRIM(INDEX(FORM!$L:$L,ROW())&amp;""))</f>
        <v/>
      </c>
      <c r="X980" s="8" t="str">
        <f>IF($A980="","",TRIM(INDEX(FORM!$M:$M,ROW())&amp;""))</f>
        <v/>
      </c>
      <c r="Y980" s="8" t="str">
        <f>IF($A980="","",IFERROR(MATCH(F980,DATA!$AH$2:$AH$5,0),9)*10000+A980)</f>
        <v/>
      </c>
      <c r="Z980" s="8" t="str">
        <f t="shared" si="331"/>
        <v/>
      </c>
      <c r="AA980" s="8" t="str">
        <f t="shared" si="332"/>
        <v/>
      </c>
      <c r="AB980" s="8" t="str">
        <f t="shared" si="333"/>
        <v/>
      </c>
      <c r="AC980" s="8"/>
      <c r="AD980" s="8"/>
      <c r="AE980" s="8"/>
      <c r="AK980" s="5" t="str">
        <f t="shared" si="334"/>
        <v/>
      </c>
      <c r="AL980" s="5" t="str">
        <f t="shared" si="335"/>
        <v/>
      </c>
      <c r="AM980" s="5" t="str">
        <f t="shared" si="336"/>
        <v/>
      </c>
      <c r="AN980" s="5" t="str">
        <f t="shared" si="337"/>
        <v/>
      </c>
      <c r="AO980" s="5" t="str">
        <f t="shared" si="338"/>
        <v/>
      </c>
      <c r="AP980" s="5" t="str">
        <f t="shared" si="339"/>
        <v/>
      </c>
      <c r="AQ980" s="5" t="str">
        <f t="shared" si="340"/>
        <v/>
      </c>
      <c r="AR980" s="5" t="str">
        <f t="shared" si="341"/>
        <v/>
      </c>
      <c r="AS980" s="5" t="str">
        <f t="shared" si="342"/>
        <v/>
      </c>
      <c r="AT980" s="5" t="str">
        <f t="shared" si="343"/>
        <v/>
      </c>
      <c r="AU980" s="5" t="str">
        <f t="shared" si="344"/>
        <v/>
      </c>
      <c r="AV980" s="5" t="str">
        <f t="shared" si="345"/>
        <v/>
      </c>
      <c r="AW980" s="5" t="str">
        <f t="shared" si="346"/>
        <v/>
      </c>
      <c r="AX980" s="5" t="str">
        <f t="shared" si="347"/>
        <v/>
      </c>
      <c r="AY980" s="5" t="str">
        <f t="shared" si="348"/>
        <v/>
      </c>
      <c r="AZ980" s="5" t="str">
        <f t="shared" si="349"/>
        <v/>
      </c>
      <c r="BA980" s="5" t="str">
        <f t="shared" si="350"/>
        <v/>
      </c>
      <c r="BB980" s="5" t="str">
        <f t="shared" si="351"/>
        <v/>
      </c>
    </row>
    <row r="981" spans="1:54" s="5" customFormat="1" hidden="1">
      <c r="A981" s="8" t="str">
        <f>IF(INDEX(FORM!$A:$A,ROW())="","",ROW()-1)</f>
        <v/>
      </c>
      <c r="B981" s="41" t="str">
        <f>IF($A981="","",INDEX(FORM!$A:$A,ROW()))</f>
        <v/>
      </c>
      <c r="C981" s="8" t="str">
        <f>IF($A981="","",TRIM(INDEX(FORM!$B:$B,ROW())))</f>
        <v/>
      </c>
      <c r="D981" s="8" t="str">
        <f>IF($A981="","",TRIM(INDEX(FORM!$C:$C,ROW())&amp;""))</f>
        <v/>
      </c>
      <c r="E981" s="8" t="str">
        <f>IF($A981="","",UPPER(TRIM(INDEX(FORM!$D:$D,ROW()))))</f>
        <v/>
      </c>
      <c r="F981" s="8" t="str">
        <f>IF($A981="","",IFERROR(INDEX(PROGRES!$A$2:$A$92,MATCH(E981,PROGRES!$B$2:$B$92,0)),"-"))</f>
        <v/>
      </c>
      <c r="G981" s="8" t="str">
        <f>IF($A981="","",UPPER(TRIM(INDEX(FORM!$F:$F,ROW()))))</f>
        <v/>
      </c>
      <c r="H981" s="8" t="str">
        <f>IF($A981="","",UPPER(TRIM(INDEX(FORM!$E:$E,ROW()))))</f>
        <v/>
      </c>
      <c r="I981" s="8" t="str">
        <f>IF($A981="","",UPPER(TRIM(INDEX(FORM!$G:$G,ROW()))))</f>
        <v/>
      </c>
      <c r="J981" s="8" t="str">
        <f>IF($A981="","",IF(ISNUMBER(SEARCH("Ya,",INDEX(FORM!$H:$H,ROW()))),"YA",IF(ISNUMBER(SEARCH("Cukup,",INDEX(FORM!$H:$H,ROW()))),"CUKUP",IF(ISNUMBER(SEARCH("Kurang,",INDEX(FORM!$H:$H,ROW()))),"KURANG",""))))</f>
        <v/>
      </c>
      <c r="K981" s="8" t="str">
        <f>IF($A981="","",UPPER(TRIM(INDEX(FORM!$J:$J,ROW()))))</f>
        <v/>
      </c>
      <c r="L981" s="8" t="str">
        <f>IF($A981="","",IF(ISNUMBER(SEARCH("Aktivitas Harian",INDEX(FORM!$K:$K,ROW()))),1,0))</f>
        <v/>
      </c>
      <c r="M981" s="8" t="str">
        <f>IF($A981="","",IF(ISNUMBER(SEARCH("Aktivitas Mingguan",INDEX(FORM!$K:$K,ROW()))),1,0))</f>
        <v/>
      </c>
      <c r="N981" s="8" t="str">
        <f>IF($A981="","",IF(ISNUMBER(SEARCH("Aktivitas Bulanan",INDEX(FORM!$K:$K,ROW()))),1,0))</f>
        <v/>
      </c>
      <c r="O981" s="8" t="str">
        <f>IF($A981="","",IF(ISNUMBER(SEARCH("Overview Cabang",INDEX(FORM!$K:$K,ROW()))),1,0))</f>
        <v/>
      </c>
      <c r="P981" s="8" t="str">
        <f>IF($A981="","",IFERROR(VLOOKUP(I981,DATA!$AH$9:$AI$13,2,0),""))</f>
        <v/>
      </c>
      <c r="Q981" s="8" t="str">
        <f>IF($A981="","",IFERROR(VLOOKUP(J981,DATA!$AH$9:$AI$13,2,0),""))</f>
        <v/>
      </c>
      <c r="R981" s="8" t="str">
        <f>IF($A981="","",IFERROR(VLOOKUP(K981,DATA!$AH$9:$AI$13,2,0),""))</f>
        <v/>
      </c>
      <c r="S981" s="42" t="str">
        <f t="shared" si="330"/>
        <v/>
      </c>
      <c r="T981" s="8" t="str">
        <f>IF($A981="","",IF(COUNTIF($D$2:D981,D981)=1,1,0))</f>
        <v/>
      </c>
      <c r="U981" s="8" t="str">
        <f>IF($A981="","",IF(F981="-","Cabang tdk ada",IF(IFERROR(VLOOKUP(G981,#REF!,1,0),"")="","",IF(INDEX(DATA!$AH$2:$AH$5,MATCH(G981,DATA!$AI$2:$AI$5,0))&lt;&gt;F981,"Wilayah beda","OK"))))</f>
        <v/>
      </c>
      <c r="V981" s="8" t="str">
        <f>IF($A981="","",TRIM(INDEX(FORM!$I:$I,ROW())&amp;""))</f>
        <v/>
      </c>
      <c r="W981" s="8" t="str">
        <f>IF($A981="","",TRIM(INDEX(FORM!$L:$L,ROW())&amp;""))</f>
        <v/>
      </c>
      <c r="X981" s="8" t="str">
        <f>IF($A981="","",TRIM(INDEX(FORM!$M:$M,ROW())&amp;""))</f>
        <v/>
      </c>
      <c r="Y981" s="8" t="str">
        <f>IF($A981="","",IFERROR(MATCH(F981,DATA!$AH$2:$AH$5,0),9)*10000+A981)</f>
        <v/>
      </c>
      <c r="Z981" s="8" t="str">
        <f t="shared" si="331"/>
        <v/>
      </c>
      <c r="AA981" s="8" t="str">
        <f t="shared" si="332"/>
        <v/>
      </c>
      <c r="AB981" s="8" t="str">
        <f t="shared" si="333"/>
        <v/>
      </c>
      <c r="AC981" s="8"/>
      <c r="AD981" s="8"/>
      <c r="AE981" s="8"/>
      <c r="AK981" s="5" t="str">
        <f t="shared" si="334"/>
        <v/>
      </c>
      <c r="AL981" s="5" t="str">
        <f t="shared" si="335"/>
        <v/>
      </c>
      <c r="AM981" s="5" t="str">
        <f t="shared" si="336"/>
        <v/>
      </c>
      <c r="AN981" s="5" t="str">
        <f t="shared" si="337"/>
        <v/>
      </c>
      <c r="AO981" s="5" t="str">
        <f t="shared" si="338"/>
        <v/>
      </c>
      <c r="AP981" s="5" t="str">
        <f t="shared" si="339"/>
        <v/>
      </c>
      <c r="AQ981" s="5" t="str">
        <f t="shared" si="340"/>
        <v/>
      </c>
      <c r="AR981" s="5" t="str">
        <f t="shared" si="341"/>
        <v/>
      </c>
      <c r="AS981" s="5" t="str">
        <f t="shared" si="342"/>
        <v/>
      </c>
      <c r="AT981" s="5" t="str">
        <f t="shared" si="343"/>
        <v/>
      </c>
      <c r="AU981" s="5" t="str">
        <f t="shared" si="344"/>
        <v/>
      </c>
      <c r="AV981" s="5" t="str">
        <f t="shared" si="345"/>
        <v/>
      </c>
      <c r="AW981" s="5" t="str">
        <f t="shared" si="346"/>
        <v/>
      </c>
      <c r="AX981" s="5" t="str">
        <f t="shared" si="347"/>
        <v/>
      </c>
      <c r="AY981" s="5" t="str">
        <f t="shared" si="348"/>
        <v/>
      </c>
      <c r="AZ981" s="5" t="str">
        <f t="shared" si="349"/>
        <v/>
      </c>
      <c r="BA981" s="5" t="str">
        <f t="shared" si="350"/>
        <v/>
      </c>
      <c r="BB981" s="5" t="str">
        <f t="shared" si="351"/>
        <v/>
      </c>
    </row>
    <row r="982" spans="1:54" s="5" customFormat="1" hidden="1">
      <c r="A982" s="8" t="str">
        <f>IF(INDEX(FORM!$A:$A,ROW())="","",ROW()-1)</f>
        <v/>
      </c>
      <c r="B982" s="41" t="str">
        <f>IF($A982="","",INDEX(FORM!$A:$A,ROW()))</f>
        <v/>
      </c>
      <c r="C982" s="8" t="str">
        <f>IF($A982="","",TRIM(INDEX(FORM!$B:$B,ROW())))</f>
        <v/>
      </c>
      <c r="D982" s="8" t="str">
        <f>IF($A982="","",TRIM(INDEX(FORM!$C:$C,ROW())&amp;""))</f>
        <v/>
      </c>
      <c r="E982" s="8" t="str">
        <f>IF($A982="","",UPPER(TRIM(INDEX(FORM!$D:$D,ROW()))))</f>
        <v/>
      </c>
      <c r="F982" s="8" t="str">
        <f>IF($A982="","",IFERROR(INDEX(PROGRES!$A$2:$A$92,MATCH(E982,PROGRES!$B$2:$B$92,0)),"-"))</f>
        <v/>
      </c>
      <c r="G982" s="8" t="str">
        <f>IF($A982="","",UPPER(TRIM(INDEX(FORM!$F:$F,ROW()))))</f>
        <v/>
      </c>
      <c r="H982" s="8" t="str">
        <f>IF($A982="","",UPPER(TRIM(INDEX(FORM!$E:$E,ROW()))))</f>
        <v/>
      </c>
      <c r="I982" s="8" t="str">
        <f>IF($A982="","",UPPER(TRIM(INDEX(FORM!$G:$G,ROW()))))</f>
        <v/>
      </c>
      <c r="J982" s="8" t="str">
        <f>IF($A982="","",IF(ISNUMBER(SEARCH("Ya,",INDEX(FORM!$H:$H,ROW()))),"YA",IF(ISNUMBER(SEARCH("Cukup,",INDEX(FORM!$H:$H,ROW()))),"CUKUP",IF(ISNUMBER(SEARCH("Kurang,",INDEX(FORM!$H:$H,ROW()))),"KURANG",""))))</f>
        <v/>
      </c>
      <c r="K982" s="8" t="str">
        <f>IF($A982="","",UPPER(TRIM(INDEX(FORM!$J:$J,ROW()))))</f>
        <v/>
      </c>
      <c r="L982" s="8" t="str">
        <f>IF($A982="","",IF(ISNUMBER(SEARCH("Aktivitas Harian",INDEX(FORM!$K:$K,ROW()))),1,0))</f>
        <v/>
      </c>
      <c r="M982" s="8" t="str">
        <f>IF($A982="","",IF(ISNUMBER(SEARCH("Aktivitas Mingguan",INDEX(FORM!$K:$K,ROW()))),1,0))</f>
        <v/>
      </c>
      <c r="N982" s="8" t="str">
        <f>IF($A982="","",IF(ISNUMBER(SEARCH("Aktivitas Bulanan",INDEX(FORM!$K:$K,ROW()))),1,0))</f>
        <v/>
      </c>
      <c r="O982" s="8" t="str">
        <f>IF($A982="","",IF(ISNUMBER(SEARCH("Overview Cabang",INDEX(FORM!$K:$K,ROW()))),1,0))</f>
        <v/>
      </c>
      <c r="P982" s="8" t="str">
        <f>IF($A982="","",IFERROR(VLOOKUP(I982,DATA!$AH$9:$AI$13,2,0),""))</f>
        <v/>
      </c>
      <c r="Q982" s="8" t="str">
        <f>IF($A982="","",IFERROR(VLOOKUP(J982,DATA!$AH$9:$AI$13,2,0),""))</f>
        <v/>
      </c>
      <c r="R982" s="8" t="str">
        <f>IF($A982="","",IFERROR(VLOOKUP(K982,DATA!$AH$9:$AI$13,2,0),""))</f>
        <v/>
      </c>
      <c r="S982" s="42" t="str">
        <f t="shared" si="330"/>
        <v/>
      </c>
      <c r="T982" s="8" t="str">
        <f>IF($A982="","",IF(COUNTIF($D$2:D982,D982)=1,1,0))</f>
        <v/>
      </c>
      <c r="U982" s="8" t="str">
        <f>IF($A982="","",IF(F982="-","Cabang tdk ada",IF(IFERROR(VLOOKUP(G982,#REF!,1,0),"")="","",IF(INDEX(DATA!$AH$2:$AH$5,MATCH(G982,DATA!$AI$2:$AI$5,0))&lt;&gt;F982,"Wilayah beda","OK"))))</f>
        <v/>
      </c>
      <c r="V982" s="8" t="str">
        <f>IF($A982="","",TRIM(INDEX(FORM!$I:$I,ROW())&amp;""))</f>
        <v/>
      </c>
      <c r="W982" s="8" t="str">
        <f>IF($A982="","",TRIM(INDEX(FORM!$L:$L,ROW())&amp;""))</f>
        <v/>
      </c>
      <c r="X982" s="8" t="str">
        <f>IF($A982="","",TRIM(INDEX(FORM!$M:$M,ROW())&amp;""))</f>
        <v/>
      </c>
      <c r="Y982" s="8" t="str">
        <f>IF($A982="","",IFERROR(MATCH(F982,DATA!$AH$2:$AH$5,0),9)*10000+A982)</f>
        <v/>
      </c>
      <c r="Z982" s="8" t="str">
        <f t="shared" si="331"/>
        <v/>
      </c>
      <c r="AA982" s="8" t="str">
        <f t="shared" si="332"/>
        <v/>
      </c>
      <c r="AB982" s="8" t="str">
        <f t="shared" si="333"/>
        <v/>
      </c>
      <c r="AC982" s="8"/>
      <c r="AD982" s="8"/>
      <c r="AE982" s="8"/>
      <c r="AK982" s="5" t="str">
        <f t="shared" si="334"/>
        <v/>
      </c>
      <c r="AL982" s="5" t="str">
        <f t="shared" si="335"/>
        <v/>
      </c>
      <c r="AM982" s="5" t="str">
        <f t="shared" si="336"/>
        <v/>
      </c>
      <c r="AN982" s="5" t="str">
        <f t="shared" si="337"/>
        <v/>
      </c>
      <c r="AO982" s="5" t="str">
        <f t="shared" si="338"/>
        <v/>
      </c>
      <c r="AP982" s="5" t="str">
        <f t="shared" si="339"/>
        <v/>
      </c>
      <c r="AQ982" s="5" t="str">
        <f t="shared" si="340"/>
        <v/>
      </c>
      <c r="AR982" s="5" t="str">
        <f t="shared" si="341"/>
        <v/>
      </c>
      <c r="AS982" s="5" t="str">
        <f t="shared" si="342"/>
        <v/>
      </c>
      <c r="AT982" s="5" t="str">
        <f t="shared" si="343"/>
        <v/>
      </c>
      <c r="AU982" s="5" t="str">
        <f t="shared" si="344"/>
        <v/>
      </c>
      <c r="AV982" s="5" t="str">
        <f t="shared" si="345"/>
        <v/>
      </c>
      <c r="AW982" s="5" t="str">
        <f t="shared" si="346"/>
        <v/>
      </c>
      <c r="AX982" s="5" t="str">
        <f t="shared" si="347"/>
        <v/>
      </c>
      <c r="AY982" s="5" t="str">
        <f t="shared" si="348"/>
        <v/>
      </c>
      <c r="AZ982" s="5" t="str">
        <f t="shared" si="349"/>
        <v/>
      </c>
      <c r="BA982" s="5" t="str">
        <f t="shared" si="350"/>
        <v/>
      </c>
      <c r="BB982" s="5" t="str">
        <f t="shared" si="351"/>
        <v/>
      </c>
    </row>
    <row r="983" spans="1:54" s="5" customFormat="1" hidden="1">
      <c r="A983" s="8" t="str">
        <f>IF(INDEX(FORM!$A:$A,ROW())="","",ROW()-1)</f>
        <v/>
      </c>
      <c r="B983" s="41" t="str">
        <f>IF($A983="","",INDEX(FORM!$A:$A,ROW()))</f>
        <v/>
      </c>
      <c r="C983" s="8" t="str">
        <f>IF($A983="","",TRIM(INDEX(FORM!$B:$B,ROW())))</f>
        <v/>
      </c>
      <c r="D983" s="8" t="str">
        <f>IF($A983="","",TRIM(INDEX(FORM!$C:$C,ROW())&amp;""))</f>
        <v/>
      </c>
      <c r="E983" s="8" t="str">
        <f>IF($A983="","",UPPER(TRIM(INDEX(FORM!$D:$D,ROW()))))</f>
        <v/>
      </c>
      <c r="F983" s="8" t="str">
        <f>IF($A983="","",IFERROR(INDEX(PROGRES!$A$2:$A$92,MATCH(E983,PROGRES!$B$2:$B$92,0)),"-"))</f>
        <v/>
      </c>
      <c r="G983" s="8" t="str">
        <f>IF($A983="","",UPPER(TRIM(INDEX(FORM!$F:$F,ROW()))))</f>
        <v/>
      </c>
      <c r="H983" s="8" t="str">
        <f>IF($A983="","",UPPER(TRIM(INDEX(FORM!$E:$E,ROW()))))</f>
        <v/>
      </c>
      <c r="I983" s="8" t="str">
        <f>IF($A983="","",UPPER(TRIM(INDEX(FORM!$G:$G,ROW()))))</f>
        <v/>
      </c>
      <c r="J983" s="8" t="str">
        <f>IF($A983="","",IF(ISNUMBER(SEARCH("Ya,",INDEX(FORM!$H:$H,ROW()))),"YA",IF(ISNUMBER(SEARCH("Cukup,",INDEX(FORM!$H:$H,ROW()))),"CUKUP",IF(ISNUMBER(SEARCH("Kurang,",INDEX(FORM!$H:$H,ROW()))),"KURANG",""))))</f>
        <v/>
      </c>
      <c r="K983" s="8" t="str">
        <f>IF($A983="","",UPPER(TRIM(INDEX(FORM!$J:$J,ROW()))))</f>
        <v/>
      </c>
      <c r="L983" s="8" t="str">
        <f>IF($A983="","",IF(ISNUMBER(SEARCH("Aktivitas Harian",INDEX(FORM!$K:$K,ROW()))),1,0))</f>
        <v/>
      </c>
      <c r="M983" s="8" t="str">
        <f>IF($A983="","",IF(ISNUMBER(SEARCH("Aktivitas Mingguan",INDEX(FORM!$K:$K,ROW()))),1,0))</f>
        <v/>
      </c>
      <c r="N983" s="8" t="str">
        <f>IF($A983="","",IF(ISNUMBER(SEARCH("Aktivitas Bulanan",INDEX(FORM!$K:$K,ROW()))),1,0))</f>
        <v/>
      </c>
      <c r="O983" s="8" t="str">
        <f>IF($A983="","",IF(ISNUMBER(SEARCH("Overview Cabang",INDEX(FORM!$K:$K,ROW()))),1,0))</f>
        <v/>
      </c>
      <c r="P983" s="8" t="str">
        <f>IF($A983="","",IFERROR(VLOOKUP(I983,DATA!$AH$9:$AI$13,2,0),""))</f>
        <v/>
      </c>
      <c r="Q983" s="8" t="str">
        <f>IF($A983="","",IFERROR(VLOOKUP(J983,DATA!$AH$9:$AI$13,2,0),""))</f>
        <v/>
      </c>
      <c r="R983" s="8" t="str">
        <f>IF($A983="","",IFERROR(VLOOKUP(K983,DATA!$AH$9:$AI$13,2,0),""))</f>
        <v/>
      </c>
      <c r="S983" s="42" t="str">
        <f t="shared" si="330"/>
        <v/>
      </c>
      <c r="T983" s="8" t="str">
        <f>IF($A983="","",IF(COUNTIF($D$2:D983,D983)=1,1,0))</f>
        <v/>
      </c>
      <c r="U983" s="8" t="str">
        <f>IF($A983="","",IF(F983="-","Cabang tdk ada",IF(IFERROR(VLOOKUP(G983,#REF!,1,0),"")="","",IF(INDEX(DATA!$AH$2:$AH$5,MATCH(G983,DATA!$AI$2:$AI$5,0))&lt;&gt;F983,"Wilayah beda","OK"))))</f>
        <v/>
      </c>
      <c r="V983" s="8" t="str">
        <f>IF($A983="","",TRIM(INDEX(FORM!$I:$I,ROW())&amp;""))</f>
        <v/>
      </c>
      <c r="W983" s="8" t="str">
        <f>IF($A983="","",TRIM(INDEX(FORM!$L:$L,ROW())&amp;""))</f>
        <v/>
      </c>
      <c r="X983" s="8" t="str">
        <f>IF($A983="","",TRIM(INDEX(FORM!$M:$M,ROW())&amp;""))</f>
        <v/>
      </c>
      <c r="Y983" s="8" t="str">
        <f>IF($A983="","",IFERROR(MATCH(F983,DATA!$AH$2:$AH$5,0),9)*10000+A983)</f>
        <v/>
      </c>
      <c r="Z983" s="8" t="str">
        <f t="shared" si="331"/>
        <v/>
      </c>
      <c r="AA983" s="8" t="str">
        <f t="shared" si="332"/>
        <v/>
      </c>
      <c r="AB983" s="8" t="str">
        <f t="shared" si="333"/>
        <v/>
      </c>
      <c r="AC983" s="8"/>
      <c r="AD983" s="8"/>
      <c r="AE983" s="8"/>
      <c r="AK983" s="5" t="str">
        <f t="shared" si="334"/>
        <v/>
      </c>
      <c r="AL983" s="5" t="str">
        <f t="shared" si="335"/>
        <v/>
      </c>
      <c r="AM983" s="5" t="str">
        <f t="shared" si="336"/>
        <v/>
      </c>
      <c r="AN983" s="5" t="str">
        <f t="shared" si="337"/>
        <v/>
      </c>
      <c r="AO983" s="5" t="str">
        <f t="shared" si="338"/>
        <v/>
      </c>
      <c r="AP983" s="5" t="str">
        <f t="shared" si="339"/>
        <v/>
      </c>
      <c r="AQ983" s="5" t="str">
        <f t="shared" si="340"/>
        <v/>
      </c>
      <c r="AR983" s="5" t="str">
        <f t="shared" si="341"/>
        <v/>
      </c>
      <c r="AS983" s="5" t="str">
        <f t="shared" si="342"/>
        <v/>
      </c>
      <c r="AT983" s="5" t="str">
        <f t="shared" si="343"/>
        <v/>
      </c>
      <c r="AU983" s="5" t="str">
        <f t="shared" si="344"/>
        <v/>
      </c>
      <c r="AV983" s="5" t="str">
        <f t="shared" si="345"/>
        <v/>
      </c>
      <c r="AW983" s="5" t="str">
        <f t="shared" si="346"/>
        <v/>
      </c>
      <c r="AX983" s="5" t="str">
        <f t="shared" si="347"/>
        <v/>
      </c>
      <c r="AY983" s="5" t="str">
        <f t="shared" si="348"/>
        <v/>
      </c>
      <c r="AZ983" s="5" t="str">
        <f t="shared" si="349"/>
        <v/>
      </c>
      <c r="BA983" s="5" t="str">
        <f t="shared" si="350"/>
        <v/>
      </c>
      <c r="BB983" s="5" t="str">
        <f t="shared" si="351"/>
        <v/>
      </c>
    </row>
    <row r="984" spans="1:54" s="5" customFormat="1" hidden="1">
      <c r="A984" s="8" t="str">
        <f>IF(INDEX(FORM!$A:$A,ROW())="","",ROW()-1)</f>
        <v/>
      </c>
      <c r="B984" s="41" t="str">
        <f>IF($A984="","",INDEX(FORM!$A:$A,ROW()))</f>
        <v/>
      </c>
      <c r="C984" s="8" t="str">
        <f>IF($A984="","",TRIM(INDEX(FORM!$B:$B,ROW())))</f>
        <v/>
      </c>
      <c r="D984" s="8" t="str">
        <f>IF($A984="","",TRIM(INDEX(FORM!$C:$C,ROW())&amp;""))</f>
        <v/>
      </c>
      <c r="E984" s="8" t="str">
        <f>IF($A984="","",UPPER(TRIM(INDEX(FORM!$D:$D,ROW()))))</f>
        <v/>
      </c>
      <c r="F984" s="8" t="str">
        <f>IF($A984="","",IFERROR(INDEX(PROGRES!$A$2:$A$92,MATCH(E984,PROGRES!$B$2:$B$92,0)),"-"))</f>
        <v/>
      </c>
      <c r="G984" s="8" t="str">
        <f>IF($A984="","",UPPER(TRIM(INDEX(FORM!$F:$F,ROW()))))</f>
        <v/>
      </c>
      <c r="H984" s="8" t="str">
        <f>IF($A984="","",UPPER(TRIM(INDEX(FORM!$E:$E,ROW()))))</f>
        <v/>
      </c>
      <c r="I984" s="8" t="str">
        <f>IF($A984="","",UPPER(TRIM(INDEX(FORM!$G:$G,ROW()))))</f>
        <v/>
      </c>
      <c r="J984" s="8" t="str">
        <f>IF($A984="","",IF(ISNUMBER(SEARCH("Ya,",INDEX(FORM!$H:$H,ROW()))),"YA",IF(ISNUMBER(SEARCH("Cukup,",INDEX(FORM!$H:$H,ROW()))),"CUKUP",IF(ISNUMBER(SEARCH("Kurang,",INDEX(FORM!$H:$H,ROW()))),"KURANG",""))))</f>
        <v/>
      </c>
      <c r="K984" s="8" t="str">
        <f>IF($A984="","",UPPER(TRIM(INDEX(FORM!$J:$J,ROW()))))</f>
        <v/>
      </c>
      <c r="L984" s="8" t="str">
        <f>IF($A984="","",IF(ISNUMBER(SEARCH("Aktivitas Harian",INDEX(FORM!$K:$K,ROW()))),1,0))</f>
        <v/>
      </c>
      <c r="M984" s="8" t="str">
        <f>IF($A984="","",IF(ISNUMBER(SEARCH("Aktivitas Mingguan",INDEX(FORM!$K:$K,ROW()))),1,0))</f>
        <v/>
      </c>
      <c r="N984" s="8" t="str">
        <f>IF($A984="","",IF(ISNUMBER(SEARCH("Aktivitas Bulanan",INDEX(FORM!$K:$K,ROW()))),1,0))</f>
        <v/>
      </c>
      <c r="O984" s="8" t="str">
        <f>IF($A984="","",IF(ISNUMBER(SEARCH("Overview Cabang",INDEX(FORM!$K:$K,ROW()))),1,0))</f>
        <v/>
      </c>
      <c r="P984" s="8" t="str">
        <f>IF($A984="","",IFERROR(VLOOKUP(I984,DATA!$AH$9:$AI$13,2,0),""))</f>
        <v/>
      </c>
      <c r="Q984" s="8" t="str">
        <f>IF($A984="","",IFERROR(VLOOKUP(J984,DATA!$AH$9:$AI$13,2,0),""))</f>
        <v/>
      </c>
      <c r="R984" s="8" t="str">
        <f>IF($A984="","",IFERROR(VLOOKUP(K984,DATA!$AH$9:$AI$13,2,0),""))</f>
        <v/>
      </c>
      <c r="S984" s="42" t="str">
        <f t="shared" si="330"/>
        <v/>
      </c>
      <c r="T984" s="8" t="str">
        <f>IF($A984="","",IF(COUNTIF($D$2:D984,D984)=1,1,0))</f>
        <v/>
      </c>
      <c r="U984" s="8" t="str">
        <f>IF($A984="","",IF(F984="-","Cabang tdk ada",IF(IFERROR(VLOOKUP(G984,#REF!,1,0),"")="","",IF(INDEX(DATA!$AH$2:$AH$5,MATCH(G984,DATA!$AI$2:$AI$5,0))&lt;&gt;F984,"Wilayah beda","OK"))))</f>
        <v/>
      </c>
      <c r="V984" s="8" t="str">
        <f>IF($A984="","",TRIM(INDEX(FORM!$I:$I,ROW())&amp;""))</f>
        <v/>
      </c>
      <c r="W984" s="8" t="str">
        <f>IF($A984="","",TRIM(INDEX(FORM!$L:$L,ROW())&amp;""))</f>
        <v/>
      </c>
      <c r="X984" s="8" t="str">
        <f>IF($A984="","",TRIM(INDEX(FORM!$M:$M,ROW())&amp;""))</f>
        <v/>
      </c>
      <c r="Y984" s="8" t="str">
        <f>IF($A984="","",IFERROR(MATCH(F984,DATA!$AH$2:$AH$5,0),9)*10000+A984)</f>
        <v/>
      </c>
      <c r="Z984" s="8" t="str">
        <f t="shared" si="331"/>
        <v/>
      </c>
      <c r="AA984" s="8" t="str">
        <f t="shared" si="332"/>
        <v/>
      </c>
      <c r="AB984" s="8" t="str">
        <f t="shared" si="333"/>
        <v/>
      </c>
      <c r="AC984" s="8"/>
      <c r="AD984" s="8"/>
      <c r="AE984" s="8"/>
      <c r="AK984" s="5" t="str">
        <f t="shared" si="334"/>
        <v/>
      </c>
      <c r="AL984" s="5" t="str">
        <f t="shared" si="335"/>
        <v/>
      </c>
      <c r="AM984" s="5" t="str">
        <f t="shared" si="336"/>
        <v/>
      </c>
      <c r="AN984" s="5" t="str">
        <f t="shared" si="337"/>
        <v/>
      </c>
      <c r="AO984" s="5" t="str">
        <f t="shared" si="338"/>
        <v/>
      </c>
      <c r="AP984" s="5" t="str">
        <f t="shared" si="339"/>
        <v/>
      </c>
      <c r="AQ984" s="5" t="str">
        <f t="shared" si="340"/>
        <v/>
      </c>
      <c r="AR984" s="5" t="str">
        <f t="shared" si="341"/>
        <v/>
      </c>
      <c r="AS984" s="5" t="str">
        <f t="shared" si="342"/>
        <v/>
      </c>
      <c r="AT984" s="5" t="str">
        <f t="shared" si="343"/>
        <v/>
      </c>
      <c r="AU984" s="5" t="str">
        <f t="shared" si="344"/>
        <v/>
      </c>
      <c r="AV984" s="5" t="str">
        <f t="shared" si="345"/>
        <v/>
      </c>
      <c r="AW984" s="5" t="str">
        <f t="shared" si="346"/>
        <v/>
      </c>
      <c r="AX984" s="5" t="str">
        <f t="shared" si="347"/>
        <v/>
      </c>
      <c r="AY984" s="5" t="str">
        <f t="shared" si="348"/>
        <v/>
      </c>
      <c r="AZ984" s="5" t="str">
        <f t="shared" si="349"/>
        <v/>
      </c>
      <c r="BA984" s="5" t="str">
        <f t="shared" si="350"/>
        <v/>
      </c>
      <c r="BB984" s="5" t="str">
        <f t="shared" si="351"/>
        <v/>
      </c>
    </row>
    <row r="985" spans="1:54" s="5" customFormat="1" hidden="1">
      <c r="A985" s="8" t="str">
        <f>IF(INDEX(FORM!$A:$A,ROW())="","",ROW()-1)</f>
        <v/>
      </c>
      <c r="B985" s="41" t="str">
        <f>IF($A985="","",INDEX(FORM!$A:$A,ROW()))</f>
        <v/>
      </c>
      <c r="C985" s="8" t="str">
        <f>IF($A985="","",TRIM(INDEX(FORM!$B:$B,ROW())))</f>
        <v/>
      </c>
      <c r="D985" s="8" t="str">
        <f>IF($A985="","",TRIM(INDEX(FORM!$C:$C,ROW())&amp;""))</f>
        <v/>
      </c>
      <c r="E985" s="8" t="str">
        <f>IF($A985="","",UPPER(TRIM(INDEX(FORM!$D:$D,ROW()))))</f>
        <v/>
      </c>
      <c r="F985" s="8" t="str">
        <f>IF($A985="","",IFERROR(INDEX(PROGRES!$A$2:$A$92,MATCH(E985,PROGRES!$B$2:$B$92,0)),"-"))</f>
        <v/>
      </c>
      <c r="G985" s="8" t="str">
        <f>IF($A985="","",UPPER(TRIM(INDEX(FORM!$F:$F,ROW()))))</f>
        <v/>
      </c>
      <c r="H985" s="8" t="str">
        <f>IF($A985="","",UPPER(TRIM(INDEX(FORM!$E:$E,ROW()))))</f>
        <v/>
      </c>
      <c r="I985" s="8" t="str">
        <f>IF($A985="","",UPPER(TRIM(INDEX(FORM!$G:$G,ROW()))))</f>
        <v/>
      </c>
      <c r="J985" s="8" t="str">
        <f>IF($A985="","",IF(ISNUMBER(SEARCH("Ya,",INDEX(FORM!$H:$H,ROW()))),"YA",IF(ISNUMBER(SEARCH("Cukup,",INDEX(FORM!$H:$H,ROW()))),"CUKUP",IF(ISNUMBER(SEARCH("Kurang,",INDEX(FORM!$H:$H,ROW()))),"KURANG",""))))</f>
        <v/>
      </c>
      <c r="K985" s="8" t="str">
        <f>IF($A985="","",UPPER(TRIM(INDEX(FORM!$J:$J,ROW()))))</f>
        <v/>
      </c>
      <c r="L985" s="8" t="str">
        <f>IF($A985="","",IF(ISNUMBER(SEARCH("Aktivitas Harian",INDEX(FORM!$K:$K,ROW()))),1,0))</f>
        <v/>
      </c>
      <c r="M985" s="8" t="str">
        <f>IF($A985="","",IF(ISNUMBER(SEARCH("Aktivitas Mingguan",INDEX(FORM!$K:$K,ROW()))),1,0))</f>
        <v/>
      </c>
      <c r="N985" s="8" t="str">
        <f>IF($A985="","",IF(ISNUMBER(SEARCH("Aktivitas Bulanan",INDEX(FORM!$K:$K,ROW()))),1,0))</f>
        <v/>
      </c>
      <c r="O985" s="8" t="str">
        <f>IF($A985="","",IF(ISNUMBER(SEARCH("Overview Cabang",INDEX(FORM!$K:$K,ROW()))),1,0))</f>
        <v/>
      </c>
      <c r="P985" s="8" t="str">
        <f>IF($A985="","",IFERROR(VLOOKUP(I985,DATA!$AH$9:$AI$13,2,0),""))</f>
        <v/>
      </c>
      <c r="Q985" s="8" t="str">
        <f>IF($A985="","",IFERROR(VLOOKUP(J985,DATA!$AH$9:$AI$13,2,0),""))</f>
        <v/>
      </c>
      <c r="R985" s="8" t="str">
        <f>IF($A985="","",IFERROR(VLOOKUP(K985,DATA!$AH$9:$AI$13,2,0),""))</f>
        <v/>
      </c>
      <c r="S985" s="42" t="str">
        <f t="shared" si="330"/>
        <v/>
      </c>
      <c r="T985" s="8" t="str">
        <f>IF($A985="","",IF(COUNTIF($D$2:D985,D985)=1,1,0))</f>
        <v/>
      </c>
      <c r="U985" s="8" t="str">
        <f>IF($A985="","",IF(F985="-","Cabang tdk ada",IF(IFERROR(VLOOKUP(G985,#REF!,1,0),"")="","",IF(INDEX(DATA!$AH$2:$AH$5,MATCH(G985,DATA!$AI$2:$AI$5,0))&lt;&gt;F985,"Wilayah beda","OK"))))</f>
        <v/>
      </c>
      <c r="V985" s="8" t="str">
        <f>IF($A985="","",TRIM(INDEX(FORM!$I:$I,ROW())&amp;""))</f>
        <v/>
      </c>
      <c r="W985" s="8" t="str">
        <f>IF($A985="","",TRIM(INDEX(FORM!$L:$L,ROW())&amp;""))</f>
        <v/>
      </c>
      <c r="X985" s="8" t="str">
        <f>IF($A985="","",TRIM(INDEX(FORM!$M:$M,ROW())&amp;""))</f>
        <v/>
      </c>
      <c r="Y985" s="8" t="str">
        <f>IF($A985="","",IFERROR(MATCH(F985,DATA!$AH$2:$AH$5,0),9)*10000+A985)</f>
        <v/>
      </c>
      <c r="Z985" s="8" t="str">
        <f t="shared" si="331"/>
        <v/>
      </c>
      <c r="AA985" s="8" t="str">
        <f t="shared" si="332"/>
        <v/>
      </c>
      <c r="AB985" s="8" t="str">
        <f t="shared" si="333"/>
        <v/>
      </c>
      <c r="AC985" s="8"/>
      <c r="AD985" s="8"/>
      <c r="AE985" s="8"/>
      <c r="AK985" s="5" t="str">
        <f t="shared" si="334"/>
        <v/>
      </c>
      <c r="AL985" s="5" t="str">
        <f t="shared" si="335"/>
        <v/>
      </c>
      <c r="AM985" s="5" t="str">
        <f t="shared" si="336"/>
        <v/>
      </c>
      <c r="AN985" s="5" t="str">
        <f t="shared" si="337"/>
        <v/>
      </c>
      <c r="AO985" s="5" t="str">
        <f t="shared" si="338"/>
        <v/>
      </c>
      <c r="AP985" s="5" t="str">
        <f t="shared" si="339"/>
        <v/>
      </c>
      <c r="AQ985" s="5" t="str">
        <f t="shared" si="340"/>
        <v/>
      </c>
      <c r="AR985" s="5" t="str">
        <f t="shared" si="341"/>
        <v/>
      </c>
      <c r="AS985" s="5" t="str">
        <f t="shared" si="342"/>
        <v/>
      </c>
      <c r="AT985" s="5" t="str">
        <f t="shared" si="343"/>
        <v/>
      </c>
      <c r="AU985" s="5" t="str">
        <f t="shared" si="344"/>
        <v/>
      </c>
      <c r="AV985" s="5" t="str">
        <f t="shared" si="345"/>
        <v/>
      </c>
      <c r="AW985" s="5" t="str">
        <f t="shared" si="346"/>
        <v/>
      </c>
      <c r="AX985" s="5" t="str">
        <f t="shared" si="347"/>
        <v/>
      </c>
      <c r="AY985" s="5" t="str">
        <f t="shared" si="348"/>
        <v/>
      </c>
      <c r="AZ985" s="5" t="str">
        <f t="shared" si="349"/>
        <v/>
      </c>
      <c r="BA985" s="5" t="str">
        <f t="shared" si="350"/>
        <v/>
      </c>
      <c r="BB985" s="5" t="str">
        <f t="shared" si="351"/>
        <v/>
      </c>
    </row>
    <row r="986" spans="1:54" s="5" customFormat="1" hidden="1">
      <c r="A986" s="8" t="str">
        <f>IF(INDEX(FORM!$A:$A,ROW())="","",ROW()-1)</f>
        <v/>
      </c>
      <c r="B986" s="41" t="str">
        <f>IF($A986="","",INDEX(FORM!$A:$A,ROW()))</f>
        <v/>
      </c>
      <c r="C986" s="8" t="str">
        <f>IF($A986="","",TRIM(INDEX(FORM!$B:$B,ROW())))</f>
        <v/>
      </c>
      <c r="D986" s="8" t="str">
        <f>IF($A986="","",TRIM(INDEX(FORM!$C:$C,ROW())&amp;""))</f>
        <v/>
      </c>
      <c r="E986" s="8" t="str">
        <f>IF($A986="","",UPPER(TRIM(INDEX(FORM!$D:$D,ROW()))))</f>
        <v/>
      </c>
      <c r="F986" s="8" t="str">
        <f>IF($A986="","",IFERROR(INDEX(PROGRES!$A$2:$A$92,MATCH(E986,PROGRES!$B$2:$B$92,0)),"-"))</f>
        <v/>
      </c>
      <c r="G986" s="8" t="str">
        <f>IF($A986="","",UPPER(TRIM(INDEX(FORM!$F:$F,ROW()))))</f>
        <v/>
      </c>
      <c r="H986" s="8" t="str">
        <f>IF($A986="","",UPPER(TRIM(INDEX(FORM!$E:$E,ROW()))))</f>
        <v/>
      </c>
      <c r="I986" s="8" t="str">
        <f>IF($A986="","",UPPER(TRIM(INDEX(FORM!$G:$G,ROW()))))</f>
        <v/>
      </c>
      <c r="J986" s="8" t="str">
        <f>IF($A986="","",IF(ISNUMBER(SEARCH("Ya,",INDEX(FORM!$H:$H,ROW()))),"YA",IF(ISNUMBER(SEARCH("Cukup,",INDEX(FORM!$H:$H,ROW()))),"CUKUP",IF(ISNUMBER(SEARCH("Kurang,",INDEX(FORM!$H:$H,ROW()))),"KURANG",""))))</f>
        <v/>
      </c>
      <c r="K986" s="8" t="str">
        <f>IF($A986="","",UPPER(TRIM(INDEX(FORM!$J:$J,ROW()))))</f>
        <v/>
      </c>
      <c r="L986" s="8" t="str">
        <f>IF($A986="","",IF(ISNUMBER(SEARCH("Aktivitas Harian",INDEX(FORM!$K:$K,ROW()))),1,0))</f>
        <v/>
      </c>
      <c r="M986" s="8" t="str">
        <f>IF($A986="","",IF(ISNUMBER(SEARCH("Aktivitas Mingguan",INDEX(FORM!$K:$K,ROW()))),1,0))</f>
        <v/>
      </c>
      <c r="N986" s="8" t="str">
        <f>IF($A986="","",IF(ISNUMBER(SEARCH("Aktivitas Bulanan",INDEX(FORM!$K:$K,ROW()))),1,0))</f>
        <v/>
      </c>
      <c r="O986" s="8" t="str">
        <f>IF($A986="","",IF(ISNUMBER(SEARCH("Overview Cabang",INDEX(FORM!$K:$K,ROW()))),1,0))</f>
        <v/>
      </c>
      <c r="P986" s="8" t="str">
        <f>IF($A986="","",IFERROR(VLOOKUP(I986,DATA!$AH$9:$AI$13,2,0),""))</f>
        <v/>
      </c>
      <c r="Q986" s="8" t="str">
        <f>IF($A986="","",IFERROR(VLOOKUP(J986,DATA!$AH$9:$AI$13,2,0),""))</f>
        <v/>
      </c>
      <c r="R986" s="8" t="str">
        <f>IF($A986="","",IFERROR(VLOOKUP(K986,DATA!$AH$9:$AI$13,2,0),""))</f>
        <v/>
      </c>
      <c r="S986" s="42" t="str">
        <f t="shared" si="330"/>
        <v/>
      </c>
      <c r="T986" s="8" t="str">
        <f>IF($A986="","",IF(COUNTIF($D$2:D986,D986)=1,1,0))</f>
        <v/>
      </c>
      <c r="U986" s="8" t="str">
        <f>IF($A986="","",IF(F986="-","Cabang tdk ada",IF(IFERROR(VLOOKUP(G986,#REF!,1,0),"")="","",IF(INDEX(DATA!$AH$2:$AH$5,MATCH(G986,DATA!$AI$2:$AI$5,0))&lt;&gt;F986,"Wilayah beda","OK"))))</f>
        <v/>
      </c>
      <c r="V986" s="8" t="str">
        <f>IF($A986="","",TRIM(INDEX(FORM!$I:$I,ROW())&amp;""))</f>
        <v/>
      </c>
      <c r="W986" s="8" t="str">
        <f>IF($A986="","",TRIM(INDEX(FORM!$L:$L,ROW())&amp;""))</f>
        <v/>
      </c>
      <c r="X986" s="8" t="str">
        <f>IF($A986="","",TRIM(INDEX(FORM!$M:$M,ROW())&amp;""))</f>
        <v/>
      </c>
      <c r="Y986" s="8" t="str">
        <f>IF($A986="","",IFERROR(MATCH(F986,DATA!$AH$2:$AH$5,0),9)*10000+A986)</f>
        <v/>
      </c>
      <c r="Z986" s="8" t="str">
        <f t="shared" si="331"/>
        <v/>
      </c>
      <c r="AA986" s="8" t="str">
        <f t="shared" si="332"/>
        <v/>
      </c>
      <c r="AB986" s="8" t="str">
        <f t="shared" si="333"/>
        <v/>
      </c>
      <c r="AC986" s="8"/>
      <c r="AD986" s="8"/>
      <c r="AE986" s="8"/>
      <c r="AK986" s="5" t="str">
        <f t="shared" si="334"/>
        <v/>
      </c>
      <c r="AL986" s="5" t="str">
        <f t="shared" si="335"/>
        <v/>
      </c>
      <c r="AM986" s="5" t="str">
        <f t="shared" si="336"/>
        <v/>
      </c>
      <c r="AN986" s="5" t="str">
        <f t="shared" si="337"/>
        <v/>
      </c>
      <c r="AO986" s="5" t="str">
        <f t="shared" si="338"/>
        <v/>
      </c>
      <c r="AP986" s="5" t="str">
        <f t="shared" si="339"/>
        <v/>
      </c>
      <c r="AQ986" s="5" t="str">
        <f t="shared" si="340"/>
        <v/>
      </c>
      <c r="AR986" s="5" t="str">
        <f t="shared" si="341"/>
        <v/>
      </c>
      <c r="AS986" s="5" t="str">
        <f t="shared" si="342"/>
        <v/>
      </c>
      <c r="AT986" s="5" t="str">
        <f t="shared" si="343"/>
        <v/>
      </c>
      <c r="AU986" s="5" t="str">
        <f t="shared" si="344"/>
        <v/>
      </c>
      <c r="AV986" s="5" t="str">
        <f t="shared" si="345"/>
        <v/>
      </c>
      <c r="AW986" s="5" t="str">
        <f t="shared" si="346"/>
        <v/>
      </c>
      <c r="AX986" s="5" t="str">
        <f t="shared" si="347"/>
        <v/>
      </c>
      <c r="AY986" s="5" t="str">
        <f t="shared" si="348"/>
        <v/>
      </c>
      <c r="AZ986" s="5" t="str">
        <f t="shared" si="349"/>
        <v/>
      </c>
      <c r="BA986" s="5" t="str">
        <f t="shared" si="350"/>
        <v/>
      </c>
      <c r="BB986" s="5" t="str">
        <f t="shared" si="351"/>
        <v/>
      </c>
    </row>
    <row r="987" spans="1:54" s="5" customFormat="1" hidden="1">
      <c r="A987" s="8" t="str">
        <f>IF(INDEX(FORM!$A:$A,ROW())="","",ROW()-1)</f>
        <v/>
      </c>
      <c r="B987" s="41" t="str">
        <f>IF($A987="","",INDEX(FORM!$A:$A,ROW()))</f>
        <v/>
      </c>
      <c r="C987" s="8" t="str">
        <f>IF($A987="","",TRIM(INDEX(FORM!$B:$B,ROW())))</f>
        <v/>
      </c>
      <c r="D987" s="8" t="str">
        <f>IF($A987="","",TRIM(INDEX(FORM!$C:$C,ROW())&amp;""))</f>
        <v/>
      </c>
      <c r="E987" s="8" t="str">
        <f>IF($A987="","",UPPER(TRIM(INDEX(FORM!$D:$D,ROW()))))</f>
        <v/>
      </c>
      <c r="F987" s="8" t="str">
        <f>IF($A987="","",IFERROR(INDEX(PROGRES!$A$2:$A$92,MATCH(E987,PROGRES!$B$2:$B$92,0)),"-"))</f>
        <v/>
      </c>
      <c r="G987" s="8" t="str">
        <f>IF($A987="","",UPPER(TRIM(INDEX(FORM!$F:$F,ROW()))))</f>
        <v/>
      </c>
      <c r="H987" s="8" t="str">
        <f>IF($A987="","",UPPER(TRIM(INDEX(FORM!$E:$E,ROW()))))</f>
        <v/>
      </c>
      <c r="I987" s="8" t="str">
        <f>IF($A987="","",UPPER(TRIM(INDEX(FORM!$G:$G,ROW()))))</f>
        <v/>
      </c>
      <c r="J987" s="8" t="str">
        <f>IF($A987="","",IF(ISNUMBER(SEARCH("Ya,",INDEX(FORM!$H:$H,ROW()))),"YA",IF(ISNUMBER(SEARCH("Cukup,",INDEX(FORM!$H:$H,ROW()))),"CUKUP",IF(ISNUMBER(SEARCH("Kurang,",INDEX(FORM!$H:$H,ROW()))),"KURANG",""))))</f>
        <v/>
      </c>
      <c r="K987" s="8" t="str">
        <f>IF($A987="","",UPPER(TRIM(INDEX(FORM!$J:$J,ROW()))))</f>
        <v/>
      </c>
      <c r="L987" s="8" t="str">
        <f>IF($A987="","",IF(ISNUMBER(SEARCH("Aktivitas Harian",INDEX(FORM!$K:$K,ROW()))),1,0))</f>
        <v/>
      </c>
      <c r="M987" s="8" t="str">
        <f>IF($A987="","",IF(ISNUMBER(SEARCH("Aktivitas Mingguan",INDEX(FORM!$K:$K,ROW()))),1,0))</f>
        <v/>
      </c>
      <c r="N987" s="8" t="str">
        <f>IF($A987="","",IF(ISNUMBER(SEARCH("Aktivitas Bulanan",INDEX(FORM!$K:$K,ROW()))),1,0))</f>
        <v/>
      </c>
      <c r="O987" s="8" t="str">
        <f>IF($A987="","",IF(ISNUMBER(SEARCH("Overview Cabang",INDEX(FORM!$K:$K,ROW()))),1,0))</f>
        <v/>
      </c>
      <c r="P987" s="8" t="str">
        <f>IF($A987="","",IFERROR(VLOOKUP(I987,DATA!$AH$9:$AI$13,2,0),""))</f>
        <v/>
      </c>
      <c r="Q987" s="8" t="str">
        <f>IF($A987="","",IFERROR(VLOOKUP(J987,DATA!$AH$9:$AI$13,2,0),""))</f>
        <v/>
      </c>
      <c r="R987" s="8" t="str">
        <f>IF($A987="","",IFERROR(VLOOKUP(K987,DATA!$AH$9:$AI$13,2,0),""))</f>
        <v/>
      </c>
      <c r="S987" s="42" t="str">
        <f t="shared" si="330"/>
        <v/>
      </c>
      <c r="T987" s="8" t="str">
        <f>IF($A987="","",IF(COUNTIF($D$2:D987,D987)=1,1,0))</f>
        <v/>
      </c>
      <c r="U987" s="8" t="str">
        <f>IF($A987="","",IF(F987="-","Cabang tdk ada",IF(IFERROR(VLOOKUP(G987,#REF!,1,0),"")="","",IF(INDEX(DATA!$AH$2:$AH$5,MATCH(G987,DATA!$AI$2:$AI$5,0))&lt;&gt;F987,"Wilayah beda","OK"))))</f>
        <v/>
      </c>
      <c r="V987" s="8" t="str">
        <f>IF($A987="","",TRIM(INDEX(FORM!$I:$I,ROW())&amp;""))</f>
        <v/>
      </c>
      <c r="W987" s="8" t="str">
        <f>IF($A987="","",TRIM(INDEX(FORM!$L:$L,ROW())&amp;""))</f>
        <v/>
      </c>
      <c r="X987" s="8" t="str">
        <f>IF($A987="","",TRIM(INDEX(FORM!$M:$M,ROW())&amp;""))</f>
        <v/>
      </c>
      <c r="Y987" s="8" t="str">
        <f>IF($A987="","",IFERROR(MATCH(F987,DATA!$AH$2:$AH$5,0),9)*10000+A987)</f>
        <v/>
      </c>
      <c r="Z987" s="8" t="str">
        <f t="shared" si="331"/>
        <v/>
      </c>
      <c r="AA987" s="8" t="str">
        <f t="shared" si="332"/>
        <v/>
      </c>
      <c r="AB987" s="8" t="str">
        <f t="shared" si="333"/>
        <v/>
      </c>
      <c r="AC987" s="8"/>
      <c r="AD987" s="8"/>
      <c r="AE987" s="8"/>
      <c r="AK987" s="5" t="str">
        <f t="shared" si="334"/>
        <v/>
      </c>
      <c r="AL987" s="5" t="str">
        <f t="shared" si="335"/>
        <v/>
      </c>
      <c r="AM987" s="5" t="str">
        <f t="shared" si="336"/>
        <v/>
      </c>
      <c r="AN987" s="5" t="str">
        <f t="shared" si="337"/>
        <v/>
      </c>
      <c r="AO987" s="5" t="str">
        <f t="shared" si="338"/>
        <v/>
      </c>
      <c r="AP987" s="5" t="str">
        <f t="shared" si="339"/>
        <v/>
      </c>
      <c r="AQ987" s="5" t="str">
        <f t="shared" si="340"/>
        <v/>
      </c>
      <c r="AR987" s="5" t="str">
        <f t="shared" si="341"/>
        <v/>
      </c>
      <c r="AS987" s="5" t="str">
        <f t="shared" si="342"/>
        <v/>
      </c>
      <c r="AT987" s="5" t="str">
        <f t="shared" si="343"/>
        <v/>
      </c>
      <c r="AU987" s="5" t="str">
        <f t="shared" si="344"/>
        <v/>
      </c>
      <c r="AV987" s="5" t="str">
        <f t="shared" si="345"/>
        <v/>
      </c>
      <c r="AW987" s="5" t="str">
        <f t="shared" si="346"/>
        <v/>
      </c>
      <c r="AX987" s="5" t="str">
        <f t="shared" si="347"/>
        <v/>
      </c>
      <c r="AY987" s="5" t="str">
        <f t="shared" si="348"/>
        <v/>
      </c>
      <c r="AZ987" s="5" t="str">
        <f t="shared" si="349"/>
        <v/>
      </c>
      <c r="BA987" s="5" t="str">
        <f t="shared" si="350"/>
        <v/>
      </c>
      <c r="BB987" s="5" t="str">
        <f t="shared" si="351"/>
        <v/>
      </c>
    </row>
    <row r="988" spans="1:54" s="5" customFormat="1" hidden="1">
      <c r="A988" s="8" t="str">
        <f>IF(INDEX(FORM!$A:$A,ROW())="","",ROW()-1)</f>
        <v/>
      </c>
      <c r="B988" s="41" t="str">
        <f>IF($A988="","",INDEX(FORM!$A:$A,ROW()))</f>
        <v/>
      </c>
      <c r="C988" s="8" t="str">
        <f>IF($A988="","",TRIM(INDEX(FORM!$B:$B,ROW())))</f>
        <v/>
      </c>
      <c r="D988" s="8" t="str">
        <f>IF($A988="","",TRIM(INDEX(FORM!$C:$C,ROW())&amp;""))</f>
        <v/>
      </c>
      <c r="E988" s="8" t="str">
        <f>IF($A988="","",UPPER(TRIM(INDEX(FORM!$D:$D,ROW()))))</f>
        <v/>
      </c>
      <c r="F988" s="8" t="str">
        <f>IF($A988="","",IFERROR(INDEX(PROGRES!$A$2:$A$92,MATCH(E988,PROGRES!$B$2:$B$92,0)),"-"))</f>
        <v/>
      </c>
      <c r="G988" s="8" t="str">
        <f>IF($A988="","",UPPER(TRIM(INDEX(FORM!$F:$F,ROW()))))</f>
        <v/>
      </c>
      <c r="H988" s="8" t="str">
        <f>IF($A988="","",UPPER(TRIM(INDEX(FORM!$E:$E,ROW()))))</f>
        <v/>
      </c>
      <c r="I988" s="8" t="str">
        <f>IF($A988="","",UPPER(TRIM(INDEX(FORM!$G:$G,ROW()))))</f>
        <v/>
      </c>
      <c r="J988" s="8" t="str">
        <f>IF($A988="","",IF(ISNUMBER(SEARCH("Ya,",INDEX(FORM!$H:$H,ROW()))),"YA",IF(ISNUMBER(SEARCH("Cukup,",INDEX(FORM!$H:$H,ROW()))),"CUKUP",IF(ISNUMBER(SEARCH("Kurang,",INDEX(FORM!$H:$H,ROW()))),"KURANG",""))))</f>
        <v/>
      </c>
      <c r="K988" s="8" t="str">
        <f>IF($A988="","",UPPER(TRIM(INDEX(FORM!$J:$J,ROW()))))</f>
        <v/>
      </c>
      <c r="L988" s="8" t="str">
        <f>IF($A988="","",IF(ISNUMBER(SEARCH("Aktivitas Harian",INDEX(FORM!$K:$K,ROW()))),1,0))</f>
        <v/>
      </c>
      <c r="M988" s="8" t="str">
        <f>IF($A988="","",IF(ISNUMBER(SEARCH("Aktivitas Mingguan",INDEX(FORM!$K:$K,ROW()))),1,0))</f>
        <v/>
      </c>
      <c r="N988" s="8" t="str">
        <f>IF($A988="","",IF(ISNUMBER(SEARCH("Aktivitas Bulanan",INDEX(FORM!$K:$K,ROW()))),1,0))</f>
        <v/>
      </c>
      <c r="O988" s="8" t="str">
        <f>IF($A988="","",IF(ISNUMBER(SEARCH("Overview Cabang",INDEX(FORM!$K:$K,ROW()))),1,0))</f>
        <v/>
      </c>
      <c r="P988" s="8" t="str">
        <f>IF($A988="","",IFERROR(VLOOKUP(I988,DATA!$AH$9:$AI$13,2,0),""))</f>
        <v/>
      </c>
      <c r="Q988" s="8" t="str">
        <f>IF($A988="","",IFERROR(VLOOKUP(J988,DATA!$AH$9:$AI$13,2,0),""))</f>
        <v/>
      </c>
      <c r="R988" s="8" t="str">
        <f>IF($A988="","",IFERROR(VLOOKUP(K988,DATA!$AH$9:$AI$13,2,0),""))</f>
        <v/>
      </c>
      <c r="S988" s="42" t="str">
        <f t="shared" si="330"/>
        <v/>
      </c>
      <c r="T988" s="8" t="str">
        <f>IF($A988="","",IF(COUNTIF($D$2:D988,D988)=1,1,0))</f>
        <v/>
      </c>
      <c r="U988" s="8" t="str">
        <f>IF($A988="","",IF(F988="-","Cabang tdk ada",IF(IFERROR(VLOOKUP(G988,#REF!,1,0),"")="","",IF(INDEX(DATA!$AH$2:$AH$5,MATCH(G988,DATA!$AI$2:$AI$5,0))&lt;&gt;F988,"Wilayah beda","OK"))))</f>
        <v/>
      </c>
      <c r="V988" s="8" t="str">
        <f>IF($A988="","",TRIM(INDEX(FORM!$I:$I,ROW())&amp;""))</f>
        <v/>
      </c>
      <c r="W988" s="8" t="str">
        <f>IF($A988="","",TRIM(INDEX(FORM!$L:$L,ROW())&amp;""))</f>
        <v/>
      </c>
      <c r="X988" s="8" t="str">
        <f>IF($A988="","",TRIM(INDEX(FORM!$M:$M,ROW())&amp;""))</f>
        <v/>
      </c>
      <c r="Y988" s="8" t="str">
        <f>IF($A988="","",IFERROR(MATCH(F988,DATA!$AH$2:$AH$5,0),9)*10000+A988)</f>
        <v/>
      </c>
      <c r="Z988" s="8" t="str">
        <f t="shared" si="331"/>
        <v/>
      </c>
      <c r="AA988" s="8" t="str">
        <f t="shared" si="332"/>
        <v/>
      </c>
      <c r="AB988" s="8" t="str">
        <f t="shared" si="333"/>
        <v/>
      </c>
      <c r="AC988" s="8"/>
      <c r="AD988" s="8"/>
      <c r="AE988" s="8"/>
      <c r="AK988" s="5" t="str">
        <f t="shared" si="334"/>
        <v/>
      </c>
      <c r="AL988" s="5" t="str">
        <f t="shared" si="335"/>
        <v/>
      </c>
      <c r="AM988" s="5" t="str">
        <f t="shared" si="336"/>
        <v/>
      </c>
      <c r="AN988" s="5" t="str">
        <f t="shared" si="337"/>
        <v/>
      </c>
      <c r="AO988" s="5" t="str">
        <f t="shared" si="338"/>
        <v/>
      </c>
      <c r="AP988" s="5" t="str">
        <f t="shared" si="339"/>
        <v/>
      </c>
      <c r="AQ988" s="5" t="str">
        <f t="shared" si="340"/>
        <v/>
      </c>
      <c r="AR988" s="5" t="str">
        <f t="shared" si="341"/>
        <v/>
      </c>
      <c r="AS988" s="5" t="str">
        <f t="shared" si="342"/>
        <v/>
      </c>
      <c r="AT988" s="5" t="str">
        <f t="shared" si="343"/>
        <v/>
      </c>
      <c r="AU988" s="5" t="str">
        <f t="shared" si="344"/>
        <v/>
      </c>
      <c r="AV988" s="5" t="str">
        <f t="shared" si="345"/>
        <v/>
      </c>
      <c r="AW988" s="5" t="str">
        <f t="shared" si="346"/>
        <v/>
      </c>
      <c r="AX988" s="5" t="str">
        <f t="shared" si="347"/>
        <v/>
      </c>
      <c r="AY988" s="5" t="str">
        <f t="shared" si="348"/>
        <v/>
      </c>
      <c r="AZ988" s="5" t="str">
        <f t="shared" si="349"/>
        <v/>
      </c>
      <c r="BA988" s="5" t="str">
        <f t="shared" si="350"/>
        <v/>
      </c>
      <c r="BB988" s="5" t="str">
        <f t="shared" si="351"/>
        <v/>
      </c>
    </row>
    <row r="989" spans="1:54" s="5" customFormat="1" hidden="1">
      <c r="A989" s="8" t="str">
        <f>IF(INDEX(FORM!$A:$A,ROW())="","",ROW()-1)</f>
        <v/>
      </c>
      <c r="B989" s="41" t="str">
        <f>IF($A989="","",INDEX(FORM!$A:$A,ROW()))</f>
        <v/>
      </c>
      <c r="C989" s="8" t="str">
        <f>IF($A989="","",TRIM(INDEX(FORM!$B:$B,ROW())))</f>
        <v/>
      </c>
      <c r="D989" s="8" t="str">
        <f>IF($A989="","",TRIM(INDEX(FORM!$C:$C,ROW())&amp;""))</f>
        <v/>
      </c>
      <c r="E989" s="8" t="str">
        <f>IF($A989="","",UPPER(TRIM(INDEX(FORM!$D:$D,ROW()))))</f>
        <v/>
      </c>
      <c r="F989" s="8" t="str">
        <f>IF($A989="","",IFERROR(INDEX(PROGRES!$A$2:$A$92,MATCH(E989,PROGRES!$B$2:$B$92,0)),"-"))</f>
        <v/>
      </c>
      <c r="G989" s="8" t="str">
        <f>IF($A989="","",UPPER(TRIM(INDEX(FORM!$F:$F,ROW()))))</f>
        <v/>
      </c>
      <c r="H989" s="8" t="str">
        <f>IF($A989="","",UPPER(TRIM(INDEX(FORM!$E:$E,ROW()))))</f>
        <v/>
      </c>
      <c r="I989" s="8" t="str">
        <f>IF($A989="","",UPPER(TRIM(INDEX(FORM!$G:$G,ROW()))))</f>
        <v/>
      </c>
      <c r="J989" s="8" t="str">
        <f>IF($A989="","",IF(ISNUMBER(SEARCH("Ya,",INDEX(FORM!$H:$H,ROW()))),"YA",IF(ISNUMBER(SEARCH("Cukup,",INDEX(FORM!$H:$H,ROW()))),"CUKUP",IF(ISNUMBER(SEARCH("Kurang,",INDEX(FORM!$H:$H,ROW()))),"KURANG",""))))</f>
        <v/>
      </c>
      <c r="K989" s="8" t="str">
        <f>IF($A989="","",UPPER(TRIM(INDEX(FORM!$J:$J,ROW()))))</f>
        <v/>
      </c>
      <c r="L989" s="8" t="str">
        <f>IF($A989="","",IF(ISNUMBER(SEARCH("Aktivitas Harian",INDEX(FORM!$K:$K,ROW()))),1,0))</f>
        <v/>
      </c>
      <c r="M989" s="8" t="str">
        <f>IF($A989="","",IF(ISNUMBER(SEARCH("Aktivitas Mingguan",INDEX(FORM!$K:$K,ROW()))),1,0))</f>
        <v/>
      </c>
      <c r="N989" s="8" t="str">
        <f>IF($A989="","",IF(ISNUMBER(SEARCH("Aktivitas Bulanan",INDEX(FORM!$K:$K,ROW()))),1,0))</f>
        <v/>
      </c>
      <c r="O989" s="8" t="str">
        <f>IF($A989="","",IF(ISNUMBER(SEARCH("Overview Cabang",INDEX(FORM!$K:$K,ROW()))),1,0))</f>
        <v/>
      </c>
      <c r="P989" s="8" t="str">
        <f>IF($A989="","",IFERROR(VLOOKUP(I989,DATA!$AH$9:$AI$13,2,0),""))</f>
        <v/>
      </c>
      <c r="Q989" s="8" t="str">
        <f>IF($A989="","",IFERROR(VLOOKUP(J989,DATA!$AH$9:$AI$13,2,0),""))</f>
        <v/>
      </c>
      <c r="R989" s="8" t="str">
        <f>IF($A989="","",IFERROR(VLOOKUP(K989,DATA!$AH$9:$AI$13,2,0),""))</f>
        <v/>
      </c>
      <c r="S989" s="42" t="str">
        <f t="shared" si="330"/>
        <v/>
      </c>
      <c r="T989" s="8" t="str">
        <f>IF($A989="","",IF(COUNTIF($D$2:D989,D989)=1,1,0))</f>
        <v/>
      </c>
      <c r="U989" s="8" t="str">
        <f>IF($A989="","",IF(F989="-","Cabang tdk ada",IF(IFERROR(VLOOKUP(G989,#REF!,1,0),"")="","",IF(INDEX(DATA!$AH$2:$AH$5,MATCH(G989,DATA!$AI$2:$AI$5,0))&lt;&gt;F989,"Wilayah beda","OK"))))</f>
        <v/>
      </c>
      <c r="V989" s="8" t="str">
        <f>IF($A989="","",TRIM(INDEX(FORM!$I:$I,ROW())&amp;""))</f>
        <v/>
      </c>
      <c r="W989" s="8" t="str">
        <f>IF($A989="","",TRIM(INDEX(FORM!$L:$L,ROW())&amp;""))</f>
        <v/>
      </c>
      <c r="X989" s="8" t="str">
        <f>IF($A989="","",TRIM(INDEX(FORM!$M:$M,ROW())&amp;""))</f>
        <v/>
      </c>
      <c r="Y989" s="8" t="str">
        <f>IF($A989="","",IFERROR(MATCH(F989,DATA!$AH$2:$AH$5,0),9)*10000+A989)</f>
        <v/>
      </c>
      <c r="Z989" s="8" t="str">
        <f t="shared" si="331"/>
        <v/>
      </c>
      <c r="AA989" s="8" t="str">
        <f t="shared" si="332"/>
        <v/>
      </c>
      <c r="AB989" s="8" t="str">
        <f t="shared" si="333"/>
        <v/>
      </c>
      <c r="AC989" s="8"/>
      <c r="AD989" s="8"/>
      <c r="AE989" s="8"/>
      <c r="AK989" s="5" t="str">
        <f t="shared" si="334"/>
        <v/>
      </c>
      <c r="AL989" s="5" t="str">
        <f t="shared" si="335"/>
        <v/>
      </c>
      <c r="AM989" s="5" t="str">
        <f t="shared" si="336"/>
        <v/>
      </c>
      <c r="AN989" s="5" t="str">
        <f t="shared" si="337"/>
        <v/>
      </c>
      <c r="AO989" s="5" t="str">
        <f t="shared" si="338"/>
        <v/>
      </c>
      <c r="AP989" s="5" t="str">
        <f t="shared" si="339"/>
        <v/>
      </c>
      <c r="AQ989" s="5" t="str">
        <f t="shared" si="340"/>
        <v/>
      </c>
      <c r="AR989" s="5" t="str">
        <f t="shared" si="341"/>
        <v/>
      </c>
      <c r="AS989" s="5" t="str">
        <f t="shared" si="342"/>
        <v/>
      </c>
      <c r="AT989" s="5" t="str">
        <f t="shared" si="343"/>
        <v/>
      </c>
      <c r="AU989" s="5" t="str">
        <f t="shared" si="344"/>
        <v/>
      </c>
      <c r="AV989" s="5" t="str">
        <f t="shared" si="345"/>
        <v/>
      </c>
      <c r="AW989" s="5" t="str">
        <f t="shared" si="346"/>
        <v/>
      </c>
      <c r="AX989" s="5" t="str">
        <f t="shared" si="347"/>
        <v/>
      </c>
      <c r="AY989" s="5" t="str">
        <f t="shared" si="348"/>
        <v/>
      </c>
      <c r="AZ989" s="5" t="str">
        <f t="shared" si="349"/>
        <v/>
      </c>
      <c r="BA989" s="5" t="str">
        <f t="shared" si="350"/>
        <v/>
      </c>
      <c r="BB989" s="5" t="str">
        <f t="shared" si="351"/>
        <v/>
      </c>
    </row>
    <row r="990" spans="1:54" s="5" customFormat="1" hidden="1">
      <c r="A990" s="8" t="str">
        <f>IF(INDEX(FORM!$A:$A,ROW())="","",ROW()-1)</f>
        <v/>
      </c>
      <c r="B990" s="41" t="str">
        <f>IF($A990="","",INDEX(FORM!$A:$A,ROW()))</f>
        <v/>
      </c>
      <c r="C990" s="8" t="str">
        <f>IF($A990="","",TRIM(INDEX(FORM!$B:$B,ROW())))</f>
        <v/>
      </c>
      <c r="D990" s="8" t="str">
        <f>IF($A990="","",TRIM(INDEX(FORM!$C:$C,ROW())&amp;""))</f>
        <v/>
      </c>
      <c r="E990" s="8" t="str">
        <f>IF($A990="","",UPPER(TRIM(INDEX(FORM!$D:$D,ROW()))))</f>
        <v/>
      </c>
      <c r="F990" s="8" t="str">
        <f>IF($A990="","",IFERROR(INDEX(PROGRES!$A$2:$A$92,MATCH(E990,PROGRES!$B$2:$B$92,0)),"-"))</f>
        <v/>
      </c>
      <c r="G990" s="8" t="str">
        <f>IF($A990="","",UPPER(TRIM(INDEX(FORM!$F:$F,ROW()))))</f>
        <v/>
      </c>
      <c r="H990" s="8" t="str">
        <f>IF($A990="","",UPPER(TRIM(INDEX(FORM!$E:$E,ROW()))))</f>
        <v/>
      </c>
      <c r="I990" s="8" t="str">
        <f>IF($A990="","",UPPER(TRIM(INDEX(FORM!$G:$G,ROW()))))</f>
        <v/>
      </c>
      <c r="J990" s="8" t="str">
        <f>IF($A990="","",IF(ISNUMBER(SEARCH("Ya,",INDEX(FORM!$H:$H,ROW()))),"YA",IF(ISNUMBER(SEARCH("Cukup,",INDEX(FORM!$H:$H,ROW()))),"CUKUP",IF(ISNUMBER(SEARCH("Kurang,",INDEX(FORM!$H:$H,ROW()))),"KURANG",""))))</f>
        <v/>
      </c>
      <c r="K990" s="8" t="str">
        <f>IF($A990="","",UPPER(TRIM(INDEX(FORM!$J:$J,ROW()))))</f>
        <v/>
      </c>
      <c r="L990" s="8" t="str">
        <f>IF($A990="","",IF(ISNUMBER(SEARCH("Aktivitas Harian",INDEX(FORM!$K:$K,ROW()))),1,0))</f>
        <v/>
      </c>
      <c r="M990" s="8" t="str">
        <f>IF($A990="","",IF(ISNUMBER(SEARCH("Aktivitas Mingguan",INDEX(FORM!$K:$K,ROW()))),1,0))</f>
        <v/>
      </c>
      <c r="N990" s="8" t="str">
        <f>IF($A990="","",IF(ISNUMBER(SEARCH("Aktivitas Bulanan",INDEX(FORM!$K:$K,ROW()))),1,0))</f>
        <v/>
      </c>
      <c r="O990" s="8" t="str">
        <f>IF($A990="","",IF(ISNUMBER(SEARCH("Overview Cabang",INDEX(FORM!$K:$K,ROW()))),1,0))</f>
        <v/>
      </c>
      <c r="P990" s="8" t="str">
        <f>IF($A990="","",IFERROR(VLOOKUP(I990,DATA!$AH$9:$AI$13,2,0),""))</f>
        <v/>
      </c>
      <c r="Q990" s="8" t="str">
        <f>IF($A990="","",IFERROR(VLOOKUP(J990,DATA!$AH$9:$AI$13,2,0),""))</f>
        <v/>
      </c>
      <c r="R990" s="8" t="str">
        <f>IF($A990="","",IFERROR(VLOOKUP(K990,DATA!$AH$9:$AI$13,2,0),""))</f>
        <v/>
      </c>
      <c r="S990" s="42" t="str">
        <f t="shared" si="330"/>
        <v/>
      </c>
      <c r="T990" s="8" t="str">
        <f>IF($A990="","",IF(COUNTIF($D$2:D990,D990)=1,1,0))</f>
        <v/>
      </c>
      <c r="U990" s="8" t="str">
        <f>IF($A990="","",IF(F990="-","Cabang tdk ada",IF(IFERROR(VLOOKUP(G990,#REF!,1,0),"")="","",IF(INDEX(DATA!$AH$2:$AH$5,MATCH(G990,DATA!$AI$2:$AI$5,0))&lt;&gt;F990,"Wilayah beda","OK"))))</f>
        <v/>
      </c>
      <c r="V990" s="8" t="str">
        <f>IF($A990="","",TRIM(INDEX(FORM!$I:$I,ROW())&amp;""))</f>
        <v/>
      </c>
      <c r="W990" s="8" t="str">
        <f>IF($A990="","",TRIM(INDEX(FORM!$L:$L,ROW())&amp;""))</f>
        <v/>
      </c>
      <c r="X990" s="8" t="str">
        <f>IF($A990="","",TRIM(INDEX(FORM!$M:$M,ROW())&amp;""))</f>
        <v/>
      </c>
      <c r="Y990" s="8" t="str">
        <f>IF($A990="","",IFERROR(MATCH(F990,DATA!$AH$2:$AH$5,0),9)*10000+A990)</f>
        <v/>
      </c>
      <c r="Z990" s="8" t="str">
        <f t="shared" si="331"/>
        <v/>
      </c>
      <c r="AA990" s="8" t="str">
        <f t="shared" si="332"/>
        <v/>
      </c>
      <c r="AB990" s="8" t="str">
        <f t="shared" si="333"/>
        <v/>
      </c>
      <c r="AC990" s="8"/>
      <c r="AD990" s="8"/>
      <c r="AE990" s="8"/>
      <c r="AK990" s="5" t="str">
        <f t="shared" si="334"/>
        <v/>
      </c>
      <c r="AL990" s="5" t="str">
        <f t="shared" si="335"/>
        <v/>
      </c>
      <c r="AM990" s="5" t="str">
        <f t="shared" si="336"/>
        <v/>
      </c>
      <c r="AN990" s="5" t="str">
        <f t="shared" si="337"/>
        <v/>
      </c>
      <c r="AO990" s="5" t="str">
        <f t="shared" si="338"/>
        <v/>
      </c>
      <c r="AP990" s="5" t="str">
        <f t="shared" si="339"/>
        <v/>
      </c>
      <c r="AQ990" s="5" t="str">
        <f t="shared" si="340"/>
        <v/>
      </c>
      <c r="AR990" s="5" t="str">
        <f t="shared" si="341"/>
        <v/>
      </c>
      <c r="AS990" s="5" t="str">
        <f t="shared" si="342"/>
        <v/>
      </c>
      <c r="AT990" s="5" t="str">
        <f t="shared" si="343"/>
        <v/>
      </c>
      <c r="AU990" s="5" t="str">
        <f t="shared" si="344"/>
        <v/>
      </c>
      <c r="AV990" s="5" t="str">
        <f t="shared" si="345"/>
        <v/>
      </c>
      <c r="AW990" s="5" t="str">
        <f t="shared" si="346"/>
        <v/>
      </c>
      <c r="AX990" s="5" t="str">
        <f t="shared" si="347"/>
        <v/>
      </c>
      <c r="AY990" s="5" t="str">
        <f t="shared" si="348"/>
        <v/>
      </c>
      <c r="AZ990" s="5" t="str">
        <f t="shared" si="349"/>
        <v/>
      </c>
      <c r="BA990" s="5" t="str">
        <f t="shared" si="350"/>
        <v/>
      </c>
      <c r="BB990" s="5" t="str">
        <f t="shared" si="351"/>
        <v/>
      </c>
    </row>
    <row r="991" spans="1:54" s="5" customFormat="1" hidden="1">
      <c r="A991" s="8" t="str">
        <f>IF(INDEX(FORM!$A:$A,ROW())="","",ROW()-1)</f>
        <v/>
      </c>
      <c r="B991" s="41" t="str">
        <f>IF($A991="","",INDEX(FORM!$A:$A,ROW()))</f>
        <v/>
      </c>
      <c r="C991" s="8" t="str">
        <f>IF($A991="","",TRIM(INDEX(FORM!$B:$B,ROW())))</f>
        <v/>
      </c>
      <c r="D991" s="8" t="str">
        <f>IF($A991="","",TRIM(INDEX(FORM!$C:$C,ROW())&amp;""))</f>
        <v/>
      </c>
      <c r="E991" s="8" t="str">
        <f>IF($A991="","",UPPER(TRIM(INDEX(FORM!$D:$D,ROW()))))</f>
        <v/>
      </c>
      <c r="F991" s="8" t="str">
        <f>IF($A991="","",IFERROR(INDEX(PROGRES!$A$2:$A$92,MATCH(E991,PROGRES!$B$2:$B$92,0)),"-"))</f>
        <v/>
      </c>
      <c r="G991" s="8" t="str">
        <f>IF($A991="","",UPPER(TRIM(INDEX(FORM!$F:$F,ROW()))))</f>
        <v/>
      </c>
      <c r="H991" s="8" t="str">
        <f>IF($A991="","",UPPER(TRIM(INDEX(FORM!$E:$E,ROW()))))</f>
        <v/>
      </c>
      <c r="I991" s="8" t="str">
        <f>IF($A991="","",UPPER(TRIM(INDEX(FORM!$G:$G,ROW()))))</f>
        <v/>
      </c>
      <c r="J991" s="8" t="str">
        <f>IF($A991="","",IF(ISNUMBER(SEARCH("Ya,",INDEX(FORM!$H:$H,ROW()))),"YA",IF(ISNUMBER(SEARCH("Cukup,",INDEX(FORM!$H:$H,ROW()))),"CUKUP",IF(ISNUMBER(SEARCH("Kurang,",INDEX(FORM!$H:$H,ROW()))),"KURANG",""))))</f>
        <v/>
      </c>
      <c r="K991" s="8" t="str">
        <f>IF($A991="","",UPPER(TRIM(INDEX(FORM!$J:$J,ROW()))))</f>
        <v/>
      </c>
      <c r="L991" s="8" t="str">
        <f>IF($A991="","",IF(ISNUMBER(SEARCH("Aktivitas Harian",INDEX(FORM!$K:$K,ROW()))),1,0))</f>
        <v/>
      </c>
      <c r="M991" s="8" t="str">
        <f>IF($A991="","",IF(ISNUMBER(SEARCH("Aktivitas Mingguan",INDEX(FORM!$K:$K,ROW()))),1,0))</f>
        <v/>
      </c>
      <c r="N991" s="8" t="str">
        <f>IF($A991="","",IF(ISNUMBER(SEARCH("Aktivitas Bulanan",INDEX(FORM!$K:$K,ROW()))),1,0))</f>
        <v/>
      </c>
      <c r="O991" s="8" t="str">
        <f>IF($A991="","",IF(ISNUMBER(SEARCH("Overview Cabang",INDEX(FORM!$K:$K,ROW()))),1,0))</f>
        <v/>
      </c>
      <c r="P991" s="8" t="str">
        <f>IF($A991="","",IFERROR(VLOOKUP(I991,DATA!$AH$9:$AI$13,2,0),""))</f>
        <v/>
      </c>
      <c r="Q991" s="8" t="str">
        <f>IF($A991="","",IFERROR(VLOOKUP(J991,DATA!$AH$9:$AI$13,2,0),""))</f>
        <v/>
      </c>
      <c r="R991" s="8" t="str">
        <f>IF($A991="","",IFERROR(VLOOKUP(K991,DATA!$AH$9:$AI$13,2,0),""))</f>
        <v/>
      </c>
      <c r="S991" s="42" t="str">
        <f t="shared" si="330"/>
        <v/>
      </c>
      <c r="T991" s="8" t="str">
        <f>IF($A991="","",IF(COUNTIF($D$2:D991,D991)=1,1,0))</f>
        <v/>
      </c>
      <c r="U991" s="8" t="str">
        <f>IF($A991="","",IF(F991="-","Cabang tdk ada",IF(IFERROR(VLOOKUP(G991,#REF!,1,0),"")="","",IF(INDEX(DATA!$AH$2:$AH$5,MATCH(G991,DATA!$AI$2:$AI$5,0))&lt;&gt;F991,"Wilayah beda","OK"))))</f>
        <v/>
      </c>
      <c r="V991" s="8" t="str">
        <f>IF($A991="","",TRIM(INDEX(FORM!$I:$I,ROW())&amp;""))</f>
        <v/>
      </c>
      <c r="W991" s="8" t="str">
        <f>IF($A991="","",TRIM(INDEX(FORM!$L:$L,ROW())&amp;""))</f>
        <v/>
      </c>
      <c r="X991" s="8" t="str">
        <f>IF($A991="","",TRIM(INDEX(FORM!$M:$M,ROW())&amp;""))</f>
        <v/>
      </c>
      <c r="Y991" s="8" t="str">
        <f>IF($A991="","",IFERROR(MATCH(F991,DATA!$AH$2:$AH$5,0),9)*10000+A991)</f>
        <v/>
      </c>
      <c r="Z991" s="8" t="str">
        <f t="shared" si="331"/>
        <v/>
      </c>
      <c r="AA991" s="8" t="str">
        <f t="shared" si="332"/>
        <v/>
      </c>
      <c r="AB991" s="8" t="str">
        <f t="shared" si="333"/>
        <v/>
      </c>
      <c r="AC991" s="8"/>
      <c r="AD991" s="8"/>
      <c r="AE991" s="8"/>
      <c r="AK991" s="5" t="str">
        <f t="shared" si="334"/>
        <v/>
      </c>
      <c r="AL991" s="5" t="str">
        <f t="shared" si="335"/>
        <v/>
      </c>
      <c r="AM991" s="5" t="str">
        <f t="shared" si="336"/>
        <v/>
      </c>
      <c r="AN991" s="5" t="str">
        <f t="shared" si="337"/>
        <v/>
      </c>
      <c r="AO991" s="5" t="str">
        <f t="shared" si="338"/>
        <v/>
      </c>
      <c r="AP991" s="5" t="str">
        <f t="shared" si="339"/>
        <v/>
      </c>
      <c r="AQ991" s="5" t="str">
        <f t="shared" si="340"/>
        <v/>
      </c>
      <c r="AR991" s="5" t="str">
        <f t="shared" si="341"/>
        <v/>
      </c>
      <c r="AS991" s="5" t="str">
        <f t="shared" si="342"/>
        <v/>
      </c>
      <c r="AT991" s="5" t="str">
        <f t="shared" si="343"/>
        <v/>
      </c>
      <c r="AU991" s="5" t="str">
        <f t="shared" si="344"/>
        <v/>
      </c>
      <c r="AV991" s="5" t="str">
        <f t="shared" si="345"/>
        <v/>
      </c>
      <c r="AW991" s="5" t="str">
        <f t="shared" si="346"/>
        <v/>
      </c>
      <c r="AX991" s="5" t="str">
        <f t="shared" si="347"/>
        <v/>
      </c>
      <c r="AY991" s="5" t="str">
        <f t="shared" si="348"/>
        <v/>
      </c>
      <c r="AZ991" s="5" t="str">
        <f t="shared" si="349"/>
        <v/>
      </c>
      <c r="BA991" s="5" t="str">
        <f t="shared" si="350"/>
        <v/>
      </c>
      <c r="BB991" s="5" t="str">
        <f t="shared" si="351"/>
        <v/>
      </c>
    </row>
    <row r="992" spans="1:54" s="5" customFormat="1" hidden="1">
      <c r="A992" s="8" t="str">
        <f>IF(INDEX(FORM!$A:$A,ROW())="","",ROW()-1)</f>
        <v/>
      </c>
      <c r="B992" s="41" t="str">
        <f>IF($A992="","",INDEX(FORM!$A:$A,ROW()))</f>
        <v/>
      </c>
      <c r="C992" s="8" t="str">
        <f>IF($A992="","",TRIM(INDEX(FORM!$B:$B,ROW())))</f>
        <v/>
      </c>
      <c r="D992" s="8" t="str">
        <f>IF($A992="","",TRIM(INDEX(FORM!$C:$C,ROW())&amp;""))</f>
        <v/>
      </c>
      <c r="E992" s="8" t="str">
        <f>IF($A992="","",UPPER(TRIM(INDEX(FORM!$D:$D,ROW()))))</f>
        <v/>
      </c>
      <c r="F992" s="8" t="str">
        <f>IF($A992="","",IFERROR(INDEX(PROGRES!$A$2:$A$92,MATCH(E992,PROGRES!$B$2:$B$92,0)),"-"))</f>
        <v/>
      </c>
      <c r="G992" s="8" t="str">
        <f>IF($A992="","",UPPER(TRIM(INDEX(FORM!$F:$F,ROW()))))</f>
        <v/>
      </c>
      <c r="H992" s="8" t="str">
        <f>IF($A992="","",UPPER(TRIM(INDEX(FORM!$E:$E,ROW()))))</f>
        <v/>
      </c>
      <c r="I992" s="8" t="str">
        <f>IF($A992="","",UPPER(TRIM(INDEX(FORM!$G:$G,ROW()))))</f>
        <v/>
      </c>
      <c r="J992" s="8" t="str">
        <f>IF($A992="","",IF(ISNUMBER(SEARCH("Ya,",INDEX(FORM!$H:$H,ROW()))),"YA",IF(ISNUMBER(SEARCH("Cukup,",INDEX(FORM!$H:$H,ROW()))),"CUKUP",IF(ISNUMBER(SEARCH("Kurang,",INDEX(FORM!$H:$H,ROW()))),"KURANG",""))))</f>
        <v/>
      </c>
      <c r="K992" s="8" t="str">
        <f>IF($A992="","",UPPER(TRIM(INDEX(FORM!$J:$J,ROW()))))</f>
        <v/>
      </c>
      <c r="L992" s="8" t="str">
        <f>IF($A992="","",IF(ISNUMBER(SEARCH("Aktivitas Harian",INDEX(FORM!$K:$K,ROW()))),1,0))</f>
        <v/>
      </c>
      <c r="M992" s="8" t="str">
        <f>IF($A992="","",IF(ISNUMBER(SEARCH("Aktivitas Mingguan",INDEX(FORM!$K:$K,ROW()))),1,0))</f>
        <v/>
      </c>
      <c r="N992" s="8" t="str">
        <f>IF($A992="","",IF(ISNUMBER(SEARCH("Aktivitas Bulanan",INDEX(FORM!$K:$K,ROW()))),1,0))</f>
        <v/>
      </c>
      <c r="O992" s="8" t="str">
        <f>IF($A992="","",IF(ISNUMBER(SEARCH("Overview Cabang",INDEX(FORM!$K:$K,ROW()))),1,0))</f>
        <v/>
      </c>
      <c r="P992" s="8" t="str">
        <f>IF($A992="","",IFERROR(VLOOKUP(I992,DATA!$AH$9:$AI$13,2,0),""))</f>
        <v/>
      </c>
      <c r="Q992" s="8" t="str">
        <f>IF($A992="","",IFERROR(VLOOKUP(J992,DATA!$AH$9:$AI$13,2,0),""))</f>
        <v/>
      </c>
      <c r="R992" s="8" t="str">
        <f>IF($A992="","",IFERROR(VLOOKUP(K992,DATA!$AH$9:$AI$13,2,0),""))</f>
        <v/>
      </c>
      <c r="S992" s="42" t="str">
        <f t="shared" si="330"/>
        <v/>
      </c>
      <c r="T992" s="8" t="str">
        <f>IF($A992="","",IF(COUNTIF($D$2:D992,D992)=1,1,0))</f>
        <v/>
      </c>
      <c r="U992" s="8" t="str">
        <f>IF($A992="","",IF(F992="-","Cabang tdk ada",IF(IFERROR(VLOOKUP(G992,#REF!,1,0),"")="","",IF(INDEX(DATA!$AH$2:$AH$5,MATCH(G992,DATA!$AI$2:$AI$5,0))&lt;&gt;F992,"Wilayah beda","OK"))))</f>
        <v/>
      </c>
      <c r="V992" s="8" t="str">
        <f>IF($A992="","",TRIM(INDEX(FORM!$I:$I,ROW())&amp;""))</f>
        <v/>
      </c>
      <c r="W992" s="8" t="str">
        <f>IF($A992="","",TRIM(INDEX(FORM!$L:$L,ROW())&amp;""))</f>
        <v/>
      </c>
      <c r="X992" s="8" t="str">
        <f>IF($A992="","",TRIM(INDEX(FORM!$M:$M,ROW())&amp;""))</f>
        <v/>
      </c>
      <c r="Y992" s="8" t="str">
        <f>IF($A992="","",IFERROR(MATCH(F992,DATA!$AH$2:$AH$5,0),9)*10000+A992)</f>
        <v/>
      </c>
      <c r="Z992" s="8" t="str">
        <f t="shared" si="331"/>
        <v/>
      </c>
      <c r="AA992" s="8" t="str">
        <f t="shared" si="332"/>
        <v/>
      </c>
      <c r="AB992" s="8" t="str">
        <f t="shared" si="333"/>
        <v/>
      </c>
      <c r="AC992" s="8"/>
      <c r="AD992" s="8"/>
      <c r="AE992" s="8"/>
      <c r="AK992" s="5" t="str">
        <f t="shared" si="334"/>
        <v/>
      </c>
      <c r="AL992" s="5" t="str">
        <f t="shared" si="335"/>
        <v/>
      </c>
      <c r="AM992" s="5" t="str">
        <f t="shared" si="336"/>
        <v/>
      </c>
      <c r="AN992" s="5" t="str">
        <f t="shared" si="337"/>
        <v/>
      </c>
      <c r="AO992" s="5" t="str">
        <f t="shared" si="338"/>
        <v/>
      </c>
      <c r="AP992" s="5" t="str">
        <f t="shared" si="339"/>
        <v/>
      </c>
      <c r="AQ992" s="5" t="str">
        <f t="shared" si="340"/>
        <v/>
      </c>
      <c r="AR992" s="5" t="str">
        <f t="shared" si="341"/>
        <v/>
      </c>
      <c r="AS992" s="5" t="str">
        <f t="shared" si="342"/>
        <v/>
      </c>
      <c r="AT992" s="5" t="str">
        <f t="shared" si="343"/>
        <v/>
      </c>
      <c r="AU992" s="5" t="str">
        <f t="shared" si="344"/>
        <v/>
      </c>
      <c r="AV992" s="5" t="str">
        <f t="shared" si="345"/>
        <v/>
      </c>
      <c r="AW992" s="5" t="str">
        <f t="shared" si="346"/>
        <v/>
      </c>
      <c r="AX992" s="5" t="str">
        <f t="shared" si="347"/>
        <v/>
      </c>
      <c r="AY992" s="5" t="str">
        <f t="shared" si="348"/>
        <v/>
      </c>
      <c r="AZ992" s="5" t="str">
        <f t="shared" si="349"/>
        <v/>
      </c>
      <c r="BA992" s="5" t="str">
        <f t="shared" si="350"/>
        <v/>
      </c>
      <c r="BB992" s="5" t="str">
        <f t="shared" si="351"/>
        <v/>
      </c>
    </row>
    <row r="993" spans="1:54" s="5" customFormat="1" hidden="1">
      <c r="A993" s="8" t="str">
        <f>IF(INDEX(FORM!$A:$A,ROW())="","",ROW()-1)</f>
        <v/>
      </c>
      <c r="B993" s="41" t="str">
        <f>IF($A993="","",INDEX(FORM!$A:$A,ROW()))</f>
        <v/>
      </c>
      <c r="C993" s="8" t="str">
        <f>IF($A993="","",TRIM(INDEX(FORM!$B:$B,ROW())))</f>
        <v/>
      </c>
      <c r="D993" s="8" t="str">
        <f>IF($A993="","",TRIM(INDEX(FORM!$C:$C,ROW())&amp;""))</f>
        <v/>
      </c>
      <c r="E993" s="8" t="str">
        <f>IF($A993="","",UPPER(TRIM(INDEX(FORM!$D:$D,ROW()))))</f>
        <v/>
      </c>
      <c r="F993" s="8" t="str">
        <f>IF($A993="","",IFERROR(INDEX(PROGRES!$A$2:$A$92,MATCH(E993,PROGRES!$B$2:$B$92,0)),"-"))</f>
        <v/>
      </c>
      <c r="G993" s="8" t="str">
        <f>IF($A993="","",UPPER(TRIM(INDEX(FORM!$F:$F,ROW()))))</f>
        <v/>
      </c>
      <c r="H993" s="8" t="str">
        <f>IF($A993="","",UPPER(TRIM(INDEX(FORM!$E:$E,ROW()))))</f>
        <v/>
      </c>
      <c r="I993" s="8" t="str">
        <f>IF($A993="","",UPPER(TRIM(INDEX(FORM!$G:$G,ROW()))))</f>
        <v/>
      </c>
      <c r="J993" s="8" t="str">
        <f>IF($A993="","",IF(ISNUMBER(SEARCH("Ya,",INDEX(FORM!$H:$H,ROW()))),"YA",IF(ISNUMBER(SEARCH("Cukup,",INDEX(FORM!$H:$H,ROW()))),"CUKUP",IF(ISNUMBER(SEARCH("Kurang,",INDEX(FORM!$H:$H,ROW()))),"KURANG",""))))</f>
        <v/>
      </c>
      <c r="K993" s="8" t="str">
        <f>IF($A993="","",UPPER(TRIM(INDEX(FORM!$J:$J,ROW()))))</f>
        <v/>
      </c>
      <c r="L993" s="8" t="str">
        <f>IF($A993="","",IF(ISNUMBER(SEARCH("Aktivitas Harian",INDEX(FORM!$K:$K,ROW()))),1,0))</f>
        <v/>
      </c>
      <c r="M993" s="8" t="str">
        <f>IF($A993="","",IF(ISNUMBER(SEARCH("Aktivitas Mingguan",INDEX(FORM!$K:$K,ROW()))),1,0))</f>
        <v/>
      </c>
      <c r="N993" s="8" t="str">
        <f>IF($A993="","",IF(ISNUMBER(SEARCH("Aktivitas Bulanan",INDEX(FORM!$K:$K,ROW()))),1,0))</f>
        <v/>
      </c>
      <c r="O993" s="8" t="str">
        <f>IF($A993="","",IF(ISNUMBER(SEARCH("Overview Cabang",INDEX(FORM!$K:$K,ROW()))),1,0))</f>
        <v/>
      </c>
      <c r="P993" s="8" t="str">
        <f>IF($A993="","",IFERROR(VLOOKUP(I993,DATA!$AH$9:$AI$13,2,0),""))</f>
        <v/>
      </c>
      <c r="Q993" s="8" t="str">
        <f>IF($A993="","",IFERROR(VLOOKUP(J993,DATA!$AH$9:$AI$13,2,0),""))</f>
        <v/>
      </c>
      <c r="R993" s="8" t="str">
        <f>IF($A993="","",IFERROR(VLOOKUP(K993,DATA!$AH$9:$AI$13,2,0),""))</f>
        <v/>
      </c>
      <c r="S993" s="42" t="str">
        <f t="shared" si="330"/>
        <v/>
      </c>
      <c r="T993" s="8" t="str">
        <f>IF($A993="","",IF(COUNTIF($D$2:D993,D993)=1,1,0))</f>
        <v/>
      </c>
      <c r="U993" s="8" t="str">
        <f>IF($A993="","",IF(F993="-","Cabang tdk ada",IF(IFERROR(VLOOKUP(G993,#REF!,1,0),"")="","",IF(INDEX(DATA!$AH$2:$AH$5,MATCH(G993,DATA!$AI$2:$AI$5,0))&lt;&gt;F993,"Wilayah beda","OK"))))</f>
        <v/>
      </c>
      <c r="V993" s="8" t="str">
        <f>IF($A993="","",TRIM(INDEX(FORM!$I:$I,ROW())&amp;""))</f>
        <v/>
      </c>
      <c r="W993" s="8" t="str">
        <f>IF($A993="","",TRIM(INDEX(FORM!$L:$L,ROW())&amp;""))</f>
        <v/>
      </c>
      <c r="X993" s="8" t="str">
        <f>IF($A993="","",TRIM(INDEX(FORM!$M:$M,ROW())&amp;""))</f>
        <v/>
      </c>
      <c r="Y993" s="8" t="str">
        <f>IF($A993="","",IFERROR(MATCH(F993,DATA!$AH$2:$AH$5,0),9)*10000+A993)</f>
        <v/>
      </c>
      <c r="Z993" s="8" t="str">
        <f t="shared" si="331"/>
        <v/>
      </c>
      <c r="AA993" s="8" t="str">
        <f t="shared" si="332"/>
        <v/>
      </c>
      <c r="AB993" s="8" t="str">
        <f t="shared" si="333"/>
        <v/>
      </c>
      <c r="AC993" s="8"/>
      <c r="AD993" s="8"/>
      <c r="AE993" s="8"/>
      <c r="AK993" s="5" t="str">
        <f t="shared" si="334"/>
        <v/>
      </c>
      <c r="AL993" s="5" t="str">
        <f t="shared" si="335"/>
        <v/>
      </c>
      <c r="AM993" s="5" t="str">
        <f t="shared" si="336"/>
        <v/>
      </c>
      <c r="AN993" s="5" t="str">
        <f t="shared" si="337"/>
        <v/>
      </c>
      <c r="AO993" s="5" t="str">
        <f t="shared" si="338"/>
        <v/>
      </c>
      <c r="AP993" s="5" t="str">
        <f t="shared" si="339"/>
        <v/>
      </c>
      <c r="AQ993" s="5" t="str">
        <f t="shared" si="340"/>
        <v/>
      </c>
      <c r="AR993" s="5" t="str">
        <f t="shared" si="341"/>
        <v/>
      </c>
      <c r="AS993" s="5" t="str">
        <f t="shared" si="342"/>
        <v/>
      </c>
      <c r="AT993" s="5" t="str">
        <f t="shared" si="343"/>
        <v/>
      </c>
      <c r="AU993" s="5" t="str">
        <f t="shared" si="344"/>
        <v/>
      </c>
      <c r="AV993" s="5" t="str">
        <f t="shared" si="345"/>
        <v/>
      </c>
      <c r="AW993" s="5" t="str">
        <f t="shared" si="346"/>
        <v/>
      </c>
      <c r="AX993" s="5" t="str">
        <f t="shared" si="347"/>
        <v/>
      </c>
      <c r="AY993" s="5" t="str">
        <f t="shared" si="348"/>
        <v/>
      </c>
      <c r="AZ993" s="5" t="str">
        <f t="shared" si="349"/>
        <v/>
      </c>
      <c r="BA993" s="5" t="str">
        <f t="shared" si="350"/>
        <v/>
      </c>
      <c r="BB993" s="5" t="str">
        <f t="shared" si="351"/>
        <v/>
      </c>
    </row>
    <row r="994" spans="1:54" s="5" customFormat="1" hidden="1">
      <c r="A994" s="8" t="str">
        <f>IF(INDEX(FORM!$A:$A,ROW())="","",ROW()-1)</f>
        <v/>
      </c>
      <c r="B994" s="41" t="str">
        <f>IF($A994="","",INDEX(FORM!$A:$A,ROW()))</f>
        <v/>
      </c>
      <c r="C994" s="8" t="str">
        <f>IF($A994="","",TRIM(INDEX(FORM!$B:$B,ROW())))</f>
        <v/>
      </c>
      <c r="D994" s="8" t="str">
        <f>IF($A994="","",TRIM(INDEX(FORM!$C:$C,ROW())&amp;""))</f>
        <v/>
      </c>
      <c r="E994" s="8" t="str">
        <f>IF($A994="","",UPPER(TRIM(INDEX(FORM!$D:$D,ROW()))))</f>
        <v/>
      </c>
      <c r="F994" s="8" t="str">
        <f>IF($A994="","",IFERROR(INDEX(PROGRES!$A$2:$A$92,MATCH(E994,PROGRES!$B$2:$B$92,0)),"-"))</f>
        <v/>
      </c>
      <c r="G994" s="8" t="str">
        <f>IF($A994="","",UPPER(TRIM(INDEX(FORM!$F:$F,ROW()))))</f>
        <v/>
      </c>
      <c r="H994" s="8" t="str">
        <f>IF($A994="","",UPPER(TRIM(INDEX(FORM!$E:$E,ROW()))))</f>
        <v/>
      </c>
      <c r="I994" s="8" t="str">
        <f>IF($A994="","",UPPER(TRIM(INDEX(FORM!$G:$G,ROW()))))</f>
        <v/>
      </c>
      <c r="J994" s="8" t="str">
        <f>IF($A994="","",IF(ISNUMBER(SEARCH("Ya,",INDEX(FORM!$H:$H,ROW()))),"YA",IF(ISNUMBER(SEARCH("Cukup,",INDEX(FORM!$H:$H,ROW()))),"CUKUP",IF(ISNUMBER(SEARCH("Kurang,",INDEX(FORM!$H:$H,ROW()))),"KURANG",""))))</f>
        <v/>
      </c>
      <c r="K994" s="8" t="str">
        <f>IF($A994="","",UPPER(TRIM(INDEX(FORM!$J:$J,ROW()))))</f>
        <v/>
      </c>
      <c r="L994" s="8" t="str">
        <f>IF($A994="","",IF(ISNUMBER(SEARCH("Aktivitas Harian",INDEX(FORM!$K:$K,ROW()))),1,0))</f>
        <v/>
      </c>
      <c r="M994" s="8" t="str">
        <f>IF($A994="","",IF(ISNUMBER(SEARCH("Aktivitas Mingguan",INDEX(FORM!$K:$K,ROW()))),1,0))</f>
        <v/>
      </c>
      <c r="N994" s="8" t="str">
        <f>IF($A994="","",IF(ISNUMBER(SEARCH("Aktivitas Bulanan",INDEX(FORM!$K:$K,ROW()))),1,0))</f>
        <v/>
      </c>
      <c r="O994" s="8" t="str">
        <f>IF($A994="","",IF(ISNUMBER(SEARCH("Overview Cabang",INDEX(FORM!$K:$K,ROW()))),1,0))</f>
        <v/>
      </c>
      <c r="P994" s="8" t="str">
        <f>IF($A994="","",IFERROR(VLOOKUP(I994,DATA!$AH$9:$AI$13,2,0),""))</f>
        <v/>
      </c>
      <c r="Q994" s="8" t="str">
        <f>IF($A994="","",IFERROR(VLOOKUP(J994,DATA!$AH$9:$AI$13,2,0),""))</f>
        <v/>
      </c>
      <c r="R994" s="8" t="str">
        <f>IF($A994="","",IFERROR(VLOOKUP(K994,DATA!$AH$9:$AI$13,2,0),""))</f>
        <v/>
      </c>
      <c r="S994" s="42" t="str">
        <f t="shared" si="330"/>
        <v/>
      </c>
      <c r="T994" s="8" t="str">
        <f>IF($A994="","",IF(COUNTIF($D$2:D994,D994)=1,1,0))</f>
        <v/>
      </c>
      <c r="U994" s="8" t="str">
        <f>IF($A994="","",IF(F994="-","Cabang tdk ada",IF(IFERROR(VLOOKUP(G994,#REF!,1,0),"")="","",IF(INDEX(DATA!$AH$2:$AH$5,MATCH(G994,DATA!$AI$2:$AI$5,0))&lt;&gt;F994,"Wilayah beda","OK"))))</f>
        <v/>
      </c>
      <c r="V994" s="8" t="str">
        <f>IF($A994="","",TRIM(INDEX(FORM!$I:$I,ROW())&amp;""))</f>
        <v/>
      </c>
      <c r="W994" s="8" t="str">
        <f>IF($A994="","",TRIM(INDEX(FORM!$L:$L,ROW())&amp;""))</f>
        <v/>
      </c>
      <c r="X994" s="8" t="str">
        <f>IF($A994="","",TRIM(INDEX(FORM!$M:$M,ROW())&amp;""))</f>
        <v/>
      </c>
      <c r="Y994" s="8" t="str">
        <f>IF($A994="","",IFERROR(MATCH(F994,DATA!$AH$2:$AH$5,0),9)*10000+A994)</f>
        <v/>
      </c>
      <c r="Z994" s="8" t="str">
        <f t="shared" si="331"/>
        <v/>
      </c>
      <c r="AA994" s="8" t="str">
        <f t="shared" si="332"/>
        <v/>
      </c>
      <c r="AB994" s="8" t="str">
        <f t="shared" si="333"/>
        <v/>
      </c>
      <c r="AC994" s="8"/>
      <c r="AD994" s="8"/>
      <c r="AE994" s="8"/>
      <c r="AK994" s="5" t="str">
        <f t="shared" si="334"/>
        <v/>
      </c>
      <c r="AL994" s="5" t="str">
        <f t="shared" si="335"/>
        <v/>
      </c>
      <c r="AM994" s="5" t="str">
        <f t="shared" si="336"/>
        <v/>
      </c>
      <c r="AN994" s="5" t="str">
        <f t="shared" si="337"/>
        <v/>
      </c>
      <c r="AO994" s="5" t="str">
        <f t="shared" si="338"/>
        <v/>
      </c>
      <c r="AP994" s="5" t="str">
        <f t="shared" si="339"/>
        <v/>
      </c>
      <c r="AQ994" s="5" t="str">
        <f t="shared" si="340"/>
        <v/>
      </c>
      <c r="AR994" s="5" t="str">
        <f t="shared" si="341"/>
        <v/>
      </c>
      <c r="AS994" s="5" t="str">
        <f t="shared" si="342"/>
        <v/>
      </c>
      <c r="AT994" s="5" t="str">
        <f t="shared" si="343"/>
        <v/>
      </c>
      <c r="AU994" s="5" t="str">
        <f t="shared" si="344"/>
        <v/>
      </c>
      <c r="AV994" s="5" t="str">
        <f t="shared" si="345"/>
        <v/>
      </c>
      <c r="AW994" s="5" t="str">
        <f t="shared" si="346"/>
        <v/>
      </c>
      <c r="AX994" s="5" t="str">
        <f t="shared" si="347"/>
        <v/>
      </c>
      <c r="AY994" s="5" t="str">
        <f t="shared" si="348"/>
        <v/>
      </c>
      <c r="AZ994" s="5" t="str">
        <f t="shared" si="349"/>
        <v/>
      </c>
      <c r="BA994" s="5" t="str">
        <f t="shared" si="350"/>
        <v/>
      </c>
      <c r="BB994" s="5" t="str">
        <f t="shared" si="351"/>
        <v/>
      </c>
    </row>
    <row r="995" spans="1:54" s="5" customFormat="1" hidden="1">
      <c r="A995" s="8" t="str">
        <f>IF(INDEX(FORM!$A:$A,ROW())="","",ROW()-1)</f>
        <v/>
      </c>
      <c r="B995" s="41" t="str">
        <f>IF($A995="","",INDEX(FORM!$A:$A,ROW()))</f>
        <v/>
      </c>
      <c r="C995" s="8" t="str">
        <f>IF($A995="","",TRIM(INDEX(FORM!$B:$B,ROW())))</f>
        <v/>
      </c>
      <c r="D995" s="8" t="str">
        <f>IF($A995="","",TRIM(INDEX(FORM!$C:$C,ROW())&amp;""))</f>
        <v/>
      </c>
      <c r="E995" s="8" t="str">
        <f>IF($A995="","",UPPER(TRIM(INDEX(FORM!$D:$D,ROW()))))</f>
        <v/>
      </c>
      <c r="F995" s="8" t="str">
        <f>IF($A995="","",IFERROR(INDEX(PROGRES!$A$2:$A$92,MATCH(E995,PROGRES!$B$2:$B$92,0)),"-"))</f>
        <v/>
      </c>
      <c r="G995" s="8" t="str">
        <f>IF($A995="","",UPPER(TRIM(INDEX(FORM!$F:$F,ROW()))))</f>
        <v/>
      </c>
      <c r="H995" s="8" t="str">
        <f>IF($A995="","",UPPER(TRIM(INDEX(FORM!$E:$E,ROW()))))</f>
        <v/>
      </c>
      <c r="I995" s="8" t="str">
        <f>IF($A995="","",UPPER(TRIM(INDEX(FORM!$G:$G,ROW()))))</f>
        <v/>
      </c>
      <c r="J995" s="8" t="str">
        <f>IF($A995="","",IF(ISNUMBER(SEARCH("Ya,",INDEX(FORM!$H:$H,ROW()))),"YA",IF(ISNUMBER(SEARCH("Cukup,",INDEX(FORM!$H:$H,ROW()))),"CUKUP",IF(ISNUMBER(SEARCH("Kurang,",INDEX(FORM!$H:$H,ROW()))),"KURANG",""))))</f>
        <v/>
      </c>
      <c r="K995" s="8" t="str">
        <f>IF($A995="","",UPPER(TRIM(INDEX(FORM!$J:$J,ROW()))))</f>
        <v/>
      </c>
      <c r="L995" s="8" t="str">
        <f>IF($A995="","",IF(ISNUMBER(SEARCH("Aktivitas Harian",INDEX(FORM!$K:$K,ROW()))),1,0))</f>
        <v/>
      </c>
      <c r="M995" s="8" t="str">
        <f>IF($A995="","",IF(ISNUMBER(SEARCH("Aktivitas Mingguan",INDEX(FORM!$K:$K,ROW()))),1,0))</f>
        <v/>
      </c>
      <c r="N995" s="8" t="str">
        <f>IF($A995="","",IF(ISNUMBER(SEARCH("Aktivitas Bulanan",INDEX(FORM!$K:$K,ROW()))),1,0))</f>
        <v/>
      </c>
      <c r="O995" s="8" t="str">
        <f>IF($A995="","",IF(ISNUMBER(SEARCH("Overview Cabang",INDEX(FORM!$K:$K,ROW()))),1,0))</f>
        <v/>
      </c>
      <c r="P995" s="8" t="str">
        <f>IF($A995="","",IFERROR(VLOOKUP(I995,DATA!$AH$9:$AI$13,2,0),""))</f>
        <v/>
      </c>
      <c r="Q995" s="8" t="str">
        <f>IF($A995="","",IFERROR(VLOOKUP(J995,DATA!$AH$9:$AI$13,2,0),""))</f>
        <v/>
      </c>
      <c r="R995" s="8" t="str">
        <f>IF($A995="","",IFERROR(VLOOKUP(K995,DATA!$AH$9:$AI$13,2,0),""))</f>
        <v/>
      </c>
      <c r="S995" s="42" t="str">
        <f t="shared" si="330"/>
        <v/>
      </c>
      <c r="T995" s="8" t="str">
        <f>IF($A995="","",IF(COUNTIF($D$2:D995,D995)=1,1,0))</f>
        <v/>
      </c>
      <c r="U995" s="8" t="str">
        <f>IF($A995="","",IF(F995="-","Cabang tdk ada",IF(IFERROR(VLOOKUP(G995,#REF!,1,0),"")="","",IF(INDEX(DATA!$AH$2:$AH$5,MATCH(G995,DATA!$AI$2:$AI$5,0))&lt;&gt;F995,"Wilayah beda","OK"))))</f>
        <v/>
      </c>
      <c r="V995" s="8" t="str">
        <f>IF($A995="","",TRIM(INDEX(FORM!$I:$I,ROW())&amp;""))</f>
        <v/>
      </c>
      <c r="W995" s="8" t="str">
        <f>IF($A995="","",TRIM(INDEX(FORM!$L:$L,ROW())&amp;""))</f>
        <v/>
      </c>
      <c r="X995" s="8" t="str">
        <f>IF($A995="","",TRIM(INDEX(FORM!$M:$M,ROW())&amp;""))</f>
        <v/>
      </c>
      <c r="Y995" s="8" t="str">
        <f>IF($A995="","",IFERROR(MATCH(F995,DATA!$AH$2:$AH$5,0),9)*10000+A995)</f>
        <v/>
      </c>
      <c r="Z995" s="8" t="str">
        <f t="shared" si="331"/>
        <v/>
      </c>
      <c r="AA995" s="8" t="str">
        <f t="shared" si="332"/>
        <v/>
      </c>
      <c r="AB995" s="8" t="str">
        <f t="shared" si="333"/>
        <v/>
      </c>
      <c r="AC995" s="8"/>
      <c r="AD995" s="8"/>
      <c r="AE995" s="8"/>
      <c r="AK995" s="5" t="str">
        <f t="shared" si="334"/>
        <v/>
      </c>
      <c r="AL995" s="5" t="str">
        <f t="shared" si="335"/>
        <v/>
      </c>
      <c r="AM995" s="5" t="str">
        <f t="shared" si="336"/>
        <v/>
      </c>
      <c r="AN995" s="5" t="str">
        <f t="shared" si="337"/>
        <v/>
      </c>
      <c r="AO995" s="5" t="str">
        <f t="shared" si="338"/>
        <v/>
      </c>
      <c r="AP995" s="5" t="str">
        <f t="shared" si="339"/>
        <v/>
      </c>
      <c r="AQ995" s="5" t="str">
        <f t="shared" si="340"/>
        <v/>
      </c>
      <c r="AR995" s="5" t="str">
        <f t="shared" si="341"/>
        <v/>
      </c>
      <c r="AS995" s="5" t="str">
        <f t="shared" si="342"/>
        <v/>
      </c>
      <c r="AT995" s="5" t="str">
        <f t="shared" si="343"/>
        <v/>
      </c>
      <c r="AU995" s="5" t="str">
        <f t="shared" si="344"/>
        <v/>
      </c>
      <c r="AV995" s="5" t="str">
        <f t="shared" si="345"/>
        <v/>
      </c>
      <c r="AW995" s="5" t="str">
        <f t="shared" si="346"/>
        <v/>
      </c>
      <c r="AX995" s="5" t="str">
        <f t="shared" si="347"/>
        <v/>
      </c>
      <c r="AY995" s="5" t="str">
        <f t="shared" si="348"/>
        <v/>
      </c>
      <c r="AZ995" s="5" t="str">
        <f t="shared" si="349"/>
        <v/>
      </c>
      <c r="BA995" s="5" t="str">
        <f t="shared" si="350"/>
        <v/>
      </c>
      <c r="BB995" s="5" t="str">
        <f t="shared" si="351"/>
        <v/>
      </c>
    </row>
    <row r="996" spans="1:54" s="5" customFormat="1" hidden="1">
      <c r="A996" s="8" t="str">
        <f>IF(INDEX(FORM!$A:$A,ROW())="","",ROW()-1)</f>
        <v/>
      </c>
      <c r="B996" s="41" t="str">
        <f>IF($A996="","",INDEX(FORM!$A:$A,ROW()))</f>
        <v/>
      </c>
      <c r="C996" s="8" t="str">
        <f>IF($A996="","",TRIM(INDEX(FORM!$B:$B,ROW())))</f>
        <v/>
      </c>
      <c r="D996" s="8" t="str">
        <f>IF($A996="","",TRIM(INDEX(FORM!$C:$C,ROW())&amp;""))</f>
        <v/>
      </c>
      <c r="E996" s="8" t="str">
        <f>IF($A996="","",UPPER(TRIM(INDEX(FORM!$D:$D,ROW()))))</f>
        <v/>
      </c>
      <c r="F996" s="8" t="str">
        <f>IF($A996="","",IFERROR(INDEX(PROGRES!$A$2:$A$92,MATCH(E996,PROGRES!$B$2:$B$92,0)),"-"))</f>
        <v/>
      </c>
      <c r="G996" s="8" t="str">
        <f>IF($A996="","",UPPER(TRIM(INDEX(FORM!$F:$F,ROW()))))</f>
        <v/>
      </c>
      <c r="H996" s="8" t="str">
        <f>IF($A996="","",UPPER(TRIM(INDEX(FORM!$E:$E,ROW()))))</f>
        <v/>
      </c>
      <c r="I996" s="8" t="str">
        <f>IF($A996="","",UPPER(TRIM(INDEX(FORM!$G:$G,ROW()))))</f>
        <v/>
      </c>
      <c r="J996" s="8" t="str">
        <f>IF($A996="","",IF(ISNUMBER(SEARCH("Ya,",INDEX(FORM!$H:$H,ROW()))),"YA",IF(ISNUMBER(SEARCH("Cukup,",INDEX(FORM!$H:$H,ROW()))),"CUKUP",IF(ISNUMBER(SEARCH("Kurang,",INDEX(FORM!$H:$H,ROW()))),"KURANG",""))))</f>
        <v/>
      </c>
      <c r="K996" s="8" t="str">
        <f>IF($A996="","",UPPER(TRIM(INDEX(FORM!$J:$J,ROW()))))</f>
        <v/>
      </c>
      <c r="L996" s="8" t="str">
        <f>IF($A996="","",IF(ISNUMBER(SEARCH("Aktivitas Harian",INDEX(FORM!$K:$K,ROW()))),1,0))</f>
        <v/>
      </c>
      <c r="M996" s="8" t="str">
        <f>IF($A996="","",IF(ISNUMBER(SEARCH("Aktivitas Mingguan",INDEX(FORM!$K:$K,ROW()))),1,0))</f>
        <v/>
      </c>
      <c r="N996" s="8" t="str">
        <f>IF($A996="","",IF(ISNUMBER(SEARCH("Aktivitas Bulanan",INDEX(FORM!$K:$K,ROW()))),1,0))</f>
        <v/>
      </c>
      <c r="O996" s="8" t="str">
        <f>IF($A996="","",IF(ISNUMBER(SEARCH("Overview Cabang",INDEX(FORM!$K:$K,ROW()))),1,0))</f>
        <v/>
      </c>
      <c r="P996" s="8" t="str">
        <f>IF($A996="","",IFERROR(VLOOKUP(I996,DATA!$AH$9:$AI$13,2,0),""))</f>
        <v/>
      </c>
      <c r="Q996" s="8" t="str">
        <f>IF($A996="","",IFERROR(VLOOKUP(J996,DATA!$AH$9:$AI$13,2,0),""))</f>
        <v/>
      </c>
      <c r="R996" s="8" t="str">
        <f>IF($A996="","",IFERROR(VLOOKUP(K996,DATA!$AH$9:$AI$13,2,0),""))</f>
        <v/>
      </c>
      <c r="S996" s="42" t="str">
        <f t="shared" si="330"/>
        <v/>
      </c>
      <c r="T996" s="8" t="str">
        <f>IF($A996="","",IF(COUNTIF($D$2:D996,D996)=1,1,0))</f>
        <v/>
      </c>
      <c r="U996" s="8" t="str">
        <f>IF($A996="","",IF(F996="-","Cabang tdk ada",IF(IFERROR(VLOOKUP(G996,#REF!,1,0),"")="","",IF(INDEX(DATA!$AH$2:$AH$5,MATCH(G996,DATA!$AI$2:$AI$5,0))&lt;&gt;F996,"Wilayah beda","OK"))))</f>
        <v/>
      </c>
      <c r="V996" s="8" t="str">
        <f>IF($A996="","",TRIM(INDEX(FORM!$I:$I,ROW())&amp;""))</f>
        <v/>
      </c>
      <c r="W996" s="8" t="str">
        <f>IF($A996="","",TRIM(INDEX(FORM!$L:$L,ROW())&amp;""))</f>
        <v/>
      </c>
      <c r="X996" s="8" t="str">
        <f>IF($A996="","",TRIM(INDEX(FORM!$M:$M,ROW())&amp;""))</f>
        <v/>
      </c>
      <c r="Y996" s="8" t="str">
        <f>IF($A996="","",IFERROR(MATCH(F996,DATA!$AH$2:$AH$5,0),9)*10000+A996)</f>
        <v/>
      </c>
      <c r="Z996" s="8" t="str">
        <f t="shared" si="331"/>
        <v/>
      </c>
      <c r="AA996" s="8" t="str">
        <f t="shared" si="332"/>
        <v/>
      </c>
      <c r="AB996" s="8" t="str">
        <f t="shared" si="333"/>
        <v/>
      </c>
      <c r="AC996" s="8"/>
      <c r="AD996" s="8"/>
      <c r="AE996" s="8"/>
      <c r="AK996" s="5" t="str">
        <f t="shared" si="334"/>
        <v/>
      </c>
      <c r="AL996" s="5" t="str">
        <f t="shared" si="335"/>
        <v/>
      </c>
      <c r="AM996" s="5" t="str">
        <f t="shared" si="336"/>
        <v/>
      </c>
      <c r="AN996" s="5" t="str">
        <f t="shared" si="337"/>
        <v/>
      </c>
      <c r="AO996" s="5" t="str">
        <f t="shared" si="338"/>
        <v/>
      </c>
      <c r="AP996" s="5" t="str">
        <f t="shared" si="339"/>
        <v/>
      </c>
      <c r="AQ996" s="5" t="str">
        <f t="shared" si="340"/>
        <v/>
      </c>
      <c r="AR996" s="5" t="str">
        <f t="shared" si="341"/>
        <v/>
      </c>
      <c r="AS996" s="5" t="str">
        <f t="shared" si="342"/>
        <v/>
      </c>
      <c r="AT996" s="5" t="str">
        <f t="shared" si="343"/>
        <v/>
      </c>
      <c r="AU996" s="5" t="str">
        <f t="shared" si="344"/>
        <v/>
      </c>
      <c r="AV996" s="5" t="str">
        <f t="shared" si="345"/>
        <v/>
      </c>
      <c r="AW996" s="5" t="str">
        <f t="shared" si="346"/>
        <v/>
      </c>
      <c r="AX996" s="5" t="str">
        <f t="shared" si="347"/>
        <v/>
      </c>
      <c r="AY996" s="5" t="str">
        <f t="shared" si="348"/>
        <v/>
      </c>
      <c r="AZ996" s="5" t="str">
        <f t="shared" si="349"/>
        <v/>
      </c>
      <c r="BA996" s="5" t="str">
        <f t="shared" si="350"/>
        <v/>
      </c>
      <c r="BB996" s="5" t="str">
        <f t="shared" si="351"/>
        <v/>
      </c>
    </row>
    <row r="997" spans="1:54" s="5" customFormat="1" hidden="1">
      <c r="A997" s="8" t="str">
        <f>IF(INDEX(FORM!$A:$A,ROW())="","",ROW()-1)</f>
        <v/>
      </c>
      <c r="B997" s="41" t="str">
        <f>IF($A997="","",INDEX(FORM!$A:$A,ROW()))</f>
        <v/>
      </c>
      <c r="C997" s="8" t="str">
        <f>IF($A997="","",TRIM(INDEX(FORM!$B:$B,ROW())))</f>
        <v/>
      </c>
      <c r="D997" s="8" t="str">
        <f>IF($A997="","",TRIM(INDEX(FORM!$C:$C,ROW())&amp;""))</f>
        <v/>
      </c>
      <c r="E997" s="8" t="str">
        <f>IF($A997="","",UPPER(TRIM(INDEX(FORM!$D:$D,ROW()))))</f>
        <v/>
      </c>
      <c r="F997" s="8" t="str">
        <f>IF($A997="","",IFERROR(INDEX(PROGRES!$A$2:$A$92,MATCH(E997,PROGRES!$B$2:$B$92,0)),"-"))</f>
        <v/>
      </c>
      <c r="G997" s="8" t="str">
        <f>IF($A997="","",UPPER(TRIM(INDEX(FORM!$F:$F,ROW()))))</f>
        <v/>
      </c>
      <c r="H997" s="8" t="str">
        <f>IF($A997="","",UPPER(TRIM(INDEX(FORM!$E:$E,ROW()))))</f>
        <v/>
      </c>
      <c r="I997" s="8" t="str">
        <f>IF($A997="","",UPPER(TRIM(INDEX(FORM!$G:$G,ROW()))))</f>
        <v/>
      </c>
      <c r="J997" s="8" t="str">
        <f>IF($A997="","",IF(ISNUMBER(SEARCH("Ya,",INDEX(FORM!$H:$H,ROW()))),"YA",IF(ISNUMBER(SEARCH("Cukup,",INDEX(FORM!$H:$H,ROW()))),"CUKUP",IF(ISNUMBER(SEARCH("Kurang,",INDEX(FORM!$H:$H,ROW()))),"KURANG",""))))</f>
        <v/>
      </c>
      <c r="K997" s="8" t="str">
        <f>IF($A997="","",UPPER(TRIM(INDEX(FORM!$J:$J,ROW()))))</f>
        <v/>
      </c>
      <c r="L997" s="8" t="str">
        <f>IF($A997="","",IF(ISNUMBER(SEARCH("Aktivitas Harian",INDEX(FORM!$K:$K,ROW()))),1,0))</f>
        <v/>
      </c>
      <c r="M997" s="8" t="str">
        <f>IF($A997="","",IF(ISNUMBER(SEARCH("Aktivitas Mingguan",INDEX(FORM!$K:$K,ROW()))),1,0))</f>
        <v/>
      </c>
      <c r="N997" s="8" t="str">
        <f>IF($A997="","",IF(ISNUMBER(SEARCH("Aktivitas Bulanan",INDEX(FORM!$K:$K,ROW()))),1,0))</f>
        <v/>
      </c>
      <c r="O997" s="8" t="str">
        <f>IF($A997="","",IF(ISNUMBER(SEARCH("Overview Cabang",INDEX(FORM!$K:$K,ROW()))),1,0))</f>
        <v/>
      </c>
      <c r="P997" s="8" t="str">
        <f>IF($A997="","",IFERROR(VLOOKUP(I997,DATA!$AH$9:$AI$13,2,0),""))</f>
        <v/>
      </c>
      <c r="Q997" s="8" t="str">
        <f>IF($A997="","",IFERROR(VLOOKUP(J997,DATA!$AH$9:$AI$13,2,0),""))</f>
        <v/>
      </c>
      <c r="R997" s="8" t="str">
        <f>IF($A997="","",IFERROR(VLOOKUP(K997,DATA!$AH$9:$AI$13,2,0),""))</f>
        <v/>
      </c>
      <c r="S997" s="42" t="str">
        <f t="shared" si="330"/>
        <v/>
      </c>
      <c r="T997" s="8" t="str">
        <f>IF($A997="","",IF(COUNTIF($D$2:D997,D997)=1,1,0))</f>
        <v/>
      </c>
      <c r="U997" s="8" t="str">
        <f>IF($A997="","",IF(F997="-","Cabang tdk ada",IF(IFERROR(VLOOKUP(G997,#REF!,1,0),"")="","",IF(INDEX(DATA!$AH$2:$AH$5,MATCH(G997,DATA!$AI$2:$AI$5,0))&lt;&gt;F997,"Wilayah beda","OK"))))</f>
        <v/>
      </c>
      <c r="V997" s="8" t="str">
        <f>IF($A997="","",TRIM(INDEX(FORM!$I:$I,ROW())&amp;""))</f>
        <v/>
      </c>
      <c r="W997" s="8" t="str">
        <f>IF($A997="","",TRIM(INDEX(FORM!$L:$L,ROW())&amp;""))</f>
        <v/>
      </c>
      <c r="X997" s="8" t="str">
        <f>IF($A997="","",TRIM(INDEX(FORM!$M:$M,ROW())&amp;""))</f>
        <v/>
      </c>
      <c r="Y997" s="8" t="str">
        <f>IF($A997="","",IFERROR(MATCH(F997,DATA!$AH$2:$AH$5,0),9)*10000+A997)</f>
        <v/>
      </c>
      <c r="Z997" s="8" t="str">
        <f t="shared" si="331"/>
        <v/>
      </c>
      <c r="AA997" s="8" t="str">
        <f t="shared" si="332"/>
        <v/>
      </c>
      <c r="AB997" s="8" t="str">
        <f t="shared" si="333"/>
        <v/>
      </c>
      <c r="AC997" s="8"/>
      <c r="AD997" s="8"/>
      <c r="AE997" s="8"/>
      <c r="AK997" s="5" t="str">
        <f t="shared" si="334"/>
        <v/>
      </c>
      <c r="AL997" s="5" t="str">
        <f t="shared" si="335"/>
        <v/>
      </c>
      <c r="AM997" s="5" t="str">
        <f t="shared" si="336"/>
        <v/>
      </c>
      <c r="AN997" s="5" t="str">
        <f t="shared" si="337"/>
        <v/>
      </c>
      <c r="AO997" s="5" t="str">
        <f t="shared" si="338"/>
        <v/>
      </c>
      <c r="AP997" s="5" t="str">
        <f t="shared" si="339"/>
        <v/>
      </c>
      <c r="AQ997" s="5" t="str">
        <f t="shared" si="340"/>
        <v/>
      </c>
      <c r="AR997" s="5" t="str">
        <f t="shared" si="341"/>
        <v/>
      </c>
      <c r="AS997" s="5" t="str">
        <f t="shared" si="342"/>
        <v/>
      </c>
      <c r="AT997" s="5" t="str">
        <f t="shared" si="343"/>
        <v/>
      </c>
      <c r="AU997" s="5" t="str">
        <f t="shared" si="344"/>
        <v/>
      </c>
      <c r="AV997" s="5" t="str">
        <f t="shared" si="345"/>
        <v/>
      </c>
      <c r="AW997" s="5" t="str">
        <f t="shared" si="346"/>
        <v/>
      </c>
      <c r="AX997" s="5" t="str">
        <f t="shared" si="347"/>
        <v/>
      </c>
      <c r="AY997" s="5" t="str">
        <f t="shared" si="348"/>
        <v/>
      </c>
      <c r="AZ997" s="5" t="str">
        <f t="shared" si="349"/>
        <v/>
      </c>
      <c r="BA997" s="5" t="str">
        <f t="shared" si="350"/>
        <v/>
      </c>
      <c r="BB997" s="5" t="str">
        <f t="shared" si="351"/>
        <v/>
      </c>
    </row>
    <row r="998" spans="1:54" s="5" customFormat="1" hidden="1">
      <c r="A998" s="8" t="str">
        <f>IF(INDEX(FORM!$A:$A,ROW())="","",ROW()-1)</f>
        <v/>
      </c>
      <c r="B998" s="41" t="str">
        <f>IF($A998="","",INDEX(FORM!$A:$A,ROW()))</f>
        <v/>
      </c>
      <c r="C998" s="8" t="str">
        <f>IF($A998="","",TRIM(INDEX(FORM!$B:$B,ROW())))</f>
        <v/>
      </c>
      <c r="D998" s="8" t="str">
        <f>IF($A998="","",TRIM(INDEX(FORM!$C:$C,ROW())&amp;""))</f>
        <v/>
      </c>
      <c r="E998" s="8" t="str">
        <f>IF($A998="","",UPPER(TRIM(INDEX(FORM!$D:$D,ROW()))))</f>
        <v/>
      </c>
      <c r="F998" s="8" t="str">
        <f>IF($A998="","",IFERROR(INDEX(PROGRES!$A$2:$A$92,MATCH(E998,PROGRES!$B$2:$B$92,0)),"-"))</f>
        <v/>
      </c>
      <c r="G998" s="8" t="str">
        <f>IF($A998="","",UPPER(TRIM(INDEX(FORM!$F:$F,ROW()))))</f>
        <v/>
      </c>
      <c r="H998" s="8" t="str">
        <f>IF($A998="","",UPPER(TRIM(INDEX(FORM!$E:$E,ROW()))))</f>
        <v/>
      </c>
      <c r="I998" s="8" t="str">
        <f>IF($A998="","",UPPER(TRIM(INDEX(FORM!$G:$G,ROW()))))</f>
        <v/>
      </c>
      <c r="J998" s="8" t="str">
        <f>IF($A998="","",IF(ISNUMBER(SEARCH("Ya,",INDEX(FORM!$H:$H,ROW()))),"YA",IF(ISNUMBER(SEARCH("Cukup,",INDEX(FORM!$H:$H,ROW()))),"CUKUP",IF(ISNUMBER(SEARCH("Kurang,",INDEX(FORM!$H:$H,ROW()))),"KURANG",""))))</f>
        <v/>
      </c>
      <c r="K998" s="8" t="str">
        <f>IF($A998="","",UPPER(TRIM(INDEX(FORM!$J:$J,ROW()))))</f>
        <v/>
      </c>
      <c r="L998" s="8" t="str">
        <f>IF($A998="","",IF(ISNUMBER(SEARCH("Aktivitas Harian",INDEX(FORM!$K:$K,ROW()))),1,0))</f>
        <v/>
      </c>
      <c r="M998" s="8" t="str">
        <f>IF($A998="","",IF(ISNUMBER(SEARCH("Aktivitas Mingguan",INDEX(FORM!$K:$K,ROW()))),1,0))</f>
        <v/>
      </c>
      <c r="N998" s="8" t="str">
        <f>IF($A998="","",IF(ISNUMBER(SEARCH("Aktivitas Bulanan",INDEX(FORM!$K:$K,ROW()))),1,0))</f>
        <v/>
      </c>
      <c r="O998" s="8" t="str">
        <f>IF($A998="","",IF(ISNUMBER(SEARCH("Overview Cabang",INDEX(FORM!$K:$K,ROW()))),1,0))</f>
        <v/>
      </c>
      <c r="P998" s="8" t="str">
        <f>IF($A998="","",IFERROR(VLOOKUP(I998,DATA!$AH$9:$AI$13,2,0),""))</f>
        <v/>
      </c>
      <c r="Q998" s="8" t="str">
        <f>IF($A998="","",IFERROR(VLOOKUP(J998,DATA!$AH$9:$AI$13,2,0),""))</f>
        <v/>
      </c>
      <c r="R998" s="8" t="str">
        <f>IF($A998="","",IFERROR(VLOOKUP(K998,DATA!$AH$9:$AI$13,2,0),""))</f>
        <v/>
      </c>
      <c r="S998" s="42" t="str">
        <f t="shared" si="330"/>
        <v/>
      </c>
      <c r="T998" s="8" t="str">
        <f>IF($A998="","",IF(COUNTIF($D$2:D998,D998)=1,1,0))</f>
        <v/>
      </c>
      <c r="U998" s="8" t="str">
        <f>IF($A998="","",IF(F998="-","Cabang tdk ada",IF(IFERROR(VLOOKUP(G998,#REF!,1,0),"")="","",IF(INDEX(DATA!$AH$2:$AH$5,MATCH(G998,DATA!$AI$2:$AI$5,0))&lt;&gt;F998,"Wilayah beda","OK"))))</f>
        <v/>
      </c>
      <c r="V998" s="8" t="str">
        <f>IF($A998="","",TRIM(INDEX(FORM!$I:$I,ROW())&amp;""))</f>
        <v/>
      </c>
      <c r="W998" s="8" t="str">
        <f>IF($A998="","",TRIM(INDEX(FORM!$L:$L,ROW())&amp;""))</f>
        <v/>
      </c>
      <c r="X998" s="8" t="str">
        <f>IF($A998="","",TRIM(INDEX(FORM!$M:$M,ROW())&amp;""))</f>
        <v/>
      </c>
      <c r="Y998" s="8" t="str">
        <f>IF($A998="","",IFERROR(MATCH(F998,DATA!$AH$2:$AH$5,0),9)*10000+A998)</f>
        <v/>
      </c>
      <c r="Z998" s="8" t="str">
        <f t="shared" si="331"/>
        <v/>
      </c>
      <c r="AA998" s="8" t="str">
        <f t="shared" si="332"/>
        <v/>
      </c>
      <c r="AB998" s="8" t="str">
        <f t="shared" si="333"/>
        <v/>
      </c>
      <c r="AC998" s="8"/>
      <c r="AD998" s="8"/>
      <c r="AE998" s="8"/>
      <c r="AK998" s="5" t="str">
        <f t="shared" si="334"/>
        <v/>
      </c>
      <c r="AL998" s="5" t="str">
        <f t="shared" si="335"/>
        <v/>
      </c>
      <c r="AM998" s="5" t="str">
        <f t="shared" si="336"/>
        <v/>
      </c>
      <c r="AN998" s="5" t="str">
        <f t="shared" si="337"/>
        <v/>
      </c>
      <c r="AO998" s="5" t="str">
        <f t="shared" si="338"/>
        <v/>
      </c>
      <c r="AP998" s="5" t="str">
        <f t="shared" si="339"/>
        <v/>
      </c>
      <c r="AQ998" s="5" t="str">
        <f t="shared" si="340"/>
        <v/>
      </c>
      <c r="AR998" s="5" t="str">
        <f t="shared" si="341"/>
        <v/>
      </c>
      <c r="AS998" s="5" t="str">
        <f t="shared" si="342"/>
        <v/>
      </c>
      <c r="AT998" s="5" t="str">
        <f t="shared" si="343"/>
        <v/>
      </c>
      <c r="AU998" s="5" t="str">
        <f t="shared" si="344"/>
        <v/>
      </c>
      <c r="AV998" s="5" t="str">
        <f t="shared" si="345"/>
        <v/>
      </c>
      <c r="AW998" s="5" t="str">
        <f t="shared" si="346"/>
        <v/>
      </c>
      <c r="AX998" s="5" t="str">
        <f t="shared" si="347"/>
        <v/>
      </c>
      <c r="AY998" s="5" t="str">
        <f t="shared" si="348"/>
        <v/>
      </c>
      <c r="AZ998" s="5" t="str">
        <f t="shared" si="349"/>
        <v/>
      </c>
      <c r="BA998" s="5" t="str">
        <f t="shared" si="350"/>
        <v/>
      </c>
      <c r="BB998" s="5" t="str">
        <f t="shared" si="351"/>
        <v/>
      </c>
    </row>
    <row r="999" spans="1:54" s="5" customFormat="1" hidden="1">
      <c r="A999" s="8" t="str">
        <f>IF(INDEX(FORM!$A:$A,ROW())="","",ROW()-1)</f>
        <v/>
      </c>
      <c r="B999" s="41" t="str">
        <f>IF($A999="","",INDEX(FORM!$A:$A,ROW()))</f>
        <v/>
      </c>
      <c r="C999" s="8" t="str">
        <f>IF($A999="","",TRIM(INDEX(FORM!$B:$B,ROW())))</f>
        <v/>
      </c>
      <c r="D999" s="8" t="str">
        <f>IF($A999="","",TRIM(INDEX(FORM!$C:$C,ROW())&amp;""))</f>
        <v/>
      </c>
      <c r="E999" s="8" t="str">
        <f>IF($A999="","",UPPER(TRIM(INDEX(FORM!$D:$D,ROW()))))</f>
        <v/>
      </c>
      <c r="F999" s="8" t="str">
        <f>IF($A999="","",IFERROR(INDEX(PROGRES!$A$2:$A$92,MATCH(E999,PROGRES!$B$2:$B$92,0)),"-"))</f>
        <v/>
      </c>
      <c r="G999" s="8" t="str">
        <f>IF($A999="","",UPPER(TRIM(INDEX(FORM!$F:$F,ROW()))))</f>
        <v/>
      </c>
      <c r="H999" s="8" t="str">
        <f>IF($A999="","",UPPER(TRIM(INDEX(FORM!$E:$E,ROW()))))</f>
        <v/>
      </c>
      <c r="I999" s="8" t="str">
        <f>IF($A999="","",UPPER(TRIM(INDEX(FORM!$G:$G,ROW()))))</f>
        <v/>
      </c>
      <c r="J999" s="8" t="str">
        <f>IF($A999="","",IF(ISNUMBER(SEARCH("Ya,",INDEX(FORM!$H:$H,ROW()))),"YA",IF(ISNUMBER(SEARCH("Cukup,",INDEX(FORM!$H:$H,ROW()))),"CUKUP",IF(ISNUMBER(SEARCH("Kurang,",INDEX(FORM!$H:$H,ROW()))),"KURANG",""))))</f>
        <v/>
      </c>
      <c r="K999" s="8" t="str">
        <f>IF($A999="","",UPPER(TRIM(INDEX(FORM!$J:$J,ROW()))))</f>
        <v/>
      </c>
      <c r="L999" s="8" t="str">
        <f>IF($A999="","",IF(ISNUMBER(SEARCH("Aktivitas Harian",INDEX(FORM!$K:$K,ROW()))),1,0))</f>
        <v/>
      </c>
      <c r="M999" s="8" t="str">
        <f>IF($A999="","",IF(ISNUMBER(SEARCH("Aktivitas Mingguan",INDEX(FORM!$K:$K,ROW()))),1,0))</f>
        <v/>
      </c>
      <c r="N999" s="8" t="str">
        <f>IF($A999="","",IF(ISNUMBER(SEARCH("Aktivitas Bulanan",INDEX(FORM!$K:$K,ROW()))),1,0))</f>
        <v/>
      </c>
      <c r="O999" s="8" t="str">
        <f>IF($A999="","",IF(ISNUMBER(SEARCH("Overview Cabang",INDEX(FORM!$K:$K,ROW()))),1,0))</f>
        <v/>
      </c>
      <c r="P999" s="8" t="str">
        <f>IF($A999="","",IFERROR(VLOOKUP(I999,DATA!$AH$9:$AI$13,2,0),""))</f>
        <v/>
      </c>
      <c r="Q999" s="8" t="str">
        <f>IF($A999="","",IFERROR(VLOOKUP(J999,DATA!$AH$9:$AI$13,2,0),""))</f>
        <v/>
      </c>
      <c r="R999" s="8" t="str">
        <f>IF($A999="","",IFERROR(VLOOKUP(K999,DATA!$AH$9:$AI$13,2,0),""))</f>
        <v/>
      </c>
      <c r="S999" s="42" t="str">
        <f t="shared" si="330"/>
        <v/>
      </c>
      <c r="T999" s="8" t="str">
        <f>IF($A999="","",IF(COUNTIF($D$2:D999,D999)=1,1,0))</f>
        <v/>
      </c>
      <c r="U999" s="8" t="str">
        <f>IF($A999="","",IF(F999="-","Cabang tdk ada",IF(IFERROR(VLOOKUP(G999,#REF!,1,0),"")="","",IF(INDEX(DATA!$AH$2:$AH$5,MATCH(G999,DATA!$AI$2:$AI$5,0))&lt;&gt;F999,"Wilayah beda","OK"))))</f>
        <v/>
      </c>
      <c r="V999" s="8" t="str">
        <f>IF($A999="","",TRIM(INDEX(FORM!$I:$I,ROW())&amp;""))</f>
        <v/>
      </c>
      <c r="W999" s="8" t="str">
        <f>IF($A999="","",TRIM(INDEX(FORM!$L:$L,ROW())&amp;""))</f>
        <v/>
      </c>
      <c r="X999" s="8" t="str">
        <f>IF($A999="","",TRIM(INDEX(FORM!$M:$M,ROW())&amp;""))</f>
        <v/>
      </c>
      <c r="Y999" s="8" t="str">
        <f>IF($A999="","",IFERROR(MATCH(F999,DATA!$AH$2:$AH$5,0),9)*10000+A999)</f>
        <v/>
      </c>
      <c r="Z999" s="8" t="str">
        <f t="shared" si="331"/>
        <v/>
      </c>
      <c r="AA999" s="8" t="str">
        <f t="shared" si="332"/>
        <v/>
      </c>
      <c r="AB999" s="8" t="str">
        <f t="shared" si="333"/>
        <v/>
      </c>
      <c r="AC999" s="8"/>
      <c r="AD999" s="8"/>
      <c r="AE999" s="8"/>
      <c r="AK999" s="5" t="str">
        <f t="shared" si="334"/>
        <v/>
      </c>
      <c r="AL999" s="5" t="str">
        <f t="shared" si="335"/>
        <v/>
      </c>
      <c r="AM999" s="5" t="str">
        <f t="shared" si="336"/>
        <v/>
      </c>
      <c r="AN999" s="5" t="str">
        <f t="shared" si="337"/>
        <v/>
      </c>
      <c r="AO999" s="5" t="str">
        <f t="shared" si="338"/>
        <v/>
      </c>
      <c r="AP999" s="5" t="str">
        <f t="shared" si="339"/>
        <v/>
      </c>
      <c r="AQ999" s="5" t="str">
        <f t="shared" si="340"/>
        <v/>
      </c>
      <c r="AR999" s="5" t="str">
        <f t="shared" si="341"/>
        <v/>
      </c>
      <c r="AS999" s="5" t="str">
        <f t="shared" si="342"/>
        <v/>
      </c>
      <c r="AT999" s="5" t="str">
        <f t="shared" si="343"/>
        <v/>
      </c>
      <c r="AU999" s="5" t="str">
        <f t="shared" si="344"/>
        <v/>
      </c>
      <c r="AV999" s="5" t="str">
        <f t="shared" si="345"/>
        <v/>
      </c>
      <c r="AW999" s="5" t="str">
        <f t="shared" si="346"/>
        <v/>
      </c>
      <c r="AX999" s="5" t="str">
        <f t="shared" si="347"/>
        <v/>
      </c>
      <c r="AY999" s="5" t="str">
        <f t="shared" si="348"/>
        <v/>
      </c>
      <c r="AZ999" s="5" t="str">
        <f t="shared" si="349"/>
        <v/>
      </c>
      <c r="BA999" s="5" t="str">
        <f t="shared" si="350"/>
        <v/>
      </c>
      <c r="BB999" s="5" t="str">
        <f t="shared" si="351"/>
        <v/>
      </c>
    </row>
    <row r="1000" spans="1:54" s="5" customFormat="1" hidden="1">
      <c r="A1000" s="8" t="str">
        <f>IF(INDEX(FORM!$A:$A,ROW())="","",ROW()-1)</f>
        <v/>
      </c>
      <c r="B1000" s="41" t="str">
        <f>IF($A1000="","",INDEX(FORM!$A:$A,ROW()))</f>
        <v/>
      </c>
      <c r="C1000" s="8" t="str">
        <f>IF($A1000="","",TRIM(INDEX(FORM!$B:$B,ROW())))</f>
        <v/>
      </c>
      <c r="D1000" s="8" t="str">
        <f>IF($A1000="","",TRIM(INDEX(FORM!$C:$C,ROW())&amp;""))</f>
        <v/>
      </c>
      <c r="E1000" s="8" t="str">
        <f>IF($A1000="","",UPPER(TRIM(INDEX(FORM!$D:$D,ROW()))))</f>
        <v/>
      </c>
      <c r="F1000" s="8" t="str">
        <f>IF($A1000="","",IFERROR(INDEX(PROGRES!$A$2:$A$92,MATCH(E1000,PROGRES!$B$2:$B$92,0)),"-"))</f>
        <v/>
      </c>
      <c r="G1000" s="8" t="str">
        <f>IF($A1000="","",UPPER(TRIM(INDEX(FORM!$F:$F,ROW()))))</f>
        <v/>
      </c>
      <c r="H1000" s="8" t="str">
        <f>IF($A1000="","",UPPER(TRIM(INDEX(FORM!$E:$E,ROW()))))</f>
        <v/>
      </c>
      <c r="I1000" s="8" t="str">
        <f>IF($A1000="","",UPPER(TRIM(INDEX(FORM!$G:$G,ROW()))))</f>
        <v/>
      </c>
      <c r="J1000" s="8" t="str">
        <f>IF($A1000="","",IF(ISNUMBER(SEARCH("Ya,",INDEX(FORM!$H:$H,ROW()))),"YA",IF(ISNUMBER(SEARCH("Cukup,",INDEX(FORM!$H:$H,ROW()))),"CUKUP",IF(ISNUMBER(SEARCH("Kurang,",INDEX(FORM!$H:$H,ROW()))),"KURANG",""))))</f>
        <v/>
      </c>
      <c r="K1000" s="8" t="str">
        <f>IF($A1000="","",UPPER(TRIM(INDEX(FORM!$J:$J,ROW()))))</f>
        <v/>
      </c>
      <c r="L1000" s="8" t="str">
        <f>IF($A1000="","",IF(ISNUMBER(SEARCH("Aktivitas Harian",INDEX(FORM!$K:$K,ROW()))),1,0))</f>
        <v/>
      </c>
      <c r="M1000" s="8" t="str">
        <f>IF($A1000="","",IF(ISNUMBER(SEARCH("Aktivitas Mingguan",INDEX(FORM!$K:$K,ROW()))),1,0))</f>
        <v/>
      </c>
      <c r="N1000" s="8" t="str">
        <f>IF($A1000="","",IF(ISNUMBER(SEARCH("Aktivitas Bulanan",INDEX(FORM!$K:$K,ROW()))),1,0))</f>
        <v/>
      </c>
      <c r="O1000" s="8" t="str">
        <f>IF($A1000="","",IF(ISNUMBER(SEARCH("Overview Cabang",INDEX(FORM!$K:$K,ROW()))),1,0))</f>
        <v/>
      </c>
      <c r="P1000" s="8" t="str">
        <f>IF($A1000="","",IFERROR(VLOOKUP(I1000,DATA!$AH$9:$AI$13,2,0),""))</f>
        <v/>
      </c>
      <c r="Q1000" s="8" t="str">
        <f>IF($A1000="","",IFERROR(VLOOKUP(J1000,DATA!$AH$9:$AI$13,2,0),""))</f>
        <v/>
      </c>
      <c r="R1000" s="8" t="str">
        <f>IF($A1000="","",IFERROR(VLOOKUP(K1000,DATA!$AH$9:$AI$13,2,0),""))</f>
        <v/>
      </c>
      <c r="S1000" s="42" t="str">
        <f t="shared" si="330"/>
        <v/>
      </c>
      <c r="T1000" s="8" t="str">
        <f>IF($A1000="","",IF(COUNTIF($D$2:D1000,D1000)=1,1,0))</f>
        <v/>
      </c>
      <c r="U1000" s="8" t="str">
        <f>IF($A1000="","",IF(F1000="-","Cabang tdk ada",IF(IFERROR(VLOOKUP(G1000,#REF!,1,0),"")="","",IF(INDEX(DATA!$AH$2:$AH$5,MATCH(G1000,DATA!$AI$2:$AI$5,0))&lt;&gt;F1000,"Wilayah beda","OK"))))</f>
        <v/>
      </c>
      <c r="V1000" s="8" t="str">
        <f>IF($A1000="","",TRIM(INDEX(FORM!$I:$I,ROW())&amp;""))</f>
        <v/>
      </c>
      <c r="W1000" s="8" t="str">
        <f>IF($A1000="","",TRIM(INDEX(FORM!$L:$L,ROW())&amp;""))</f>
        <v/>
      </c>
      <c r="X1000" s="8" t="str">
        <f>IF($A1000="","",TRIM(INDEX(FORM!$M:$M,ROW())&amp;""))</f>
        <v/>
      </c>
      <c r="Y1000" s="8" t="str">
        <f>IF($A1000="","",IFERROR(MATCH(F1000,DATA!$AH$2:$AH$5,0),9)*10000+A1000)</f>
        <v/>
      </c>
      <c r="Z1000" s="8" t="str">
        <f t="shared" si="331"/>
        <v/>
      </c>
      <c r="AA1000" s="8" t="str">
        <f t="shared" si="332"/>
        <v/>
      </c>
      <c r="AB1000" s="8" t="str">
        <f t="shared" si="333"/>
        <v/>
      </c>
      <c r="AC1000" s="8"/>
      <c r="AD1000" s="8"/>
      <c r="AE1000" s="8"/>
      <c r="AK1000" s="5" t="str">
        <f t="shared" si="334"/>
        <v/>
      </c>
      <c r="AL1000" s="5" t="str">
        <f t="shared" si="335"/>
        <v/>
      </c>
      <c r="AM1000" s="5" t="str">
        <f t="shared" si="336"/>
        <v/>
      </c>
      <c r="AN1000" s="5" t="str">
        <f t="shared" si="337"/>
        <v/>
      </c>
      <c r="AO1000" s="5" t="str">
        <f t="shared" si="338"/>
        <v/>
      </c>
      <c r="AP1000" s="5" t="str">
        <f t="shared" si="339"/>
        <v/>
      </c>
      <c r="AQ1000" s="5" t="str">
        <f t="shared" si="340"/>
        <v/>
      </c>
      <c r="AR1000" s="5" t="str">
        <f t="shared" si="341"/>
        <v/>
      </c>
      <c r="AS1000" s="5" t="str">
        <f t="shared" si="342"/>
        <v/>
      </c>
      <c r="AT1000" s="5" t="str">
        <f t="shared" si="343"/>
        <v/>
      </c>
      <c r="AU1000" s="5" t="str">
        <f t="shared" si="344"/>
        <v/>
      </c>
      <c r="AV1000" s="5" t="str">
        <f t="shared" si="345"/>
        <v/>
      </c>
      <c r="AW1000" s="5" t="str">
        <f t="shared" si="346"/>
        <v/>
      </c>
      <c r="AX1000" s="5" t="str">
        <f t="shared" si="347"/>
        <v/>
      </c>
      <c r="AY1000" s="5" t="str">
        <f t="shared" si="348"/>
        <v/>
      </c>
      <c r="AZ1000" s="5" t="str">
        <f t="shared" si="349"/>
        <v/>
      </c>
      <c r="BA1000" s="5" t="str">
        <f t="shared" si="350"/>
        <v/>
      </c>
      <c r="BB1000" s="5" t="str">
        <f t="shared" si="351"/>
        <v/>
      </c>
    </row>
    <row r="1001" spans="1:54" s="5" customFormat="1" hidden="1">
      <c r="A1001" s="8" t="str">
        <f>IF(INDEX(FORM!$A:$A,ROW())="","",ROW()-1)</f>
        <v/>
      </c>
      <c r="B1001" s="41" t="str">
        <f>IF($A1001="","",INDEX(FORM!$A:$A,ROW()))</f>
        <v/>
      </c>
      <c r="C1001" s="8" t="str">
        <f>IF($A1001="","",TRIM(INDEX(FORM!$B:$B,ROW())))</f>
        <v/>
      </c>
      <c r="D1001" s="8" t="str">
        <f>IF($A1001="","",TRIM(INDEX(FORM!$C:$C,ROW())&amp;""))</f>
        <v/>
      </c>
      <c r="E1001" s="8" t="str">
        <f>IF($A1001="","",UPPER(TRIM(INDEX(FORM!$D:$D,ROW()))))</f>
        <v/>
      </c>
      <c r="F1001" s="8" t="str">
        <f>IF($A1001="","",IFERROR(INDEX(PROGRES!$A$2:$A$92,MATCH(E1001,PROGRES!$B$2:$B$92,0)),"-"))</f>
        <v/>
      </c>
      <c r="G1001" s="8" t="str">
        <f>IF($A1001="","",UPPER(TRIM(INDEX(FORM!$F:$F,ROW()))))</f>
        <v/>
      </c>
      <c r="H1001" s="8" t="str">
        <f>IF($A1001="","",UPPER(TRIM(INDEX(FORM!$E:$E,ROW()))))</f>
        <v/>
      </c>
      <c r="I1001" s="8" t="str">
        <f>IF($A1001="","",UPPER(TRIM(INDEX(FORM!$G:$G,ROW()))))</f>
        <v/>
      </c>
      <c r="J1001" s="8" t="str">
        <f>IF($A1001="","",IF(ISNUMBER(SEARCH("Ya,",INDEX(FORM!$H:$H,ROW()))),"YA",IF(ISNUMBER(SEARCH("Cukup,",INDEX(FORM!$H:$H,ROW()))),"CUKUP",IF(ISNUMBER(SEARCH("Kurang,",INDEX(FORM!$H:$H,ROW()))),"KURANG",""))))</f>
        <v/>
      </c>
      <c r="K1001" s="8" t="str">
        <f>IF($A1001="","",UPPER(TRIM(INDEX(FORM!$J:$J,ROW()))))</f>
        <v/>
      </c>
      <c r="L1001" s="8" t="str">
        <f>IF($A1001="","",IF(ISNUMBER(SEARCH("Aktivitas Harian",INDEX(FORM!$K:$K,ROW()))),1,0))</f>
        <v/>
      </c>
      <c r="M1001" s="8" t="str">
        <f>IF($A1001="","",IF(ISNUMBER(SEARCH("Aktivitas Mingguan",INDEX(FORM!$K:$K,ROW()))),1,0))</f>
        <v/>
      </c>
      <c r="N1001" s="8" t="str">
        <f>IF($A1001="","",IF(ISNUMBER(SEARCH("Aktivitas Bulanan",INDEX(FORM!$K:$K,ROW()))),1,0))</f>
        <v/>
      </c>
      <c r="O1001" s="8" t="str">
        <f>IF($A1001="","",IF(ISNUMBER(SEARCH("Overview Cabang",INDEX(FORM!$K:$K,ROW()))),1,0))</f>
        <v/>
      </c>
      <c r="P1001" s="8" t="str">
        <f>IF($A1001="","",IFERROR(VLOOKUP(I1001,DATA!$AH$9:$AI$13,2,0),""))</f>
        <v/>
      </c>
      <c r="Q1001" s="8" t="str">
        <f>IF($A1001="","",IFERROR(VLOOKUP(J1001,DATA!$AH$9:$AI$13,2,0),""))</f>
        <v/>
      </c>
      <c r="R1001" s="8" t="str">
        <f>IF($A1001="","",IFERROR(VLOOKUP(K1001,DATA!$AH$9:$AI$13,2,0),""))</f>
        <v/>
      </c>
      <c r="S1001" s="42" t="str">
        <f t="shared" si="330"/>
        <v/>
      </c>
      <c r="T1001" s="8" t="str">
        <f>IF($A1001="","",IF(COUNTIF($D$2:D1001,D1001)=1,1,0))</f>
        <v/>
      </c>
      <c r="U1001" s="8" t="str">
        <f>IF($A1001="","",IF(F1001="-","Cabang tdk ada",IF(IFERROR(VLOOKUP(G1001,#REF!,1,0),"")="","",IF(INDEX(DATA!$AH$2:$AH$5,MATCH(G1001,DATA!$AI$2:$AI$5,0))&lt;&gt;F1001,"Wilayah beda","OK"))))</f>
        <v/>
      </c>
      <c r="V1001" s="8" t="str">
        <f>IF($A1001="","",TRIM(INDEX(FORM!$I:$I,ROW())&amp;""))</f>
        <v/>
      </c>
      <c r="W1001" s="8" t="str">
        <f>IF($A1001="","",TRIM(INDEX(FORM!$L:$L,ROW())&amp;""))</f>
        <v/>
      </c>
      <c r="X1001" s="8" t="str">
        <f>IF($A1001="","",TRIM(INDEX(FORM!$M:$M,ROW())&amp;""))</f>
        <v/>
      </c>
      <c r="Y1001" s="8" t="str">
        <f>IF($A1001="","",IFERROR(MATCH(F1001,DATA!$AH$2:$AH$5,0),9)*10000+A1001)</f>
        <v/>
      </c>
      <c r="Z1001" s="8" t="str">
        <f t="shared" si="331"/>
        <v/>
      </c>
      <c r="AA1001" s="8" t="str">
        <f t="shared" si="332"/>
        <v/>
      </c>
      <c r="AB1001" s="8" t="str">
        <f t="shared" si="333"/>
        <v/>
      </c>
      <c r="AC1001" s="8"/>
      <c r="AD1001" s="8"/>
      <c r="AE1001" s="8"/>
      <c r="AK1001" s="5" t="str">
        <f t="shared" si="334"/>
        <v/>
      </c>
      <c r="AL1001" s="5" t="str">
        <f t="shared" si="335"/>
        <v/>
      </c>
      <c r="AM1001" s="5" t="str">
        <f t="shared" si="336"/>
        <v/>
      </c>
      <c r="AN1001" s="5" t="str">
        <f t="shared" si="337"/>
        <v/>
      </c>
      <c r="AO1001" s="5" t="str">
        <f t="shared" si="338"/>
        <v/>
      </c>
      <c r="AP1001" s="5" t="str">
        <f t="shared" si="339"/>
        <v/>
      </c>
      <c r="AQ1001" s="5" t="str">
        <f t="shared" si="340"/>
        <v/>
      </c>
      <c r="AR1001" s="5" t="str">
        <f t="shared" si="341"/>
        <v/>
      </c>
      <c r="AS1001" s="5" t="str">
        <f t="shared" si="342"/>
        <v/>
      </c>
      <c r="AT1001" s="5" t="str">
        <f t="shared" si="343"/>
        <v/>
      </c>
      <c r="AU1001" s="5" t="str">
        <f t="shared" si="344"/>
        <v/>
      </c>
      <c r="AV1001" s="5" t="str">
        <f t="shared" si="345"/>
        <v/>
      </c>
      <c r="AW1001" s="5" t="str">
        <f t="shared" si="346"/>
        <v/>
      </c>
      <c r="AX1001" s="5" t="str">
        <f t="shared" si="347"/>
        <v/>
      </c>
      <c r="AY1001" s="5" t="str">
        <f t="shared" si="348"/>
        <v/>
      </c>
      <c r="AZ1001" s="5" t="str">
        <f t="shared" si="349"/>
        <v/>
      </c>
      <c r="BA1001" s="5" t="str">
        <f t="shared" si="350"/>
        <v/>
      </c>
      <c r="BB1001" s="5" t="str">
        <f t="shared" si="351"/>
        <v/>
      </c>
    </row>
  </sheetData>
  <autoFilter ref="A1:AB1001">
    <filterColumn colId="7">
      <filters>
        <filter val="CRO"/>
      </filters>
    </filterColumn>
  </autoFilter>
  <conditionalFormatting sqref="D1:D1048576">
    <cfRule type="duplicateValues" dxfId="5" priority="2"/>
  </conditionalFormatting>
  <conditionalFormatting sqref="U2:U1001">
    <cfRule type="expression" dxfId="4" priority="3">
      <formula>AND($U2&lt;&gt;"",$U2&lt;&gt;"OK")</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3"/>
  <sheetViews>
    <sheetView zoomScaleNormal="100" workbookViewId="0">
      <pane ySplit="1" topLeftCell="A226" activePane="bottomLeft" state="frozen"/>
      <selection pane="bottomLeft" activeCell="C243" sqref="C243"/>
    </sheetView>
  </sheetViews>
  <sheetFormatPr defaultColWidth="12.5703125" defaultRowHeight="11.25"/>
  <cols>
    <col min="1" max="2" width="18.85546875" style="44" customWidth="1"/>
    <col min="3" max="3" width="9.7109375" style="44" customWidth="1"/>
    <col min="4" max="4" width="14.28515625" style="44" customWidth="1"/>
    <col min="5" max="5" width="8.42578125" style="44" customWidth="1"/>
    <col min="6" max="6" width="19.5703125" style="44" customWidth="1"/>
    <col min="7" max="7" width="10.140625" style="44" customWidth="1"/>
    <col min="8" max="13" width="37.5703125" style="44" customWidth="1"/>
    <col min="14" max="14" width="18.85546875" style="44" customWidth="1"/>
    <col min="15" max="15" width="4.7109375" style="44" customWidth="1"/>
    <col min="16" max="19" width="18.85546875" style="44" customWidth="1"/>
    <col min="20" max="16384" width="12.5703125" style="44"/>
  </cols>
  <sheetData>
    <row r="1" spans="1:15" s="47" customFormat="1" ht="12" customHeight="1">
      <c r="A1" s="45" t="s">
        <v>155</v>
      </c>
      <c r="B1" s="45" t="s">
        <v>156</v>
      </c>
      <c r="C1" s="45" t="s">
        <v>157</v>
      </c>
      <c r="D1" s="45" t="s">
        <v>158</v>
      </c>
      <c r="E1" s="45" t="s">
        <v>159</v>
      </c>
      <c r="F1" s="45" t="s">
        <v>160</v>
      </c>
      <c r="G1" s="46" t="s">
        <v>161</v>
      </c>
      <c r="H1" s="46" t="s">
        <v>162</v>
      </c>
      <c r="I1" s="45" t="s">
        <v>163</v>
      </c>
      <c r="J1" s="46" t="s">
        <v>164</v>
      </c>
      <c r="K1" s="45" t="s">
        <v>165</v>
      </c>
      <c r="L1" s="45" t="s">
        <v>166</v>
      </c>
      <c r="M1" s="45" t="s">
        <v>167</v>
      </c>
      <c r="O1" s="47" t="s">
        <v>168</v>
      </c>
    </row>
    <row r="2" spans="1:15">
      <c r="A2" s="48">
        <v>46307.477598680598</v>
      </c>
      <c r="B2" s="49" t="s">
        <v>169</v>
      </c>
      <c r="C2" s="49">
        <v>1510669</v>
      </c>
      <c r="D2" s="49" t="s">
        <v>170</v>
      </c>
      <c r="E2" s="49" t="s">
        <v>18</v>
      </c>
      <c r="F2" s="49" t="s">
        <v>148</v>
      </c>
      <c r="G2" s="49" t="s">
        <v>150</v>
      </c>
      <c r="H2" s="49" t="s">
        <v>171</v>
      </c>
      <c r="I2" s="49" t="s">
        <v>172</v>
      </c>
      <c r="J2" s="49" t="s">
        <v>150</v>
      </c>
      <c r="K2" s="49" t="s">
        <v>173</v>
      </c>
      <c r="L2" s="49" t="s">
        <v>174</v>
      </c>
      <c r="M2" s="49" t="s">
        <v>175</v>
      </c>
      <c r="O2" s="50">
        <f>VLOOKUP(D2,PROGRES!B:D,3,0)</f>
        <v>5</v>
      </c>
    </row>
    <row r="3" spans="1:15">
      <c r="A3" s="48">
        <v>46307.512882442097</v>
      </c>
      <c r="B3" s="49" t="s">
        <v>176</v>
      </c>
      <c r="C3" s="49">
        <v>80490</v>
      </c>
      <c r="D3" s="49" t="s">
        <v>177</v>
      </c>
      <c r="E3" s="49" t="s">
        <v>17</v>
      </c>
      <c r="F3" s="49" t="s">
        <v>147</v>
      </c>
      <c r="G3" s="49" t="s">
        <v>152</v>
      </c>
      <c r="H3" s="49" t="s">
        <v>178</v>
      </c>
      <c r="I3" s="49" t="s">
        <v>22</v>
      </c>
      <c r="J3" s="49" t="s">
        <v>152</v>
      </c>
      <c r="K3" s="49" t="s">
        <v>179</v>
      </c>
      <c r="L3" s="49" t="s">
        <v>180</v>
      </c>
      <c r="M3" s="49" t="s">
        <v>181</v>
      </c>
      <c r="O3" s="50">
        <f>VLOOKUP(D3,PROGRES!B:D,3,0)</f>
        <v>4</v>
      </c>
    </row>
    <row r="4" spans="1:15">
      <c r="A4" s="48">
        <v>46308.371871261603</v>
      </c>
      <c r="B4" s="49" t="s">
        <v>182</v>
      </c>
      <c r="C4" s="49">
        <v>1510940</v>
      </c>
      <c r="D4" s="49" t="s">
        <v>183</v>
      </c>
      <c r="E4" s="49" t="s">
        <v>17</v>
      </c>
      <c r="F4" s="49" t="s">
        <v>147</v>
      </c>
      <c r="G4" s="49" t="s">
        <v>152</v>
      </c>
      <c r="H4" s="49" t="s">
        <v>178</v>
      </c>
      <c r="I4" s="49" t="s">
        <v>184</v>
      </c>
      <c r="J4" s="49" t="s">
        <v>152</v>
      </c>
      <c r="K4" s="49" t="s">
        <v>185</v>
      </c>
      <c r="L4" s="49" t="s">
        <v>186</v>
      </c>
      <c r="M4" s="49" t="s">
        <v>184</v>
      </c>
      <c r="O4" s="50">
        <f>VLOOKUP(D4,PROGRES!B:D,3,0)</f>
        <v>5</v>
      </c>
    </row>
    <row r="5" spans="1:15">
      <c r="A5" s="48">
        <v>46308.373817175903</v>
      </c>
      <c r="B5" s="49" t="s">
        <v>187</v>
      </c>
      <c r="C5" s="49">
        <v>1511215</v>
      </c>
      <c r="D5" s="49" t="s">
        <v>188</v>
      </c>
      <c r="E5" s="49" t="s">
        <v>18</v>
      </c>
      <c r="F5" s="49" t="s">
        <v>147</v>
      </c>
      <c r="G5" s="49" t="s">
        <v>150</v>
      </c>
      <c r="H5" s="49" t="s">
        <v>178</v>
      </c>
      <c r="I5" s="49" t="s">
        <v>189</v>
      </c>
      <c r="J5" s="49" t="s">
        <v>150</v>
      </c>
      <c r="K5" s="49" t="s">
        <v>190</v>
      </c>
      <c r="L5" s="49" t="s">
        <v>22</v>
      </c>
      <c r="M5" s="49" t="s">
        <v>191</v>
      </c>
      <c r="O5" s="50">
        <f>VLOOKUP(D5,PROGRES!B:D,3,0)</f>
        <v>5</v>
      </c>
    </row>
    <row r="6" spans="1:15">
      <c r="A6" s="48">
        <v>46308.3765894444</v>
      </c>
      <c r="B6" s="49" t="s">
        <v>192</v>
      </c>
      <c r="C6" s="49">
        <v>1511356</v>
      </c>
      <c r="D6" s="49" t="s">
        <v>188</v>
      </c>
      <c r="E6" s="49" t="s">
        <v>18</v>
      </c>
      <c r="F6" s="49" t="s">
        <v>147</v>
      </c>
      <c r="G6" s="49" t="s">
        <v>150</v>
      </c>
      <c r="H6" s="49" t="s">
        <v>171</v>
      </c>
      <c r="I6" s="49" t="s">
        <v>193</v>
      </c>
      <c r="J6" s="49" t="s">
        <v>150</v>
      </c>
      <c r="K6" s="49" t="s">
        <v>173</v>
      </c>
      <c r="L6" s="49" t="s">
        <v>180</v>
      </c>
      <c r="M6" s="49" t="s">
        <v>22</v>
      </c>
      <c r="O6" s="50">
        <f>VLOOKUP(D6,PROGRES!B:D,3,0)</f>
        <v>5</v>
      </c>
    </row>
    <row r="7" spans="1:15">
      <c r="A7" s="48">
        <v>46308.377232685198</v>
      </c>
      <c r="B7" s="49" t="s">
        <v>194</v>
      </c>
      <c r="C7" s="49">
        <v>1511365</v>
      </c>
      <c r="D7" s="49" t="s">
        <v>195</v>
      </c>
      <c r="E7" s="49" t="s">
        <v>18</v>
      </c>
      <c r="F7" s="49" t="s">
        <v>146</v>
      </c>
      <c r="G7" s="49" t="s">
        <v>152</v>
      </c>
      <c r="H7" s="49" t="s">
        <v>178</v>
      </c>
      <c r="I7" s="49" t="s">
        <v>196</v>
      </c>
      <c r="J7" s="49" t="s">
        <v>152</v>
      </c>
      <c r="K7" s="49" t="s">
        <v>185</v>
      </c>
      <c r="L7" s="49" t="s">
        <v>180</v>
      </c>
      <c r="M7" s="49" t="s">
        <v>197</v>
      </c>
      <c r="O7" s="50">
        <f>VLOOKUP(D7,PROGRES!B:D,3,0)</f>
        <v>7</v>
      </c>
    </row>
    <row r="8" spans="1:15">
      <c r="A8" s="48">
        <v>46308.377304513902</v>
      </c>
      <c r="B8" s="49" t="s">
        <v>198</v>
      </c>
      <c r="C8" s="49">
        <v>1511033</v>
      </c>
      <c r="D8" s="49" t="s">
        <v>199</v>
      </c>
      <c r="E8" s="49" t="s">
        <v>18</v>
      </c>
      <c r="F8" s="49" t="s">
        <v>147</v>
      </c>
      <c r="G8" s="49" t="s">
        <v>150</v>
      </c>
      <c r="H8" s="49" t="s">
        <v>171</v>
      </c>
      <c r="I8" s="49" t="s">
        <v>200</v>
      </c>
      <c r="J8" s="49" t="s">
        <v>152</v>
      </c>
      <c r="K8" s="49" t="s">
        <v>185</v>
      </c>
      <c r="L8" s="49" t="s">
        <v>180</v>
      </c>
      <c r="M8" s="49" t="s">
        <v>201</v>
      </c>
      <c r="O8" s="50">
        <f>VLOOKUP(D8,PROGRES!B:D,3,0)</f>
        <v>3</v>
      </c>
    </row>
    <row r="9" spans="1:15">
      <c r="A9" s="48">
        <v>46308.380068599501</v>
      </c>
      <c r="B9" s="49" t="s">
        <v>202</v>
      </c>
      <c r="C9" s="49">
        <v>1510886</v>
      </c>
      <c r="D9" s="49" t="s">
        <v>203</v>
      </c>
      <c r="E9" s="49" t="s">
        <v>19</v>
      </c>
      <c r="F9" s="49" t="s">
        <v>100</v>
      </c>
      <c r="G9" s="49" t="s">
        <v>150</v>
      </c>
      <c r="H9" s="49" t="s">
        <v>171</v>
      </c>
      <c r="I9" s="49" t="s">
        <v>204</v>
      </c>
      <c r="J9" s="49" t="s">
        <v>150</v>
      </c>
      <c r="K9" s="49" t="s">
        <v>205</v>
      </c>
      <c r="L9" s="49" t="s">
        <v>206</v>
      </c>
      <c r="M9" s="49" t="s">
        <v>207</v>
      </c>
      <c r="O9" s="50">
        <f>VLOOKUP(D9,PROGRES!B:D,3,0)</f>
        <v>5</v>
      </c>
    </row>
    <row r="10" spans="1:15">
      <c r="A10" s="48">
        <v>46308.380763379602</v>
      </c>
      <c r="B10" s="49" t="s">
        <v>208</v>
      </c>
      <c r="C10" s="49">
        <v>1510867</v>
      </c>
      <c r="D10" s="49" t="s">
        <v>209</v>
      </c>
      <c r="E10" s="49" t="s">
        <v>18</v>
      </c>
      <c r="F10" s="49" t="s">
        <v>147</v>
      </c>
      <c r="G10" s="49" t="s">
        <v>152</v>
      </c>
      <c r="H10" s="49" t="s">
        <v>178</v>
      </c>
      <c r="I10" s="49" t="s">
        <v>210</v>
      </c>
      <c r="J10" s="49" t="s">
        <v>152</v>
      </c>
      <c r="K10" s="49" t="s">
        <v>185</v>
      </c>
      <c r="L10" s="49" t="s">
        <v>189</v>
      </c>
      <c r="M10" s="49" t="s">
        <v>211</v>
      </c>
      <c r="O10" s="50">
        <f>VLOOKUP(D10,PROGRES!B:D,3,0)</f>
        <v>5</v>
      </c>
    </row>
    <row r="11" spans="1:15">
      <c r="A11" s="48">
        <v>46308.380918136601</v>
      </c>
      <c r="B11" s="49" t="s">
        <v>212</v>
      </c>
      <c r="C11" s="49" t="s">
        <v>213</v>
      </c>
      <c r="D11" s="49" t="s">
        <v>214</v>
      </c>
      <c r="E11" s="49" t="s">
        <v>17</v>
      </c>
      <c r="F11" s="49" t="s">
        <v>147</v>
      </c>
      <c r="G11" s="49" t="s">
        <v>152</v>
      </c>
      <c r="H11" s="49" t="s">
        <v>171</v>
      </c>
      <c r="I11" s="49" t="s">
        <v>206</v>
      </c>
      <c r="J11" s="49" t="s">
        <v>152</v>
      </c>
      <c r="K11" s="49" t="s">
        <v>205</v>
      </c>
      <c r="L11" s="49" t="s">
        <v>215</v>
      </c>
      <c r="M11" s="49" t="s">
        <v>216</v>
      </c>
      <c r="O11" s="50">
        <f>VLOOKUP(D11,PROGRES!B:D,3,0)</f>
        <v>5</v>
      </c>
    </row>
    <row r="12" spans="1:15">
      <c r="A12" s="48">
        <v>46308.380918136601</v>
      </c>
      <c r="B12" s="49" t="s">
        <v>212</v>
      </c>
      <c r="C12" s="49" t="s">
        <v>213</v>
      </c>
      <c r="D12" s="49" t="s">
        <v>217</v>
      </c>
      <c r="E12" s="49" t="s">
        <v>17</v>
      </c>
      <c r="F12" s="49" t="s">
        <v>147</v>
      </c>
      <c r="G12" s="49" t="s">
        <v>152</v>
      </c>
      <c r="H12" s="49" t="s">
        <v>171</v>
      </c>
      <c r="I12" s="49" t="s">
        <v>206</v>
      </c>
      <c r="J12" s="49" t="s">
        <v>152</v>
      </c>
      <c r="K12" s="49" t="s">
        <v>205</v>
      </c>
      <c r="L12" s="49" t="s">
        <v>215</v>
      </c>
      <c r="M12" s="49" t="s">
        <v>216</v>
      </c>
      <c r="O12" s="50">
        <f>VLOOKUP(D12,PROGRES!B:D,3,0)</f>
        <v>4</v>
      </c>
    </row>
    <row r="13" spans="1:15">
      <c r="A13" s="48">
        <v>46308.380993819497</v>
      </c>
      <c r="B13" s="49" t="s">
        <v>218</v>
      </c>
      <c r="C13" s="49">
        <v>80416</v>
      </c>
      <c r="D13" s="49" t="s">
        <v>219</v>
      </c>
      <c r="E13" s="49" t="s">
        <v>18</v>
      </c>
      <c r="F13" s="49" t="s">
        <v>146</v>
      </c>
      <c r="G13" s="49" t="s">
        <v>150</v>
      </c>
      <c r="H13" s="49" t="s">
        <v>178</v>
      </c>
      <c r="I13" s="49" t="s">
        <v>220</v>
      </c>
      <c r="J13" s="49" t="s">
        <v>152</v>
      </c>
      <c r="K13" s="49" t="s">
        <v>221</v>
      </c>
      <c r="L13" s="49" t="s">
        <v>222</v>
      </c>
      <c r="M13" s="49" t="s">
        <v>223</v>
      </c>
      <c r="O13" s="50">
        <f>VLOOKUP(D13,PROGRES!B:D,3,0)</f>
        <v>2</v>
      </c>
    </row>
    <row r="14" spans="1:15">
      <c r="A14" s="48">
        <v>46308.382646006998</v>
      </c>
      <c r="B14" s="49" t="s">
        <v>224</v>
      </c>
      <c r="C14" s="49">
        <v>1510986</v>
      </c>
      <c r="D14" s="49" t="s">
        <v>195</v>
      </c>
      <c r="E14" s="49" t="s">
        <v>18</v>
      </c>
      <c r="F14" s="49" t="s">
        <v>146</v>
      </c>
      <c r="G14" s="49" t="s">
        <v>150</v>
      </c>
      <c r="H14" s="49" t="s">
        <v>171</v>
      </c>
      <c r="I14" s="49" t="s">
        <v>74</v>
      </c>
      <c r="J14" s="49" t="s">
        <v>150</v>
      </c>
      <c r="K14" s="49" t="s">
        <v>225</v>
      </c>
      <c r="L14" s="49" t="s">
        <v>74</v>
      </c>
      <c r="M14" s="49" t="s">
        <v>74</v>
      </c>
      <c r="O14" s="50">
        <f>VLOOKUP(D14,PROGRES!B:D,3,0)</f>
        <v>7</v>
      </c>
    </row>
    <row r="15" spans="1:15">
      <c r="A15" s="48">
        <v>46308.383212222201</v>
      </c>
      <c r="B15" s="49" t="s">
        <v>226</v>
      </c>
      <c r="C15" s="49">
        <v>1510884</v>
      </c>
      <c r="D15" s="49" t="s">
        <v>188</v>
      </c>
      <c r="E15" s="49" t="s">
        <v>18</v>
      </c>
      <c r="F15" s="49" t="s">
        <v>147</v>
      </c>
      <c r="G15" s="49" t="s">
        <v>152</v>
      </c>
      <c r="H15" s="49" t="s">
        <v>178</v>
      </c>
      <c r="I15" s="49" t="s">
        <v>227</v>
      </c>
      <c r="J15" s="49" t="s">
        <v>150</v>
      </c>
      <c r="K15" s="49" t="s">
        <v>185</v>
      </c>
      <c r="L15" s="49" t="s">
        <v>228</v>
      </c>
      <c r="M15" s="49" t="s">
        <v>229</v>
      </c>
      <c r="O15" s="50">
        <f>VLOOKUP(D15,PROGRES!B:D,3,0)</f>
        <v>5</v>
      </c>
    </row>
    <row r="16" spans="1:15">
      <c r="A16" s="48">
        <v>46308.383417708297</v>
      </c>
      <c r="B16" s="49" t="s">
        <v>230</v>
      </c>
      <c r="C16" s="49">
        <v>1510579</v>
      </c>
      <c r="D16" s="49" t="s">
        <v>231</v>
      </c>
      <c r="E16" s="49" t="s">
        <v>18</v>
      </c>
      <c r="F16" s="49" t="s">
        <v>147</v>
      </c>
      <c r="G16" s="49" t="s">
        <v>150</v>
      </c>
      <c r="H16" s="49" t="s">
        <v>171</v>
      </c>
      <c r="I16" s="49" t="s">
        <v>232</v>
      </c>
      <c r="J16" s="49" t="s">
        <v>150</v>
      </c>
      <c r="K16" s="49" t="s">
        <v>205</v>
      </c>
      <c r="L16" s="49" t="s">
        <v>233</v>
      </c>
      <c r="M16" s="49" t="s">
        <v>234</v>
      </c>
      <c r="O16" s="50">
        <f>VLOOKUP(D16,PROGRES!B:D,3,0)</f>
        <v>5</v>
      </c>
    </row>
    <row r="17" spans="1:15">
      <c r="A17" s="48">
        <v>46308.386680463002</v>
      </c>
      <c r="B17" s="49" t="s">
        <v>235</v>
      </c>
      <c r="C17" s="49">
        <v>1511266</v>
      </c>
      <c r="D17" s="49" t="s">
        <v>236</v>
      </c>
      <c r="E17" s="49" t="s">
        <v>18</v>
      </c>
      <c r="F17" s="49" t="s">
        <v>147</v>
      </c>
      <c r="G17" s="49" t="s">
        <v>150</v>
      </c>
      <c r="H17" s="49" t="s">
        <v>178</v>
      </c>
      <c r="I17" s="49" t="s">
        <v>237</v>
      </c>
      <c r="J17" s="49" t="s">
        <v>150</v>
      </c>
      <c r="K17" s="49" t="s">
        <v>205</v>
      </c>
      <c r="L17" s="49" t="s">
        <v>238</v>
      </c>
      <c r="M17" s="49" t="s">
        <v>189</v>
      </c>
      <c r="O17" s="50">
        <f>VLOOKUP(D17,PROGRES!B:D,3,0)</f>
        <v>5</v>
      </c>
    </row>
    <row r="18" spans="1:15">
      <c r="A18" s="48">
        <v>46308.388252037003</v>
      </c>
      <c r="B18" s="49" t="s">
        <v>239</v>
      </c>
      <c r="C18" s="49">
        <v>1510980</v>
      </c>
      <c r="D18" s="49" t="s">
        <v>240</v>
      </c>
      <c r="E18" s="49" t="s">
        <v>18</v>
      </c>
      <c r="F18" s="49" t="s">
        <v>147</v>
      </c>
      <c r="G18" s="49" t="s">
        <v>150</v>
      </c>
      <c r="H18" s="49" t="s">
        <v>178</v>
      </c>
      <c r="I18" s="49" t="s">
        <v>241</v>
      </c>
      <c r="J18" s="49" t="s">
        <v>150</v>
      </c>
      <c r="K18" s="49" t="s">
        <v>185</v>
      </c>
      <c r="L18" s="49" t="s">
        <v>242</v>
      </c>
      <c r="M18" s="49" t="s">
        <v>243</v>
      </c>
      <c r="O18" s="50">
        <f>VLOOKUP(D18,PROGRES!B:D,3,0)</f>
        <v>4</v>
      </c>
    </row>
    <row r="19" spans="1:15">
      <c r="A19" s="48">
        <v>46308.389752048599</v>
      </c>
      <c r="B19" s="49" t="s">
        <v>244</v>
      </c>
      <c r="C19" s="49">
        <v>1511231</v>
      </c>
      <c r="D19" s="49" t="s">
        <v>240</v>
      </c>
      <c r="E19" s="49" t="s">
        <v>18</v>
      </c>
      <c r="F19" s="49" t="s">
        <v>147</v>
      </c>
      <c r="G19" s="49" t="s">
        <v>150</v>
      </c>
      <c r="H19" s="49" t="s">
        <v>178</v>
      </c>
      <c r="I19" s="49" t="s">
        <v>245</v>
      </c>
      <c r="J19" s="49" t="s">
        <v>150</v>
      </c>
      <c r="K19" s="49" t="s">
        <v>185</v>
      </c>
      <c r="L19" s="49" t="s">
        <v>246</v>
      </c>
      <c r="M19" s="49" t="s">
        <v>247</v>
      </c>
      <c r="O19" s="50">
        <f>VLOOKUP(D19,PROGRES!B:D,3,0)</f>
        <v>4</v>
      </c>
    </row>
    <row r="20" spans="1:15">
      <c r="A20" s="48">
        <v>46308.393781192099</v>
      </c>
      <c r="B20" s="49" t="s">
        <v>248</v>
      </c>
      <c r="C20" s="49">
        <v>88819214</v>
      </c>
      <c r="D20" s="49" t="s">
        <v>236</v>
      </c>
      <c r="E20" s="49" t="s">
        <v>18</v>
      </c>
      <c r="F20" s="49" t="s">
        <v>147</v>
      </c>
      <c r="G20" s="49" t="s">
        <v>152</v>
      </c>
      <c r="H20" s="49" t="s">
        <v>171</v>
      </c>
      <c r="I20" s="49" t="s">
        <v>249</v>
      </c>
      <c r="J20" s="49" t="s">
        <v>150</v>
      </c>
      <c r="K20" s="49" t="s">
        <v>185</v>
      </c>
      <c r="L20" s="49" t="s">
        <v>250</v>
      </c>
      <c r="M20" s="49" t="s">
        <v>251</v>
      </c>
      <c r="O20" s="50">
        <f>VLOOKUP(D20,PROGRES!B:D,3,0)</f>
        <v>5</v>
      </c>
    </row>
    <row r="21" spans="1:15">
      <c r="A21" s="48">
        <v>46308.395800625003</v>
      </c>
      <c r="B21" s="49" t="s">
        <v>252</v>
      </c>
      <c r="C21" s="49">
        <v>1510653</v>
      </c>
      <c r="D21" s="49" t="s">
        <v>253</v>
      </c>
      <c r="E21" s="49" t="s">
        <v>18</v>
      </c>
      <c r="F21" s="49" t="s">
        <v>147</v>
      </c>
      <c r="G21" s="49" t="s">
        <v>150</v>
      </c>
      <c r="H21" s="49" t="s">
        <v>171</v>
      </c>
      <c r="I21" s="49" t="s">
        <v>254</v>
      </c>
      <c r="J21" s="49" t="s">
        <v>152</v>
      </c>
      <c r="K21" s="49" t="s">
        <v>255</v>
      </c>
      <c r="L21" s="49" t="s">
        <v>256</v>
      </c>
      <c r="M21" s="49" t="s">
        <v>257</v>
      </c>
      <c r="O21" s="50">
        <f>VLOOKUP(D21,PROGRES!B:D,3,0)</f>
        <v>4</v>
      </c>
    </row>
    <row r="22" spans="1:15">
      <c r="A22" s="48">
        <v>46308.410262662001</v>
      </c>
      <c r="B22" s="49" t="s">
        <v>258</v>
      </c>
      <c r="C22" s="49">
        <v>1511259</v>
      </c>
      <c r="D22" s="49" t="s">
        <v>259</v>
      </c>
      <c r="E22" s="49" t="s">
        <v>18</v>
      </c>
      <c r="F22" s="49" t="s">
        <v>147</v>
      </c>
      <c r="G22" s="49" t="s">
        <v>152</v>
      </c>
      <c r="H22" s="49" t="s">
        <v>178</v>
      </c>
      <c r="I22" s="49" t="s">
        <v>260</v>
      </c>
      <c r="J22" s="49" t="s">
        <v>152</v>
      </c>
      <c r="K22" s="49" t="s">
        <v>185</v>
      </c>
      <c r="L22" s="49" t="s">
        <v>261</v>
      </c>
      <c r="M22" s="49" t="s">
        <v>262</v>
      </c>
      <c r="O22" s="50">
        <f>VLOOKUP(D22,PROGRES!B:D,3,0)</f>
        <v>5</v>
      </c>
    </row>
    <row r="23" spans="1:15">
      <c r="A23" s="48">
        <v>46308.426557152801</v>
      </c>
      <c r="B23" s="49" t="s">
        <v>263</v>
      </c>
      <c r="C23" s="49">
        <v>1510762</v>
      </c>
      <c r="D23" s="49" t="s">
        <v>264</v>
      </c>
      <c r="E23" s="49" t="s">
        <v>18</v>
      </c>
      <c r="F23" s="49" t="s">
        <v>147</v>
      </c>
      <c r="G23" s="49" t="s">
        <v>152</v>
      </c>
      <c r="H23" s="49" t="s">
        <v>171</v>
      </c>
      <c r="I23" s="49" t="s">
        <v>74</v>
      </c>
      <c r="J23" s="49" t="s">
        <v>152</v>
      </c>
      <c r="K23" s="49" t="s">
        <v>185</v>
      </c>
      <c r="L23" s="49" t="s">
        <v>74</v>
      </c>
      <c r="M23" s="49" t="s">
        <v>74</v>
      </c>
      <c r="O23" s="50">
        <f>VLOOKUP(D23,PROGRES!B:D,3,0)</f>
        <v>5</v>
      </c>
    </row>
    <row r="24" spans="1:15">
      <c r="A24" s="48">
        <v>46308.429310034699</v>
      </c>
      <c r="B24" s="49" t="s">
        <v>265</v>
      </c>
      <c r="C24" s="49">
        <v>1510938</v>
      </c>
      <c r="D24" s="49" t="s">
        <v>266</v>
      </c>
      <c r="E24" s="49" t="s">
        <v>17</v>
      </c>
      <c r="F24" s="49" t="s">
        <v>100</v>
      </c>
      <c r="G24" s="49" t="s">
        <v>150</v>
      </c>
      <c r="H24" s="49" t="s">
        <v>171</v>
      </c>
      <c r="I24" s="49" t="s">
        <v>267</v>
      </c>
      <c r="J24" s="49" t="s">
        <v>150</v>
      </c>
      <c r="K24" s="49" t="s">
        <v>205</v>
      </c>
      <c r="L24" s="49" t="s">
        <v>186</v>
      </c>
      <c r="M24" s="49" t="s">
        <v>74</v>
      </c>
      <c r="O24" s="50">
        <f>VLOOKUP(D24,PROGRES!B:D,3,0)</f>
        <v>4</v>
      </c>
    </row>
    <row r="25" spans="1:15">
      <c r="A25" s="48">
        <v>46308.429886712998</v>
      </c>
      <c r="B25" s="49" t="s">
        <v>268</v>
      </c>
      <c r="C25" s="49">
        <v>88411120</v>
      </c>
      <c r="D25" s="49" t="s">
        <v>269</v>
      </c>
      <c r="E25" s="49" t="s">
        <v>17</v>
      </c>
      <c r="F25" s="49" t="s">
        <v>100</v>
      </c>
      <c r="G25" s="49" t="s">
        <v>150</v>
      </c>
      <c r="H25" s="49" t="s">
        <v>171</v>
      </c>
      <c r="I25" s="49" t="s">
        <v>270</v>
      </c>
      <c r="J25" s="49" t="s">
        <v>150</v>
      </c>
      <c r="K25" s="49" t="s">
        <v>205</v>
      </c>
      <c r="L25" s="49" t="s">
        <v>186</v>
      </c>
      <c r="M25" s="49" t="s">
        <v>271</v>
      </c>
      <c r="O25" s="50">
        <f>VLOOKUP(D25,PROGRES!B:D,3,0)</f>
        <v>5</v>
      </c>
    </row>
    <row r="26" spans="1:15">
      <c r="A26" s="48">
        <v>46308.429886712998</v>
      </c>
      <c r="B26" s="49" t="s">
        <v>268</v>
      </c>
      <c r="C26" s="49">
        <v>88411120</v>
      </c>
      <c r="D26" s="49" t="s">
        <v>272</v>
      </c>
      <c r="E26" s="49" t="s">
        <v>17</v>
      </c>
      <c r="F26" s="49" t="s">
        <v>100</v>
      </c>
      <c r="G26" s="49" t="s">
        <v>150</v>
      </c>
      <c r="H26" s="49" t="s">
        <v>171</v>
      </c>
      <c r="I26" s="49" t="s">
        <v>270</v>
      </c>
      <c r="J26" s="49" t="s">
        <v>150</v>
      </c>
      <c r="K26" s="49" t="s">
        <v>205</v>
      </c>
      <c r="L26" s="49" t="s">
        <v>186</v>
      </c>
      <c r="M26" s="49" t="s">
        <v>271</v>
      </c>
      <c r="O26" s="50">
        <f>VLOOKUP(D26,PROGRES!B:D,3,0)</f>
        <v>4</v>
      </c>
    </row>
    <row r="27" spans="1:15">
      <c r="A27" s="48">
        <v>46308.448127673597</v>
      </c>
      <c r="B27" s="49" t="s">
        <v>273</v>
      </c>
      <c r="C27" s="49" t="s">
        <v>274</v>
      </c>
      <c r="D27" s="49" t="s">
        <v>264</v>
      </c>
      <c r="E27" s="49" t="s">
        <v>17</v>
      </c>
      <c r="F27" s="49" t="s">
        <v>147</v>
      </c>
      <c r="G27" s="49" t="s">
        <v>150</v>
      </c>
      <c r="H27" s="49" t="s">
        <v>171</v>
      </c>
      <c r="I27" s="49" t="s">
        <v>22</v>
      </c>
      <c r="J27" s="49" t="s">
        <v>150</v>
      </c>
      <c r="K27" s="49" t="s">
        <v>225</v>
      </c>
      <c r="L27" s="49" t="s">
        <v>275</v>
      </c>
      <c r="M27" s="49" t="s">
        <v>276</v>
      </c>
      <c r="O27" s="50">
        <f>VLOOKUP(D27,PROGRES!B:D,3,0)</f>
        <v>5</v>
      </c>
    </row>
    <row r="28" spans="1:15">
      <c r="A28" s="48">
        <v>46308.459633032398</v>
      </c>
      <c r="B28" s="49" t="s">
        <v>277</v>
      </c>
      <c r="C28" s="49">
        <v>80434</v>
      </c>
      <c r="D28" s="49" t="s">
        <v>278</v>
      </c>
      <c r="E28" s="49" t="s">
        <v>19</v>
      </c>
      <c r="F28" s="49" t="s">
        <v>100</v>
      </c>
      <c r="G28" s="49" t="s">
        <v>152</v>
      </c>
      <c r="H28" s="49" t="s">
        <v>178</v>
      </c>
      <c r="I28" s="49" t="s">
        <v>279</v>
      </c>
      <c r="J28" s="49" t="s">
        <v>152</v>
      </c>
      <c r="K28" s="49" t="s">
        <v>173</v>
      </c>
      <c r="L28" s="49" t="s">
        <v>280</v>
      </c>
      <c r="M28" s="49" t="s">
        <v>281</v>
      </c>
      <c r="O28" s="50">
        <f>VLOOKUP(D28,PROGRES!B:D,3,0)</f>
        <v>5</v>
      </c>
    </row>
    <row r="29" spans="1:15">
      <c r="A29" s="48">
        <v>46308.469325405102</v>
      </c>
      <c r="B29" s="49" t="s">
        <v>282</v>
      </c>
      <c r="C29" s="49">
        <v>1511282</v>
      </c>
      <c r="D29" s="49" t="s">
        <v>236</v>
      </c>
      <c r="E29" s="49" t="s">
        <v>18</v>
      </c>
      <c r="F29" s="49" t="s">
        <v>147</v>
      </c>
      <c r="G29" s="49" t="s">
        <v>152</v>
      </c>
      <c r="H29" s="49" t="s">
        <v>171</v>
      </c>
      <c r="I29" s="49" t="s">
        <v>22</v>
      </c>
      <c r="J29" s="49" t="s">
        <v>150</v>
      </c>
      <c r="K29" s="49" t="s">
        <v>185</v>
      </c>
      <c r="L29" s="49" t="s">
        <v>283</v>
      </c>
      <c r="M29" s="49" t="s">
        <v>74</v>
      </c>
      <c r="O29" s="50">
        <f>VLOOKUP(D29,PROGRES!B:D,3,0)</f>
        <v>5</v>
      </c>
    </row>
    <row r="30" spans="1:15">
      <c r="A30" s="48">
        <v>46308.472423553198</v>
      </c>
      <c r="B30" s="49" t="s">
        <v>284</v>
      </c>
      <c r="C30" s="49">
        <v>80493</v>
      </c>
      <c r="D30" s="49" t="s">
        <v>285</v>
      </c>
      <c r="E30" s="49" t="s">
        <v>17</v>
      </c>
      <c r="F30" s="49" t="s">
        <v>100</v>
      </c>
      <c r="G30" s="49" t="s">
        <v>150</v>
      </c>
      <c r="H30" s="49" t="s">
        <v>171</v>
      </c>
      <c r="I30" s="49" t="s">
        <v>286</v>
      </c>
      <c r="J30" s="49" t="s">
        <v>150</v>
      </c>
      <c r="K30" s="49" t="s">
        <v>205</v>
      </c>
      <c r="L30" s="49" t="s">
        <v>287</v>
      </c>
      <c r="M30" s="49" t="s">
        <v>288</v>
      </c>
      <c r="O30" s="50">
        <f>VLOOKUP(D30,PROGRES!B:D,3,0)</f>
        <v>4</v>
      </c>
    </row>
    <row r="31" spans="1:15">
      <c r="A31" s="48">
        <v>46308.532760034701</v>
      </c>
      <c r="B31" s="49" t="s">
        <v>289</v>
      </c>
      <c r="C31" s="49">
        <v>1510532</v>
      </c>
      <c r="D31" s="49" t="s">
        <v>290</v>
      </c>
      <c r="E31" s="49" t="s">
        <v>17</v>
      </c>
      <c r="F31" s="49" t="s">
        <v>100</v>
      </c>
      <c r="G31" s="49" t="s">
        <v>150</v>
      </c>
      <c r="H31" s="49" t="s">
        <v>171</v>
      </c>
      <c r="I31" s="49" t="s">
        <v>291</v>
      </c>
      <c r="J31" s="49" t="s">
        <v>152</v>
      </c>
      <c r="K31" s="49" t="s">
        <v>225</v>
      </c>
      <c r="L31" s="49" t="s">
        <v>186</v>
      </c>
      <c r="M31" s="49" t="s">
        <v>292</v>
      </c>
      <c r="O31" s="50">
        <f>VLOOKUP(D31,PROGRES!B:D,3,0)</f>
        <v>4</v>
      </c>
    </row>
    <row r="32" spans="1:15">
      <c r="A32" s="48">
        <v>46308.532760034701</v>
      </c>
      <c r="B32" s="49" t="s">
        <v>289</v>
      </c>
      <c r="C32" s="49">
        <v>1510532</v>
      </c>
      <c r="D32" s="49" t="s">
        <v>293</v>
      </c>
      <c r="E32" s="49" t="s">
        <v>17</v>
      </c>
      <c r="F32" s="49" t="s">
        <v>100</v>
      </c>
      <c r="G32" s="49" t="s">
        <v>150</v>
      </c>
      <c r="H32" s="49" t="s">
        <v>171</v>
      </c>
      <c r="I32" s="49" t="s">
        <v>291</v>
      </c>
      <c r="J32" s="49" t="s">
        <v>152</v>
      </c>
      <c r="K32" s="49" t="s">
        <v>225</v>
      </c>
      <c r="L32" s="49" t="s">
        <v>186</v>
      </c>
      <c r="M32" s="49" t="s">
        <v>292</v>
      </c>
      <c r="O32" s="50">
        <f>VLOOKUP(D32,PROGRES!B:D,3,0)</f>
        <v>3</v>
      </c>
    </row>
    <row r="33" spans="1:15">
      <c r="A33" s="48">
        <v>46308.595220092597</v>
      </c>
      <c r="B33" s="49" t="s">
        <v>294</v>
      </c>
      <c r="C33" s="49">
        <v>1511309</v>
      </c>
      <c r="D33" s="49" t="s">
        <v>295</v>
      </c>
      <c r="E33" s="49" t="s">
        <v>17</v>
      </c>
      <c r="F33" s="49" t="s">
        <v>147</v>
      </c>
      <c r="G33" s="49" t="s">
        <v>152</v>
      </c>
      <c r="H33" s="49" t="s">
        <v>178</v>
      </c>
      <c r="I33" s="49" t="s">
        <v>74</v>
      </c>
      <c r="J33" s="49" t="s">
        <v>150</v>
      </c>
      <c r="K33" s="49" t="s">
        <v>185</v>
      </c>
      <c r="L33" s="49" t="s">
        <v>296</v>
      </c>
      <c r="M33" s="49" t="s">
        <v>297</v>
      </c>
      <c r="O33" s="50">
        <f>VLOOKUP(D33,PROGRES!B:D,3,0)</f>
        <v>5</v>
      </c>
    </row>
    <row r="34" spans="1:15">
      <c r="A34" s="48">
        <v>46308.691265115704</v>
      </c>
      <c r="B34" s="49" t="s">
        <v>298</v>
      </c>
      <c r="C34" s="49">
        <v>1510877</v>
      </c>
      <c r="D34" s="49" t="s">
        <v>299</v>
      </c>
      <c r="E34" s="49" t="s">
        <v>18</v>
      </c>
      <c r="F34" s="49" t="s">
        <v>100</v>
      </c>
      <c r="G34" s="49" t="s">
        <v>150</v>
      </c>
      <c r="H34" s="49" t="s">
        <v>171</v>
      </c>
      <c r="I34" s="49" t="s">
        <v>74</v>
      </c>
      <c r="J34" s="49" t="s">
        <v>150</v>
      </c>
      <c r="K34" s="49" t="s">
        <v>185</v>
      </c>
      <c r="L34" s="49" t="s">
        <v>74</v>
      </c>
      <c r="M34" s="49" t="s">
        <v>74</v>
      </c>
      <c r="O34" s="50">
        <f>VLOOKUP(D34,PROGRES!B:D,3,0)</f>
        <v>5</v>
      </c>
    </row>
    <row r="35" spans="1:15">
      <c r="A35" s="48">
        <v>46308.691793715298</v>
      </c>
      <c r="B35" s="49" t="s">
        <v>300</v>
      </c>
      <c r="C35" s="49">
        <v>1511201</v>
      </c>
      <c r="D35" s="49" t="s">
        <v>290</v>
      </c>
      <c r="E35" s="49" t="s">
        <v>19</v>
      </c>
      <c r="F35" s="49" t="s">
        <v>100</v>
      </c>
      <c r="G35" s="49" t="s">
        <v>150</v>
      </c>
      <c r="H35" s="49" t="s">
        <v>171</v>
      </c>
      <c r="I35" s="49" t="s">
        <v>22</v>
      </c>
      <c r="J35" s="49" t="s">
        <v>152</v>
      </c>
      <c r="K35" s="49" t="s">
        <v>185</v>
      </c>
      <c r="L35" s="49" t="s">
        <v>301</v>
      </c>
      <c r="M35" s="49" t="s">
        <v>22</v>
      </c>
      <c r="O35" s="50">
        <f>VLOOKUP(D35,PROGRES!B:D,3,0)</f>
        <v>4</v>
      </c>
    </row>
    <row r="36" spans="1:15">
      <c r="A36" s="48">
        <v>46308.691811377299</v>
      </c>
      <c r="B36" s="49" t="s">
        <v>302</v>
      </c>
      <c r="C36" s="49">
        <v>1510555</v>
      </c>
      <c r="D36" s="49" t="s">
        <v>264</v>
      </c>
      <c r="E36" s="49" t="s">
        <v>19</v>
      </c>
      <c r="F36" s="49" t="s">
        <v>147</v>
      </c>
      <c r="G36" s="49" t="s">
        <v>152</v>
      </c>
      <c r="H36" s="49" t="s">
        <v>178</v>
      </c>
      <c r="I36" s="49" t="s">
        <v>74</v>
      </c>
      <c r="J36" s="49" t="s">
        <v>152</v>
      </c>
      <c r="K36" s="49" t="s">
        <v>225</v>
      </c>
      <c r="L36" s="49" t="s">
        <v>74</v>
      </c>
      <c r="M36" s="49" t="s">
        <v>74</v>
      </c>
      <c r="O36" s="50">
        <f>VLOOKUP(D36,PROGRES!B:D,3,0)</f>
        <v>5</v>
      </c>
    </row>
    <row r="37" spans="1:15">
      <c r="A37" s="48">
        <v>46308.692372129597</v>
      </c>
      <c r="B37" s="49" t="s">
        <v>303</v>
      </c>
      <c r="C37" s="49">
        <v>1510683</v>
      </c>
      <c r="D37" s="49" t="s">
        <v>304</v>
      </c>
      <c r="E37" s="49" t="s">
        <v>18</v>
      </c>
      <c r="F37" s="49" t="s">
        <v>100</v>
      </c>
      <c r="G37" s="49" t="s">
        <v>152</v>
      </c>
      <c r="H37" s="49" t="s">
        <v>178</v>
      </c>
      <c r="I37" s="49" t="s">
        <v>305</v>
      </c>
      <c r="J37" s="49" t="s">
        <v>152</v>
      </c>
      <c r="K37" s="49" t="s">
        <v>190</v>
      </c>
      <c r="L37" s="49" t="s">
        <v>180</v>
      </c>
      <c r="M37" s="49" t="s">
        <v>306</v>
      </c>
      <c r="O37" s="50">
        <f>VLOOKUP(D37,PROGRES!B:D,3,0)</f>
        <v>5</v>
      </c>
    </row>
    <row r="38" spans="1:15" ht="33.75">
      <c r="A38" s="48">
        <v>46308.692807303203</v>
      </c>
      <c r="B38" s="49" t="s">
        <v>307</v>
      </c>
      <c r="C38" s="49">
        <v>1510541</v>
      </c>
      <c r="D38" s="49" t="s">
        <v>264</v>
      </c>
      <c r="E38" s="49" t="s">
        <v>18</v>
      </c>
      <c r="F38" s="49" t="s">
        <v>147</v>
      </c>
      <c r="G38" s="49" t="s">
        <v>152</v>
      </c>
      <c r="H38" s="49" t="s">
        <v>178</v>
      </c>
      <c r="I38" s="51" t="s">
        <v>308</v>
      </c>
      <c r="J38" s="49" t="s">
        <v>152</v>
      </c>
      <c r="K38" s="49" t="s">
        <v>185</v>
      </c>
      <c r="L38" s="49" t="s">
        <v>74</v>
      </c>
      <c r="M38" s="49" t="s">
        <v>74</v>
      </c>
      <c r="O38" s="50">
        <f>VLOOKUP(D38,PROGRES!B:D,3,0)</f>
        <v>5</v>
      </c>
    </row>
    <row r="39" spans="1:15">
      <c r="A39" s="48">
        <v>46308.693428807899</v>
      </c>
      <c r="B39" s="49" t="s">
        <v>309</v>
      </c>
      <c r="C39" s="49">
        <v>1510687</v>
      </c>
      <c r="D39" s="49" t="s">
        <v>310</v>
      </c>
      <c r="E39" s="49" t="s">
        <v>18</v>
      </c>
      <c r="F39" s="49" t="s">
        <v>146</v>
      </c>
      <c r="G39" s="49" t="s">
        <v>150</v>
      </c>
      <c r="H39" s="49" t="s">
        <v>171</v>
      </c>
      <c r="I39" s="49" t="s">
        <v>311</v>
      </c>
      <c r="J39" s="49" t="s">
        <v>150</v>
      </c>
      <c r="K39" s="49" t="s">
        <v>205</v>
      </c>
      <c r="L39" s="49" t="s">
        <v>246</v>
      </c>
      <c r="M39" s="49" t="s">
        <v>200</v>
      </c>
      <c r="O39" s="50">
        <f>VLOOKUP(D39,PROGRES!B:D,3,0)</f>
        <v>2</v>
      </c>
    </row>
    <row r="40" spans="1:15">
      <c r="A40" s="48">
        <v>46308.693577974504</v>
      </c>
      <c r="B40" s="49" t="s">
        <v>312</v>
      </c>
      <c r="C40" s="49">
        <v>1511163</v>
      </c>
      <c r="D40" s="49" t="s">
        <v>313</v>
      </c>
      <c r="E40" s="49" t="s">
        <v>18</v>
      </c>
      <c r="F40" s="49" t="s">
        <v>146</v>
      </c>
      <c r="G40" s="49" t="s">
        <v>152</v>
      </c>
      <c r="H40" s="49" t="s">
        <v>178</v>
      </c>
      <c r="I40" s="49" t="s">
        <v>314</v>
      </c>
      <c r="J40" s="49" t="s">
        <v>152</v>
      </c>
      <c r="K40" s="49" t="s">
        <v>255</v>
      </c>
      <c r="L40" s="49" t="s">
        <v>315</v>
      </c>
      <c r="M40" s="49" t="s">
        <v>316</v>
      </c>
      <c r="O40" s="50">
        <f>VLOOKUP(D40,PROGRES!B:D,3,0)</f>
        <v>6</v>
      </c>
    </row>
    <row r="41" spans="1:15">
      <c r="A41" s="48">
        <v>46308.693759502297</v>
      </c>
      <c r="B41" s="49" t="s">
        <v>317</v>
      </c>
      <c r="C41" s="49">
        <v>1511283</v>
      </c>
      <c r="D41" s="49" t="s">
        <v>313</v>
      </c>
      <c r="E41" s="49" t="s">
        <v>18</v>
      </c>
      <c r="F41" s="49" t="s">
        <v>146</v>
      </c>
      <c r="G41" s="49" t="s">
        <v>150</v>
      </c>
      <c r="H41" s="49" t="s">
        <v>171</v>
      </c>
      <c r="I41" s="49" t="s">
        <v>318</v>
      </c>
      <c r="J41" s="49" t="s">
        <v>150</v>
      </c>
      <c r="K41" s="49" t="s">
        <v>185</v>
      </c>
      <c r="L41" s="49" t="s">
        <v>180</v>
      </c>
      <c r="M41" s="49" t="s">
        <v>319</v>
      </c>
      <c r="O41" s="50">
        <f>VLOOKUP(D41,PROGRES!B:D,3,0)</f>
        <v>6</v>
      </c>
    </row>
    <row r="42" spans="1:15">
      <c r="A42" s="48">
        <v>46308.694285393503</v>
      </c>
      <c r="B42" s="49" t="s">
        <v>320</v>
      </c>
      <c r="C42" s="49">
        <v>1510598</v>
      </c>
      <c r="D42" s="49" t="s">
        <v>313</v>
      </c>
      <c r="E42" s="49" t="s">
        <v>18</v>
      </c>
      <c r="F42" s="49" t="s">
        <v>146</v>
      </c>
      <c r="G42" s="49" t="s">
        <v>153</v>
      </c>
      <c r="H42" s="49" t="s">
        <v>321</v>
      </c>
      <c r="I42" s="49" t="s">
        <v>322</v>
      </c>
      <c r="J42" s="49" t="s">
        <v>152</v>
      </c>
      <c r="K42" s="49" t="s">
        <v>173</v>
      </c>
      <c r="L42" s="49" t="s">
        <v>22</v>
      </c>
      <c r="M42" s="49" t="s">
        <v>323</v>
      </c>
      <c r="O42" s="50">
        <f>VLOOKUP(D42,PROGRES!B:D,3,0)</f>
        <v>6</v>
      </c>
    </row>
    <row r="43" spans="1:15">
      <c r="A43" s="48">
        <v>46308.6943948958</v>
      </c>
      <c r="B43" s="49" t="s">
        <v>324</v>
      </c>
      <c r="C43" s="49">
        <v>80430</v>
      </c>
      <c r="D43" s="49" t="s">
        <v>325</v>
      </c>
      <c r="E43" s="49" t="s">
        <v>17</v>
      </c>
      <c r="F43" s="49" t="s">
        <v>146</v>
      </c>
      <c r="G43" s="49" t="s">
        <v>150</v>
      </c>
      <c r="H43" s="49" t="s">
        <v>171</v>
      </c>
      <c r="I43" s="49" t="s">
        <v>326</v>
      </c>
      <c r="J43" s="49" t="s">
        <v>152</v>
      </c>
      <c r="K43" s="49" t="s">
        <v>185</v>
      </c>
      <c r="L43" s="49" t="s">
        <v>327</v>
      </c>
      <c r="M43" s="49" t="s">
        <v>328</v>
      </c>
      <c r="O43" s="50">
        <f>VLOOKUP(D43,PROGRES!B:D,3,0)</f>
        <v>4</v>
      </c>
    </row>
    <row r="44" spans="1:15">
      <c r="A44" s="48">
        <v>46308.695597175902</v>
      </c>
      <c r="B44" s="49" t="s">
        <v>329</v>
      </c>
      <c r="C44" s="49">
        <v>89118191</v>
      </c>
      <c r="D44" s="49" t="s">
        <v>330</v>
      </c>
      <c r="E44" s="49" t="s">
        <v>17</v>
      </c>
      <c r="F44" s="49" t="s">
        <v>146</v>
      </c>
      <c r="G44" s="49" t="s">
        <v>150</v>
      </c>
      <c r="H44" s="49" t="s">
        <v>171</v>
      </c>
      <c r="I44" s="49" t="s">
        <v>331</v>
      </c>
      <c r="J44" s="49" t="s">
        <v>150</v>
      </c>
      <c r="K44" s="49" t="s">
        <v>185</v>
      </c>
      <c r="L44" s="49" t="s">
        <v>332</v>
      </c>
      <c r="M44" s="49" t="s">
        <v>333</v>
      </c>
      <c r="O44" s="50">
        <f>VLOOKUP(D44,PROGRES!B:D,3,0)</f>
        <v>6</v>
      </c>
    </row>
    <row r="45" spans="1:15">
      <c r="A45" s="48">
        <v>46308.6960708681</v>
      </c>
      <c r="B45" s="49" t="s">
        <v>334</v>
      </c>
      <c r="C45" s="49">
        <v>1511297</v>
      </c>
      <c r="D45" s="49" t="s">
        <v>264</v>
      </c>
      <c r="E45" s="49" t="s">
        <v>18</v>
      </c>
      <c r="F45" s="49" t="s">
        <v>100</v>
      </c>
      <c r="G45" s="49" t="s">
        <v>152</v>
      </c>
      <c r="H45" s="49" t="s">
        <v>178</v>
      </c>
      <c r="I45" s="49" t="s">
        <v>335</v>
      </c>
      <c r="J45" s="49" t="s">
        <v>152</v>
      </c>
      <c r="K45" s="49" t="s">
        <v>336</v>
      </c>
      <c r="L45" s="49" t="s">
        <v>74</v>
      </c>
      <c r="M45" s="49" t="s">
        <v>337</v>
      </c>
      <c r="O45" s="50">
        <f>VLOOKUP(D45,PROGRES!B:D,3,0)</f>
        <v>5</v>
      </c>
    </row>
    <row r="46" spans="1:15">
      <c r="A46" s="48">
        <v>46308.696581481498</v>
      </c>
      <c r="B46" s="49" t="s">
        <v>338</v>
      </c>
      <c r="C46" s="49">
        <v>89218183</v>
      </c>
      <c r="D46" s="49" t="s">
        <v>199</v>
      </c>
      <c r="E46" s="49" t="s">
        <v>17</v>
      </c>
      <c r="F46" s="49" t="s">
        <v>147</v>
      </c>
      <c r="G46" s="49" t="s">
        <v>152</v>
      </c>
      <c r="H46" s="49" t="s">
        <v>178</v>
      </c>
      <c r="I46" s="49" t="s">
        <v>339</v>
      </c>
      <c r="J46" s="49" t="s">
        <v>150</v>
      </c>
      <c r="K46" s="49" t="s">
        <v>225</v>
      </c>
      <c r="L46" s="49" t="s">
        <v>180</v>
      </c>
      <c r="M46" s="49" t="s">
        <v>340</v>
      </c>
      <c r="O46" s="50">
        <f>VLOOKUP(D46,PROGRES!B:D,3,0)</f>
        <v>3</v>
      </c>
    </row>
    <row r="47" spans="1:15">
      <c r="A47" s="48">
        <v>46308.696648807898</v>
      </c>
      <c r="B47" s="49" t="s">
        <v>341</v>
      </c>
      <c r="C47" s="49">
        <v>1511256</v>
      </c>
      <c r="D47" s="49" t="s">
        <v>330</v>
      </c>
      <c r="E47" s="49" t="s">
        <v>18</v>
      </c>
      <c r="F47" s="49" t="s">
        <v>146</v>
      </c>
      <c r="G47" s="49" t="s">
        <v>150</v>
      </c>
      <c r="H47" s="49" t="s">
        <v>178</v>
      </c>
      <c r="I47" s="49" t="s">
        <v>342</v>
      </c>
      <c r="J47" s="49" t="s">
        <v>152</v>
      </c>
      <c r="K47" s="49" t="s">
        <v>255</v>
      </c>
      <c r="L47" s="49" t="s">
        <v>343</v>
      </c>
      <c r="M47" s="49" t="s">
        <v>344</v>
      </c>
      <c r="O47" s="50">
        <f>VLOOKUP(D47,PROGRES!B:D,3,0)</f>
        <v>6</v>
      </c>
    </row>
    <row r="48" spans="1:15">
      <c r="A48" s="48">
        <v>46308.6971382755</v>
      </c>
      <c r="B48" s="49" t="s">
        <v>345</v>
      </c>
      <c r="C48" s="49">
        <v>1510539</v>
      </c>
      <c r="D48" s="49" t="s">
        <v>203</v>
      </c>
      <c r="E48" s="49" t="s">
        <v>18</v>
      </c>
      <c r="F48" s="49" t="s">
        <v>100</v>
      </c>
      <c r="G48" s="49" t="s">
        <v>152</v>
      </c>
      <c r="H48" s="49" t="s">
        <v>171</v>
      </c>
      <c r="I48" s="49" t="s">
        <v>346</v>
      </c>
      <c r="J48" s="49" t="s">
        <v>150</v>
      </c>
      <c r="K48" s="49" t="s">
        <v>185</v>
      </c>
      <c r="L48" s="49" t="s">
        <v>228</v>
      </c>
      <c r="M48" s="49" t="s">
        <v>200</v>
      </c>
      <c r="O48" s="50">
        <f>VLOOKUP(D48,PROGRES!B:D,3,0)</f>
        <v>5</v>
      </c>
    </row>
    <row r="49" spans="1:15">
      <c r="A49" s="48">
        <v>46308.697570821801</v>
      </c>
      <c r="B49" s="49" t="s">
        <v>347</v>
      </c>
      <c r="C49" s="49">
        <v>1511005</v>
      </c>
      <c r="D49" s="49" t="s">
        <v>293</v>
      </c>
      <c r="E49" s="49" t="s">
        <v>19</v>
      </c>
      <c r="F49" s="49" t="s">
        <v>100</v>
      </c>
      <c r="G49" s="49" t="s">
        <v>152</v>
      </c>
      <c r="H49" s="49" t="s">
        <v>178</v>
      </c>
      <c r="I49" s="49" t="s">
        <v>348</v>
      </c>
      <c r="J49" s="49" t="s">
        <v>152</v>
      </c>
      <c r="K49" s="49" t="s">
        <v>185</v>
      </c>
      <c r="L49" s="49" t="s">
        <v>180</v>
      </c>
      <c r="M49" s="49" t="s">
        <v>349</v>
      </c>
      <c r="O49" s="50">
        <f>VLOOKUP(D49,PROGRES!B:D,3,0)</f>
        <v>3</v>
      </c>
    </row>
    <row r="50" spans="1:15">
      <c r="A50" s="48">
        <v>46308.697601608801</v>
      </c>
      <c r="B50" s="49" t="s">
        <v>350</v>
      </c>
      <c r="C50" s="49">
        <v>88919188</v>
      </c>
      <c r="D50" s="49" t="s">
        <v>351</v>
      </c>
      <c r="E50" s="49" t="s">
        <v>17</v>
      </c>
      <c r="F50" s="49" t="s">
        <v>100</v>
      </c>
      <c r="G50" s="49" t="s">
        <v>150</v>
      </c>
      <c r="H50" s="49" t="s">
        <v>171</v>
      </c>
      <c r="I50" s="49" t="s">
        <v>352</v>
      </c>
      <c r="J50" s="49" t="s">
        <v>152</v>
      </c>
      <c r="K50" s="49" t="s">
        <v>205</v>
      </c>
      <c r="L50" s="49" t="s">
        <v>353</v>
      </c>
      <c r="M50" s="49" t="s">
        <v>354</v>
      </c>
      <c r="O50" s="50">
        <f>VLOOKUP(D50,PROGRES!B:D,3,0)</f>
        <v>5</v>
      </c>
    </row>
    <row r="51" spans="1:15">
      <c r="A51" s="48">
        <v>46308.698810092603</v>
      </c>
      <c r="B51" s="49" t="s">
        <v>355</v>
      </c>
      <c r="C51" s="49">
        <v>1510982</v>
      </c>
      <c r="D51" s="49" t="s">
        <v>356</v>
      </c>
      <c r="E51" s="49" t="s">
        <v>17</v>
      </c>
      <c r="F51" s="49" t="s">
        <v>146</v>
      </c>
      <c r="G51" s="49" t="s">
        <v>152</v>
      </c>
      <c r="H51" s="49" t="s">
        <v>178</v>
      </c>
      <c r="I51" s="49" t="s">
        <v>357</v>
      </c>
      <c r="J51" s="49" t="s">
        <v>152</v>
      </c>
      <c r="K51" s="49" t="s">
        <v>255</v>
      </c>
      <c r="L51" s="49" t="s">
        <v>358</v>
      </c>
      <c r="M51" s="49" t="s">
        <v>357</v>
      </c>
      <c r="O51" s="50">
        <f>VLOOKUP(D51,PROGRES!B:D,3,0)</f>
        <v>2</v>
      </c>
    </row>
    <row r="52" spans="1:15">
      <c r="A52" s="48">
        <v>46308.700400428199</v>
      </c>
      <c r="B52" s="49" t="s">
        <v>359</v>
      </c>
      <c r="C52" s="49">
        <v>1511315</v>
      </c>
      <c r="D52" s="49" t="s">
        <v>360</v>
      </c>
      <c r="E52" s="49" t="s">
        <v>17</v>
      </c>
      <c r="F52" s="49" t="s">
        <v>147</v>
      </c>
      <c r="G52" s="49" t="s">
        <v>150</v>
      </c>
      <c r="H52" s="49" t="s">
        <v>178</v>
      </c>
      <c r="I52" s="49" t="s">
        <v>361</v>
      </c>
      <c r="J52" s="49" t="s">
        <v>150</v>
      </c>
      <c r="K52" s="49" t="s">
        <v>190</v>
      </c>
      <c r="L52" s="49" t="s">
        <v>362</v>
      </c>
      <c r="M52" s="49" t="s">
        <v>363</v>
      </c>
      <c r="O52" s="50">
        <f>VLOOKUP(D52,PROGRES!B:D,3,0)</f>
        <v>5</v>
      </c>
    </row>
    <row r="53" spans="1:15">
      <c r="A53" s="48">
        <v>46308.700725613402</v>
      </c>
      <c r="B53" s="49" t="s">
        <v>364</v>
      </c>
      <c r="C53" s="49">
        <v>1511072</v>
      </c>
      <c r="D53" s="49" t="s">
        <v>365</v>
      </c>
      <c r="E53" s="49" t="s">
        <v>17</v>
      </c>
      <c r="F53" s="49" t="s">
        <v>147</v>
      </c>
      <c r="G53" s="49" t="s">
        <v>150</v>
      </c>
      <c r="H53" s="49" t="s">
        <v>171</v>
      </c>
      <c r="I53" s="49" t="s">
        <v>366</v>
      </c>
      <c r="J53" s="49" t="s">
        <v>152</v>
      </c>
      <c r="K53" s="49" t="s">
        <v>173</v>
      </c>
      <c r="L53" s="49" t="s">
        <v>367</v>
      </c>
      <c r="M53" s="49" t="s">
        <v>368</v>
      </c>
      <c r="O53" s="50">
        <f>VLOOKUP(D53,PROGRES!B:D,3,0)</f>
        <v>5</v>
      </c>
    </row>
    <row r="54" spans="1:15">
      <c r="A54" s="48">
        <v>46308.702868877299</v>
      </c>
      <c r="B54" s="49" t="s">
        <v>369</v>
      </c>
      <c r="C54" s="49">
        <v>80492</v>
      </c>
      <c r="D54" s="49" t="s">
        <v>304</v>
      </c>
      <c r="E54" s="49" t="s">
        <v>17</v>
      </c>
      <c r="F54" s="49" t="s">
        <v>100</v>
      </c>
      <c r="G54" s="49" t="s">
        <v>152</v>
      </c>
      <c r="H54" s="49" t="s">
        <v>171</v>
      </c>
      <c r="I54" s="49" t="s">
        <v>370</v>
      </c>
      <c r="J54" s="49" t="s">
        <v>150</v>
      </c>
      <c r="K54" s="49" t="s">
        <v>185</v>
      </c>
      <c r="L54" s="49" t="s">
        <v>180</v>
      </c>
      <c r="M54" s="49" t="s">
        <v>371</v>
      </c>
      <c r="O54" s="50">
        <f>VLOOKUP(D54,PROGRES!B:D,3,0)</f>
        <v>5</v>
      </c>
    </row>
    <row r="55" spans="1:15">
      <c r="A55" s="48">
        <v>46308.7049429861</v>
      </c>
      <c r="B55" s="49" t="s">
        <v>372</v>
      </c>
      <c r="C55" s="49">
        <v>1510918</v>
      </c>
      <c r="D55" s="49" t="s">
        <v>360</v>
      </c>
      <c r="E55" s="49" t="s">
        <v>18</v>
      </c>
      <c r="F55" s="49" t="s">
        <v>147</v>
      </c>
      <c r="G55" s="49" t="s">
        <v>150</v>
      </c>
      <c r="H55" s="49" t="s">
        <v>178</v>
      </c>
      <c r="I55" s="49" t="s">
        <v>373</v>
      </c>
      <c r="J55" s="49" t="s">
        <v>152</v>
      </c>
      <c r="K55" s="49" t="s">
        <v>205</v>
      </c>
      <c r="L55" s="49" t="s">
        <v>374</v>
      </c>
      <c r="M55" s="49" t="s">
        <v>375</v>
      </c>
      <c r="O55" s="50">
        <f>VLOOKUP(D55,PROGRES!B:D,3,0)</f>
        <v>5</v>
      </c>
    </row>
    <row r="56" spans="1:15">
      <c r="A56" s="48">
        <v>46308.707326145799</v>
      </c>
      <c r="B56" s="49" t="s">
        <v>376</v>
      </c>
      <c r="C56" s="49">
        <v>1511029</v>
      </c>
      <c r="D56" s="49" t="s">
        <v>278</v>
      </c>
      <c r="E56" s="49" t="s">
        <v>18</v>
      </c>
      <c r="F56" s="49" t="s">
        <v>100</v>
      </c>
      <c r="G56" s="49" t="s">
        <v>152</v>
      </c>
      <c r="H56" s="49" t="s">
        <v>171</v>
      </c>
      <c r="I56" s="49" t="s">
        <v>377</v>
      </c>
      <c r="J56" s="49" t="s">
        <v>152</v>
      </c>
      <c r="K56" s="49" t="s">
        <v>378</v>
      </c>
      <c r="L56" s="49" t="s">
        <v>379</v>
      </c>
      <c r="M56" s="49" t="s">
        <v>380</v>
      </c>
      <c r="O56" s="50">
        <f>VLOOKUP(D56,PROGRES!B:D,3,0)</f>
        <v>5</v>
      </c>
    </row>
    <row r="57" spans="1:15">
      <c r="A57" s="48">
        <v>46308.707371817101</v>
      </c>
      <c r="B57" s="49" t="s">
        <v>381</v>
      </c>
      <c r="C57" s="49">
        <v>1511161</v>
      </c>
      <c r="D57" s="49" t="s">
        <v>278</v>
      </c>
      <c r="E57" s="49" t="s">
        <v>18</v>
      </c>
      <c r="F57" s="49" t="s">
        <v>100</v>
      </c>
      <c r="G57" s="49" t="s">
        <v>152</v>
      </c>
      <c r="H57" s="49" t="s">
        <v>178</v>
      </c>
      <c r="I57" s="49" t="s">
        <v>382</v>
      </c>
      <c r="J57" s="49" t="s">
        <v>150</v>
      </c>
      <c r="K57" s="49" t="s">
        <v>185</v>
      </c>
      <c r="L57" s="49" t="s">
        <v>383</v>
      </c>
      <c r="M57" s="49" t="s">
        <v>384</v>
      </c>
      <c r="O57" s="50">
        <f>VLOOKUP(D57,PROGRES!B:D,3,0)</f>
        <v>5</v>
      </c>
    </row>
    <row r="58" spans="1:15">
      <c r="A58" s="48">
        <v>46308.710681909703</v>
      </c>
      <c r="B58" s="49" t="s">
        <v>385</v>
      </c>
      <c r="C58" s="49">
        <v>1510695</v>
      </c>
      <c r="D58" s="49" t="s">
        <v>386</v>
      </c>
      <c r="E58" s="49" t="s">
        <v>19</v>
      </c>
      <c r="F58" s="49" t="s">
        <v>100</v>
      </c>
      <c r="G58" s="49" t="s">
        <v>150</v>
      </c>
      <c r="H58" s="49" t="s">
        <v>171</v>
      </c>
      <c r="I58" s="49" t="s">
        <v>387</v>
      </c>
      <c r="J58" s="49" t="s">
        <v>152</v>
      </c>
      <c r="K58" s="49" t="s">
        <v>173</v>
      </c>
      <c r="L58" s="49" t="s">
        <v>388</v>
      </c>
      <c r="M58" s="49" t="s">
        <v>389</v>
      </c>
      <c r="O58" s="50">
        <f>VLOOKUP(D58,PROGRES!B:D,3,0)</f>
        <v>4</v>
      </c>
    </row>
    <row r="59" spans="1:15">
      <c r="A59" s="48">
        <v>46308.710828368101</v>
      </c>
      <c r="B59" s="49" t="s">
        <v>390</v>
      </c>
      <c r="C59" s="49">
        <v>1510987</v>
      </c>
      <c r="D59" s="49" t="s">
        <v>391</v>
      </c>
      <c r="E59" s="49" t="s">
        <v>17</v>
      </c>
      <c r="F59" s="49" t="s">
        <v>146</v>
      </c>
      <c r="G59" s="49" t="s">
        <v>152</v>
      </c>
      <c r="H59" s="49" t="s">
        <v>178</v>
      </c>
      <c r="I59" s="49" t="s">
        <v>328</v>
      </c>
      <c r="J59" s="49" t="s">
        <v>152</v>
      </c>
      <c r="K59" s="49" t="s">
        <v>225</v>
      </c>
      <c r="L59" s="49" t="s">
        <v>392</v>
      </c>
      <c r="M59" s="49" t="s">
        <v>393</v>
      </c>
      <c r="O59" s="50">
        <f>VLOOKUP(D59,PROGRES!B:D,3,0)</f>
        <v>4</v>
      </c>
    </row>
    <row r="60" spans="1:15">
      <c r="A60" s="48">
        <v>46308.711907939803</v>
      </c>
      <c r="B60" s="49" t="s">
        <v>394</v>
      </c>
      <c r="C60" s="49">
        <v>1510693</v>
      </c>
      <c r="D60" s="49" t="s">
        <v>360</v>
      </c>
      <c r="E60" s="49" t="s">
        <v>18</v>
      </c>
      <c r="F60" s="49" t="s">
        <v>147</v>
      </c>
      <c r="G60" s="49" t="s">
        <v>152</v>
      </c>
      <c r="H60" s="49" t="s">
        <v>171</v>
      </c>
      <c r="I60" s="49" t="s">
        <v>395</v>
      </c>
      <c r="J60" s="49" t="s">
        <v>152</v>
      </c>
      <c r="K60" s="49" t="s">
        <v>225</v>
      </c>
      <c r="L60" s="49" t="s">
        <v>180</v>
      </c>
      <c r="M60" s="49" t="s">
        <v>396</v>
      </c>
      <c r="O60" s="50">
        <f>VLOOKUP(D60,PROGRES!B:D,3,0)</f>
        <v>5</v>
      </c>
    </row>
    <row r="61" spans="1:15">
      <c r="A61" s="48">
        <v>46308.714516597203</v>
      </c>
      <c r="B61" s="49" t="s">
        <v>397</v>
      </c>
      <c r="C61" s="49">
        <v>80460</v>
      </c>
      <c r="D61" s="49" t="s">
        <v>398</v>
      </c>
      <c r="E61" s="49" t="s">
        <v>19</v>
      </c>
      <c r="F61" s="49" t="s">
        <v>147</v>
      </c>
      <c r="G61" s="49" t="s">
        <v>150</v>
      </c>
      <c r="H61" s="49" t="s">
        <v>171</v>
      </c>
      <c r="I61" s="49" t="s">
        <v>399</v>
      </c>
      <c r="J61" s="49" t="s">
        <v>150</v>
      </c>
      <c r="K61" s="49" t="s">
        <v>336</v>
      </c>
      <c r="L61" s="49" t="s">
        <v>186</v>
      </c>
      <c r="M61" s="49" t="s">
        <v>400</v>
      </c>
      <c r="O61" s="50">
        <f>VLOOKUP(D61,PROGRES!B:D,3,0)</f>
        <v>5</v>
      </c>
    </row>
    <row r="62" spans="1:15">
      <c r="A62" s="48">
        <v>46308.721683796299</v>
      </c>
      <c r="B62" s="49" t="s">
        <v>401</v>
      </c>
      <c r="C62" s="49">
        <v>80465</v>
      </c>
      <c r="D62" s="49" t="s">
        <v>183</v>
      </c>
      <c r="E62" s="49" t="s">
        <v>19</v>
      </c>
      <c r="F62" s="49" t="s">
        <v>147</v>
      </c>
      <c r="G62" s="49" t="s">
        <v>150</v>
      </c>
      <c r="H62" s="49" t="s">
        <v>171</v>
      </c>
      <c r="I62" s="49" t="s">
        <v>402</v>
      </c>
      <c r="J62" s="49" t="s">
        <v>152</v>
      </c>
      <c r="K62" s="49" t="s">
        <v>185</v>
      </c>
      <c r="L62" s="49" t="s">
        <v>403</v>
      </c>
      <c r="M62" s="49" t="s">
        <v>404</v>
      </c>
      <c r="O62" s="50">
        <f>VLOOKUP(D62,PROGRES!B:D,3,0)</f>
        <v>5</v>
      </c>
    </row>
    <row r="63" spans="1:15">
      <c r="A63" s="48">
        <v>46308.723550219896</v>
      </c>
      <c r="B63" s="49" t="s">
        <v>405</v>
      </c>
      <c r="C63" s="49">
        <v>1510594</v>
      </c>
      <c r="D63" s="49" t="s">
        <v>406</v>
      </c>
      <c r="E63" s="49" t="s">
        <v>18</v>
      </c>
      <c r="F63" s="49" t="s">
        <v>100</v>
      </c>
      <c r="G63" s="49" t="s">
        <v>150</v>
      </c>
      <c r="H63" s="49" t="s">
        <v>171</v>
      </c>
      <c r="I63" s="49" t="s">
        <v>180</v>
      </c>
      <c r="J63" s="49" t="s">
        <v>150</v>
      </c>
      <c r="K63" s="49" t="s">
        <v>205</v>
      </c>
      <c r="L63" s="49" t="s">
        <v>180</v>
      </c>
      <c r="M63" s="49" t="s">
        <v>180</v>
      </c>
      <c r="O63" s="50">
        <f>VLOOKUP(D63,PROGRES!B:D,3,0)</f>
        <v>5</v>
      </c>
    </row>
    <row r="64" spans="1:15">
      <c r="A64" s="48">
        <v>46308.746613796298</v>
      </c>
      <c r="B64" s="49" t="s">
        <v>407</v>
      </c>
      <c r="C64" s="49">
        <v>1511306</v>
      </c>
      <c r="D64" s="49" t="s">
        <v>290</v>
      </c>
      <c r="E64" s="49" t="s">
        <v>18</v>
      </c>
      <c r="F64" s="49" t="s">
        <v>100</v>
      </c>
      <c r="G64" s="49" t="s">
        <v>152</v>
      </c>
      <c r="H64" s="49" t="s">
        <v>178</v>
      </c>
      <c r="I64" s="49" t="s">
        <v>408</v>
      </c>
      <c r="J64" s="49" t="s">
        <v>152</v>
      </c>
      <c r="K64" s="49" t="s">
        <v>185</v>
      </c>
      <c r="L64" s="49" t="s">
        <v>301</v>
      </c>
      <c r="M64" s="49" t="s">
        <v>22</v>
      </c>
      <c r="O64" s="50">
        <f>VLOOKUP(D64,PROGRES!B:D,3,0)</f>
        <v>4</v>
      </c>
    </row>
    <row r="65" spans="1:15">
      <c r="A65" s="48">
        <v>46308.7470185532</v>
      </c>
      <c r="B65" s="49" t="s">
        <v>409</v>
      </c>
      <c r="C65" s="49">
        <v>1510876</v>
      </c>
      <c r="D65" s="49" t="s">
        <v>299</v>
      </c>
      <c r="E65" s="49" t="s">
        <v>18</v>
      </c>
      <c r="F65" s="49" t="s">
        <v>100</v>
      </c>
      <c r="G65" s="49" t="s">
        <v>150</v>
      </c>
      <c r="H65" s="49" t="s">
        <v>171</v>
      </c>
      <c r="I65" s="49" t="s">
        <v>410</v>
      </c>
      <c r="J65" s="49" t="s">
        <v>150</v>
      </c>
      <c r="K65" s="49" t="s">
        <v>185</v>
      </c>
      <c r="L65" s="49" t="s">
        <v>180</v>
      </c>
      <c r="M65" s="49" t="s">
        <v>411</v>
      </c>
      <c r="O65" s="50">
        <f>VLOOKUP(D65,PROGRES!B:D,3,0)</f>
        <v>5</v>
      </c>
    </row>
    <row r="66" spans="1:15">
      <c r="A66" s="48">
        <v>46308.747508935201</v>
      </c>
      <c r="B66" s="49" t="s">
        <v>412</v>
      </c>
      <c r="C66" s="49">
        <v>1510871</v>
      </c>
      <c r="D66" s="49" t="s">
        <v>325</v>
      </c>
      <c r="E66" s="49" t="s">
        <v>19</v>
      </c>
      <c r="F66" s="49" t="s">
        <v>146</v>
      </c>
      <c r="G66" s="49" t="s">
        <v>150</v>
      </c>
      <c r="H66" s="49" t="s">
        <v>171</v>
      </c>
      <c r="I66" s="49" t="s">
        <v>74</v>
      </c>
      <c r="J66" s="49" t="s">
        <v>150</v>
      </c>
      <c r="K66" s="49" t="s">
        <v>185</v>
      </c>
      <c r="L66" s="49" t="s">
        <v>74</v>
      </c>
      <c r="M66" s="49" t="s">
        <v>74</v>
      </c>
      <c r="O66" s="50">
        <f>VLOOKUP(D66,PROGRES!B:D,3,0)</f>
        <v>4</v>
      </c>
    </row>
    <row r="67" spans="1:15">
      <c r="A67" s="48">
        <v>46308.7564070023</v>
      </c>
      <c r="B67" s="49" t="s">
        <v>413</v>
      </c>
      <c r="C67" s="49">
        <v>1511165</v>
      </c>
      <c r="D67" s="49" t="s">
        <v>414</v>
      </c>
      <c r="E67" s="49" t="s">
        <v>18</v>
      </c>
      <c r="F67" s="49" t="s">
        <v>146</v>
      </c>
      <c r="G67" s="49" t="s">
        <v>152</v>
      </c>
      <c r="H67" s="49" t="s">
        <v>171</v>
      </c>
      <c r="I67" s="49" t="s">
        <v>415</v>
      </c>
      <c r="J67" s="49" t="s">
        <v>150</v>
      </c>
      <c r="K67" s="49" t="s">
        <v>416</v>
      </c>
      <c r="L67" s="49" t="s">
        <v>180</v>
      </c>
      <c r="M67" s="49" t="s">
        <v>189</v>
      </c>
      <c r="O67" s="50">
        <f>VLOOKUP(D67,PROGRES!B:D,3,0)</f>
        <v>4</v>
      </c>
    </row>
    <row r="68" spans="1:15">
      <c r="A68" s="48">
        <v>46308.7615360532</v>
      </c>
      <c r="B68" s="49" t="s">
        <v>417</v>
      </c>
      <c r="C68" s="49">
        <v>1511241</v>
      </c>
      <c r="D68" s="49" t="s">
        <v>360</v>
      </c>
      <c r="E68" s="49" t="s">
        <v>18</v>
      </c>
      <c r="F68" s="49" t="s">
        <v>147</v>
      </c>
      <c r="G68" s="49" t="s">
        <v>152</v>
      </c>
      <c r="H68" s="49" t="s">
        <v>171</v>
      </c>
      <c r="I68" s="49" t="s">
        <v>189</v>
      </c>
      <c r="J68" s="49" t="s">
        <v>152</v>
      </c>
      <c r="K68" s="49" t="s">
        <v>185</v>
      </c>
      <c r="L68" s="49" t="s">
        <v>301</v>
      </c>
      <c r="M68" s="49" t="s">
        <v>418</v>
      </c>
      <c r="O68" s="50">
        <f>VLOOKUP(D68,PROGRES!B:D,3,0)</f>
        <v>5</v>
      </c>
    </row>
    <row r="69" spans="1:15">
      <c r="A69" s="48">
        <v>46308.768018402799</v>
      </c>
      <c r="B69" s="49" t="s">
        <v>419</v>
      </c>
      <c r="C69" s="49">
        <v>1510948</v>
      </c>
      <c r="D69" s="49" t="s">
        <v>214</v>
      </c>
      <c r="E69" s="49" t="s">
        <v>18</v>
      </c>
      <c r="F69" s="49" t="s">
        <v>147</v>
      </c>
      <c r="G69" s="49" t="s">
        <v>152</v>
      </c>
      <c r="H69" s="49" t="s">
        <v>178</v>
      </c>
      <c r="I69" s="49" t="s">
        <v>420</v>
      </c>
      <c r="J69" s="49" t="s">
        <v>152</v>
      </c>
      <c r="K69" s="49" t="s">
        <v>190</v>
      </c>
      <c r="L69" s="49" t="s">
        <v>421</v>
      </c>
      <c r="M69" s="49" t="s">
        <v>422</v>
      </c>
      <c r="O69" s="50">
        <f>VLOOKUP(D69,PROGRES!B:D,3,0)</f>
        <v>5</v>
      </c>
    </row>
    <row r="70" spans="1:15">
      <c r="A70" s="48">
        <v>46308.771574953702</v>
      </c>
      <c r="B70" s="49" t="s">
        <v>423</v>
      </c>
      <c r="C70" s="49">
        <v>1511349</v>
      </c>
      <c r="D70" s="49" t="s">
        <v>424</v>
      </c>
      <c r="E70" s="49" t="s">
        <v>18</v>
      </c>
      <c r="F70" s="49" t="s">
        <v>100</v>
      </c>
      <c r="G70" s="49" t="s">
        <v>150</v>
      </c>
      <c r="H70" s="49" t="s">
        <v>171</v>
      </c>
      <c r="I70" s="49" t="s">
        <v>189</v>
      </c>
      <c r="J70" s="49" t="s">
        <v>150</v>
      </c>
      <c r="K70" s="49" t="s">
        <v>185</v>
      </c>
      <c r="L70" s="49" t="s">
        <v>425</v>
      </c>
      <c r="M70" s="49" t="s">
        <v>426</v>
      </c>
      <c r="O70" s="50">
        <f>VLOOKUP(D70,PROGRES!B:D,3,0)</f>
        <v>4</v>
      </c>
    </row>
    <row r="71" spans="1:15">
      <c r="A71" s="48">
        <v>46308.788718715303</v>
      </c>
      <c r="B71" s="49" t="s">
        <v>427</v>
      </c>
      <c r="C71" s="49">
        <v>1511262</v>
      </c>
      <c r="D71" s="49" t="s">
        <v>391</v>
      </c>
      <c r="E71" s="49" t="s">
        <v>18</v>
      </c>
      <c r="F71" s="49" t="s">
        <v>146</v>
      </c>
      <c r="G71" s="49" t="s">
        <v>152</v>
      </c>
      <c r="H71" s="49" t="s">
        <v>178</v>
      </c>
      <c r="I71" s="49" t="s">
        <v>428</v>
      </c>
      <c r="J71" s="49" t="s">
        <v>152</v>
      </c>
      <c r="K71" s="49" t="s">
        <v>185</v>
      </c>
      <c r="L71" s="49" t="s">
        <v>22</v>
      </c>
      <c r="M71" s="49" t="s">
        <v>22</v>
      </c>
      <c r="O71" s="50">
        <f>VLOOKUP(D71,PROGRES!B:D,3,0)</f>
        <v>4</v>
      </c>
    </row>
    <row r="72" spans="1:15">
      <c r="A72" s="48">
        <v>46309.283147488401</v>
      </c>
      <c r="B72" s="49" t="s">
        <v>176</v>
      </c>
      <c r="C72" s="49">
        <v>80490</v>
      </c>
      <c r="D72" s="49" t="s">
        <v>429</v>
      </c>
      <c r="E72" s="49" t="s">
        <v>17</v>
      </c>
      <c r="F72" s="49" t="s">
        <v>147</v>
      </c>
      <c r="G72" s="49" t="s">
        <v>150</v>
      </c>
      <c r="H72" s="49" t="s">
        <v>171</v>
      </c>
      <c r="I72" s="49" t="s">
        <v>22</v>
      </c>
      <c r="J72" s="49" t="s">
        <v>150</v>
      </c>
      <c r="K72" s="49" t="s">
        <v>173</v>
      </c>
      <c r="L72" s="49" t="s">
        <v>180</v>
      </c>
      <c r="M72" s="49" t="s">
        <v>22</v>
      </c>
      <c r="O72" s="50">
        <f>VLOOKUP(D72,PROGRES!B:D,3,0)</f>
        <v>3</v>
      </c>
    </row>
    <row r="73" spans="1:15">
      <c r="A73" s="48">
        <v>46309.382846967601</v>
      </c>
      <c r="B73" s="49" t="s">
        <v>430</v>
      </c>
      <c r="C73" s="49">
        <v>88919187</v>
      </c>
      <c r="D73" s="49" t="s">
        <v>431</v>
      </c>
      <c r="E73" s="49" t="s">
        <v>17</v>
      </c>
      <c r="F73" s="49" t="s">
        <v>146</v>
      </c>
      <c r="G73" s="49" t="s">
        <v>150</v>
      </c>
      <c r="H73" s="49" t="s">
        <v>171</v>
      </c>
      <c r="I73" s="49" t="s">
        <v>220</v>
      </c>
      <c r="J73" s="49" t="s">
        <v>152</v>
      </c>
      <c r="K73" s="49" t="s">
        <v>205</v>
      </c>
      <c r="L73" s="49" t="s">
        <v>315</v>
      </c>
      <c r="M73" s="49" t="s">
        <v>432</v>
      </c>
      <c r="O73" s="50">
        <f>VLOOKUP(D73,PROGRES!B:D,3,0)</f>
        <v>5</v>
      </c>
    </row>
    <row r="74" spans="1:15">
      <c r="A74" s="48">
        <v>46309.390714641202</v>
      </c>
      <c r="B74" s="49" t="s">
        <v>433</v>
      </c>
      <c r="C74" s="49">
        <v>1510661</v>
      </c>
      <c r="D74" s="49" t="s">
        <v>434</v>
      </c>
      <c r="E74" s="49" t="s">
        <v>19</v>
      </c>
      <c r="F74" s="49" t="s">
        <v>100</v>
      </c>
      <c r="G74" s="49" t="s">
        <v>150</v>
      </c>
      <c r="H74" s="49" t="s">
        <v>171</v>
      </c>
      <c r="I74" s="49" t="s">
        <v>271</v>
      </c>
      <c r="J74" s="49" t="s">
        <v>150</v>
      </c>
      <c r="K74" s="49" t="s">
        <v>205</v>
      </c>
      <c r="L74" s="49" t="s">
        <v>435</v>
      </c>
      <c r="M74" s="49" t="s">
        <v>291</v>
      </c>
      <c r="O74" s="50">
        <f>VLOOKUP(D74,PROGRES!B:D,3,0)</f>
        <v>4</v>
      </c>
    </row>
    <row r="75" spans="1:15">
      <c r="A75" s="48">
        <v>46309.390936955999</v>
      </c>
      <c r="B75" s="49" t="s">
        <v>436</v>
      </c>
      <c r="C75" s="49">
        <v>1511294</v>
      </c>
      <c r="D75" s="49" t="s">
        <v>431</v>
      </c>
      <c r="E75" s="49" t="s">
        <v>18</v>
      </c>
      <c r="F75" s="49" t="s">
        <v>146</v>
      </c>
      <c r="G75" s="49" t="s">
        <v>152</v>
      </c>
      <c r="H75" s="49" t="s">
        <v>178</v>
      </c>
      <c r="I75" s="49" t="s">
        <v>22</v>
      </c>
      <c r="J75" s="49" t="s">
        <v>152</v>
      </c>
      <c r="K75" s="49" t="s">
        <v>185</v>
      </c>
      <c r="L75" s="49" t="s">
        <v>180</v>
      </c>
      <c r="M75" s="49" t="s">
        <v>437</v>
      </c>
      <c r="O75" s="50">
        <f>VLOOKUP(D75,PROGRES!B:D,3,0)</f>
        <v>5</v>
      </c>
    </row>
    <row r="76" spans="1:15">
      <c r="A76" s="48">
        <v>46309.396092338</v>
      </c>
      <c r="B76" s="49" t="s">
        <v>438</v>
      </c>
      <c r="C76" s="49">
        <v>1511348</v>
      </c>
      <c r="D76" s="49" t="s">
        <v>431</v>
      </c>
      <c r="E76" s="49" t="s">
        <v>19</v>
      </c>
      <c r="F76" s="49" t="s">
        <v>146</v>
      </c>
      <c r="G76" s="49" t="s">
        <v>150</v>
      </c>
      <c r="H76" s="49" t="s">
        <v>171</v>
      </c>
      <c r="I76" s="49" t="s">
        <v>439</v>
      </c>
      <c r="J76" s="49" t="s">
        <v>152</v>
      </c>
      <c r="K76" s="49" t="s">
        <v>185</v>
      </c>
      <c r="L76" s="49" t="s">
        <v>287</v>
      </c>
      <c r="M76" s="49" t="s">
        <v>440</v>
      </c>
      <c r="O76" s="50">
        <f>VLOOKUP(D76,PROGRES!B:D,3,0)</f>
        <v>5</v>
      </c>
    </row>
    <row r="77" spans="1:15">
      <c r="A77" s="48">
        <v>46309.402002604198</v>
      </c>
      <c r="B77" s="49" t="s">
        <v>441</v>
      </c>
      <c r="C77" s="49">
        <v>1511057</v>
      </c>
      <c r="D77" s="49" t="s">
        <v>442</v>
      </c>
      <c r="E77" s="49" t="s">
        <v>18</v>
      </c>
      <c r="F77" s="49" t="s">
        <v>146</v>
      </c>
      <c r="G77" s="49" t="s">
        <v>152</v>
      </c>
      <c r="H77" s="49" t="s">
        <v>171</v>
      </c>
      <c r="I77" s="49" t="s">
        <v>443</v>
      </c>
      <c r="J77" s="49" t="s">
        <v>152</v>
      </c>
      <c r="K77" s="49" t="s">
        <v>255</v>
      </c>
      <c r="L77" s="49" t="s">
        <v>305</v>
      </c>
      <c r="M77" s="49" t="s">
        <v>444</v>
      </c>
      <c r="O77" s="50">
        <f>VLOOKUP(D77,PROGRES!B:D,3,0)</f>
        <v>5</v>
      </c>
    </row>
    <row r="78" spans="1:15">
      <c r="A78" s="48">
        <v>46309.535960138899</v>
      </c>
      <c r="B78" s="49" t="s">
        <v>445</v>
      </c>
      <c r="C78" s="49">
        <v>1511369</v>
      </c>
      <c r="D78" s="49" t="s">
        <v>442</v>
      </c>
      <c r="E78" s="49" t="s">
        <v>18</v>
      </c>
      <c r="F78" s="49" t="s">
        <v>146</v>
      </c>
      <c r="G78" s="49" t="s">
        <v>150</v>
      </c>
      <c r="H78" s="49" t="s">
        <v>171</v>
      </c>
      <c r="I78" s="49" t="s">
        <v>446</v>
      </c>
      <c r="J78" s="49" t="s">
        <v>152</v>
      </c>
      <c r="K78" s="49" t="s">
        <v>173</v>
      </c>
      <c r="L78" s="49" t="s">
        <v>447</v>
      </c>
      <c r="M78" s="49" t="s">
        <v>448</v>
      </c>
      <c r="O78" s="50">
        <f>VLOOKUP(D78,PROGRES!B:D,3,0)</f>
        <v>5</v>
      </c>
    </row>
    <row r="79" spans="1:15">
      <c r="A79" s="48">
        <v>46309.703437824101</v>
      </c>
      <c r="B79" s="49" t="s">
        <v>449</v>
      </c>
      <c r="C79" s="49">
        <v>80407</v>
      </c>
      <c r="D79" s="49" t="s">
        <v>450</v>
      </c>
      <c r="E79" s="49" t="s">
        <v>17</v>
      </c>
      <c r="F79" s="49" t="s">
        <v>146</v>
      </c>
      <c r="G79" s="49" t="s">
        <v>150</v>
      </c>
      <c r="H79" s="49" t="s">
        <v>171</v>
      </c>
      <c r="I79" s="49" t="s">
        <v>180</v>
      </c>
      <c r="J79" s="49" t="s">
        <v>150</v>
      </c>
      <c r="K79" s="49" t="s">
        <v>173</v>
      </c>
      <c r="L79" s="49" t="s">
        <v>451</v>
      </c>
      <c r="M79" s="49" t="s">
        <v>452</v>
      </c>
      <c r="O79" s="50">
        <f>VLOOKUP(D79,PROGRES!B:D,3,0)</f>
        <v>1</v>
      </c>
    </row>
    <row r="80" spans="1:15">
      <c r="A80" s="48">
        <v>46309.705493043999</v>
      </c>
      <c r="B80" s="49" t="s">
        <v>453</v>
      </c>
      <c r="C80" s="49">
        <v>80439</v>
      </c>
      <c r="D80" s="49" t="s">
        <v>209</v>
      </c>
      <c r="E80" s="49" t="s">
        <v>18</v>
      </c>
      <c r="F80" s="49" t="s">
        <v>147</v>
      </c>
      <c r="G80" s="49" t="s">
        <v>152</v>
      </c>
      <c r="H80" s="49" t="s">
        <v>178</v>
      </c>
      <c r="I80" s="49" t="s">
        <v>189</v>
      </c>
      <c r="J80" s="49" t="s">
        <v>152</v>
      </c>
      <c r="K80" s="49" t="s">
        <v>185</v>
      </c>
      <c r="L80" s="49" t="s">
        <v>180</v>
      </c>
      <c r="M80" s="49" t="s">
        <v>454</v>
      </c>
      <c r="O80" s="50">
        <f>VLOOKUP(D80,PROGRES!B:D,3,0)</f>
        <v>5</v>
      </c>
    </row>
    <row r="81" spans="1:15">
      <c r="A81" s="48">
        <v>46309.706628287</v>
      </c>
      <c r="B81" s="49" t="s">
        <v>455</v>
      </c>
      <c r="C81" s="49">
        <v>1511344</v>
      </c>
      <c r="D81" s="49" t="s">
        <v>304</v>
      </c>
      <c r="E81" s="49" t="s">
        <v>19</v>
      </c>
      <c r="F81" s="49" t="s">
        <v>100</v>
      </c>
      <c r="G81" s="49" t="s">
        <v>150</v>
      </c>
      <c r="H81" s="49" t="s">
        <v>171</v>
      </c>
      <c r="I81" s="49" t="s">
        <v>456</v>
      </c>
      <c r="J81" s="49" t="s">
        <v>152</v>
      </c>
      <c r="K81" s="49" t="s">
        <v>185</v>
      </c>
      <c r="L81" s="49" t="s">
        <v>457</v>
      </c>
      <c r="M81" s="49" t="s">
        <v>74</v>
      </c>
      <c r="O81" s="50">
        <f>VLOOKUP(D81,PROGRES!B:D,3,0)</f>
        <v>5</v>
      </c>
    </row>
    <row r="82" spans="1:15">
      <c r="A82" s="48">
        <v>46309.707206458297</v>
      </c>
      <c r="B82" s="49" t="s">
        <v>458</v>
      </c>
      <c r="C82" s="49">
        <v>1510659</v>
      </c>
      <c r="D82" s="49" t="s">
        <v>459</v>
      </c>
      <c r="E82" s="49" t="s">
        <v>18</v>
      </c>
      <c r="F82" s="49" t="s">
        <v>147</v>
      </c>
      <c r="G82" s="49" t="s">
        <v>152</v>
      </c>
      <c r="H82" s="49" t="s">
        <v>178</v>
      </c>
      <c r="I82" s="49" t="s">
        <v>460</v>
      </c>
      <c r="J82" s="49" t="s">
        <v>152</v>
      </c>
      <c r="K82" s="49" t="s">
        <v>190</v>
      </c>
      <c r="L82" s="49" t="s">
        <v>461</v>
      </c>
      <c r="M82" s="49" t="s">
        <v>462</v>
      </c>
      <c r="O82" s="50">
        <f>VLOOKUP(D82,PROGRES!B:D,3,0)</f>
        <v>4</v>
      </c>
    </row>
    <row r="83" spans="1:15">
      <c r="A83" s="48">
        <v>46309.711460057901</v>
      </c>
      <c r="B83" s="49" t="s">
        <v>463</v>
      </c>
      <c r="C83" s="49">
        <v>1510616</v>
      </c>
      <c r="D83" s="49" t="s">
        <v>278</v>
      </c>
      <c r="E83" s="49" t="s">
        <v>18</v>
      </c>
      <c r="F83" s="49" t="s">
        <v>100</v>
      </c>
      <c r="G83" s="49" t="s">
        <v>150</v>
      </c>
      <c r="H83" s="49" t="s">
        <v>171</v>
      </c>
      <c r="I83" s="49" t="s">
        <v>464</v>
      </c>
      <c r="J83" s="49" t="s">
        <v>150</v>
      </c>
      <c r="K83" s="49" t="s">
        <v>185</v>
      </c>
      <c r="L83" s="49" t="s">
        <v>465</v>
      </c>
      <c r="M83" s="49" t="s">
        <v>466</v>
      </c>
      <c r="O83" s="50">
        <f>VLOOKUP(D83,PROGRES!B:D,3,0)</f>
        <v>5</v>
      </c>
    </row>
    <row r="84" spans="1:15">
      <c r="A84" s="48">
        <v>46309.714193379601</v>
      </c>
      <c r="B84" s="49" t="s">
        <v>467</v>
      </c>
      <c r="C84" s="49">
        <v>1511314</v>
      </c>
      <c r="D84" s="49" t="s">
        <v>295</v>
      </c>
      <c r="E84" s="49" t="s">
        <v>19</v>
      </c>
      <c r="F84" s="49" t="s">
        <v>147</v>
      </c>
      <c r="G84" s="49" t="s">
        <v>150</v>
      </c>
      <c r="H84" s="49" t="s">
        <v>171</v>
      </c>
      <c r="I84" s="49" t="s">
        <v>468</v>
      </c>
      <c r="J84" s="49" t="s">
        <v>150</v>
      </c>
      <c r="K84" s="49" t="s">
        <v>185</v>
      </c>
      <c r="L84" s="49" t="s">
        <v>469</v>
      </c>
      <c r="M84" s="49" t="s">
        <v>470</v>
      </c>
      <c r="O84" s="50">
        <f>VLOOKUP(D84,PROGRES!B:D,3,0)</f>
        <v>5</v>
      </c>
    </row>
    <row r="85" spans="1:15">
      <c r="A85" s="48">
        <v>46309.716949166701</v>
      </c>
      <c r="B85" s="49" t="s">
        <v>471</v>
      </c>
      <c r="C85" s="49">
        <v>1510637</v>
      </c>
      <c r="D85" s="49" t="s">
        <v>217</v>
      </c>
      <c r="E85" s="49" t="s">
        <v>19</v>
      </c>
      <c r="F85" s="49" t="s">
        <v>147</v>
      </c>
      <c r="G85" s="49" t="s">
        <v>152</v>
      </c>
      <c r="H85" s="49" t="s">
        <v>321</v>
      </c>
      <c r="I85" s="49" t="s">
        <v>472</v>
      </c>
      <c r="J85" s="49" t="s">
        <v>152</v>
      </c>
      <c r="K85" s="49" t="s">
        <v>205</v>
      </c>
      <c r="L85" s="49" t="s">
        <v>473</v>
      </c>
      <c r="M85" s="49" t="s">
        <v>474</v>
      </c>
      <c r="O85" s="50">
        <f>VLOOKUP(D85,PROGRES!B:D,3,0)</f>
        <v>4</v>
      </c>
    </row>
    <row r="86" spans="1:15">
      <c r="A86" s="48">
        <v>46309.7256769792</v>
      </c>
      <c r="B86" s="49" t="s">
        <v>475</v>
      </c>
      <c r="C86" s="49">
        <v>1511237</v>
      </c>
      <c r="D86" s="49" t="s">
        <v>325</v>
      </c>
      <c r="E86" s="49" t="s">
        <v>18</v>
      </c>
      <c r="F86" s="49" t="s">
        <v>146</v>
      </c>
      <c r="G86" s="49" t="s">
        <v>150</v>
      </c>
      <c r="H86" s="49" t="s">
        <v>171</v>
      </c>
      <c r="I86" s="49" t="s">
        <v>476</v>
      </c>
      <c r="J86" s="49" t="s">
        <v>152</v>
      </c>
      <c r="K86" s="49" t="s">
        <v>185</v>
      </c>
      <c r="L86" s="49" t="s">
        <v>180</v>
      </c>
      <c r="M86" s="49" t="s">
        <v>477</v>
      </c>
      <c r="O86" s="50">
        <f>VLOOKUP(D86,PROGRES!B:D,3,0)</f>
        <v>4</v>
      </c>
    </row>
    <row r="87" spans="1:15">
      <c r="A87" s="48">
        <v>46309.7284991204</v>
      </c>
      <c r="B87" s="49" t="s">
        <v>478</v>
      </c>
      <c r="C87" s="49">
        <v>1510589</v>
      </c>
      <c r="D87" s="49" t="s">
        <v>459</v>
      </c>
      <c r="E87" s="49" t="s">
        <v>19</v>
      </c>
      <c r="F87" s="49" t="s">
        <v>147</v>
      </c>
      <c r="G87" s="49" t="s">
        <v>152</v>
      </c>
      <c r="H87" s="49" t="s">
        <v>178</v>
      </c>
      <c r="I87" s="49" t="s">
        <v>479</v>
      </c>
      <c r="J87" s="49" t="s">
        <v>152</v>
      </c>
      <c r="K87" s="49" t="s">
        <v>225</v>
      </c>
      <c r="L87" s="49" t="s">
        <v>74</v>
      </c>
      <c r="M87" s="49" t="s">
        <v>74</v>
      </c>
      <c r="O87" s="50">
        <f>VLOOKUP(D87,PROGRES!B:D,3,0)</f>
        <v>4</v>
      </c>
    </row>
    <row r="88" spans="1:15">
      <c r="A88" s="48">
        <v>46309.732724039401</v>
      </c>
      <c r="B88" s="49" t="s">
        <v>480</v>
      </c>
      <c r="C88" s="49">
        <v>1511158</v>
      </c>
      <c r="D88" s="49" t="s">
        <v>459</v>
      </c>
      <c r="E88" s="49" t="s">
        <v>18</v>
      </c>
      <c r="F88" s="49" t="s">
        <v>147</v>
      </c>
      <c r="G88" s="49" t="s">
        <v>150</v>
      </c>
      <c r="H88" s="49" t="s">
        <v>171</v>
      </c>
      <c r="I88" s="49" t="s">
        <v>481</v>
      </c>
      <c r="J88" s="49" t="s">
        <v>150</v>
      </c>
      <c r="K88" s="49" t="s">
        <v>185</v>
      </c>
      <c r="L88" s="49" t="s">
        <v>180</v>
      </c>
      <c r="M88" s="49" t="s">
        <v>482</v>
      </c>
      <c r="O88" s="50">
        <f>VLOOKUP(D88,PROGRES!B:D,3,0)</f>
        <v>4</v>
      </c>
    </row>
    <row r="89" spans="1:15">
      <c r="A89" s="48">
        <v>46309.740172002297</v>
      </c>
      <c r="B89" s="49" t="s">
        <v>483</v>
      </c>
      <c r="C89" s="49">
        <v>1510964</v>
      </c>
      <c r="D89" s="49" t="s">
        <v>325</v>
      </c>
      <c r="E89" s="49" t="s">
        <v>18</v>
      </c>
      <c r="F89" s="49" t="s">
        <v>146</v>
      </c>
      <c r="G89" s="49" t="s">
        <v>152</v>
      </c>
      <c r="H89" s="49" t="s">
        <v>171</v>
      </c>
      <c r="I89" s="49" t="s">
        <v>180</v>
      </c>
      <c r="J89" s="49" t="s">
        <v>152</v>
      </c>
      <c r="K89" s="49" t="s">
        <v>185</v>
      </c>
      <c r="L89" s="49" t="s">
        <v>180</v>
      </c>
      <c r="M89" s="49" t="s">
        <v>22</v>
      </c>
      <c r="O89" s="50">
        <f>VLOOKUP(D89,PROGRES!B:D,3,0)</f>
        <v>4</v>
      </c>
    </row>
    <row r="90" spans="1:15">
      <c r="A90" s="48">
        <v>46309.740314212999</v>
      </c>
      <c r="B90" s="49" t="s">
        <v>484</v>
      </c>
      <c r="C90" s="49">
        <v>1511227</v>
      </c>
      <c r="D90" s="49" t="s">
        <v>209</v>
      </c>
      <c r="E90" s="49" t="s">
        <v>18</v>
      </c>
      <c r="F90" s="49" t="s">
        <v>147</v>
      </c>
      <c r="G90" s="49" t="s">
        <v>150</v>
      </c>
      <c r="H90" s="49" t="s">
        <v>171</v>
      </c>
      <c r="I90" s="49" t="s">
        <v>189</v>
      </c>
      <c r="J90" s="49" t="s">
        <v>150</v>
      </c>
      <c r="K90" s="49" t="s">
        <v>185</v>
      </c>
      <c r="L90" s="49" t="s">
        <v>301</v>
      </c>
      <c r="M90" s="49" t="s">
        <v>189</v>
      </c>
      <c r="O90" s="50">
        <f>VLOOKUP(D90,PROGRES!B:D,3,0)</f>
        <v>5</v>
      </c>
    </row>
    <row r="91" spans="1:15">
      <c r="A91" s="48">
        <v>46309.785693055601</v>
      </c>
      <c r="B91" s="49" t="s">
        <v>485</v>
      </c>
      <c r="C91" s="49">
        <v>1510499</v>
      </c>
      <c r="D91" s="49" t="s">
        <v>486</v>
      </c>
      <c r="E91" s="49" t="s">
        <v>17</v>
      </c>
      <c r="F91" s="49" t="s">
        <v>147</v>
      </c>
      <c r="G91" s="49" t="s">
        <v>150</v>
      </c>
      <c r="H91" s="49" t="s">
        <v>171</v>
      </c>
      <c r="I91" s="49" t="s">
        <v>439</v>
      </c>
      <c r="J91" s="49" t="s">
        <v>150</v>
      </c>
      <c r="K91" s="49" t="s">
        <v>185</v>
      </c>
      <c r="L91" s="49" t="s">
        <v>301</v>
      </c>
      <c r="M91" s="49" t="s">
        <v>439</v>
      </c>
      <c r="O91" s="50">
        <f>VLOOKUP(D91,PROGRES!B:D,3,0)</f>
        <v>3</v>
      </c>
    </row>
    <row r="92" spans="1:15">
      <c r="A92" s="48">
        <v>46309.790811493098</v>
      </c>
      <c r="B92" s="49" t="s">
        <v>487</v>
      </c>
      <c r="C92" s="49" t="s">
        <v>488</v>
      </c>
      <c r="D92" s="49" t="s">
        <v>489</v>
      </c>
      <c r="E92" s="49" t="s">
        <v>19</v>
      </c>
      <c r="F92" s="49" t="s">
        <v>147</v>
      </c>
      <c r="G92" s="49" t="s">
        <v>150</v>
      </c>
      <c r="H92" s="49" t="s">
        <v>171</v>
      </c>
      <c r="I92" s="49" t="s">
        <v>490</v>
      </c>
      <c r="J92" s="49" t="s">
        <v>150</v>
      </c>
      <c r="K92" s="49" t="s">
        <v>225</v>
      </c>
      <c r="L92" s="49" t="s">
        <v>186</v>
      </c>
      <c r="M92" s="49" t="s">
        <v>491</v>
      </c>
      <c r="O92" s="50">
        <f>VLOOKUP(D92,PROGRES!B:D,3,0)</f>
        <v>3</v>
      </c>
    </row>
    <row r="93" spans="1:15">
      <c r="A93" s="48">
        <v>46310.365165219897</v>
      </c>
      <c r="B93" s="49" t="s">
        <v>492</v>
      </c>
      <c r="C93" s="49">
        <v>1511114</v>
      </c>
      <c r="D93" s="49" t="s">
        <v>219</v>
      </c>
      <c r="E93" s="49" t="s">
        <v>18</v>
      </c>
      <c r="F93" s="49" t="s">
        <v>146</v>
      </c>
      <c r="G93" s="49" t="s">
        <v>150</v>
      </c>
      <c r="H93" s="49" t="s">
        <v>171</v>
      </c>
      <c r="I93" s="49" t="s">
        <v>493</v>
      </c>
      <c r="J93" s="49" t="s">
        <v>152</v>
      </c>
      <c r="K93" s="49" t="s">
        <v>185</v>
      </c>
      <c r="L93" s="49" t="s">
        <v>301</v>
      </c>
      <c r="M93" s="49" t="s">
        <v>494</v>
      </c>
      <c r="O93" s="50">
        <f>VLOOKUP(D93,PROGRES!B:D,3,0)</f>
        <v>2</v>
      </c>
    </row>
    <row r="94" spans="1:15">
      <c r="A94" s="48">
        <v>46310.386204733797</v>
      </c>
      <c r="B94" s="49" t="s">
        <v>495</v>
      </c>
      <c r="C94" s="49">
        <v>80478</v>
      </c>
      <c r="D94" s="49" t="s">
        <v>496</v>
      </c>
      <c r="E94" s="49" t="s">
        <v>17</v>
      </c>
      <c r="F94" s="49" t="s">
        <v>147</v>
      </c>
      <c r="G94" s="49" t="s">
        <v>150</v>
      </c>
      <c r="H94" s="49" t="s">
        <v>171</v>
      </c>
      <c r="I94" s="49" t="s">
        <v>497</v>
      </c>
      <c r="J94" s="49" t="s">
        <v>152</v>
      </c>
      <c r="K94" s="49" t="s">
        <v>173</v>
      </c>
      <c r="L94" s="49" t="s">
        <v>498</v>
      </c>
      <c r="M94" s="49" t="s">
        <v>499</v>
      </c>
      <c r="O94" s="50">
        <f>VLOOKUP(D94,PROGRES!B:D,3,0)</f>
        <v>5</v>
      </c>
    </row>
    <row r="95" spans="1:15">
      <c r="A95" s="48">
        <v>46310.387722013897</v>
      </c>
      <c r="B95" s="49" t="s">
        <v>500</v>
      </c>
      <c r="C95" s="49">
        <v>2511257</v>
      </c>
      <c r="D95" s="49" t="s">
        <v>501</v>
      </c>
      <c r="E95" s="49" t="s">
        <v>18</v>
      </c>
      <c r="F95" s="49" t="s">
        <v>147</v>
      </c>
      <c r="G95" s="49" t="s">
        <v>152</v>
      </c>
      <c r="H95" s="49" t="s">
        <v>178</v>
      </c>
      <c r="I95" s="49" t="s">
        <v>502</v>
      </c>
      <c r="J95" s="49" t="s">
        <v>152</v>
      </c>
      <c r="K95" s="49" t="s">
        <v>225</v>
      </c>
      <c r="L95" s="49" t="s">
        <v>180</v>
      </c>
      <c r="M95" s="49" t="s">
        <v>503</v>
      </c>
      <c r="O95" s="50">
        <f>VLOOKUP(D95,PROGRES!B:D,3,0)</f>
        <v>5</v>
      </c>
    </row>
    <row r="96" spans="1:15">
      <c r="A96" s="48">
        <v>46310.387802291698</v>
      </c>
      <c r="B96" s="49" t="s">
        <v>504</v>
      </c>
      <c r="C96" s="49">
        <v>1511049</v>
      </c>
      <c r="D96" s="49" t="s">
        <v>505</v>
      </c>
      <c r="E96" s="49" t="s">
        <v>18</v>
      </c>
      <c r="F96" s="49" t="s">
        <v>147</v>
      </c>
      <c r="G96" s="49" t="s">
        <v>152</v>
      </c>
      <c r="H96" s="49" t="s">
        <v>171</v>
      </c>
      <c r="I96" s="49" t="s">
        <v>186</v>
      </c>
      <c r="J96" s="49" t="s">
        <v>152</v>
      </c>
      <c r="K96" s="49" t="s">
        <v>185</v>
      </c>
      <c r="L96" s="49" t="s">
        <v>506</v>
      </c>
      <c r="M96" s="49" t="s">
        <v>507</v>
      </c>
      <c r="O96" s="50">
        <f>VLOOKUP(D96,PROGRES!B:D,3,0)</f>
        <v>5</v>
      </c>
    </row>
    <row r="97" spans="1:15">
      <c r="A97" s="48">
        <v>46310.389745312503</v>
      </c>
      <c r="B97" s="49" t="s">
        <v>508</v>
      </c>
      <c r="C97" s="49">
        <v>1510785</v>
      </c>
      <c r="D97" s="49" t="s">
        <v>509</v>
      </c>
      <c r="E97" s="49" t="s">
        <v>19</v>
      </c>
      <c r="F97" s="49" t="s">
        <v>148</v>
      </c>
      <c r="G97" s="49" t="s">
        <v>150</v>
      </c>
      <c r="H97" s="49" t="s">
        <v>171</v>
      </c>
      <c r="I97" s="49" t="s">
        <v>510</v>
      </c>
      <c r="J97" s="49" t="s">
        <v>152</v>
      </c>
      <c r="K97" s="49" t="s">
        <v>336</v>
      </c>
      <c r="L97" s="49" t="s">
        <v>358</v>
      </c>
      <c r="M97" s="49" t="s">
        <v>511</v>
      </c>
      <c r="O97" s="50">
        <f>VLOOKUP(D97,PROGRES!B:D,3,0)</f>
        <v>3</v>
      </c>
    </row>
    <row r="98" spans="1:15">
      <c r="A98" s="48">
        <v>46310.391453229196</v>
      </c>
      <c r="B98" s="49" t="s">
        <v>512</v>
      </c>
      <c r="C98" s="49">
        <v>1510978</v>
      </c>
      <c r="D98" s="49" t="s">
        <v>513</v>
      </c>
      <c r="E98" s="49" t="s">
        <v>18</v>
      </c>
      <c r="F98" s="49" t="s">
        <v>148</v>
      </c>
      <c r="G98" s="49" t="s">
        <v>152</v>
      </c>
      <c r="H98" s="49" t="s">
        <v>178</v>
      </c>
      <c r="I98" s="49" t="s">
        <v>514</v>
      </c>
      <c r="J98" s="49" t="s">
        <v>152</v>
      </c>
      <c r="K98" s="49" t="s">
        <v>255</v>
      </c>
      <c r="L98" s="49" t="s">
        <v>515</v>
      </c>
      <c r="M98" s="49" t="s">
        <v>223</v>
      </c>
      <c r="O98" s="50">
        <f>VLOOKUP(D98,PROGRES!B:D,3,0)</f>
        <v>2</v>
      </c>
    </row>
    <row r="99" spans="1:15">
      <c r="A99" s="48">
        <v>46310.394059687504</v>
      </c>
      <c r="B99" s="49" t="s">
        <v>516</v>
      </c>
      <c r="C99" s="49">
        <v>1510768</v>
      </c>
      <c r="D99" s="49" t="s">
        <v>496</v>
      </c>
      <c r="E99" s="49" t="s">
        <v>19</v>
      </c>
      <c r="F99" s="49" t="s">
        <v>147</v>
      </c>
      <c r="G99" s="49" t="s">
        <v>150</v>
      </c>
      <c r="H99" s="49" t="s">
        <v>171</v>
      </c>
      <c r="I99" s="49" t="s">
        <v>517</v>
      </c>
      <c r="J99" s="49" t="s">
        <v>150</v>
      </c>
      <c r="K99" s="49" t="s">
        <v>205</v>
      </c>
      <c r="L99" s="49" t="s">
        <v>498</v>
      </c>
      <c r="M99" s="49" t="s">
        <v>517</v>
      </c>
      <c r="O99" s="50">
        <f>VLOOKUP(D99,PROGRES!B:D,3,0)</f>
        <v>5</v>
      </c>
    </row>
    <row r="100" spans="1:15">
      <c r="A100" s="48">
        <v>46310.401154571802</v>
      </c>
      <c r="B100" s="49" t="s">
        <v>518</v>
      </c>
      <c r="C100" s="49">
        <v>80453</v>
      </c>
      <c r="D100" s="49" t="s">
        <v>519</v>
      </c>
      <c r="E100" s="49" t="s">
        <v>19</v>
      </c>
      <c r="F100" s="49" t="s">
        <v>148</v>
      </c>
      <c r="G100" s="49" t="s">
        <v>152</v>
      </c>
      <c r="H100" s="49" t="s">
        <v>171</v>
      </c>
      <c r="I100" s="49" t="s">
        <v>74</v>
      </c>
      <c r="J100" s="49" t="s">
        <v>150</v>
      </c>
      <c r="K100" s="49" t="s">
        <v>173</v>
      </c>
      <c r="L100" s="49" t="s">
        <v>180</v>
      </c>
      <c r="M100" s="49" t="s">
        <v>74</v>
      </c>
      <c r="O100" s="50">
        <f>VLOOKUP(D100,PROGRES!B:D,3,0)</f>
        <v>4</v>
      </c>
    </row>
    <row r="101" spans="1:15">
      <c r="A101" s="48">
        <v>46310.401639351898</v>
      </c>
      <c r="B101" s="49" t="s">
        <v>520</v>
      </c>
      <c r="C101" s="49">
        <v>1510718</v>
      </c>
      <c r="D101" s="49" t="s">
        <v>365</v>
      </c>
      <c r="E101" s="49" t="s">
        <v>18</v>
      </c>
      <c r="F101" s="49" t="s">
        <v>147</v>
      </c>
      <c r="G101" s="49" t="s">
        <v>150</v>
      </c>
      <c r="H101" s="49" t="s">
        <v>171</v>
      </c>
      <c r="I101" s="49" t="s">
        <v>521</v>
      </c>
      <c r="J101" s="49" t="s">
        <v>150</v>
      </c>
      <c r="K101" s="49" t="s">
        <v>185</v>
      </c>
      <c r="L101" s="49" t="s">
        <v>180</v>
      </c>
      <c r="M101" s="49" t="s">
        <v>522</v>
      </c>
      <c r="O101" s="50">
        <f>VLOOKUP(D101,PROGRES!B:D,3,0)</f>
        <v>5</v>
      </c>
    </row>
    <row r="102" spans="1:15">
      <c r="A102" s="48">
        <v>46310.402035011597</v>
      </c>
      <c r="B102" s="49" t="s">
        <v>523</v>
      </c>
      <c r="C102" s="49">
        <v>1511197</v>
      </c>
      <c r="D102" s="49" t="s">
        <v>524</v>
      </c>
      <c r="E102" s="49" t="s">
        <v>18</v>
      </c>
      <c r="F102" s="49" t="s">
        <v>148</v>
      </c>
      <c r="G102" s="49" t="s">
        <v>152</v>
      </c>
      <c r="H102" s="49" t="s">
        <v>171</v>
      </c>
      <c r="I102" s="49" t="s">
        <v>525</v>
      </c>
      <c r="J102" s="49" t="s">
        <v>150</v>
      </c>
      <c r="K102" s="49" t="s">
        <v>185</v>
      </c>
      <c r="L102" s="49" t="s">
        <v>246</v>
      </c>
      <c r="M102" s="49" t="s">
        <v>526</v>
      </c>
      <c r="O102" s="50">
        <f>VLOOKUP(D102,PROGRES!B:D,3,0)</f>
        <v>7</v>
      </c>
    </row>
    <row r="103" spans="1:15">
      <c r="A103" s="48">
        <v>46310.4020648843</v>
      </c>
      <c r="B103" s="49" t="s">
        <v>527</v>
      </c>
      <c r="C103" s="49">
        <v>1510737</v>
      </c>
      <c r="D103" s="49" t="s">
        <v>505</v>
      </c>
      <c r="E103" s="49" t="s">
        <v>18</v>
      </c>
      <c r="F103" s="49" t="s">
        <v>147</v>
      </c>
      <c r="G103" s="49" t="s">
        <v>150</v>
      </c>
      <c r="H103" s="49" t="s">
        <v>171</v>
      </c>
      <c r="I103" s="49" t="s">
        <v>498</v>
      </c>
      <c r="J103" s="49" t="s">
        <v>152</v>
      </c>
      <c r="K103" s="49" t="s">
        <v>185</v>
      </c>
      <c r="L103" s="49" t="s">
        <v>528</v>
      </c>
      <c r="M103" s="49" t="s">
        <v>529</v>
      </c>
      <c r="O103" s="50">
        <f>VLOOKUP(D103,PROGRES!B:D,3,0)</f>
        <v>5</v>
      </c>
    </row>
    <row r="104" spans="1:15">
      <c r="A104" s="48">
        <v>46310.402430891198</v>
      </c>
      <c r="B104" s="49" t="s">
        <v>530</v>
      </c>
      <c r="C104" s="49">
        <v>1510857</v>
      </c>
      <c r="D104" s="49" t="s">
        <v>531</v>
      </c>
      <c r="E104" s="49" t="s">
        <v>18</v>
      </c>
      <c r="F104" s="49" t="s">
        <v>148</v>
      </c>
      <c r="G104" s="49" t="s">
        <v>150</v>
      </c>
      <c r="H104" s="49" t="s">
        <v>171</v>
      </c>
      <c r="I104" s="49" t="s">
        <v>532</v>
      </c>
      <c r="J104" s="49" t="s">
        <v>150</v>
      </c>
      <c r="K104" s="49" t="s">
        <v>179</v>
      </c>
      <c r="L104" s="49" t="s">
        <v>180</v>
      </c>
      <c r="M104" s="49" t="s">
        <v>532</v>
      </c>
      <c r="O104" s="50">
        <f>VLOOKUP(D104,PROGRES!B:D,3,0)</f>
        <v>4</v>
      </c>
    </row>
    <row r="105" spans="1:15">
      <c r="A105" s="48">
        <v>46310.402622419002</v>
      </c>
      <c r="B105" s="49" t="s">
        <v>533</v>
      </c>
      <c r="C105" s="49">
        <v>1511316</v>
      </c>
      <c r="D105" s="49" t="s">
        <v>365</v>
      </c>
      <c r="E105" s="49" t="s">
        <v>19</v>
      </c>
      <c r="F105" s="49" t="s">
        <v>147</v>
      </c>
      <c r="G105" s="49" t="s">
        <v>152</v>
      </c>
      <c r="H105" s="49" t="s">
        <v>178</v>
      </c>
      <c r="I105" s="49" t="s">
        <v>534</v>
      </c>
      <c r="J105" s="49" t="s">
        <v>150</v>
      </c>
      <c r="K105" s="49" t="s">
        <v>185</v>
      </c>
      <c r="L105" s="49" t="s">
        <v>535</v>
      </c>
      <c r="M105" s="49" t="s">
        <v>536</v>
      </c>
      <c r="O105" s="50">
        <f>VLOOKUP(D105,PROGRES!B:D,3,0)</f>
        <v>5</v>
      </c>
    </row>
    <row r="106" spans="1:15">
      <c r="A106" s="48">
        <v>46310.403557604201</v>
      </c>
      <c r="B106" s="49" t="s">
        <v>537</v>
      </c>
      <c r="C106" s="49" t="s">
        <v>538</v>
      </c>
      <c r="D106" s="49" t="s">
        <v>539</v>
      </c>
      <c r="E106" s="49" t="s">
        <v>17</v>
      </c>
      <c r="F106" s="49" t="s">
        <v>148</v>
      </c>
      <c r="G106" s="49" t="s">
        <v>152</v>
      </c>
      <c r="H106" s="49" t="s">
        <v>171</v>
      </c>
      <c r="I106" s="49" t="s">
        <v>74</v>
      </c>
      <c r="J106" s="49" t="s">
        <v>152</v>
      </c>
      <c r="K106" s="49" t="s">
        <v>255</v>
      </c>
      <c r="L106" s="49" t="s">
        <v>74</v>
      </c>
      <c r="M106" s="49" t="s">
        <v>74</v>
      </c>
      <c r="O106" s="50">
        <f>VLOOKUP(D106,PROGRES!B:D,3,0)</f>
        <v>3</v>
      </c>
    </row>
    <row r="107" spans="1:15">
      <c r="A107" s="48">
        <v>46310.404930162003</v>
      </c>
      <c r="B107" s="49" t="s">
        <v>540</v>
      </c>
      <c r="C107" s="49">
        <v>1510516</v>
      </c>
      <c r="D107" s="49" t="s">
        <v>541</v>
      </c>
      <c r="E107" s="49" t="s">
        <v>18</v>
      </c>
      <c r="F107" s="49" t="s">
        <v>148</v>
      </c>
      <c r="G107" s="49" t="s">
        <v>150</v>
      </c>
      <c r="H107" s="49" t="s">
        <v>171</v>
      </c>
      <c r="I107" s="49" t="s">
        <v>542</v>
      </c>
      <c r="J107" s="49" t="s">
        <v>152</v>
      </c>
      <c r="K107" s="49" t="s">
        <v>190</v>
      </c>
      <c r="L107" s="49" t="s">
        <v>451</v>
      </c>
      <c r="M107" s="49" t="s">
        <v>543</v>
      </c>
      <c r="O107" s="50">
        <f>VLOOKUP(D107,PROGRES!B:D,3,0)</f>
        <v>3</v>
      </c>
    </row>
    <row r="108" spans="1:15">
      <c r="A108" s="48">
        <v>46310.405426979203</v>
      </c>
      <c r="B108" s="49" t="s">
        <v>544</v>
      </c>
      <c r="C108" s="49">
        <v>80454</v>
      </c>
      <c r="D108" s="49" t="s">
        <v>545</v>
      </c>
      <c r="E108" s="49" t="s">
        <v>19</v>
      </c>
      <c r="F108" s="49" t="s">
        <v>148</v>
      </c>
      <c r="G108" s="49" t="s">
        <v>150</v>
      </c>
      <c r="H108" s="49" t="s">
        <v>171</v>
      </c>
      <c r="I108" s="49" t="s">
        <v>546</v>
      </c>
      <c r="J108" s="49" t="s">
        <v>150</v>
      </c>
      <c r="K108" s="49" t="s">
        <v>185</v>
      </c>
      <c r="L108" s="49" t="s">
        <v>547</v>
      </c>
      <c r="M108" s="49" t="s">
        <v>548</v>
      </c>
      <c r="O108" s="50">
        <f>VLOOKUP(D108,PROGRES!B:D,3,0)</f>
        <v>5</v>
      </c>
    </row>
    <row r="109" spans="1:15">
      <c r="A109" s="48">
        <v>46310.410269305597</v>
      </c>
      <c r="B109" s="49" t="s">
        <v>549</v>
      </c>
      <c r="C109" s="49">
        <v>80464</v>
      </c>
      <c r="D109" s="49" t="s">
        <v>550</v>
      </c>
      <c r="E109" s="49" t="s">
        <v>19</v>
      </c>
      <c r="F109" s="49" t="s">
        <v>148</v>
      </c>
      <c r="G109" s="49" t="s">
        <v>150</v>
      </c>
      <c r="H109" s="49" t="s">
        <v>171</v>
      </c>
      <c r="I109" s="49" t="s">
        <v>551</v>
      </c>
      <c r="J109" s="49" t="s">
        <v>150</v>
      </c>
      <c r="K109" s="49" t="s">
        <v>205</v>
      </c>
      <c r="L109" s="49" t="s">
        <v>233</v>
      </c>
      <c r="M109" s="49" t="s">
        <v>551</v>
      </c>
      <c r="O109" s="50">
        <f>VLOOKUP(D109,PROGRES!B:D,3,0)</f>
        <v>6</v>
      </c>
    </row>
    <row r="110" spans="1:15">
      <c r="A110" s="48">
        <v>46310.410479293998</v>
      </c>
      <c r="B110" s="49" t="s">
        <v>552</v>
      </c>
      <c r="C110" s="49">
        <v>1510777</v>
      </c>
      <c r="D110" s="49" t="s">
        <v>553</v>
      </c>
      <c r="E110" s="49" t="s">
        <v>18</v>
      </c>
      <c r="F110" s="49" t="s">
        <v>148</v>
      </c>
      <c r="G110" s="49" t="s">
        <v>150</v>
      </c>
      <c r="H110" s="49" t="s">
        <v>171</v>
      </c>
      <c r="I110" s="49" t="s">
        <v>554</v>
      </c>
      <c r="J110" s="49" t="s">
        <v>152</v>
      </c>
      <c r="K110" s="49" t="s">
        <v>185</v>
      </c>
      <c r="L110" s="49" t="s">
        <v>180</v>
      </c>
      <c r="M110" s="49" t="s">
        <v>191</v>
      </c>
      <c r="O110" s="50">
        <f>VLOOKUP(D110,PROGRES!B:D,3,0)</f>
        <v>3</v>
      </c>
    </row>
    <row r="111" spans="1:15">
      <c r="A111" s="48">
        <v>46310.418198715299</v>
      </c>
      <c r="B111" s="49" t="s">
        <v>555</v>
      </c>
      <c r="C111" s="49">
        <v>1511366</v>
      </c>
      <c r="D111" s="49" t="s">
        <v>365</v>
      </c>
      <c r="E111" s="49" t="s">
        <v>18</v>
      </c>
      <c r="F111" s="49" t="s">
        <v>147</v>
      </c>
      <c r="G111" s="49" t="s">
        <v>150</v>
      </c>
      <c r="H111" s="49" t="s">
        <v>171</v>
      </c>
      <c r="I111" s="49" t="s">
        <v>556</v>
      </c>
      <c r="J111" s="49" t="s">
        <v>150</v>
      </c>
      <c r="K111" s="49" t="s">
        <v>185</v>
      </c>
      <c r="L111" s="49" t="s">
        <v>301</v>
      </c>
      <c r="M111" s="49" t="s">
        <v>557</v>
      </c>
      <c r="O111" s="50">
        <f>VLOOKUP(D111,PROGRES!B:D,3,0)</f>
        <v>5</v>
      </c>
    </row>
    <row r="112" spans="1:15">
      <c r="A112" s="48">
        <v>46310.422327719898</v>
      </c>
      <c r="B112" s="49" t="s">
        <v>558</v>
      </c>
      <c r="C112" s="49">
        <v>88611119</v>
      </c>
      <c r="D112" s="49" t="s">
        <v>531</v>
      </c>
      <c r="E112" s="49" t="s">
        <v>17</v>
      </c>
      <c r="F112" s="49" t="s">
        <v>148</v>
      </c>
      <c r="G112" s="49" t="s">
        <v>150</v>
      </c>
      <c r="H112" s="49" t="s">
        <v>171</v>
      </c>
      <c r="I112" s="49" t="s">
        <v>559</v>
      </c>
      <c r="J112" s="49" t="s">
        <v>150</v>
      </c>
      <c r="K112" s="49" t="s">
        <v>190</v>
      </c>
      <c r="L112" s="49" t="s">
        <v>560</v>
      </c>
      <c r="M112" s="49" t="s">
        <v>561</v>
      </c>
      <c r="O112" s="50">
        <f>VLOOKUP(D112,PROGRES!B:D,3,0)</f>
        <v>4</v>
      </c>
    </row>
    <row r="113" spans="1:15">
      <c r="A113" s="48">
        <v>46310.424061423597</v>
      </c>
      <c r="B113" s="49" t="s">
        <v>562</v>
      </c>
      <c r="C113" s="49">
        <v>1510587</v>
      </c>
      <c r="D113" s="49" t="s">
        <v>524</v>
      </c>
      <c r="E113" s="49" t="s">
        <v>18</v>
      </c>
      <c r="F113" s="49" t="s">
        <v>148</v>
      </c>
      <c r="G113" s="49" t="s">
        <v>152</v>
      </c>
      <c r="H113" s="49" t="s">
        <v>171</v>
      </c>
      <c r="I113" s="49" t="s">
        <v>563</v>
      </c>
      <c r="J113" s="49" t="s">
        <v>150</v>
      </c>
      <c r="K113" s="49" t="s">
        <v>185</v>
      </c>
      <c r="L113" s="49" t="s">
        <v>564</v>
      </c>
      <c r="M113" s="49" t="s">
        <v>565</v>
      </c>
      <c r="O113" s="50">
        <f>VLOOKUP(D113,PROGRES!B:D,3,0)</f>
        <v>7</v>
      </c>
    </row>
    <row r="114" spans="1:15">
      <c r="A114" s="48">
        <v>46310.426044016203</v>
      </c>
      <c r="B114" s="49" t="s">
        <v>566</v>
      </c>
      <c r="C114" s="49" t="s">
        <v>567</v>
      </c>
      <c r="D114" s="49" t="s">
        <v>545</v>
      </c>
      <c r="E114" s="49" t="s">
        <v>18</v>
      </c>
      <c r="F114" s="49" t="s">
        <v>148</v>
      </c>
      <c r="G114" s="49" t="s">
        <v>150</v>
      </c>
      <c r="H114" s="49" t="s">
        <v>171</v>
      </c>
      <c r="I114" s="49" t="s">
        <v>357</v>
      </c>
      <c r="J114" s="49" t="s">
        <v>150</v>
      </c>
      <c r="K114" s="49" t="s">
        <v>185</v>
      </c>
      <c r="L114" s="49" t="s">
        <v>568</v>
      </c>
      <c r="M114" s="49" t="s">
        <v>246</v>
      </c>
      <c r="O114" s="50">
        <f>VLOOKUP(D114,PROGRES!B:D,3,0)</f>
        <v>5</v>
      </c>
    </row>
    <row r="115" spans="1:15">
      <c r="A115" s="48">
        <v>46310.428586516202</v>
      </c>
      <c r="B115" s="49" t="s">
        <v>569</v>
      </c>
      <c r="C115" s="49">
        <v>1511106</v>
      </c>
      <c r="D115" s="49" t="s">
        <v>541</v>
      </c>
      <c r="E115" s="49" t="s">
        <v>17</v>
      </c>
      <c r="F115" s="49" t="s">
        <v>148</v>
      </c>
      <c r="G115" s="49" t="s">
        <v>150</v>
      </c>
      <c r="H115" s="49" t="s">
        <v>171</v>
      </c>
      <c r="I115" s="49" t="s">
        <v>570</v>
      </c>
      <c r="J115" s="49" t="s">
        <v>152</v>
      </c>
      <c r="K115" s="49" t="s">
        <v>205</v>
      </c>
      <c r="L115" s="49" t="s">
        <v>571</v>
      </c>
      <c r="M115" s="49" t="s">
        <v>572</v>
      </c>
      <c r="O115" s="50">
        <f>VLOOKUP(D115,PROGRES!B:D,3,0)</f>
        <v>3</v>
      </c>
    </row>
    <row r="116" spans="1:15">
      <c r="A116" s="48">
        <v>46310.546571134299</v>
      </c>
      <c r="B116" s="49" t="s">
        <v>573</v>
      </c>
      <c r="C116" s="49" t="s">
        <v>574</v>
      </c>
      <c r="D116" s="49" t="s">
        <v>575</v>
      </c>
      <c r="E116" s="49" t="s">
        <v>17</v>
      </c>
      <c r="F116" s="49" t="s">
        <v>147</v>
      </c>
      <c r="G116" s="49" t="s">
        <v>152</v>
      </c>
      <c r="H116" s="49" t="s">
        <v>178</v>
      </c>
      <c r="I116" s="49" t="s">
        <v>576</v>
      </c>
      <c r="J116" s="49" t="s">
        <v>152</v>
      </c>
      <c r="K116" s="49" t="s">
        <v>205</v>
      </c>
      <c r="L116" s="49" t="s">
        <v>498</v>
      </c>
      <c r="M116" s="49" t="s">
        <v>271</v>
      </c>
      <c r="O116" s="50">
        <f>VLOOKUP(D116,PROGRES!B:D,3,0)</f>
        <v>3</v>
      </c>
    </row>
    <row r="117" spans="1:15">
      <c r="A117" s="52">
        <v>46310.690925925897</v>
      </c>
      <c r="B117" s="53" t="s">
        <v>577</v>
      </c>
      <c r="C117" s="54">
        <v>1511219</v>
      </c>
      <c r="D117" s="53" t="s">
        <v>578</v>
      </c>
      <c r="E117" s="53" t="s">
        <v>18</v>
      </c>
      <c r="F117" s="53" t="s">
        <v>100</v>
      </c>
      <c r="G117" s="53" t="s">
        <v>150</v>
      </c>
      <c r="H117" s="53" t="s">
        <v>171</v>
      </c>
      <c r="I117" s="53" t="s">
        <v>74</v>
      </c>
      <c r="J117" s="53" t="s">
        <v>150</v>
      </c>
      <c r="K117" s="53" t="s">
        <v>185</v>
      </c>
      <c r="L117" s="53" t="s">
        <v>180</v>
      </c>
      <c r="M117" s="53" t="s">
        <v>74</v>
      </c>
      <c r="O117" s="50">
        <f>VLOOKUP(D117,PROGRES!B:D,3,0)</f>
        <v>4</v>
      </c>
    </row>
    <row r="118" spans="1:15">
      <c r="A118" s="52">
        <v>46310.691736111097</v>
      </c>
      <c r="B118" s="53" t="s">
        <v>579</v>
      </c>
      <c r="C118" s="54">
        <v>1511109</v>
      </c>
      <c r="D118" s="53" t="s">
        <v>429</v>
      </c>
      <c r="E118" s="53" t="s">
        <v>18</v>
      </c>
      <c r="F118" s="53" t="s">
        <v>147</v>
      </c>
      <c r="G118" s="53" t="s">
        <v>152</v>
      </c>
      <c r="H118" s="53" t="s">
        <v>178</v>
      </c>
      <c r="I118" s="53" t="s">
        <v>580</v>
      </c>
      <c r="J118" s="53" t="s">
        <v>152</v>
      </c>
      <c r="K118" s="53" t="s">
        <v>255</v>
      </c>
      <c r="L118" s="53" t="s">
        <v>581</v>
      </c>
      <c r="M118" s="53" t="s">
        <v>582</v>
      </c>
      <c r="O118" s="50">
        <f>VLOOKUP(D118,PROGRES!B:D,3,0)</f>
        <v>3</v>
      </c>
    </row>
    <row r="119" spans="1:15">
      <c r="A119" s="52">
        <v>46310.691770833299</v>
      </c>
      <c r="B119" s="53" t="s">
        <v>583</v>
      </c>
      <c r="C119" s="54">
        <v>1511220</v>
      </c>
      <c r="D119" s="53" t="s">
        <v>584</v>
      </c>
      <c r="E119" s="53" t="s">
        <v>18</v>
      </c>
      <c r="F119" s="53" t="s">
        <v>100</v>
      </c>
      <c r="G119" s="53" t="s">
        <v>152</v>
      </c>
      <c r="H119" s="53" t="s">
        <v>178</v>
      </c>
      <c r="I119" s="53" t="s">
        <v>585</v>
      </c>
      <c r="J119" s="53" t="s">
        <v>152</v>
      </c>
      <c r="K119" s="53" t="s">
        <v>185</v>
      </c>
      <c r="L119" s="53" t="s">
        <v>186</v>
      </c>
      <c r="M119" s="53" t="s">
        <v>586</v>
      </c>
      <c r="O119" s="50">
        <f>VLOOKUP(D119,PROGRES!B:D,3,0)</f>
        <v>4</v>
      </c>
    </row>
    <row r="120" spans="1:15">
      <c r="A120" s="52">
        <v>46310.691817129598</v>
      </c>
      <c r="B120" s="53" t="s">
        <v>587</v>
      </c>
      <c r="C120" s="53">
        <v>2259</v>
      </c>
      <c r="D120" s="53" t="s">
        <v>584</v>
      </c>
      <c r="E120" s="53" t="s">
        <v>17</v>
      </c>
      <c r="F120" s="53" t="s">
        <v>100</v>
      </c>
      <c r="G120" s="53" t="s">
        <v>150</v>
      </c>
      <c r="H120" s="53" t="s">
        <v>171</v>
      </c>
      <c r="I120" s="53" t="s">
        <v>260</v>
      </c>
      <c r="J120" s="53" t="s">
        <v>150</v>
      </c>
      <c r="K120" s="53" t="s">
        <v>205</v>
      </c>
      <c r="L120" s="53" t="s">
        <v>588</v>
      </c>
      <c r="M120" s="53" t="s">
        <v>589</v>
      </c>
      <c r="O120" s="50">
        <f>VLOOKUP(D120,PROGRES!B:D,3,0)</f>
        <v>4</v>
      </c>
    </row>
    <row r="121" spans="1:15">
      <c r="A121" s="52">
        <v>46310.691886574103</v>
      </c>
      <c r="B121" s="53" t="s">
        <v>590</v>
      </c>
      <c r="C121" s="54">
        <v>1511286</v>
      </c>
      <c r="D121" s="53" t="s">
        <v>584</v>
      </c>
      <c r="E121" s="53" t="s">
        <v>19</v>
      </c>
      <c r="F121" s="53" t="s">
        <v>100</v>
      </c>
      <c r="G121" s="53" t="s">
        <v>150</v>
      </c>
      <c r="H121" s="53" t="s">
        <v>171</v>
      </c>
      <c r="I121" s="53" t="s">
        <v>591</v>
      </c>
      <c r="J121" s="53" t="s">
        <v>150</v>
      </c>
      <c r="K121" s="53" t="s">
        <v>205</v>
      </c>
      <c r="L121" s="53" t="s">
        <v>180</v>
      </c>
      <c r="M121" s="53" t="s">
        <v>592</v>
      </c>
      <c r="O121" s="50">
        <f>VLOOKUP(D121,PROGRES!B:D,3,0)</f>
        <v>4</v>
      </c>
    </row>
    <row r="122" spans="1:15">
      <c r="A122" s="52">
        <v>46310.691990740699</v>
      </c>
      <c r="B122" s="53" t="s">
        <v>593</v>
      </c>
      <c r="C122" s="54">
        <v>1511154</v>
      </c>
      <c r="D122" s="53" t="s">
        <v>578</v>
      </c>
      <c r="E122" s="53" t="s">
        <v>18</v>
      </c>
      <c r="F122" s="53" t="s">
        <v>100</v>
      </c>
      <c r="G122" s="53" t="s">
        <v>150</v>
      </c>
      <c r="H122" s="53" t="s">
        <v>171</v>
      </c>
      <c r="I122" s="53" t="s">
        <v>74</v>
      </c>
      <c r="J122" s="53" t="s">
        <v>150</v>
      </c>
      <c r="K122" s="53" t="s">
        <v>205</v>
      </c>
      <c r="L122" s="53" t="s">
        <v>180</v>
      </c>
      <c r="M122" s="53" t="s">
        <v>180</v>
      </c>
      <c r="O122" s="50">
        <f>VLOOKUP(D122,PROGRES!B:D,3,0)</f>
        <v>4</v>
      </c>
    </row>
    <row r="123" spans="1:15">
      <c r="A123" s="52">
        <v>46310.692210648202</v>
      </c>
      <c r="B123" s="53" t="s">
        <v>594</v>
      </c>
      <c r="C123" s="54">
        <v>1510605</v>
      </c>
      <c r="D123" s="53" t="s">
        <v>424</v>
      </c>
      <c r="E123" s="53" t="s">
        <v>18</v>
      </c>
      <c r="F123" s="53" t="s">
        <v>100</v>
      </c>
      <c r="G123" s="53" t="s">
        <v>150</v>
      </c>
      <c r="H123" s="53" t="s">
        <v>171</v>
      </c>
      <c r="I123" s="53" t="s">
        <v>246</v>
      </c>
      <c r="J123" s="53" t="s">
        <v>150</v>
      </c>
      <c r="K123" s="53" t="s">
        <v>595</v>
      </c>
      <c r="L123" s="53" t="s">
        <v>596</v>
      </c>
      <c r="M123" s="53" t="s">
        <v>597</v>
      </c>
      <c r="O123" s="50">
        <f>VLOOKUP(D123,PROGRES!B:D,3,0)</f>
        <v>4</v>
      </c>
    </row>
    <row r="124" spans="1:15">
      <c r="A124" s="52">
        <v>46310.692303240699</v>
      </c>
      <c r="B124" s="53" t="s">
        <v>598</v>
      </c>
      <c r="C124" s="53">
        <v>1144</v>
      </c>
      <c r="D124" s="53" t="s">
        <v>170</v>
      </c>
      <c r="E124" s="53" t="s">
        <v>17</v>
      </c>
      <c r="F124" s="53" t="s">
        <v>148</v>
      </c>
      <c r="G124" s="53" t="s">
        <v>150</v>
      </c>
      <c r="H124" s="53" t="s">
        <v>178</v>
      </c>
      <c r="I124" s="53" t="s">
        <v>599</v>
      </c>
      <c r="J124" s="53" t="s">
        <v>152</v>
      </c>
      <c r="K124" s="53" t="s">
        <v>185</v>
      </c>
      <c r="L124" s="53" t="s">
        <v>600</v>
      </c>
      <c r="M124" s="53" t="s">
        <v>601</v>
      </c>
      <c r="O124" s="50">
        <f>VLOOKUP(D124,PROGRES!B:D,3,0)</f>
        <v>5</v>
      </c>
    </row>
    <row r="125" spans="1:15">
      <c r="A125" s="52">
        <v>46310.692430555602</v>
      </c>
      <c r="B125" s="53" t="s">
        <v>602</v>
      </c>
      <c r="C125" s="54">
        <v>1510577</v>
      </c>
      <c r="D125" s="53" t="s">
        <v>177</v>
      </c>
      <c r="E125" s="53" t="s">
        <v>19</v>
      </c>
      <c r="F125" s="53" t="s">
        <v>147</v>
      </c>
      <c r="G125" s="53" t="s">
        <v>150</v>
      </c>
      <c r="H125" s="53" t="s">
        <v>171</v>
      </c>
      <c r="I125" s="54">
        <v>0</v>
      </c>
      <c r="J125" s="53" t="s">
        <v>150</v>
      </c>
      <c r="K125" s="53" t="s">
        <v>185</v>
      </c>
      <c r="L125" s="53" t="s">
        <v>152</v>
      </c>
      <c r="M125" s="53" t="s">
        <v>603</v>
      </c>
      <c r="O125" s="50">
        <f>VLOOKUP(D125,PROGRES!B:D,3,0)</f>
        <v>4</v>
      </c>
    </row>
    <row r="126" spans="1:15">
      <c r="A126" s="52">
        <v>46310.692488425899</v>
      </c>
      <c r="B126" s="53" t="s">
        <v>604</v>
      </c>
      <c r="C126" s="54">
        <v>1511342</v>
      </c>
      <c r="D126" s="53" t="s">
        <v>391</v>
      </c>
      <c r="E126" s="53" t="s">
        <v>19</v>
      </c>
      <c r="F126" s="53" t="s">
        <v>146</v>
      </c>
      <c r="G126" s="53" t="s">
        <v>150</v>
      </c>
      <c r="H126" s="53" t="s">
        <v>171</v>
      </c>
      <c r="I126" s="53" t="s">
        <v>152</v>
      </c>
      <c r="J126" s="53" t="s">
        <v>150</v>
      </c>
      <c r="K126" s="53" t="s">
        <v>185</v>
      </c>
      <c r="L126" s="53" t="s">
        <v>206</v>
      </c>
      <c r="M126" s="53" t="s">
        <v>605</v>
      </c>
      <c r="O126" s="50">
        <f>VLOOKUP(D126,PROGRES!B:D,3,0)</f>
        <v>4</v>
      </c>
    </row>
    <row r="127" spans="1:15">
      <c r="A127" s="52">
        <v>46310.692638888897</v>
      </c>
      <c r="B127" s="53" t="s">
        <v>606</v>
      </c>
      <c r="C127" s="54">
        <v>1511019</v>
      </c>
      <c r="D127" s="53" t="s">
        <v>578</v>
      </c>
      <c r="E127" s="53" t="s">
        <v>19</v>
      </c>
      <c r="F127" s="53" t="s">
        <v>100</v>
      </c>
      <c r="G127" s="53" t="s">
        <v>150</v>
      </c>
      <c r="H127" s="53" t="s">
        <v>171</v>
      </c>
      <c r="I127" s="53" t="s">
        <v>607</v>
      </c>
      <c r="J127" s="53" t="s">
        <v>152</v>
      </c>
      <c r="K127" s="53" t="s">
        <v>185</v>
      </c>
      <c r="L127" s="53" t="s">
        <v>608</v>
      </c>
      <c r="M127" s="53" t="s">
        <v>74</v>
      </c>
      <c r="O127" s="50">
        <f>VLOOKUP(D127,PROGRES!B:D,3,0)</f>
        <v>4</v>
      </c>
    </row>
    <row r="128" spans="1:15">
      <c r="A128" s="52">
        <v>46310.694074074097</v>
      </c>
      <c r="B128" s="53" t="s">
        <v>609</v>
      </c>
      <c r="C128" s="54">
        <v>80489</v>
      </c>
      <c r="D128" s="53" t="s">
        <v>610</v>
      </c>
      <c r="E128" s="53" t="s">
        <v>17</v>
      </c>
      <c r="F128" s="53" t="s">
        <v>146</v>
      </c>
      <c r="G128" s="53" t="s">
        <v>150</v>
      </c>
      <c r="H128" s="53" t="s">
        <v>178</v>
      </c>
      <c r="I128" s="53" t="s">
        <v>611</v>
      </c>
      <c r="J128" s="53" t="s">
        <v>150</v>
      </c>
      <c r="K128" s="53" t="s">
        <v>205</v>
      </c>
      <c r="L128" s="53" t="s">
        <v>612</v>
      </c>
      <c r="M128" s="53" t="s">
        <v>613</v>
      </c>
      <c r="O128" s="50">
        <f>VLOOKUP(D128,PROGRES!B:D,3,0)</f>
        <v>7</v>
      </c>
    </row>
    <row r="129" spans="1:15">
      <c r="A129" s="52">
        <v>46310.694780092599</v>
      </c>
      <c r="B129" s="53" t="s">
        <v>614</v>
      </c>
      <c r="C129" s="54">
        <v>1511070</v>
      </c>
      <c r="D129" s="53" t="s">
        <v>406</v>
      </c>
      <c r="E129" s="53" t="s">
        <v>18</v>
      </c>
      <c r="F129" s="53" t="s">
        <v>100</v>
      </c>
      <c r="G129" s="53" t="s">
        <v>150</v>
      </c>
      <c r="H129" s="53" t="s">
        <v>171</v>
      </c>
      <c r="I129" s="53" t="s">
        <v>615</v>
      </c>
      <c r="J129" s="53" t="s">
        <v>150</v>
      </c>
      <c r="K129" s="53" t="s">
        <v>185</v>
      </c>
      <c r="L129" s="53" t="s">
        <v>186</v>
      </c>
      <c r="M129" s="53" t="s">
        <v>616</v>
      </c>
      <c r="O129" s="50">
        <f>VLOOKUP(D129,PROGRES!B:D,3,0)</f>
        <v>5</v>
      </c>
    </row>
    <row r="130" spans="1:15">
      <c r="A130" s="52">
        <v>46310.695034722201</v>
      </c>
      <c r="B130" s="53" t="s">
        <v>617</v>
      </c>
      <c r="C130" s="54">
        <v>1510618</v>
      </c>
      <c r="D130" s="53" t="s">
        <v>253</v>
      </c>
      <c r="E130" s="53" t="s">
        <v>18</v>
      </c>
      <c r="F130" s="53" t="s">
        <v>147</v>
      </c>
      <c r="G130" s="53" t="s">
        <v>152</v>
      </c>
      <c r="H130" s="53" t="s">
        <v>178</v>
      </c>
      <c r="I130" s="53" t="s">
        <v>618</v>
      </c>
      <c r="J130" s="53" t="s">
        <v>150</v>
      </c>
      <c r="K130" s="53" t="s">
        <v>205</v>
      </c>
      <c r="L130" s="53" t="s">
        <v>180</v>
      </c>
      <c r="M130" s="53" t="s">
        <v>619</v>
      </c>
      <c r="O130" s="50">
        <f>VLOOKUP(D130,PROGRES!B:D,3,0)</f>
        <v>4</v>
      </c>
    </row>
    <row r="131" spans="1:15">
      <c r="A131" s="52">
        <v>46310.695868055598</v>
      </c>
      <c r="B131" s="53" t="s">
        <v>620</v>
      </c>
      <c r="C131" s="54">
        <v>80443</v>
      </c>
      <c r="D131" s="53" t="s">
        <v>290</v>
      </c>
      <c r="E131" s="53" t="s">
        <v>18</v>
      </c>
      <c r="F131" s="53" t="s">
        <v>100</v>
      </c>
      <c r="G131" s="53" t="s">
        <v>150</v>
      </c>
      <c r="H131" s="53" t="s">
        <v>171</v>
      </c>
      <c r="I131" s="53" t="s">
        <v>180</v>
      </c>
      <c r="J131" s="53" t="s">
        <v>150</v>
      </c>
      <c r="K131" s="53" t="s">
        <v>185</v>
      </c>
      <c r="L131" s="53" t="s">
        <v>180</v>
      </c>
      <c r="M131" s="53" t="s">
        <v>180</v>
      </c>
      <c r="O131" s="50">
        <f>VLOOKUP(D131,PROGRES!B:D,3,0)</f>
        <v>4</v>
      </c>
    </row>
    <row r="132" spans="1:15">
      <c r="A132" s="52">
        <v>46310.698171296302</v>
      </c>
      <c r="B132" s="53" t="s">
        <v>621</v>
      </c>
      <c r="C132" s="54">
        <v>1510743</v>
      </c>
      <c r="D132" s="53" t="s">
        <v>293</v>
      </c>
      <c r="E132" s="53" t="s">
        <v>18</v>
      </c>
      <c r="F132" s="53" t="s">
        <v>100</v>
      </c>
      <c r="G132" s="53" t="s">
        <v>150</v>
      </c>
      <c r="H132" s="53" t="s">
        <v>171</v>
      </c>
      <c r="I132" s="53" t="s">
        <v>498</v>
      </c>
      <c r="J132" s="53" t="s">
        <v>150</v>
      </c>
      <c r="K132" s="53" t="s">
        <v>255</v>
      </c>
      <c r="L132" s="53" t="s">
        <v>498</v>
      </c>
      <c r="M132" s="53" t="s">
        <v>498</v>
      </c>
      <c r="O132" s="50">
        <f>VLOOKUP(D132,PROGRES!B:D,3,0)</f>
        <v>3</v>
      </c>
    </row>
    <row r="133" spans="1:15">
      <c r="A133" s="52">
        <v>46310.700949074097</v>
      </c>
      <c r="B133" s="53" t="s">
        <v>622</v>
      </c>
      <c r="C133" s="54">
        <v>1511011</v>
      </c>
      <c r="D133" s="53" t="s">
        <v>623</v>
      </c>
      <c r="E133" s="53" t="s">
        <v>18</v>
      </c>
      <c r="F133" s="53" t="s">
        <v>148</v>
      </c>
      <c r="G133" s="53" t="s">
        <v>150</v>
      </c>
      <c r="H133" s="53" t="s">
        <v>178</v>
      </c>
      <c r="I133" s="53" t="s">
        <v>624</v>
      </c>
      <c r="J133" s="53" t="s">
        <v>150</v>
      </c>
      <c r="K133" s="53" t="s">
        <v>185</v>
      </c>
      <c r="L133" s="53" t="s">
        <v>625</v>
      </c>
      <c r="M133" s="53" t="s">
        <v>626</v>
      </c>
      <c r="O133" s="50">
        <f>VLOOKUP(D133,PROGRES!B:D,3,0)</f>
        <v>6</v>
      </c>
    </row>
    <row r="134" spans="1:15">
      <c r="A134" s="52">
        <v>46310.704108796301</v>
      </c>
      <c r="B134" s="53" t="s">
        <v>627</v>
      </c>
      <c r="C134" s="53">
        <v>2042</v>
      </c>
      <c r="D134" s="53" t="s">
        <v>519</v>
      </c>
      <c r="E134" s="53" t="s">
        <v>17</v>
      </c>
      <c r="F134" s="53" t="s">
        <v>148</v>
      </c>
      <c r="G134" s="53" t="s">
        <v>150</v>
      </c>
      <c r="H134" s="53" t="s">
        <v>171</v>
      </c>
      <c r="I134" s="53" t="s">
        <v>74</v>
      </c>
      <c r="J134" s="53" t="s">
        <v>152</v>
      </c>
      <c r="K134" s="53" t="s">
        <v>185</v>
      </c>
      <c r="L134" s="53" t="s">
        <v>74</v>
      </c>
      <c r="M134" s="53" t="s">
        <v>74</v>
      </c>
      <c r="O134" s="50">
        <f>VLOOKUP(D134,PROGRES!B:D,3,0)</f>
        <v>4</v>
      </c>
    </row>
    <row r="135" spans="1:15">
      <c r="A135" s="52">
        <v>46310.714548611097</v>
      </c>
      <c r="B135" s="53" t="s">
        <v>628</v>
      </c>
      <c r="C135" s="54">
        <v>1510712</v>
      </c>
      <c r="D135" s="53" t="s">
        <v>285</v>
      </c>
      <c r="E135" s="53" t="s">
        <v>18</v>
      </c>
      <c r="F135" s="53" t="s">
        <v>100</v>
      </c>
      <c r="G135" s="53" t="s">
        <v>150</v>
      </c>
      <c r="H135" s="53" t="s">
        <v>178</v>
      </c>
      <c r="I135" s="53" t="s">
        <v>629</v>
      </c>
      <c r="J135" s="53" t="s">
        <v>152</v>
      </c>
      <c r="K135" s="53" t="s">
        <v>185</v>
      </c>
      <c r="L135" s="53" t="s">
        <v>186</v>
      </c>
      <c r="M135" s="53" t="s">
        <v>630</v>
      </c>
      <c r="O135" s="50">
        <f>VLOOKUP(D135,PROGRES!B:D,3,0)</f>
        <v>4</v>
      </c>
    </row>
    <row r="136" spans="1:15">
      <c r="A136" s="52">
        <v>46310.714583333298</v>
      </c>
      <c r="B136" s="53" t="s">
        <v>631</v>
      </c>
      <c r="C136" s="54">
        <v>1510781</v>
      </c>
      <c r="D136" s="53" t="s">
        <v>632</v>
      </c>
      <c r="E136" s="53" t="s">
        <v>19</v>
      </c>
      <c r="F136" s="53" t="s">
        <v>148</v>
      </c>
      <c r="G136" s="53" t="s">
        <v>150</v>
      </c>
      <c r="H136" s="53" t="s">
        <v>171</v>
      </c>
      <c r="I136" s="53" t="s">
        <v>633</v>
      </c>
      <c r="J136" s="53" t="s">
        <v>152</v>
      </c>
      <c r="K136" s="53" t="s">
        <v>185</v>
      </c>
      <c r="L136" s="53" t="s">
        <v>634</v>
      </c>
      <c r="M136" s="53" t="s">
        <v>635</v>
      </c>
      <c r="O136" s="50">
        <f>VLOOKUP(D136,PROGRES!B:D,3,0)</f>
        <v>5</v>
      </c>
    </row>
    <row r="137" spans="1:15">
      <c r="A137" s="52">
        <v>46310.715798611098</v>
      </c>
      <c r="B137" s="53" t="s">
        <v>636</v>
      </c>
      <c r="C137" s="54">
        <v>1510582</v>
      </c>
      <c r="D137" s="53" t="s">
        <v>285</v>
      </c>
      <c r="E137" s="53" t="s">
        <v>18</v>
      </c>
      <c r="F137" s="53" t="s">
        <v>100</v>
      </c>
      <c r="G137" s="53" t="s">
        <v>150</v>
      </c>
      <c r="H137" s="53" t="s">
        <v>171</v>
      </c>
      <c r="I137" s="53" t="s">
        <v>74</v>
      </c>
      <c r="J137" s="53" t="s">
        <v>150</v>
      </c>
      <c r="K137" s="53" t="s">
        <v>185</v>
      </c>
      <c r="L137" s="53" t="s">
        <v>301</v>
      </c>
      <c r="M137" s="53" t="s">
        <v>74</v>
      </c>
      <c r="O137" s="50">
        <f>VLOOKUP(D137,PROGRES!B:D,3,0)</f>
        <v>4</v>
      </c>
    </row>
    <row r="138" spans="1:15">
      <c r="A138" s="52">
        <v>46310.715949074103</v>
      </c>
      <c r="B138" s="53" t="s">
        <v>637</v>
      </c>
      <c r="C138" s="54">
        <v>1510981</v>
      </c>
      <c r="D138" s="53" t="s">
        <v>638</v>
      </c>
      <c r="E138" s="53" t="s">
        <v>17</v>
      </c>
      <c r="F138" s="53" t="s">
        <v>147</v>
      </c>
      <c r="G138" s="53" t="s">
        <v>150</v>
      </c>
      <c r="H138" s="53" t="s">
        <v>171</v>
      </c>
      <c r="I138" s="53" t="s">
        <v>639</v>
      </c>
      <c r="J138" s="53" t="s">
        <v>150</v>
      </c>
      <c r="K138" s="53" t="s">
        <v>185</v>
      </c>
      <c r="L138" s="53" t="s">
        <v>250</v>
      </c>
      <c r="M138" s="53" t="s">
        <v>640</v>
      </c>
      <c r="O138" s="50">
        <f>VLOOKUP(D138,PROGRES!B:D,3,0)</f>
        <v>3</v>
      </c>
    </row>
    <row r="139" spans="1:15">
      <c r="A139" s="52">
        <v>46310.717708333301</v>
      </c>
      <c r="B139" s="53" t="s">
        <v>641</v>
      </c>
      <c r="C139" s="54">
        <v>80438</v>
      </c>
      <c r="D139" s="53" t="s">
        <v>642</v>
      </c>
      <c r="E139" s="53" t="s">
        <v>17</v>
      </c>
      <c r="F139" s="53" t="s">
        <v>147</v>
      </c>
      <c r="G139" s="53" t="s">
        <v>150</v>
      </c>
      <c r="H139" s="53" t="s">
        <v>171</v>
      </c>
      <c r="I139" s="53" t="s">
        <v>643</v>
      </c>
      <c r="J139" s="53" t="s">
        <v>150</v>
      </c>
      <c r="K139" s="53" t="s">
        <v>173</v>
      </c>
      <c r="L139" s="53" t="s">
        <v>644</v>
      </c>
      <c r="M139" s="53" t="s">
        <v>645</v>
      </c>
      <c r="O139" s="50">
        <f>VLOOKUP(D139,PROGRES!B:D,3,0)</f>
        <v>4</v>
      </c>
    </row>
    <row r="140" spans="1:15">
      <c r="A140" s="52">
        <v>46310.7202314815</v>
      </c>
      <c r="B140" s="53" t="s">
        <v>646</v>
      </c>
      <c r="C140" s="53">
        <v>2299</v>
      </c>
      <c r="D140" s="53" t="s">
        <v>647</v>
      </c>
      <c r="E140" s="53" t="s">
        <v>17</v>
      </c>
      <c r="F140" s="53" t="s">
        <v>147</v>
      </c>
      <c r="G140" s="53" t="s">
        <v>150</v>
      </c>
      <c r="H140" s="53" t="s">
        <v>171</v>
      </c>
      <c r="I140" s="53" t="s">
        <v>648</v>
      </c>
      <c r="J140" s="53" t="s">
        <v>152</v>
      </c>
      <c r="K140" s="53" t="s">
        <v>225</v>
      </c>
      <c r="L140" s="53" t="s">
        <v>358</v>
      </c>
      <c r="M140" s="53" t="s">
        <v>22</v>
      </c>
      <c r="O140" s="50">
        <f>VLOOKUP(D140,PROGRES!B:D,3,0)</f>
        <v>5</v>
      </c>
    </row>
    <row r="141" spans="1:15">
      <c r="A141" s="52">
        <v>46310.722546296303</v>
      </c>
      <c r="B141" s="53" t="s">
        <v>649</v>
      </c>
      <c r="C141" s="54">
        <v>1511381</v>
      </c>
      <c r="D141" s="53" t="s">
        <v>647</v>
      </c>
      <c r="E141" s="53" t="s">
        <v>18</v>
      </c>
      <c r="F141" s="53" t="s">
        <v>147</v>
      </c>
      <c r="G141" s="53" t="s">
        <v>150</v>
      </c>
      <c r="H141" s="53" t="s">
        <v>171</v>
      </c>
      <c r="I141" s="53" t="s">
        <v>180</v>
      </c>
      <c r="J141" s="53" t="s">
        <v>150</v>
      </c>
      <c r="K141" s="53" t="s">
        <v>225</v>
      </c>
      <c r="L141" s="53" t="s">
        <v>22</v>
      </c>
      <c r="M141" s="53" t="s">
        <v>180</v>
      </c>
      <c r="O141" s="50">
        <f>VLOOKUP(D141,PROGRES!B:D,3,0)</f>
        <v>5</v>
      </c>
    </row>
    <row r="142" spans="1:15">
      <c r="A142" s="52">
        <v>46310.722916666702</v>
      </c>
      <c r="B142" s="53" t="s">
        <v>650</v>
      </c>
      <c r="C142" s="54">
        <v>1510574</v>
      </c>
      <c r="D142" s="53" t="s">
        <v>651</v>
      </c>
      <c r="E142" s="53" t="s">
        <v>19</v>
      </c>
      <c r="F142" s="53" t="s">
        <v>147</v>
      </c>
      <c r="G142" s="53" t="s">
        <v>150</v>
      </c>
      <c r="H142" s="53" t="s">
        <v>171</v>
      </c>
      <c r="I142" s="53" t="s">
        <v>652</v>
      </c>
      <c r="J142" s="53" t="s">
        <v>152</v>
      </c>
      <c r="K142" s="53" t="s">
        <v>185</v>
      </c>
      <c r="L142" s="53" t="s">
        <v>653</v>
      </c>
      <c r="M142" s="53" t="s">
        <v>654</v>
      </c>
      <c r="O142" s="50">
        <f>VLOOKUP(D142,PROGRES!B:D,3,0)</f>
        <v>4</v>
      </c>
    </row>
    <row r="143" spans="1:15">
      <c r="A143" s="52">
        <v>46310.723611111098</v>
      </c>
      <c r="B143" s="53" t="s">
        <v>655</v>
      </c>
      <c r="C143" s="54">
        <v>1510699</v>
      </c>
      <c r="D143" s="53" t="s">
        <v>509</v>
      </c>
      <c r="E143" s="53" t="s">
        <v>18</v>
      </c>
      <c r="F143" s="53" t="s">
        <v>148</v>
      </c>
      <c r="G143" s="53" t="s">
        <v>152</v>
      </c>
      <c r="H143" s="53" t="s">
        <v>171</v>
      </c>
      <c r="I143" s="53" t="s">
        <v>656</v>
      </c>
      <c r="J143" s="53" t="s">
        <v>152</v>
      </c>
      <c r="K143" s="53" t="s">
        <v>185</v>
      </c>
      <c r="L143" s="53" t="s">
        <v>228</v>
      </c>
      <c r="M143" s="53" t="s">
        <v>657</v>
      </c>
      <c r="O143" s="50">
        <f>VLOOKUP(D143,PROGRES!B:D,3,0)</f>
        <v>3</v>
      </c>
    </row>
    <row r="144" spans="1:15">
      <c r="A144" s="52">
        <v>46310.725763888899</v>
      </c>
      <c r="B144" s="53" t="s">
        <v>658</v>
      </c>
      <c r="C144" s="54">
        <v>1511255</v>
      </c>
      <c r="D144" s="53" t="s">
        <v>638</v>
      </c>
      <c r="E144" s="53" t="s">
        <v>18</v>
      </c>
      <c r="F144" s="53" t="s">
        <v>147</v>
      </c>
      <c r="G144" s="53" t="s">
        <v>152</v>
      </c>
      <c r="H144" s="53" t="s">
        <v>178</v>
      </c>
      <c r="I144" s="53" t="s">
        <v>659</v>
      </c>
      <c r="J144" s="53" t="s">
        <v>152</v>
      </c>
      <c r="K144" s="53" t="s">
        <v>185</v>
      </c>
      <c r="L144" s="53" t="s">
        <v>660</v>
      </c>
      <c r="M144" s="53" t="s">
        <v>191</v>
      </c>
      <c r="O144" s="50">
        <f>VLOOKUP(D144,PROGRES!B:D,3,0)</f>
        <v>3</v>
      </c>
    </row>
    <row r="145" spans="1:15">
      <c r="A145" s="52">
        <v>46310.727766203701</v>
      </c>
      <c r="B145" s="53" t="s">
        <v>661</v>
      </c>
      <c r="C145" s="54">
        <v>80446</v>
      </c>
      <c r="D145" s="53" t="s">
        <v>524</v>
      </c>
      <c r="E145" s="53" t="s">
        <v>18</v>
      </c>
      <c r="F145" s="53" t="s">
        <v>148</v>
      </c>
      <c r="G145" s="53" t="s">
        <v>150</v>
      </c>
      <c r="H145" s="53" t="s">
        <v>171</v>
      </c>
      <c r="I145" s="53" t="s">
        <v>662</v>
      </c>
      <c r="J145" s="53" t="s">
        <v>150</v>
      </c>
      <c r="K145" s="53" t="s">
        <v>185</v>
      </c>
      <c r="L145" s="53" t="s">
        <v>663</v>
      </c>
      <c r="M145" s="53" t="s">
        <v>664</v>
      </c>
      <c r="O145" s="50">
        <f>VLOOKUP(D145,PROGRES!B:D,3,0)</f>
        <v>7</v>
      </c>
    </row>
    <row r="146" spans="1:15">
      <c r="A146" s="52">
        <v>46310.728287037004</v>
      </c>
      <c r="B146" s="53" t="s">
        <v>665</v>
      </c>
      <c r="C146" s="54">
        <v>1510874</v>
      </c>
      <c r="D146" s="53" t="s">
        <v>642</v>
      </c>
      <c r="E146" s="53" t="s">
        <v>18</v>
      </c>
      <c r="F146" s="53" t="s">
        <v>147</v>
      </c>
      <c r="G146" s="53" t="s">
        <v>150</v>
      </c>
      <c r="H146" s="53" t="s">
        <v>178</v>
      </c>
      <c r="I146" s="53" t="s">
        <v>234</v>
      </c>
      <c r="J146" s="53" t="s">
        <v>150</v>
      </c>
      <c r="K146" s="53" t="s">
        <v>185</v>
      </c>
      <c r="L146" s="53" t="s">
        <v>180</v>
      </c>
      <c r="M146" s="53" t="s">
        <v>666</v>
      </c>
      <c r="O146" s="50">
        <f>VLOOKUP(D146,PROGRES!B:D,3,0)</f>
        <v>4</v>
      </c>
    </row>
    <row r="147" spans="1:15">
      <c r="A147" s="52">
        <v>46310.756793981498</v>
      </c>
      <c r="B147" s="53" t="s">
        <v>667</v>
      </c>
      <c r="C147" s="54">
        <v>1525008</v>
      </c>
      <c r="D147" s="53" t="s">
        <v>668</v>
      </c>
      <c r="E147" s="53" t="s">
        <v>19</v>
      </c>
      <c r="F147" s="53" t="s">
        <v>147</v>
      </c>
      <c r="G147" s="53" t="s">
        <v>152</v>
      </c>
      <c r="H147" s="53" t="s">
        <v>178</v>
      </c>
      <c r="I147" s="53" t="s">
        <v>74</v>
      </c>
      <c r="J147" s="53" t="s">
        <v>152</v>
      </c>
      <c r="K147" s="53" t="s">
        <v>185</v>
      </c>
      <c r="L147" s="53" t="s">
        <v>74</v>
      </c>
      <c r="M147" s="53" t="s">
        <v>74</v>
      </c>
      <c r="O147" s="50">
        <f>VLOOKUP(D147,PROGRES!B:D,3,0)</f>
        <v>3</v>
      </c>
    </row>
    <row r="148" spans="1:15">
      <c r="A148" s="52">
        <v>46310.759861111103</v>
      </c>
      <c r="B148" s="53" t="s">
        <v>669</v>
      </c>
      <c r="C148" s="54">
        <v>1510766</v>
      </c>
      <c r="D148" s="53" t="s">
        <v>531</v>
      </c>
      <c r="E148" s="53" t="s">
        <v>18</v>
      </c>
      <c r="F148" s="53" t="s">
        <v>148</v>
      </c>
      <c r="G148" s="53" t="s">
        <v>152</v>
      </c>
      <c r="H148" s="53" t="s">
        <v>178</v>
      </c>
      <c r="I148" s="53" t="s">
        <v>670</v>
      </c>
      <c r="J148" s="53" t="s">
        <v>152</v>
      </c>
      <c r="K148" s="53" t="s">
        <v>190</v>
      </c>
      <c r="L148" s="53" t="s">
        <v>451</v>
      </c>
      <c r="M148" s="53" t="s">
        <v>357</v>
      </c>
      <c r="O148" s="50">
        <f>VLOOKUP(D148,PROGRES!B:D,3,0)</f>
        <v>4</v>
      </c>
    </row>
    <row r="149" spans="1:15">
      <c r="A149" s="52">
        <v>46310.760983796303</v>
      </c>
      <c r="B149" s="53" t="s">
        <v>671</v>
      </c>
      <c r="C149" s="54">
        <v>151578</v>
      </c>
      <c r="D149" s="53" t="s">
        <v>672</v>
      </c>
      <c r="E149" s="53" t="s">
        <v>19</v>
      </c>
      <c r="F149" s="53" t="s">
        <v>147</v>
      </c>
      <c r="G149" s="53" t="s">
        <v>150</v>
      </c>
      <c r="H149" s="53" t="s">
        <v>171</v>
      </c>
      <c r="I149" s="53" t="s">
        <v>673</v>
      </c>
      <c r="J149" s="53" t="s">
        <v>150</v>
      </c>
      <c r="K149" s="53" t="s">
        <v>185</v>
      </c>
      <c r="L149" s="53" t="s">
        <v>674</v>
      </c>
      <c r="M149" s="53" t="s">
        <v>675</v>
      </c>
      <c r="O149" s="50">
        <f>VLOOKUP(D149,PROGRES!B:D,3,0)</f>
        <v>3</v>
      </c>
    </row>
    <row r="150" spans="1:15">
      <c r="A150" s="52">
        <v>46310.799699074101</v>
      </c>
      <c r="B150" s="53" t="s">
        <v>676</v>
      </c>
      <c r="C150" s="54">
        <v>1511271</v>
      </c>
      <c r="D150" s="53" t="s">
        <v>584</v>
      </c>
      <c r="E150" s="53" t="s">
        <v>18</v>
      </c>
      <c r="F150" s="53" t="s">
        <v>100</v>
      </c>
      <c r="G150" s="53" t="s">
        <v>150</v>
      </c>
      <c r="H150" s="53" t="s">
        <v>171</v>
      </c>
      <c r="I150" s="53" t="s">
        <v>191</v>
      </c>
      <c r="J150" s="53" t="s">
        <v>150</v>
      </c>
      <c r="K150" s="53" t="s">
        <v>185</v>
      </c>
      <c r="L150" s="53" t="s">
        <v>663</v>
      </c>
      <c r="M150" s="53" t="s">
        <v>677</v>
      </c>
      <c r="O150" s="50">
        <f>VLOOKUP(D150,PROGRES!B:D,3,0)</f>
        <v>4</v>
      </c>
    </row>
    <row r="151" spans="1:15">
      <c r="A151" s="52">
        <v>46310.813750000001</v>
      </c>
      <c r="B151" s="53" t="s">
        <v>678</v>
      </c>
      <c r="C151" s="54">
        <v>1511310</v>
      </c>
      <c r="D151" s="53" t="s">
        <v>679</v>
      </c>
      <c r="E151" s="53" t="s">
        <v>17</v>
      </c>
      <c r="F151" s="53" t="s">
        <v>148</v>
      </c>
      <c r="G151" s="53" t="s">
        <v>152</v>
      </c>
      <c r="H151" s="53" t="s">
        <v>171</v>
      </c>
      <c r="I151" s="53" t="s">
        <v>680</v>
      </c>
      <c r="J151" s="53" t="s">
        <v>152</v>
      </c>
      <c r="K151" s="53" t="s">
        <v>185</v>
      </c>
      <c r="L151" s="53" t="s">
        <v>681</v>
      </c>
      <c r="M151" s="53" t="s">
        <v>682</v>
      </c>
      <c r="O151" s="50">
        <f>VLOOKUP(D151,PROGRES!B:D,3,0)</f>
        <v>4</v>
      </c>
    </row>
    <row r="152" spans="1:15">
      <c r="A152" s="52">
        <v>46310.813750000001</v>
      </c>
      <c r="B152" s="53" t="s">
        <v>678</v>
      </c>
      <c r="C152" s="54">
        <v>1511310</v>
      </c>
      <c r="D152" s="53" t="s">
        <v>683</v>
      </c>
      <c r="E152" s="53" t="s">
        <v>17</v>
      </c>
      <c r="F152" s="53" t="s">
        <v>148</v>
      </c>
      <c r="G152" s="53" t="s">
        <v>152</v>
      </c>
      <c r="H152" s="53" t="s">
        <v>171</v>
      </c>
      <c r="I152" s="53" t="s">
        <v>680</v>
      </c>
      <c r="J152" s="53" t="s">
        <v>152</v>
      </c>
      <c r="K152" s="53" t="s">
        <v>185</v>
      </c>
      <c r="L152" s="53" t="s">
        <v>681</v>
      </c>
      <c r="M152" s="53" t="s">
        <v>682</v>
      </c>
      <c r="O152" s="50">
        <f>VLOOKUP(D152,PROGRES!B:D,3,0)</f>
        <v>2</v>
      </c>
    </row>
    <row r="153" spans="1:15">
      <c r="A153" s="52">
        <v>46310.842141203699</v>
      </c>
      <c r="B153" s="53" t="s">
        <v>684</v>
      </c>
      <c r="C153" s="53">
        <v>2033</v>
      </c>
      <c r="D153" s="53" t="s">
        <v>647</v>
      </c>
      <c r="E153" s="53" t="s">
        <v>18</v>
      </c>
      <c r="F153" s="53" t="s">
        <v>147</v>
      </c>
      <c r="G153" s="53" t="s">
        <v>152</v>
      </c>
      <c r="H153" s="53" t="s">
        <v>178</v>
      </c>
      <c r="I153" s="53" t="s">
        <v>685</v>
      </c>
      <c r="J153" s="53" t="s">
        <v>152</v>
      </c>
      <c r="K153" s="53" t="s">
        <v>185</v>
      </c>
      <c r="L153" s="53" t="s">
        <v>686</v>
      </c>
      <c r="M153" s="53" t="s">
        <v>180</v>
      </c>
      <c r="O153" s="50">
        <f>VLOOKUP(D153,PROGRES!B:D,3,0)</f>
        <v>5</v>
      </c>
    </row>
    <row r="154" spans="1:15">
      <c r="A154" s="52">
        <v>46310.918391203697</v>
      </c>
      <c r="B154" s="53" t="s">
        <v>687</v>
      </c>
      <c r="C154" s="54">
        <v>1510535</v>
      </c>
      <c r="D154" s="53" t="s">
        <v>688</v>
      </c>
      <c r="E154" s="53" t="s">
        <v>18</v>
      </c>
      <c r="F154" s="53" t="s">
        <v>148</v>
      </c>
      <c r="G154" s="53" t="s">
        <v>150</v>
      </c>
      <c r="H154" s="53" t="s">
        <v>171</v>
      </c>
      <c r="I154" s="53" t="s">
        <v>200</v>
      </c>
      <c r="J154" s="53" t="s">
        <v>152</v>
      </c>
      <c r="K154" s="53" t="s">
        <v>205</v>
      </c>
      <c r="L154" s="53" t="s">
        <v>689</v>
      </c>
      <c r="M154" s="53" t="s">
        <v>690</v>
      </c>
      <c r="O154" s="50">
        <f>VLOOKUP(D154,PROGRES!B:D,3,0)</f>
        <v>2</v>
      </c>
    </row>
    <row r="155" spans="1:15">
      <c r="A155" s="52">
        <v>46311.281435185199</v>
      </c>
      <c r="B155" s="53" t="s">
        <v>691</v>
      </c>
      <c r="C155" s="54">
        <v>1510953</v>
      </c>
      <c r="D155" s="53" t="s">
        <v>692</v>
      </c>
      <c r="E155" s="53" t="s">
        <v>18</v>
      </c>
      <c r="F155" s="53" t="s">
        <v>148</v>
      </c>
      <c r="G155" s="53" t="s">
        <v>150</v>
      </c>
      <c r="H155" s="53" t="s">
        <v>171</v>
      </c>
      <c r="I155" s="53" t="s">
        <v>189</v>
      </c>
      <c r="J155" s="53" t="s">
        <v>150</v>
      </c>
      <c r="K155" s="53" t="s">
        <v>185</v>
      </c>
      <c r="L155" s="53" t="s">
        <v>191</v>
      </c>
      <c r="M155" s="53" t="s">
        <v>191</v>
      </c>
      <c r="O155" s="50">
        <f>VLOOKUP(D155,PROGRES!B:D,3,0)</f>
        <v>5</v>
      </c>
    </row>
    <row r="156" spans="1:15">
      <c r="A156" s="55">
        <v>46311.326412037</v>
      </c>
      <c r="B156" s="44" t="s">
        <v>693</v>
      </c>
      <c r="C156" s="44">
        <v>1510934</v>
      </c>
      <c r="D156" s="44" t="s">
        <v>647</v>
      </c>
      <c r="E156" s="44" t="s">
        <v>18</v>
      </c>
      <c r="F156" s="44" t="s">
        <v>147</v>
      </c>
      <c r="G156" s="44" t="s">
        <v>152</v>
      </c>
      <c r="H156" s="44" t="s">
        <v>178</v>
      </c>
      <c r="I156" s="44" t="s">
        <v>200</v>
      </c>
      <c r="J156" s="44" t="s">
        <v>152</v>
      </c>
      <c r="K156" s="44" t="s">
        <v>190</v>
      </c>
      <c r="L156" s="44" t="s">
        <v>200</v>
      </c>
      <c r="M156" s="44" t="s">
        <v>200</v>
      </c>
      <c r="O156" s="50">
        <f>VLOOKUP(D156,PROGRES!B:D,3,0)</f>
        <v>5</v>
      </c>
    </row>
    <row r="157" spans="1:15">
      <c r="A157" s="55">
        <v>46311.336585648198</v>
      </c>
      <c r="B157" s="44" t="s">
        <v>694</v>
      </c>
      <c r="C157" s="44">
        <v>1511319</v>
      </c>
      <c r="D157" s="44" t="s">
        <v>214</v>
      </c>
      <c r="E157" s="44" t="s">
        <v>19</v>
      </c>
      <c r="F157" s="44" t="s">
        <v>147</v>
      </c>
      <c r="G157" s="44" t="s">
        <v>150</v>
      </c>
      <c r="H157" s="44" t="s">
        <v>171</v>
      </c>
      <c r="I157" s="44" t="s">
        <v>695</v>
      </c>
      <c r="J157" s="44" t="s">
        <v>150</v>
      </c>
      <c r="K157" s="44" t="s">
        <v>185</v>
      </c>
      <c r="L157" s="44" t="s">
        <v>186</v>
      </c>
      <c r="M157" s="44" t="s">
        <v>696</v>
      </c>
      <c r="O157" s="50">
        <f>VLOOKUP(D157,PROGRES!B:D,3,0)</f>
        <v>5</v>
      </c>
    </row>
    <row r="158" spans="1:15">
      <c r="A158" s="55">
        <v>46311.3437037037</v>
      </c>
      <c r="B158" s="44" t="s">
        <v>697</v>
      </c>
      <c r="C158" s="44">
        <v>1511043</v>
      </c>
      <c r="D158" s="44" t="s">
        <v>632</v>
      </c>
      <c r="E158" s="44" t="s">
        <v>18</v>
      </c>
      <c r="F158" s="44" t="s">
        <v>148</v>
      </c>
      <c r="G158" s="44" t="s">
        <v>150</v>
      </c>
      <c r="H158" s="44" t="s">
        <v>171</v>
      </c>
      <c r="I158" s="44" t="s">
        <v>180</v>
      </c>
      <c r="J158" s="44" t="s">
        <v>152</v>
      </c>
      <c r="K158" s="44" t="s">
        <v>190</v>
      </c>
      <c r="L158" s="44" t="s">
        <v>180</v>
      </c>
      <c r="M158" s="44" t="s">
        <v>180</v>
      </c>
      <c r="O158" s="50">
        <f>VLOOKUP(D158,PROGRES!B:D,3,0)</f>
        <v>5</v>
      </c>
    </row>
    <row r="159" spans="1:15">
      <c r="A159" s="55">
        <v>46311.379583333299</v>
      </c>
      <c r="B159" s="44" t="s">
        <v>698</v>
      </c>
      <c r="C159" s="44">
        <v>1510632</v>
      </c>
      <c r="D159" s="44" t="s">
        <v>699</v>
      </c>
      <c r="E159" s="44" t="s">
        <v>17</v>
      </c>
      <c r="F159" s="44" t="s">
        <v>147</v>
      </c>
      <c r="G159" s="44" t="s">
        <v>150</v>
      </c>
      <c r="H159" s="44" t="s">
        <v>178</v>
      </c>
      <c r="I159" s="44" t="s">
        <v>700</v>
      </c>
      <c r="J159" s="44" t="s">
        <v>150</v>
      </c>
      <c r="K159" s="44" t="s">
        <v>205</v>
      </c>
      <c r="L159" s="44" t="s">
        <v>701</v>
      </c>
      <c r="M159" s="44" t="s">
        <v>702</v>
      </c>
      <c r="O159" s="50">
        <f>VLOOKUP(D159,PROGRES!B:D,3,0)</f>
        <v>5</v>
      </c>
    </row>
    <row r="160" spans="1:15">
      <c r="A160" s="55">
        <v>46311.390636574099</v>
      </c>
      <c r="B160" s="44" t="s">
        <v>703</v>
      </c>
      <c r="C160" s="44">
        <v>1511063</v>
      </c>
      <c r="D160" s="44" t="s">
        <v>459</v>
      </c>
      <c r="E160" s="44" t="s">
        <v>17</v>
      </c>
      <c r="F160" s="44" t="s">
        <v>147</v>
      </c>
      <c r="G160" s="44" t="s">
        <v>152</v>
      </c>
      <c r="H160" s="44" t="s">
        <v>178</v>
      </c>
      <c r="I160" s="44" t="s">
        <v>704</v>
      </c>
      <c r="J160" s="44" t="s">
        <v>150</v>
      </c>
      <c r="K160" s="44" t="s">
        <v>205</v>
      </c>
      <c r="L160" s="44" t="s">
        <v>180</v>
      </c>
      <c r="M160" s="44" t="s">
        <v>704</v>
      </c>
      <c r="O160" s="50">
        <f>VLOOKUP(D160,PROGRES!B:D,3,0)</f>
        <v>4</v>
      </c>
    </row>
    <row r="161" spans="1:15">
      <c r="A161" s="55">
        <v>46311.390659722201</v>
      </c>
      <c r="B161" s="44" t="s">
        <v>705</v>
      </c>
      <c r="C161" s="44">
        <v>1510540</v>
      </c>
      <c r="D161" s="44" t="s">
        <v>706</v>
      </c>
      <c r="E161" s="44" t="s">
        <v>18</v>
      </c>
      <c r="F161" s="44" t="s">
        <v>148</v>
      </c>
      <c r="G161" s="44" t="s">
        <v>152</v>
      </c>
      <c r="H161" s="44" t="s">
        <v>178</v>
      </c>
      <c r="I161" s="44" t="s">
        <v>707</v>
      </c>
      <c r="J161" s="44" t="s">
        <v>152</v>
      </c>
      <c r="K161" s="44" t="s">
        <v>185</v>
      </c>
      <c r="L161" s="44" t="s">
        <v>180</v>
      </c>
      <c r="M161" s="44" t="s">
        <v>708</v>
      </c>
      <c r="O161" s="50">
        <f>VLOOKUP(D161,PROGRES!B:D,3,0)</f>
        <v>4</v>
      </c>
    </row>
    <row r="162" spans="1:15">
      <c r="A162" s="55">
        <v>46311.390949074099</v>
      </c>
      <c r="B162" s="44" t="s">
        <v>709</v>
      </c>
      <c r="C162" s="44">
        <v>1510503</v>
      </c>
      <c r="D162" s="44" t="s">
        <v>550</v>
      </c>
      <c r="E162" s="44" t="s">
        <v>18</v>
      </c>
      <c r="F162" s="44" t="s">
        <v>148</v>
      </c>
      <c r="G162" s="44" t="s">
        <v>152</v>
      </c>
      <c r="H162" s="44" t="s">
        <v>178</v>
      </c>
      <c r="I162" s="44" t="s">
        <v>710</v>
      </c>
      <c r="J162" s="44" t="s">
        <v>152</v>
      </c>
      <c r="K162" s="44" t="s">
        <v>185</v>
      </c>
      <c r="L162" s="44" t="s">
        <v>387</v>
      </c>
      <c r="M162" s="44" t="s">
        <v>387</v>
      </c>
      <c r="O162" s="50">
        <f>VLOOKUP(D162,PROGRES!B:D,3,0)</f>
        <v>6</v>
      </c>
    </row>
    <row r="163" spans="1:15">
      <c r="A163" s="55">
        <v>46311.391631944498</v>
      </c>
      <c r="B163" s="44" t="s">
        <v>711</v>
      </c>
      <c r="C163" s="44">
        <v>1510841</v>
      </c>
      <c r="D163" s="44" t="s">
        <v>712</v>
      </c>
      <c r="E163" s="44" t="s">
        <v>18</v>
      </c>
      <c r="F163" s="44" t="s">
        <v>147</v>
      </c>
      <c r="G163" s="44" t="s">
        <v>152</v>
      </c>
      <c r="H163" s="44" t="s">
        <v>178</v>
      </c>
      <c r="I163" s="44" t="s">
        <v>713</v>
      </c>
      <c r="J163" s="44" t="s">
        <v>152</v>
      </c>
      <c r="K163" s="44" t="s">
        <v>255</v>
      </c>
      <c r="L163" s="44" t="s">
        <v>180</v>
      </c>
      <c r="M163" s="44" t="s">
        <v>189</v>
      </c>
      <c r="O163" s="50">
        <f>VLOOKUP(D163,PROGRES!B:D,3,0)</f>
        <v>4</v>
      </c>
    </row>
    <row r="164" spans="1:15">
      <c r="A164" s="55">
        <v>46311.392222222203</v>
      </c>
      <c r="B164" s="44" t="s">
        <v>714</v>
      </c>
      <c r="C164" s="44">
        <v>80480</v>
      </c>
      <c r="D164" s="44" t="s">
        <v>715</v>
      </c>
      <c r="E164" s="44" t="s">
        <v>17</v>
      </c>
      <c r="F164" s="44" t="s">
        <v>148</v>
      </c>
      <c r="G164" s="44" t="s">
        <v>150</v>
      </c>
      <c r="H164" s="44" t="s">
        <v>178</v>
      </c>
      <c r="I164" s="44" t="s">
        <v>716</v>
      </c>
      <c r="J164" s="44" t="s">
        <v>150</v>
      </c>
      <c r="K164" s="44" t="s">
        <v>185</v>
      </c>
      <c r="L164" s="44" t="s">
        <v>74</v>
      </c>
      <c r="M164" s="44" t="s">
        <v>74</v>
      </c>
      <c r="O164" s="50">
        <f>VLOOKUP(D164,PROGRES!B:D,3,0)</f>
        <v>4</v>
      </c>
    </row>
    <row r="165" spans="1:15">
      <c r="A165" s="55">
        <v>46311.392534722203</v>
      </c>
      <c r="B165" s="44" t="s">
        <v>717</v>
      </c>
      <c r="C165" s="44">
        <v>1511328</v>
      </c>
      <c r="D165" s="44" t="s">
        <v>712</v>
      </c>
      <c r="E165" s="44" t="s">
        <v>18</v>
      </c>
      <c r="F165" s="44" t="s">
        <v>147</v>
      </c>
      <c r="G165" s="44" t="s">
        <v>150</v>
      </c>
      <c r="H165" s="44" t="s">
        <v>171</v>
      </c>
      <c r="I165" s="44" t="s">
        <v>180</v>
      </c>
      <c r="J165" s="44" t="s">
        <v>150</v>
      </c>
      <c r="K165" s="44" t="s">
        <v>185</v>
      </c>
      <c r="L165" s="44" t="s">
        <v>180</v>
      </c>
      <c r="M165" s="44" t="s">
        <v>180</v>
      </c>
      <c r="O165" s="50">
        <f>VLOOKUP(D165,PROGRES!B:D,3,0)</f>
        <v>4</v>
      </c>
    </row>
    <row r="166" spans="1:15">
      <c r="A166" s="55">
        <v>46311.3925578704</v>
      </c>
      <c r="B166" s="44" t="s">
        <v>718</v>
      </c>
      <c r="C166" s="44">
        <v>1510863</v>
      </c>
      <c r="D166" s="44" t="s">
        <v>719</v>
      </c>
      <c r="E166" s="44" t="s">
        <v>18</v>
      </c>
      <c r="F166" s="44" t="s">
        <v>148</v>
      </c>
      <c r="G166" s="44" t="s">
        <v>150</v>
      </c>
      <c r="H166" s="44" t="s">
        <v>171</v>
      </c>
      <c r="I166" s="44" t="s">
        <v>720</v>
      </c>
      <c r="J166" s="44" t="s">
        <v>152</v>
      </c>
      <c r="K166" s="44" t="s">
        <v>185</v>
      </c>
      <c r="L166" s="44" t="s">
        <v>721</v>
      </c>
      <c r="M166" s="44" t="s">
        <v>722</v>
      </c>
      <c r="O166" s="50">
        <f>VLOOKUP(D166,PROGRES!B:D,3,0)</f>
        <v>3</v>
      </c>
    </row>
    <row r="167" spans="1:15">
      <c r="A167" s="55">
        <v>46311.393506944398</v>
      </c>
      <c r="B167" s="44" t="s">
        <v>723</v>
      </c>
      <c r="C167" s="44">
        <v>1510779</v>
      </c>
      <c r="D167" s="44" t="s">
        <v>575</v>
      </c>
      <c r="E167" s="44" t="s">
        <v>19</v>
      </c>
      <c r="F167" s="44" t="s">
        <v>147</v>
      </c>
      <c r="G167" s="44" t="s">
        <v>152</v>
      </c>
      <c r="H167" s="44" t="s">
        <v>178</v>
      </c>
      <c r="I167" s="44" t="s">
        <v>724</v>
      </c>
      <c r="J167" s="44" t="s">
        <v>152</v>
      </c>
      <c r="K167" s="44" t="s">
        <v>185</v>
      </c>
      <c r="L167" s="44" t="s">
        <v>725</v>
      </c>
      <c r="M167" s="44" t="s">
        <v>498</v>
      </c>
      <c r="O167" s="50">
        <f>VLOOKUP(D167,PROGRES!B:D,3,0)</f>
        <v>3</v>
      </c>
    </row>
    <row r="168" spans="1:15">
      <c r="A168" s="55">
        <v>46311.393923611096</v>
      </c>
      <c r="B168" s="44" t="s">
        <v>726</v>
      </c>
      <c r="C168" s="44">
        <v>1511146</v>
      </c>
      <c r="D168" s="44" t="s">
        <v>727</v>
      </c>
      <c r="E168" s="44" t="s">
        <v>18</v>
      </c>
      <c r="F168" s="44" t="s">
        <v>147</v>
      </c>
      <c r="G168" s="44" t="s">
        <v>152</v>
      </c>
      <c r="H168" s="44" t="s">
        <v>171</v>
      </c>
      <c r="I168" s="44" t="s">
        <v>498</v>
      </c>
      <c r="J168" s="44" t="s">
        <v>152</v>
      </c>
      <c r="K168" s="44" t="s">
        <v>190</v>
      </c>
      <c r="L168" s="44" t="s">
        <v>186</v>
      </c>
      <c r="M168" s="44" t="s">
        <v>498</v>
      </c>
      <c r="O168" s="50">
        <f>VLOOKUP(D168,PROGRES!B:D,3,0)</f>
        <v>3</v>
      </c>
    </row>
    <row r="169" spans="1:15">
      <c r="A169" s="55">
        <v>46311.394236111097</v>
      </c>
      <c r="B169" s="44" t="s">
        <v>728</v>
      </c>
      <c r="C169" s="44">
        <v>1510869</v>
      </c>
      <c r="D169" s="44" t="s">
        <v>330</v>
      </c>
      <c r="E169" s="44" t="s">
        <v>19</v>
      </c>
      <c r="F169" s="44" t="s">
        <v>146</v>
      </c>
      <c r="G169" s="44" t="s">
        <v>150</v>
      </c>
      <c r="H169" s="44" t="s">
        <v>171</v>
      </c>
      <c r="I169" s="44" t="s">
        <v>729</v>
      </c>
      <c r="J169" s="44" t="s">
        <v>150</v>
      </c>
      <c r="K169" s="44" t="s">
        <v>185</v>
      </c>
      <c r="L169" s="44" t="s">
        <v>730</v>
      </c>
      <c r="M169" s="44" t="s">
        <v>731</v>
      </c>
      <c r="O169" s="50">
        <f>VLOOKUP(D169,PROGRES!B:D,3,0)</f>
        <v>6</v>
      </c>
    </row>
    <row r="170" spans="1:15">
      <c r="A170" s="55">
        <v>46311.394236111097</v>
      </c>
      <c r="B170" s="44" t="s">
        <v>732</v>
      </c>
      <c r="C170" s="44">
        <v>1510688</v>
      </c>
      <c r="D170" s="44" t="s">
        <v>623</v>
      </c>
      <c r="E170" s="44" t="s">
        <v>18</v>
      </c>
      <c r="F170" s="44" t="s">
        <v>148</v>
      </c>
      <c r="G170" s="44" t="s">
        <v>150</v>
      </c>
      <c r="H170" s="44" t="s">
        <v>171</v>
      </c>
      <c r="I170" s="44" t="s">
        <v>733</v>
      </c>
      <c r="J170" s="44" t="s">
        <v>152</v>
      </c>
      <c r="K170" s="44" t="s">
        <v>173</v>
      </c>
      <c r="L170" s="44" t="s">
        <v>734</v>
      </c>
      <c r="M170" s="44" t="s">
        <v>735</v>
      </c>
      <c r="O170" s="50">
        <f>VLOOKUP(D170,PROGRES!B:D,3,0)</f>
        <v>6</v>
      </c>
    </row>
    <row r="171" spans="1:15">
      <c r="A171" s="55">
        <v>46311.3961458333</v>
      </c>
      <c r="B171" s="44" t="s">
        <v>736</v>
      </c>
      <c r="C171" s="44">
        <v>1525019</v>
      </c>
      <c r="D171" s="44" t="s">
        <v>737</v>
      </c>
      <c r="E171" s="44" t="s">
        <v>17</v>
      </c>
      <c r="F171" s="44" t="s">
        <v>147</v>
      </c>
      <c r="G171" s="44" t="s">
        <v>152</v>
      </c>
      <c r="H171" s="44" t="s">
        <v>178</v>
      </c>
      <c r="I171" s="44" t="s">
        <v>74</v>
      </c>
      <c r="J171" s="44" t="s">
        <v>152</v>
      </c>
      <c r="K171" s="44" t="s">
        <v>185</v>
      </c>
      <c r="L171" s="44" t="s">
        <v>738</v>
      </c>
      <c r="M171" s="44" t="s">
        <v>74</v>
      </c>
      <c r="O171" s="50">
        <f>VLOOKUP(D171,PROGRES!B:D,3,0)</f>
        <v>4</v>
      </c>
    </row>
    <row r="172" spans="1:15">
      <c r="A172" s="55">
        <v>46311.399849537003</v>
      </c>
      <c r="B172" s="44" t="s">
        <v>739</v>
      </c>
      <c r="C172" s="44">
        <v>1511095</v>
      </c>
      <c r="D172" s="44" t="s">
        <v>610</v>
      </c>
      <c r="E172" s="44" t="s">
        <v>18</v>
      </c>
      <c r="F172" s="44" t="s">
        <v>146</v>
      </c>
      <c r="G172" s="44" t="s">
        <v>150</v>
      </c>
      <c r="H172" s="44" t="s">
        <v>171</v>
      </c>
      <c r="I172" s="44" t="s">
        <v>740</v>
      </c>
      <c r="J172" s="44" t="s">
        <v>150</v>
      </c>
      <c r="K172" s="44" t="s">
        <v>185</v>
      </c>
      <c r="L172" s="44" t="s">
        <v>741</v>
      </c>
      <c r="M172" s="44" t="s">
        <v>742</v>
      </c>
      <c r="O172" s="50">
        <f>VLOOKUP(D172,PROGRES!B:D,3,0)</f>
        <v>7</v>
      </c>
    </row>
    <row r="173" spans="1:15">
      <c r="A173" s="55">
        <v>46311.400439814803</v>
      </c>
      <c r="B173" s="44" t="s">
        <v>743</v>
      </c>
      <c r="C173" s="44">
        <v>1510855</v>
      </c>
      <c r="D173" s="44" t="s">
        <v>195</v>
      </c>
      <c r="E173" s="44" t="s">
        <v>18</v>
      </c>
      <c r="F173" s="44" t="s">
        <v>146</v>
      </c>
      <c r="G173" s="44" t="s">
        <v>150</v>
      </c>
      <c r="H173" s="44" t="s">
        <v>171</v>
      </c>
      <c r="I173" s="44" t="s">
        <v>180</v>
      </c>
      <c r="J173" s="44" t="s">
        <v>152</v>
      </c>
      <c r="K173" s="44" t="s">
        <v>185</v>
      </c>
      <c r="L173" s="44" t="s">
        <v>180</v>
      </c>
      <c r="M173" s="44" t="s">
        <v>180</v>
      </c>
      <c r="O173" s="50">
        <f>VLOOKUP(D173,PROGRES!B:D,3,0)</f>
        <v>7</v>
      </c>
    </row>
    <row r="174" spans="1:15">
      <c r="A174" s="55">
        <v>46311.401284722197</v>
      </c>
      <c r="B174" s="44" t="s">
        <v>744</v>
      </c>
      <c r="C174" s="44">
        <v>88919213</v>
      </c>
      <c r="D174" s="44" t="s">
        <v>737</v>
      </c>
      <c r="E174" s="44" t="s">
        <v>19</v>
      </c>
      <c r="F174" s="44" t="s">
        <v>147</v>
      </c>
      <c r="G174" s="44" t="s">
        <v>150</v>
      </c>
      <c r="H174" s="44" t="s">
        <v>171</v>
      </c>
      <c r="I174" s="44" t="s">
        <v>74</v>
      </c>
      <c r="J174" s="44" t="s">
        <v>152</v>
      </c>
      <c r="K174" s="44" t="s">
        <v>205</v>
      </c>
      <c r="L174" s="44" t="s">
        <v>745</v>
      </c>
      <c r="M174" s="44" t="s">
        <v>746</v>
      </c>
      <c r="O174" s="50">
        <f>VLOOKUP(D174,PROGRES!B:D,3,0)</f>
        <v>4</v>
      </c>
    </row>
    <row r="175" spans="1:15">
      <c r="A175" s="55">
        <v>46311.402870370403</v>
      </c>
      <c r="B175" s="44" t="s">
        <v>747</v>
      </c>
      <c r="C175" s="44">
        <v>1511023</v>
      </c>
      <c r="D175" s="44" t="s">
        <v>748</v>
      </c>
      <c r="E175" s="44" t="s">
        <v>17</v>
      </c>
      <c r="F175" s="44" t="s">
        <v>147</v>
      </c>
      <c r="G175" s="44" t="s">
        <v>152</v>
      </c>
      <c r="H175" s="44" t="s">
        <v>178</v>
      </c>
      <c r="I175" s="44" t="s">
        <v>749</v>
      </c>
      <c r="J175" s="44" t="s">
        <v>150</v>
      </c>
      <c r="K175" s="44" t="s">
        <v>185</v>
      </c>
      <c r="L175" s="44" t="s">
        <v>750</v>
      </c>
      <c r="M175" s="44" t="s">
        <v>751</v>
      </c>
      <c r="O175" s="50">
        <f>VLOOKUP(D175,PROGRES!B:D,3,0)</f>
        <v>5</v>
      </c>
    </row>
    <row r="176" spans="1:15">
      <c r="A176" s="55">
        <v>46311.403425925899</v>
      </c>
      <c r="B176" s="44" t="s">
        <v>752</v>
      </c>
      <c r="C176" s="44">
        <v>1511312</v>
      </c>
      <c r="D176" s="44" t="s">
        <v>706</v>
      </c>
      <c r="E176" s="44" t="s">
        <v>18</v>
      </c>
      <c r="F176" s="44" t="s">
        <v>148</v>
      </c>
      <c r="G176" s="44" t="s">
        <v>152</v>
      </c>
      <c r="H176" s="44" t="s">
        <v>178</v>
      </c>
      <c r="I176" s="44" t="s">
        <v>753</v>
      </c>
      <c r="J176" s="44" t="s">
        <v>150</v>
      </c>
      <c r="K176" s="44" t="s">
        <v>173</v>
      </c>
      <c r="L176" s="44" t="s">
        <v>22</v>
      </c>
      <c r="M176" s="44" t="s">
        <v>220</v>
      </c>
      <c r="O176" s="50">
        <f>VLOOKUP(D176,PROGRES!B:D,3,0)</f>
        <v>4</v>
      </c>
    </row>
    <row r="177" spans="1:15">
      <c r="A177" s="55">
        <v>46311.403796296298</v>
      </c>
      <c r="B177" s="44" t="s">
        <v>754</v>
      </c>
      <c r="C177" s="44">
        <v>1511017</v>
      </c>
      <c r="D177" s="44" t="s">
        <v>748</v>
      </c>
      <c r="E177" s="44" t="s">
        <v>19</v>
      </c>
      <c r="F177" s="44" t="s">
        <v>147</v>
      </c>
      <c r="G177" s="44" t="s">
        <v>150</v>
      </c>
      <c r="H177" s="44" t="s">
        <v>171</v>
      </c>
      <c r="I177" s="44" t="s">
        <v>755</v>
      </c>
      <c r="J177" s="44" t="s">
        <v>150</v>
      </c>
      <c r="K177" s="44" t="s">
        <v>205</v>
      </c>
      <c r="L177" s="44" t="s">
        <v>750</v>
      </c>
      <c r="M177" s="44" t="s">
        <v>756</v>
      </c>
      <c r="O177" s="50">
        <f>VLOOKUP(D177,PROGRES!B:D,3,0)</f>
        <v>5</v>
      </c>
    </row>
    <row r="178" spans="1:15">
      <c r="A178" s="55">
        <v>46311.417418981502</v>
      </c>
      <c r="B178" s="44" t="s">
        <v>757</v>
      </c>
      <c r="C178" s="44">
        <v>1510756</v>
      </c>
      <c r="D178" s="44" t="s">
        <v>758</v>
      </c>
      <c r="E178" s="44" t="s">
        <v>19</v>
      </c>
      <c r="F178" s="44" t="s">
        <v>148</v>
      </c>
      <c r="G178" s="44" t="s">
        <v>150</v>
      </c>
      <c r="H178" s="44" t="s">
        <v>171</v>
      </c>
      <c r="I178" s="44" t="s">
        <v>759</v>
      </c>
      <c r="J178" s="44" t="s">
        <v>150</v>
      </c>
      <c r="K178" s="44" t="s">
        <v>225</v>
      </c>
      <c r="L178" s="44" t="s">
        <v>186</v>
      </c>
      <c r="M178" s="44" t="s">
        <v>74</v>
      </c>
      <c r="O178" s="50">
        <f>VLOOKUP(D178,PROGRES!B:D,3,0)</f>
        <v>2</v>
      </c>
    </row>
    <row r="179" spans="1:15">
      <c r="A179" s="55">
        <v>46311.418159722198</v>
      </c>
      <c r="B179" s="44" t="s">
        <v>760</v>
      </c>
      <c r="C179" s="44">
        <v>1511327</v>
      </c>
      <c r="D179" s="44" t="s">
        <v>524</v>
      </c>
      <c r="E179" s="44" t="s">
        <v>18</v>
      </c>
      <c r="F179" s="44" t="s">
        <v>148</v>
      </c>
      <c r="G179" s="44" t="s">
        <v>150</v>
      </c>
      <c r="H179" s="44" t="s">
        <v>171</v>
      </c>
      <c r="I179" s="44" t="s">
        <v>761</v>
      </c>
      <c r="J179" s="44" t="s">
        <v>150</v>
      </c>
      <c r="K179" s="44" t="s">
        <v>185</v>
      </c>
      <c r="L179" s="44" t="s">
        <v>180</v>
      </c>
      <c r="M179" s="44" t="s">
        <v>201</v>
      </c>
      <c r="O179" s="50">
        <f>VLOOKUP(D179,PROGRES!B:D,3,0)</f>
        <v>7</v>
      </c>
    </row>
    <row r="180" spans="1:15">
      <c r="A180" s="55">
        <v>46311.418506944399</v>
      </c>
      <c r="B180" s="44" t="s">
        <v>762</v>
      </c>
      <c r="C180" s="44">
        <v>1510937</v>
      </c>
      <c r="D180" s="44" t="s">
        <v>763</v>
      </c>
      <c r="E180" s="44" t="s">
        <v>18</v>
      </c>
      <c r="F180" s="44" t="s">
        <v>148</v>
      </c>
      <c r="G180" s="44" t="s">
        <v>152</v>
      </c>
      <c r="H180" s="44" t="s">
        <v>178</v>
      </c>
      <c r="I180" s="44" t="s">
        <v>764</v>
      </c>
      <c r="J180" s="44" t="s">
        <v>150</v>
      </c>
      <c r="K180" s="44" t="s">
        <v>205</v>
      </c>
      <c r="L180" s="44" t="s">
        <v>180</v>
      </c>
      <c r="M180" s="44" t="s">
        <v>765</v>
      </c>
      <c r="O180" s="50">
        <f>VLOOKUP(D180,PROGRES!B:D,3,0)</f>
        <v>7</v>
      </c>
    </row>
    <row r="181" spans="1:15">
      <c r="A181" s="55">
        <v>46311.418576388904</v>
      </c>
      <c r="B181" s="44" t="s">
        <v>766</v>
      </c>
      <c r="C181" s="44">
        <v>94418</v>
      </c>
      <c r="D181" s="44" t="s">
        <v>763</v>
      </c>
      <c r="E181" s="44" t="s">
        <v>19</v>
      </c>
      <c r="F181" s="44" t="s">
        <v>148</v>
      </c>
      <c r="G181" s="44" t="s">
        <v>150</v>
      </c>
      <c r="H181" s="44" t="s">
        <v>171</v>
      </c>
      <c r="I181" s="44" t="s">
        <v>767</v>
      </c>
      <c r="J181" s="44" t="s">
        <v>150</v>
      </c>
      <c r="K181" s="44" t="s">
        <v>185</v>
      </c>
      <c r="L181" s="44" t="s">
        <v>768</v>
      </c>
      <c r="M181" s="44" t="s">
        <v>769</v>
      </c>
      <c r="O181" s="50">
        <f>VLOOKUP(D181,PROGRES!B:D,3,0)</f>
        <v>7</v>
      </c>
    </row>
    <row r="182" spans="1:15">
      <c r="A182" s="55">
        <v>46311.4290162037</v>
      </c>
      <c r="B182" s="44" t="s">
        <v>770</v>
      </c>
      <c r="C182" s="44">
        <v>1525009</v>
      </c>
      <c r="D182" s="44" t="s">
        <v>647</v>
      </c>
      <c r="E182" s="44" t="s">
        <v>19</v>
      </c>
      <c r="F182" s="44" t="s">
        <v>147</v>
      </c>
      <c r="G182" s="44" t="s">
        <v>152</v>
      </c>
      <c r="H182" s="44" t="s">
        <v>178</v>
      </c>
      <c r="I182" s="44" t="s">
        <v>771</v>
      </c>
      <c r="J182" s="44" t="s">
        <v>150</v>
      </c>
      <c r="K182" s="44" t="s">
        <v>205</v>
      </c>
      <c r="L182" s="44" t="s">
        <v>246</v>
      </c>
      <c r="M182" s="44" t="s">
        <v>772</v>
      </c>
      <c r="O182" s="50">
        <f>VLOOKUP(D182,PROGRES!B:D,3,0)</f>
        <v>5</v>
      </c>
    </row>
    <row r="183" spans="1:15">
      <c r="A183" s="55">
        <v>46311.431203703702</v>
      </c>
      <c r="B183" s="44" t="s">
        <v>773</v>
      </c>
      <c r="C183" s="44">
        <v>88007112</v>
      </c>
      <c r="D183" s="44" t="s">
        <v>774</v>
      </c>
      <c r="E183" s="44" t="s">
        <v>19</v>
      </c>
      <c r="F183" s="44" t="s">
        <v>148</v>
      </c>
      <c r="G183" s="44" t="s">
        <v>150</v>
      </c>
      <c r="H183" s="44" t="s">
        <v>321</v>
      </c>
      <c r="I183" s="44" t="s">
        <v>775</v>
      </c>
      <c r="J183" s="44" t="s">
        <v>150</v>
      </c>
      <c r="K183" s="44" t="s">
        <v>205</v>
      </c>
      <c r="L183" s="44" t="s">
        <v>776</v>
      </c>
      <c r="M183" s="44" t="s">
        <v>777</v>
      </c>
      <c r="O183" s="50">
        <f>VLOOKUP(D183,PROGRES!B:D,3,0)</f>
        <v>4</v>
      </c>
    </row>
    <row r="184" spans="1:15">
      <c r="A184" s="55">
        <v>46311.4367824074</v>
      </c>
      <c r="B184" s="44" t="s">
        <v>778</v>
      </c>
      <c r="C184" s="44">
        <v>1511331</v>
      </c>
      <c r="D184" s="44" t="s">
        <v>365</v>
      </c>
      <c r="E184" s="44" t="s">
        <v>18</v>
      </c>
      <c r="F184" s="44" t="s">
        <v>147</v>
      </c>
      <c r="G184" s="44" t="s">
        <v>150</v>
      </c>
      <c r="H184" s="44" t="s">
        <v>178</v>
      </c>
      <c r="I184" s="44" t="s">
        <v>779</v>
      </c>
      <c r="J184" s="44" t="s">
        <v>150</v>
      </c>
      <c r="K184" s="44" t="s">
        <v>190</v>
      </c>
      <c r="L184" s="44" t="s">
        <v>301</v>
      </c>
      <c r="M184" s="44" t="s">
        <v>780</v>
      </c>
      <c r="O184" s="50">
        <f>VLOOKUP(D184,PROGRES!B:D,3,0)</f>
        <v>5</v>
      </c>
    </row>
    <row r="185" spans="1:15">
      <c r="A185" s="55">
        <v>46311.4370023148</v>
      </c>
      <c r="B185" s="44" t="s">
        <v>781</v>
      </c>
      <c r="C185" s="44">
        <v>80472</v>
      </c>
      <c r="D185" s="44" t="s">
        <v>782</v>
      </c>
      <c r="E185" s="44" t="s">
        <v>19</v>
      </c>
      <c r="F185" s="44" t="s">
        <v>148</v>
      </c>
      <c r="G185" s="44" t="s">
        <v>150</v>
      </c>
      <c r="H185" s="44" t="s">
        <v>171</v>
      </c>
      <c r="I185" s="44" t="s">
        <v>783</v>
      </c>
      <c r="J185" s="44" t="s">
        <v>150</v>
      </c>
      <c r="K185" s="44" t="s">
        <v>185</v>
      </c>
      <c r="L185" s="44" t="s">
        <v>784</v>
      </c>
      <c r="M185" s="44" t="s">
        <v>785</v>
      </c>
      <c r="O185" s="50">
        <f>VLOOKUP(D185,PROGRES!B:D,3,0)</f>
        <v>3</v>
      </c>
    </row>
    <row r="186" spans="1:15">
      <c r="A186" s="55">
        <v>46311.446516203701</v>
      </c>
      <c r="B186" s="44" t="s">
        <v>786</v>
      </c>
      <c r="C186" s="44">
        <v>87200039</v>
      </c>
      <c r="D186" s="44" t="s">
        <v>195</v>
      </c>
      <c r="E186" s="44" t="s">
        <v>18</v>
      </c>
      <c r="F186" s="44" t="s">
        <v>146</v>
      </c>
      <c r="G186" s="44" t="s">
        <v>150</v>
      </c>
      <c r="H186" s="44" t="s">
        <v>171</v>
      </c>
      <c r="I186" s="44" t="s">
        <v>22</v>
      </c>
      <c r="J186" s="44" t="s">
        <v>152</v>
      </c>
      <c r="K186" s="44" t="s">
        <v>255</v>
      </c>
      <c r="L186" s="44" t="s">
        <v>787</v>
      </c>
      <c r="M186" s="44" t="s">
        <v>22</v>
      </c>
      <c r="O186" s="50">
        <f>VLOOKUP(D186,PROGRES!B:D,3,0)</f>
        <v>7</v>
      </c>
    </row>
    <row r="187" spans="1:15">
      <c r="A187" s="55">
        <v>46311.457557870403</v>
      </c>
      <c r="B187" s="44" t="s">
        <v>788</v>
      </c>
      <c r="C187" s="44">
        <v>1510988</v>
      </c>
      <c r="D187" s="44" t="s">
        <v>748</v>
      </c>
      <c r="E187" s="44" t="s">
        <v>18</v>
      </c>
      <c r="F187" s="44" t="s">
        <v>147</v>
      </c>
      <c r="G187" s="44" t="s">
        <v>150</v>
      </c>
      <c r="H187" s="44" t="s">
        <v>171</v>
      </c>
      <c r="I187" s="44" t="s">
        <v>328</v>
      </c>
      <c r="J187" s="44" t="s">
        <v>152</v>
      </c>
      <c r="K187" s="44" t="s">
        <v>185</v>
      </c>
      <c r="L187" s="44" t="s">
        <v>789</v>
      </c>
      <c r="M187" s="44" t="s">
        <v>790</v>
      </c>
      <c r="O187" s="50">
        <f>VLOOKUP(D187,PROGRES!B:D,3,0)</f>
        <v>5</v>
      </c>
    </row>
    <row r="188" spans="1:15">
      <c r="A188" s="55">
        <v>46311.464004629597</v>
      </c>
      <c r="B188" s="44" t="s">
        <v>791</v>
      </c>
      <c r="C188" s="44">
        <v>1510989</v>
      </c>
      <c r="D188" s="44" t="s">
        <v>748</v>
      </c>
      <c r="E188" s="44" t="s">
        <v>18</v>
      </c>
      <c r="F188" s="44" t="s">
        <v>147</v>
      </c>
      <c r="G188" s="44" t="s">
        <v>150</v>
      </c>
      <c r="H188" s="44" t="s">
        <v>171</v>
      </c>
      <c r="I188" s="44" t="s">
        <v>792</v>
      </c>
      <c r="J188" s="44" t="s">
        <v>150</v>
      </c>
      <c r="K188" s="44" t="s">
        <v>205</v>
      </c>
      <c r="L188" s="44" t="s">
        <v>793</v>
      </c>
      <c r="M188" s="44" t="s">
        <v>794</v>
      </c>
      <c r="O188" s="50">
        <f>VLOOKUP(D188,PROGRES!B:D,3,0)</f>
        <v>5</v>
      </c>
    </row>
    <row r="189" spans="1:15">
      <c r="A189" s="55">
        <v>46311.476400462998</v>
      </c>
      <c r="B189" s="44" t="s">
        <v>795</v>
      </c>
      <c r="C189" s="44">
        <v>967</v>
      </c>
      <c r="D189" s="44" t="s">
        <v>796</v>
      </c>
      <c r="E189" s="44" t="s">
        <v>17</v>
      </c>
      <c r="F189" s="44" t="s">
        <v>146</v>
      </c>
      <c r="G189" s="44" t="s">
        <v>150</v>
      </c>
      <c r="H189" s="44" t="s">
        <v>171</v>
      </c>
      <c r="I189" s="44" t="s">
        <v>797</v>
      </c>
      <c r="J189" s="44" t="s">
        <v>150</v>
      </c>
      <c r="K189" s="44" t="s">
        <v>190</v>
      </c>
      <c r="L189" s="44" t="s">
        <v>74</v>
      </c>
      <c r="M189" s="44" t="s">
        <v>191</v>
      </c>
      <c r="O189" s="50">
        <f>VLOOKUP(D189,PROGRES!B:D,3,0)</f>
        <v>3</v>
      </c>
    </row>
    <row r="190" spans="1:15">
      <c r="A190" s="55">
        <v>46311.492812500001</v>
      </c>
      <c r="B190" s="44" t="s">
        <v>798</v>
      </c>
      <c r="C190" s="44">
        <v>1511014</v>
      </c>
      <c r="D190" s="44" t="s">
        <v>799</v>
      </c>
      <c r="E190" s="44" t="s">
        <v>18</v>
      </c>
      <c r="F190" s="44" t="s">
        <v>148</v>
      </c>
      <c r="G190" s="44" t="s">
        <v>152</v>
      </c>
      <c r="H190" s="44" t="s">
        <v>178</v>
      </c>
      <c r="I190" s="44" t="s">
        <v>800</v>
      </c>
      <c r="J190" s="44" t="s">
        <v>152</v>
      </c>
      <c r="K190" s="44" t="s">
        <v>378</v>
      </c>
      <c r="L190" s="44" t="s">
        <v>801</v>
      </c>
      <c r="M190" s="44" t="s">
        <v>802</v>
      </c>
      <c r="O190" s="50">
        <f>VLOOKUP(D190,PROGRES!B:D,3,0)</f>
        <v>3</v>
      </c>
    </row>
    <row r="191" spans="1:15">
      <c r="A191" s="55">
        <v>46311.504363425898</v>
      </c>
      <c r="B191" s="44" t="s">
        <v>803</v>
      </c>
      <c r="C191" s="44">
        <v>1510880</v>
      </c>
      <c r="D191" s="44" t="s">
        <v>804</v>
      </c>
      <c r="E191" s="44" t="s">
        <v>18</v>
      </c>
      <c r="F191" s="44" t="s">
        <v>147</v>
      </c>
      <c r="G191" s="44" t="s">
        <v>152</v>
      </c>
      <c r="H191" s="44" t="s">
        <v>171</v>
      </c>
      <c r="I191" s="44" t="s">
        <v>805</v>
      </c>
      <c r="J191" s="44" t="s">
        <v>150</v>
      </c>
      <c r="K191" s="44" t="s">
        <v>205</v>
      </c>
      <c r="L191" s="44" t="s">
        <v>750</v>
      </c>
      <c r="M191" s="44" t="s">
        <v>724</v>
      </c>
      <c r="O191" s="50">
        <f>VLOOKUP(D191,PROGRES!B:D,3,0)</f>
        <v>5</v>
      </c>
    </row>
    <row r="192" spans="1:15">
      <c r="A192" s="55">
        <v>46311.519270833298</v>
      </c>
      <c r="B192" s="44" t="s">
        <v>806</v>
      </c>
      <c r="C192" s="44">
        <v>1511308</v>
      </c>
      <c r="D192" s="44" t="s">
        <v>642</v>
      </c>
      <c r="E192" s="44" t="s">
        <v>18</v>
      </c>
      <c r="F192" s="44" t="s">
        <v>147</v>
      </c>
      <c r="G192" s="44" t="s">
        <v>150</v>
      </c>
      <c r="H192" s="44" t="s">
        <v>171</v>
      </c>
      <c r="I192" s="44" t="s">
        <v>807</v>
      </c>
      <c r="J192" s="44" t="s">
        <v>150</v>
      </c>
      <c r="K192" s="44" t="s">
        <v>205</v>
      </c>
      <c r="L192" s="44" t="s">
        <v>180</v>
      </c>
      <c r="M192" s="44" t="s">
        <v>808</v>
      </c>
      <c r="O192" s="50">
        <f>VLOOKUP(D192,PROGRES!B:D,3,0)</f>
        <v>4</v>
      </c>
    </row>
    <row r="193" spans="1:15">
      <c r="A193" s="55">
        <v>46311.601539351897</v>
      </c>
      <c r="B193" s="44" t="s">
        <v>809</v>
      </c>
      <c r="C193" s="44">
        <v>89218185</v>
      </c>
      <c r="D193" s="44" t="s">
        <v>810</v>
      </c>
      <c r="E193" s="44" t="s">
        <v>17</v>
      </c>
      <c r="F193" s="44" t="s">
        <v>147</v>
      </c>
      <c r="G193" s="44" t="s">
        <v>150</v>
      </c>
      <c r="H193" s="44" t="s">
        <v>171</v>
      </c>
      <c r="I193" s="44" t="s">
        <v>191</v>
      </c>
      <c r="J193" s="44" t="s">
        <v>152</v>
      </c>
      <c r="K193" s="44" t="s">
        <v>185</v>
      </c>
      <c r="L193" s="44" t="s">
        <v>180</v>
      </c>
      <c r="M193" s="44" t="s">
        <v>811</v>
      </c>
      <c r="O193" s="50">
        <f>VLOOKUP(D193,PROGRES!B:D,3,0)</f>
        <v>4</v>
      </c>
    </row>
    <row r="194" spans="1:15">
      <c r="A194" s="55">
        <v>46311.666412036997</v>
      </c>
      <c r="B194" s="44" t="s">
        <v>812</v>
      </c>
      <c r="C194" s="44">
        <v>88006091</v>
      </c>
      <c r="D194" s="44" t="s">
        <v>813</v>
      </c>
      <c r="E194" s="44" t="s">
        <v>17</v>
      </c>
      <c r="F194" s="44" t="s">
        <v>148</v>
      </c>
      <c r="G194" s="44" t="s">
        <v>152</v>
      </c>
      <c r="H194" s="44" t="s">
        <v>171</v>
      </c>
      <c r="I194" s="44" t="s">
        <v>814</v>
      </c>
      <c r="J194" s="44" t="s">
        <v>152</v>
      </c>
      <c r="K194" s="44" t="s">
        <v>185</v>
      </c>
      <c r="L194" s="44" t="s">
        <v>568</v>
      </c>
      <c r="M194" s="44" t="s">
        <v>815</v>
      </c>
      <c r="O194" s="50">
        <f>VLOOKUP(D194,PROGRES!B:D,3,0)</f>
        <v>3</v>
      </c>
    </row>
    <row r="195" spans="1:15">
      <c r="A195" s="55">
        <v>46311.672650462999</v>
      </c>
      <c r="B195" s="44" t="s">
        <v>816</v>
      </c>
      <c r="C195" s="44">
        <v>1525021</v>
      </c>
      <c r="D195" s="44" t="s">
        <v>813</v>
      </c>
      <c r="E195" s="44" t="s">
        <v>19</v>
      </c>
      <c r="F195" s="44" t="s">
        <v>148</v>
      </c>
      <c r="G195" s="44" t="s">
        <v>152</v>
      </c>
      <c r="H195" s="44" t="s">
        <v>171</v>
      </c>
      <c r="I195" s="44" t="s">
        <v>817</v>
      </c>
      <c r="J195" s="44" t="s">
        <v>150</v>
      </c>
      <c r="K195" s="44" t="s">
        <v>185</v>
      </c>
      <c r="L195" s="44" t="s">
        <v>818</v>
      </c>
      <c r="M195" s="44" t="s">
        <v>819</v>
      </c>
      <c r="O195" s="50">
        <f>VLOOKUP(D195,PROGRES!B:D,3,0)</f>
        <v>3</v>
      </c>
    </row>
    <row r="196" spans="1:15">
      <c r="A196" s="55">
        <v>46311.6847569444</v>
      </c>
      <c r="B196" s="44" t="s">
        <v>820</v>
      </c>
      <c r="C196" s="44">
        <v>1510881</v>
      </c>
      <c r="D196" s="44" t="s">
        <v>188</v>
      </c>
      <c r="E196" s="44" t="s">
        <v>19</v>
      </c>
      <c r="F196" s="44" t="s">
        <v>147</v>
      </c>
      <c r="G196" s="44" t="s">
        <v>152</v>
      </c>
      <c r="H196" s="44" t="s">
        <v>171</v>
      </c>
      <c r="I196" s="44" t="s">
        <v>74</v>
      </c>
      <c r="J196" s="44" t="s">
        <v>150</v>
      </c>
      <c r="K196" s="44" t="s">
        <v>185</v>
      </c>
      <c r="L196" s="44" t="s">
        <v>74</v>
      </c>
      <c r="M196" s="44" t="s">
        <v>74</v>
      </c>
      <c r="O196" s="50">
        <f>VLOOKUP(D196,PROGRES!B:D,3,0)</f>
        <v>5</v>
      </c>
    </row>
    <row r="197" spans="1:15">
      <c r="A197" s="55">
        <v>46311.685335648202</v>
      </c>
      <c r="B197" s="44" t="s">
        <v>821</v>
      </c>
      <c r="C197" s="44">
        <v>1511021</v>
      </c>
      <c r="D197" s="44" t="s">
        <v>610</v>
      </c>
      <c r="E197" s="44" t="s">
        <v>19</v>
      </c>
      <c r="F197" s="44" t="s">
        <v>146</v>
      </c>
      <c r="G197" s="44" t="s">
        <v>150</v>
      </c>
      <c r="H197" s="44" t="s">
        <v>171</v>
      </c>
      <c r="I197" s="44" t="s">
        <v>74</v>
      </c>
      <c r="J197" s="44" t="s">
        <v>150</v>
      </c>
      <c r="K197" s="44" t="s">
        <v>205</v>
      </c>
      <c r="L197" s="44" t="s">
        <v>74</v>
      </c>
      <c r="M197" s="44" t="s">
        <v>74</v>
      </c>
      <c r="O197" s="50">
        <f>VLOOKUP(D197,PROGRES!B:D,3,0)</f>
        <v>7</v>
      </c>
    </row>
    <row r="198" spans="1:15">
      <c r="A198" s="55">
        <v>46311.685763888898</v>
      </c>
      <c r="B198" s="44" t="s">
        <v>822</v>
      </c>
      <c r="C198" s="44">
        <v>87399011</v>
      </c>
      <c r="D198" s="44" t="s">
        <v>823</v>
      </c>
      <c r="E198" s="44" t="s">
        <v>17</v>
      </c>
      <c r="F198" s="44" t="s">
        <v>146</v>
      </c>
      <c r="G198" s="44" t="s">
        <v>152</v>
      </c>
      <c r="H198" s="44" t="s">
        <v>178</v>
      </c>
      <c r="I198" s="44" t="s">
        <v>74</v>
      </c>
      <c r="J198" s="44" t="s">
        <v>152</v>
      </c>
      <c r="K198" s="44" t="s">
        <v>190</v>
      </c>
      <c r="L198" s="44" t="s">
        <v>74</v>
      </c>
      <c r="M198" s="44" t="s">
        <v>74</v>
      </c>
      <c r="O198" s="50">
        <f>VLOOKUP(D198,PROGRES!B:D,3,0)</f>
        <v>6</v>
      </c>
    </row>
    <row r="199" spans="1:15">
      <c r="A199" s="55">
        <v>46311.688969907402</v>
      </c>
      <c r="B199" s="44" t="s">
        <v>824</v>
      </c>
      <c r="C199" s="44">
        <v>88515150</v>
      </c>
      <c r="D199" s="44" t="s">
        <v>524</v>
      </c>
      <c r="E199" s="44" t="s">
        <v>17</v>
      </c>
      <c r="F199" s="44" t="s">
        <v>148</v>
      </c>
      <c r="G199" s="44" t="s">
        <v>150</v>
      </c>
      <c r="H199" s="44" t="s">
        <v>171</v>
      </c>
      <c r="I199" s="44" t="s">
        <v>825</v>
      </c>
      <c r="J199" s="44" t="s">
        <v>150</v>
      </c>
      <c r="K199" s="44" t="s">
        <v>205</v>
      </c>
      <c r="L199" s="44">
        <v>0</v>
      </c>
      <c r="M199" s="44" t="s">
        <v>234</v>
      </c>
      <c r="O199" s="50">
        <f>VLOOKUP(D199,PROGRES!B:D,3,0)</f>
        <v>7</v>
      </c>
    </row>
    <row r="200" spans="1:15">
      <c r="A200" s="55">
        <v>46311.689282407402</v>
      </c>
      <c r="B200" s="44" t="s">
        <v>826</v>
      </c>
      <c r="C200" s="44">
        <v>1510901</v>
      </c>
      <c r="D200" s="44" t="s">
        <v>827</v>
      </c>
      <c r="E200" s="44" t="s">
        <v>18</v>
      </c>
      <c r="F200" s="44" t="s">
        <v>146</v>
      </c>
      <c r="G200" s="44" t="s">
        <v>150</v>
      </c>
      <c r="H200" s="44" t="s">
        <v>171</v>
      </c>
      <c r="I200" s="44" t="s">
        <v>713</v>
      </c>
      <c r="J200" s="44" t="s">
        <v>152</v>
      </c>
      <c r="K200" s="44" t="s">
        <v>185</v>
      </c>
      <c r="L200" s="44" t="s">
        <v>301</v>
      </c>
      <c r="M200" s="44" t="s">
        <v>180</v>
      </c>
      <c r="O200" s="50">
        <f>VLOOKUP(D200,PROGRES!B:D,3,0)</f>
        <v>3</v>
      </c>
    </row>
    <row r="201" spans="1:15">
      <c r="A201" s="55">
        <v>46311.689872685201</v>
      </c>
      <c r="B201" s="44" t="s">
        <v>828</v>
      </c>
      <c r="C201" s="44">
        <v>1510505</v>
      </c>
      <c r="D201" s="44" t="s">
        <v>829</v>
      </c>
      <c r="E201" s="44" t="s">
        <v>18</v>
      </c>
      <c r="F201" s="44" t="s">
        <v>146</v>
      </c>
      <c r="G201" s="44" t="s">
        <v>150</v>
      </c>
      <c r="H201" s="44" t="s">
        <v>171</v>
      </c>
      <c r="I201" s="44" t="s">
        <v>271</v>
      </c>
      <c r="J201" s="44" t="s">
        <v>150</v>
      </c>
      <c r="K201" s="44" t="s">
        <v>185</v>
      </c>
      <c r="L201" s="44" t="s">
        <v>186</v>
      </c>
      <c r="M201" s="44" t="s">
        <v>271</v>
      </c>
      <c r="O201" s="50">
        <f>VLOOKUP(D201,PROGRES!B:D,3,0)</f>
        <v>3</v>
      </c>
    </row>
    <row r="202" spans="1:15">
      <c r="A202" s="55">
        <v>46311.691157407397</v>
      </c>
      <c r="B202" s="44" t="s">
        <v>830</v>
      </c>
      <c r="C202" s="44">
        <v>1510946</v>
      </c>
      <c r="D202" s="44" t="s">
        <v>831</v>
      </c>
      <c r="E202" s="44" t="s">
        <v>17</v>
      </c>
      <c r="F202" s="44" t="s">
        <v>146</v>
      </c>
      <c r="G202" s="44" t="s">
        <v>150</v>
      </c>
      <c r="H202" s="44" t="s">
        <v>178</v>
      </c>
      <c r="I202" s="44" t="s">
        <v>811</v>
      </c>
      <c r="J202" s="44" t="s">
        <v>152</v>
      </c>
      <c r="K202" s="44" t="s">
        <v>185</v>
      </c>
      <c r="L202" s="44" t="s">
        <v>186</v>
      </c>
      <c r="M202" s="44" t="s">
        <v>832</v>
      </c>
      <c r="O202" s="50">
        <f>VLOOKUP(D202,PROGRES!B:D,3,0)</f>
        <v>4</v>
      </c>
    </row>
    <row r="203" spans="1:15">
      <c r="A203" s="55">
        <v>46311.691493055601</v>
      </c>
      <c r="B203" s="44" t="s">
        <v>833</v>
      </c>
      <c r="C203" s="44">
        <v>1510941</v>
      </c>
      <c r="D203" s="44" t="s">
        <v>834</v>
      </c>
      <c r="E203" s="44" t="s">
        <v>17</v>
      </c>
      <c r="F203" s="44" t="s">
        <v>146</v>
      </c>
      <c r="G203" s="44" t="s">
        <v>150</v>
      </c>
      <c r="H203" s="44" t="s">
        <v>171</v>
      </c>
      <c r="I203" s="44" t="s">
        <v>835</v>
      </c>
      <c r="J203" s="44" t="s">
        <v>150</v>
      </c>
      <c r="K203" s="44" t="s">
        <v>185</v>
      </c>
      <c r="L203" s="44" t="s">
        <v>836</v>
      </c>
      <c r="M203" s="44" t="s">
        <v>387</v>
      </c>
      <c r="O203" s="50">
        <f>VLOOKUP(D203,PROGRES!B:D,3,0)</f>
        <v>1</v>
      </c>
    </row>
    <row r="204" spans="1:15">
      <c r="A204" s="55">
        <v>46311.692592592597</v>
      </c>
      <c r="B204" s="44" t="s">
        <v>837</v>
      </c>
      <c r="C204" s="44">
        <v>1510694</v>
      </c>
      <c r="D204" s="44" t="s">
        <v>838</v>
      </c>
      <c r="E204" s="44" t="s">
        <v>19</v>
      </c>
      <c r="F204" s="44" t="s">
        <v>146</v>
      </c>
      <c r="G204" s="44" t="s">
        <v>150</v>
      </c>
      <c r="H204" s="44" t="s">
        <v>171</v>
      </c>
      <c r="I204" s="44" t="s">
        <v>839</v>
      </c>
      <c r="J204" s="44" t="s">
        <v>150</v>
      </c>
      <c r="K204" s="44" t="s">
        <v>205</v>
      </c>
      <c r="L204" s="44" t="s">
        <v>186</v>
      </c>
      <c r="M204" s="44" t="s">
        <v>839</v>
      </c>
      <c r="O204" s="50">
        <f>VLOOKUP(D204,PROGRES!B:D,3,0)</f>
        <v>6</v>
      </c>
    </row>
    <row r="205" spans="1:15">
      <c r="A205" s="55">
        <v>46311.694675925901</v>
      </c>
      <c r="B205" s="44" t="s">
        <v>840</v>
      </c>
      <c r="C205" s="44">
        <v>89017175</v>
      </c>
      <c r="D205" s="44" t="s">
        <v>509</v>
      </c>
      <c r="E205" s="44" t="s">
        <v>18</v>
      </c>
      <c r="F205" s="44" t="s">
        <v>148</v>
      </c>
      <c r="G205" s="44" t="s">
        <v>150</v>
      </c>
      <c r="H205" s="44" t="s">
        <v>171</v>
      </c>
      <c r="I205" s="44" t="s">
        <v>191</v>
      </c>
      <c r="J205" s="44" t="s">
        <v>152</v>
      </c>
      <c r="K205" s="44" t="s">
        <v>225</v>
      </c>
      <c r="L205" s="44" t="s">
        <v>246</v>
      </c>
      <c r="M205" s="44" t="s">
        <v>841</v>
      </c>
      <c r="O205" s="50">
        <f>VLOOKUP(D205,PROGRES!B:D,3,0)</f>
        <v>3</v>
      </c>
    </row>
    <row r="206" spans="1:15">
      <c r="A206" s="55">
        <v>46311.698449074102</v>
      </c>
      <c r="B206" s="44" t="s">
        <v>842</v>
      </c>
      <c r="C206" s="44">
        <v>1511016</v>
      </c>
      <c r="D206" s="44" t="s">
        <v>843</v>
      </c>
      <c r="E206" s="44" t="s">
        <v>19</v>
      </c>
      <c r="F206" s="44" t="s">
        <v>148</v>
      </c>
      <c r="G206" s="44" t="s">
        <v>150</v>
      </c>
      <c r="H206" s="44" t="s">
        <v>171</v>
      </c>
      <c r="I206" s="44" t="s">
        <v>74</v>
      </c>
      <c r="J206" s="44" t="s">
        <v>150</v>
      </c>
      <c r="K206" s="44" t="s">
        <v>185</v>
      </c>
      <c r="L206" s="44" t="s">
        <v>74</v>
      </c>
      <c r="M206" s="44" t="s">
        <v>74</v>
      </c>
      <c r="O206" s="50">
        <f>VLOOKUP(D206,PROGRES!B:D,3,0)</f>
        <v>4</v>
      </c>
    </row>
    <row r="207" spans="1:15">
      <c r="A207" s="55">
        <v>46311.699201388903</v>
      </c>
      <c r="B207" s="44" t="s">
        <v>844</v>
      </c>
      <c r="C207" s="44">
        <v>1510735</v>
      </c>
      <c r="D207" s="44" t="s">
        <v>831</v>
      </c>
      <c r="E207" s="44" t="s">
        <v>18</v>
      </c>
      <c r="F207" s="44" t="s">
        <v>146</v>
      </c>
      <c r="G207" s="44" t="s">
        <v>152</v>
      </c>
      <c r="H207" s="44" t="s">
        <v>171</v>
      </c>
      <c r="I207" s="44" t="s">
        <v>845</v>
      </c>
      <c r="J207" s="44" t="s">
        <v>150</v>
      </c>
      <c r="K207" s="44" t="s">
        <v>185</v>
      </c>
      <c r="L207" s="44" t="s">
        <v>246</v>
      </c>
      <c r="M207" s="44" t="s">
        <v>387</v>
      </c>
      <c r="O207" s="50">
        <f>VLOOKUP(D207,PROGRES!B:D,3,0)</f>
        <v>4</v>
      </c>
    </row>
    <row r="208" spans="1:15">
      <c r="A208" s="55">
        <v>46312.752453703702</v>
      </c>
      <c r="B208" s="44" t="s">
        <v>846</v>
      </c>
      <c r="C208" s="44">
        <v>1511363</v>
      </c>
      <c r="D208" s="44" t="s">
        <v>679</v>
      </c>
      <c r="E208" s="44" t="s">
        <v>18</v>
      </c>
      <c r="F208" s="44" t="s">
        <v>148</v>
      </c>
      <c r="G208" s="44" t="s">
        <v>150</v>
      </c>
      <c r="H208" s="44" t="s">
        <v>171</v>
      </c>
      <c r="I208" s="44" t="s">
        <v>180</v>
      </c>
      <c r="J208" s="44" t="s">
        <v>150</v>
      </c>
      <c r="K208" s="44" t="s">
        <v>416</v>
      </c>
      <c r="L208" s="44" t="s">
        <v>301</v>
      </c>
      <c r="M208" s="44" t="s">
        <v>387</v>
      </c>
      <c r="O208" s="50">
        <f>VLOOKUP(D208,PROGRES!B:D,3,0)</f>
        <v>4</v>
      </c>
    </row>
    <row r="209" spans="1:15">
      <c r="A209" s="55">
        <v>46311.705277777801</v>
      </c>
      <c r="B209" s="44" t="s">
        <v>847</v>
      </c>
      <c r="C209" s="44">
        <v>1511263</v>
      </c>
      <c r="D209" s="44" t="s">
        <v>848</v>
      </c>
      <c r="E209" s="44" t="s">
        <v>18</v>
      </c>
      <c r="F209" s="44" t="s">
        <v>146</v>
      </c>
      <c r="G209" s="44" t="s">
        <v>150</v>
      </c>
      <c r="H209" s="44" t="s">
        <v>171</v>
      </c>
      <c r="I209" s="44" t="s">
        <v>849</v>
      </c>
      <c r="J209" s="44" t="s">
        <v>150</v>
      </c>
      <c r="K209" s="44" t="s">
        <v>173</v>
      </c>
      <c r="L209" s="44" t="s">
        <v>180</v>
      </c>
      <c r="M209" s="44" t="s">
        <v>22</v>
      </c>
      <c r="O209" s="50">
        <f>VLOOKUP(D209,PROGRES!B:D,3,0)</f>
        <v>3</v>
      </c>
    </row>
    <row r="210" spans="1:15">
      <c r="A210" s="55">
        <v>46311.707569444399</v>
      </c>
      <c r="B210" s="44" t="s">
        <v>850</v>
      </c>
      <c r="C210" s="44">
        <v>1510920</v>
      </c>
      <c r="D210" s="44" t="s">
        <v>851</v>
      </c>
      <c r="E210" s="44" t="s">
        <v>19</v>
      </c>
      <c r="F210" s="44" t="s">
        <v>146</v>
      </c>
      <c r="G210" s="44" t="s">
        <v>152</v>
      </c>
      <c r="H210" s="44" t="s">
        <v>178</v>
      </c>
      <c r="I210" s="44" t="s">
        <v>498</v>
      </c>
      <c r="J210" s="44" t="s">
        <v>152</v>
      </c>
      <c r="K210" s="44" t="s">
        <v>185</v>
      </c>
      <c r="L210" s="44" t="s">
        <v>498</v>
      </c>
      <c r="M210" s="44" t="s">
        <v>498</v>
      </c>
      <c r="O210" s="50">
        <f>VLOOKUP(D210,PROGRES!B:D,3,0)</f>
        <v>3</v>
      </c>
    </row>
    <row r="211" spans="1:15">
      <c r="A211" s="55">
        <v>46311.714444444398</v>
      </c>
      <c r="B211" s="44" t="s">
        <v>852</v>
      </c>
      <c r="C211" s="44">
        <v>1511206</v>
      </c>
      <c r="D211" s="44" t="s">
        <v>838</v>
      </c>
      <c r="E211" s="44" t="s">
        <v>18</v>
      </c>
      <c r="F211" s="44" t="s">
        <v>146</v>
      </c>
      <c r="G211" s="44" t="s">
        <v>150</v>
      </c>
      <c r="H211" s="44" t="s">
        <v>171</v>
      </c>
      <c r="I211" s="44" t="s">
        <v>853</v>
      </c>
      <c r="J211" s="44" t="s">
        <v>150</v>
      </c>
      <c r="K211" s="44" t="s">
        <v>205</v>
      </c>
      <c r="L211" s="44" t="s">
        <v>854</v>
      </c>
      <c r="M211" s="44" t="s">
        <v>855</v>
      </c>
      <c r="O211" s="50">
        <f>VLOOKUP(D211,PROGRES!B:D,3,0)</f>
        <v>6</v>
      </c>
    </row>
    <row r="212" spans="1:15">
      <c r="A212" s="55">
        <v>46311.717662037001</v>
      </c>
      <c r="B212" s="44" t="s">
        <v>856</v>
      </c>
      <c r="C212" s="44">
        <v>1510623</v>
      </c>
      <c r="D212" s="44" t="s">
        <v>823</v>
      </c>
      <c r="E212" s="44" t="s">
        <v>18</v>
      </c>
      <c r="F212" s="44" t="s">
        <v>146</v>
      </c>
      <c r="G212" s="44" t="s">
        <v>152</v>
      </c>
      <c r="H212" s="44" t="s">
        <v>178</v>
      </c>
      <c r="I212" s="44" t="s">
        <v>857</v>
      </c>
      <c r="J212" s="44" t="s">
        <v>152</v>
      </c>
      <c r="K212" s="44" t="s">
        <v>185</v>
      </c>
      <c r="L212" s="44" t="s">
        <v>858</v>
      </c>
      <c r="M212" s="44" t="s">
        <v>859</v>
      </c>
      <c r="O212" s="50">
        <f>VLOOKUP(D212,PROGRES!B:D,3,0)</f>
        <v>6</v>
      </c>
    </row>
    <row r="213" spans="1:15">
      <c r="A213" s="55">
        <v>46311.719270833302</v>
      </c>
      <c r="B213" s="44" t="s">
        <v>860</v>
      </c>
      <c r="C213" s="44">
        <v>1511187</v>
      </c>
      <c r="D213" s="44" t="s">
        <v>823</v>
      </c>
      <c r="E213" s="44" t="s">
        <v>18</v>
      </c>
      <c r="F213" s="44" t="s">
        <v>146</v>
      </c>
      <c r="G213" s="44" t="s">
        <v>152</v>
      </c>
      <c r="H213" s="44" t="s">
        <v>178</v>
      </c>
      <c r="I213" s="44" t="s">
        <v>857</v>
      </c>
      <c r="J213" s="44" t="s">
        <v>152</v>
      </c>
      <c r="K213" s="44" t="s">
        <v>185</v>
      </c>
      <c r="L213" s="44" t="s">
        <v>180</v>
      </c>
      <c r="M213" s="44" t="s">
        <v>861</v>
      </c>
      <c r="O213" s="50">
        <f>VLOOKUP(D213,PROGRES!B:D,3,0)</f>
        <v>6</v>
      </c>
    </row>
    <row r="214" spans="1:15">
      <c r="A214" s="55">
        <v>46311.722800925898</v>
      </c>
      <c r="B214" s="44" t="s">
        <v>862</v>
      </c>
      <c r="C214" s="44">
        <v>1510842</v>
      </c>
      <c r="D214" s="44" t="s">
        <v>863</v>
      </c>
      <c r="E214" s="44" t="s">
        <v>18</v>
      </c>
      <c r="F214" s="44" t="s">
        <v>147</v>
      </c>
      <c r="G214" s="44" t="s">
        <v>150</v>
      </c>
      <c r="H214" s="44" t="s">
        <v>171</v>
      </c>
      <c r="I214" s="44" t="s">
        <v>864</v>
      </c>
      <c r="J214" s="44" t="s">
        <v>150</v>
      </c>
      <c r="K214" s="44" t="s">
        <v>205</v>
      </c>
      <c r="L214" s="44" t="s">
        <v>358</v>
      </c>
      <c r="M214" s="44" t="s">
        <v>22</v>
      </c>
      <c r="O214" s="50">
        <f>VLOOKUP(D214,PROGRES!B:D,3,0)</f>
        <v>4</v>
      </c>
    </row>
    <row r="215" spans="1:15">
      <c r="A215" s="55">
        <v>46311.732731481497</v>
      </c>
      <c r="B215" s="44" t="s">
        <v>865</v>
      </c>
      <c r="C215" s="44">
        <v>1510966</v>
      </c>
      <c r="D215" s="44" t="s">
        <v>831</v>
      </c>
      <c r="E215" s="44" t="s">
        <v>18</v>
      </c>
      <c r="F215" s="44" t="s">
        <v>146</v>
      </c>
      <c r="G215" s="44" t="s">
        <v>150</v>
      </c>
      <c r="H215" s="44" t="s">
        <v>171</v>
      </c>
      <c r="I215" s="44" t="s">
        <v>260</v>
      </c>
      <c r="J215" s="44" t="s">
        <v>150</v>
      </c>
      <c r="K215" s="44" t="s">
        <v>185</v>
      </c>
      <c r="L215" s="44" t="s">
        <v>260</v>
      </c>
      <c r="M215" s="44" t="s">
        <v>260</v>
      </c>
      <c r="O215" s="50">
        <f>VLOOKUP(D215,PROGRES!B:D,3,0)</f>
        <v>4</v>
      </c>
    </row>
    <row r="216" spans="1:15">
      <c r="A216" s="55">
        <v>46311.7493287037</v>
      </c>
      <c r="B216" s="44" t="s">
        <v>866</v>
      </c>
      <c r="C216" s="44">
        <v>1510644</v>
      </c>
      <c r="D216" s="44" t="s">
        <v>823</v>
      </c>
      <c r="E216" s="44" t="s">
        <v>18</v>
      </c>
      <c r="F216" s="44" t="s">
        <v>146</v>
      </c>
      <c r="G216" s="44" t="s">
        <v>150</v>
      </c>
      <c r="H216" s="44" t="s">
        <v>171</v>
      </c>
      <c r="I216" s="44" t="s">
        <v>867</v>
      </c>
      <c r="J216" s="44" t="s">
        <v>150</v>
      </c>
      <c r="K216" s="44" t="s">
        <v>416</v>
      </c>
      <c r="L216" s="44" t="s">
        <v>868</v>
      </c>
      <c r="M216" s="44" t="s">
        <v>869</v>
      </c>
      <c r="O216" s="50">
        <f>VLOOKUP(D216,PROGRES!B:D,3,0)</f>
        <v>6</v>
      </c>
    </row>
    <row r="217" spans="1:15">
      <c r="A217" s="55">
        <v>46311.750914351898</v>
      </c>
      <c r="B217" s="44" t="s">
        <v>870</v>
      </c>
      <c r="C217" s="44">
        <v>1511354</v>
      </c>
      <c r="D217" s="44" t="s">
        <v>831</v>
      </c>
      <c r="E217" s="44" t="s">
        <v>19</v>
      </c>
      <c r="F217" s="44" t="s">
        <v>146</v>
      </c>
      <c r="G217" s="44" t="s">
        <v>150</v>
      </c>
      <c r="H217" s="44" t="s">
        <v>171</v>
      </c>
      <c r="I217" s="44" t="s">
        <v>871</v>
      </c>
      <c r="J217" s="44" t="s">
        <v>150</v>
      </c>
      <c r="K217" s="44" t="s">
        <v>205</v>
      </c>
      <c r="L217" s="44" t="s">
        <v>180</v>
      </c>
      <c r="M217" s="44" t="s">
        <v>872</v>
      </c>
      <c r="O217" s="50">
        <f>VLOOKUP(D217,PROGRES!B:D,3,0)</f>
        <v>4</v>
      </c>
    </row>
    <row r="218" spans="1:15" ht="101.25">
      <c r="A218" s="55">
        <v>46311.7869907407</v>
      </c>
      <c r="B218" s="44" t="s">
        <v>873</v>
      </c>
      <c r="C218" s="44">
        <v>1511108</v>
      </c>
      <c r="D218" s="44" t="s">
        <v>429</v>
      </c>
      <c r="E218" s="44" t="s">
        <v>19</v>
      </c>
      <c r="F218" s="44" t="s">
        <v>147</v>
      </c>
      <c r="G218" s="44" t="s">
        <v>150</v>
      </c>
      <c r="H218" s="44" t="s">
        <v>171</v>
      </c>
      <c r="I218" s="44" t="s">
        <v>874</v>
      </c>
      <c r="J218" s="44" t="s">
        <v>150</v>
      </c>
      <c r="K218" s="44" t="s">
        <v>185</v>
      </c>
      <c r="L218" s="44" t="s">
        <v>186</v>
      </c>
      <c r="M218" s="56" t="s">
        <v>875</v>
      </c>
      <c r="O218" s="50">
        <f>VLOOKUP(D218,PROGRES!B:D,3,0)</f>
        <v>3</v>
      </c>
    </row>
    <row r="219" spans="1:15">
      <c r="A219" s="55">
        <v>46311.811724537001</v>
      </c>
      <c r="B219" s="44" t="s">
        <v>876</v>
      </c>
      <c r="C219" s="44">
        <v>1511055</v>
      </c>
      <c r="D219" s="44" t="s">
        <v>843</v>
      </c>
      <c r="E219" s="44" t="s">
        <v>18</v>
      </c>
      <c r="F219" s="44" t="s">
        <v>148</v>
      </c>
      <c r="G219" s="44" t="s">
        <v>150</v>
      </c>
      <c r="H219" s="44" t="s">
        <v>171</v>
      </c>
      <c r="I219" s="44" t="s">
        <v>246</v>
      </c>
      <c r="J219" s="44" t="s">
        <v>150</v>
      </c>
      <c r="K219" s="44" t="s">
        <v>185</v>
      </c>
      <c r="L219" s="44" t="s">
        <v>877</v>
      </c>
      <c r="M219" s="44" t="s">
        <v>878</v>
      </c>
      <c r="O219" s="50">
        <f>VLOOKUP(D219,PROGRES!B:D,3,0)</f>
        <v>4</v>
      </c>
    </row>
    <row r="220" spans="1:15" ht="56.25">
      <c r="A220" s="55">
        <v>46311.813449074099</v>
      </c>
      <c r="B220" s="44" t="s">
        <v>879</v>
      </c>
      <c r="C220" s="44">
        <v>1510696</v>
      </c>
      <c r="D220" s="44" t="s">
        <v>851</v>
      </c>
      <c r="E220" s="44" t="s">
        <v>18</v>
      </c>
      <c r="F220" s="44" t="s">
        <v>146</v>
      </c>
      <c r="G220" s="44" t="s">
        <v>150</v>
      </c>
      <c r="H220" s="44" t="s">
        <v>178</v>
      </c>
      <c r="I220" s="44" t="s">
        <v>880</v>
      </c>
      <c r="J220" s="44" t="s">
        <v>150</v>
      </c>
      <c r="K220" s="44" t="s">
        <v>205</v>
      </c>
      <c r="L220" s="44" t="s">
        <v>881</v>
      </c>
      <c r="M220" s="56" t="s">
        <v>882</v>
      </c>
      <c r="O220" s="50">
        <f>VLOOKUP(D220,PROGRES!B:D,3,0)</f>
        <v>3</v>
      </c>
    </row>
    <row r="221" spans="1:15">
      <c r="A221" s="55">
        <v>46311.816909722198</v>
      </c>
      <c r="B221" s="44" t="s">
        <v>883</v>
      </c>
      <c r="C221" s="44">
        <v>1510760</v>
      </c>
      <c r="D221" s="44" t="s">
        <v>843</v>
      </c>
      <c r="E221" s="44" t="s">
        <v>18</v>
      </c>
      <c r="F221" s="44" t="s">
        <v>148</v>
      </c>
      <c r="G221" s="44" t="s">
        <v>150</v>
      </c>
      <c r="H221" s="44" t="s">
        <v>171</v>
      </c>
      <c r="I221" s="44" t="s">
        <v>884</v>
      </c>
      <c r="J221" s="44" t="s">
        <v>150</v>
      </c>
      <c r="K221" s="44" t="s">
        <v>190</v>
      </c>
      <c r="L221" s="44" t="s">
        <v>885</v>
      </c>
      <c r="M221" s="44" t="s">
        <v>886</v>
      </c>
      <c r="O221" s="50">
        <f>VLOOKUP(D221,PROGRES!B:D,3,0)</f>
        <v>4</v>
      </c>
    </row>
    <row r="222" spans="1:15">
      <c r="A222" s="55">
        <v>46311.906122685199</v>
      </c>
      <c r="B222" s="44" t="s">
        <v>887</v>
      </c>
      <c r="C222" s="44">
        <v>1511288</v>
      </c>
      <c r="D222" s="44" t="s">
        <v>632</v>
      </c>
      <c r="E222" s="44" t="s">
        <v>18</v>
      </c>
      <c r="F222" s="44" t="s">
        <v>148</v>
      </c>
      <c r="G222" s="44" t="s">
        <v>152</v>
      </c>
      <c r="H222" s="44" t="s">
        <v>171</v>
      </c>
      <c r="I222" s="44" t="s">
        <v>713</v>
      </c>
      <c r="J222" s="44" t="s">
        <v>150</v>
      </c>
      <c r="K222" s="44" t="s">
        <v>225</v>
      </c>
      <c r="L222" s="44" t="s">
        <v>22</v>
      </c>
      <c r="M222" s="44" t="s">
        <v>888</v>
      </c>
      <c r="O222" s="50">
        <f>VLOOKUP(D222,PROGRES!B:D,3,0)</f>
        <v>5</v>
      </c>
    </row>
    <row r="223" spans="1:15" ht="22.5">
      <c r="A223" s="55">
        <v>46312.327152777798</v>
      </c>
      <c r="B223" s="44" t="s">
        <v>889</v>
      </c>
      <c r="C223" s="44">
        <v>1525018</v>
      </c>
      <c r="D223" s="44" t="s">
        <v>486</v>
      </c>
      <c r="E223" s="44" t="s">
        <v>18</v>
      </c>
      <c r="F223" s="44" t="s">
        <v>147</v>
      </c>
      <c r="G223" s="44" t="s">
        <v>150</v>
      </c>
      <c r="H223" s="44" t="s">
        <v>171</v>
      </c>
      <c r="I223" s="56" t="s">
        <v>890</v>
      </c>
      <c r="J223" s="44" t="s">
        <v>152</v>
      </c>
      <c r="K223" s="44" t="s">
        <v>185</v>
      </c>
      <c r="L223" s="44" t="s">
        <v>180</v>
      </c>
      <c r="M223" s="44" t="s">
        <v>328</v>
      </c>
      <c r="O223" s="50">
        <f>VLOOKUP(D223,PROGRES!B:D,3,0)</f>
        <v>3</v>
      </c>
    </row>
    <row r="224" spans="1:15">
      <c r="A224" s="55">
        <v>46312.365509259304</v>
      </c>
      <c r="B224" s="44" t="s">
        <v>891</v>
      </c>
      <c r="C224" s="44">
        <v>1511100</v>
      </c>
      <c r="D224" s="44" t="s">
        <v>892</v>
      </c>
      <c r="E224" s="44" t="s">
        <v>18</v>
      </c>
      <c r="F224" s="44" t="s">
        <v>147</v>
      </c>
      <c r="G224" s="44" t="s">
        <v>150</v>
      </c>
      <c r="H224" s="44" t="s">
        <v>178</v>
      </c>
      <c r="I224" s="44" t="s">
        <v>893</v>
      </c>
      <c r="J224" s="44" t="s">
        <v>150</v>
      </c>
      <c r="K224" s="44" t="s">
        <v>185</v>
      </c>
      <c r="L224" s="44" t="s">
        <v>301</v>
      </c>
      <c r="M224" s="44" t="s">
        <v>894</v>
      </c>
      <c r="O224" s="50">
        <f>VLOOKUP(D224,PROGRES!B:D,3,0)</f>
        <v>3</v>
      </c>
    </row>
    <row r="225" spans="1:15" ht="33.75">
      <c r="A225" s="55">
        <v>46312.367754629602</v>
      </c>
      <c r="B225" s="44" t="s">
        <v>895</v>
      </c>
      <c r="C225" s="44">
        <v>89118182</v>
      </c>
      <c r="D225" s="44" t="s">
        <v>896</v>
      </c>
      <c r="E225" s="44" t="s">
        <v>17</v>
      </c>
      <c r="F225" s="44" t="s">
        <v>147</v>
      </c>
      <c r="G225" s="44" t="s">
        <v>150</v>
      </c>
      <c r="H225" s="44" t="s">
        <v>178</v>
      </c>
      <c r="I225" s="44" t="s">
        <v>724</v>
      </c>
      <c r="J225" s="44" t="s">
        <v>152</v>
      </c>
      <c r="K225" s="44" t="s">
        <v>185</v>
      </c>
      <c r="L225" s="56" t="s">
        <v>897</v>
      </c>
      <c r="M225" s="44" t="s">
        <v>898</v>
      </c>
      <c r="O225" s="50">
        <f>VLOOKUP(D225,PROGRES!B:D,3,0)</f>
        <v>3</v>
      </c>
    </row>
    <row r="226" spans="1:15">
      <c r="A226" s="55">
        <v>46312.372222222199</v>
      </c>
      <c r="B226" s="44" t="s">
        <v>899</v>
      </c>
      <c r="C226" s="44">
        <v>1510757</v>
      </c>
      <c r="D226" s="44" t="s">
        <v>900</v>
      </c>
      <c r="E226" s="44" t="s">
        <v>19</v>
      </c>
      <c r="F226" s="44" t="s">
        <v>148</v>
      </c>
      <c r="G226" s="44" t="s">
        <v>152</v>
      </c>
      <c r="H226" s="44" t="s">
        <v>171</v>
      </c>
      <c r="I226" s="44" t="s">
        <v>186</v>
      </c>
      <c r="J226" s="44" t="s">
        <v>152</v>
      </c>
      <c r="K226" s="44" t="s">
        <v>185</v>
      </c>
      <c r="L226" s="44" t="s">
        <v>901</v>
      </c>
      <c r="M226" s="44" t="s">
        <v>902</v>
      </c>
      <c r="O226" s="50">
        <f>VLOOKUP(D226,PROGRES!B:D,3,0)</f>
        <v>2</v>
      </c>
    </row>
    <row r="227" spans="1:15">
      <c r="A227" s="55">
        <v>46312.375949074099</v>
      </c>
      <c r="B227" s="44" t="s">
        <v>903</v>
      </c>
      <c r="C227" s="44">
        <v>1510840</v>
      </c>
      <c r="D227" s="44" t="s">
        <v>904</v>
      </c>
      <c r="E227" s="44" t="s">
        <v>19</v>
      </c>
      <c r="F227" s="44" t="s">
        <v>148</v>
      </c>
      <c r="G227" s="44" t="s">
        <v>150</v>
      </c>
      <c r="H227" s="44" t="s">
        <v>171</v>
      </c>
      <c r="I227" s="44" t="s">
        <v>905</v>
      </c>
      <c r="J227" s="44" t="s">
        <v>150</v>
      </c>
      <c r="K227" s="44" t="s">
        <v>225</v>
      </c>
      <c r="L227" s="44" t="s">
        <v>906</v>
      </c>
      <c r="M227" s="44" t="s">
        <v>905</v>
      </c>
      <c r="O227" s="50">
        <f>VLOOKUP(D227,PROGRES!B:D,3,0)</f>
        <v>2</v>
      </c>
    </row>
    <row r="228" spans="1:15">
      <c r="A228" s="55">
        <v>46312.387361111098</v>
      </c>
      <c r="B228" s="44" t="s">
        <v>907</v>
      </c>
      <c r="C228" s="44">
        <v>1510885</v>
      </c>
      <c r="D228" s="44" t="s">
        <v>908</v>
      </c>
      <c r="E228" s="44" t="s">
        <v>19</v>
      </c>
      <c r="F228" s="44" t="s">
        <v>148</v>
      </c>
      <c r="G228" s="44" t="s">
        <v>150</v>
      </c>
      <c r="H228" s="44" t="s">
        <v>171</v>
      </c>
      <c r="I228" s="44" t="s">
        <v>74</v>
      </c>
      <c r="J228" s="44" t="s">
        <v>150</v>
      </c>
      <c r="K228" s="44" t="s">
        <v>185</v>
      </c>
      <c r="L228" s="44" t="s">
        <v>74</v>
      </c>
      <c r="M228" s="44" t="s">
        <v>74</v>
      </c>
      <c r="O228" s="50">
        <f>VLOOKUP(D228,PROGRES!B:D,3,0)</f>
        <v>4</v>
      </c>
    </row>
    <row r="229" spans="1:15">
      <c r="A229" s="55">
        <v>46312.397280092599</v>
      </c>
      <c r="B229" s="44" t="s">
        <v>909</v>
      </c>
      <c r="C229" s="44">
        <v>1510668</v>
      </c>
      <c r="D229" s="44" t="s">
        <v>904</v>
      </c>
      <c r="E229" s="44" t="s">
        <v>18</v>
      </c>
      <c r="F229" s="44" t="s">
        <v>148</v>
      </c>
      <c r="G229" s="44" t="s">
        <v>150</v>
      </c>
      <c r="H229" s="44" t="s">
        <v>171</v>
      </c>
      <c r="I229" s="44" t="s">
        <v>910</v>
      </c>
      <c r="J229" s="44" t="s">
        <v>150</v>
      </c>
      <c r="K229" s="44" t="s">
        <v>190</v>
      </c>
      <c r="L229" s="44" t="s">
        <v>911</v>
      </c>
      <c r="O229" s="50">
        <f>VLOOKUP(D229,PROGRES!B:D,3,0)</f>
        <v>2</v>
      </c>
    </row>
    <row r="230" spans="1:15">
      <c r="A230" s="55">
        <v>46312.400787036997</v>
      </c>
      <c r="B230" s="44" t="s">
        <v>912</v>
      </c>
      <c r="C230" s="44">
        <v>1510497</v>
      </c>
      <c r="D230" s="44" t="s">
        <v>913</v>
      </c>
      <c r="E230" s="44" t="s">
        <v>18</v>
      </c>
      <c r="F230" s="44" t="s">
        <v>148</v>
      </c>
      <c r="G230" s="44" t="s">
        <v>150</v>
      </c>
      <c r="H230" s="44" t="s">
        <v>171</v>
      </c>
      <c r="I230" s="44" t="s">
        <v>914</v>
      </c>
      <c r="J230" s="44" t="s">
        <v>150</v>
      </c>
      <c r="K230" s="44" t="s">
        <v>190</v>
      </c>
      <c r="L230" s="44" t="s">
        <v>915</v>
      </c>
      <c r="M230" s="44" t="s">
        <v>357</v>
      </c>
      <c r="O230" s="50">
        <f>VLOOKUP(D230,PROGRES!B:D,3,0)</f>
        <v>4</v>
      </c>
    </row>
    <row r="231" spans="1:15">
      <c r="A231" s="55">
        <v>46312.429965277799</v>
      </c>
      <c r="B231" s="44" t="s">
        <v>916</v>
      </c>
      <c r="C231" s="44">
        <v>1510963</v>
      </c>
      <c r="D231" s="44" t="s">
        <v>908</v>
      </c>
      <c r="E231" s="44" t="s">
        <v>18</v>
      </c>
      <c r="F231" s="44" t="s">
        <v>148</v>
      </c>
      <c r="G231" s="44" t="s">
        <v>152</v>
      </c>
      <c r="H231" s="44" t="s">
        <v>171</v>
      </c>
      <c r="I231" s="44" t="s">
        <v>917</v>
      </c>
      <c r="J231" s="44" t="s">
        <v>152</v>
      </c>
      <c r="K231" s="44" t="s">
        <v>185</v>
      </c>
      <c r="L231" s="44" t="s">
        <v>358</v>
      </c>
      <c r="M231" s="44" t="s">
        <v>918</v>
      </c>
      <c r="O231" s="50">
        <f>VLOOKUP(D231,PROGRES!B:D,3,0)</f>
        <v>4</v>
      </c>
    </row>
    <row r="232" spans="1:15">
      <c r="A232" s="55">
        <v>46312.439687500002</v>
      </c>
      <c r="B232" s="44" t="s">
        <v>919</v>
      </c>
      <c r="C232" s="44">
        <v>1510767</v>
      </c>
      <c r="D232" s="44" t="s">
        <v>920</v>
      </c>
      <c r="E232" s="44" t="s">
        <v>19</v>
      </c>
      <c r="F232" s="44" t="s">
        <v>148</v>
      </c>
      <c r="G232" s="44" t="s">
        <v>150</v>
      </c>
      <c r="H232" s="44" t="s">
        <v>171</v>
      </c>
      <c r="I232" s="44" t="s">
        <v>921</v>
      </c>
      <c r="J232" s="44" t="s">
        <v>150</v>
      </c>
      <c r="K232" s="44" t="s">
        <v>225</v>
      </c>
      <c r="L232" s="44" t="s">
        <v>922</v>
      </c>
      <c r="M232" s="44" t="s">
        <v>923</v>
      </c>
      <c r="O232" s="50">
        <f>VLOOKUP(D232,PROGRES!B:D,3,0)</f>
        <v>1</v>
      </c>
    </row>
    <row r="233" spans="1:15">
      <c r="A233" s="55">
        <v>46312.439814814803</v>
      </c>
      <c r="B233" s="44" t="s">
        <v>924</v>
      </c>
      <c r="C233" s="44">
        <v>1511032</v>
      </c>
      <c r="D233" s="44" t="s">
        <v>863</v>
      </c>
      <c r="E233" s="44" t="s">
        <v>18</v>
      </c>
      <c r="F233" s="44" t="s">
        <v>147</v>
      </c>
      <c r="G233" s="44" t="s">
        <v>152</v>
      </c>
      <c r="H233" s="44" t="s">
        <v>171</v>
      </c>
      <c r="I233" s="44" t="s">
        <v>925</v>
      </c>
      <c r="J233" s="44" t="s">
        <v>150</v>
      </c>
      <c r="K233" s="44" t="s">
        <v>185</v>
      </c>
      <c r="L233" s="44" t="s">
        <v>301</v>
      </c>
      <c r="M233" s="44" t="s">
        <v>926</v>
      </c>
      <c r="O233" s="50">
        <f>VLOOKUP(D233,PROGRES!B:D,3,0)</f>
        <v>4</v>
      </c>
    </row>
    <row r="234" spans="1:15">
      <c r="A234" s="55">
        <v>46312.507222222201</v>
      </c>
      <c r="B234" s="44" t="s">
        <v>927</v>
      </c>
      <c r="C234" s="44">
        <v>1511200</v>
      </c>
      <c r="D234" s="44" t="s">
        <v>928</v>
      </c>
      <c r="E234" s="44" t="s">
        <v>18</v>
      </c>
      <c r="F234" s="44" t="s">
        <v>148</v>
      </c>
      <c r="G234" s="44" t="s">
        <v>150</v>
      </c>
      <c r="H234" s="44" t="s">
        <v>171</v>
      </c>
      <c r="I234" s="44" t="s">
        <v>929</v>
      </c>
      <c r="J234" s="44" t="s">
        <v>150</v>
      </c>
      <c r="K234" s="44" t="s">
        <v>185</v>
      </c>
      <c r="L234" s="44" t="s">
        <v>189</v>
      </c>
      <c r="M234" s="44" t="s">
        <v>246</v>
      </c>
      <c r="O234" s="50">
        <f>VLOOKUP(D234,PROGRES!B:D,3,0)</f>
        <v>5</v>
      </c>
    </row>
    <row r="235" spans="1:15">
      <c r="A235" s="55">
        <v>46312.515740740702</v>
      </c>
      <c r="B235" s="44" t="s">
        <v>930</v>
      </c>
      <c r="C235" s="44">
        <v>89118194</v>
      </c>
      <c r="D235" s="44" t="s">
        <v>632</v>
      </c>
      <c r="E235" s="44" t="s">
        <v>17</v>
      </c>
      <c r="F235" s="44" t="s">
        <v>148</v>
      </c>
      <c r="G235" s="44" t="s">
        <v>150</v>
      </c>
      <c r="H235" s="44" t="s">
        <v>171</v>
      </c>
      <c r="I235" s="44" t="s">
        <v>931</v>
      </c>
      <c r="J235" s="44" t="s">
        <v>152</v>
      </c>
      <c r="K235" s="44" t="s">
        <v>185</v>
      </c>
      <c r="L235" s="44" t="s">
        <v>932</v>
      </c>
      <c r="M235" s="44" t="s">
        <v>933</v>
      </c>
      <c r="O235" s="50">
        <f>VLOOKUP(D235,PROGRES!B:D,3,0)</f>
        <v>5</v>
      </c>
    </row>
    <row r="236" spans="1:15">
      <c r="A236" s="55">
        <v>46312.540671296301</v>
      </c>
      <c r="B236" s="44" t="s">
        <v>934</v>
      </c>
      <c r="C236" s="44">
        <v>80471</v>
      </c>
      <c r="D236" s="44" t="s">
        <v>913</v>
      </c>
      <c r="E236" s="44" t="s">
        <v>17</v>
      </c>
      <c r="F236" s="44" t="s">
        <v>148</v>
      </c>
      <c r="G236" s="44" t="s">
        <v>152</v>
      </c>
      <c r="H236" s="44" t="s">
        <v>171</v>
      </c>
      <c r="I236" s="44" t="s">
        <v>935</v>
      </c>
      <c r="J236" s="44" t="s">
        <v>150</v>
      </c>
      <c r="K236" s="44" t="s">
        <v>205</v>
      </c>
      <c r="L236" s="44" t="s">
        <v>246</v>
      </c>
      <c r="M236" s="44" t="s">
        <v>246</v>
      </c>
      <c r="O236" s="50">
        <f>VLOOKUP(D236,PROGRES!B:D,3,0)</f>
        <v>4</v>
      </c>
    </row>
    <row r="237" spans="1:15">
      <c r="A237" s="55">
        <v>46312.754884259302</v>
      </c>
      <c r="B237" s="44" t="s">
        <v>936</v>
      </c>
      <c r="C237" s="44">
        <v>1510747</v>
      </c>
      <c r="D237" s="44" t="s">
        <v>679</v>
      </c>
      <c r="E237" s="44" t="s">
        <v>18</v>
      </c>
      <c r="F237" s="44" t="s">
        <v>148</v>
      </c>
      <c r="G237" s="44" t="s">
        <v>150</v>
      </c>
      <c r="H237" s="44" t="s">
        <v>171</v>
      </c>
      <c r="I237" s="44" t="s">
        <v>191</v>
      </c>
      <c r="J237" s="44" t="s">
        <v>150</v>
      </c>
      <c r="K237" s="44" t="s">
        <v>185</v>
      </c>
      <c r="L237" s="44" t="s">
        <v>937</v>
      </c>
      <c r="M237" s="44" t="s">
        <v>938</v>
      </c>
      <c r="O237" s="50">
        <f>VLOOKUP(D237,PROGRES!B:D,3,0)</f>
        <v>4</v>
      </c>
    </row>
    <row r="238" spans="1:15">
      <c r="A238" s="55">
        <v>46312.811111111099</v>
      </c>
      <c r="B238" s="44" t="s">
        <v>939</v>
      </c>
      <c r="C238" s="44">
        <v>1510749</v>
      </c>
      <c r="D238" s="44" t="s">
        <v>940</v>
      </c>
      <c r="E238" s="44" t="s">
        <v>18</v>
      </c>
      <c r="F238" s="44" t="s">
        <v>147</v>
      </c>
      <c r="G238" s="44" t="s">
        <v>152</v>
      </c>
      <c r="H238" s="44" t="s">
        <v>178</v>
      </c>
      <c r="I238" s="44" t="s">
        <v>941</v>
      </c>
      <c r="J238" s="44" t="s">
        <v>152</v>
      </c>
      <c r="K238" s="44" t="s">
        <v>173</v>
      </c>
      <c r="L238" s="44" t="s">
        <v>250</v>
      </c>
      <c r="M238" s="44" t="s">
        <v>180</v>
      </c>
      <c r="O238" s="50">
        <f>VLOOKUP(D238,PROGRES!B:D,3,0)</f>
        <v>4</v>
      </c>
    </row>
    <row r="239" spans="1:15">
      <c r="A239" s="55">
        <v>46314.313020833302</v>
      </c>
      <c r="B239" s="44" t="s">
        <v>942</v>
      </c>
      <c r="C239" s="44">
        <v>80486</v>
      </c>
      <c r="D239" s="44" t="s">
        <v>943</v>
      </c>
      <c r="E239" s="44" t="s">
        <v>17</v>
      </c>
      <c r="F239" s="44" t="s">
        <v>148</v>
      </c>
      <c r="G239" s="44" t="s">
        <v>150</v>
      </c>
      <c r="H239" s="44" t="s">
        <v>171</v>
      </c>
      <c r="I239" s="44" t="s">
        <v>260</v>
      </c>
      <c r="J239" s="44" t="s">
        <v>150</v>
      </c>
      <c r="K239" s="44" t="s">
        <v>205</v>
      </c>
      <c r="L239" s="44" t="s">
        <v>186</v>
      </c>
      <c r="M239" s="44" t="s">
        <v>944</v>
      </c>
      <c r="O239" s="50">
        <f>VLOOKUP(D239,PROGRES!B:D,3,0)</f>
        <v>2</v>
      </c>
    </row>
    <row r="240" spans="1:15">
      <c r="A240" s="55">
        <v>46314.336157407401</v>
      </c>
      <c r="B240" s="44" t="s">
        <v>945</v>
      </c>
      <c r="C240" s="44">
        <v>88307140</v>
      </c>
      <c r="D240" s="44" t="s">
        <v>623</v>
      </c>
      <c r="E240" s="44" t="s">
        <v>18</v>
      </c>
      <c r="F240" s="44" t="s">
        <v>148</v>
      </c>
      <c r="G240" s="44" t="s">
        <v>152</v>
      </c>
      <c r="H240" s="44" t="s">
        <v>171</v>
      </c>
      <c r="I240" s="44" t="s">
        <v>946</v>
      </c>
      <c r="J240" s="44" t="s">
        <v>150</v>
      </c>
      <c r="K240" s="44" t="s">
        <v>190</v>
      </c>
      <c r="L240" s="44" t="s">
        <v>180</v>
      </c>
      <c r="M240" s="44" t="s">
        <v>947</v>
      </c>
      <c r="O240" s="50">
        <f>VLOOKUP(D240,PROGRES!B:D,3,0)</f>
        <v>6</v>
      </c>
    </row>
    <row r="241" spans="1:15">
      <c r="A241" s="55">
        <v>46314.3415046296</v>
      </c>
      <c r="B241" s="44" t="s">
        <v>948</v>
      </c>
      <c r="C241" s="44">
        <v>87901051</v>
      </c>
      <c r="D241" s="44" t="s">
        <v>623</v>
      </c>
      <c r="E241" s="44" t="s">
        <v>17</v>
      </c>
      <c r="F241" s="44" t="s">
        <v>148</v>
      </c>
      <c r="G241" s="44" t="s">
        <v>150</v>
      </c>
      <c r="H241" s="44" t="s">
        <v>171</v>
      </c>
      <c r="I241" s="44" t="s">
        <v>357</v>
      </c>
      <c r="J241" s="44" t="s">
        <v>150</v>
      </c>
      <c r="K241" s="44" t="s">
        <v>185</v>
      </c>
      <c r="L241" s="44" t="s">
        <v>949</v>
      </c>
      <c r="M241" s="44" t="s">
        <v>950</v>
      </c>
      <c r="O241" s="50">
        <f>VLOOKUP(D241,PROGRES!B:D,3,0)</f>
        <v>6</v>
      </c>
    </row>
    <row r="242" spans="1:15">
      <c r="A242" s="55">
        <v>46314.35</v>
      </c>
      <c r="B242" s="44" t="s">
        <v>951</v>
      </c>
      <c r="C242" s="44">
        <v>1511144</v>
      </c>
      <c r="D242" s="44" t="s">
        <v>896</v>
      </c>
      <c r="E242" s="44" t="s">
        <v>18</v>
      </c>
      <c r="F242" s="44" t="s">
        <v>147</v>
      </c>
      <c r="G242" s="44" t="s">
        <v>150</v>
      </c>
      <c r="H242" s="44" t="s">
        <v>178</v>
      </c>
      <c r="I242" s="44" t="s">
        <v>74</v>
      </c>
      <c r="J242" s="44" t="s">
        <v>150</v>
      </c>
      <c r="K242" s="44" t="s">
        <v>255</v>
      </c>
      <c r="L242" s="44" t="s">
        <v>180</v>
      </c>
      <c r="M242" s="44" t="s">
        <v>74</v>
      </c>
      <c r="O242" s="50">
        <f>VLOOKUP(D242,PROGRES!B:D,3,0)</f>
        <v>3</v>
      </c>
    </row>
    <row r="243" spans="1:15">
      <c r="A243" s="55">
        <v>46314.354479166701</v>
      </c>
      <c r="B243" s="44" t="s">
        <v>952</v>
      </c>
      <c r="C243" s="44">
        <v>80462</v>
      </c>
      <c r="D243" s="44" t="s">
        <v>531</v>
      </c>
      <c r="E243" s="44" t="s">
        <v>19</v>
      </c>
      <c r="F243" s="44" t="s">
        <v>148</v>
      </c>
      <c r="G243" s="44" t="s">
        <v>152</v>
      </c>
      <c r="H243" s="44" t="s">
        <v>171</v>
      </c>
      <c r="I243" s="44" t="s">
        <v>74</v>
      </c>
      <c r="J243" s="44" t="s">
        <v>153</v>
      </c>
      <c r="K243" s="44" t="s">
        <v>185</v>
      </c>
      <c r="L243" s="44" t="s">
        <v>74</v>
      </c>
      <c r="M243" s="44" t="s">
        <v>74</v>
      </c>
      <c r="O243" s="50">
        <f>VLOOKUP(D243,PROGRES!B:D,3,0)</f>
        <v>4</v>
      </c>
    </row>
  </sheetData>
  <conditionalFormatting sqref="C1:C1048576">
    <cfRule type="duplicateValues" dxfId="3" priority="2"/>
  </conditionalFormatting>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67" zoomScaleNormal="100" workbookViewId="0">
      <selection activeCell="F83" sqref="F83"/>
    </sheetView>
  </sheetViews>
  <sheetFormatPr defaultColWidth="12.5703125" defaultRowHeight="11.25"/>
  <cols>
    <col min="1" max="1" width="12.5703125" style="5"/>
    <col min="2" max="2" width="19.5703125" style="5" customWidth="1"/>
    <col min="3" max="3" width="12.5703125" style="5" hidden="1"/>
    <col min="4" max="7" width="12.5703125" style="5"/>
    <col min="8" max="8" width="12.5703125" style="5" hidden="1"/>
    <col min="9" max="9" width="12.5703125" style="57"/>
    <col min="10" max="17" width="12.5703125" style="5"/>
    <col min="18" max="16384" width="12.5703125" style="6"/>
  </cols>
  <sheetData>
    <row r="1" spans="1:25" ht="22.5" customHeight="1">
      <c r="A1" s="58" t="s">
        <v>953</v>
      </c>
      <c r="B1" s="59" t="s">
        <v>954</v>
      </c>
      <c r="C1" s="59" t="s">
        <v>955</v>
      </c>
      <c r="D1" s="59" t="s">
        <v>956</v>
      </c>
      <c r="E1" s="59" t="s">
        <v>17</v>
      </c>
      <c r="F1" s="59" t="s">
        <v>18</v>
      </c>
      <c r="G1" s="59" t="s">
        <v>19</v>
      </c>
      <c r="H1" s="59" t="s">
        <v>88</v>
      </c>
      <c r="I1" s="59" t="s">
        <v>957</v>
      </c>
      <c r="J1" s="60" t="s">
        <v>106</v>
      </c>
      <c r="K1" s="61" t="s">
        <v>955</v>
      </c>
      <c r="L1" s="61" t="s">
        <v>958</v>
      </c>
      <c r="M1" s="61" t="s">
        <v>17</v>
      </c>
      <c r="N1" s="61" t="s">
        <v>18</v>
      </c>
      <c r="O1" s="61" t="s">
        <v>19</v>
      </c>
      <c r="P1" s="61" t="s">
        <v>959</v>
      </c>
      <c r="Q1" s="62"/>
      <c r="R1" s="63"/>
      <c r="S1" s="63"/>
      <c r="T1" s="63"/>
      <c r="U1" s="63"/>
      <c r="V1" s="63"/>
      <c r="W1" s="63"/>
      <c r="X1" s="63"/>
      <c r="Y1" s="63"/>
    </row>
    <row r="2" spans="1:25">
      <c r="A2" s="64" t="s">
        <v>8</v>
      </c>
      <c r="B2" s="65" t="s">
        <v>960</v>
      </c>
      <c r="C2" s="66">
        <v>3</v>
      </c>
      <c r="D2" s="67">
        <f>COUNTIF(FORM!D:D,B2)</f>
        <v>0</v>
      </c>
      <c r="E2" s="67">
        <f>COUNTIFS(FORM!D:D,B2,FORM!E:E,$E$1)</f>
        <v>0</v>
      </c>
      <c r="F2" s="67">
        <f>COUNTIFS(FORM!D:D,B2,FORM!E:E,$F$1)</f>
        <v>0</v>
      </c>
      <c r="G2" s="67">
        <f>COUNTIFS(FORM!D:D,B2,FORM!E:E,$G$1)</f>
        <v>0</v>
      </c>
      <c r="H2" s="68">
        <f t="shared" ref="H2:H33" si="0">D2/C2</f>
        <v>0</v>
      </c>
      <c r="I2" s="69" t="str">
        <f t="shared" ref="I2:I33" si="1">IF(AND(E2&lt;&gt;0, F2&lt;&gt;0, G2&lt;&gt;0), "Lengkap", "Kurang")</f>
        <v>Kurang</v>
      </c>
      <c r="J2" s="70" t="s">
        <v>10</v>
      </c>
      <c r="K2" s="71">
        <f>SUMIF($A$2:$A$93,J2,$C$2:$C$93)</f>
        <v>215</v>
      </c>
      <c r="L2" s="71">
        <f>SUMIF($A$2:$A$93,J2,$D$2:$D$93)</f>
        <v>64</v>
      </c>
      <c r="M2" s="71">
        <f>SUMIF($A$2:$A$93,J2,$E$2:$E$93)</f>
        <v>14</v>
      </c>
      <c r="N2" s="71">
        <f>SUMIF($A$2:$A$93,J2,$F$2:$F$93)</f>
        <v>34</v>
      </c>
      <c r="O2" s="72">
        <f>SUMIF($A$2:$A$93,J2,$G$2:$G$93)</f>
        <v>16</v>
      </c>
      <c r="P2" s="2"/>
      <c r="Q2" s="62"/>
      <c r="R2" s="63"/>
      <c r="S2" s="63"/>
      <c r="T2" s="63"/>
      <c r="U2" s="63"/>
      <c r="V2" s="63"/>
      <c r="W2" s="63"/>
      <c r="X2" s="63"/>
      <c r="Y2" s="63"/>
    </row>
    <row r="3" spans="1:25">
      <c r="A3" s="73" t="s">
        <v>8</v>
      </c>
      <c r="B3" s="65" t="s">
        <v>851</v>
      </c>
      <c r="C3" s="74">
        <v>6</v>
      </c>
      <c r="D3" s="67">
        <f>COUNTIF(FORM!D:D,B3)</f>
        <v>3</v>
      </c>
      <c r="E3" s="67">
        <f>COUNTIFS(FORM!D:D,B3,FORM!E:E,$E$1)</f>
        <v>0</v>
      </c>
      <c r="F3" s="67">
        <f>COUNTIFS(FORM!D:D,B3,FORM!E:E,$F$1)</f>
        <v>2</v>
      </c>
      <c r="G3" s="67">
        <f>COUNTIFS(FORM!D:D,B3,FORM!E:E,$G$1)</f>
        <v>1</v>
      </c>
      <c r="H3" s="68">
        <f t="shared" si="0"/>
        <v>0.5</v>
      </c>
      <c r="I3" s="69" t="str">
        <f t="shared" si="1"/>
        <v>Kurang</v>
      </c>
      <c r="J3" s="70" t="s">
        <v>9</v>
      </c>
      <c r="K3" s="71">
        <f>SUMIF($A$2:$A$93,J3,$C$2:$C$93)</f>
        <v>158</v>
      </c>
      <c r="L3" s="71">
        <f>SUMIF($A$2:$A$93,J3,$D$2:$D$93)</f>
        <v>92</v>
      </c>
      <c r="M3" s="71">
        <f>SUMIF($A$2:$A$93,J3,$E$2:$E$93)</f>
        <v>22</v>
      </c>
      <c r="N3" s="71">
        <f>SUMIF($A$2:$A$93,J3,$F$2:$F$93)</f>
        <v>50</v>
      </c>
      <c r="O3" s="72">
        <f>SUMIF($A$2:$A$93,J3,$G$2:$G$93)</f>
        <v>20</v>
      </c>
      <c r="P3" s="2"/>
      <c r="Q3" s="62"/>
      <c r="R3" s="63"/>
      <c r="S3" s="63"/>
      <c r="T3" s="63"/>
      <c r="U3" s="63"/>
      <c r="V3" s="63"/>
      <c r="W3" s="63"/>
      <c r="X3" s="63"/>
      <c r="Y3" s="63"/>
    </row>
    <row r="4" spans="1:25">
      <c r="A4" s="73" t="s">
        <v>8</v>
      </c>
      <c r="B4" s="65" t="s">
        <v>961</v>
      </c>
      <c r="C4" s="74">
        <v>3</v>
      </c>
      <c r="D4" s="67">
        <f>COUNTIF(FORM!D:D,B4)</f>
        <v>0</v>
      </c>
      <c r="E4" s="67">
        <f>COUNTIFS(FORM!D:D,B4,FORM!E:E,$E$1)</f>
        <v>0</v>
      </c>
      <c r="F4" s="67">
        <f>COUNTIFS(FORM!D:D,B4,FORM!E:E,$F$1)</f>
        <v>0</v>
      </c>
      <c r="G4" s="67">
        <f>COUNTIFS(FORM!D:D,B4,FORM!E:E,$G$1)</f>
        <v>0</v>
      </c>
      <c r="H4" s="68">
        <f t="shared" si="0"/>
        <v>0</v>
      </c>
      <c r="I4" s="69" t="str">
        <f t="shared" si="1"/>
        <v>Kurang</v>
      </c>
      <c r="J4" s="70" t="s">
        <v>8</v>
      </c>
      <c r="K4" s="71">
        <f>SUMIF($A$2:$A$93,J4,$C$2:$C$93)</f>
        <v>99</v>
      </c>
      <c r="L4" s="71">
        <f>SUMIF($A$2:$A$93,J4,$D$2:$D$93)</f>
        <v>48</v>
      </c>
      <c r="M4" s="71">
        <f>SUMIF($A$2:$A$93,J4,$E$2:$E$93)</f>
        <v>11</v>
      </c>
      <c r="N4" s="71">
        <f>SUMIF($A$2:$A$93,J4,$F$2:$F$93)</f>
        <v>29</v>
      </c>
      <c r="O4" s="72">
        <f>SUMIF($A$2:$A$93,J4,$G$2:$G$93)</f>
        <v>8</v>
      </c>
      <c r="P4" s="2"/>
      <c r="Q4" s="62"/>
      <c r="R4" s="63"/>
      <c r="S4" s="63"/>
      <c r="T4" s="63"/>
      <c r="U4" s="63"/>
      <c r="V4" s="63"/>
      <c r="W4" s="63"/>
      <c r="X4" s="63"/>
      <c r="Y4" s="63"/>
    </row>
    <row r="5" spans="1:25">
      <c r="A5" s="73" t="s">
        <v>8</v>
      </c>
      <c r="B5" s="65" t="s">
        <v>962</v>
      </c>
      <c r="C5" s="74">
        <v>7</v>
      </c>
      <c r="D5" s="67">
        <f>COUNTIF(FORM!D:D,B5)</f>
        <v>0</v>
      </c>
      <c r="E5" s="67">
        <f>COUNTIFS(FORM!D:D,B5,FORM!E:E,$E$1)</f>
        <v>0</v>
      </c>
      <c r="F5" s="67">
        <f>COUNTIFS(FORM!D:D,B5,FORM!E:E,$F$1)</f>
        <v>0</v>
      </c>
      <c r="G5" s="67">
        <f>COUNTIFS(FORM!D:D,B5,FORM!E:E,$G$1)</f>
        <v>0</v>
      </c>
      <c r="H5" s="68">
        <f t="shared" si="0"/>
        <v>0</v>
      </c>
      <c r="I5" s="69" t="str">
        <f t="shared" si="1"/>
        <v>Kurang</v>
      </c>
      <c r="J5" s="75" t="s">
        <v>11</v>
      </c>
      <c r="K5" s="71">
        <f>SUMIF($A$2:$A$93,J5,$C$2:$C$93)</f>
        <v>40</v>
      </c>
      <c r="L5" s="71">
        <f>SUMIF($A$2:$A$93,J5,$D$2:$D$93)</f>
        <v>38</v>
      </c>
      <c r="M5" s="71">
        <f>SUMIF($A$2:$A$93,J5,$E$2:$E$93)</f>
        <v>9</v>
      </c>
      <c r="N5" s="71">
        <f>SUMIF($A$2:$A$93,J5,$F$2:$F$93)</f>
        <v>20</v>
      </c>
      <c r="O5" s="72">
        <f>SUMIF($A$2:$A$93,J5,$G$2:$G$93)</f>
        <v>9</v>
      </c>
      <c r="P5" s="2"/>
      <c r="Q5" s="62"/>
      <c r="R5" s="63"/>
      <c r="S5" s="63"/>
      <c r="T5" s="63"/>
      <c r="U5" s="63"/>
      <c r="V5" s="63"/>
      <c r="W5" s="63"/>
      <c r="X5" s="63"/>
      <c r="Y5" s="63"/>
    </row>
    <row r="6" spans="1:25">
      <c r="A6" s="73" t="s">
        <v>8</v>
      </c>
      <c r="B6" s="65" t="s">
        <v>796</v>
      </c>
      <c r="C6" s="74">
        <v>4</v>
      </c>
      <c r="D6" s="67">
        <f>COUNTIF(FORM!D:D,B6)</f>
        <v>3</v>
      </c>
      <c r="E6" s="67">
        <f>COUNTIFS(FORM!D:D,B6,FORM!E:E,$E$1)</f>
        <v>1</v>
      </c>
      <c r="F6" s="67">
        <f>COUNTIFS(FORM!D:D,B6,FORM!E:E,$F$1)</f>
        <v>2</v>
      </c>
      <c r="G6" s="67">
        <f>COUNTIFS(FORM!D:D,B6,FORM!E:E,$G$1)</f>
        <v>0</v>
      </c>
      <c r="H6" s="68">
        <f t="shared" si="0"/>
        <v>0.75</v>
      </c>
      <c r="I6" s="69" t="str">
        <f t="shared" si="1"/>
        <v>Kurang</v>
      </c>
      <c r="J6" s="76"/>
      <c r="K6" s="76">
        <f t="shared" ref="K6:P6" si="2">SUM(K2:K5)</f>
        <v>512</v>
      </c>
      <c r="L6" s="76">
        <f t="shared" si="2"/>
        <v>242</v>
      </c>
      <c r="M6" s="76">
        <f t="shared" si="2"/>
        <v>56</v>
      </c>
      <c r="N6" s="76">
        <f t="shared" si="2"/>
        <v>133</v>
      </c>
      <c r="O6" s="76">
        <f t="shared" si="2"/>
        <v>53</v>
      </c>
      <c r="P6" s="76">
        <f t="shared" si="2"/>
        <v>0</v>
      </c>
      <c r="Q6" s="62"/>
      <c r="R6" s="63"/>
      <c r="S6" s="63"/>
      <c r="T6" s="63"/>
      <c r="U6" s="63"/>
      <c r="V6" s="63"/>
      <c r="W6" s="63"/>
      <c r="X6" s="63"/>
      <c r="Y6" s="63"/>
    </row>
    <row r="7" spans="1:25">
      <c r="A7" s="73" t="s">
        <v>8</v>
      </c>
      <c r="B7" s="65" t="s">
        <v>330</v>
      </c>
      <c r="C7" s="74">
        <v>7</v>
      </c>
      <c r="D7" s="67">
        <f>COUNTIF(FORM!D:D,B7)</f>
        <v>6</v>
      </c>
      <c r="E7" s="67">
        <f>COUNTIFS(FORM!D:D,B7,FORM!E:E,$E$1)</f>
        <v>1</v>
      </c>
      <c r="F7" s="67">
        <f>COUNTIFS(FORM!D:D,B7,FORM!E:E,$F$1)</f>
        <v>4</v>
      </c>
      <c r="G7" s="67">
        <f>COUNTIFS(FORM!D:D,B7,FORM!E:E,$G$1)</f>
        <v>1</v>
      </c>
      <c r="H7" s="68">
        <f t="shared" si="0"/>
        <v>0.8571428571428571</v>
      </c>
      <c r="I7" s="69" t="str">
        <f t="shared" si="1"/>
        <v>Lengkap</v>
      </c>
      <c r="J7" s="77">
        <f>(91-29)/91</f>
        <v>0.68131868131868134</v>
      </c>
      <c r="K7" s="62"/>
      <c r="L7" s="62"/>
      <c r="M7" s="62"/>
      <c r="N7" s="62"/>
      <c r="O7" s="62"/>
      <c r="P7" s="62"/>
      <c r="Q7" s="62"/>
      <c r="R7" s="63"/>
      <c r="S7" s="63"/>
      <c r="T7" s="63"/>
      <c r="U7" s="63"/>
      <c r="V7" s="63"/>
      <c r="W7" s="63"/>
      <c r="X7" s="63"/>
      <c r="Y7" s="63"/>
    </row>
    <row r="8" spans="1:25">
      <c r="A8" s="73" t="s">
        <v>8</v>
      </c>
      <c r="B8" s="65" t="s">
        <v>610</v>
      </c>
      <c r="C8" s="74">
        <v>8</v>
      </c>
      <c r="D8" s="67">
        <f>COUNTIF(FORM!D:D,B8)</f>
        <v>7</v>
      </c>
      <c r="E8" s="67">
        <f>COUNTIFS(FORM!D:D,B8,FORM!E:E,$E$1)</f>
        <v>1</v>
      </c>
      <c r="F8" s="67">
        <f>COUNTIFS(FORM!D:D,B8,FORM!E:E,$F$1)</f>
        <v>5</v>
      </c>
      <c r="G8" s="67">
        <f>COUNTIFS(FORM!D:D,B8,FORM!E:E,$G$1)</f>
        <v>1</v>
      </c>
      <c r="H8" s="68">
        <f t="shared" si="0"/>
        <v>0.875</v>
      </c>
      <c r="I8" s="69" t="str">
        <f t="shared" si="1"/>
        <v>Lengkap</v>
      </c>
      <c r="J8" s="78" t="str">
        <f>COUNTIF(D2:D92, "0") &amp; "- CABANG BELUM ISI SURVEI"</f>
        <v>29- CABANG BELUM ISI SURVEI</v>
      </c>
      <c r="K8" s="62"/>
      <c r="L8" s="62"/>
      <c r="M8" s="62"/>
      <c r="N8" s="62"/>
      <c r="O8" s="62"/>
      <c r="P8" s="62"/>
      <c r="Q8" s="62"/>
      <c r="R8" s="63"/>
      <c r="S8" s="63"/>
      <c r="T8" s="63"/>
      <c r="U8" s="63"/>
      <c r="V8" s="63"/>
      <c r="W8" s="63"/>
      <c r="X8" s="63"/>
      <c r="Y8" s="63"/>
    </row>
    <row r="9" spans="1:25">
      <c r="A9" s="73" t="s">
        <v>8</v>
      </c>
      <c r="B9" s="65" t="s">
        <v>963</v>
      </c>
      <c r="C9" s="74">
        <v>6</v>
      </c>
      <c r="D9" s="67">
        <f>COUNTIF(FORM!D:D,B9)</f>
        <v>0</v>
      </c>
      <c r="E9" s="67">
        <f>COUNTIFS(FORM!D:D,B9,FORM!E:E,$E$1)</f>
        <v>0</v>
      </c>
      <c r="F9" s="67">
        <f>COUNTIFS(FORM!D:D,B9,FORM!E:E,$F$1)</f>
        <v>0</v>
      </c>
      <c r="G9" s="67">
        <f>COUNTIFS(FORM!D:D,B9,FORM!E:E,$G$1)</f>
        <v>0</v>
      </c>
      <c r="H9" s="68">
        <f t="shared" si="0"/>
        <v>0</v>
      </c>
      <c r="I9" s="69" t="str">
        <f t="shared" si="1"/>
        <v>Kurang</v>
      </c>
      <c r="J9" s="78" t="str">
        <f>COUNTA(B2:B92) &amp; "-TOTAL CABANG"</f>
        <v>91-TOTAL CABANG</v>
      </c>
      <c r="K9" s="62"/>
      <c r="L9" s="62"/>
      <c r="M9" s="62"/>
      <c r="N9" s="62"/>
      <c r="O9" s="62"/>
      <c r="P9" s="62"/>
      <c r="Q9" s="62"/>
      <c r="R9" s="63"/>
      <c r="S9" s="63"/>
      <c r="T9" s="63"/>
      <c r="U9" s="63"/>
      <c r="V9" s="63"/>
      <c r="W9" s="63"/>
      <c r="X9" s="63"/>
      <c r="Y9" s="63"/>
    </row>
    <row r="10" spans="1:25">
      <c r="A10" s="73" t="s">
        <v>8</v>
      </c>
      <c r="B10" s="65" t="s">
        <v>964</v>
      </c>
      <c r="C10" s="74">
        <v>5</v>
      </c>
      <c r="D10" s="67">
        <f>COUNTIF(FORM!D:D,B10)</f>
        <v>1</v>
      </c>
      <c r="E10" s="67">
        <f>COUNTIFS(FORM!D:D,B10,FORM!E:E,$E$1)</f>
        <v>1</v>
      </c>
      <c r="F10" s="67">
        <f>COUNTIFS(FORM!D:D,B10,FORM!E:E,$F$1)</f>
        <v>0</v>
      </c>
      <c r="G10" s="67">
        <f>COUNTIFS(FORM!D:D,B10,FORM!E:E,$G$1)</f>
        <v>0</v>
      </c>
      <c r="H10" s="68">
        <f t="shared" si="0"/>
        <v>0.2</v>
      </c>
      <c r="I10" s="69" t="str">
        <f t="shared" si="1"/>
        <v>Kurang</v>
      </c>
      <c r="J10" s="62"/>
      <c r="K10" s="62"/>
      <c r="L10" s="62"/>
      <c r="M10" s="62"/>
      <c r="N10" s="62"/>
      <c r="O10" s="62"/>
      <c r="P10" s="62"/>
      <c r="Q10" s="62"/>
      <c r="R10" s="63"/>
      <c r="S10" s="63"/>
      <c r="T10" s="63"/>
      <c r="U10" s="63"/>
      <c r="V10" s="63"/>
      <c r="W10" s="63"/>
      <c r="X10" s="63"/>
      <c r="Y10" s="63"/>
    </row>
    <row r="11" spans="1:25">
      <c r="A11" s="73" t="s">
        <v>8</v>
      </c>
      <c r="B11" s="65" t="s">
        <v>965</v>
      </c>
      <c r="C11" s="74">
        <v>5</v>
      </c>
      <c r="D11" s="67">
        <f>COUNTIF(FORM!D:D,B11)</f>
        <v>4</v>
      </c>
      <c r="E11" s="67">
        <f>COUNTIFS(FORM!D:D,B11,FORM!E:E,$E$1)</f>
        <v>1</v>
      </c>
      <c r="F11" s="67">
        <f>COUNTIFS(FORM!D:D,B11,FORM!E:E,$F$1)</f>
        <v>2</v>
      </c>
      <c r="G11" s="67">
        <f>COUNTIFS(FORM!D:D,B11,FORM!E:E,$G$1)</f>
        <v>1</v>
      </c>
      <c r="H11" s="68">
        <f t="shared" si="0"/>
        <v>0.8</v>
      </c>
      <c r="I11" s="69" t="str">
        <f t="shared" si="1"/>
        <v>Lengkap</v>
      </c>
      <c r="J11" s="62"/>
      <c r="K11" s="62"/>
      <c r="L11" s="62"/>
      <c r="M11" s="62"/>
      <c r="N11" s="62"/>
      <c r="O11" s="62"/>
      <c r="P11" s="62"/>
      <c r="Q11" s="62"/>
      <c r="R11" s="63"/>
      <c r="S11" s="63"/>
      <c r="T11" s="63"/>
      <c r="U11" s="63"/>
      <c r="V11" s="63"/>
      <c r="W11" s="63"/>
      <c r="X11" s="63"/>
      <c r="Y11" s="63"/>
    </row>
    <row r="12" spans="1:25">
      <c r="A12" s="73" t="s">
        <v>8</v>
      </c>
      <c r="B12" s="65" t="s">
        <v>966</v>
      </c>
      <c r="C12" s="74">
        <v>3</v>
      </c>
      <c r="D12" s="67">
        <f>COUNTIF(FORM!D:D,B12)</f>
        <v>0</v>
      </c>
      <c r="E12" s="67">
        <f>COUNTIFS(FORM!D:D,B12,FORM!E:E,$E$1)</f>
        <v>0</v>
      </c>
      <c r="F12" s="67">
        <f>COUNTIFS(FORM!D:D,B12,FORM!E:E,$F$1)</f>
        <v>0</v>
      </c>
      <c r="G12" s="67">
        <f>COUNTIFS(FORM!D:D,B12,FORM!E:E,$G$1)</f>
        <v>0</v>
      </c>
      <c r="H12" s="68">
        <f t="shared" si="0"/>
        <v>0</v>
      </c>
      <c r="I12" s="69" t="str">
        <f t="shared" si="1"/>
        <v>Kurang</v>
      </c>
      <c r="J12" s="62"/>
      <c r="K12" s="62"/>
      <c r="L12" s="62"/>
      <c r="M12" s="62"/>
      <c r="N12" s="62"/>
      <c r="O12" s="62"/>
      <c r="P12" s="62"/>
      <c r="Q12" s="62"/>
      <c r="R12" s="63"/>
      <c r="S12" s="63"/>
      <c r="T12" s="63"/>
      <c r="U12" s="63"/>
      <c r="V12" s="63"/>
      <c r="W12" s="63"/>
      <c r="X12" s="63"/>
      <c r="Y12" s="63"/>
    </row>
    <row r="13" spans="1:25">
      <c r="A13" s="73" t="s">
        <v>8</v>
      </c>
      <c r="B13" s="65" t="s">
        <v>391</v>
      </c>
      <c r="C13" s="74">
        <v>4</v>
      </c>
      <c r="D13" s="67">
        <f>COUNTIF(FORM!D:D,B13)</f>
        <v>4</v>
      </c>
      <c r="E13" s="67">
        <f>COUNTIFS(FORM!D:D,B13,FORM!E:E,$E$1)</f>
        <v>1</v>
      </c>
      <c r="F13" s="67">
        <f>COUNTIFS(FORM!D:D,B13,FORM!E:E,$F$1)</f>
        <v>2</v>
      </c>
      <c r="G13" s="67">
        <f>COUNTIFS(FORM!D:D,B13,FORM!E:E,$G$1)</f>
        <v>1</v>
      </c>
      <c r="H13" s="68">
        <f t="shared" si="0"/>
        <v>1</v>
      </c>
      <c r="I13" s="69" t="str">
        <f t="shared" si="1"/>
        <v>Lengkap</v>
      </c>
      <c r="J13" s="62"/>
      <c r="K13" s="79"/>
      <c r="L13" s="62"/>
      <c r="M13" s="62"/>
      <c r="N13" s="62"/>
      <c r="O13" s="62"/>
      <c r="P13" s="62"/>
      <c r="Q13" s="62"/>
      <c r="R13" s="63"/>
      <c r="S13" s="63"/>
      <c r="T13" s="63"/>
      <c r="U13" s="63"/>
      <c r="V13" s="63"/>
      <c r="W13" s="63"/>
      <c r="X13" s="63"/>
      <c r="Y13" s="63"/>
    </row>
    <row r="14" spans="1:25">
      <c r="A14" s="73" t="s">
        <v>8</v>
      </c>
      <c r="B14" s="65" t="s">
        <v>838</v>
      </c>
      <c r="C14" s="74">
        <v>3</v>
      </c>
      <c r="D14" s="67">
        <f>COUNTIF(FORM!D:D,B14)</f>
        <v>6</v>
      </c>
      <c r="E14" s="67">
        <f>COUNTIFS(FORM!D:D,B14,FORM!E:E,$E$1)</f>
        <v>1</v>
      </c>
      <c r="F14" s="67">
        <f>COUNTIFS(FORM!D:D,B14,FORM!E:E,$F$1)</f>
        <v>4</v>
      </c>
      <c r="G14" s="67">
        <f>COUNTIFS(FORM!D:D,B14,FORM!E:E,$G$1)</f>
        <v>1</v>
      </c>
      <c r="H14" s="68">
        <f t="shared" si="0"/>
        <v>2</v>
      </c>
      <c r="I14" s="69" t="str">
        <f t="shared" si="1"/>
        <v>Lengkap</v>
      </c>
      <c r="J14" s="62"/>
      <c r="K14" s="79"/>
      <c r="L14" s="62"/>
      <c r="M14" s="62"/>
      <c r="N14" s="62"/>
      <c r="O14" s="62"/>
      <c r="P14" s="62"/>
      <c r="Q14" s="62"/>
      <c r="R14" s="63"/>
      <c r="S14" s="63"/>
      <c r="T14" s="63"/>
      <c r="U14" s="63"/>
      <c r="V14" s="63"/>
      <c r="W14" s="63"/>
      <c r="X14" s="63"/>
      <c r="Y14" s="63"/>
    </row>
    <row r="15" spans="1:25">
      <c r="A15" s="73" t="s">
        <v>8</v>
      </c>
      <c r="B15" s="65" t="s">
        <v>967</v>
      </c>
      <c r="C15" s="74">
        <v>5</v>
      </c>
      <c r="D15" s="67">
        <f>COUNTIF(FORM!D:D,B15)</f>
        <v>0</v>
      </c>
      <c r="E15" s="67">
        <f>COUNTIFS(FORM!D:D,B15,FORM!E:E,$E$1)</f>
        <v>0</v>
      </c>
      <c r="F15" s="67">
        <f>COUNTIFS(FORM!D:D,B15,FORM!E:E,$F$1)</f>
        <v>0</v>
      </c>
      <c r="G15" s="67">
        <f>COUNTIFS(FORM!D:D,B15,FORM!E:E,$G$1)</f>
        <v>0</v>
      </c>
      <c r="H15" s="68">
        <f t="shared" si="0"/>
        <v>0</v>
      </c>
      <c r="I15" s="69" t="str">
        <f t="shared" si="1"/>
        <v>Kurang</v>
      </c>
      <c r="J15" s="62"/>
      <c r="K15" s="79"/>
      <c r="L15" s="62"/>
      <c r="M15" s="62"/>
      <c r="N15" s="62"/>
      <c r="O15" s="62"/>
      <c r="P15" s="62"/>
      <c r="Q15" s="62"/>
      <c r="R15" s="63"/>
      <c r="S15" s="63"/>
      <c r="T15" s="63"/>
      <c r="U15" s="63"/>
      <c r="V15" s="63"/>
      <c r="W15" s="63"/>
      <c r="X15" s="63"/>
      <c r="Y15" s="63"/>
    </row>
    <row r="16" spans="1:25">
      <c r="A16" s="73" t="s">
        <v>8</v>
      </c>
      <c r="B16" s="65" t="s">
        <v>968</v>
      </c>
      <c r="C16" s="74">
        <v>5</v>
      </c>
      <c r="D16" s="67">
        <f>COUNTIF(FORM!D:D,B16)</f>
        <v>4</v>
      </c>
      <c r="E16" s="67">
        <f>COUNTIFS(FORM!D:D,B16,FORM!E:E,$E$1)</f>
        <v>1</v>
      </c>
      <c r="F16" s="67">
        <f>COUNTIFS(FORM!D:D,B16,FORM!E:E,$F$1)</f>
        <v>2</v>
      </c>
      <c r="G16" s="67">
        <f>COUNTIFS(FORM!D:D,B16,FORM!E:E,$G$1)</f>
        <v>1</v>
      </c>
      <c r="H16" s="68">
        <f t="shared" si="0"/>
        <v>0.8</v>
      </c>
      <c r="I16" s="69" t="str">
        <f t="shared" si="1"/>
        <v>Lengkap</v>
      </c>
      <c r="J16" s="62"/>
      <c r="K16" s="79"/>
      <c r="L16" s="62"/>
      <c r="M16" s="62"/>
      <c r="N16" s="62"/>
      <c r="O16" s="62"/>
      <c r="P16" s="62"/>
      <c r="Q16" s="62"/>
      <c r="R16" s="63"/>
      <c r="S16" s="63"/>
      <c r="T16" s="63"/>
      <c r="U16" s="63"/>
      <c r="V16" s="63"/>
      <c r="W16" s="63"/>
      <c r="X16" s="63"/>
      <c r="Y16" s="63"/>
    </row>
    <row r="17" spans="1:25">
      <c r="A17" s="73" t="s">
        <v>8</v>
      </c>
      <c r="B17" s="65" t="s">
        <v>356</v>
      </c>
      <c r="C17" s="74">
        <v>4</v>
      </c>
      <c r="D17" s="67">
        <f>COUNTIF(FORM!D:D,B17)</f>
        <v>2</v>
      </c>
      <c r="E17" s="67">
        <f>COUNTIFS(FORM!D:D,B17,FORM!E:E,$E$1)</f>
        <v>1</v>
      </c>
      <c r="F17" s="67">
        <f>COUNTIFS(FORM!D:D,B17,FORM!E:E,$F$1)</f>
        <v>1</v>
      </c>
      <c r="G17" s="67">
        <f>COUNTIFS(FORM!D:D,B17,FORM!E:E,$G$1)</f>
        <v>0</v>
      </c>
      <c r="H17" s="68">
        <f t="shared" si="0"/>
        <v>0.5</v>
      </c>
      <c r="I17" s="69" t="str">
        <f t="shared" si="1"/>
        <v>Kurang</v>
      </c>
      <c r="J17" s="62"/>
      <c r="K17" s="79"/>
      <c r="L17" s="62"/>
      <c r="M17" s="62"/>
      <c r="N17" s="62"/>
      <c r="O17" s="62"/>
      <c r="P17" s="62"/>
      <c r="Q17" s="62"/>
    </row>
    <row r="18" spans="1:25">
      <c r="A18" s="73" t="s">
        <v>8</v>
      </c>
      <c r="B18" s="65" t="s">
        <v>969</v>
      </c>
      <c r="C18" s="74">
        <v>5</v>
      </c>
      <c r="D18" s="67">
        <f>COUNTIF(FORM!D:D,B18)</f>
        <v>0</v>
      </c>
      <c r="E18" s="67">
        <f>COUNTIFS(FORM!D:D,B18,FORM!E:E,$E$1)</f>
        <v>0</v>
      </c>
      <c r="F18" s="67">
        <f>COUNTIFS(FORM!D:D,B18,FORM!E:E,$F$1)</f>
        <v>0</v>
      </c>
      <c r="G18" s="67">
        <f>COUNTIFS(FORM!D:D,B18,FORM!E:E,$G$1)</f>
        <v>0</v>
      </c>
      <c r="H18" s="68">
        <f t="shared" si="0"/>
        <v>0</v>
      </c>
      <c r="I18" s="69" t="str">
        <f t="shared" si="1"/>
        <v>Kurang</v>
      </c>
      <c r="J18" s="62"/>
      <c r="K18" s="79"/>
      <c r="L18" s="62"/>
      <c r="M18" s="62"/>
      <c r="N18" s="62"/>
      <c r="O18" s="62"/>
      <c r="P18" s="62"/>
      <c r="Q18" s="62"/>
    </row>
    <row r="19" spans="1:25">
      <c r="A19" s="73" t="s">
        <v>8</v>
      </c>
      <c r="B19" s="65" t="s">
        <v>970</v>
      </c>
      <c r="C19" s="74">
        <v>1</v>
      </c>
      <c r="D19" s="67">
        <f>COUNTIF(FORM!D:D,B19)</f>
        <v>0</v>
      </c>
      <c r="E19" s="67">
        <f>COUNTIFS(FORM!D:D,B19,FORM!E:E,$E$1)</f>
        <v>0</v>
      </c>
      <c r="F19" s="67">
        <f>COUNTIFS(FORM!D:D,B19,FORM!E:E,$F$1)</f>
        <v>0</v>
      </c>
      <c r="G19" s="67">
        <f>COUNTIFS(FORM!D:D,B19,FORM!E:E,$G$1)</f>
        <v>0</v>
      </c>
      <c r="H19" s="68">
        <f t="shared" si="0"/>
        <v>0</v>
      </c>
      <c r="I19" s="69" t="str">
        <f t="shared" si="1"/>
        <v>Kurang</v>
      </c>
      <c r="J19" s="62"/>
      <c r="K19" s="79"/>
      <c r="L19" s="62"/>
      <c r="M19" s="62"/>
      <c r="N19" s="62"/>
      <c r="O19" s="62"/>
      <c r="P19" s="62"/>
      <c r="Q19" s="62"/>
    </row>
    <row r="20" spans="1:25">
      <c r="A20" s="73" t="s">
        <v>8</v>
      </c>
      <c r="B20" s="65" t="s">
        <v>971</v>
      </c>
      <c r="C20" s="74">
        <v>3</v>
      </c>
      <c r="D20" s="67">
        <f>COUNTIF(FORM!D:D,B20)</f>
        <v>1</v>
      </c>
      <c r="E20" s="67">
        <f>COUNTIFS(FORM!D:D,B20,FORM!E:E,$E$1)</f>
        <v>1</v>
      </c>
      <c r="F20" s="67">
        <f>COUNTIFS(FORM!D:D,B20,FORM!E:E,$F$1)</f>
        <v>0</v>
      </c>
      <c r="G20" s="67">
        <f>COUNTIFS(FORM!D:D,B20,FORM!E:E,$G$1)</f>
        <v>0</v>
      </c>
      <c r="H20" s="68">
        <f t="shared" si="0"/>
        <v>0.33333333333333331</v>
      </c>
      <c r="I20" s="69" t="str">
        <f t="shared" si="1"/>
        <v>Kurang</v>
      </c>
      <c r="J20" s="62"/>
      <c r="K20" s="79"/>
      <c r="L20" s="62"/>
      <c r="M20" s="62"/>
      <c r="N20" s="62"/>
      <c r="O20" s="62"/>
      <c r="P20" s="62"/>
      <c r="Q20" s="62"/>
    </row>
    <row r="21" spans="1:25">
      <c r="A21" s="73" t="s">
        <v>8</v>
      </c>
      <c r="B21" s="65" t="s">
        <v>442</v>
      </c>
      <c r="C21" s="74">
        <v>6</v>
      </c>
      <c r="D21" s="67">
        <f>COUNTIF(FORM!D:D,B21)</f>
        <v>5</v>
      </c>
      <c r="E21" s="67">
        <f>COUNTIFS(FORM!D:D,B21,FORM!E:E,$E$1)</f>
        <v>1</v>
      </c>
      <c r="F21" s="67">
        <f>COUNTIFS(FORM!D:D,B21,FORM!E:E,$F$1)</f>
        <v>3</v>
      </c>
      <c r="G21" s="67">
        <f>COUNTIFS(FORM!D:D,B21,FORM!E:E,$G$1)</f>
        <v>1</v>
      </c>
      <c r="H21" s="68">
        <f t="shared" si="0"/>
        <v>0.83333333333333337</v>
      </c>
      <c r="I21" s="69" t="str">
        <f t="shared" si="1"/>
        <v>Lengkap</v>
      </c>
      <c r="J21" s="62"/>
      <c r="K21" s="79"/>
      <c r="L21" s="62"/>
      <c r="M21" s="62"/>
      <c r="N21" s="62"/>
      <c r="O21" s="62"/>
      <c r="P21" s="62"/>
      <c r="Q21" s="62"/>
    </row>
    <row r="22" spans="1:25">
      <c r="A22" s="73" t="s">
        <v>8</v>
      </c>
      <c r="B22" s="65" t="s">
        <v>972</v>
      </c>
      <c r="C22" s="74">
        <v>6</v>
      </c>
      <c r="D22" s="67">
        <f>COUNTIF(FORM!D:D,B22)</f>
        <v>2</v>
      </c>
      <c r="E22" s="67">
        <f>COUNTIFS(FORM!D:D,B22,FORM!E:E,$E$1)</f>
        <v>0</v>
      </c>
      <c r="F22" s="67">
        <f>COUNTIFS(FORM!D:D,B22,FORM!E:E,$F$1)</f>
        <v>2</v>
      </c>
      <c r="G22" s="67">
        <f>COUNTIFS(FORM!D:D,B22,FORM!E:E,$G$1)</f>
        <v>0</v>
      </c>
      <c r="H22" s="68">
        <f t="shared" si="0"/>
        <v>0.33333333333333331</v>
      </c>
      <c r="I22" s="69" t="str">
        <f t="shared" si="1"/>
        <v>Kurang</v>
      </c>
      <c r="J22" s="62"/>
      <c r="K22" s="79"/>
      <c r="L22" s="62"/>
      <c r="M22" s="62"/>
      <c r="N22" s="62"/>
      <c r="O22" s="62"/>
      <c r="P22" s="62"/>
      <c r="Q22" s="62"/>
    </row>
    <row r="23" spans="1:25">
      <c r="A23" s="73" t="s">
        <v>9</v>
      </c>
      <c r="B23" s="65" t="s">
        <v>177</v>
      </c>
      <c r="C23" s="74">
        <v>5</v>
      </c>
      <c r="D23" s="67">
        <f>COUNTIF(FORM!D:D,B23)</f>
        <v>4</v>
      </c>
      <c r="E23" s="67">
        <f>COUNTIFS(FORM!D:D,B23,FORM!E:E,$E$1)</f>
        <v>1</v>
      </c>
      <c r="F23" s="67">
        <f>COUNTIFS(FORM!D:D,B23,FORM!E:E,$F$1)</f>
        <v>2</v>
      </c>
      <c r="G23" s="67">
        <f>COUNTIFS(FORM!D:D,B23,FORM!E:E,$G$1)</f>
        <v>1</v>
      </c>
      <c r="H23" s="68">
        <f t="shared" si="0"/>
        <v>0.8</v>
      </c>
      <c r="I23" s="69" t="str">
        <f t="shared" si="1"/>
        <v>Lengkap</v>
      </c>
      <c r="J23" s="62"/>
      <c r="K23" s="79"/>
      <c r="L23" s="62"/>
      <c r="M23" s="62"/>
      <c r="N23" s="62"/>
      <c r="O23" s="62"/>
      <c r="P23" s="62"/>
      <c r="Q23" s="62"/>
    </row>
    <row r="24" spans="1:25">
      <c r="A24" s="73" t="s">
        <v>9</v>
      </c>
      <c r="B24" s="65" t="s">
        <v>429</v>
      </c>
      <c r="C24" s="74">
        <v>2</v>
      </c>
      <c r="D24" s="67">
        <f>COUNTIF(FORM!D:D,B24)</f>
        <v>3</v>
      </c>
      <c r="E24" s="67">
        <f>COUNTIFS(FORM!D:D,B24,FORM!E:E,$E$1)</f>
        <v>1</v>
      </c>
      <c r="F24" s="67">
        <f>COUNTIFS(FORM!D:D,B24,FORM!E:E,$F$1)</f>
        <v>1</v>
      </c>
      <c r="G24" s="67">
        <f>COUNTIFS(FORM!D:D,B24,FORM!E:E,$G$1)</f>
        <v>1</v>
      </c>
      <c r="H24" s="68">
        <f t="shared" si="0"/>
        <v>1.5</v>
      </c>
      <c r="I24" s="69" t="str">
        <f t="shared" si="1"/>
        <v>Lengkap</v>
      </c>
      <c r="J24" s="62"/>
      <c r="K24" s="79"/>
      <c r="L24" s="62"/>
      <c r="M24" s="62"/>
      <c r="N24" s="62"/>
      <c r="O24" s="62"/>
      <c r="P24" s="62"/>
      <c r="Q24" s="62"/>
    </row>
    <row r="25" spans="1:25">
      <c r="A25" s="73" t="s">
        <v>9</v>
      </c>
      <c r="B25" s="65" t="s">
        <v>973</v>
      </c>
      <c r="C25" s="74">
        <v>5</v>
      </c>
      <c r="D25" s="67">
        <f>COUNTIF(FORM!D:D,B25)</f>
        <v>0</v>
      </c>
      <c r="E25" s="67">
        <f>COUNTIFS(FORM!D:D,B25,FORM!E:E,$E$1)</f>
        <v>0</v>
      </c>
      <c r="F25" s="67">
        <f>COUNTIFS(FORM!D:D,B25,FORM!E:E,$F$1)</f>
        <v>0</v>
      </c>
      <c r="G25" s="67">
        <f>COUNTIFS(FORM!D:D,B25,FORM!E:E,$G$1)</f>
        <v>0</v>
      </c>
      <c r="H25" s="68">
        <f t="shared" si="0"/>
        <v>0</v>
      </c>
      <c r="I25" s="69" t="str">
        <f t="shared" si="1"/>
        <v>Kurang</v>
      </c>
      <c r="J25" s="62"/>
      <c r="K25" s="79"/>
      <c r="L25" s="62"/>
      <c r="M25" s="62"/>
      <c r="N25" s="62"/>
      <c r="O25" s="62"/>
      <c r="P25" s="62"/>
      <c r="Q25" s="62"/>
    </row>
    <row r="26" spans="1:25">
      <c r="A26" s="73" t="s">
        <v>9</v>
      </c>
      <c r="B26" s="65" t="s">
        <v>974</v>
      </c>
      <c r="C26" s="74">
        <v>4</v>
      </c>
      <c r="D26" s="67">
        <f>COUNTIF(FORM!D:D,B26)</f>
        <v>0</v>
      </c>
      <c r="E26" s="67">
        <f>COUNTIFS(FORM!D:D,B26,FORM!E:E,$E$1)</f>
        <v>0</v>
      </c>
      <c r="F26" s="67">
        <f>COUNTIFS(FORM!D:D,B26,FORM!E:E,$F$1)</f>
        <v>0</v>
      </c>
      <c r="G26" s="67">
        <f>COUNTIFS(FORM!D:D,B26,FORM!E:E,$G$1)</f>
        <v>0</v>
      </c>
      <c r="H26" s="68">
        <f t="shared" si="0"/>
        <v>0</v>
      </c>
      <c r="I26" s="69" t="str">
        <f t="shared" si="1"/>
        <v>Kurang</v>
      </c>
      <c r="J26" s="62"/>
      <c r="K26" s="79"/>
      <c r="L26" s="62"/>
      <c r="M26" s="62"/>
      <c r="N26" s="62"/>
      <c r="O26" s="62"/>
      <c r="P26" s="62"/>
      <c r="Q26" s="62"/>
    </row>
    <row r="27" spans="1:25">
      <c r="A27" s="73" t="s">
        <v>9</v>
      </c>
      <c r="B27" s="65" t="s">
        <v>975</v>
      </c>
      <c r="C27" s="74">
        <v>4</v>
      </c>
      <c r="D27" s="67">
        <f>COUNTIF(FORM!D:D,B27)</f>
        <v>0</v>
      </c>
      <c r="E27" s="67">
        <f>COUNTIFS(FORM!D:D,B27,FORM!E:E,$E$1)</f>
        <v>0</v>
      </c>
      <c r="F27" s="67">
        <f>COUNTIFS(FORM!D:D,B27,FORM!E:E,$F$1)</f>
        <v>0</v>
      </c>
      <c r="G27" s="67">
        <f>COUNTIFS(FORM!D:D,B27,FORM!E:E,$G$1)</f>
        <v>0</v>
      </c>
      <c r="H27" s="68">
        <f t="shared" si="0"/>
        <v>0</v>
      </c>
      <c r="I27" s="69" t="str">
        <f t="shared" si="1"/>
        <v>Kurang</v>
      </c>
      <c r="J27" s="62"/>
      <c r="K27" s="79"/>
      <c r="L27" s="62"/>
      <c r="M27" s="62"/>
      <c r="N27" s="62"/>
      <c r="O27" s="62"/>
      <c r="P27" s="62"/>
      <c r="Q27" s="62"/>
    </row>
    <row r="28" spans="1:25">
      <c r="A28" s="73" t="s">
        <v>9</v>
      </c>
      <c r="B28" s="65" t="s">
        <v>896</v>
      </c>
      <c r="C28" s="74">
        <v>5</v>
      </c>
      <c r="D28" s="67">
        <f>COUNTIF(FORM!D:D,B28)</f>
        <v>3</v>
      </c>
      <c r="E28" s="67">
        <f>COUNTIFS(FORM!D:D,B28,FORM!E:E,$E$1)</f>
        <v>1</v>
      </c>
      <c r="F28" s="67">
        <f>COUNTIFS(FORM!D:D,B28,FORM!E:E,$F$1)</f>
        <v>2</v>
      </c>
      <c r="G28" s="67">
        <f>COUNTIFS(FORM!D:D,B28,FORM!E:E,$G$1)</f>
        <v>0</v>
      </c>
      <c r="H28" s="68">
        <f t="shared" si="0"/>
        <v>0.6</v>
      </c>
      <c r="I28" s="69" t="str">
        <f t="shared" si="1"/>
        <v>Kurang</v>
      </c>
      <c r="J28" s="62"/>
      <c r="K28" s="79"/>
      <c r="L28" s="62"/>
      <c r="M28" s="62"/>
      <c r="N28" s="62"/>
      <c r="O28" s="62"/>
      <c r="P28" s="62"/>
      <c r="Q28" s="62"/>
    </row>
    <row r="29" spans="1:25">
      <c r="A29" s="73" t="s">
        <v>9</v>
      </c>
      <c r="B29" s="65" t="s">
        <v>976</v>
      </c>
      <c r="C29" s="74">
        <v>5</v>
      </c>
      <c r="D29" s="67">
        <f>COUNTIF(FORM!D:D,B29)</f>
        <v>5</v>
      </c>
      <c r="E29" s="67">
        <f>COUNTIFS(FORM!D:D,B29,FORM!E:E,$E$1)</f>
        <v>1</v>
      </c>
      <c r="F29" s="67">
        <f>COUNTIFS(FORM!D:D,B29,FORM!E:E,$F$1)</f>
        <v>3</v>
      </c>
      <c r="G29" s="67">
        <f>COUNTIFS(FORM!D:D,B29,FORM!E:E,$G$1)</f>
        <v>1</v>
      </c>
      <c r="H29" s="68">
        <f t="shared" si="0"/>
        <v>1</v>
      </c>
      <c r="I29" s="69" t="str">
        <f t="shared" si="1"/>
        <v>Lengkap</v>
      </c>
      <c r="J29" s="62"/>
      <c r="K29" s="79"/>
      <c r="L29" s="62"/>
      <c r="M29" s="62"/>
      <c r="N29" s="62"/>
      <c r="O29" s="62"/>
      <c r="P29" s="62"/>
      <c r="Q29" s="62"/>
    </row>
    <row r="30" spans="1:25">
      <c r="A30" s="73" t="s">
        <v>9</v>
      </c>
      <c r="B30" s="65" t="s">
        <v>977</v>
      </c>
      <c r="C30" s="74">
        <v>6</v>
      </c>
      <c r="D30" s="67">
        <f>COUNTIF(FORM!D:D,B30)</f>
        <v>0</v>
      </c>
      <c r="E30" s="67">
        <f>COUNTIFS(FORM!D:D,B30,FORM!E:E,$E$1)</f>
        <v>0</v>
      </c>
      <c r="F30" s="67">
        <f>COUNTIFS(FORM!D:D,B30,FORM!E:E,$F$1)</f>
        <v>0</v>
      </c>
      <c r="G30" s="67">
        <f>COUNTIFS(FORM!D:D,B30,FORM!E:E,$G$1)</f>
        <v>0</v>
      </c>
      <c r="H30" s="68">
        <f t="shared" si="0"/>
        <v>0</v>
      </c>
      <c r="I30" s="69" t="str">
        <f t="shared" si="1"/>
        <v>Kurang</v>
      </c>
      <c r="J30" s="62"/>
      <c r="K30" s="79"/>
      <c r="L30" s="62"/>
      <c r="M30" s="62"/>
      <c r="N30" s="62"/>
      <c r="O30" s="62"/>
      <c r="P30" s="62"/>
      <c r="Q30" s="62"/>
      <c r="R30" s="63"/>
      <c r="S30" s="63"/>
      <c r="T30" s="63"/>
      <c r="U30" s="63"/>
      <c r="V30" s="63"/>
      <c r="W30" s="63"/>
      <c r="X30" s="63"/>
      <c r="Y30" s="63"/>
    </row>
    <row r="31" spans="1:25">
      <c r="A31" s="73" t="s">
        <v>9</v>
      </c>
      <c r="B31" s="65" t="s">
        <v>978</v>
      </c>
      <c r="C31" s="74">
        <v>7</v>
      </c>
      <c r="D31" s="67">
        <f>COUNTIF(FORM!D:D,B31)</f>
        <v>0</v>
      </c>
      <c r="E31" s="67">
        <f>COUNTIFS(FORM!D:D,B31,FORM!E:E,$E$1)</f>
        <v>0</v>
      </c>
      <c r="F31" s="67">
        <f>COUNTIFS(FORM!D:D,B31,FORM!E:E,$F$1)</f>
        <v>0</v>
      </c>
      <c r="G31" s="67">
        <f>COUNTIFS(FORM!D:D,B31,FORM!E:E,$G$1)</f>
        <v>0</v>
      </c>
      <c r="H31" s="68">
        <f t="shared" si="0"/>
        <v>0</v>
      </c>
      <c r="I31" s="69" t="str">
        <f t="shared" si="1"/>
        <v>Kurang</v>
      </c>
      <c r="J31" s="62"/>
      <c r="K31" s="79"/>
      <c r="L31" s="62"/>
      <c r="M31" s="62"/>
      <c r="N31" s="62"/>
      <c r="O31" s="62"/>
      <c r="P31" s="62"/>
      <c r="Q31" s="62"/>
      <c r="R31" s="63"/>
      <c r="S31" s="63"/>
      <c r="T31" s="63"/>
      <c r="U31" s="63"/>
      <c r="V31" s="63"/>
      <c r="W31" s="63"/>
      <c r="X31" s="63"/>
      <c r="Y31" s="63"/>
    </row>
    <row r="32" spans="1:25">
      <c r="A32" s="73" t="s">
        <v>9</v>
      </c>
      <c r="B32" s="65" t="s">
        <v>398</v>
      </c>
      <c r="C32" s="74">
        <v>7</v>
      </c>
      <c r="D32" s="67">
        <f>COUNTIF(FORM!D:D,B32)</f>
        <v>5</v>
      </c>
      <c r="E32" s="67">
        <f>COUNTIFS(FORM!D:D,B32,FORM!E:E,$E$1)</f>
        <v>1</v>
      </c>
      <c r="F32" s="67">
        <f>COUNTIFS(FORM!D:D,B32,FORM!E:E,$F$1)</f>
        <v>3</v>
      </c>
      <c r="G32" s="67">
        <f>COUNTIFS(FORM!D:D,B32,FORM!E:E,$G$1)</f>
        <v>1</v>
      </c>
      <c r="H32" s="68">
        <f t="shared" si="0"/>
        <v>0.7142857142857143</v>
      </c>
      <c r="I32" s="69" t="str">
        <f t="shared" si="1"/>
        <v>Lengkap</v>
      </c>
      <c r="J32" s="62"/>
      <c r="K32" s="79"/>
      <c r="L32" s="62"/>
      <c r="M32" s="62"/>
      <c r="N32" s="62"/>
      <c r="O32" s="62"/>
      <c r="P32" s="62"/>
      <c r="Q32" s="62"/>
      <c r="R32" s="63"/>
      <c r="S32" s="63"/>
      <c r="T32" s="63"/>
      <c r="U32" s="63"/>
      <c r="V32" s="63"/>
      <c r="W32" s="63"/>
      <c r="X32" s="63"/>
      <c r="Y32" s="63"/>
    </row>
    <row r="33" spans="1:25">
      <c r="A33" s="73" t="s">
        <v>9</v>
      </c>
      <c r="B33" s="65" t="s">
        <v>183</v>
      </c>
      <c r="C33" s="74">
        <v>9</v>
      </c>
      <c r="D33" s="67">
        <f>COUNTIF(FORM!D:D,B33)</f>
        <v>5</v>
      </c>
      <c r="E33" s="67">
        <f>COUNTIFS(FORM!D:D,B33,FORM!E:E,$E$1)</f>
        <v>1</v>
      </c>
      <c r="F33" s="67">
        <f>COUNTIFS(FORM!D:D,B33,FORM!E:E,$F$1)</f>
        <v>3</v>
      </c>
      <c r="G33" s="67">
        <f>COUNTIFS(FORM!D:D,B33,FORM!E:E,$G$1)</f>
        <v>1</v>
      </c>
      <c r="H33" s="68">
        <f t="shared" si="0"/>
        <v>0.55555555555555558</v>
      </c>
      <c r="I33" s="69" t="str">
        <f t="shared" si="1"/>
        <v>Lengkap</v>
      </c>
      <c r="J33" s="62"/>
      <c r="K33" s="79"/>
      <c r="L33" s="62"/>
      <c r="M33" s="62"/>
      <c r="N33" s="62"/>
      <c r="O33" s="62"/>
      <c r="P33" s="62"/>
      <c r="Q33" s="62"/>
      <c r="R33" s="63"/>
      <c r="S33" s="63"/>
      <c r="T33" s="63"/>
      <c r="U33" s="63"/>
      <c r="V33" s="63"/>
      <c r="W33" s="63"/>
      <c r="X33" s="63"/>
      <c r="Y33" s="63"/>
    </row>
    <row r="34" spans="1:25">
      <c r="A34" s="73" t="s">
        <v>9</v>
      </c>
      <c r="B34" s="65" t="s">
        <v>979</v>
      </c>
      <c r="C34" s="74">
        <v>5</v>
      </c>
      <c r="D34" s="67">
        <f>COUNTIF(FORM!D:D,B34)</f>
        <v>0</v>
      </c>
      <c r="E34" s="67">
        <f>COUNTIFS(FORM!D:D,B34,FORM!E:E,$E$1)</f>
        <v>0</v>
      </c>
      <c r="F34" s="67">
        <f>COUNTIFS(FORM!D:D,B34,FORM!E:E,$F$1)</f>
        <v>0</v>
      </c>
      <c r="G34" s="67">
        <f>COUNTIFS(FORM!D:D,B34,FORM!E:E,$G$1)</f>
        <v>0</v>
      </c>
      <c r="H34" s="68">
        <f t="shared" ref="H34:H65" si="3">D34/C34</f>
        <v>0</v>
      </c>
      <c r="I34" s="69" t="str">
        <f t="shared" ref="I34:I65" si="4">IF(AND(E34&lt;&gt;0, F34&lt;&gt;0, G34&lt;&gt;0), "Lengkap", "Kurang")</f>
        <v>Kurang</v>
      </c>
      <c r="J34" s="62"/>
      <c r="K34" s="79"/>
      <c r="L34" s="62"/>
      <c r="M34" s="62"/>
      <c r="N34" s="62"/>
      <c r="O34" s="62"/>
      <c r="P34" s="62"/>
      <c r="Q34" s="62"/>
      <c r="R34" s="63"/>
      <c r="S34" s="63"/>
      <c r="T34" s="63"/>
      <c r="U34" s="63"/>
      <c r="V34" s="63"/>
      <c r="W34" s="63"/>
      <c r="X34" s="63"/>
      <c r="Y34" s="63"/>
    </row>
    <row r="35" spans="1:25">
      <c r="A35" s="73" t="s">
        <v>9</v>
      </c>
      <c r="B35" s="65" t="s">
        <v>496</v>
      </c>
      <c r="C35" s="74">
        <v>5</v>
      </c>
      <c r="D35" s="67">
        <f>COUNTIF(FORM!D:D,B35)</f>
        <v>5</v>
      </c>
      <c r="E35" s="67">
        <f>COUNTIFS(FORM!D:D,B35,FORM!E:E,$E$1)</f>
        <v>1</v>
      </c>
      <c r="F35" s="67">
        <f>COUNTIFS(FORM!D:D,B35,FORM!E:E,$F$1)</f>
        <v>3</v>
      </c>
      <c r="G35" s="67">
        <f>COUNTIFS(FORM!D:D,B35,FORM!E:E,$G$1)</f>
        <v>1</v>
      </c>
      <c r="H35" s="68">
        <f t="shared" si="3"/>
        <v>1</v>
      </c>
      <c r="I35" s="69" t="str">
        <f t="shared" si="4"/>
        <v>Lengkap</v>
      </c>
      <c r="J35" s="62"/>
      <c r="K35" s="79"/>
      <c r="L35" s="62"/>
      <c r="M35" s="62"/>
      <c r="N35" s="62"/>
      <c r="O35" s="62"/>
      <c r="P35" s="62"/>
      <c r="Q35" s="62"/>
      <c r="R35" s="63"/>
      <c r="S35" s="63"/>
      <c r="T35" s="63"/>
      <c r="U35" s="63"/>
      <c r="V35" s="63"/>
      <c r="W35" s="63"/>
      <c r="X35" s="63"/>
      <c r="Y35" s="63"/>
    </row>
    <row r="36" spans="1:25">
      <c r="A36" s="73" t="s">
        <v>9</v>
      </c>
      <c r="B36" s="65" t="s">
        <v>980</v>
      </c>
      <c r="C36" s="74">
        <v>7</v>
      </c>
      <c r="D36" s="67">
        <f>COUNTIF(FORM!D:D,B36)</f>
        <v>3</v>
      </c>
      <c r="E36" s="67">
        <f>COUNTIFS(FORM!D:D,B36,FORM!E:E,$E$1)</f>
        <v>1</v>
      </c>
      <c r="F36" s="67">
        <f>COUNTIFS(FORM!D:D,B36,FORM!E:E,$F$1)</f>
        <v>1</v>
      </c>
      <c r="G36" s="67">
        <f>COUNTIFS(FORM!D:D,B36,FORM!E:E,$G$1)</f>
        <v>1</v>
      </c>
      <c r="H36" s="68">
        <f t="shared" si="3"/>
        <v>0.42857142857142855</v>
      </c>
      <c r="I36" s="69" t="str">
        <f t="shared" si="4"/>
        <v>Lengkap</v>
      </c>
      <c r="J36" s="62"/>
      <c r="K36" s="79"/>
      <c r="L36" s="62"/>
      <c r="M36" s="62"/>
      <c r="N36" s="62"/>
      <c r="O36" s="62"/>
      <c r="P36" s="62"/>
      <c r="Q36" s="62"/>
      <c r="R36" s="63"/>
      <c r="S36" s="63"/>
      <c r="T36" s="63"/>
      <c r="U36" s="63"/>
      <c r="V36" s="63"/>
      <c r="W36" s="63"/>
      <c r="X36" s="63"/>
      <c r="Y36" s="63"/>
    </row>
    <row r="37" spans="1:25">
      <c r="A37" s="73" t="s">
        <v>9</v>
      </c>
      <c r="B37" s="65" t="s">
        <v>804</v>
      </c>
      <c r="C37" s="74">
        <v>5</v>
      </c>
      <c r="D37" s="67">
        <f>COUNTIF(FORM!D:D,B37)</f>
        <v>5</v>
      </c>
      <c r="E37" s="67">
        <f>COUNTIFS(FORM!D:D,B37,FORM!E:E,$E$1)</f>
        <v>1</v>
      </c>
      <c r="F37" s="67">
        <f>COUNTIFS(FORM!D:D,B37,FORM!E:E,$F$1)</f>
        <v>3</v>
      </c>
      <c r="G37" s="67">
        <f>COUNTIFS(FORM!D:D,B37,FORM!E:E,$G$1)</f>
        <v>1</v>
      </c>
      <c r="H37" s="68">
        <f t="shared" si="3"/>
        <v>1</v>
      </c>
      <c r="I37" s="69" t="str">
        <f t="shared" si="4"/>
        <v>Lengkap</v>
      </c>
      <c r="J37" s="62"/>
      <c r="K37" s="79"/>
      <c r="L37" s="62"/>
      <c r="M37" s="62"/>
      <c r="N37" s="62"/>
      <c r="O37" s="62"/>
      <c r="P37" s="62"/>
      <c r="Q37" s="62"/>
      <c r="R37" s="63"/>
      <c r="S37" s="63"/>
      <c r="T37" s="63"/>
      <c r="U37" s="63"/>
      <c r="V37" s="63"/>
      <c r="W37" s="63"/>
      <c r="X37" s="63"/>
      <c r="Y37" s="63"/>
    </row>
    <row r="38" spans="1:25">
      <c r="A38" s="73" t="s">
        <v>9</v>
      </c>
      <c r="B38" s="65" t="s">
        <v>810</v>
      </c>
      <c r="C38" s="74">
        <v>5</v>
      </c>
      <c r="D38" s="67">
        <f>COUNTIF(FORM!D:D,B38)</f>
        <v>4</v>
      </c>
      <c r="E38" s="67">
        <f>COUNTIFS(FORM!D:D,B38,FORM!E:E,$E$1)</f>
        <v>1</v>
      </c>
      <c r="F38" s="67">
        <f>COUNTIFS(FORM!D:D,B38,FORM!E:E,$F$1)</f>
        <v>3</v>
      </c>
      <c r="G38" s="67">
        <f>COUNTIFS(FORM!D:D,B38,FORM!E:E,$G$1)</f>
        <v>0</v>
      </c>
      <c r="H38" s="68">
        <f t="shared" si="3"/>
        <v>0.8</v>
      </c>
      <c r="I38" s="69" t="str">
        <f t="shared" si="4"/>
        <v>Kurang</v>
      </c>
      <c r="J38" s="62"/>
      <c r="K38" s="79"/>
      <c r="L38" s="62"/>
      <c r="M38" s="62"/>
      <c r="N38" s="62"/>
      <c r="O38" s="62"/>
      <c r="P38" s="62"/>
      <c r="Q38" s="62"/>
      <c r="R38" s="63"/>
      <c r="S38" s="63"/>
      <c r="T38" s="63"/>
      <c r="U38" s="63"/>
      <c r="V38" s="63"/>
      <c r="W38" s="63"/>
      <c r="X38" s="63"/>
      <c r="Y38" s="63"/>
    </row>
    <row r="39" spans="1:25">
      <c r="A39" s="73" t="s">
        <v>9</v>
      </c>
      <c r="B39" s="65" t="s">
        <v>981</v>
      </c>
      <c r="C39" s="74">
        <v>5</v>
      </c>
      <c r="D39" s="67">
        <f>COUNTIF(FORM!D:D,B39)</f>
        <v>5</v>
      </c>
      <c r="E39" s="67">
        <f>COUNTIFS(FORM!D:D,B39,FORM!E:E,$E$1)</f>
        <v>1</v>
      </c>
      <c r="F39" s="67">
        <f>COUNTIFS(FORM!D:D,B39,FORM!E:E,$F$1)</f>
        <v>3</v>
      </c>
      <c r="G39" s="67">
        <f>COUNTIFS(FORM!D:D,B39,FORM!E:E,$G$1)</f>
        <v>1</v>
      </c>
      <c r="H39" s="68">
        <f t="shared" si="3"/>
        <v>1</v>
      </c>
      <c r="I39" s="69" t="str">
        <f t="shared" si="4"/>
        <v>Lengkap</v>
      </c>
      <c r="J39" s="62"/>
      <c r="K39" s="79"/>
      <c r="L39" s="62"/>
      <c r="M39" s="62"/>
      <c r="N39" s="62"/>
      <c r="O39" s="62"/>
      <c r="P39" s="62"/>
      <c r="Q39" s="62"/>
      <c r="R39" s="63"/>
      <c r="S39" s="63"/>
      <c r="T39" s="63"/>
      <c r="U39" s="63"/>
      <c r="V39" s="63"/>
      <c r="W39" s="63"/>
      <c r="X39" s="63"/>
      <c r="Y39" s="63"/>
    </row>
    <row r="40" spans="1:25">
      <c r="A40" s="73" t="s">
        <v>9</v>
      </c>
      <c r="B40" s="65" t="s">
        <v>982</v>
      </c>
      <c r="C40" s="74">
        <v>4</v>
      </c>
      <c r="D40" s="67">
        <f>COUNTIF(FORM!D:D,B40)</f>
        <v>4</v>
      </c>
      <c r="E40" s="67">
        <f>COUNTIFS(FORM!D:D,B40,FORM!E:E,$E$1)</f>
        <v>1</v>
      </c>
      <c r="F40" s="67">
        <f>COUNTIFS(FORM!D:D,B40,FORM!E:E,$F$1)</f>
        <v>2</v>
      </c>
      <c r="G40" s="67">
        <f>COUNTIFS(FORM!D:D,B40,FORM!E:E,$G$1)</f>
        <v>1</v>
      </c>
      <c r="H40" s="68">
        <f t="shared" si="3"/>
        <v>1</v>
      </c>
      <c r="I40" s="69" t="str">
        <f t="shared" si="4"/>
        <v>Lengkap</v>
      </c>
      <c r="J40" s="62"/>
      <c r="K40" s="79"/>
      <c r="L40" s="62"/>
      <c r="M40" s="62"/>
      <c r="N40" s="62"/>
      <c r="O40" s="62"/>
      <c r="P40" s="62"/>
      <c r="Q40" s="62"/>
      <c r="R40" s="63"/>
      <c r="S40" s="63"/>
      <c r="T40" s="63"/>
      <c r="U40" s="63"/>
      <c r="V40" s="63"/>
      <c r="W40" s="63"/>
      <c r="X40" s="63"/>
      <c r="Y40" s="63"/>
    </row>
    <row r="41" spans="1:25">
      <c r="A41" s="73" t="s">
        <v>9</v>
      </c>
      <c r="B41" s="65" t="s">
        <v>214</v>
      </c>
      <c r="C41" s="74">
        <v>6</v>
      </c>
      <c r="D41" s="67">
        <f>COUNTIF(FORM!D:D,B41)</f>
        <v>5</v>
      </c>
      <c r="E41" s="67">
        <f>COUNTIFS(FORM!D:D,B41,FORM!E:E,$E$1)</f>
        <v>1</v>
      </c>
      <c r="F41" s="67">
        <f>COUNTIFS(FORM!D:D,B41,FORM!E:E,$F$1)</f>
        <v>3</v>
      </c>
      <c r="G41" s="67">
        <f>COUNTIFS(FORM!D:D,B41,FORM!E:E,$G$1)</f>
        <v>1</v>
      </c>
      <c r="H41" s="68">
        <f t="shared" si="3"/>
        <v>0.83333333333333337</v>
      </c>
      <c r="I41" s="69" t="str">
        <f t="shared" si="4"/>
        <v>Lengkap</v>
      </c>
      <c r="J41" s="62"/>
      <c r="K41" s="79"/>
      <c r="L41" s="62"/>
      <c r="M41" s="62"/>
      <c r="N41" s="62"/>
      <c r="O41" s="62"/>
      <c r="P41" s="62"/>
      <c r="Q41" s="62"/>
      <c r="R41" s="63"/>
      <c r="S41" s="63"/>
      <c r="T41" s="63"/>
      <c r="U41" s="63"/>
      <c r="V41" s="63"/>
      <c r="W41" s="63"/>
      <c r="X41" s="63"/>
      <c r="Y41" s="63"/>
    </row>
    <row r="42" spans="1:25">
      <c r="A42" s="73" t="s">
        <v>9</v>
      </c>
      <c r="B42" s="65" t="s">
        <v>217</v>
      </c>
      <c r="C42" s="74">
        <v>5</v>
      </c>
      <c r="D42" s="67">
        <f>COUNTIF(FORM!D:D,B42)</f>
        <v>4</v>
      </c>
      <c r="E42" s="67">
        <f>COUNTIFS(FORM!D:D,B42,FORM!E:E,$E$1)</f>
        <v>1</v>
      </c>
      <c r="F42" s="67">
        <f>COUNTIFS(FORM!D:D,B42,FORM!E:E,$F$1)</f>
        <v>2</v>
      </c>
      <c r="G42" s="67">
        <f>COUNTIFS(FORM!D:D,B42,FORM!E:E,$G$1)</f>
        <v>1</v>
      </c>
      <c r="H42" s="68">
        <f t="shared" si="3"/>
        <v>0.8</v>
      </c>
      <c r="I42" s="69" t="str">
        <f t="shared" si="4"/>
        <v>Lengkap</v>
      </c>
      <c r="J42" s="62"/>
      <c r="K42" s="79"/>
      <c r="L42" s="62"/>
      <c r="M42" s="62"/>
      <c r="N42" s="62"/>
      <c r="O42" s="62"/>
      <c r="P42" s="62"/>
      <c r="Q42" s="62"/>
      <c r="R42" s="63"/>
      <c r="S42" s="63"/>
      <c r="T42" s="63"/>
      <c r="U42" s="63"/>
      <c r="V42" s="63"/>
      <c r="W42" s="63"/>
      <c r="X42" s="63"/>
      <c r="Y42" s="63"/>
    </row>
    <row r="43" spans="1:25">
      <c r="A43" s="73" t="s">
        <v>9</v>
      </c>
      <c r="B43" s="65" t="s">
        <v>737</v>
      </c>
      <c r="C43" s="74">
        <v>7</v>
      </c>
      <c r="D43" s="67">
        <f>COUNTIF(FORM!D:D,B43)</f>
        <v>4</v>
      </c>
      <c r="E43" s="67">
        <f>COUNTIFS(FORM!D:D,B43,FORM!E:E,$E$1)</f>
        <v>1</v>
      </c>
      <c r="F43" s="67">
        <f>COUNTIFS(FORM!D:D,B43,FORM!E:E,$F$1)</f>
        <v>2</v>
      </c>
      <c r="G43" s="67">
        <f>COUNTIFS(FORM!D:D,B43,FORM!E:E,$G$1)</f>
        <v>1</v>
      </c>
      <c r="H43" s="68">
        <f t="shared" si="3"/>
        <v>0.5714285714285714</v>
      </c>
      <c r="I43" s="69" t="str">
        <f t="shared" si="4"/>
        <v>Lengkap</v>
      </c>
      <c r="J43" s="62"/>
      <c r="K43" s="79"/>
      <c r="L43" s="62"/>
      <c r="M43" s="62"/>
      <c r="N43" s="62"/>
      <c r="O43" s="62"/>
      <c r="P43" s="62"/>
      <c r="Q43" s="62"/>
      <c r="R43" s="63"/>
      <c r="S43" s="63"/>
      <c r="T43" s="63"/>
      <c r="U43" s="63"/>
      <c r="V43" s="63"/>
      <c r="W43" s="63"/>
      <c r="X43" s="63"/>
      <c r="Y43" s="63"/>
    </row>
    <row r="44" spans="1:25">
      <c r="A44" s="73" t="s">
        <v>9</v>
      </c>
      <c r="B44" s="65" t="s">
        <v>668</v>
      </c>
      <c r="C44" s="74">
        <v>8</v>
      </c>
      <c r="D44" s="67">
        <f>COUNTIF(FORM!D:D,B44)</f>
        <v>3</v>
      </c>
      <c r="E44" s="67">
        <f>COUNTIFS(FORM!D:D,B44,FORM!E:E,$E$1)</f>
        <v>1</v>
      </c>
      <c r="F44" s="67">
        <f>COUNTIFS(FORM!D:D,B44,FORM!E:E,$F$1)</f>
        <v>1</v>
      </c>
      <c r="G44" s="67">
        <f>COUNTIFS(FORM!D:D,B44,FORM!E:E,$G$1)</f>
        <v>1</v>
      </c>
      <c r="H44" s="68">
        <f t="shared" si="3"/>
        <v>0.375</v>
      </c>
      <c r="I44" s="69" t="str">
        <f t="shared" si="4"/>
        <v>Lengkap</v>
      </c>
      <c r="J44" s="62"/>
      <c r="K44" s="79"/>
      <c r="L44" s="62"/>
      <c r="M44" s="62"/>
      <c r="N44" s="62"/>
      <c r="O44" s="62"/>
      <c r="P44" s="62"/>
      <c r="Q44" s="62"/>
      <c r="R44" s="63"/>
      <c r="S44" s="63"/>
      <c r="T44" s="63"/>
      <c r="U44" s="63"/>
      <c r="V44" s="63"/>
      <c r="W44" s="63"/>
      <c r="X44" s="63"/>
      <c r="Y44" s="63"/>
    </row>
    <row r="45" spans="1:25">
      <c r="A45" s="73" t="s">
        <v>9</v>
      </c>
      <c r="B45" s="65" t="s">
        <v>983</v>
      </c>
      <c r="C45" s="74">
        <v>8</v>
      </c>
      <c r="D45" s="67">
        <f>COUNTIF(FORM!D:D,B45)</f>
        <v>5</v>
      </c>
      <c r="E45" s="67">
        <f>COUNTIFS(FORM!D:D,B45,FORM!E:E,$E$1)</f>
        <v>1</v>
      </c>
      <c r="F45" s="67">
        <f>COUNTIFS(FORM!D:D,B45,FORM!E:E,$F$1)</f>
        <v>3</v>
      </c>
      <c r="G45" s="67">
        <f>COUNTIFS(FORM!D:D,B45,FORM!E:E,$G$1)</f>
        <v>1</v>
      </c>
      <c r="H45" s="68">
        <f t="shared" si="3"/>
        <v>0.625</v>
      </c>
      <c r="I45" s="69" t="str">
        <f t="shared" si="4"/>
        <v>Lengkap</v>
      </c>
      <c r="J45" s="62"/>
      <c r="K45" s="79"/>
      <c r="L45" s="62"/>
      <c r="M45" s="62"/>
      <c r="N45" s="62"/>
      <c r="O45" s="62"/>
      <c r="P45" s="62"/>
      <c r="Q45" s="62"/>
      <c r="R45" s="63"/>
      <c r="S45" s="63"/>
      <c r="T45" s="63"/>
      <c r="U45" s="63"/>
      <c r="V45" s="63"/>
      <c r="W45" s="63"/>
      <c r="X45" s="63"/>
      <c r="Y45" s="63"/>
    </row>
    <row r="46" spans="1:25">
      <c r="A46" s="73" t="s">
        <v>9</v>
      </c>
      <c r="B46" s="65" t="s">
        <v>672</v>
      </c>
      <c r="C46" s="74">
        <v>4</v>
      </c>
      <c r="D46" s="67">
        <f>COUNTIF(FORM!D:D,B46)</f>
        <v>3</v>
      </c>
      <c r="E46" s="67">
        <f>COUNTIFS(FORM!D:D,B46,FORM!E:E,$E$1)</f>
        <v>1</v>
      </c>
      <c r="F46" s="67">
        <f>COUNTIFS(FORM!D:D,B46,FORM!E:E,$F$1)</f>
        <v>1</v>
      </c>
      <c r="G46" s="67">
        <f>COUNTIFS(FORM!D:D,B46,FORM!E:E,$G$1)</f>
        <v>1</v>
      </c>
      <c r="H46" s="68">
        <f t="shared" si="3"/>
        <v>0.75</v>
      </c>
      <c r="I46" s="69" t="str">
        <f t="shared" si="4"/>
        <v>Lengkap</v>
      </c>
      <c r="J46" s="62"/>
      <c r="K46" s="79"/>
      <c r="L46" s="62"/>
      <c r="M46" s="62"/>
      <c r="N46" s="62"/>
      <c r="O46" s="62"/>
      <c r="P46" s="62"/>
      <c r="Q46" s="62"/>
      <c r="R46" s="63"/>
      <c r="S46" s="63"/>
      <c r="T46" s="63"/>
      <c r="U46" s="63"/>
      <c r="V46" s="63"/>
      <c r="W46" s="63"/>
      <c r="X46" s="63"/>
      <c r="Y46" s="63"/>
    </row>
    <row r="47" spans="1:25">
      <c r="A47" s="73" t="s">
        <v>9</v>
      </c>
      <c r="B47" s="65" t="s">
        <v>264</v>
      </c>
      <c r="C47" s="74">
        <v>5</v>
      </c>
      <c r="D47" s="67">
        <f>COUNTIF(FORM!D:D,B47)</f>
        <v>5</v>
      </c>
      <c r="E47" s="67">
        <f>COUNTIFS(FORM!D:D,B47,FORM!E:E,$E$1)</f>
        <v>1</v>
      </c>
      <c r="F47" s="67">
        <f>COUNTIFS(FORM!D:D,B47,FORM!E:E,$F$1)</f>
        <v>3</v>
      </c>
      <c r="G47" s="67">
        <f>COUNTIFS(FORM!D:D,B47,FORM!E:E,$G$1)</f>
        <v>1</v>
      </c>
      <c r="H47" s="68">
        <f t="shared" si="3"/>
        <v>1</v>
      </c>
      <c r="I47" s="69" t="str">
        <f t="shared" si="4"/>
        <v>Lengkap</v>
      </c>
      <c r="J47" s="62"/>
      <c r="K47" s="79"/>
      <c r="L47" s="62"/>
      <c r="M47" s="62"/>
      <c r="N47" s="62"/>
      <c r="O47" s="62"/>
      <c r="P47" s="62"/>
      <c r="Q47" s="62"/>
      <c r="R47" s="63"/>
      <c r="S47" s="63"/>
      <c r="T47" s="63"/>
      <c r="U47" s="63"/>
      <c r="V47" s="63"/>
      <c r="W47" s="63"/>
      <c r="X47" s="63"/>
      <c r="Y47" s="63"/>
    </row>
    <row r="48" spans="1:25">
      <c r="A48" s="73" t="s">
        <v>9</v>
      </c>
      <c r="B48" s="65" t="s">
        <v>295</v>
      </c>
      <c r="C48" s="74">
        <v>6</v>
      </c>
      <c r="D48" s="67">
        <f>COUNTIF(FORM!D:D,B48)</f>
        <v>5</v>
      </c>
      <c r="E48" s="67">
        <f>COUNTIFS(FORM!D:D,B48,FORM!E:E,$E$1)</f>
        <v>1</v>
      </c>
      <c r="F48" s="67">
        <f>COUNTIFS(FORM!D:D,B48,FORM!E:E,$F$1)</f>
        <v>3</v>
      </c>
      <c r="G48" s="67">
        <f>COUNTIFS(FORM!D:D,B48,FORM!E:E,$G$1)</f>
        <v>1</v>
      </c>
      <c r="H48" s="68">
        <f t="shared" si="3"/>
        <v>0.83333333333333337</v>
      </c>
      <c r="I48" s="69" t="str">
        <f t="shared" si="4"/>
        <v>Lengkap</v>
      </c>
      <c r="J48" s="62"/>
      <c r="K48" s="79"/>
      <c r="L48" s="62"/>
      <c r="M48" s="62"/>
      <c r="N48" s="62"/>
      <c r="O48" s="62"/>
      <c r="P48" s="62"/>
      <c r="Q48" s="62"/>
      <c r="R48" s="63"/>
      <c r="S48" s="63"/>
      <c r="T48" s="63"/>
      <c r="U48" s="63"/>
      <c r="V48" s="63"/>
      <c r="W48" s="63"/>
      <c r="X48" s="63"/>
      <c r="Y48" s="63"/>
    </row>
    <row r="49" spans="1:25">
      <c r="A49" s="73" t="s">
        <v>9</v>
      </c>
      <c r="B49" s="65" t="s">
        <v>651</v>
      </c>
      <c r="C49" s="74">
        <v>9</v>
      </c>
      <c r="D49" s="67">
        <f>COUNTIF(FORM!D:D,B49)</f>
        <v>4</v>
      </c>
      <c r="E49" s="67">
        <f>COUNTIFS(FORM!D:D,B49,FORM!E:E,$E$1)</f>
        <v>1</v>
      </c>
      <c r="F49" s="67">
        <f>COUNTIFS(FORM!D:D,B49,FORM!E:E,$F$1)</f>
        <v>2</v>
      </c>
      <c r="G49" s="67">
        <f>COUNTIFS(FORM!D:D,B49,FORM!E:E,$G$1)</f>
        <v>1</v>
      </c>
      <c r="H49" s="68">
        <f t="shared" si="3"/>
        <v>0.44444444444444442</v>
      </c>
      <c r="I49" s="69" t="str">
        <f t="shared" si="4"/>
        <v>Lengkap</v>
      </c>
      <c r="J49" s="62"/>
      <c r="K49" s="79"/>
      <c r="L49" s="62"/>
      <c r="M49" s="62"/>
      <c r="N49" s="62"/>
      <c r="O49" s="62"/>
      <c r="P49" s="62"/>
      <c r="Q49" s="62"/>
      <c r="R49" s="63"/>
      <c r="S49" s="63"/>
      <c r="T49" s="63"/>
      <c r="U49" s="63"/>
      <c r="V49" s="63"/>
      <c r="W49" s="63"/>
      <c r="X49" s="63"/>
      <c r="Y49" s="63"/>
    </row>
    <row r="50" spans="1:25">
      <c r="A50" s="73" t="s">
        <v>9</v>
      </c>
      <c r="B50" s="65" t="s">
        <v>489</v>
      </c>
      <c r="C50" s="74">
        <v>5</v>
      </c>
      <c r="D50" s="67">
        <f>COUNTIF(FORM!D:D,B50)</f>
        <v>3</v>
      </c>
      <c r="E50" s="67">
        <f>COUNTIFS(FORM!D:D,B50,FORM!E:E,$E$1)</f>
        <v>1</v>
      </c>
      <c r="F50" s="67">
        <f>COUNTIFS(FORM!D:D,B50,FORM!E:E,$F$1)</f>
        <v>1</v>
      </c>
      <c r="G50" s="67">
        <f>COUNTIFS(FORM!D:D,B50,FORM!E:E,$G$1)</f>
        <v>1</v>
      </c>
      <c r="H50" s="68">
        <f t="shared" si="3"/>
        <v>0.6</v>
      </c>
      <c r="I50" s="69" t="str">
        <f t="shared" si="4"/>
        <v>Lengkap</v>
      </c>
      <c r="J50" s="62"/>
      <c r="K50" s="79"/>
      <c r="L50" s="62"/>
      <c r="M50" s="62"/>
      <c r="N50" s="62"/>
      <c r="O50" s="62"/>
      <c r="P50" s="62"/>
      <c r="Q50" s="62"/>
      <c r="R50" s="63"/>
      <c r="S50" s="63"/>
      <c r="T50" s="63"/>
      <c r="U50" s="63"/>
      <c r="V50" s="63"/>
      <c r="W50" s="63"/>
      <c r="X50" s="63"/>
      <c r="Y50" s="63"/>
    </row>
    <row r="51" spans="1:25">
      <c r="A51" s="73" t="s">
        <v>10</v>
      </c>
      <c r="B51" s="65" t="s">
        <v>774</v>
      </c>
      <c r="C51" s="74">
        <v>6</v>
      </c>
      <c r="D51" s="67">
        <f>COUNTIF(FORM!D:D,B51)</f>
        <v>4</v>
      </c>
      <c r="E51" s="67">
        <f>COUNTIFS(FORM!D:D,B51,FORM!E:E,$E$1)</f>
        <v>1</v>
      </c>
      <c r="F51" s="67">
        <f>COUNTIFS(FORM!D:D,B51,FORM!E:E,$F$1)</f>
        <v>2</v>
      </c>
      <c r="G51" s="67">
        <f>COUNTIFS(FORM!D:D,B51,FORM!E:E,$G$1)</f>
        <v>1</v>
      </c>
      <c r="H51" s="68">
        <f t="shared" si="3"/>
        <v>0.66666666666666663</v>
      </c>
      <c r="I51" s="69" t="str">
        <f t="shared" si="4"/>
        <v>Lengkap</v>
      </c>
      <c r="J51" s="62"/>
      <c r="K51" s="79"/>
      <c r="L51" s="62"/>
      <c r="M51" s="62"/>
      <c r="N51" s="62"/>
      <c r="O51" s="62"/>
      <c r="P51" s="62"/>
      <c r="Q51" s="62"/>
      <c r="R51" s="63"/>
      <c r="S51" s="63"/>
      <c r="T51" s="63"/>
      <c r="U51" s="63"/>
      <c r="V51" s="63"/>
      <c r="W51" s="63"/>
      <c r="X51" s="63"/>
      <c r="Y51" s="63"/>
    </row>
    <row r="52" spans="1:25">
      <c r="A52" s="73" t="s">
        <v>10</v>
      </c>
      <c r="B52" s="65" t="s">
        <v>984</v>
      </c>
      <c r="C52" s="74">
        <v>6</v>
      </c>
      <c r="D52" s="67">
        <f>COUNTIF(FORM!D:D,B52)</f>
        <v>0</v>
      </c>
      <c r="E52" s="67">
        <f>COUNTIFS(FORM!D:D,B52,FORM!E:E,$E$1)</f>
        <v>0</v>
      </c>
      <c r="F52" s="67">
        <f>COUNTIFS(FORM!D:D,B52,FORM!E:E,$F$1)</f>
        <v>0</v>
      </c>
      <c r="G52" s="67">
        <f>COUNTIFS(FORM!D:D,B52,FORM!E:E,$G$1)</f>
        <v>0</v>
      </c>
      <c r="H52" s="68">
        <f t="shared" si="3"/>
        <v>0</v>
      </c>
      <c r="I52" s="69" t="str">
        <f t="shared" si="4"/>
        <v>Kurang</v>
      </c>
      <c r="J52" s="62"/>
      <c r="K52" s="79"/>
      <c r="L52" s="62"/>
      <c r="M52" s="62"/>
      <c r="N52" s="62"/>
      <c r="O52" s="62"/>
      <c r="P52" s="62"/>
      <c r="Q52" s="62"/>
      <c r="R52" s="63"/>
      <c r="S52" s="63"/>
      <c r="T52" s="63"/>
      <c r="U52" s="63"/>
      <c r="V52" s="63"/>
      <c r="W52" s="63"/>
      <c r="X52" s="63"/>
      <c r="Y52" s="63"/>
    </row>
    <row r="53" spans="1:25">
      <c r="A53" s="73" t="s">
        <v>10</v>
      </c>
      <c r="B53" s="65" t="s">
        <v>920</v>
      </c>
      <c r="C53" s="74">
        <v>5</v>
      </c>
      <c r="D53" s="67">
        <f>COUNTIF(FORM!D:D,B53)</f>
        <v>1</v>
      </c>
      <c r="E53" s="67">
        <f>COUNTIFS(FORM!D:D,B53,FORM!E:E,$E$1)</f>
        <v>0</v>
      </c>
      <c r="F53" s="67">
        <f>COUNTIFS(FORM!D:D,B53,FORM!E:E,$F$1)</f>
        <v>0</v>
      </c>
      <c r="G53" s="67">
        <f>COUNTIFS(FORM!D:D,B53,FORM!E:E,$G$1)</f>
        <v>1</v>
      </c>
      <c r="H53" s="68">
        <f t="shared" si="3"/>
        <v>0.2</v>
      </c>
      <c r="I53" s="69" t="str">
        <f t="shared" si="4"/>
        <v>Kurang</v>
      </c>
      <c r="J53" s="62"/>
      <c r="K53" s="79"/>
      <c r="L53" s="62"/>
      <c r="M53" s="62"/>
      <c r="N53" s="62"/>
      <c r="O53" s="62"/>
      <c r="P53" s="62"/>
      <c r="Q53" s="62"/>
      <c r="R53" s="63"/>
      <c r="S53" s="63"/>
      <c r="T53" s="63"/>
      <c r="U53" s="63"/>
      <c r="V53" s="63"/>
      <c r="W53" s="63"/>
      <c r="X53" s="63"/>
      <c r="Y53" s="63"/>
    </row>
    <row r="54" spans="1:25">
      <c r="A54" s="73" t="s">
        <v>10</v>
      </c>
      <c r="B54" s="65" t="s">
        <v>900</v>
      </c>
      <c r="C54" s="74">
        <v>5</v>
      </c>
      <c r="D54" s="67">
        <f>COUNTIF(FORM!D:D,B54)</f>
        <v>2</v>
      </c>
      <c r="E54" s="67">
        <f>COUNTIFS(FORM!D:D,B54,FORM!E:E,$E$1)</f>
        <v>1</v>
      </c>
      <c r="F54" s="67">
        <f>COUNTIFS(FORM!D:D,B54,FORM!E:E,$F$1)</f>
        <v>0</v>
      </c>
      <c r="G54" s="67">
        <f>COUNTIFS(FORM!D:D,B54,FORM!E:E,$G$1)</f>
        <v>1</v>
      </c>
      <c r="H54" s="68">
        <f t="shared" si="3"/>
        <v>0.4</v>
      </c>
      <c r="I54" s="69" t="str">
        <f t="shared" si="4"/>
        <v>Kurang</v>
      </c>
      <c r="J54" s="62"/>
      <c r="K54" s="79"/>
      <c r="L54" s="62"/>
      <c r="M54" s="62"/>
      <c r="N54" s="62"/>
      <c r="O54" s="62"/>
      <c r="P54" s="62"/>
      <c r="Q54" s="62"/>
      <c r="R54" s="63"/>
      <c r="S54" s="63"/>
      <c r="T54" s="63"/>
      <c r="U54" s="63"/>
      <c r="V54" s="63"/>
      <c r="W54" s="63"/>
      <c r="X54" s="63"/>
      <c r="Y54" s="63"/>
    </row>
    <row r="55" spans="1:25">
      <c r="A55" s="73" t="s">
        <v>10</v>
      </c>
      <c r="B55" s="65" t="s">
        <v>688</v>
      </c>
      <c r="C55" s="74">
        <v>5</v>
      </c>
      <c r="D55" s="67">
        <f>COUNTIF(FORM!D:D,B55)</f>
        <v>2</v>
      </c>
      <c r="E55" s="67">
        <f>COUNTIFS(FORM!D:D,B55,FORM!E:E,$E$1)</f>
        <v>1</v>
      </c>
      <c r="F55" s="67">
        <f>COUNTIFS(FORM!D:D,B55,FORM!E:E,$F$1)</f>
        <v>1</v>
      </c>
      <c r="G55" s="67">
        <f>COUNTIFS(FORM!D:D,B55,FORM!E:E,$G$1)</f>
        <v>0</v>
      </c>
      <c r="H55" s="68">
        <f t="shared" si="3"/>
        <v>0.4</v>
      </c>
      <c r="I55" s="69" t="str">
        <f t="shared" si="4"/>
        <v>Kurang</v>
      </c>
      <c r="J55" s="62"/>
      <c r="K55" s="79"/>
      <c r="L55" s="62"/>
      <c r="M55" s="62"/>
      <c r="N55" s="62"/>
      <c r="O55" s="62"/>
      <c r="P55" s="62"/>
      <c r="Q55" s="62"/>
      <c r="R55" s="63"/>
      <c r="S55" s="63"/>
      <c r="T55" s="63"/>
      <c r="U55" s="63"/>
      <c r="V55" s="63"/>
      <c r="W55" s="63"/>
      <c r="X55" s="63"/>
      <c r="Y55" s="63"/>
    </row>
    <row r="56" spans="1:25">
      <c r="A56" s="73" t="s">
        <v>10</v>
      </c>
      <c r="B56" s="65" t="s">
        <v>985</v>
      </c>
      <c r="C56" s="74">
        <v>8</v>
      </c>
      <c r="D56" s="67">
        <f>COUNTIF(FORM!D:D,B56)</f>
        <v>0</v>
      </c>
      <c r="E56" s="67">
        <f>COUNTIFS(FORM!D:D,B56,FORM!E:E,$E$1)</f>
        <v>0</v>
      </c>
      <c r="F56" s="67">
        <f>COUNTIFS(FORM!D:D,B56,FORM!E:E,$F$1)</f>
        <v>0</v>
      </c>
      <c r="G56" s="67">
        <f>COUNTIFS(FORM!D:D,B56,FORM!E:E,$G$1)</f>
        <v>0</v>
      </c>
      <c r="H56" s="68">
        <f t="shared" si="3"/>
        <v>0</v>
      </c>
      <c r="I56" s="69" t="str">
        <f t="shared" si="4"/>
        <v>Kurang</v>
      </c>
      <c r="J56" s="62"/>
      <c r="K56" s="79"/>
      <c r="L56" s="62"/>
      <c r="M56" s="62"/>
      <c r="N56" s="62"/>
      <c r="O56" s="62"/>
      <c r="P56" s="62"/>
      <c r="Q56" s="62"/>
      <c r="R56" s="63"/>
      <c r="S56" s="63"/>
      <c r="T56" s="63"/>
      <c r="U56" s="63"/>
      <c r="V56" s="63"/>
      <c r="W56" s="63"/>
      <c r="X56" s="63"/>
      <c r="Y56" s="63"/>
    </row>
    <row r="57" spans="1:25">
      <c r="A57" s="73" t="s">
        <v>10</v>
      </c>
      <c r="B57" s="65" t="s">
        <v>908</v>
      </c>
      <c r="C57" s="74">
        <v>4</v>
      </c>
      <c r="D57" s="67">
        <f>COUNTIF(FORM!D:D,B57)</f>
        <v>4</v>
      </c>
      <c r="E57" s="67">
        <f>COUNTIFS(FORM!D:D,B57,FORM!E:E,$E$1)</f>
        <v>1</v>
      </c>
      <c r="F57" s="67">
        <f>COUNTIFS(FORM!D:D,B57,FORM!E:E,$F$1)</f>
        <v>2</v>
      </c>
      <c r="G57" s="67">
        <f>COUNTIFS(FORM!D:D,B57,FORM!E:E,$G$1)</f>
        <v>1</v>
      </c>
      <c r="H57" s="68">
        <f t="shared" si="3"/>
        <v>1</v>
      </c>
      <c r="I57" s="69" t="str">
        <f t="shared" si="4"/>
        <v>Lengkap</v>
      </c>
      <c r="J57" s="62"/>
      <c r="K57" s="79"/>
      <c r="L57" s="62"/>
      <c r="M57" s="62"/>
      <c r="N57" s="62"/>
      <c r="O57" s="62"/>
      <c r="P57" s="62"/>
      <c r="Q57" s="62"/>
      <c r="R57" s="63"/>
      <c r="S57" s="63"/>
      <c r="T57" s="63"/>
      <c r="U57" s="63"/>
      <c r="V57" s="63"/>
      <c r="W57" s="63"/>
      <c r="X57" s="63"/>
      <c r="Y57" s="63"/>
    </row>
    <row r="58" spans="1:25">
      <c r="A58" s="73" t="s">
        <v>10</v>
      </c>
      <c r="B58" s="65" t="s">
        <v>986</v>
      </c>
      <c r="C58" s="74">
        <v>4</v>
      </c>
      <c r="D58" s="67">
        <f>COUNTIF(FORM!D:D,B58)</f>
        <v>0</v>
      </c>
      <c r="E58" s="67">
        <f>COUNTIFS(FORM!D:D,B58,FORM!E:E,$E$1)</f>
        <v>0</v>
      </c>
      <c r="F58" s="67">
        <f>COUNTIFS(FORM!D:D,B58,FORM!E:E,$F$1)</f>
        <v>0</v>
      </c>
      <c r="G58" s="67">
        <f>COUNTIFS(FORM!D:D,B58,FORM!E:E,$G$1)</f>
        <v>0</v>
      </c>
      <c r="H58" s="68">
        <f t="shared" si="3"/>
        <v>0</v>
      </c>
      <c r="I58" s="69" t="str">
        <f t="shared" si="4"/>
        <v>Kurang</v>
      </c>
      <c r="J58" s="62"/>
      <c r="K58" s="79"/>
      <c r="L58" s="62"/>
      <c r="M58" s="62"/>
      <c r="N58" s="62"/>
      <c r="O58" s="62"/>
      <c r="P58" s="62"/>
      <c r="Q58" s="62"/>
      <c r="R58" s="63"/>
      <c r="S58" s="63"/>
      <c r="T58" s="63"/>
      <c r="U58" s="63"/>
      <c r="V58" s="63"/>
      <c r="W58" s="63"/>
      <c r="X58" s="63"/>
      <c r="Y58" s="63"/>
    </row>
    <row r="59" spans="1:25">
      <c r="A59" s="73" t="s">
        <v>10</v>
      </c>
      <c r="B59" s="65" t="s">
        <v>987</v>
      </c>
      <c r="C59" s="74">
        <v>8</v>
      </c>
      <c r="D59" s="67">
        <f>COUNTIF(FORM!D:D,B59)</f>
        <v>0</v>
      </c>
      <c r="E59" s="67">
        <f>COUNTIFS(FORM!D:D,B59,FORM!E:E,$E$1)</f>
        <v>0</v>
      </c>
      <c r="F59" s="67">
        <f>COUNTIFS(FORM!D:D,B59,FORM!E:E,$F$1)</f>
        <v>0</v>
      </c>
      <c r="G59" s="67">
        <f>COUNTIFS(FORM!D:D,B59,FORM!E:E,$G$1)</f>
        <v>0</v>
      </c>
      <c r="H59" s="68">
        <f t="shared" si="3"/>
        <v>0</v>
      </c>
      <c r="I59" s="69" t="str">
        <f t="shared" si="4"/>
        <v>Kurang</v>
      </c>
      <c r="J59" s="62"/>
      <c r="K59" s="79"/>
      <c r="L59" s="62"/>
      <c r="M59" s="62"/>
      <c r="N59" s="62"/>
      <c r="O59" s="62"/>
      <c r="P59" s="62"/>
      <c r="Q59" s="62"/>
      <c r="R59" s="63"/>
      <c r="S59" s="63"/>
      <c r="T59" s="63"/>
      <c r="U59" s="63"/>
      <c r="V59" s="63"/>
      <c r="W59" s="63"/>
      <c r="X59" s="63"/>
      <c r="Y59" s="63"/>
    </row>
    <row r="60" spans="1:25">
      <c r="A60" s="73" t="s">
        <v>10</v>
      </c>
      <c r="B60" s="65" t="s">
        <v>763</v>
      </c>
      <c r="C60" s="74">
        <v>9</v>
      </c>
      <c r="D60" s="67">
        <f>COUNTIF(FORM!D:D,B60)</f>
        <v>7</v>
      </c>
      <c r="E60" s="67">
        <f>COUNTIFS(FORM!D:D,B60,FORM!E:E,$E$1)</f>
        <v>1</v>
      </c>
      <c r="F60" s="67">
        <f>COUNTIFS(FORM!D:D,B60,FORM!E:E,$F$1)</f>
        <v>5</v>
      </c>
      <c r="G60" s="67">
        <f>COUNTIFS(FORM!D:D,B60,FORM!E:E,$G$1)</f>
        <v>1</v>
      </c>
      <c r="H60" s="68">
        <f t="shared" si="3"/>
        <v>0.77777777777777779</v>
      </c>
      <c r="I60" s="69" t="str">
        <f t="shared" si="4"/>
        <v>Lengkap</v>
      </c>
      <c r="J60" s="62"/>
      <c r="K60" s="79"/>
      <c r="L60" s="62"/>
      <c r="M60" s="62"/>
      <c r="N60" s="62"/>
      <c r="O60" s="62"/>
      <c r="P60" s="62"/>
      <c r="Q60" s="62"/>
      <c r="R60" s="63"/>
      <c r="S60" s="63"/>
      <c r="T60" s="63"/>
      <c r="U60" s="63"/>
      <c r="V60" s="63"/>
      <c r="W60" s="63"/>
      <c r="X60" s="63"/>
      <c r="Y60" s="63"/>
    </row>
    <row r="61" spans="1:25">
      <c r="A61" s="73" t="s">
        <v>10</v>
      </c>
      <c r="B61" s="65" t="s">
        <v>550</v>
      </c>
      <c r="C61" s="74">
        <v>13</v>
      </c>
      <c r="D61" s="67">
        <f>COUNTIF(FORM!D:D,B61)</f>
        <v>6</v>
      </c>
      <c r="E61" s="67">
        <f>COUNTIFS(FORM!D:D,B61,FORM!E:E,$E$1)</f>
        <v>1</v>
      </c>
      <c r="F61" s="67">
        <f>COUNTIFS(FORM!D:D,B61,FORM!E:E,$F$1)</f>
        <v>4</v>
      </c>
      <c r="G61" s="67">
        <f>COUNTIFS(FORM!D:D,B61,FORM!E:E,$G$1)</f>
        <v>1</v>
      </c>
      <c r="H61" s="68">
        <f t="shared" si="3"/>
        <v>0.46153846153846156</v>
      </c>
      <c r="I61" s="69" t="str">
        <f t="shared" si="4"/>
        <v>Lengkap</v>
      </c>
      <c r="J61" s="62"/>
      <c r="K61" s="79"/>
      <c r="L61" s="62"/>
      <c r="M61" s="62"/>
      <c r="N61" s="62"/>
      <c r="O61" s="62"/>
      <c r="P61" s="62"/>
      <c r="Q61" s="62"/>
      <c r="R61" s="63"/>
      <c r="S61" s="63"/>
      <c r="T61" s="63"/>
      <c r="U61" s="63"/>
      <c r="V61" s="63"/>
      <c r="W61" s="63"/>
      <c r="X61" s="63"/>
      <c r="Y61" s="63"/>
    </row>
    <row r="62" spans="1:25">
      <c r="A62" s="73" t="s">
        <v>10</v>
      </c>
      <c r="B62" s="65" t="s">
        <v>782</v>
      </c>
      <c r="C62" s="74">
        <v>7</v>
      </c>
      <c r="D62" s="67">
        <f>COUNTIF(FORM!D:D,B62)</f>
        <v>3</v>
      </c>
      <c r="E62" s="67">
        <f>COUNTIFS(FORM!D:D,B62,FORM!E:E,$E$1)</f>
        <v>1</v>
      </c>
      <c r="F62" s="67">
        <f>COUNTIFS(FORM!D:D,B62,FORM!E:E,$F$1)</f>
        <v>1</v>
      </c>
      <c r="G62" s="67">
        <f>COUNTIFS(FORM!D:D,B62,FORM!E:E,$G$1)</f>
        <v>1</v>
      </c>
      <c r="H62" s="68">
        <f t="shared" si="3"/>
        <v>0.42857142857142855</v>
      </c>
      <c r="I62" s="69" t="str">
        <f t="shared" si="4"/>
        <v>Lengkap</v>
      </c>
      <c r="J62" s="62"/>
      <c r="K62" s="79"/>
      <c r="L62" s="62"/>
      <c r="M62" s="62"/>
      <c r="N62" s="62"/>
      <c r="O62" s="62"/>
      <c r="P62" s="62"/>
      <c r="Q62" s="62"/>
      <c r="R62" s="63"/>
      <c r="S62" s="63"/>
      <c r="T62" s="63"/>
      <c r="U62" s="63"/>
      <c r="V62" s="63"/>
      <c r="W62" s="63"/>
      <c r="X62" s="63"/>
      <c r="Y62" s="63"/>
    </row>
    <row r="63" spans="1:25">
      <c r="A63" s="73" t="s">
        <v>10</v>
      </c>
      <c r="B63" s="65" t="s">
        <v>988</v>
      </c>
      <c r="C63" s="74">
        <v>8</v>
      </c>
      <c r="D63" s="67">
        <f>COUNTIF(FORM!D:D,B63)</f>
        <v>0</v>
      </c>
      <c r="E63" s="67">
        <f>COUNTIFS(FORM!D:D,B63,FORM!E:E,$E$1)</f>
        <v>0</v>
      </c>
      <c r="F63" s="67">
        <f>COUNTIFS(FORM!D:D,B63,FORM!E:E,$F$1)</f>
        <v>0</v>
      </c>
      <c r="G63" s="67">
        <f>COUNTIFS(FORM!D:D,B63,FORM!E:E,$G$1)</f>
        <v>0</v>
      </c>
      <c r="H63" s="68">
        <f t="shared" si="3"/>
        <v>0</v>
      </c>
      <c r="I63" s="69" t="str">
        <f t="shared" si="4"/>
        <v>Kurang</v>
      </c>
      <c r="J63" s="62"/>
      <c r="K63" s="79"/>
      <c r="L63" s="62"/>
      <c r="M63" s="62"/>
      <c r="N63" s="62"/>
      <c r="O63" s="62"/>
      <c r="P63" s="62"/>
      <c r="Q63" s="62"/>
      <c r="R63" s="63"/>
      <c r="S63" s="63"/>
      <c r="T63" s="63"/>
      <c r="U63" s="63"/>
      <c r="V63" s="63"/>
      <c r="W63" s="63"/>
      <c r="X63" s="63"/>
      <c r="Y63" s="63"/>
    </row>
    <row r="64" spans="1:25">
      <c r="A64" s="73" t="s">
        <v>10</v>
      </c>
      <c r="B64" s="65" t="s">
        <v>813</v>
      </c>
      <c r="C64" s="74">
        <v>6</v>
      </c>
      <c r="D64" s="67">
        <f>COUNTIF(FORM!D:D,B64)</f>
        <v>3</v>
      </c>
      <c r="E64" s="67">
        <f>COUNTIFS(FORM!D:D,B64,FORM!E:E,$E$1)</f>
        <v>1</v>
      </c>
      <c r="F64" s="67">
        <f>COUNTIFS(FORM!D:D,B64,FORM!E:E,$F$1)</f>
        <v>1</v>
      </c>
      <c r="G64" s="67">
        <f>COUNTIFS(FORM!D:D,B64,FORM!E:E,$G$1)</f>
        <v>1</v>
      </c>
      <c r="H64" s="68">
        <f t="shared" si="3"/>
        <v>0.5</v>
      </c>
      <c r="I64" s="69" t="str">
        <f t="shared" si="4"/>
        <v>Lengkap</v>
      </c>
      <c r="J64" s="62"/>
      <c r="K64" s="79"/>
      <c r="L64" s="62"/>
      <c r="M64" s="62"/>
      <c r="N64" s="62"/>
      <c r="O64" s="62"/>
      <c r="P64" s="62"/>
      <c r="Q64" s="62"/>
      <c r="R64" s="63"/>
      <c r="S64" s="63"/>
      <c r="T64" s="63"/>
      <c r="U64" s="63"/>
      <c r="V64" s="63"/>
      <c r="W64" s="63"/>
      <c r="X64" s="63"/>
      <c r="Y64" s="63"/>
    </row>
    <row r="65" spans="1:25">
      <c r="A65" s="73" t="s">
        <v>10</v>
      </c>
      <c r="B65" s="65" t="s">
        <v>843</v>
      </c>
      <c r="C65" s="74">
        <v>4</v>
      </c>
      <c r="D65" s="67">
        <f>COUNTIF(FORM!D:D,B65)</f>
        <v>4</v>
      </c>
      <c r="E65" s="67">
        <f>COUNTIFS(FORM!D:D,B65,FORM!E:E,$E$1)</f>
        <v>1</v>
      </c>
      <c r="F65" s="67">
        <f>COUNTIFS(FORM!D:D,B65,FORM!E:E,$F$1)</f>
        <v>2</v>
      </c>
      <c r="G65" s="67">
        <f>COUNTIFS(FORM!D:D,B65,FORM!E:E,$G$1)</f>
        <v>1</v>
      </c>
      <c r="H65" s="68">
        <f t="shared" si="3"/>
        <v>1</v>
      </c>
      <c r="I65" s="69" t="str">
        <f t="shared" si="4"/>
        <v>Lengkap</v>
      </c>
      <c r="J65" s="62"/>
      <c r="K65" s="79"/>
      <c r="L65" s="62"/>
      <c r="M65" s="62"/>
      <c r="N65" s="62"/>
      <c r="O65" s="62"/>
      <c r="P65" s="62"/>
      <c r="Q65" s="62"/>
      <c r="R65" s="63"/>
      <c r="S65" s="63"/>
      <c r="T65" s="63"/>
      <c r="U65" s="63"/>
      <c r="V65" s="63"/>
      <c r="W65" s="63"/>
      <c r="X65" s="63"/>
      <c r="Y65" s="63"/>
    </row>
    <row r="66" spans="1:25">
      <c r="A66" s="73" t="s">
        <v>10</v>
      </c>
      <c r="B66" s="65" t="s">
        <v>170</v>
      </c>
      <c r="C66" s="74">
        <v>6</v>
      </c>
      <c r="D66" s="67">
        <f>COUNTIF(FORM!D:D,B66)</f>
        <v>5</v>
      </c>
      <c r="E66" s="67">
        <f>COUNTIFS(FORM!D:D,B66,FORM!E:E,$E$1)</f>
        <v>1</v>
      </c>
      <c r="F66" s="67">
        <f>COUNTIFS(FORM!D:D,B66,FORM!E:E,$F$1)</f>
        <v>3</v>
      </c>
      <c r="G66" s="67">
        <f>COUNTIFS(FORM!D:D,B66,FORM!E:E,$G$1)</f>
        <v>1</v>
      </c>
      <c r="H66" s="68">
        <f t="shared" ref="H66:H93" si="5">D66/C66</f>
        <v>0.83333333333333337</v>
      </c>
      <c r="I66" s="69" t="str">
        <f t="shared" ref="I66:I92" si="6">IF(AND(E66&lt;&gt;0, F66&lt;&gt;0, G66&lt;&gt;0), "Lengkap", "Kurang")</f>
        <v>Lengkap</v>
      </c>
      <c r="J66" s="62"/>
      <c r="K66" s="79"/>
      <c r="L66" s="62"/>
      <c r="M66" s="62"/>
      <c r="N66" s="62"/>
      <c r="O66" s="62"/>
      <c r="P66" s="62"/>
      <c r="Q66" s="62"/>
      <c r="R66" s="63"/>
      <c r="S66" s="63"/>
      <c r="T66" s="63"/>
      <c r="U66" s="63"/>
      <c r="V66" s="63"/>
      <c r="W66" s="63"/>
      <c r="X66" s="63"/>
      <c r="Y66" s="63"/>
    </row>
    <row r="67" spans="1:25">
      <c r="A67" s="73" t="s">
        <v>10</v>
      </c>
      <c r="B67" s="65" t="s">
        <v>989</v>
      </c>
      <c r="C67" s="74">
        <v>4</v>
      </c>
      <c r="D67" s="67">
        <f>COUNTIF(FORM!D:D,B67)</f>
        <v>0</v>
      </c>
      <c r="E67" s="67">
        <f>COUNTIFS(FORM!D:D,B67,FORM!E:E,$E$1)</f>
        <v>0</v>
      </c>
      <c r="F67" s="67">
        <f>COUNTIFS(FORM!D:D,B67,FORM!E:E,$F$1)</f>
        <v>0</v>
      </c>
      <c r="G67" s="67">
        <f>COUNTIFS(FORM!D:D,B67,FORM!E:E,$G$1)</f>
        <v>0</v>
      </c>
      <c r="H67" s="68">
        <f t="shared" si="5"/>
        <v>0</v>
      </c>
      <c r="I67" s="69" t="str">
        <f t="shared" si="6"/>
        <v>Kurang</v>
      </c>
      <c r="J67" s="62"/>
      <c r="K67" s="79"/>
      <c r="L67" s="62"/>
      <c r="M67" s="62"/>
      <c r="N67" s="62"/>
      <c r="O67" s="62"/>
      <c r="P67" s="62"/>
      <c r="Q67" s="62"/>
      <c r="R67" s="63"/>
      <c r="S67" s="63"/>
      <c r="T67" s="63"/>
      <c r="U67" s="63"/>
      <c r="V67" s="63"/>
      <c r="W67" s="63"/>
      <c r="X67" s="63"/>
      <c r="Y67" s="63"/>
    </row>
    <row r="68" spans="1:25">
      <c r="A68" s="73" t="s">
        <v>10</v>
      </c>
      <c r="B68" s="65" t="s">
        <v>990</v>
      </c>
      <c r="C68" s="74">
        <v>6</v>
      </c>
      <c r="D68" s="67">
        <f>COUNTIF(FORM!D:D,B68)</f>
        <v>0</v>
      </c>
      <c r="E68" s="67">
        <f>COUNTIFS(FORM!D:D,B68,FORM!E:E,$E$1)</f>
        <v>0</v>
      </c>
      <c r="F68" s="67">
        <f>COUNTIFS(FORM!D:D,B68,FORM!E:E,$F$1)</f>
        <v>0</v>
      </c>
      <c r="G68" s="67">
        <f>COUNTIFS(FORM!D:D,B68,FORM!E:E,$G$1)</f>
        <v>0</v>
      </c>
      <c r="H68" s="68">
        <f t="shared" si="5"/>
        <v>0</v>
      </c>
      <c r="I68" s="69" t="str">
        <f t="shared" si="6"/>
        <v>Kurang</v>
      </c>
      <c r="J68" s="62"/>
      <c r="K68" s="79"/>
      <c r="L68" s="62"/>
      <c r="M68" s="62"/>
      <c r="N68" s="62"/>
      <c r="O68" s="62"/>
      <c r="P68" s="62"/>
      <c r="Q68" s="62"/>
      <c r="R68" s="63"/>
      <c r="S68" s="63"/>
      <c r="T68" s="63"/>
      <c r="U68" s="63"/>
      <c r="V68" s="63"/>
      <c r="W68" s="63"/>
      <c r="X68" s="63"/>
      <c r="Y68" s="63"/>
    </row>
    <row r="69" spans="1:25">
      <c r="A69" s="73" t="s">
        <v>10</v>
      </c>
      <c r="B69" s="65" t="s">
        <v>519</v>
      </c>
      <c r="C69" s="74">
        <v>5</v>
      </c>
      <c r="D69" s="67">
        <f>COUNTIF(FORM!D:D,B69)</f>
        <v>4</v>
      </c>
      <c r="E69" s="67">
        <f>COUNTIFS(FORM!D:D,B69,FORM!E:E,$E$1)</f>
        <v>1</v>
      </c>
      <c r="F69" s="67">
        <f>COUNTIFS(FORM!D:D,B69,FORM!E:E,$F$1)</f>
        <v>2</v>
      </c>
      <c r="G69" s="67">
        <f>COUNTIFS(FORM!D:D,B69,FORM!E:E,$G$1)</f>
        <v>1</v>
      </c>
      <c r="H69" s="68">
        <f t="shared" si="5"/>
        <v>0.8</v>
      </c>
      <c r="I69" s="69" t="str">
        <f t="shared" si="6"/>
        <v>Lengkap</v>
      </c>
      <c r="J69" s="62"/>
      <c r="K69" s="79"/>
      <c r="L69" s="62"/>
      <c r="M69" s="62"/>
      <c r="N69" s="62"/>
      <c r="O69" s="62"/>
      <c r="P69" s="62"/>
      <c r="Q69" s="62"/>
      <c r="R69" s="63"/>
      <c r="S69" s="63"/>
      <c r="T69" s="63"/>
      <c r="U69" s="63"/>
      <c r="V69" s="63"/>
      <c r="W69" s="63"/>
      <c r="X69" s="63"/>
      <c r="Y69" s="63"/>
    </row>
    <row r="70" spans="1:25">
      <c r="A70" s="73" t="s">
        <v>10</v>
      </c>
      <c r="B70" s="65" t="s">
        <v>991</v>
      </c>
      <c r="C70" s="74">
        <v>10</v>
      </c>
      <c r="D70" s="67">
        <f>COUNTIF(FORM!D:D,B70)</f>
        <v>2</v>
      </c>
      <c r="E70" s="67">
        <f>COUNTIFS(FORM!D:D,B70,FORM!E:E,$E$1)</f>
        <v>0</v>
      </c>
      <c r="F70" s="67">
        <f>COUNTIFS(FORM!D:D,B70,FORM!E:E,$F$1)</f>
        <v>1</v>
      </c>
      <c r="G70" s="67">
        <f>COUNTIFS(FORM!D:D,B70,FORM!E:E,$G$1)</f>
        <v>1</v>
      </c>
      <c r="H70" s="68">
        <f t="shared" si="5"/>
        <v>0.2</v>
      </c>
      <c r="I70" s="69" t="str">
        <f t="shared" si="6"/>
        <v>Kurang</v>
      </c>
      <c r="J70" s="62"/>
      <c r="K70" s="79"/>
      <c r="L70" s="62"/>
      <c r="M70" s="62"/>
      <c r="N70" s="62"/>
      <c r="O70" s="62"/>
      <c r="P70" s="62"/>
      <c r="Q70" s="62"/>
      <c r="R70" s="63"/>
      <c r="S70" s="63"/>
      <c r="T70" s="63"/>
      <c r="U70" s="63"/>
      <c r="V70" s="63"/>
      <c r="W70" s="63"/>
      <c r="X70" s="63"/>
      <c r="Y70" s="63"/>
    </row>
    <row r="71" spans="1:25">
      <c r="A71" s="73" t="s">
        <v>10</v>
      </c>
      <c r="B71" s="65" t="s">
        <v>992</v>
      </c>
      <c r="C71" s="74">
        <v>6</v>
      </c>
      <c r="D71" s="67">
        <f>COUNTIF(FORM!D:D,B71)</f>
        <v>3</v>
      </c>
      <c r="E71" s="67">
        <f>COUNTIFS(FORM!D:D,B71,FORM!E:E,$E$1)</f>
        <v>0</v>
      </c>
      <c r="F71" s="67">
        <f>COUNTIFS(FORM!D:D,B71,FORM!E:E,$F$1)</f>
        <v>2</v>
      </c>
      <c r="G71" s="67">
        <f>COUNTIFS(FORM!D:D,B71,FORM!E:E,$G$1)</f>
        <v>1</v>
      </c>
      <c r="H71" s="68">
        <f t="shared" si="5"/>
        <v>0.5</v>
      </c>
      <c r="I71" s="69" t="str">
        <f t="shared" si="6"/>
        <v>Kurang</v>
      </c>
      <c r="J71" s="62"/>
      <c r="K71" s="79"/>
      <c r="L71" s="62"/>
      <c r="M71" s="62"/>
      <c r="N71" s="62"/>
      <c r="O71" s="62"/>
      <c r="P71" s="62"/>
      <c r="Q71" s="62"/>
      <c r="R71" s="63"/>
      <c r="S71" s="63"/>
      <c r="T71" s="63"/>
      <c r="U71" s="63"/>
      <c r="V71" s="63"/>
      <c r="W71" s="63"/>
      <c r="X71" s="63"/>
      <c r="Y71" s="63"/>
    </row>
    <row r="72" spans="1:25">
      <c r="A72" s="73" t="s">
        <v>10</v>
      </c>
      <c r="B72" s="65" t="s">
        <v>993</v>
      </c>
      <c r="C72" s="74">
        <v>7</v>
      </c>
      <c r="D72" s="67">
        <f>COUNTIF(FORM!D:D,B72)</f>
        <v>4</v>
      </c>
      <c r="E72" s="67">
        <f>COUNTIFS(FORM!D:D,B72,FORM!E:E,$E$1)</f>
        <v>1</v>
      </c>
      <c r="F72" s="67">
        <f>COUNTIFS(FORM!D:D,B72,FORM!E:E,$F$1)</f>
        <v>2</v>
      </c>
      <c r="G72" s="67">
        <f>COUNTIFS(FORM!D:D,B72,FORM!E:E,$G$1)</f>
        <v>1</v>
      </c>
      <c r="H72" s="68">
        <f t="shared" si="5"/>
        <v>0.5714285714285714</v>
      </c>
      <c r="I72" s="69" t="str">
        <f t="shared" si="6"/>
        <v>Lengkap</v>
      </c>
      <c r="J72" s="62"/>
      <c r="K72" s="79"/>
      <c r="L72" s="62"/>
      <c r="M72" s="62"/>
      <c r="N72" s="62"/>
      <c r="O72" s="62"/>
      <c r="P72" s="62"/>
      <c r="Q72" s="62"/>
      <c r="R72" s="63"/>
      <c r="S72" s="63"/>
      <c r="T72" s="63"/>
      <c r="U72" s="63"/>
      <c r="V72" s="63"/>
      <c r="W72" s="63"/>
      <c r="X72" s="63"/>
      <c r="Y72" s="63"/>
    </row>
    <row r="73" spans="1:25">
      <c r="A73" s="73" t="s">
        <v>10</v>
      </c>
      <c r="B73" s="65" t="s">
        <v>994</v>
      </c>
      <c r="C73" s="74">
        <v>7</v>
      </c>
      <c r="D73" s="67">
        <f>COUNTIF(FORM!D:D,B73)</f>
        <v>0</v>
      </c>
      <c r="E73" s="67">
        <f>COUNTIFS(FORM!D:D,B73,FORM!E:E,$E$1)</f>
        <v>0</v>
      </c>
      <c r="F73" s="67">
        <f>COUNTIFS(FORM!D:D,B73,FORM!E:E,$F$1)</f>
        <v>0</v>
      </c>
      <c r="G73" s="67">
        <f>COUNTIFS(FORM!D:D,B73,FORM!E:E,$G$1)</f>
        <v>0</v>
      </c>
      <c r="H73" s="68">
        <f t="shared" si="5"/>
        <v>0</v>
      </c>
      <c r="I73" s="69" t="str">
        <f t="shared" si="6"/>
        <v>Kurang</v>
      </c>
      <c r="J73" s="62"/>
      <c r="K73" s="79"/>
      <c r="L73" s="62"/>
      <c r="M73" s="62"/>
      <c r="N73" s="62"/>
      <c r="O73" s="62"/>
      <c r="P73" s="62"/>
      <c r="Q73" s="62"/>
      <c r="R73" s="63"/>
      <c r="S73" s="63"/>
      <c r="T73" s="63"/>
      <c r="U73" s="63"/>
      <c r="V73" s="63"/>
      <c r="W73" s="63"/>
      <c r="X73" s="63"/>
      <c r="Y73" s="63"/>
    </row>
    <row r="74" spans="1:25">
      <c r="A74" s="73" t="s">
        <v>10</v>
      </c>
      <c r="B74" s="65" t="s">
        <v>995</v>
      </c>
      <c r="C74" s="74">
        <v>6</v>
      </c>
      <c r="D74" s="67">
        <f>COUNTIF(FORM!D:D,B74)</f>
        <v>0</v>
      </c>
      <c r="E74" s="67">
        <f>COUNTIFS(FORM!D:D,B74,FORM!E:E,$E$1)</f>
        <v>0</v>
      </c>
      <c r="F74" s="67">
        <f>COUNTIFS(FORM!D:D,B74,FORM!E:E,$F$1)</f>
        <v>0</v>
      </c>
      <c r="G74" s="67">
        <f>COUNTIFS(FORM!D:D,B74,FORM!E:E,$G$1)</f>
        <v>0</v>
      </c>
      <c r="H74" s="68">
        <f t="shared" si="5"/>
        <v>0</v>
      </c>
      <c r="I74" s="69" t="str">
        <f t="shared" si="6"/>
        <v>Kurang</v>
      </c>
      <c r="J74" s="62"/>
      <c r="K74" s="79"/>
      <c r="L74" s="62"/>
      <c r="M74" s="62"/>
      <c r="N74" s="62"/>
      <c r="O74" s="62"/>
      <c r="P74" s="62"/>
      <c r="Q74" s="62"/>
      <c r="R74" s="63"/>
      <c r="S74" s="63"/>
      <c r="T74" s="63"/>
      <c r="U74" s="63"/>
      <c r="V74" s="63"/>
      <c r="W74" s="63"/>
      <c r="X74" s="63"/>
      <c r="Y74" s="63"/>
    </row>
    <row r="75" spans="1:25">
      <c r="A75" s="73" t="s">
        <v>10</v>
      </c>
      <c r="B75" s="65" t="s">
        <v>541</v>
      </c>
      <c r="C75" s="74">
        <v>4</v>
      </c>
      <c r="D75" s="67">
        <f>COUNTIF(FORM!D:D,B75)</f>
        <v>3</v>
      </c>
      <c r="E75" s="67">
        <f>COUNTIFS(FORM!D:D,B75,FORM!E:E,$E$1)</f>
        <v>1</v>
      </c>
      <c r="F75" s="67">
        <f>COUNTIFS(FORM!D:D,B75,FORM!E:E,$F$1)</f>
        <v>2</v>
      </c>
      <c r="G75" s="67">
        <f>COUNTIFS(FORM!D:D,B75,FORM!E:E,$G$1)</f>
        <v>0</v>
      </c>
      <c r="H75" s="68">
        <f t="shared" si="5"/>
        <v>0.75</v>
      </c>
      <c r="I75" s="69" t="str">
        <f t="shared" si="6"/>
        <v>Kurang</v>
      </c>
      <c r="J75" s="62"/>
      <c r="K75" s="79"/>
      <c r="L75" s="62"/>
      <c r="M75" s="62"/>
      <c r="N75" s="62"/>
      <c r="O75" s="62"/>
      <c r="P75" s="62"/>
      <c r="Q75" s="62"/>
      <c r="R75" s="63"/>
      <c r="S75" s="63"/>
      <c r="T75" s="63"/>
      <c r="U75" s="63"/>
      <c r="V75" s="63"/>
      <c r="W75" s="63"/>
      <c r="X75" s="63"/>
      <c r="Y75" s="63"/>
    </row>
    <row r="76" spans="1:25">
      <c r="A76" s="73" t="s">
        <v>10</v>
      </c>
      <c r="B76" s="65" t="s">
        <v>996</v>
      </c>
      <c r="C76" s="74">
        <v>7</v>
      </c>
      <c r="D76" s="67">
        <f>COUNTIF(FORM!D:D,B76)</f>
        <v>0</v>
      </c>
      <c r="E76" s="67">
        <f>COUNTIFS(FORM!D:D,B76,FORM!E:E,$E$1)</f>
        <v>0</v>
      </c>
      <c r="F76" s="67">
        <f>COUNTIFS(FORM!D:D,B76,FORM!E:E,$F$1)</f>
        <v>0</v>
      </c>
      <c r="G76" s="67">
        <f>COUNTIFS(FORM!D:D,B76,FORM!E:E,$G$1)</f>
        <v>0</v>
      </c>
      <c r="H76" s="68">
        <f t="shared" si="5"/>
        <v>0</v>
      </c>
      <c r="I76" s="69" t="str">
        <f t="shared" si="6"/>
        <v>Kurang</v>
      </c>
      <c r="J76" s="62"/>
      <c r="K76" s="79"/>
      <c r="L76" s="62"/>
      <c r="M76" s="62"/>
      <c r="N76" s="62"/>
      <c r="O76" s="62"/>
      <c r="P76" s="62"/>
      <c r="Q76" s="62"/>
      <c r="R76" s="63"/>
      <c r="S76" s="63"/>
      <c r="T76" s="63"/>
      <c r="U76" s="63"/>
      <c r="V76" s="63"/>
      <c r="W76" s="63"/>
      <c r="X76" s="63"/>
      <c r="Y76" s="63"/>
    </row>
    <row r="77" spans="1:25">
      <c r="A77" s="73" t="s">
        <v>10</v>
      </c>
      <c r="B77" s="65" t="s">
        <v>997</v>
      </c>
      <c r="C77" s="74">
        <v>6</v>
      </c>
      <c r="D77" s="67">
        <f>COUNTIF(FORM!D:D,B77)</f>
        <v>0</v>
      </c>
      <c r="E77" s="67">
        <f>COUNTIFS(FORM!D:D,B77,FORM!E:E,$E$1)</f>
        <v>0</v>
      </c>
      <c r="F77" s="67">
        <f>COUNTIFS(FORM!D:D,B77,FORM!E:E,$F$1)</f>
        <v>0</v>
      </c>
      <c r="G77" s="67">
        <f>COUNTIFS(FORM!D:D,B77,FORM!E:E,$G$1)</f>
        <v>0</v>
      </c>
      <c r="H77" s="68">
        <f t="shared" si="5"/>
        <v>0</v>
      </c>
      <c r="I77" s="69" t="str">
        <f t="shared" si="6"/>
        <v>Kurang</v>
      </c>
      <c r="J77" s="62"/>
      <c r="K77" s="79"/>
      <c r="L77" s="62"/>
      <c r="M77" s="62"/>
      <c r="N77" s="62"/>
      <c r="O77" s="62"/>
      <c r="P77" s="62"/>
      <c r="Q77" s="62"/>
      <c r="R77" s="63"/>
      <c r="S77" s="63"/>
      <c r="T77" s="63"/>
      <c r="U77" s="63"/>
      <c r="V77" s="63"/>
      <c r="W77" s="63"/>
      <c r="X77" s="63"/>
      <c r="Y77" s="63"/>
    </row>
    <row r="78" spans="1:25">
      <c r="A78" s="73" t="s">
        <v>10</v>
      </c>
      <c r="B78" s="65" t="s">
        <v>998</v>
      </c>
      <c r="C78" s="74">
        <v>12</v>
      </c>
      <c r="D78" s="67">
        <f>COUNTIF(FORM!D:D,B78)</f>
        <v>0</v>
      </c>
      <c r="E78" s="67">
        <f>COUNTIFS(FORM!D:D,B78,FORM!E:E,$E$1)</f>
        <v>0</v>
      </c>
      <c r="F78" s="67">
        <f>COUNTIFS(FORM!D:D,B78,FORM!E:E,$F$1)</f>
        <v>0</v>
      </c>
      <c r="G78" s="67">
        <f>COUNTIFS(FORM!D:D,B78,FORM!E:E,$G$1)</f>
        <v>0</v>
      </c>
      <c r="H78" s="68">
        <f t="shared" si="5"/>
        <v>0</v>
      </c>
      <c r="I78" s="69" t="str">
        <f t="shared" si="6"/>
        <v>Kurang</v>
      </c>
      <c r="J78" s="62"/>
      <c r="K78" s="79"/>
      <c r="L78" s="62"/>
      <c r="M78" s="62"/>
      <c r="N78" s="62"/>
      <c r="O78" s="62"/>
      <c r="P78" s="62"/>
      <c r="Q78" s="62"/>
      <c r="R78" s="63"/>
      <c r="S78" s="63"/>
      <c r="T78" s="63"/>
      <c r="U78" s="63"/>
      <c r="V78" s="63"/>
      <c r="W78" s="63"/>
      <c r="X78" s="63"/>
      <c r="Y78" s="63"/>
    </row>
    <row r="79" spans="1:25">
      <c r="A79" s="73" t="s">
        <v>10</v>
      </c>
      <c r="B79" s="65" t="s">
        <v>999</v>
      </c>
      <c r="C79" s="74">
        <v>5</v>
      </c>
      <c r="D79" s="67">
        <f>COUNTIF(FORM!D:D,B79)</f>
        <v>0</v>
      </c>
      <c r="E79" s="67">
        <f>COUNTIFS(FORM!D:D,B79,FORM!E:E,$E$1)</f>
        <v>0</v>
      </c>
      <c r="F79" s="67">
        <f>COUNTIFS(FORM!D:D,B79,FORM!E:E,$F$1)</f>
        <v>0</v>
      </c>
      <c r="G79" s="67">
        <f>COUNTIFS(FORM!D:D,B79,FORM!E:E,$G$1)</f>
        <v>0</v>
      </c>
      <c r="H79" s="68">
        <f t="shared" si="5"/>
        <v>0</v>
      </c>
      <c r="I79" s="69" t="str">
        <f t="shared" si="6"/>
        <v>Kurang</v>
      </c>
      <c r="J79" s="62"/>
      <c r="K79" s="79"/>
      <c r="L79" s="62"/>
      <c r="M79" s="62"/>
      <c r="N79" s="62"/>
      <c r="O79" s="62"/>
      <c r="P79" s="62"/>
      <c r="Q79" s="62"/>
      <c r="R79" s="63"/>
      <c r="S79" s="63"/>
      <c r="T79" s="63"/>
      <c r="U79" s="63"/>
      <c r="V79" s="63"/>
      <c r="W79" s="63"/>
      <c r="X79" s="63"/>
      <c r="Y79" s="63"/>
    </row>
    <row r="80" spans="1:25">
      <c r="A80" s="73" t="s">
        <v>10</v>
      </c>
      <c r="B80" s="65" t="s">
        <v>1000</v>
      </c>
      <c r="C80" s="74">
        <v>9</v>
      </c>
      <c r="D80" s="67">
        <f>COUNTIF(FORM!D:D,B80)</f>
        <v>0</v>
      </c>
      <c r="E80" s="67">
        <f>COUNTIFS(FORM!D:D,B80,FORM!E:E,$E$1)</f>
        <v>0</v>
      </c>
      <c r="F80" s="67">
        <f>COUNTIFS(FORM!D:D,B80,FORM!E:E,$F$1)</f>
        <v>0</v>
      </c>
      <c r="G80" s="67">
        <f>COUNTIFS(FORM!D:D,B80,FORM!E:E,$G$1)</f>
        <v>0</v>
      </c>
      <c r="H80" s="68">
        <f t="shared" si="5"/>
        <v>0</v>
      </c>
      <c r="I80" s="69" t="str">
        <f t="shared" si="6"/>
        <v>Kurang</v>
      </c>
      <c r="J80" s="62"/>
      <c r="K80" s="79"/>
      <c r="L80" s="62"/>
      <c r="M80" s="62"/>
      <c r="N80" s="62"/>
      <c r="O80" s="62"/>
      <c r="P80" s="62"/>
      <c r="Q80" s="62"/>
      <c r="R80" s="63"/>
      <c r="S80" s="63"/>
      <c r="T80" s="63"/>
      <c r="U80" s="63"/>
      <c r="V80" s="63"/>
      <c r="W80" s="63"/>
      <c r="X80" s="63"/>
      <c r="Y80" s="63"/>
    </row>
    <row r="81" spans="1:25">
      <c r="A81" s="73" t="s">
        <v>10</v>
      </c>
      <c r="B81" s="65" t="s">
        <v>1001</v>
      </c>
      <c r="C81" s="74">
        <v>5</v>
      </c>
      <c r="D81" s="67">
        <f>COUNTIF(FORM!D:D,B81)</f>
        <v>0</v>
      </c>
      <c r="E81" s="67">
        <f>COUNTIFS(FORM!D:D,B81,FORM!E:E,$E$1)</f>
        <v>0</v>
      </c>
      <c r="F81" s="67">
        <f>COUNTIFS(FORM!D:D,B81,FORM!E:E,$F$1)</f>
        <v>0</v>
      </c>
      <c r="G81" s="67">
        <f>COUNTIFS(FORM!D:D,B81,FORM!E:E,$G$1)</f>
        <v>0</v>
      </c>
      <c r="H81" s="68">
        <f t="shared" si="5"/>
        <v>0</v>
      </c>
      <c r="I81" s="69" t="str">
        <f t="shared" si="6"/>
        <v>Kurang</v>
      </c>
      <c r="J81" s="62"/>
      <c r="K81" s="79"/>
      <c r="L81" s="62"/>
      <c r="M81" s="62"/>
      <c r="N81" s="62"/>
      <c r="O81" s="62"/>
      <c r="P81" s="62"/>
      <c r="Q81" s="62"/>
      <c r="R81" s="63"/>
      <c r="S81" s="63"/>
      <c r="T81" s="63"/>
      <c r="U81" s="63"/>
      <c r="V81" s="63"/>
      <c r="W81" s="63"/>
      <c r="X81" s="63"/>
      <c r="Y81" s="63"/>
    </row>
    <row r="82" spans="1:25">
      <c r="A82" s="73" t="s">
        <v>10</v>
      </c>
      <c r="B82" s="65" t="s">
        <v>632</v>
      </c>
      <c r="C82" s="74">
        <v>7</v>
      </c>
      <c r="D82" s="67">
        <f>COUNTIF(FORM!D:D,B82)</f>
        <v>5</v>
      </c>
      <c r="E82" s="67">
        <f>COUNTIFS(FORM!D:D,B82,FORM!E:E,$E$1)</f>
        <v>1</v>
      </c>
      <c r="F82" s="67">
        <f>COUNTIFS(FORM!D:D,B82,FORM!E:E,$F$1)</f>
        <v>3</v>
      </c>
      <c r="G82" s="67">
        <f>COUNTIFS(FORM!D:D,B82,FORM!E:E,$G$1)</f>
        <v>1</v>
      </c>
      <c r="H82" s="68">
        <f t="shared" si="5"/>
        <v>0.7142857142857143</v>
      </c>
      <c r="I82" s="69" t="str">
        <f t="shared" si="6"/>
        <v>Lengkap</v>
      </c>
      <c r="J82" s="62"/>
      <c r="K82" s="79"/>
      <c r="L82" s="62"/>
      <c r="M82" s="62"/>
      <c r="N82" s="62"/>
      <c r="O82" s="62"/>
      <c r="P82" s="62"/>
      <c r="Q82" s="62"/>
      <c r="R82" s="63"/>
      <c r="S82" s="63"/>
      <c r="T82" s="63"/>
      <c r="U82" s="63"/>
      <c r="V82" s="63"/>
      <c r="W82" s="63"/>
      <c r="X82" s="63"/>
      <c r="Y82" s="63"/>
    </row>
    <row r="83" spans="1:25">
      <c r="A83" s="73" t="s">
        <v>10</v>
      </c>
      <c r="B83" s="65" t="s">
        <v>1002</v>
      </c>
      <c r="C83" s="74">
        <v>5</v>
      </c>
      <c r="D83" s="67">
        <f>COUNTIF(FORM!D:D,B83)</f>
        <v>2</v>
      </c>
      <c r="E83" s="67">
        <f>COUNTIFS(FORM!D:D,B83,FORM!E:E,$E$1)</f>
        <v>0</v>
      </c>
      <c r="F83" s="67">
        <f>COUNTIFS(FORM!D:D,B83,FORM!E:E,$F$1)</f>
        <v>1</v>
      </c>
      <c r="G83" s="67">
        <f>COUNTIFS(FORM!D:D,B83,FORM!E:E,$G$1)</f>
        <v>1</v>
      </c>
      <c r="H83" s="68">
        <f t="shared" si="5"/>
        <v>0.4</v>
      </c>
      <c r="I83" s="69" t="str">
        <f t="shared" si="6"/>
        <v>Kurang</v>
      </c>
      <c r="J83" s="62"/>
      <c r="K83" s="79"/>
      <c r="L83" s="62"/>
      <c r="M83" s="62"/>
      <c r="N83" s="62"/>
      <c r="O83" s="62"/>
      <c r="P83" s="62"/>
      <c r="Q83" s="62"/>
      <c r="R83" s="63"/>
      <c r="S83" s="63"/>
      <c r="T83" s="63"/>
      <c r="U83" s="63"/>
      <c r="V83" s="63"/>
      <c r="W83" s="63"/>
      <c r="X83" s="63"/>
      <c r="Y83" s="63"/>
    </row>
    <row r="84" spans="1:25">
      <c r="A84" s="73" t="s">
        <v>11</v>
      </c>
      <c r="B84" s="65" t="s">
        <v>1003</v>
      </c>
      <c r="C84" s="74">
        <v>4</v>
      </c>
      <c r="D84" s="67">
        <f>COUNTIF(FORM!D:D,B84)</f>
        <v>4</v>
      </c>
      <c r="E84" s="67">
        <f>COUNTIFS(FORM!D:D,B84,FORM!E:E,$E$1)</f>
        <v>1</v>
      </c>
      <c r="F84" s="67">
        <f>COUNTIFS(FORM!D:D,B84,FORM!E:E,$F$1)</f>
        <v>2</v>
      </c>
      <c r="G84" s="67">
        <f>COUNTIFS(FORM!D:D,B84,FORM!E:E,$G$1)</f>
        <v>1</v>
      </c>
      <c r="H84" s="68">
        <f t="shared" si="5"/>
        <v>1</v>
      </c>
      <c r="I84" s="69" t="str">
        <f t="shared" si="6"/>
        <v>Lengkap</v>
      </c>
      <c r="J84" s="62"/>
      <c r="K84" s="79"/>
      <c r="L84" s="62"/>
      <c r="M84" s="62"/>
      <c r="N84" s="62"/>
      <c r="O84" s="62"/>
      <c r="P84" s="62"/>
      <c r="Q84" s="62"/>
      <c r="R84" s="63"/>
      <c r="S84" s="63"/>
      <c r="T84" s="63"/>
      <c r="U84" s="63"/>
      <c r="V84" s="63"/>
      <c r="W84" s="63"/>
      <c r="X84" s="63"/>
      <c r="Y84" s="63"/>
    </row>
    <row r="85" spans="1:25">
      <c r="A85" s="73" t="s">
        <v>11</v>
      </c>
      <c r="B85" s="65" t="s">
        <v>434</v>
      </c>
      <c r="C85" s="74">
        <v>4</v>
      </c>
      <c r="D85" s="67">
        <f>COUNTIF(FORM!D:D,B85)</f>
        <v>4</v>
      </c>
      <c r="E85" s="67">
        <f>COUNTIFS(FORM!D:D,B85,FORM!E:E,$E$1)</f>
        <v>1</v>
      </c>
      <c r="F85" s="67">
        <f>COUNTIFS(FORM!D:D,B85,FORM!E:E,$F$1)</f>
        <v>2</v>
      </c>
      <c r="G85" s="67">
        <f>COUNTIFS(FORM!D:D,B85,FORM!E:E,$G$1)</f>
        <v>1</v>
      </c>
      <c r="H85" s="68">
        <f t="shared" si="5"/>
        <v>1</v>
      </c>
      <c r="I85" s="69" t="str">
        <f t="shared" si="6"/>
        <v>Lengkap</v>
      </c>
      <c r="J85" s="62"/>
      <c r="K85" s="79"/>
      <c r="L85" s="62"/>
      <c r="M85" s="62"/>
      <c r="N85" s="62"/>
      <c r="O85" s="62"/>
      <c r="P85" s="62"/>
      <c r="Q85" s="62"/>
      <c r="R85" s="63"/>
      <c r="S85" s="63"/>
      <c r="T85" s="63"/>
      <c r="U85" s="63"/>
      <c r="V85" s="63"/>
      <c r="W85" s="63"/>
      <c r="X85" s="63"/>
      <c r="Y85" s="63"/>
    </row>
    <row r="86" spans="1:25">
      <c r="A86" s="73" t="s">
        <v>11</v>
      </c>
      <c r="B86" s="65" t="s">
        <v>278</v>
      </c>
      <c r="C86" s="74">
        <v>5</v>
      </c>
      <c r="D86" s="67">
        <f>COUNTIF(FORM!D:D,B86)</f>
        <v>5</v>
      </c>
      <c r="E86" s="67">
        <f>COUNTIFS(FORM!D:D,B86,FORM!E:E,$E$1)</f>
        <v>1</v>
      </c>
      <c r="F86" s="67">
        <f>COUNTIFS(FORM!D:D,B86,FORM!E:E,$F$1)</f>
        <v>3</v>
      </c>
      <c r="G86" s="67">
        <f>COUNTIFS(FORM!D:D,B86,FORM!E:E,$G$1)</f>
        <v>1</v>
      </c>
      <c r="H86" s="68">
        <f t="shared" si="5"/>
        <v>1</v>
      </c>
      <c r="I86" s="69" t="str">
        <f t="shared" si="6"/>
        <v>Lengkap</v>
      </c>
      <c r="J86" s="62"/>
      <c r="K86" s="79"/>
      <c r="L86" s="62"/>
      <c r="M86" s="62"/>
      <c r="N86" s="62"/>
      <c r="O86" s="62"/>
      <c r="P86" s="62"/>
      <c r="Q86" s="62"/>
      <c r="R86" s="63"/>
      <c r="S86" s="63"/>
      <c r="T86" s="63"/>
      <c r="U86" s="63"/>
      <c r="V86" s="63"/>
      <c r="W86" s="63"/>
      <c r="X86" s="63"/>
      <c r="Y86" s="63"/>
    </row>
    <row r="87" spans="1:25">
      <c r="A87" s="73" t="s">
        <v>11</v>
      </c>
      <c r="B87" s="65" t="s">
        <v>266</v>
      </c>
      <c r="C87" s="74">
        <v>4</v>
      </c>
      <c r="D87" s="67">
        <f>COUNTIF(FORM!D:D,B87)</f>
        <v>4</v>
      </c>
      <c r="E87" s="67">
        <f>COUNTIFS(FORM!D:D,B87,FORM!E:E,$E$1)</f>
        <v>1</v>
      </c>
      <c r="F87" s="67">
        <f>COUNTIFS(FORM!D:D,B87,FORM!E:E,$F$1)</f>
        <v>2</v>
      </c>
      <c r="G87" s="67">
        <f>COUNTIFS(FORM!D:D,B87,FORM!E:E,$G$1)</f>
        <v>1</v>
      </c>
      <c r="H87" s="68">
        <f t="shared" si="5"/>
        <v>1</v>
      </c>
      <c r="I87" s="69" t="str">
        <f t="shared" si="6"/>
        <v>Lengkap</v>
      </c>
      <c r="J87" s="62"/>
      <c r="K87" s="79"/>
      <c r="L87" s="62"/>
      <c r="M87" s="62"/>
      <c r="N87" s="62"/>
      <c r="O87" s="62"/>
      <c r="P87" s="62"/>
      <c r="Q87" s="62"/>
      <c r="R87" s="63"/>
      <c r="S87" s="63"/>
      <c r="T87" s="63"/>
      <c r="U87" s="63"/>
      <c r="V87" s="63"/>
      <c r="W87" s="63"/>
      <c r="X87" s="63"/>
      <c r="Y87" s="63"/>
    </row>
    <row r="88" spans="1:25">
      <c r="A88" s="73" t="s">
        <v>11</v>
      </c>
      <c r="B88" s="65" t="s">
        <v>1004</v>
      </c>
      <c r="C88" s="74">
        <v>4</v>
      </c>
      <c r="D88" s="67">
        <f>COUNTIF(FORM!D:D,B88)</f>
        <v>3</v>
      </c>
      <c r="E88" s="67">
        <f>COUNTIFS(FORM!D:D,B88,FORM!E:E,$E$1)</f>
        <v>1</v>
      </c>
      <c r="F88" s="67">
        <f>COUNTIFS(FORM!D:D,B88,FORM!E:E,$F$1)</f>
        <v>1</v>
      </c>
      <c r="G88" s="67">
        <f>COUNTIFS(FORM!D:D,B88,FORM!E:E,$G$1)</f>
        <v>1</v>
      </c>
      <c r="H88" s="68">
        <f t="shared" si="5"/>
        <v>0.75</v>
      </c>
      <c r="I88" s="69" t="str">
        <f t="shared" si="6"/>
        <v>Lengkap</v>
      </c>
      <c r="J88" s="62"/>
      <c r="K88" s="79"/>
      <c r="L88" s="62"/>
      <c r="M88" s="62"/>
      <c r="N88" s="62"/>
      <c r="O88" s="62"/>
      <c r="P88" s="62"/>
      <c r="Q88" s="62"/>
      <c r="R88" s="63"/>
      <c r="S88" s="63"/>
      <c r="T88" s="63"/>
      <c r="U88" s="63"/>
      <c r="V88" s="63"/>
      <c r="W88" s="63"/>
      <c r="X88" s="63"/>
      <c r="Y88" s="63"/>
    </row>
    <row r="89" spans="1:25">
      <c r="A89" s="73" t="s">
        <v>11</v>
      </c>
      <c r="B89" s="65" t="s">
        <v>386</v>
      </c>
      <c r="C89" s="74">
        <v>4</v>
      </c>
      <c r="D89" s="67">
        <f>COUNTIF(FORM!D:D,B89)</f>
        <v>4</v>
      </c>
      <c r="E89" s="67">
        <f>COUNTIFS(FORM!D:D,B89,FORM!E:E,$E$1)</f>
        <v>1</v>
      </c>
      <c r="F89" s="67">
        <f>COUNTIFS(FORM!D:D,B89,FORM!E:E,$F$1)</f>
        <v>2</v>
      </c>
      <c r="G89" s="67">
        <f>COUNTIFS(FORM!D:D,B89,FORM!E:E,$G$1)</f>
        <v>1</v>
      </c>
      <c r="H89" s="68">
        <f t="shared" si="5"/>
        <v>1</v>
      </c>
      <c r="I89" s="69" t="str">
        <f t="shared" si="6"/>
        <v>Lengkap</v>
      </c>
      <c r="J89" s="62"/>
      <c r="K89" s="79"/>
      <c r="L89" s="62"/>
      <c r="M89" s="62"/>
      <c r="N89" s="62"/>
      <c r="O89" s="62"/>
      <c r="P89" s="62"/>
      <c r="Q89" s="62"/>
      <c r="R89" s="63"/>
      <c r="S89" s="63"/>
      <c r="T89" s="63"/>
      <c r="U89" s="63"/>
      <c r="V89" s="63"/>
      <c r="W89" s="63"/>
      <c r="X89" s="63"/>
      <c r="Y89" s="63"/>
    </row>
    <row r="90" spans="1:25">
      <c r="A90" s="73" t="s">
        <v>11</v>
      </c>
      <c r="B90" s="65" t="s">
        <v>1005</v>
      </c>
      <c r="C90" s="74">
        <v>4</v>
      </c>
      <c r="D90" s="67">
        <f>COUNTIF(FORM!D:D,B90)</f>
        <v>4</v>
      </c>
      <c r="E90" s="67">
        <f>COUNTIFS(FORM!D:D,B90,FORM!E:E,$E$1)</f>
        <v>1</v>
      </c>
      <c r="F90" s="67">
        <f>COUNTIFS(FORM!D:D,B90,FORM!E:E,$F$1)</f>
        <v>2</v>
      </c>
      <c r="G90" s="67">
        <f>COUNTIFS(FORM!D:D,B90,FORM!E:E,$G$1)</f>
        <v>1</v>
      </c>
      <c r="H90" s="68">
        <f t="shared" si="5"/>
        <v>1</v>
      </c>
      <c r="I90" s="69" t="str">
        <f t="shared" si="6"/>
        <v>Lengkap</v>
      </c>
      <c r="J90" s="62"/>
      <c r="K90" s="79"/>
      <c r="L90" s="62"/>
      <c r="M90" s="62"/>
      <c r="N90" s="62"/>
      <c r="O90" s="62"/>
      <c r="P90" s="62"/>
      <c r="Q90" s="62"/>
      <c r="R90" s="63"/>
      <c r="S90" s="63"/>
      <c r="T90" s="63"/>
      <c r="U90" s="63"/>
      <c r="V90" s="63"/>
      <c r="W90" s="63"/>
      <c r="X90" s="63"/>
      <c r="Y90" s="63"/>
    </row>
    <row r="91" spans="1:25">
      <c r="A91" s="73" t="s">
        <v>11</v>
      </c>
      <c r="B91" s="65" t="s">
        <v>203</v>
      </c>
      <c r="C91" s="74">
        <v>6</v>
      </c>
      <c r="D91" s="67">
        <f>COUNTIF(FORM!D:D,B91)</f>
        <v>5</v>
      </c>
      <c r="E91" s="67">
        <f>COUNTIFS(FORM!D:D,B91,FORM!E:E,$E$1)</f>
        <v>1</v>
      </c>
      <c r="F91" s="67">
        <f>COUNTIFS(FORM!D:D,B91,FORM!E:E,$F$1)</f>
        <v>3</v>
      </c>
      <c r="G91" s="67">
        <f>COUNTIFS(FORM!D:D,B91,FORM!E:E,$G$1)</f>
        <v>1</v>
      </c>
      <c r="H91" s="68">
        <f t="shared" si="5"/>
        <v>0.83333333333333337</v>
      </c>
      <c r="I91" s="69" t="str">
        <f t="shared" si="6"/>
        <v>Lengkap</v>
      </c>
      <c r="J91" s="62"/>
      <c r="K91" s="79"/>
      <c r="L91" s="62"/>
      <c r="M91" s="62"/>
      <c r="N91" s="62"/>
      <c r="O91" s="62"/>
      <c r="P91" s="62"/>
      <c r="Q91" s="62"/>
      <c r="R91" s="63"/>
      <c r="S91" s="63"/>
      <c r="T91" s="63"/>
      <c r="U91" s="63"/>
      <c r="V91" s="63"/>
      <c r="W91" s="63"/>
      <c r="X91" s="63"/>
      <c r="Y91" s="63"/>
    </row>
    <row r="92" spans="1:25">
      <c r="A92" s="73" t="s">
        <v>11</v>
      </c>
      <c r="B92" s="65" t="s">
        <v>304</v>
      </c>
      <c r="C92" s="74">
        <v>5</v>
      </c>
      <c r="D92" s="67">
        <f>COUNTIF(FORM!D:D,B92)</f>
        <v>5</v>
      </c>
      <c r="E92" s="67">
        <f>COUNTIFS(FORM!D:D,B92,FORM!E:E,$E$1)</f>
        <v>1</v>
      </c>
      <c r="F92" s="67">
        <f>COUNTIFS(FORM!D:D,B92,FORM!E:E,$F$1)</f>
        <v>3</v>
      </c>
      <c r="G92" s="67">
        <f>COUNTIFS(FORM!D:D,B92,FORM!E:E,$G$1)</f>
        <v>1</v>
      </c>
      <c r="H92" s="68">
        <f t="shared" si="5"/>
        <v>1</v>
      </c>
      <c r="I92" s="69" t="str">
        <f t="shared" si="6"/>
        <v>Lengkap</v>
      </c>
      <c r="J92" s="62"/>
      <c r="K92" s="79"/>
      <c r="L92" s="62"/>
      <c r="M92" s="62"/>
      <c r="N92" s="62"/>
      <c r="O92" s="62"/>
      <c r="P92" s="62"/>
      <c r="Q92" s="62"/>
      <c r="R92" s="63"/>
      <c r="S92" s="63"/>
      <c r="T92" s="63"/>
      <c r="U92" s="63"/>
      <c r="V92" s="63"/>
      <c r="W92" s="63"/>
      <c r="X92" s="63"/>
      <c r="Y92" s="63"/>
    </row>
    <row r="93" spans="1:25">
      <c r="A93" s="80" t="s">
        <v>102</v>
      </c>
      <c r="B93" s="81"/>
      <c r="C93" s="82">
        <f>SUM(C2:C92)</f>
        <v>512</v>
      </c>
      <c r="D93" s="82">
        <f>SUM(D2:D92)</f>
        <v>242</v>
      </c>
      <c r="E93" s="82">
        <f>SUM(E2:E92)</f>
        <v>56</v>
      </c>
      <c r="F93" s="82">
        <f>SUM(F2:F92)</f>
        <v>133</v>
      </c>
      <c r="G93" s="82">
        <f>SUM(G2:G92)</f>
        <v>53</v>
      </c>
      <c r="H93" s="83">
        <f t="shared" si="5"/>
        <v>0.47265625</v>
      </c>
      <c r="I93" s="83">
        <f>COUNTIF(I2:I92, "lengkap")/COUNTA(I2:I92)</f>
        <v>0.51648351648351654</v>
      </c>
      <c r="J93" s="62"/>
      <c r="K93" s="79"/>
      <c r="L93" s="62"/>
      <c r="M93" s="62"/>
      <c r="N93" s="62"/>
      <c r="O93" s="62"/>
      <c r="P93" s="62"/>
      <c r="Q93" s="62"/>
      <c r="R93" s="63"/>
      <c r="S93" s="63"/>
      <c r="T93" s="63"/>
      <c r="U93" s="63"/>
      <c r="V93" s="63"/>
      <c r="W93" s="63"/>
      <c r="X93" s="63"/>
      <c r="Y93" s="63"/>
    </row>
    <row r="94" spans="1:25">
      <c r="A94" s="62"/>
      <c r="B94" s="84"/>
      <c r="C94" s="62"/>
      <c r="D94" s="62"/>
      <c r="E94" s="1"/>
      <c r="F94" s="1"/>
      <c r="G94" s="1"/>
      <c r="H94" s="62"/>
      <c r="J94" s="62"/>
      <c r="K94" s="79"/>
      <c r="L94" s="62"/>
      <c r="M94" s="62"/>
      <c r="N94" s="62"/>
      <c r="O94" s="62"/>
      <c r="P94" s="62"/>
      <c r="Q94" s="62"/>
      <c r="R94" s="63"/>
      <c r="S94" s="63"/>
      <c r="T94" s="63"/>
      <c r="U94" s="63"/>
      <c r="V94" s="63"/>
      <c r="W94" s="63"/>
      <c r="X94" s="63"/>
      <c r="Y94" s="63"/>
    </row>
    <row r="95" spans="1:25">
      <c r="A95" s="62"/>
      <c r="B95" s="84"/>
      <c r="C95" s="62"/>
      <c r="D95" s="62"/>
      <c r="E95" s="1"/>
      <c r="F95" s="1"/>
      <c r="G95" s="1"/>
      <c r="H95" s="62"/>
      <c r="J95" s="62"/>
      <c r="K95" s="79"/>
      <c r="L95" s="62"/>
      <c r="M95" s="62"/>
      <c r="N95" s="62"/>
      <c r="O95" s="62"/>
      <c r="P95" s="62"/>
      <c r="Q95" s="62"/>
      <c r="R95" s="63"/>
      <c r="S95" s="63"/>
      <c r="T95" s="63"/>
      <c r="U95" s="63"/>
      <c r="V95" s="63"/>
      <c r="W95" s="63"/>
      <c r="X95" s="63"/>
      <c r="Y95" s="63"/>
    </row>
    <row r="96" spans="1:25">
      <c r="A96" s="62"/>
      <c r="B96" s="84"/>
      <c r="C96" s="62"/>
      <c r="D96" s="62"/>
      <c r="E96" s="1"/>
      <c r="F96" s="1"/>
      <c r="G96" s="1"/>
      <c r="H96" s="62"/>
      <c r="J96" s="62"/>
      <c r="K96" s="79"/>
      <c r="L96" s="62"/>
      <c r="M96" s="62"/>
      <c r="N96" s="62"/>
      <c r="O96" s="62"/>
      <c r="P96" s="62"/>
      <c r="Q96" s="62"/>
      <c r="R96" s="63"/>
      <c r="S96" s="63"/>
      <c r="T96" s="63"/>
      <c r="U96" s="63"/>
      <c r="V96" s="63"/>
      <c r="W96" s="63"/>
      <c r="X96" s="63"/>
      <c r="Y96" s="63"/>
    </row>
    <row r="97" spans="1:25">
      <c r="A97" s="62"/>
      <c r="B97" s="84"/>
      <c r="C97" s="62"/>
      <c r="D97" s="62"/>
      <c r="E97" s="1"/>
      <c r="F97" s="1"/>
      <c r="G97" s="1"/>
      <c r="H97" s="62"/>
      <c r="J97" s="62"/>
      <c r="K97" s="79"/>
      <c r="L97" s="62"/>
      <c r="M97" s="62"/>
      <c r="N97" s="62"/>
      <c r="O97" s="62"/>
      <c r="P97" s="62"/>
      <c r="Q97" s="62"/>
      <c r="R97" s="63"/>
      <c r="S97" s="63"/>
      <c r="T97" s="63"/>
      <c r="U97" s="63"/>
      <c r="V97" s="63"/>
      <c r="W97" s="63"/>
      <c r="X97" s="63"/>
      <c r="Y97" s="63"/>
    </row>
    <row r="98" spans="1:25">
      <c r="A98" s="62"/>
      <c r="B98" s="84"/>
      <c r="C98" s="62"/>
      <c r="D98" s="62"/>
      <c r="E98" s="1"/>
      <c r="F98" s="1"/>
      <c r="G98" s="1"/>
      <c r="H98" s="62"/>
      <c r="J98" s="62"/>
      <c r="K98" s="79"/>
      <c r="L98" s="62"/>
      <c r="M98" s="62"/>
      <c r="N98" s="62"/>
      <c r="O98" s="62"/>
      <c r="P98" s="62"/>
      <c r="Q98" s="62"/>
      <c r="R98" s="63"/>
      <c r="S98" s="63"/>
      <c r="T98" s="63"/>
      <c r="U98" s="63"/>
      <c r="V98" s="63"/>
      <c r="W98" s="63"/>
      <c r="X98" s="63"/>
      <c r="Y98" s="63"/>
    </row>
    <row r="99" spans="1:25">
      <c r="A99" s="62"/>
      <c r="B99" s="84"/>
      <c r="C99" s="62"/>
      <c r="D99" s="62"/>
      <c r="E99" s="1"/>
      <c r="F99" s="1"/>
      <c r="G99" s="1"/>
      <c r="H99" s="62"/>
      <c r="J99" s="62"/>
      <c r="K99" s="79"/>
      <c r="L99" s="62"/>
      <c r="M99" s="62"/>
      <c r="N99" s="62"/>
      <c r="O99" s="62"/>
      <c r="P99" s="62"/>
      <c r="Q99" s="62"/>
      <c r="R99" s="63"/>
      <c r="S99" s="63"/>
      <c r="T99" s="63"/>
      <c r="U99" s="63"/>
      <c r="V99" s="63"/>
      <c r="W99" s="63"/>
      <c r="X99" s="63"/>
      <c r="Y99" s="63"/>
    </row>
    <row r="100" spans="1:25">
      <c r="A100" s="62"/>
      <c r="B100" s="84"/>
      <c r="C100" s="85"/>
      <c r="D100" s="85"/>
      <c r="E100" s="85"/>
      <c r="F100" s="85"/>
      <c r="G100" s="85"/>
      <c r="H100" s="85"/>
      <c r="J100" s="62"/>
      <c r="K100" s="79"/>
      <c r="L100" s="62"/>
      <c r="M100" s="62"/>
      <c r="N100" s="62"/>
      <c r="O100" s="62"/>
      <c r="P100" s="62"/>
      <c r="Q100" s="62"/>
      <c r="R100" s="63"/>
      <c r="S100" s="63"/>
      <c r="T100" s="63"/>
      <c r="U100" s="63"/>
      <c r="V100" s="63"/>
      <c r="W100" s="63"/>
      <c r="X100" s="63"/>
      <c r="Y100" s="63"/>
    </row>
    <row r="101" spans="1:25">
      <c r="A101" s="62"/>
      <c r="B101" s="84"/>
      <c r="C101" s="85"/>
      <c r="D101" s="85"/>
      <c r="E101" s="85"/>
      <c r="F101" s="85"/>
      <c r="G101" s="85"/>
      <c r="H101" s="85"/>
      <c r="J101" s="62"/>
      <c r="K101" s="79"/>
      <c r="L101" s="62"/>
      <c r="M101" s="62"/>
      <c r="N101" s="62"/>
      <c r="O101" s="62"/>
      <c r="P101" s="62"/>
      <c r="Q101" s="62"/>
      <c r="R101" s="63"/>
      <c r="S101" s="63"/>
      <c r="T101" s="63"/>
      <c r="U101" s="63"/>
      <c r="V101" s="63"/>
      <c r="W101" s="63"/>
      <c r="X101" s="63"/>
      <c r="Y101" s="63"/>
    </row>
    <row r="102" spans="1:25">
      <c r="A102" s="62"/>
      <c r="B102" s="84"/>
      <c r="C102" s="85"/>
      <c r="D102" s="85"/>
      <c r="E102" s="85"/>
      <c r="F102" s="85"/>
      <c r="G102" s="85"/>
      <c r="H102" s="85"/>
      <c r="J102" s="62"/>
      <c r="K102" s="79"/>
      <c r="L102" s="62"/>
      <c r="M102" s="62"/>
      <c r="N102" s="62"/>
      <c r="O102" s="62"/>
      <c r="P102" s="62"/>
      <c r="Q102" s="62"/>
      <c r="R102" s="63"/>
      <c r="S102" s="63"/>
      <c r="T102" s="63"/>
      <c r="U102" s="63"/>
      <c r="V102" s="63"/>
      <c r="W102" s="63"/>
      <c r="X102" s="63"/>
      <c r="Y102" s="63"/>
    </row>
    <row r="103" spans="1:25">
      <c r="A103" s="62"/>
      <c r="B103" s="84"/>
      <c r="C103" s="85"/>
      <c r="D103" s="85"/>
      <c r="E103" s="85"/>
      <c r="F103" s="85"/>
      <c r="G103" s="85"/>
      <c r="H103" s="85"/>
      <c r="J103" s="62"/>
      <c r="K103" s="79"/>
      <c r="L103" s="62"/>
      <c r="M103" s="62"/>
      <c r="N103" s="62"/>
      <c r="O103" s="62"/>
      <c r="P103" s="62"/>
      <c r="Q103" s="62"/>
      <c r="R103" s="63"/>
      <c r="S103" s="63"/>
      <c r="T103" s="63"/>
      <c r="U103" s="63"/>
      <c r="V103" s="63"/>
      <c r="W103" s="63"/>
      <c r="X103" s="63"/>
      <c r="Y103" s="63"/>
    </row>
    <row r="104" spans="1:25">
      <c r="A104" s="62"/>
      <c r="B104" s="84"/>
      <c r="C104" s="85"/>
      <c r="D104" s="85"/>
      <c r="E104" s="85"/>
      <c r="F104" s="85"/>
      <c r="G104" s="85"/>
      <c r="H104" s="85"/>
      <c r="J104" s="62"/>
      <c r="K104" s="79"/>
      <c r="L104" s="62"/>
      <c r="M104" s="62"/>
      <c r="N104" s="62"/>
      <c r="O104" s="62"/>
      <c r="P104" s="62"/>
      <c r="Q104" s="62"/>
      <c r="R104" s="63"/>
      <c r="S104" s="63"/>
      <c r="T104" s="63"/>
      <c r="U104" s="63"/>
      <c r="V104" s="63"/>
      <c r="W104" s="63"/>
      <c r="X104" s="63"/>
      <c r="Y104" s="63"/>
    </row>
    <row r="105" spans="1:25">
      <c r="A105" s="62"/>
      <c r="B105" s="84"/>
      <c r="C105" s="85"/>
      <c r="D105" s="85"/>
      <c r="E105" s="85"/>
      <c r="F105" s="85"/>
      <c r="G105" s="85"/>
      <c r="H105" s="85"/>
      <c r="J105" s="86"/>
      <c r="K105" s="85"/>
      <c r="L105" s="85"/>
      <c r="M105" s="85"/>
      <c r="N105" s="85"/>
      <c r="O105" s="85"/>
      <c r="P105" s="85"/>
      <c r="Q105" s="85"/>
      <c r="R105" s="63"/>
      <c r="S105" s="63"/>
      <c r="T105" s="63"/>
      <c r="U105" s="63"/>
      <c r="V105" s="63"/>
      <c r="W105" s="63"/>
      <c r="X105" s="63"/>
      <c r="Y105" s="63"/>
    </row>
    <row r="106" spans="1:25">
      <c r="A106" s="85"/>
      <c r="B106" s="85"/>
      <c r="C106" s="85"/>
      <c r="D106" s="85"/>
      <c r="E106" s="85"/>
      <c r="F106" s="85"/>
      <c r="G106" s="85"/>
      <c r="H106" s="85"/>
      <c r="J106" s="85"/>
      <c r="K106" s="85"/>
      <c r="L106" s="85"/>
      <c r="M106" s="85"/>
      <c r="N106" s="85"/>
      <c r="O106" s="85"/>
      <c r="P106" s="85"/>
      <c r="Q106" s="85"/>
      <c r="R106" s="63"/>
      <c r="S106" s="63"/>
      <c r="T106" s="63"/>
      <c r="U106" s="63"/>
      <c r="V106" s="63"/>
      <c r="W106" s="63"/>
      <c r="X106" s="63"/>
      <c r="Y106" s="63"/>
    </row>
    <row r="107" spans="1:25">
      <c r="A107" s="85"/>
      <c r="B107" s="85"/>
      <c r="C107" s="85"/>
      <c r="D107" s="85"/>
      <c r="E107" s="85"/>
      <c r="F107" s="85"/>
      <c r="G107" s="85"/>
      <c r="H107" s="85"/>
      <c r="J107" s="85"/>
      <c r="K107" s="85"/>
      <c r="L107" s="85"/>
      <c r="M107" s="85"/>
      <c r="N107" s="85"/>
      <c r="O107" s="85"/>
      <c r="P107" s="85"/>
      <c r="Q107" s="85"/>
      <c r="R107" s="63"/>
      <c r="S107" s="63"/>
      <c r="T107" s="63"/>
      <c r="U107" s="63"/>
      <c r="V107" s="63"/>
      <c r="W107" s="63"/>
      <c r="X107" s="63"/>
      <c r="Y107" s="63"/>
    </row>
    <row r="108" spans="1:25">
      <c r="A108" s="85"/>
      <c r="B108" s="85"/>
      <c r="C108" s="85"/>
      <c r="D108" s="85"/>
      <c r="E108" s="85"/>
      <c r="F108" s="85"/>
      <c r="G108" s="85"/>
      <c r="H108" s="85"/>
      <c r="J108" s="85"/>
      <c r="K108" s="85"/>
      <c r="L108" s="85"/>
      <c r="M108" s="85"/>
      <c r="N108" s="85"/>
      <c r="O108" s="85"/>
      <c r="P108" s="85"/>
      <c r="Q108" s="85"/>
      <c r="R108" s="63"/>
      <c r="S108" s="63"/>
      <c r="T108" s="63"/>
      <c r="U108" s="63"/>
      <c r="V108" s="63"/>
      <c r="W108" s="63"/>
      <c r="X108" s="63"/>
      <c r="Y108" s="63"/>
    </row>
    <row r="109" spans="1:25">
      <c r="A109" s="85"/>
      <c r="B109" s="85"/>
      <c r="C109" s="85"/>
      <c r="D109" s="85"/>
      <c r="E109" s="85"/>
      <c r="F109" s="85"/>
      <c r="G109" s="85"/>
      <c r="H109" s="85"/>
      <c r="J109" s="85"/>
      <c r="K109" s="85"/>
      <c r="L109" s="85"/>
      <c r="M109" s="85"/>
      <c r="N109" s="85"/>
      <c r="O109" s="85"/>
      <c r="P109" s="85"/>
      <c r="Q109" s="85"/>
      <c r="R109" s="63"/>
      <c r="S109" s="63"/>
      <c r="T109" s="63"/>
      <c r="U109" s="63"/>
      <c r="V109" s="63"/>
      <c r="W109" s="63"/>
      <c r="X109" s="63"/>
      <c r="Y109" s="63"/>
    </row>
    <row r="110" spans="1:25">
      <c r="A110" s="85"/>
      <c r="B110" s="85"/>
      <c r="C110" s="85"/>
      <c r="D110" s="85"/>
      <c r="E110" s="85"/>
      <c r="F110" s="85"/>
      <c r="G110" s="85"/>
      <c r="H110" s="85"/>
      <c r="J110" s="85"/>
      <c r="K110" s="85"/>
      <c r="L110" s="85"/>
      <c r="M110" s="85"/>
      <c r="N110" s="85"/>
      <c r="O110" s="85"/>
      <c r="P110" s="85"/>
      <c r="Q110" s="85"/>
      <c r="R110" s="63"/>
      <c r="S110" s="63"/>
      <c r="T110" s="63"/>
      <c r="U110" s="63"/>
      <c r="V110" s="63"/>
      <c r="W110" s="63"/>
      <c r="X110" s="63"/>
      <c r="Y110" s="63"/>
    </row>
    <row r="111" spans="1:25">
      <c r="A111" s="85"/>
      <c r="B111" s="85"/>
      <c r="C111" s="85"/>
      <c r="D111" s="85"/>
      <c r="E111" s="85"/>
      <c r="F111" s="85"/>
      <c r="G111" s="85"/>
      <c r="H111" s="85"/>
      <c r="J111" s="85"/>
      <c r="K111" s="85"/>
      <c r="L111" s="85"/>
      <c r="M111" s="85"/>
      <c r="N111" s="85"/>
      <c r="O111" s="85"/>
      <c r="P111" s="85"/>
      <c r="Q111" s="85"/>
      <c r="R111" s="63"/>
      <c r="S111" s="63"/>
      <c r="T111" s="63"/>
      <c r="U111" s="63"/>
      <c r="V111" s="63"/>
      <c r="W111" s="63"/>
      <c r="X111" s="63"/>
      <c r="Y111" s="63"/>
    </row>
    <row r="112" spans="1:25">
      <c r="A112" s="85"/>
      <c r="B112" s="85"/>
      <c r="C112" s="85"/>
      <c r="D112" s="85"/>
      <c r="E112" s="85"/>
      <c r="F112" s="85"/>
      <c r="G112" s="85"/>
      <c r="H112" s="85"/>
      <c r="J112" s="85"/>
      <c r="K112" s="85"/>
      <c r="L112" s="85"/>
      <c r="M112" s="85"/>
      <c r="N112" s="85"/>
      <c r="O112" s="85"/>
      <c r="P112" s="85"/>
      <c r="Q112" s="85"/>
      <c r="R112" s="63"/>
      <c r="S112" s="63"/>
      <c r="T112" s="63"/>
      <c r="U112" s="63"/>
      <c r="V112" s="63"/>
      <c r="W112" s="63"/>
      <c r="X112" s="63"/>
      <c r="Y112" s="63"/>
    </row>
    <row r="113" spans="1:25">
      <c r="A113" s="85"/>
      <c r="B113" s="85"/>
      <c r="C113" s="85"/>
      <c r="D113" s="85"/>
      <c r="E113" s="85"/>
      <c r="F113" s="85"/>
      <c r="G113" s="85"/>
      <c r="H113" s="85"/>
      <c r="J113" s="85"/>
      <c r="K113" s="85"/>
      <c r="L113" s="85"/>
      <c r="M113" s="85"/>
      <c r="N113" s="85"/>
      <c r="O113" s="85"/>
      <c r="P113" s="85"/>
      <c r="Q113" s="85"/>
      <c r="R113" s="63"/>
      <c r="S113" s="63"/>
      <c r="T113" s="63"/>
      <c r="U113" s="63"/>
      <c r="V113" s="63"/>
      <c r="W113" s="63"/>
      <c r="X113" s="63"/>
      <c r="Y113" s="63"/>
    </row>
    <row r="114" spans="1:25">
      <c r="A114" s="85"/>
      <c r="B114" s="85"/>
      <c r="C114" s="85"/>
      <c r="D114" s="85"/>
      <c r="E114" s="85"/>
      <c r="F114" s="85"/>
      <c r="G114" s="85"/>
      <c r="H114" s="85"/>
      <c r="J114" s="85"/>
      <c r="K114" s="85"/>
      <c r="L114" s="85"/>
      <c r="M114" s="85"/>
      <c r="N114" s="85"/>
      <c r="O114" s="85"/>
      <c r="P114" s="85"/>
      <c r="Q114" s="85"/>
      <c r="R114" s="63"/>
      <c r="S114" s="63"/>
      <c r="T114" s="63"/>
      <c r="U114" s="63"/>
      <c r="V114" s="63"/>
      <c r="W114" s="63"/>
      <c r="X114" s="63"/>
      <c r="Y114" s="63"/>
    </row>
    <row r="115" spans="1:25">
      <c r="A115" s="85"/>
      <c r="B115" s="85"/>
      <c r="C115" s="85"/>
      <c r="D115" s="85"/>
      <c r="E115" s="85"/>
      <c r="F115" s="85"/>
      <c r="G115" s="85"/>
      <c r="H115" s="85"/>
      <c r="J115" s="85"/>
      <c r="K115" s="85"/>
      <c r="L115" s="85"/>
      <c r="M115" s="85"/>
      <c r="N115" s="85"/>
      <c r="O115" s="85"/>
      <c r="P115" s="85"/>
      <c r="Q115" s="85"/>
      <c r="R115" s="63"/>
      <c r="S115" s="63"/>
      <c r="T115" s="63"/>
      <c r="U115" s="63"/>
      <c r="V115" s="63"/>
      <c r="W115" s="63"/>
      <c r="X115" s="63"/>
      <c r="Y115" s="63"/>
    </row>
    <row r="116" spans="1:25">
      <c r="A116" s="85"/>
      <c r="B116" s="85"/>
      <c r="C116" s="85"/>
      <c r="D116" s="85"/>
      <c r="E116" s="85"/>
      <c r="F116" s="85"/>
      <c r="G116" s="85"/>
      <c r="H116" s="85"/>
      <c r="J116" s="85"/>
      <c r="K116" s="85"/>
      <c r="L116" s="85"/>
      <c r="M116" s="85"/>
      <c r="N116" s="85"/>
      <c r="O116" s="85"/>
      <c r="P116" s="85"/>
      <c r="Q116" s="85"/>
      <c r="R116" s="63"/>
      <c r="S116" s="63"/>
      <c r="T116" s="63"/>
      <c r="U116" s="63"/>
      <c r="V116" s="63"/>
      <c r="W116" s="63"/>
      <c r="X116" s="63"/>
      <c r="Y116" s="63"/>
    </row>
    <row r="117" spans="1:25">
      <c r="A117" s="85"/>
      <c r="B117" s="85"/>
      <c r="C117" s="85"/>
      <c r="D117" s="85"/>
      <c r="E117" s="85"/>
      <c r="F117" s="85"/>
      <c r="G117" s="85"/>
      <c r="H117" s="85"/>
      <c r="J117" s="85"/>
      <c r="K117" s="85"/>
      <c r="L117" s="85"/>
      <c r="M117" s="85"/>
      <c r="N117" s="85"/>
      <c r="O117" s="85"/>
      <c r="P117" s="85"/>
      <c r="Q117" s="85"/>
      <c r="R117" s="63"/>
      <c r="S117" s="63"/>
      <c r="T117" s="63"/>
      <c r="U117" s="63"/>
      <c r="V117" s="63"/>
      <c r="W117" s="63"/>
      <c r="X117" s="63"/>
      <c r="Y117" s="63"/>
    </row>
    <row r="118" spans="1:25">
      <c r="A118" s="85"/>
      <c r="B118" s="85"/>
      <c r="C118" s="85"/>
      <c r="D118" s="85"/>
      <c r="E118" s="85"/>
      <c r="F118" s="85"/>
      <c r="G118" s="85"/>
      <c r="H118" s="85"/>
      <c r="J118" s="85"/>
      <c r="K118" s="85"/>
      <c r="L118" s="85"/>
      <c r="M118" s="85"/>
      <c r="N118" s="85"/>
      <c r="O118" s="85"/>
      <c r="P118" s="85"/>
      <c r="Q118" s="85"/>
      <c r="R118" s="63"/>
      <c r="S118" s="63"/>
      <c r="T118" s="63"/>
      <c r="U118" s="63"/>
      <c r="V118" s="63"/>
      <c r="W118" s="63"/>
      <c r="X118" s="63"/>
      <c r="Y118" s="63"/>
    </row>
    <row r="119" spans="1:25">
      <c r="A119" s="85"/>
      <c r="B119" s="85"/>
      <c r="C119" s="85"/>
      <c r="D119" s="85"/>
      <c r="E119" s="85"/>
      <c r="F119" s="85"/>
      <c r="G119" s="85"/>
      <c r="H119" s="85"/>
      <c r="J119" s="85"/>
      <c r="K119" s="85"/>
      <c r="L119" s="85"/>
      <c r="M119" s="85"/>
      <c r="N119" s="85"/>
      <c r="O119" s="85"/>
      <c r="P119" s="85"/>
      <c r="Q119" s="85"/>
      <c r="R119" s="63"/>
      <c r="S119" s="63"/>
      <c r="T119" s="63"/>
      <c r="U119" s="63"/>
      <c r="V119" s="63"/>
      <c r="W119" s="63"/>
      <c r="X119" s="63"/>
      <c r="Y119" s="63"/>
    </row>
    <row r="120" spans="1:25">
      <c r="A120" s="85"/>
      <c r="B120" s="85"/>
      <c r="C120" s="85"/>
      <c r="D120" s="85"/>
      <c r="E120" s="85"/>
      <c r="F120" s="85"/>
      <c r="G120" s="85"/>
      <c r="H120" s="85"/>
      <c r="J120" s="85"/>
      <c r="K120" s="85"/>
      <c r="L120" s="85"/>
      <c r="M120" s="85"/>
      <c r="N120" s="85"/>
      <c r="O120" s="85"/>
      <c r="P120" s="85"/>
      <c r="Q120" s="85"/>
      <c r="R120" s="63"/>
      <c r="S120" s="63"/>
      <c r="T120" s="63"/>
      <c r="U120" s="63"/>
      <c r="V120" s="63"/>
      <c r="W120" s="63"/>
      <c r="X120" s="63"/>
      <c r="Y120" s="63"/>
    </row>
    <row r="121" spans="1:25">
      <c r="A121" s="85"/>
      <c r="B121" s="85"/>
      <c r="C121" s="85"/>
      <c r="D121" s="85"/>
      <c r="E121" s="85"/>
      <c r="F121" s="85"/>
      <c r="G121" s="85"/>
      <c r="H121" s="85"/>
      <c r="J121" s="85"/>
      <c r="K121" s="85"/>
      <c r="L121" s="85"/>
      <c r="M121" s="85"/>
      <c r="N121" s="85"/>
      <c r="O121" s="85"/>
      <c r="P121" s="85"/>
      <c r="Q121" s="85"/>
      <c r="R121" s="63"/>
      <c r="S121" s="63"/>
      <c r="T121" s="63"/>
      <c r="U121" s="63"/>
      <c r="V121" s="63"/>
      <c r="W121" s="63"/>
      <c r="X121" s="63"/>
      <c r="Y121" s="63"/>
    </row>
    <row r="122" spans="1:25">
      <c r="A122" s="85"/>
      <c r="B122" s="85"/>
      <c r="C122" s="85"/>
      <c r="D122" s="85"/>
      <c r="E122" s="85"/>
      <c r="F122" s="85"/>
      <c r="G122" s="85"/>
      <c r="H122" s="85"/>
      <c r="J122" s="85"/>
      <c r="K122" s="85"/>
      <c r="L122" s="85"/>
      <c r="M122" s="85"/>
      <c r="N122" s="85"/>
      <c r="O122" s="85"/>
      <c r="P122" s="85"/>
      <c r="Q122" s="85"/>
      <c r="R122" s="63"/>
      <c r="S122" s="63"/>
      <c r="T122" s="63"/>
      <c r="U122" s="63"/>
      <c r="V122" s="63"/>
      <c r="W122" s="63"/>
      <c r="X122" s="63"/>
      <c r="Y122" s="63"/>
    </row>
    <row r="123" spans="1:25">
      <c r="A123" s="85"/>
      <c r="B123" s="85"/>
      <c r="C123" s="85"/>
      <c r="D123" s="85"/>
      <c r="E123" s="85"/>
      <c r="F123" s="85"/>
      <c r="G123" s="85"/>
      <c r="H123" s="85"/>
      <c r="J123" s="85"/>
      <c r="K123" s="85"/>
      <c r="L123" s="85"/>
      <c r="M123" s="85"/>
      <c r="N123" s="85"/>
      <c r="O123" s="85"/>
      <c r="P123" s="85"/>
      <c r="Q123" s="85"/>
      <c r="R123" s="63"/>
      <c r="S123" s="63"/>
      <c r="T123" s="63"/>
      <c r="U123" s="63"/>
      <c r="V123" s="63"/>
      <c r="W123" s="63"/>
      <c r="X123" s="63"/>
      <c r="Y123" s="63"/>
    </row>
    <row r="124" spans="1:25">
      <c r="A124" s="85"/>
      <c r="B124" s="85"/>
      <c r="C124" s="85"/>
      <c r="D124" s="85"/>
      <c r="E124" s="85"/>
      <c r="F124" s="85"/>
      <c r="G124" s="85"/>
      <c r="H124" s="85"/>
      <c r="J124" s="85"/>
      <c r="K124" s="85"/>
      <c r="L124" s="85"/>
      <c r="M124" s="85"/>
      <c r="N124" s="85"/>
      <c r="O124" s="85"/>
      <c r="P124" s="85"/>
      <c r="Q124" s="85"/>
      <c r="R124" s="63"/>
      <c r="S124" s="63"/>
      <c r="T124" s="63"/>
      <c r="U124" s="63"/>
      <c r="V124" s="63"/>
      <c r="W124" s="63"/>
      <c r="X124" s="63"/>
      <c r="Y124" s="63"/>
    </row>
    <row r="125" spans="1:25">
      <c r="A125" s="85"/>
      <c r="B125" s="85"/>
      <c r="C125" s="85"/>
      <c r="D125" s="85"/>
      <c r="E125" s="85"/>
      <c r="F125" s="85"/>
      <c r="G125" s="85"/>
      <c r="H125" s="85"/>
      <c r="J125" s="85"/>
      <c r="K125" s="85"/>
      <c r="L125" s="85"/>
      <c r="M125" s="85"/>
      <c r="N125" s="85"/>
      <c r="O125" s="85"/>
      <c r="P125" s="85"/>
      <c r="Q125" s="85"/>
      <c r="R125" s="63"/>
      <c r="S125" s="63"/>
      <c r="T125" s="63"/>
      <c r="U125" s="63"/>
      <c r="V125" s="63"/>
      <c r="W125" s="63"/>
      <c r="X125" s="63"/>
      <c r="Y125" s="63"/>
    </row>
    <row r="126" spans="1:25">
      <c r="A126" s="85"/>
      <c r="B126" s="85"/>
      <c r="C126" s="85"/>
      <c r="D126" s="85"/>
      <c r="E126" s="85"/>
      <c r="F126" s="85"/>
      <c r="G126" s="85"/>
      <c r="H126" s="85"/>
      <c r="J126" s="85"/>
      <c r="K126" s="85"/>
      <c r="L126" s="85"/>
      <c r="M126" s="85"/>
      <c r="N126" s="85"/>
      <c r="O126" s="85"/>
      <c r="P126" s="85"/>
      <c r="Q126" s="85"/>
      <c r="R126" s="63"/>
      <c r="S126" s="63"/>
      <c r="T126" s="63"/>
      <c r="U126" s="63"/>
      <c r="V126" s="63"/>
      <c r="W126" s="63"/>
      <c r="X126" s="63"/>
      <c r="Y126" s="63"/>
    </row>
    <row r="127" spans="1:25">
      <c r="A127" s="85"/>
      <c r="B127" s="85"/>
      <c r="C127" s="85"/>
      <c r="D127" s="85"/>
      <c r="E127" s="85"/>
      <c r="F127" s="85"/>
      <c r="G127" s="85"/>
      <c r="H127" s="85"/>
      <c r="J127" s="85"/>
      <c r="K127" s="85"/>
      <c r="L127" s="85"/>
      <c r="M127" s="85"/>
      <c r="N127" s="85"/>
      <c r="O127" s="85"/>
      <c r="P127" s="85"/>
      <c r="Q127" s="85"/>
      <c r="R127" s="63"/>
      <c r="S127" s="63"/>
      <c r="T127" s="63"/>
      <c r="U127" s="63"/>
      <c r="V127" s="63"/>
      <c r="W127" s="63"/>
      <c r="X127" s="63"/>
      <c r="Y127" s="63"/>
    </row>
    <row r="128" spans="1:25">
      <c r="A128" s="85"/>
      <c r="B128" s="85"/>
      <c r="C128" s="85"/>
      <c r="D128" s="85"/>
      <c r="E128" s="85"/>
      <c r="F128" s="85"/>
      <c r="G128" s="85"/>
      <c r="H128" s="85"/>
      <c r="J128" s="85"/>
      <c r="K128" s="85"/>
      <c r="L128" s="85"/>
      <c r="M128" s="85"/>
      <c r="N128" s="85"/>
      <c r="O128" s="85"/>
      <c r="P128" s="85"/>
      <c r="Q128" s="85"/>
      <c r="R128" s="63"/>
      <c r="S128" s="63"/>
      <c r="T128" s="63"/>
      <c r="U128" s="63"/>
      <c r="V128" s="63"/>
      <c r="W128" s="63"/>
      <c r="X128" s="63"/>
      <c r="Y128" s="63"/>
    </row>
    <row r="129" spans="1:25">
      <c r="A129" s="85"/>
      <c r="B129" s="85"/>
      <c r="C129" s="85"/>
      <c r="D129" s="85"/>
      <c r="E129" s="85"/>
      <c r="F129" s="85"/>
      <c r="G129" s="85"/>
      <c r="H129" s="85"/>
      <c r="J129" s="85"/>
      <c r="K129" s="85"/>
      <c r="L129" s="85"/>
      <c r="M129" s="85"/>
      <c r="N129" s="85"/>
      <c r="O129" s="85"/>
      <c r="P129" s="85"/>
      <c r="Q129" s="85"/>
      <c r="R129" s="63"/>
      <c r="S129" s="63"/>
      <c r="T129" s="63"/>
      <c r="U129" s="63"/>
      <c r="V129" s="63"/>
      <c r="W129" s="63"/>
      <c r="X129" s="63"/>
      <c r="Y129" s="63"/>
    </row>
    <row r="130" spans="1:25">
      <c r="A130" s="85"/>
      <c r="B130" s="85"/>
      <c r="C130" s="85"/>
      <c r="D130" s="85"/>
      <c r="E130" s="85"/>
      <c r="F130" s="85"/>
      <c r="G130" s="85"/>
      <c r="H130" s="85"/>
      <c r="J130" s="85"/>
      <c r="K130" s="85"/>
      <c r="L130" s="85"/>
      <c r="M130" s="85"/>
      <c r="N130" s="85"/>
      <c r="O130" s="85"/>
      <c r="P130" s="85"/>
      <c r="Q130" s="85"/>
      <c r="R130" s="63"/>
      <c r="S130" s="63"/>
      <c r="T130" s="63"/>
      <c r="U130" s="63"/>
      <c r="V130" s="63"/>
      <c r="W130" s="63"/>
      <c r="X130" s="63"/>
      <c r="Y130" s="63"/>
    </row>
    <row r="131" spans="1:25">
      <c r="A131" s="85"/>
      <c r="B131" s="85"/>
      <c r="C131" s="85"/>
      <c r="D131" s="85"/>
      <c r="E131" s="85"/>
      <c r="F131" s="85"/>
      <c r="G131" s="85"/>
      <c r="H131" s="85"/>
      <c r="J131" s="85"/>
      <c r="K131" s="85"/>
      <c r="L131" s="85"/>
      <c r="M131" s="85"/>
      <c r="N131" s="85"/>
      <c r="O131" s="85"/>
      <c r="P131" s="85"/>
      <c r="Q131" s="85"/>
      <c r="R131" s="63"/>
      <c r="S131" s="63"/>
      <c r="T131" s="63"/>
      <c r="U131" s="63"/>
      <c r="V131" s="63"/>
      <c r="W131" s="63"/>
      <c r="X131" s="63"/>
      <c r="Y131" s="63"/>
    </row>
    <row r="132" spans="1:25">
      <c r="A132" s="85"/>
      <c r="B132" s="85"/>
      <c r="C132" s="85"/>
      <c r="D132" s="85"/>
      <c r="E132" s="85"/>
      <c r="F132" s="85"/>
      <c r="G132" s="85"/>
      <c r="H132" s="85"/>
      <c r="J132" s="85"/>
      <c r="K132" s="85"/>
      <c r="L132" s="85"/>
      <c r="M132" s="85"/>
      <c r="N132" s="85"/>
      <c r="O132" s="85"/>
      <c r="P132" s="85"/>
      <c r="Q132" s="85"/>
      <c r="R132" s="63"/>
      <c r="S132" s="63"/>
      <c r="T132" s="63"/>
      <c r="U132" s="63"/>
      <c r="V132" s="63"/>
      <c r="W132" s="63"/>
      <c r="X132" s="63"/>
      <c r="Y132" s="63"/>
    </row>
    <row r="133" spans="1:25">
      <c r="A133" s="85"/>
      <c r="B133" s="85"/>
      <c r="C133" s="85"/>
      <c r="D133" s="85"/>
      <c r="E133" s="85"/>
      <c r="F133" s="85"/>
      <c r="G133" s="85"/>
      <c r="H133" s="85"/>
      <c r="J133" s="85"/>
      <c r="K133" s="85"/>
      <c r="L133" s="85"/>
      <c r="M133" s="85"/>
      <c r="N133" s="85"/>
      <c r="O133" s="85"/>
      <c r="P133" s="85"/>
      <c r="Q133" s="85"/>
      <c r="R133" s="63"/>
      <c r="S133" s="63"/>
      <c r="T133" s="63"/>
      <c r="U133" s="63"/>
      <c r="V133" s="63"/>
      <c r="W133" s="63"/>
      <c r="X133" s="63"/>
      <c r="Y133" s="63"/>
    </row>
    <row r="134" spans="1:25">
      <c r="A134" s="85"/>
      <c r="B134" s="85"/>
      <c r="C134" s="85"/>
      <c r="D134" s="85"/>
      <c r="E134" s="85"/>
      <c r="F134" s="85"/>
      <c r="G134" s="85"/>
      <c r="H134" s="85"/>
      <c r="J134" s="85"/>
      <c r="K134" s="85"/>
      <c r="L134" s="85"/>
      <c r="M134" s="85"/>
      <c r="N134" s="85"/>
      <c r="O134" s="85"/>
      <c r="P134" s="85"/>
      <c r="Q134" s="85"/>
      <c r="R134" s="63"/>
      <c r="S134" s="63"/>
      <c r="T134" s="63"/>
      <c r="U134" s="63"/>
      <c r="V134" s="63"/>
      <c r="W134" s="63"/>
      <c r="X134" s="63"/>
      <c r="Y134" s="63"/>
    </row>
    <row r="135" spans="1:25">
      <c r="A135" s="85"/>
      <c r="B135" s="85"/>
      <c r="C135" s="85"/>
      <c r="D135" s="85"/>
      <c r="E135" s="85"/>
      <c r="F135" s="85"/>
      <c r="G135" s="85"/>
      <c r="H135" s="85"/>
      <c r="J135" s="85"/>
      <c r="K135" s="85"/>
      <c r="L135" s="85"/>
      <c r="M135" s="85"/>
      <c r="N135" s="85"/>
      <c r="O135" s="85"/>
      <c r="P135" s="85"/>
      <c r="Q135" s="85"/>
      <c r="R135" s="63"/>
      <c r="S135" s="63"/>
      <c r="T135" s="63"/>
      <c r="U135" s="63"/>
      <c r="V135" s="63"/>
      <c r="W135" s="63"/>
      <c r="X135" s="63"/>
      <c r="Y135" s="63"/>
    </row>
    <row r="136" spans="1:25">
      <c r="A136" s="85"/>
      <c r="B136" s="85"/>
      <c r="C136" s="85"/>
      <c r="D136" s="85"/>
      <c r="E136" s="85"/>
      <c r="F136" s="85"/>
      <c r="G136" s="85"/>
      <c r="H136" s="85"/>
      <c r="J136" s="85"/>
      <c r="K136" s="85"/>
      <c r="L136" s="85"/>
      <c r="M136" s="85"/>
      <c r="N136" s="85"/>
      <c r="O136" s="85"/>
      <c r="P136" s="85"/>
      <c r="Q136" s="85"/>
      <c r="R136" s="63"/>
      <c r="S136" s="63"/>
      <c r="T136" s="63"/>
      <c r="U136" s="63"/>
      <c r="V136" s="63"/>
      <c r="W136" s="63"/>
      <c r="X136" s="63"/>
      <c r="Y136" s="63"/>
    </row>
    <row r="137" spans="1:25">
      <c r="A137" s="85"/>
      <c r="B137" s="85"/>
      <c r="C137" s="85"/>
      <c r="D137" s="85"/>
      <c r="E137" s="85"/>
      <c r="F137" s="85"/>
      <c r="G137" s="85"/>
      <c r="H137" s="85"/>
      <c r="J137" s="85"/>
      <c r="K137" s="85"/>
      <c r="L137" s="85"/>
      <c r="M137" s="85"/>
      <c r="N137" s="85"/>
      <c r="O137" s="85"/>
      <c r="P137" s="85"/>
      <c r="Q137" s="85"/>
      <c r="R137" s="63"/>
      <c r="S137" s="63"/>
      <c r="T137" s="63"/>
      <c r="U137" s="63"/>
      <c r="V137" s="63"/>
      <c r="W137" s="63"/>
      <c r="X137" s="63"/>
      <c r="Y137" s="63"/>
    </row>
    <row r="138" spans="1:25">
      <c r="A138" s="85"/>
      <c r="B138" s="85"/>
      <c r="C138" s="85"/>
      <c r="D138" s="85"/>
      <c r="E138" s="85"/>
      <c r="F138" s="85"/>
      <c r="G138" s="85"/>
      <c r="H138" s="85"/>
      <c r="J138" s="85"/>
      <c r="K138" s="85"/>
      <c r="L138" s="85"/>
      <c r="M138" s="85"/>
      <c r="N138" s="85"/>
      <c r="O138" s="85"/>
      <c r="P138" s="85"/>
      <c r="Q138" s="85"/>
      <c r="R138" s="63"/>
      <c r="S138" s="63"/>
      <c r="T138" s="63"/>
      <c r="U138" s="63"/>
      <c r="V138" s="63"/>
      <c r="W138" s="63"/>
      <c r="X138" s="63"/>
      <c r="Y138" s="63"/>
    </row>
    <row r="139" spans="1:25">
      <c r="A139" s="85"/>
      <c r="B139" s="85"/>
      <c r="C139" s="85"/>
      <c r="D139" s="85"/>
      <c r="E139" s="85"/>
      <c r="F139" s="85"/>
      <c r="G139" s="85"/>
      <c r="H139" s="85"/>
      <c r="J139" s="85"/>
      <c r="K139" s="85"/>
      <c r="L139" s="85"/>
      <c r="M139" s="85"/>
      <c r="N139" s="85"/>
      <c r="O139" s="85"/>
      <c r="P139" s="85"/>
      <c r="Q139" s="85"/>
      <c r="R139" s="63"/>
      <c r="S139" s="63"/>
      <c r="T139" s="63"/>
      <c r="U139" s="63"/>
      <c r="V139" s="63"/>
      <c r="W139" s="63"/>
      <c r="X139" s="63"/>
      <c r="Y139" s="63"/>
    </row>
    <row r="140" spans="1:25">
      <c r="A140" s="85"/>
      <c r="B140" s="85"/>
      <c r="C140" s="85"/>
      <c r="D140" s="85"/>
      <c r="E140" s="85"/>
      <c r="F140" s="85"/>
      <c r="G140" s="85"/>
      <c r="H140" s="85"/>
      <c r="J140" s="85"/>
      <c r="K140" s="85"/>
      <c r="L140" s="85"/>
      <c r="M140" s="85"/>
      <c r="N140" s="85"/>
      <c r="O140" s="85"/>
      <c r="P140" s="85"/>
      <c r="Q140" s="85"/>
      <c r="R140" s="63"/>
      <c r="S140" s="63"/>
      <c r="T140" s="63"/>
      <c r="U140" s="63"/>
      <c r="V140" s="63"/>
      <c r="W140" s="63"/>
      <c r="X140" s="63"/>
      <c r="Y140" s="63"/>
    </row>
    <row r="141" spans="1:25">
      <c r="A141" s="85"/>
      <c r="B141" s="85"/>
      <c r="C141" s="85"/>
      <c r="D141" s="85"/>
      <c r="E141" s="85"/>
      <c r="F141" s="85"/>
      <c r="G141" s="85"/>
      <c r="H141" s="85"/>
      <c r="J141" s="85"/>
      <c r="K141" s="85"/>
      <c r="L141" s="85"/>
      <c r="M141" s="85"/>
      <c r="N141" s="85"/>
      <c r="O141" s="85"/>
      <c r="P141" s="85"/>
      <c r="Q141" s="85"/>
      <c r="R141" s="63"/>
      <c r="S141" s="63"/>
      <c r="T141" s="63"/>
      <c r="U141" s="63"/>
      <c r="V141" s="63"/>
      <c r="W141" s="63"/>
      <c r="X141" s="63"/>
      <c r="Y141" s="63"/>
    </row>
    <row r="142" spans="1:25">
      <c r="A142" s="85"/>
      <c r="B142" s="85"/>
      <c r="C142" s="85"/>
      <c r="D142" s="85"/>
      <c r="E142" s="85"/>
      <c r="F142" s="85"/>
      <c r="G142" s="85"/>
      <c r="H142" s="85"/>
      <c r="J142" s="85"/>
      <c r="K142" s="85"/>
      <c r="L142" s="85"/>
      <c r="M142" s="85"/>
      <c r="N142" s="85"/>
      <c r="O142" s="85"/>
      <c r="P142" s="85"/>
      <c r="Q142" s="85"/>
      <c r="R142" s="63"/>
      <c r="S142" s="63"/>
      <c r="T142" s="63"/>
      <c r="U142" s="63"/>
      <c r="V142" s="63"/>
      <c r="W142" s="63"/>
      <c r="X142" s="63"/>
      <c r="Y142" s="63"/>
    </row>
    <row r="143" spans="1:25">
      <c r="A143" s="85"/>
      <c r="B143" s="85"/>
      <c r="C143" s="85"/>
      <c r="D143" s="85"/>
      <c r="E143" s="85"/>
      <c r="F143" s="85"/>
      <c r="G143" s="85"/>
      <c r="H143" s="85"/>
      <c r="J143" s="85"/>
      <c r="K143" s="85"/>
      <c r="L143" s="85"/>
      <c r="M143" s="85"/>
      <c r="N143" s="85"/>
      <c r="O143" s="85"/>
      <c r="P143" s="85"/>
      <c r="Q143" s="85"/>
      <c r="R143" s="63"/>
      <c r="S143" s="63"/>
      <c r="T143" s="63"/>
      <c r="U143" s="63"/>
      <c r="V143" s="63"/>
      <c r="W143" s="63"/>
      <c r="X143" s="63"/>
      <c r="Y143" s="63"/>
    </row>
    <row r="144" spans="1:25">
      <c r="A144" s="85"/>
      <c r="B144" s="85"/>
      <c r="C144" s="85"/>
      <c r="D144" s="85"/>
      <c r="E144" s="85"/>
      <c r="F144" s="85"/>
      <c r="G144" s="85"/>
      <c r="H144" s="85"/>
      <c r="J144" s="85"/>
      <c r="K144" s="85"/>
      <c r="L144" s="85"/>
      <c r="M144" s="85"/>
      <c r="N144" s="85"/>
      <c r="O144" s="85"/>
      <c r="P144" s="85"/>
      <c r="Q144" s="85"/>
      <c r="R144" s="63"/>
      <c r="S144" s="63"/>
      <c r="T144" s="63"/>
      <c r="U144" s="63"/>
      <c r="V144" s="63"/>
      <c r="W144" s="63"/>
      <c r="X144" s="63"/>
      <c r="Y144" s="63"/>
    </row>
    <row r="145" spans="1:25">
      <c r="A145" s="85"/>
      <c r="B145" s="85"/>
      <c r="C145" s="85"/>
      <c r="D145" s="85"/>
      <c r="E145" s="85"/>
      <c r="F145" s="85"/>
      <c r="G145" s="85"/>
      <c r="H145" s="85"/>
      <c r="J145" s="85"/>
      <c r="K145" s="85"/>
      <c r="L145" s="85"/>
      <c r="M145" s="85"/>
      <c r="N145" s="85"/>
      <c r="O145" s="85"/>
      <c r="P145" s="85"/>
      <c r="Q145" s="85"/>
      <c r="R145" s="63"/>
      <c r="S145" s="63"/>
      <c r="T145" s="63"/>
      <c r="U145" s="63"/>
      <c r="V145" s="63"/>
      <c r="W145" s="63"/>
      <c r="X145" s="63"/>
      <c r="Y145" s="63"/>
    </row>
    <row r="146" spans="1:25">
      <c r="A146" s="85"/>
      <c r="B146" s="85"/>
      <c r="C146" s="85"/>
      <c r="D146" s="85"/>
      <c r="E146" s="85"/>
      <c r="F146" s="85"/>
      <c r="G146" s="85"/>
      <c r="H146" s="85"/>
      <c r="J146" s="85"/>
      <c r="K146" s="85"/>
      <c r="L146" s="85"/>
      <c r="M146" s="85"/>
      <c r="N146" s="85"/>
      <c r="O146" s="85"/>
      <c r="P146" s="85"/>
      <c r="Q146" s="85"/>
      <c r="R146" s="63"/>
      <c r="S146" s="63"/>
      <c r="T146" s="63"/>
      <c r="U146" s="63"/>
      <c r="V146" s="63"/>
      <c r="W146" s="63"/>
      <c r="X146" s="63"/>
      <c r="Y146" s="63"/>
    </row>
    <row r="147" spans="1:25">
      <c r="A147" s="85"/>
      <c r="B147" s="85"/>
      <c r="C147" s="85"/>
      <c r="D147" s="85"/>
      <c r="E147" s="85"/>
      <c r="F147" s="85"/>
      <c r="G147" s="85"/>
      <c r="H147" s="85"/>
      <c r="J147" s="85"/>
      <c r="K147" s="85"/>
      <c r="L147" s="85"/>
      <c r="M147" s="85"/>
      <c r="N147" s="85"/>
      <c r="O147" s="85"/>
      <c r="P147" s="85"/>
      <c r="Q147" s="85"/>
      <c r="R147" s="63"/>
      <c r="S147" s="63"/>
      <c r="T147" s="63"/>
      <c r="U147" s="63"/>
      <c r="V147" s="63"/>
      <c r="W147" s="63"/>
      <c r="X147" s="63"/>
      <c r="Y147" s="63"/>
    </row>
    <row r="148" spans="1:25">
      <c r="A148" s="85"/>
      <c r="B148" s="85"/>
      <c r="C148" s="85"/>
      <c r="D148" s="85"/>
      <c r="E148" s="85"/>
      <c r="F148" s="85"/>
      <c r="G148" s="85"/>
      <c r="H148" s="85"/>
      <c r="J148" s="85"/>
      <c r="K148" s="85"/>
      <c r="L148" s="85"/>
      <c r="M148" s="85"/>
      <c r="N148" s="85"/>
      <c r="O148" s="85"/>
      <c r="P148" s="85"/>
      <c r="Q148" s="85"/>
      <c r="R148" s="63"/>
      <c r="S148" s="63"/>
      <c r="T148" s="63"/>
      <c r="U148" s="63"/>
      <c r="V148" s="63"/>
      <c r="W148" s="63"/>
      <c r="X148" s="63"/>
      <c r="Y148" s="63"/>
    </row>
    <row r="149" spans="1:25">
      <c r="A149" s="85"/>
      <c r="B149" s="85"/>
      <c r="C149" s="85"/>
      <c r="D149" s="85"/>
      <c r="E149" s="85"/>
      <c r="F149" s="85"/>
      <c r="G149" s="85"/>
      <c r="H149" s="85"/>
      <c r="J149" s="85"/>
      <c r="K149" s="85"/>
      <c r="L149" s="85"/>
      <c r="M149" s="85"/>
      <c r="N149" s="85"/>
      <c r="O149" s="85"/>
      <c r="P149" s="85"/>
      <c r="Q149" s="85"/>
      <c r="R149" s="63"/>
      <c r="S149" s="63"/>
      <c r="T149" s="63"/>
      <c r="U149" s="63"/>
      <c r="V149" s="63"/>
      <c r="W149" s="63"/>
      <c r="X149" s="63"/>
      <c r="Y149" s="63"/>
    </row>
    <row r="150" spans="1:25">
      <c r="A150" s="85"/>
      <c r="B150" s="85"/>
      <c r="C150" s="85"/>
      <c r="D150" s="85"/>
      <c r="E150" s="85"/>
      <c r="F150" s="85"/>
      <c r="G150" s="85"/>
      <c r="H150" s="85"/>
      <c r="J150" s="85"/>
      <c r="K150" s="85"/>
      <c r="L150" s="85"/>
      <c r="M150" s="85"/>
      <c r="N150" s="85"/>
      <c r="O150" s="85"/>
      <c r="P150" s="85"/>
      <c r="Q150" s="85"/>
      <c r="R150" s="63"/>
      <c r="S150" s="63"/>
      <c r="T150" s="63"/>
      <c r="U150" s="63"/>
      <c r="V150" s="63"/>
      <c r="W150" s="63"/>
      <c r="X150" s="63"/>
      <c r="Y150" s="63"/>
    </row>
    <row r="151" spans="1:25">
      <c r="A151" s="85"/>
      <c r="B151" s="85"/>
      <c r="C151" s="85"/>
      <c r="D151" s="85"/>
      <c r="E151" s="85"/>
      <c r="F151" s="85"/>
      <c r="G151" s="85"/>
      <c r="H151" s="85"/>
      <c r="J151" s="85"/>
      <c r="K151" s="85"/>
      <c r="L151" s="85"/>
      <c r="M151" s="85"/>
      <c r="N151" s="85"/>
      <c r="O151" s="85"/>
      <c r="P151" s="85"/>
      <c r="Q151" s="85"/>
      <c r="R151" s="63"/>
      <c r="S151" s="63"/>
      <c r="T151" s="63"/>
      <c r="U151" s="63"/>
      <c r="V151" s="63"/>
      <c r="W151" s="63"/>
      <c r="X151" s="63"/>
      <c r="Y151" s="63"/>
    </row>
    <row r="152" spans="1:25">
      <c r="A152" s="85"/>
      <c r="B152" s="85"/>
      <c r="C152" s="85"/>
      <c r="D152" s="85"/>
      <c r="E152" s="85"/>
      <c r="F152" s="85"/>
      <c r="G152" s="85"/>
      <c r="H152" s="85"/>
      <c r="J152" s="85"/>
      <c r="K152" s="85"/>
      <c r="L152" s="85"/>
      <c r="M152" s="85"/>
      <c r="N152" s="85"/>
      <c r="O152" s="85"/>
      <c r="P152" s="85"/>
      <c r="Q152" s="85"/>
      <c r="R152" s="63"/>
      <c r="S152" s="63"/>
      <c r="T152" s="63"/>
      <c r="U152" s="63"/>
      <c r="V152" s="63"/>
      <c r="W152" s="63"/>
      <c r="X152" s="63"/>
      <c r="Y152" s="63"/>
    </row>
    <row r="153" spans="1:25">
      <c r="A153" s="85"/>
      <c r="B153" s="85"/>
      <c r="C153" s="85"/>
      <c r="D153" s="85"/>
      <c r="E153" s="85"/>
      <c r="F153" s="85"/>
      <c r="G153" s="85"/>
      <c r="H153" s="85"/>
      <c r="J153" s="85"/>
      <c r="K153" s="85"/>
      <c r="L153" s="85"/>
      <c r="M153" s="85"/>
      <c r="N153" s="85"/>
      <c r="O153" s="85"/>
      <c r="P153" s="85"/>
      <c r="Q153" s="85"/>
      <c r="R153" s="63"/>
      <c r="S153" s="63"/>
      <c r="T153" s="63"/>
      <c r="U153" s="63"/>
      <c r="V153" s="63"/>
      <c r="W153" s="63"/>
      <c r="X153" s="63"/>
      <c r="Y153" s="63"/>
    </row>
    <row r="154" spans="1:25">
      <c r="A154" s="85"/>
      <c r="B154" s="85"/>
      <c r="C154" s="85"/>
      <c r="D154" s="85"/>
      <c r="E154" s="85"/>
      <c r="F154" s="85"/>
      <c r="G154" s="85"/>
      <c r="H154" s="85"/>
      <c r="J154" s="85"/>
      <c r="K154" s="85"/>
      <c r="L154" s="85"/>
      <c r="M154" s="85"/>
      <c r="N154" s="85"/>
      <c r="O154" s="85"/>
      <c r="P154" s="85"/>
      <c r="Q154" s="85"/>
      <c r="R154" s="63"/>
      <c r="S154" s="63"/>
      <c r="T154" s="63"/>
      <c r="U154" s="63"/>
      <c r="V154" s="63"/>
      <c r="W154" s="63"/>
      <c r="X154" s="63"/>
      <c r="Y154" s="63"/>
    </row>
    <row r="155" spans="1:25">
      <c r="A155" s="85"/>
      <c r="B155" s="85"/>
      <c r="C155" s="85"/>
      <c r="D155" s="85"/>
      <c r="E155" s="85"/>
      <c r="F155" s="85"/>
      <c r="G155" s="85"/>
      <c r="H155" s="85"/>
      <c r="J155" s="85"/>
      <c r="K155" s="85"/>
      <c r="L155" s="85"/>
      <c r="M155" s="85"/>
      <c r="N155" s="85"/>
      <c r="O155" s="85"/>
      <c r="P155" s="85"/>
      <c r="Q155" s="85"/>
      <c r="R155" s="63"/>
      <c r="S155" s="63"/>
      <c r="T155" s="63"/>
      <c r="U155" s="63"/>
      <c r="V155" s="63"/>
      <c r="W155" s="63"/>
      <c r="X155" s="63"/>
      <c r="Y155" s="63"/>
    </row>
    <row r="156" spans="1:25">
      <c r="A156" s="85"/>
      <c r="B156" s="85"/>
      <c r="C156" s="85"/>
      <c r="D156" s="85"/>
      <c r="E156" s="85"/>
      <c r="F156" s="85"/>
      <c r="G156" s="85"/>
      <c r="H156" s="85"/>
      <c r="J156" s="85"/>
      <c r="K156" s="85"/>
      <c r="L156" s="85"/>
      <c r="M156" s="85"/>
      <c r="N156" s="85"/>
      <c r="O156" s="85"/>
      <c r="P156" s="85"/>
      <c r="Q156" s="85"/>
      <c r="R156" s="63"/>
      <c r="S156" s="63"/>
      <c r="T156" s="63"/>
      <c r="U156" s="63"/>
      <c r="V156" s="63"/>
      <c r="W156" s="63"/>
      <c r="X156" s="63"/>
      <c r="Y156" s="63"/>
    </row>
    <row r="157" spans="1:25">
      <c r="A157" s="85"/>
      <c r="B157" s="85"/>
      <c r="C157" s="85"/>
      <c r="D157" s="85"/>
      <c r="E157" s="85"/>
      <c r="F157" s="85"/>
      <c r="G157" s="85"/>
      <c r="H157" s="85"/>
      <c r="J157" s="85"/>
      <c r="K157" s="85"/>
      <c r="L157" s="85"/>
      <c r="M157" s="85"/>
      <c r="N157" s="85"/>
      <c r="O157" s="85"/>
      <c r="P157" s="85"/>
      <c r="Q157" s="85"/>
      <c r="R157" s="63"/>
      <c r="S157" s="63"/>
      <c r="T157" s="63"/>
      <c r="U157" s="63"/>
      <c r="V157" s="63"/>
      <c r="W157" s="63"/>
      <c r="X157" s="63"/>
      <c r="Y157" s="63"/>
    </row>
    <row r="158" spans="1:25">
      <c r="A158" s="85"/>
      <c r="B158" s="85"/>
      <c r="C158" s="85"/>
      <c r="D158" s="85"/>
      <c r="E158" s="85"/>
      <c r="F158" s="85"/>
      <c r="G158" s="85"/>
      <c r="H158" s="85"/>
      <c r="J158" s="85"/>
      <c r="K158" s="85"/>
      <c r="L158" s="85"/>
      <c r="M158" s="85"/>
      <c r="N158" s="85"/>
      <c r="O158" s="85"/>
      <c r="P158" s="85"/>
      <c r="Q158" s="85"/>
      <c r="R158" s="63"/>
      <c r="S158" s="63"/>
      <c r="T158" s="63"/>
      <c r="U158" s="63"/>
      <c r="V158" s="63"/>
      <c r="W158" s="63"/>
      <c r="X158" s="63"/>
      <c r="Y158" s="63"/>
    </row>
    <row r="159" spans="1:25">
      <c r="A159" s="85"/>
      <c r="B159" s="85"/>
      <c r="C159" s="85"/>
      <c r="D159" s="85"/>
      <c r="E159" s="85"/>
      <c r="F159" s="85"/>
      <c r="G159" s="85"/>
      <c r="H159" s="85"/>
      <c r="J159" s="85"/>
      <c r="K159" s="85"/>
      <c r="L159" s="85"/>
      <c r="M159" s="85"/>
      <c r="N159" s="85"/>
      <c r="O159" s="85"/>
      <c r="P159" s="85"/>
      <c r="Q159" s="85"/>
      <c r="R159" s="63"/>
      <c r="S159" s="63"/>
      <c r="T159" s="63"/>
      <c r="U159" s="63"/>
      <c r="V159" s="63"/>
      <c r="W159" s="63"/>
      <c r="X159" s="63"/>
      <c r="Y159" s="63"/>
    </row>
    <row r="160" spans="1:25">
      <c r="A160" s="85"/>
      <c r="B160" s="85"/>
      <c r="C160" s="85"/>
      <c r="D160" s="85"/>
      <c r="E160" s="85"/>
      <c r="F160" s="85"/>
      <c r="G160" s="85"/>
      <c r="H160" s="85"/>
      <c r="J160" s="85"/>
      <c r="K160" s="85"/>
      <c r="L160" s="85"/>
      <c r="M160" s="85"/>
      <c r="N160" s="85"/>
      <c r="O160" s="85"/>
      <c r="P160" s="85"/>
      <c r="Q160" s="85"/>
      <c r="R160" s="63"/>
      <c r="S160" s="63"/>
      <c r="T160" s="63"/>
      <c r="U160" s="63"/>
      <c r="V160" s="63"/>
      <c r="W160" s="63"/>
      <c r="X160" s="63"/>
      <c r="Y160" s="63"/>
    </row>
    <row r="161" spans="1:25">
      <c r="A161" s="85"/>
      <c r="B161" s="85"/>
      <c r="C161" s="85"/>
      <c r="D161" s="85"/>
      <c r="E161" s="85"/>
      <c r="F161" s="85"/>
      <c r="G161" s="85"/>
      <c r="H161" s="85"/>
      <c r="J161" s="85"/>
      <c r="K161" s="85"/>
      <c r="L161" s="85"/>
      <c r="M161" s="85"/>
      <c r="N161" s="85"/>
      <c r="O161" s="85"/>
      <c r="P161" s="85"/>
      <c r="Q161" s="85"/>
      <c r="R161" s="63"/>
      <c r="S161" s="63"/>
      <c r="T161" s="63"/>
      <c r="U161" s="63"/>
      <c r="V161" s="63"/>
      <c r="W161" s="63"/>
      <c r="X161" s="63"/>
      <c r="Y161" s="63"/>
    </row>
    <row r="162" spans="1:25">
      <c r="A162" s="85"/>
      <c r="B162" s="85"/>
      <c r="C162" s="85"/>
      <c r="D162" s="85"/>
      <c r="E162" s="85"/>
      <c r="F162" s="85"/>
      <c r="G162" s="85"/>
      <c r="H162" s="85"/>
      <c r="J162" s="85"/>
      <c r="K162" s="85"/>
      <c r="L162" s="85"/>
      <c r="M162" s="85"/>
      <c r="N162" s="85"/>
      <c r="O162" s="85"/>
      <c r="P162" s="85"/>
      <c r="Q162" s="85"/>
      <c r="R162" s="63"/>
      <c r="S162" s="63"/>
      <c r="T162" s="63"/>
      <c r="U162" s="63"/>
      <c r="V162" s="63"/>
      <c r="W162" s="63"/>
      <c r="X162" s="63"/>
      <c r="Y162" s="63"/>
    </row>
    <row r="163" spans="1:25">
      <c r="A163" s="85"/>
      <c r="B163" s="85"/>
      <c r="C163" s="85"/>
      <c r="D163" s="85"/>
      <c r="E163" s="85"/>
      <c r="F163" s="85"/>
      <c r="G163" s="85"/>
      <c r="H163" s="85"/>
      <c r="J163" s="85"/>
      <c r="K163" s="85"/>
      <c r="L163" s="85"/>
      <c r="M163" s="85"/>
      <c r="N163" s="85"/>
      <c r="O163" s="85"/>
      <c r="P163" s="85"/>
      <c r="Q163" s="85"/>
      <c r="R163" s="63"/>
      <c r="S163" s="63"/>
      <c r="T163" s="63"/>
      <c r="U163" s="63"/>
      <c r="V163" s="63"/>
      <c r="W163" s="63"/>
      <c r="X163" s="63"/>
      <c r="Y163" s="63"/>
    </row>
    <row r="164" spans="1:25">
      <c r="A164" s="85"/>
      <c r="B164" s="85"/>
      <c r="C164" s="85"/>
      <c r="D164" s="85"/>
      <c r="E164" s="85"/>
      <c r="F164" s="85"/>
      <c r="G164" s="85"/>
      <c r="H164" s="85"/>
      <c r="J164" s="85"/>
      <c r="K164" s="85"/>
      <c r="L164" s="85"/>
      <c r="M164" s="85"/>
      <c r="N164" s="85"/>
      <c r="O164" s="85"/>
      <c r="P164" s="85"/>
      <c r="Q164" s="85"/>
      <c r="R164" s="63"/>
      <c r="S164" s="63"/>
      <c r="T164" s="63"/>
      <c r="U164" s="63"/>
      <c r="V164" s="63"/>
      <c r="W164" s="63"/>
      <c r="X164" s="63"/>
      <c r="Y164" s="63"/>
    </row>
    <row r="165" spans="1:25">
      <c r="A165" s="85"/>
      <c r="B165" s="85"/>
      <c r="C165" s="85"/>
      <c r="D165" s="85"/>
      <c r="E165" s="85"/>
      <c r="F165" s="85"/>
      <c r="G165" s="85"/>
      <c r="H165" s="85"/>
      <c r="J165" s="85"/>
      <c r="K165" s="85"/>
      <c r="L165" s="85"/>
      <c r="M165" s="85"/>
      <c r="N165" s="85"/>
      <c r="O165" s="85"/>
      <c r="P165" s="85"/>
      <c r="Q165" s="85"/>
      <c r="R165" s="63"/>
      <c r="S165" s="63"/>
      <c r="T165" s="63"/>
      <c r="U165" s="63"/>
      <c r="V165" s="63"/>
      <c r="W165" s="63"/>
      <c r="X165" s="63"/>
      <c r="Y165" s="63"/>
    </row>
    <row r="166" spans="1:25">
      <c r="A166" s="85"/>
      <c r="B166" s="85"/>
      <c r="C166" s="85"/>
      <c r="D166" s="85"/>
      <c r="E166" s="85"/>
      <c r="F166" s="85"/>
      <c r="G166" s="85"/>
      <c r="H166" s="85"/>
      <c r="J166" s="85"/>
      <c r="K166" s="85"/>
      <c r="L166" s="85"/>
      <c r="M166" s="85"/>
      <c r="N166" s="85"/>
      <c r="O166" s="85"/>
      <c r="P166" s="85"/>
      <c r="Q166" s="85"/>
      <c r="R166" s="63"/>
      <c r="S166" s="63"/>
      <c r="T166" s="63"/>
      <c r="U166" s="63"/>
      <c r="V166" s="63"/>
      <c r="W166" s="63"/>
      <c r="X166" s="63"/>
      <c r="Y166" s="63"/>
    </row>
    <row r="167" spans="1:25">
      <c r="A167" s="85"/>
      <c r="B167" s="85"/>
      <c r="C167" s="85"/>
      <c r="D167" s="85"/>
      <c r="E167" s="85"/>
      <c r="F167" s="85"/>
      <c r="G167" s="85"/>
      <c r="H167" s="85"/>
      <c r="J167" s="85"/>
      <c r="K167" s="85"/>
      <c r="L167" s="85"/>
      <c r="M167" s="85"/>
      <c r="N167" s="85"/>
      <c r="O167" s="85"/>
      <c r="P167" s="85"/>
      <c r="Q167" s="85"/>
      <c r="R167" s="63"/>
      <c r="S167" s="63"/>
      <c r="T167" s="63"/>
      <c r="U167" s="63"/>
      <c r="V167" s="63"/>
      <c r="W167" s="63"/>
      <c r="X167" s="63"/>
      <c r="Y167" s="63"/>
    </row>
    <row r="168" spans="1:25">
      <c r="A168" s="85"/>
      <c r="B168" s="85"/>
      <c r="C168" s="85"/>
      <c r="D168" s="85"/>
      <c r="E168" s="85"/>
      <c r="F168" s="85"/>
      <c r="G168" s="85"/>
      <c r="H168" s="85"/>
      <c r="J168" s="85"/>
      <c r="K168" s="85"/>
      <c r="L168" s="85"/>
      <c r="M168" s="85"/>
      <c r="N168" s="85"/>
      <c r="O168" s="85"/>
      <c r="P168" s="85"/>
      <c r="Q168" s="85"/>
      <c r="R168" s="63"/>
      <c r="S168" s="63"/>
      <c r="T168" s="63"/>
      <c r="U168" s="63"/>
      <c r="V168" s="63"/>
      <c r="W168" s="63"/>
      <c r="X168" s="63"/>
      <c r="Y168" s="63"/>
    </row>
    <row r="169" spans="1:25">
      <c r="A169" s="85"/>
      <c r="B169" s="85"/>
      <c r="C169" s="85"/>
      <c r="D169" s="85"/>
      <c r="E169" s="85"/>
      <c r="F169" s="85"/>
      <c r="G169" s="85"/>
      <c r="H169" s="85"/>
      <c r="J169" s="85"/>
      <c r="K169" s="85"/>
      <c r="L169" s="85"/>
      <c r="M169" s="85"/>
      <c r="N169" s="85"/>
      <c r="O169" s="85"/>
      <c r="P169" s="85"/>
      <c r="Q169" s="85"/>
      <c r="R169" s="63"/>
      <c r="S169" s="63"/>
      <c r="T169" s="63"/>
      <c r="U169" s="63"/>
      <c r="V169" s="63"/>
      <c r="W169" s="63"/>
      <c r="X169" s="63"/>
      <c r="Y169" s="63"/>
    </row>
    <row r="170" spans="1:25">
      <c r="A170" s="85"/>
      <c r="B170" s="85"/>
      <c r="C170" s="85"/>
      <c r="D170" s="85"/>
      <c r="E170" s="85"/>
      <c r="F170" s="85"/>
      <c r="G170" s="85"/>
      <c r="H170" s="85"/>
      <c r="J170" s="85"/>
      <c r="K170" s="85"/>
      <c r="L170" s="85"/>
      <c r="M170" s="85"/>
      <c r="N170" s="85"/>
      <c r="O170" s="85"/>
      <c r="P170" s="85"/>
      <c r="Q170" s="85"/>
      <c r="R170" s="63"/>
      <c r="S170" s="63"/>
      <c r="T170" s="63"/>
      <c r="U170" s="63"/>
      <c r="V170" s="63"/>
      <c r="W170" s="63"/>
      <c r="X170" s="63"/>
      <c r="Y170" s="63"/>
    </row>
    <row r="171" spans="1:25">
      <c r="A171" s="85"/>
      <c r="B171" s="85"/>
      <c r="C171" s="85"/>
      <c r="D171" s="85"/>
      <c r="E171" s="85"/>
      <c r="F171" s="85"/>
      <c r="G171" s="85"/>
      <c r="H171" s="85"/>
      <c r="J171" s="85"/>
      <c r="K171" s="85"/>
      <c r="L171" s="85"/>
      <c r="M171" s="85"/>
      <c r="N171" s="85"/>
      <c r="O171" s="85"/>
      <c r="P171" s="85"/>
      <c r="Q171" s="85"/>
      <c r="R171" s="63"/>
      <c r="S171" s="63"/>
      <c r="T171" s="63"/>
      <c r="U171" s="63"/>
      <c r="V171" s="63"/>
      <c r="W171" s="63"/>
      <c r="X171" s="63"/>
      <c r="Y171" s="63"/>
    </row>
    <row r="172" spans="1:25">
      <c r="A172" s="85"/>
      <c r="B172" s="85"/>
      <c r="C172" s="85"/>
      <c r="D172" s="85"/>
      <c r="E172" s="85"/>
      <c r="F172" s="85"/>
      <c r="G172" s="85"/>
      <c r="H172" s="85"/>
      <c r="J172" s="85"/>
      <c r="K172" s="85"/>
      <c r="L172" s="85"/>
      <c r="M172" s="85"/>
      <c r="N172" s="85"/>
      <c r="O172" s="85"/>
      <c r="P172" s="85"/>
      <c r="Q172" s="85"/>
      <c r="R172" s="63"/>
      <c r="S172" s="63"/>
      <c r="T172" s="63"/>
      <c r="U172" s="63"/>
      <c r="V172" s="63"/>
      <c r="W172" s="63"/>
      <c r="X172" s="63"/>
      <c r="Y172" s="63"/>
    </row>
    <row r="173" spans="1:25">
      <c r="A173" s="85"/>
      <c r="B173" s="85"/>
      <c r="C173" s="85"/>
      <c r="D173" s="85"/>
      <c r="E173" s="85"/>
      <c r="F173" s="85"/>
      <c r="G173" s="85"/>
      <c r="H173" s="85"/>
      <c r="J173" s="85"/>
      <c r="K173" s="85"/>
      <c r="L173" s="85"/>
      <c r="M173" s="85"/>
      <c r="N173" s="85"/>
      <c r="O173" s="85"/>
      <c r="P173" s="85"/>
      <c r="Q173" s="85"/>
      <c r="R173" s="63"/>
      <c r="S173" s="63"/>
      <c r="T173" s="63"/>
      <c r="U173" s="63"/>
      <c r="V173" s="63"/>
      <c r="W173" s="63"/>
      <c r="X173" s="63"/>
      <c r="Y173" s="63"/>
    </row>
    <row r="174" spans="1:25">
      <c r="A174" s="85"/>
      <c r="B174" s="85"/>
      <c r="C174" s="85"/>
      <c r="D174" s="85"/>
      <c r="E174" s="85"/>
      <c r="F174" s="85"/>
      <c r="G174" s="85"/>
      <c r="H174" s="85"/>
      <c r="J174" s="85"/>
      <c r="K174" s="85"/>
      <c r="L174" s="85"/>
      <c r="M174" s="85"/>
      <c r="N174" s="85"/>
      <c r="O174" s="85"/>
      <c r="P174" s="85"/>
      <c r="Q174" s="85"/>
      <c r="R174" s="63"/>
      <c r="S174" s="63"/>
      <c r="T174" s="63"/>
      <c r="U174" s="63"/>
      <c r="V174" s="63"/>
      <c r="W174" s="63"/>
      <c r="X174" s="63"/>
      <c r="Y174" s="63"/>
    </row>
    <row r="175" spans="1:25">
      <c r="A175" s="85"/>
      <c r="B175" s="85"/>
      <c r="C175" s="85"/>
      <c r="D175" s="85"/>
      <c r="E175" s="85"/>
      <c r="F175" s="85"/>
      <c r="G175" s="85"/>
      <c r="H175" s="85"/>
      <c r="J175" s="85"/>
      <c r="K175" s="85"/>
      <c r="L175" s="85"/>
      <c r="M175" s="85"/>
      <c r="N175" s="85"/>
      <c r="O175" s="85"/>
      <c r="P175" s="85"/>
      <c r="Q175" s="85"/>
      <c r="R175" s="63"/>
      <c r="S175" s="63"/>
      <c r="T175" s="63"/>
      <c r="U175" s="63"/>
      <c r="V175" s="63"/>
      <c r="W175" s="63"/>
      <c r="X175" s="63"/>
      <c r="Y175" s="63"/>
    </row>
    <row r="176" spans="1:25">
      <c r="A176" s="85"/>
      <c r="B176" s="85"/>
      <c r="C176" s="85"/>
      <c r="D176" s="85"/>
      <c r="E176" s="85"/>
      <c r="F176" s="85"/>
      <c r="G176" s="85"/>
      <c r="H176" s="85"/>
      <c r="J176" s="85"/>
      <c r="K176" s="85"/>
      <c r="L176" s="85"/>
      <c r="M176" s="85"/>
      <c r="N176" s="85"/>
      <c r="O176" s="85"/>
      <c r="P176" s="85"/>
      <c r="Q176" s="85"/>
      <c r="R176" s="63"/>
      <c r="S176" s="63"/>
      <c r="T176" s="63"/>
      <c r="U176" s="63"/>
      <c r="V176" s="63"/>
      <c r="W176" s="63"/>
      <c r="X176" s="63"/>
      <c r="Y176" s="63"/>
    </row>
    <row r="177" spans="1:25">
      <c r="A177" s="85"/>
      <c r="B177" s="85"/>
      <c r="C177" s="85"/>
      <c r="D177" s="85"/>
      <c r="E177" s="85"/>
      <c r="F177" s="85"/>
      <c r="G177" s="85"/>
      <c r="H177" s="85"/>
      <c r="J177" s="85"/>
      <c r="K177" s="85"/>
      <c r="L177" s="85"/>
      <c r="M177" s="85"/>
      <c r="N177" s="85"/>
      <c r="O177" s="85"/>
      <c r="P177" s="85"/>
      <c r="Q177" s="85"/>
      <c r="R177" s="63"/>
      <c r="S177" s="63"/>
      <c r="T177" s="63"/>
      <c r="U177" s="63"/>
      <c r="V177" s="63"/>
      <c r="W177" s="63"/>
      <c r="X177" s="63"/>
      <c r="Y177" s="63"/>
    </row>
    <row r="178" spans="1:25">
      <c r="A178" s="85"/>
      <c r="B178" s="85"/>
      <c r="C178" s="85"/>
      <c r="D178" s="85"/>
      <c r="E178" s="85"/>
      <c r="F178" s="85"/>
      <c r="G178" s="85"/>
      <c r="H178" s="85"/>
      <c r="J178" s="85"/>
      <c r="K178" s="85"/>
      <c r="L178" s="85"/>
      <c r="M178" s="85"/>
      <c r="N178" s="85"/>
      <c r="O178" s="85"/>
      <c r="P178" s="85"/>
      <c r="Q178" s="85"/>
      <c r="R178" s="63"/>
      <c r="S178" s="63"/>
      <c r="T178" s="63"/>
      <c r="U178" s="63"/>
      <c r="V178" s="63"/>
      <c r="W178" s="63"/>
      <c r="X178" s="63"/>
      <c r="Y178" s="63"/>
    </row>
    <row r="179" spans="1:25">
      <c r="A179" s="85"/>
      <c r="B179" s="85"/>
      <c r="C179" s="85"/>
      <c r="D179" s="85"/>
      <c r="E179" s="85"/>
      <c r="F179" s="85"/>
      <c r="G179" s="85"/>
      <c r="H179" s="85"/>
      <c r="J179" s="85"/>
      <c r="K179" s="85"/>
      <c r="L179" s="85"/>
      <c r="M179" s="85"/>
      <c r="N179" s="85"/>
      <c r="O179" s="85"/>
      <c r="P179" s="85"/>
      <c r="Q179" s="85"/>
      <c r="R179" s="63"/>
      <c r="S179" s="63"/>
      <c r="T179" s="63"/>
      <c r="U179" s="63"/>
      <c r="V179" s="63"/>
      <c r="W179" s="63"/>
      <c r="X179" s="63"/>
      <c r="Y179" s="63"/>
    </row>
    <row r="180" spans="1:25">
      <c r="A180" s="85"/>
      <c r="B180" s="85"/>
      <c r="C180" s="85"/>
      <c r="D180" s="85"/>
      <c r="E180" s="85"/>
      <c r="F180" s="85"/>
      <c r="G180" s="85"/>
      <c r="H180" s="85"/>
      <c r="J180" s="85"/>
      <c r="K180" s="85"/>
      <c r="L180" s="85"/>
      <c r="M180" s="85"/>
      <c r="N180" s="85"/>
      <c r="O180" s="85"/>
      <c r="P180" s="85"/>
      <c r="Q180" s="85"/>
      <c r="R180" s="63"/>
      <c r="S180" s="63"/>
      <c r="T180" s="63"/>
      <c r="U180" s="63"/>
      <c r="V180" s="63"/>
      <c r="W180" s="63"/>
      <c r="X180" s="63"/>
      <c r="Y180" s="63"/>
    </row>
    <row r="181" spans="1:25">
      <c r="A181" s="85"/>
      <c r="B181" s="85"/>
      <c r="C181" s="85"/>
      <c r="D181" s="85"/>
      <c r="E181" s="85"/>
      <c r="F181" s="85"/>
      <c r="G181" s="85"/>
      <c r="H181" s="85"/>
      <c r="J181" s="85"/>
      <c r="K181" s="85"/>
      <c r="L181" s="85"/>
      <c r="M181" s="85"/>
      <c r="N181" s="85"/>
      <c r="O181" s="85"/>
      <c r="P181" s="85"/>
      <c r="Q181" s="85"/>
      <c r="R181" s="63"/>
      <c r="S181" s="63"/>
      <c r="T181" s="63"/>
      <c r="U181" s="63"/>
      <c r="V181" s="63"/>
      <c r="W181" s="63"/>
      <c r="X181" s="63"/>
      <c r="Y181" s="63"/>
    </row>
    <row r="182" spans="1:25">
      <c r="A182" s="85"/>
      <c r="B182" s="85"/>
      <c r="C182" s="85"/>
      <c r="D182" s="85"/>
      <c r="E182" s="85"/>
      <c r="F182" s="85"/>
      <c r="G182" s="85"/>
      <c r="H182" s="85"/>
      <c r="J182" s="85"/>
      <c r="K182" s="85"/>
      <c r="L182" s="85"/>
      <c r="M182" s="85"/>
      <c r="N182" s="85"/>
      <c r="O182" s="85"/>
      <c r="P182" s="85"/>
      <c r="Q182" s="85"/>
      <c r="R182" s="63"/>
      <c r="S182" s="63"/>
      <c r="T182" s="63"/>
      <c r="U182" s="63"/>
      <c r="V182" s="63"/>
      <c r="W182" s="63"/>
      <c r="X182" s="63"/>
      <c r="Y182" s="63"/>
    </row>
    <row r="183" spans="1:25">
      <c r="A183" s="85"/>
      <c r="B183" s="85"/>
      <c r="C183" s="85"/>
      <c r="D183" s="85"/>
      <c r="E183" s="85"/>
      <c r="F183" s="85"/>
      <c r="G183" s="85"/>
      <c r="H183" s="85"/>
      <c r="J183" s="85"/>
      <c r="K183" s="85"/>
      <c r="L183" s="85"/>
      <c r="M183" s="85"/>
      <c r="N183" s="85"/>
      <c r="O183" s="85"/>
      <c r="P183" s="85"/>
      <c r="Q183" s="85"/>
      <c r="R183" s="63"/>
      <c r="S183" s="63"/>
      <c r="T183" s="63"/>
      <c r="U183" s="63"/>
      <c r="V183" s="63"/>
      <c r="W183" s="63"/>
      <c r="X183" s="63"/>
      <c r="Y183" s="63"/>
    </row>
    <row r="184" spans="1:25">
      <c r="A184" s="85"/>
      <c r="B184" s="85"/>
      <c r="C184" s="85"/>
      <c r="D184" s="85"/>
      <c r="E184" s="85"/>
      <c r="F184" s="85"/>
      <c r="G184" s="85"/>
      <c r="H184" s="85"/>
      <c r="J184" s="85"/>
      <c r="K184" s="85"/>
      <c r="L184" s="85"/>
      <c r="M184" s="85"/>
      <c r="N184" s="85"/>
      <c r="O184" s="85"/>
      <c r="P184" s="85"/>
      <c r="Q184" s="85"/>
      <c r="R184" s="63"/>
      <c r="S184" s="63"/>
      <c r="T184" s="63"/>
      <c r="U184" s="63"/>
      <c r="V184" s="63"/>
      <c r="W184" s="63"/>
      <c r="X184" s="63"/>
      <c r="Y184" s="63"/>
    </row>
    <row r="185" spans="1:25">
      <c r="A185" s="85"/>
      <c r="B185" s="85"/>
      <c r="C185" s="85"/>
      <c r="D185" s="85"/>
      <c r="E185" s="85"/>
      <c r="F185" s="85"/>
      <c r="G185" s="85"/>
      <c r="H185" s="85"/>
      <c r="J185" s="85"/>
      <c r="K185" s="85"/>
      <c r="L185" s="85"/>
      <c r="M185" s="85"/>
      <c r="N185" s="85"/>
      <c r="O185" s="85"/>
      <c r="P185" s="85"/>
      <c r="Q185" s="85"/>
      <c r="R185" s="63"/>
      <c r="S185" s="63"/>
      <c r="T185" s="63"/>
      <c r="U185" s="63"/>
      <c r="V185" s="63"/>
      <c r="W185" s="63"/>
      <c r="X185" s="63"/>
      <c r="Y185" s="63"/>
    </row>
    <row r="186" spans="1:25">
      <c r="A186" s="85"/>
      <c r="B186" s="85"/>
      <c r="C186" s="85"/>
      <c r="D186" s="85"/>
      <c r="E186" s="85"/>
      <c r="F186" s="85"/>
      <c r="G186" s="85"/>
      <c r="H186" s="85"/>
      <c r="J186" s="85"/>
      <c r="K186" s="85"/>
      <c r="L186" s="85"/>
      <c r="M186" s="85"/>
      <c r="N186" s="85"/>
      <c r="O186" s="85"/>
      <c r="P186" s="85"/>
      <c r="Q186" s="85"/>
      <c r="R186" s="63"/>
      <c r="S186" s="63"/>
      <c r="T186" s="63"/>
      <c r="U186" s="63"/>
      <c r="V186" s="63"/>
      <c r="W186" s="63"/>
      <c r="X186" s="63"/>
      <c r="Y186" s="63"/>
    </row>
    <row r="187" spans="1:25">
      <c r="A187" s="85"/>
      <c r="B187" s="85"/>
      <c r="C187" s="85"/>
      <c r="D187" s="85"/>
      <c r="E187" s="85"/>
      <c r="F187" s="85"/>
      <c r="G187" s="85"/>
      <c r="H187" s="85"/>
      <c r="J187" s="85"/>
      <c r="K187" s="85"/>
      <c r="L187" s="85"/>
      <c r="M187" s="85"/>
      <c r="N187" s="85"/>
      <c r="O187" s="85"/>
      <c r="P187" s="85"/>
      <c r="Q187" s="85"/>
      <c r="R187" s="63"/>
      <c r="S187" s="63"/>
      <c r="T187" s="63"/>
      <c r="U187" s="63"/>
      <c r="V187" s="63"/>
      <c r="W187" s="63"/>
      <c r="X187" s="63"/>
      <c r="Y187" s="63"/>
    </row>
    <row r="188" spans="1:25">
      <c r="A188" s="85"/>
      <c r="B188" s="85"/>
      <c r="C188" s="85"/>
      <c r="D188" s="85"/>
      <c r="E188" s="85"/>
      <c r="F188" s="85"/>
      <c r="G188" s="85"/>
      <c r="H188" s="85"/>
      <c r="J188" s="85"/>
      <c r="K188" s="85"/>
      <c r="L188" s="85"/>
      <c r="M188" s="85"/>
      <c r="N188" s="85"/>
      <c r="O188" s="85"/>
      <c r="P188" s="85"/>
      <c r="Q188" s="85"/>
      <c r="R188" s="63"/>
      <c r="S188" s="63"/>
      <c r="T188" s="63"/>
      <c r="U188" s="63"/>
      <c r="V188" s="63"/>
      <c r="W188" s="63"/>
      <c r="X188" s="63"/>
      <c r="Y188" s="63"/>
    </row>
    <row r="189" spans="1:25">
      <c r="A189" s="85"/>
      <c r="B189" s="85"/>
      <c r="C189" s="85"/>
      <c r="D189" s="85"/>
      <c r="E189" s="85"/>
      <c r="F189" s="85"/>
      <c r="G189" s="85"/>
      <c r="H189" s="85"/>
      <c r="J189" s="85"/>
      <c r="K189" s="85"/>
      <c r="L189" s="85"/>
      <c r="M189" s="85"/>
      <c r="N189" s="85"/>
      <c r="O189" s="85"/>
      <c r="P189" s="85"/>
      <c r="Q189" s="85"/>
      <c r="R189" s="63"/>
      <c r="S189" s="63"/>
      <c r="T189" s="63"/>
      <c r="U189" s="63"/>
      <c r="V189" s="63"/>
      <c r="W189" s="63"/>
      <c r="X189" s="63"/>
      <c r="Y189" s="63"/>
    </row>
    <row r="190" spans="1:25">
      <c r="A190" s="85"/>
      <c r="B190" s="85"/>
      <c r="C190" s="85"/>
      <c r="D190" s="85"/>
      <c r="E190" s="85"/>
      <c r="F190" s="85"/>
      <c r="G190" s="85"/>
      <c r="H190" s="85"/>
      <c r="J190" s="85"/>
      <c r="K190" s="85"/>
      <c r="L190" s="85"/>
      <c r="M190" s="85"/>
      <c r="N190" s="85"/>
      <c r="O190" s="85"/>
      <c r="P190" s="85"/>
      <c r="Q190" s="85"/>
      <c r="R190" s="63"/>
      <c r="S190" s="63"/>
      <c r="T190" s="63"/>
      <c r="U190" s="63"/>
      <c r="V190" s="63"/>
      <c r="W190" s="63"/>
      <c r="X190" s="63"/>
      <c r="Y190" s="63"/>
    </row>
    <row r="191" spans="1:25">
      <c r="A191" s="85"/>
      <c r="B191" s="85"/>
      <c r="C191" s="85"/>
      <c r="D191" s="85"/>
      <c r="E191" s="85"/>
      <c r="F191" s="85"/>
      <c r="G191" s="85"/>
      <c r="H191" s="85"/>
      <c r="J191" s="85"/>
      <c r="K191" s="85"/>
      <c r="L191" s="85"/>
      <c r="M191" s="85"/>
      <c r="N191" s="85"/>
      <c r="O191" s="85"/>
      <c r="P191" s="85"/>
      <c r="Q191" s="85"/>
      <c r="R191" s="63"/>
      <c r="S191" s="63"/>
      <c r="T191" s="63"/>
      <c r="U191" s="63"/>
      <c r="V191" s="63"/>
      <c r="W191" s="63"/>
      <c r="X191" s="63"/>
      <c r="Y191" s="63"/>
    </row>
    <row r="192" spans="1:25">
      <c r="A192" s="85"/>
      <c r="B192" s="85"/>
      <c r="C192" s="85"/>
      <c r="D192" s="85"/>
      <c r="E192" s="85"/>
      <c r="F192" s="85"/>
      <c r="G192" s="85"/>
      <c r="H192" s="85"/>
      <c r="J192" s="85"/>
      <c r="K192" s="85"/>
      <c r="L192" s="85"/>
      <c r="M192" s="85"/>
      <c r="N192" s="85"/>
      <c r="O192" s="85"/>
      <c r="P192" s="85"/>
      <c r="Q192" s="85"/>
      <c r="R192" s="63"/>
      <c r="S192" s="63"/>
      <c r="T192" s="63"/>
      <c r="U192" s="63"/>
      <c r="V192" s="63"/>
      <c r="W192" s="63"/>
      <c r="X192" s="63"/>
      <c r="Y192" s="63"/>
    </row>
    <row r="193" spans="1:25">
      <c r="A193" s="85"/>
      <c r="B193" s="85"/>
      <c r="C193" s="85"/>
      <c r="D193" s="85"/>
      <c r="E193" s="85"/>
      <c r="F193" s="85"/>
      <c r="G193" s="85"/>
      <c r="H193" s="85"/>
      <c r="J193" s="85"/>
      <c r="K193" s="85"/>
      <c r="L193" s="85"/>
      <c r="M193" s="85"/>
      <c r="N193" s="85"/>
      <c r="O193" s="85"/>
      <c r="P193" s="85"/>
      <c r="Q193" s="85"/>
      <c r="R193" s="63"/>
      <c r="S193" s="63"/>
      <c r="T193" s="63"/>
      <c r="U193" s="63"/>
      <c r="V193" s="63"/>
      <c r="W193" s="63"/>
      <c r="X193" s="63"/>
      <c r="Y193" s="63"/>
    </row>
    <row r="194" spans="1:25">
      <c r="A194" s="85"/>
      <c r="B194" s="85"/>
      <c r="C194" s="85"/>
      <c r="D194" s="85"/>
      <c r="E194" s="85"/>
      <c r="F194" s="85"/>
      <c r="G194" s="85"/>
      <c r="H194" s="85"/>
      <c r="J194" s="85"/>
      <c r="K194" s="85"/>
      <c r="L194" s="85"/>
      <c r="M194" s="85"/>
      <c r="N194" s="85"/>
      <c r="O194" s="85"/>
      <c r="P194" s="85"/>
      <c r="Q194" s="85"/>
      <c r="R194" s="63"/>
      <c r="S194" s="63"/>
      <c r="T194" s="63"/>
      <c r="U194" s="63"/>
      <c r="V194" s="63"/>
      <c r="W194" s="63"/>
      <c r="X194" s="63"/>
      <c r="Y194" s="63"/>
    </row>
    <row r="195" spans="1:25">
      <c r="A195" s="85"/>
      <c r="B195" s="85"/>
      <c r="C195" s="85"/>
      <c r="D195" s="85"/>
      <c r="E195" s="85"/>
      <c r="F195" s="85"/>
      <c r="G195" s="85"/>
      <c r="H195" s="85"/>
      <c r="J195" s="85"/>
      <c r="K195" s="85"/>
      <c r="L195" s="85"/>
      <c r="M195" s="85"/>
      <c r="N195" s="85"/>
      <c r="O195" s="85"/>
      <c r="P195" s="85"/>
      <c r="Q195" s="85"/>
      <c r="R195" s="63"/>
      <c r="S195" s="63"/>
      <c r="T195" s="63"/>
      <c r="U195" s="63"/>
      <c r="V195" s="63"/>
      <c r="W195" s="63"/>
      <c r="X195" s="63"/>
      <c r="Y195" s="63"/>
    </row>
    <row r="196" spans="1:25">
      <c r="A196" s="85"/>
      <c r="B196" s="85"/>
      <c r="C196" s="85"/>
      <c r="D196" s="85"/>
      <c r="E196" s="85"/>
      <c r="F196" s="85"/>
      <c r="G196" s="85"/>
      <c r="H196" s="85"/>
      <c r="J196" s="85"/>
      <c r="K196" s="85"/>
      <c r="L196" s="85"/>
      <c r="M196" s="85"/>
      <c r="N196" s="85"/>
      <c r="O196" s="85"/>
      <c r="P196" s="85"/>
      <c r="Q196" s="85"/>
      <c r="R196" s="63"/>
      <c r="S196" s="63"/>
      <c r="T196" s="63"/>
      <c r="U196" s="63"/>
      <c r="V196" s="63"/>
      <c r="W196" s="63"/>
      <c r="X196" s="63"/>
      <c r="Y196" s="63"/>
    </row>
    <row r="197" spans="1:25">
      <c r="A197" s="85"/>
      <c r="B197" s="85"/>
      <c r="C197" s="85"/>
      <c r="D197" s="85"/>
      <c r="E197" s="85"/>
      <c r="F197" s="85"/>
      <c r="G197" s="85"/>
      <c r="H197" s="85"/>
      <c r="J197" s="85"/>
      <c r="K197" s="85"/>
      <c r="L197" s="85"/>
      <c r="M197" s="85"/>
      <c r="N197" s="85"/>
      <c r="O197" s="85"/>
      <c r="P197" s="85"/>
      <c r="Q197" s="85"/>
      <c r="R197" s="63"/>
      <c r="S197" s="63"/>
      <c r="T197" s="63"/>
      <c r="U197" s="63"/>
      <c r="V197" s="63"/>
      <c r="W197" s="63"/>
      <c r="X197" s="63"/>
      <c r="Y197" s="63"/>
    </row>
    <row r="198" spans="1:25">
      <c r="A198" s="85"/>
      <c r="B198" s="85"/>
      <c r="C198" s="85"/>
      <c r="D198" s="85"/>
      <c r="E198" s="85"/>
      <c r="F198" s="85"/>
      <c r="G198" s="85"/>
      <c r="H198" s="85"/>
      <c r="J198" s="85"/>
      <c r="K198" s="85"/>
      <c r="L198" s="85"/>
      <c r="M198" s="85"/>
      <c r="N198" s="85"/>
      <c r="O198" s="85"/>
      <c r="P198" s="85"/>
      <c r="Q198" s="85"/>
      <c r="R198" s="63"/>
      <c r="S198" s="63"/>
      <c r="T198" s="63"/>
      <c r="U198" s="63"/>
      <c r="V198" s="63"/>
      <c r="W198" s="63"/>
      <c r="X198" s="63"/>
      <c r="Y198" s="63"/>
    </row>
    <row r="199" spans="1:25">
      <c r="A199" s="85"/>
      <c r="B199" s="85"/>
      <c r="C199" s="85"/>
      <c r="D199" s="85"/>
      <c r="E199" s="85"/>
      <c r="F199" s="85"/>
      <c r="G199" s="85"/>
      <c r="H199" s="85"/>
      <c r="J199" s="85"/>
      <c r="K199" s="85"/>
      <c r="L199" s="85"/>
      <c r="M199" s="85"/>
      <c r="N199" s="85"/>
      <c r="O199" s="85"/>
      <c r="P199" s="85"/>
      <c r="Q199" s="85"/>
      <c r="R199" s="63"/>
      <c r="S199" s="63"/>
      <c r="T199" s="63"/>
      <c r="U199" s="63"/>
      <c r="V199" s="63"/>
      <c r="W199" s="63"/>
      <c r="X199" s="63"/>
      <c r="Y199" s="63"/>
    </row>
    <row r="200" spans="1:25">
      <c r="A200" s="85"/>
      <c r="B200" s="85"/>
      <c r="C200" s="85"/>
      <c r="D200" s="85"/>
      <c r="E200" s="85"/>
      <c r="F200" s="85"/>
      <c r="G200" s="85"/>
      <c r="H200" s="85"/>
      <c r="J200" s="85"/>
      <c r="K200" s="85"/>
      <c r="L200" s="85"/>
      <c r="M200" s="85"/>
      <c r="N200" s="85"/>
      <c r="O200" s="85"/>
      <c r="P200" s="85"/>
      <c r="Q200" s="85"/>
      <c r="R200" s="63"/>
      <c r="S200" s="63"/>
      <c r="T200" s="63"/>
      <c r="U200" s="63"/>
      <c r="V200" s="63"/>
      <c r="W200" s="63"/>
      <c r="X200" s="63"/>
      <c r="Y200" s="63"/>
    </row>
    <row r="201" spans="1:25">
      <c r="A201" s="85"/>
      <c r="B201" s="85"/>
      <c r="C201" s="85"/>
      <c r="D201" s="85"/>
      <c r="E201" s="85"/>
      <c r="F201" s="85"/>
      <c r="G201" s="85"/>
      <c r="H201" s="85"/>
      <c r="J201" s="85"/>
      <c r="K201" s="85"/>
      <c r="L201" s="85"/>
      <c r="M201" s="85"/>
      <c r="N201" s="85"/>
      <c r="O201" s="85"/>
      <c r="P201" s="85"/>
      <c r="Q201" s="85"/>
      <c r="R201" s="63"/>
      <c r="S201" s="63"/>
      <c r="T201" s="63"/>
      <c r="U201" s="63"/>
      <c r="V201" s="63"/>
      <c r="W201" s="63"/>
      <c r="X201" s="63"/>
      <c r="Y201" s="63"/>
    </row>
    <row r="202" spans="1:25">
      <c r="A202" s="85"/>
      <c r="B202" s="85"/>
      <c r="C202" s="85"/>
      <c r="D202" s="85"/>
      <c r="E202" s="85"/>
      <c r="F202" s="85"/>
      <c r="G202" s="85"/>
      <c r="H202" s="85"/>
      <c r="J202" s="85"/>
      <c r="K202" s="85"/>
      <c r="L202" s="85"/>
      <c r="M202" s="85"/>
      <c r="N202" s="85"/>
      <c r="O202" s="85"/>
      <c r="P202" s="85"/>
      <c r="Q202" s="85"/>
      <c r="R202" s="63"/>
      <c r="S202" s="63"/>
      <c r="T202" s="63"/>
      <c r="U202" s="63"/>
      <c r="V202" s="63"/>
      <c r="W202" s="63"/>
      <c r="X202" s="63"/>
      <c r="Y202" s="63"/>
    </row>
    <row r="203" spans="1:25">
      <c r="A203" s="85"/>
      <c r="B203" s="85"/>
      <c r="C203" s="85"/>
      <c r="D203" s="85"/>
      <c r="E203" s="85"/>
      <c r="F203" s="85"/>
      <c r="G203" s="85"/>
      <c r="H203" s="85"/>
      <c r="J203" s="85"/>
      <c r="K203" s="85"/>
      <c r="L203" s="85"/>
      <c r="M203" s="85"/>
      <c r="N203" s="85"/>
      <c r="O203" s="85"/>
      <c r="P203" s="85"/>
      <c r="Q203" s="85"/>
      <c r="R203" s="63"/>
      <c r="S203" s="63"/>
      <c r="T203" s="63"/>
      <c r="U203" s="63"/>
      <c r="V203" s="63"/>
      <c r="W203" s="63"/>
      <c r="X203" s="63"/>
      <c r="Y203" s="63"/>
    </row>
    <row r="204" spans="1:25">
      <c r="A204" s="85"/>
      <c r="B204" s="85"/>
      <c r="C204" s="85"/>
      <c r="D204" s="85"/>
      <c r="E204" s="85"/>
      <c r="F204" s="85"/>
      <c r="G204" s="85"/>
      <c r="H204" s="85"/>
      <c r="J204" s="85"/>
      <c r="K204" s="85"/>
      <c r="L204" s="85"/>
      <c r="M204" s="85"/>
      <c r="N204" s="85"/>
      <c r="O204" s="85"/>
      <c r="P204" s="85"/>
      <c r="Q204" s="85"/>
      <c r="R204" s="63"/>
      <c r="S204" s="63"/>
      <c r="T204" s="63"/>
      <c r="U204" s="63"/>
      <c r="V204" s="63"/>
      <c r="W204" s="63"/>
      <c r="X204" s="63"/>
      <c r="Y204" s="63"/>
    </row>
    <row r="205" spans="1:25">
      <c r="A205" s="85"/>
      <c r="B205" s="85"/>
      <c r="C205" s="85"/>
      <c r="D205" s="85"/>
      <c r="E205" s="85"/>
      <c r="F205" s="85"/>
      <c r="G205" s="85"/>
      <c r="H205" s="85"/>
      <c r="J205" s="85"/>
      <c r="K205" s="85"/>
      <c r="L205" s="85"/>
      <c r="M205" s="85"/>
      <c r="N205" s="85"/>
      <c r="O205" s="85"/>
      <c r="P205" s="85"/>
      <c r="Q205" s="85"/>
      <c r="R205" s="63"/>
      <c r="S205" s="63"/>
      <c r="T205" s="63"/>
      <c r="U205" s="63"/>
      <c r="V205" s="63"/>
      <c r="W205" s="63"/>
      <c r="X205" s="63"/>
      <c r="Y205" s="63"/>
    </row>
    <row r="206" spans="1:25">
      <c r="A206" s="85"/>
      <c r="B206" s="85"/>
      <c r="C206" s="85"/>
      <c r="D206" s="85"/>
      <c r="E206" s="85"/>
      <c r="F206" s="85"/>
      <c r="G206" s="85"/>
      <c r="H206" s="85"/>
      <c r="J206" s="85"/>
      <c r="K206" s="85"/>
      <c r="L206" s="85"/>
      <c r="M206" s="85"/>
      <c r="N206" s="85"/>
      <c r="O206" s="85"/>
      <c r="P206" s="85"/>
      <c r="Q206" s="85"/>
      <c r="R206" s="63"/>
      <c r="S206" s="63"/>
      <c r="T206" s="63"/>
      <c r="U206" s="63"/>
      <c r="V206" s="63"/>
      <c r="W206" s="63"/>
      <c r="X206" s="63"/>
      <c r="Y206" s="63"/>
    </row>
    <row r="207" spans="1:25">
      <c r="A207" s="85"/>
      <c r="B207" s="85"/>
      <c r="C207" s="85"/>
      <c r="D207" s="85"/>
      <c r="E207" s="85"/>
      <c r="F207" s="85"/>
      <c r="G207" s="85"/>
      <c r="H207" s="85"/>
      <c r="J207" s="85"/>
      <c r="K207" s="85"/>
      <c r="L207" s="85"/>
      <c r="M207" s="85"/>
      <c r="N207" s="85"/>
      <c r="O207" s="85"/>
      <c r="P207" s="85"/>
      <c r="Q207" s="85"/>
      <c r="R207" s="63"/>
      <c r="S207" s="63"/>
      <c r="T207" s="63"/>
      <c r="U207" s="63"/>
      <c r="V207" s="63"/>
      <c r="W207" s="63"/>
      <c r="X207" s="63"/>
      <c r="Y207" s="63"/>
    </row>
    <row r="208" spans="1:25">
      <c r="A208" s="85"/>
      <c r="B208" s="85"/>
      <c r="C208" s="85"/>
      <c r="D208" s="85"/>
      <c r="E208" s="85"/>
      <c r="F208" s="85"/>
      <c r="G208" s="85"/>
      <c r="H208" s="85"/>
      <c r="J208" s="85"/>
      <c r="K208" s="85"/>
      <c r="L208" s="85"/>
      <c r="M208" s="85"/>
      <c r="N208" s="85"/>
      <c r="O208" s="85"/>
      <c r="P208" s="85"/>
      <c r="Q208" s="85"/>
      <c r="R208" s="63"/>
      <c r="S208" s="63"/>
      <c r="T208" s="63"/>
      <c r="U208" s="63"/>
      <c r="V208" s="63"/>
      <c r="W208" s="63"/>
      <c r="X208" s="63"/>
      <c r="Y208" s="63"/>
    </row>
    <row r="209" spans="1:25">
      <c r="A209" s="85"/>
      <c r="B209" s="85"/>
      <c r="C209" s="85"/>
      <c r="D209" s="85"/>
      <c r="E209" s="85"/>
      <c r="F209" s="85"/>
      <c r="G209" s="85"/>
      <c r="H209" s="85"/>
      <c r="J209" s="85"/>
      <c r="K209" s="85"/>
      <c r="L209" s="85"/>
      <c r="M209" s="85"/>
      <c r="N209" s="85"/>
      <c r="O209" s="85"/>
      <c r="P209" s="85"/>
      <c r="Q209" s="85"/>
      <c r="R209" s="63"/>
      <c r="S209" s="63"/>
      <c r="T209" s="63"/>
      <c r="U209" s="63"/>
      <c r="V209" s="63"/>
      <c r="W209" s="63"/>
      <c r="X209" s="63"/>
      <c r="Y209" s="63"/>
    </row>
    <row r="210" spans="1:25">
      <c r="A210" s="85"/>
      <c r="B210" s="85"/>
      <c r="C210" s="85"/>
      <c r="D210" s="85"/>
      <c r="E210" s="85"/>
      <c r="F210" s="85"/>
      <c r="G210" s="85"/>
      <c r="H210" s="85"/>
      <c r="J210" s="85"/>
      <c r="K210" s="85"/>
      <c r="L210" s="85"/>
      <c r="M210" s="85"/>
      <c r="N210" s="85"/>
      <c r="O210" s="85"/>
      <c r="P210" s="85"/>
      <c r="Q210" s="85"/>
      <c r="R210" s="63"/>
      <c r="S210" s="63"/>
      <c r="T210" s="63"/>
      <c r="U210" s="63"/>
      <c r="V210" s="63"/>
      <c r="W210" s="63"/>
      <c r="X210" s="63"/>
      <c r="Y210" s="63"/>
    </row>
    <row r="211" spans="1:25">
      <c r="A211" s="85"/>
      <c r="B211" s="85"/>
      <c r="C211" s="85"/>
      <c r="D211" s="85"/>
      <c r="E211" s="85"/>
      <c r="F211" s="85"/>
      <c r="G211" s="85"/>
      <c r="H211" s="85"/>
      <c r="J211" s="85"/>
      <c r="K211" s="85"/>
      <c r="L211" s="85"/>
      <c r="M211" s="85"/>
      <c r="N211" s="85"/>
      <c r="O211" s="85"/>
      <c r="P211" s="85"/>
      <c r="Q211" s="85"/>
      <c r="R211" s="63"/>
      <c r="S211" s="63"/>
      <c r="T211" s="63"/>
      <c r="U211" s="63"/>
      <c r="V211" s="63"/>
      <c r="W211" s="63"/>
      <c r="X211" s="63"/>
      <c r="Y211" s="63"/>
    </row>
    <row r="212" spans="1:25">
      <c r="A212" s="85"/>
      <c r="B212" s="85"/>
      <c r="C212" s="85"/>
      <c r="D212" s="85"/>
      <c r="E212" s="85"/>
      <c r="F212" s="85"/>
      <c r="G212" s="85"/>
      <c r="H212" s="85"/>
      <c r="J212" s="85"/>
      <c r="K212" s="85"/>
      <c r="L212" s="85"/>
      <c r="M212" s="85"/>
      <c r="N212" s="85"/>
      <c r="O212" s="85"/>
      <c r="P212" s="85"/>
      <c r="Q212" s="85"/>
      <c r="R212" s="63"/>
      <c r="S212" s="63"/>
      <c r="T212" s="63"/>
      <c r="U212" s="63"/>
      <c r="V212" s="63"/>
      <c r="W212" s="63"/>
      <c r="X212" s="63"/>
      <c r="Y212" s="63"/>
    </row>
    <row r="213" spans="1:25">
      <c r="A213" s="85"/>
      <c r="B213" s="85"/>
      <c r="C213" s="85"/>
      <c r="D213" s="85"/>
      <c r="E213" s="85"/>
      <c r="F213" s="85"/>
      <c r="G213" s="85"/>
      <c r="H213" s="85"/>
      <c r="J213" s="85"/>
      <c r="K213" s="85"/>
      <c r="L213" s="85"/>
      <c r="M213" s="85"/>
      <c r="N213" s="85"/>
      <c r="O213" s="85"/>
      <c r="P213" s="85"/>
      <c r="Q213" s="85"/>
      <c r="R213" s="63"/>
      <c r="S213" s="63"/>
      <c r="T213" s="63"/>
      <c r="U213" s="63"/>
      <c r="V213" s="63"/>
      <c r="W213" s="63"/>
      <c r="X213" s="63"/>
      <c r="Y213" s="63"/>
    </row>
    <row r="214" spans="1:25">
      <c r="A214" s="85"/>
      <c r="B214" s="85"/>
      <c r="C214" s="85"/>
      <c r="D214" s="85"/>
      <c r="E214" s="85"/>
      <c r="F214" s="85"/>
      <c r="G214" s="85"/>
      <c r="H214" s="85"/>
      <c r="J214" s="85"/>
      <c r="K214" s="85"/>
      <c r="L214" s="85"/>
      <c r="M214" s="85"/>
      <c r="N214" s="85"/>
      <c r="O214" s="85"/>
      <c r="P214" s="85"/>
      <c r="Q214" s="85"/>
      <c r="R214" s="63"/>
      <c r="S214" s="63"/>
      <c r="T214" s="63"/>
      <c r="U214" s="63"/>
      <c r="V214" s="63"/>
      <c r="W214" s="63"/>
      <c r="X214" s="63"/>
      <c r="Y214" s="63"/>
    </row>
    <row r="215" spans="1:25">
      <c r="A215" s="85"/>
      <c r="B215" s="85"/>
      <c r="C215" s="85"/>
      <c r="D215" s="85"/>
      <c r="E215" s="85"/>
      <c r="F215" s="85"/>
      <c r="G215" s="85"/>
      <c r="H215" s="85"/>
      <c r="J215" s="85"/>
      <c r="K215" s="85"/>
      <c r="L215" s="85"/>
      <c r="M215" s="85"/>
      <c r="N215" s="85"/>
      <c r="O215" s="85"/>
      <c r="P215" s="85"/>
      <c r="Q215" s="85"/>
      <c r="R215" s="63"/>
      <c r="S215" s="63"/>
      <c r="T215" s="63"/>
      <c r="U215" s="63"/>
      <c r="V215" s="63"/>
      <c r="W215" s="63"/>
      <c r="X215" s="63"/>
      <c r="Y215" s="63"/>
    </row>
    <row r="216" spans="1:25">
      <c r="A216" s="85"/>
      <c r="B216" s="85"/>
      <c r="C216" s="85"/>
      <c r="D216" s="85"/>
      <c r="E216" s="85"/>
      <c r="F216" s="85"/>
      <c r="G216" s="85"/>
      <c r="H216" s="85"/>
      <c r="J216" s="85"/>
      <c r="K216" s="85"/>
      <c r="L216" s="85"/>
      <c r="M216" s="85"/>
      <c r="N216" s="85"/>
      <c r="O216" s="85"/>
      <c r="P216" s="85"/>
      <c r="Q216" s="85"/>
      <c r="R216" s="63"/>
      <c r="S216" s="63"/>
      <c r="T216" s="63"/>
      <c r="U216" s="63"/>
      <c r="V216" s="63"/>
      <c r="W216" s="63"/>
      <c r="X216" s="63"/>
      <c r="Y216" s="63"/>
    </row>
    <row r="217" spans="1:25">
      <c r="A217" s="85"/>
      <c r="B217" s="85"/>
      <c r="C217" s="85"/>
      <c r="D217" s="85"/>
      <c r="E217" s="85"/>
      <c r="F217" s="85"/>
      <c r="G217" s="85"/>
      <c r="H217" s="85"/>
      <c r="J217" s="85"/>
      <c r="K217" s="85"/>
      <c r="L217" s="85"/>
      <c r="M217" s="85"/>
      <c r="N217" s="85"/>
      <c r="O217" s="85"/>
      <c r="P217" s="85"/>
      <c r="Q217" s="85"/>
      <c r="R217" s="63"/>
      <c r="S217" s="63"/>
      <c r="T217" s="63"/>
      <c r="U217" s="63"/>
      <c r="V217" s="63"/>
      <c r="W217" s="63"/>
      <c r="X217" s="63"/>
      <c r="Y217" s="63"/>
    </row>
    <row r="218" spans="1:25">
      <c r="A218" s="85"/>
      <c r="B218" s="85"/>
      <c r="C218" s="85"/>
      <c r="D218" s="85"/>
      <c r="E218" s="85"/>
      <c r="F218" s="85"/>
      <c r="G218" s="85"/>
      <c r="H218" s="85"/>
      <c r="J218" s="85"/>
      <c r="K218" s="85"/>
      <c r="L218" s="85"/>
      <c r="M218" s="85"/>
      <c r="N218" s="85"/>
      <c r="O218" s="85"/>
      <c r="P218" s="85"/>
      <c r="Q218" s="85"/>
      <c r="R218" s="63"/>
      <c r="S218" s="63"/>
      <c r="T218" s="63"/>
      <c r="U218" s="63"/>
      <c r="V218" s="63"/>
      <c r="W218" s="63"/>
      <c r="X218" s="63"/>
      <c r="Y218" s="63"/>
    </row>
    <row r="219" spans="1:25">
      <c r="A219" s="85"/>
      <c r="B219" s="85"/>
      <c r="C219" s="85"/>
      <c r="D219" s="85"/>
      <c r="E219" s="85"/>
      <c r="F219" s="85"/>
      <c r="G219" s="85"/>
      <c r="H219" s="85"/>
      <c r="J219" s="85"/>
      <c r="K219" s="85"/>
      <c r="L219" s="85"/>
      <c r="M219" s="85"/>
      <c r="N219" s="85"/>
      <c r="O219" s="85"/>
      <c r="P219" s="85"/>
      <c r="Q219" s="85"/>
      <c r="R219" s="63"/>
      <c r="S219" s="63"/>
      <c r="T219" s="63"/>
      <c r="U219" s="63"/>
      <c r="V219" s="63"/>
      <c r="W219" s="63"/>
      <c r="X219" s="63"/>
      <c r="Y219" s="63"/>
    </row>
    <row r="220" spans="1:25">
      <c r="A220" s="85"/>
      <c r="B220" s="85"/>
      <c r="C220" s="85"/>
      <c r="D220" s="85"/>
      <c r="E220" s="85"/>
      <c r="F220" s="85"/>
      <c r="G220" s="85"/>
      <c r="H220" s="85"/>
      <c r="J220" s="85"/>
      <c r="K220" s="85"/>
      <c r="L220" s="85"/>
      <c r="M220" s="85"/>
      <c r="N220" s="85"/>
      <c r="O220" s="85"/>
      <c r="P220" s="85"/>
      <c r="Q220" s="85"/>
      <c r="R220" s="63"/>
      <c r="S220" s="63"/>
      <c r="T220" s="63"/>
      <c r="U220" s="63"/>
      <c r="V220" s="63"/>
      <c r="W220" s="63"/>
      <c r="X220" s="63"/>
      <c r="Y220" s="63"/>
    </row>
    <row r="221" spans="1:25">
      <c r="A221" s="85"/>
      <c r="B221" s="85"/>
      <c r="C221" s="85"/>
      <c r="D221" s="85"/>
      <c r="E221" s="85"/>
      <c r="F221" s="85"/>
      <c r="G221" s="85"/>
      <c r="H221" s="85"/>
      <c r="J221" s="85"/>
      <c r="K221" s="85"/>
      <c r="L221" s="85"/>
      <c r="M221" s="85"/>
      <c r="N221" s="85"/>
      <c r="O221" s="85"/>
      <c r="P221" s="85"/>
      <c r="Q221" s="85"/>
      <c r="R221" s="63"/>
      <c r="S221" s="63"/>
      <c r="T221" s="63"/>
      <c r="U221" s="63"/>
      <c r="V221" s="63"/>
      <c r="W221" s="63"/>
      <c r="X221" s="63"/>
      <c r="Y221" s="63"/>
    </row>
    <row r="222" spans="1:25">
      <c r="A222" s="85"/>
      <c r="B222" s="85"/>
      <c r="C222" s="85"/>
      <c r="D222" s="85"/>
      <c r="E222" s="85"/>
      <c r="F222" s="85"/>
      <c r="G222" s="85"/>
      <c r="H222" s="85"/>
      <c r="J222" s="85"/>
      <c r="K222" s="85"/>
      <c r="L222" s="85"/>
      <c r="M222" s="85"/>
      <c r="N222" s="85"/>
      <c r="O222" s="85"/>
      <c r="P222" s="85"/>
      <c r="Q222" s="85"/>
      <c r="R222" s="63"/>
      <c r="S222" s="63"/>
      <c r="T222" s="63"/>
      <c r="U222" s="63"/>
      <c r="V222" s="63"/>
      <c r="W222" s="63"/>
      <c r="X222" s="63"/>
      <c r="Y222" s="63"/>
    </row>
    <row r="223" spans="1:25">
      <c r="A223" s="85"/>
      <c r="B223" s="85"/>
      <c r="C223" s="85"/>
      <c r="D223" s="85"/>
      <c r="E223" s="85"/>
      <c r="F223" s="85"/>
      <c r="G223" s="85"/>
      <c r="H223" s="85"/>
      <c r="J223" s="85"/>
      <c r="K223" s="85"/>
      <c r="L223" s="85"/>
      <c r="M223" s="85"/>
      <c r="N223" s="85"/>
      <c r="O223" s="85"/>
      <c r="P223" s="85"/>
      <c r="Q223" s="85"/>
      <c r="R223" s="63"/>
      <c r="S223" s="63"/>
      <c r="T223" s="63"/>
      <c r="U223" s="63"/>
      <c r="V223" s="63"/>
      <c r="W223" s="63"/>
      <c r="X223" s="63"/>
      <c r="Y223" s="63"/>
    </row>
    <row r="224" spans="1:25">
      <c r="A224" s="85"/>
      <c r="B224" s="85"/>
      <c r="C224" s="85"/>
      <c r="D224" s="85"/>
      <c r="E224" s="85"/>
      <c r="F224" s="85"/>
      <c r="G224" s="85"/>
      <c r="H224" s="85"/>
      <c r="J224" s="85"/>
      <c r="K224" s="85"/>
      <c r="L224" s="85"/>
      <c r="M224" s="85"/>
      <c r="N224" s="85"/>
      <c r="O224" s="85"/>
      <c r="P224" s="85"/>
      <c r="Q224" s="85"/>
      <c r="R224" s="63"/>
      <c r="S224" s="63"/>
      <c r="T224" s="63"/>
      <c r="U224" s="63"/>
      <c r="V224" s="63"/>
      <c r="W224" s="63"/>
      <c r="X224" s="63"/>
      <c r="Y224" s="63"/>
    </row>
    <row r="225" spans="1:25">
      <c r="A225" s="85"/>
      <c r="B225" s="85"/>
      <c r="C225" s="85"/>
      <c r="D225" s="85"/>
      <c r="E225" s="85"/>
      <c r="F225" s="85"/>
      <c r="G225" s="85"/>
      <c r="H225" s="85"/>
      <c r="J225" s="85"/>
      <c r="K225" s="85"/>
      <c r="L225" s="85"/>
      <c r="M225" s="85"/>
      <c r="N225" s="85"/>
      <c r="O225" s="85"/>
      <c r="P225" s="85"/>
      <c r="Q225" s="85"/>
      <c r="R225" s="63"/>
      <c r="S225" s="63"/>
      <c r="T225" s="63"/>
      <c r="U225" s="63"/>
      <c r="V225" s="63"/>
      <c r="W225" s="63"/>
      <c r="X225" s="63"/>
      <c r="Y225" s="63"/>
    </row>
    <row r="226" spans="1:25">
      <c r="A226" s="85"/>
      <c r="B226" s="85"/>
      <c r="C226" s="85"/>
      <c r="D226" s="85"/>
      <c r="E226" s="85"/>
      <c r="F226" s="85"/>
      <c r="G226" s="85"/>
      <c r="H226" s="85"/>
      <c r="J226" s="85"/>
      <c r="K226" s="85"/>
      <c r="L226" s="85"/>
      <c r="M226" s="85"/>
      <c r="N226" s="85"/>
      <c r="O226" s="85"/>
      <c r="P226" s="85"/>
      <c r="Q226" s="85"/>
      <c r="R226" s="63"/>
      <c r="S226" s="63"/>
      <c r="T226" s="63"/>
      <c r="U226" s="63"/>
      <c r="V226" s="63"/>
      <c r="W226" s="63"/>
      <c r="X226" s="63"/>
      <c r="Y226" s="63"/>
    </row>
    <row r="227" spans="1:25">
      <c r="A227" s="85"/>
      <c r="B227" s="85"/>
      <c r="C227" s="85"/>
      <c r="D227" s="85"/>
      <c r="E227" s="85"/>
      <c r="F227" s="85"/>
      <c r="G227" s="85"/>
      <c r="H227" s="85"/>
      <c r="J227" s="85"/>
      <c r="K227" s="85"/>
      <c r="L227" s="85"/>
      <c r="M227" s="85"/>
      <c r="N227" s="85"/>
      <c r="O227" s="85"/>
      <c r="P227" s="85"/>
      <c r="Q227" s="85"/>
      <c r="R227" s="63"/>
      <c r="S227" s="63"/>
      <c r="T227" s="63"/>
      <c r="U227" s="63"/>
      <c r="V227" s="63"/>
      <c r="W227" s="63"/>
      <c r="X227" s="63"/>
      <c r="Y227" s="63"/>
    </row>
    <row r="228" spans="1:25">
      <c r="A228" s="85"/>
      <c r="B228" s="85"/>
      <c r="C228" s="85"/>
      <c r="D228" s="85"/>
      <c r="E228" s="85"/>
      <c r="F228" s="85"/>
      <c r="G228" s="85"/>
      <c r="H228" s="85"/>
      <c r="J228" s="85"/>
      <c r="K228" s="85"/>
      <c r="L228" s="85"/>
      <c r="M228" s="85"/>
      <c r="N228" s="85"/>
      <c r="O228" s="85"/>
      <c r="P228" s="85"/>
      <c r="Q228" s="85"/>
      <c r="R228" s="63"/>
      <c r="S228" s="63"/>
      <c r="T228" s="63"/>
      <c r="U228" s="63"/>
      <c r="V228" s="63"/>
      <c r="W228" s="63"/>
      <c r="X228" s="63"/>
      <c r="Y228" s="63"/>
    </row>
    <row r="229" spans="1:25">
      <c r="A229" s="85"/>
      <c r="B229" s="85"/>
      <c r="C229" s="85"/>
      <c r="D229" s="85"/>
      <c r="E229" s="85"/>
      <c r="F229" s="85"/>
      <c r="G229" s="85"/>
      <c r="H229" s="85"/>
      <c r="J229" s="85"/>
      <c r="K229" s="85"/>
      <c r="L229" s="85"/>
      <c r="M229" s="85"/>
      <c r="N229" s="85"/>
      <c r="O229" s="85"/>
      <c r="P229" s="85"/>
      <c r="Q229" s="85"/>
      <c r="R229" s="63"/>
      <c r="S229" s="63"/>
      <c r="T229" s="63"/>
      <c r="U229" s="63"/>
      <c r="V229" s="63"/>
      <c r="W229" s="63"/>
      <c r="X229" s="63"/>
      <c r="Y229" s="63"/>
    </row>
    <row r="230" spans="1:25">
      <c r="A230" s="85"/>
      <c r="B230" s="85"/>
      <c r="C230" s="85"/>
      <c r="D230" s="85"/>
      <c r="E230" s="85"/>
      <c r="F230" s="85"/>
      <c r="G230" s="85"/>
      <c r="H230" s="85"/>
      <c r="J230" s="85"/>
      <c r="K230" s="85"/>
      <c r="L230" s="85"/>
      <c r="M230" s="85"/>
      <c r="N230" s="85"/>
      <c r="O230" s="85"/>
      <c r="P230" s="85"/>
      <c r="Q230" s="85"/>
      <c r="R230" s="63"/>
      <c r="S230" s="63"/>
      <c r="T230" s="63"/>
      <c r="U230" s="63"/>
      <c r="V230" s="63"/>
      <c r="W230" s="63"/>
      <c r="X230" s="63"/>
      <c r="Y230" s="63"/>
    </row>
    <row r="231" spans="1:25">
      <c r="A231" s="85"/>
      <c r="B231" s="85"/>
      <c r="C231" s="85"/>
      <c r="D231" s="85"/>
      <c r="E231" s="85"/>
      <c r="F231" s="85"/>
      <c r="G231" s="85"/>
      <c r="H231" s="85"/>
      <c r="J231" s="85"/>
      <c r="K231" s="85"/>
      <c r="L231" s="85"/>
      <c r="M231" s="85"/>
      <c r="N231" s="85"/>
      <c r="O231" s="85"/>
      <c r="P231" s="85"/>
      <c r="Q231" s="85"/>
      <c r="R231" s="63"/>
      <c r="S231" s="63"/>
      <c r="T231" s="63"/>
      <c r="U231" s="63"/>
      <c r="V231" s="63"/>
      <c r="W231" s="63"/>
      <c r="X231" s="63"/>
      <c r="Y231" s="63"/>
    </row>
    <row r="232" spans="1:25">
      <c r="A232" s="85"/>
      <c r="B232" s="85"/>
      <c r="C232" s="85"/>
      <c r="D232" s="85"/>
      <c r="E232" s="85"/>
      <c r="F232" s="85"/>
      <c r="G232" s="85"/>
      <c r="H232" s="85"/>
      <c r="J232" s="85"/>
      <c r="K232" s="85"/>
      <c r="L232" s="85"/>
      <c r="M232" s="85"/>
      <c r="N232" s="85"/>
      <c r="O232" s="85"/>
      <c r="P232" s="85"/>
      <c r="Q232" s="85"/>
      <c r="R232" s="63"/>
      <c r="S232" s="63"/>
      <c r="T232" s="63"/>
      <c r="U232" s="63"/>
      <c r="V232" s="63"/>
      <c r="W232" s="63"/>
      <c r="X232" s="63"/>
      <c r="Y232" s="63"/>
    </row>
    <row r="233" spans="1:25">
      <c r="A233" s="85"/>
      <c r="B233" s="85"/>
      <c r="C233" s="85"/>
      <c r="D233" s="85"/>
      <c r="E233" s="85"/>
      <c r="F233" s="85"/>
      <c r="G233" s="85"/>
      <c r="H233" s="85"/>
      <c r="J233" s="85"/>
      <c r="K233" s="85"/>
      <c r="L233" s="85"/>
      <c r="M233" s="85"/>
      <c r="N233" s="85"/>
      <c r="O233" s="85"/>
      <c r="P233" s="85"/>
      <c r="Q233" s="85"/>
      <c r="R233" s="63"/>
      <c r="S233" s="63"/>
      <c r="T233" s="63"/>
      <c r="U233" s="63"/>
      <c r="V233" s="63"/>
      <c r="W233" s="63"/>
      <c r="X233" s="63"/>
      <c r="Y233" s="63"/>
    </row>
    <row r="234" spans="1:25">
      <c r="A234" s="85"/>
      <c r="B234" s="85"/>
      <c r="C234" s="85"/>
      <c r="D234" s="85"/>
      <c r="E234" s="85"/>
      <c r="F234" s="85"/>
      <c r="G234" s="85"/>
      <c r="H234" s="85"/>
      <c r="J234" s="85"/>
      <c r="K234" s="85"/>
      <c r="L234" s="85"/>
      <c r="M234" s="85"/>
      <c r="N234" s="85"/>
      <c r="O234" s="85"/>
      <c r="P234" s="85"/>
      <c r="Q234" s="85"/>
      <c r="R234" s="63"/>
      <c r="S234" s="63"/>
      <c r="T234" s="63"/>
      <c r="U234" s="63"/>
      <c r="V234" s="63"/>
      <c r="W234" s="63"/>
      <c r="X234" s="63"/>
      <c r="Y234" s="63"/>
    </row>
    <row r="235" spans="1:25">
      <c r="A235" s="85"/>
      <c r="B235" s="85"/>
      <c r="C235" s="85"/>
      <c r="D235" s="85"/>
      <c r="E235" s="85"/>
      <c r="F235" s="85"/>
      <c r="G235" s="85"/>
      <c r="H235" s="85"/>
      <c r="J235" s="85"/>
      <c r="K235" s="85"/>
      <c r="L235" s="85"/>
      <c r="M235" s="85"/>
      <c r="N235" s="85"/>
      <c r="O235" s="85"/>
      <c r="P235" s="85"/>
      <c r="Q235" s="85"/>
      <c r="R235" s="63"/>
      <c r="S235" s="63"/>
      <c r="T235" s="63"/>
      <c r="U235" s="63"/>
      <c r="V235" s="63"/>
      <c r="W235" s="63"/>
      <c r="X235" s="63"/>
      <c r="Y235" s="63"/>
    </row>
    <row r="236" spans="1:25">
      <c r="A236" s="85"/>
      <c r="B236" s="85"/>
      <c r="C236" s="85"/>
      <c r="D236" s="85"/>
      <c r="E236" s="85"/>
      <c r="F236" s="85"/>
      <c r="G236" s="85"/>
      <c r="H236" s="85"/>
      <c r="J236" s="85"/>
      <c r="K236" s="85"/>
      <c r="L236" s="85"/>
      <c r="M236" s="85"/>
      <c r="N236" s="85"/>
      <c r="O236" s="85"/>
      <c r="P236" s="85"/>
      <c r="Q236" s="85"/>
      <c r="R236" s="63"/>
      <c r="S236" s="63"/>
      <c r="T236" s="63"/>
      <c r="U236" s="63"/>
      <c r="V236" s="63"/>
      <c r="W236" s="63"/>
      <c r="X236" s="63"/>
      <c r="Y236" s="63"/>
    </row>
    <row r="237" spans="1:25">
      <c r="A237" s="85"/>
      <c r="B237" s="85"/>
      <c r="C237" s="85"/>
      <c r="D237" s="85"/>
      <c r="E237" s="85"/>
      <c r="F237" s="85"/>
      <c r="G237" s="85"/>
      <c r="H237" s="85"/>
      <c r="J237" s="85"/>
      <c r="K237" s="85"/>
      <c r="L237" s="85"/>
      <c r="M237" s="85"/>
      <c r="N237" s="85"/>
      <c r="O237" s="85"/>
      <c r="P237" s="85"/>
      <c r="Q237" s="85"/>
      <c r="R237" s="63"/>
      <c r="S237" s="63"/>
      <c r="T237" s="63"/>
      <c r="U237" s="63"/>
      <c r="V237" s="63"/>
      <c r="W237" s="63"/>
      <c r="X237" s="63"/>
      <c r="Y237" s="63"/>
    </row>
    <row r="238" spans="1:25">
      <c r="A238" s="85"/>
      <c r="B238" s="85"/>
      <c r="C238" s="85"/>
      <c r="D238" s="85"/>
      <c r="E238" s="85"/>
      <c r="F238" s="85"/>
      <c r="G238" s="85"/>
      <c r="H238" s="85"/>
      <c r="J238" s="85"/>
      <c r="K238" s="85"/>
      <c r="L238" s="85"/>
      <c r="M238" s="85"/>
      <c r="N238" s="85"/>
      <c r="O238" s="85"/>
      <c r="P238" s="85"/>
      <c r="Q238" s="85"/>
      <c r="R238" s="63"/>
      <c r="S238" s="63"/>
      <c r="T238" s="63"/>
      <c r="U238" s="63"/>
      <c r="V238" s="63"/>
      <c r="W238" s="63"/>
      <c r="X238" s="63"/>
      <c r="Y238" s="63"/>
    </row>
    <row r="239" spans="1:25">
      <c r="A239" s="85"/>
      <c r="B239" s="85"/>
      <c r="C239" s="85"/>
      <c r="D239" s="85"/>
      <c r="E239" s="85"/>
      <c r="F239" s="85"/>
      <c r="G239" s="85"/>
      <c r="H239" s="85"/>
      <c r="J239" s="85"/>
      <c r="K239" s="85"/>
      <c r="L239" s="85"/>
      <c r="M239" s="85"/>
      <c r="N239" s="85"/>
      <c r="O239" s="85"/>
      <c r="P239" s="85"/>
      <c r="Q239" s="85"/>
      <c r="R239" s="63"/>
      <c r="S239" s="63"/>
      <c r="T239" s="63"/>
      <c r="U239" s="63"/>
      <c r="V239" s="63"/>
      <c r="W239" s="63"/>
      <c r="X239" s="63"/>
      <c r="Y239" s="63"/>
    </row>
    <row r="240" spans="1:25">
      <c r="A240" s="85"/>
      <c r="B240" s="85"/>
      <c r="C240" s="85"/>
      <c r="D240" s="85"/>
      <c r="E240" s="85"/>
      <c r="F240" s="85"/>
      <c r="G240" s="85"/>
      <c r="H240" s="85"/>
      <c r="J240" s="85"/>
      <c r="K240" s="85"/>
      <c r="L240" s="85"/>
      <c r="M240" s="85"/>
      <c r="N240" s="85"/>
      <c r="O240" s="85"/>
      <c r="P240" s="85"/>
      <c r="Q240" s="85"/>
      <c r="R240" s="63"/>
      <c r="S240" s="63"/>
      <c r="T240" s="63"/>
      <c r="U240" s="63"/>
      <c r="V240" s="63"/>
      <c r="W240" s="63"/>
      <c r="X240" s="63"/>
      <c r="Y240" s="63"/>
    </row>
    <row r="241" spans="1:25">
      <c r="A241" s="85"/>
      <c r="B241" s="85"/>
      <c r="C241" s="85"/>
      <c r="D241" s="85"/>
      <c r="E241" s="85"/>
      <c r="F241" s="85"/>
      <c r="G241" s="85"/>
      <c r="H241" s="85"/>
      <c r="J241" s="85"/>
      <c r="K241" s="85"/>
      <c r="L241" s="85"/>
      <c r="M241" s="85"/>
      <c r="N241" s="85"/>
      <c r="O241" s="85"/>
      <c r="P241" s="85"/>
      <c r="Q241" s="85"/>
      <c r="R241" s="63"/>
      <c r="S241" s="63"/>
      <c r="T241" s="63"/>
      <c r="U241" s="63"/>
      <c r="V241" s="63"/>
      <c r="W241" s="63"/>
      <c r="X241" s="63"/>
      <c r="Y241" s="63"/>
    </row>
    <row r="242" spans="1:25">
      <c r="A242" s="85"/>
      <c r="B242" s="85"/>
      <c r="C242" s="85"/>
      <c r="D242" s="85"/>
      <c r="E242" s="85"/>
      <c r="F242" s="85"/>
      <c r="G242" s="85"/>
      <c r="H242" s="85"/>
      <c r="J242" s="85"/>
      <c r="K242" s="85"/>
      <c r="L242" s="85"/>
      <c r="M242" s="85"/>
      <c r="N242" s="85"/>
      <c r="O242" s="85"/>
      <c r="P242" s="85"/>
      <c r="Q242" s="85"/>
      <c r="R242" s="63"/>
      <c r="S242" s="63"/>
      <c r="T242" s="63"/>
      <c r="U242" s="63"/>
      <c r="V242" s="63"/>
      <c r="W242" s="63"/>
      <c r="X242" s="63"/>
      <c r="Y242" s="63"/>
    </row>
    <row r="243" spans="1:25">
      <c r="A243" s="85"/>
      <c r="B243" s="85"/>
      <c r="C243" s="85"/>
      <c r="D243" s="85"/>
      <c r="E243" s="85"/>
      <c r="F243" s="85"/>
      <c r="G243" s="85"/>
      <c r="H243" s="85"/>
      <c r="J243" s="85"/>
      <c r="K243" s="85"/>
      <c r="L243" s="85"/>
      <c r="M243" s="85"/>
      <c r="N243" s="85"/>
      <c r="O243" s="85"/>
      <c r="P243" s="85"/>
      <c r="Q243" s="85"/>
      <c r="R243" s="63"/>
      <c r="S243" s="63"/>
      <c r="T243" s="63"/>
      <c r="U243" s="63"/>
      <c r="V243" s="63"/>
      <c r="W243" s="63"/>
      <c r="X243" s="63"/>
      <c r="Y243" s="63"/>
    </row>
    <row r="244" spans="1:25">
      <c r="A244" s="85"/>
      <c r="B244" s="85"/>
      <c r="C244" s="85"/>
      <c r="D244" s="85"/>
      <c r="E244" s="85"/>
      <c r="F244" s="85"/>
      <c r="G244" s="85"/>
      <c r="H244" s="85"/>
      <c r="J244" s="85"/>
      <c r="K244" s="85"/>
      <c r="L244" s="85"/>
      <c r="M244" s="85"/>
      <c r="N244" s="85"/>
      <c r="O244" s="85"/>
      <c r="P244" s="85"/>
      <c r="Q244" s="85"/>
      <c r="R244" s="63"/>
      <c r="S244" s="63"/>
      <c r="T244" s="63"/>
      <c r="U244" s="63"/>
      <c r="V244" s="63"/>
      <c r="W244" s="63"/>
      <c r="X244" s="63"/>
      <c r="Y244" s="63"/>
    </row>
    <row r="245" spans="1:25">
      <c r="A245" s="85"/>
      <c r="B245" s="85"/>
      <c r="C245" s="85"/>
      <c r="D245" s="85"/>
      <c r="E245" s="85"/>
      <c r="F245" s="85"/>
      <c r="G245" s="85"/>
      <c r="H245" s="85"/>
      <c r="J245" s="85"/>
      <c r="K245" s="85"/>
      <c r="L245" s="85"/>
      <c r="M245" s="85"/>
      <c r="N245" s="85"/>
      <c r="O245" s="85"/>
      <c r="P245" s="85"/>
      <c r="Q245" s="85"/>
      <c r="R245" s="63"/>
      <c r="S245" s="63"/>
      <c r="T245" s="63"/>
      <c r="U245" s="63"/>
      <c r="V245" s="63"/>
      <c r="W245" s="63"/>
      <c r="X245" s="63"/>
      <c r="Y245" s="63"/>
    </row>
    <row r="246" spans="1:25">
      <c r="A246" s="85"/>
      <c r="B246" s="85"/>
      <c r="C246" s="85"/>
      <c r="D246" s="85"/>
      <c r="E246" s="85"/>
      <c r="F246" s="85"/>
      <c r="G246" s="85"/>
      <c r="H246" s="85"/>
      <c r="J246" s="85"/>
      <c r="K246" s="85"/>
      <c r="L246" s="85"/>
      <c r="M246" s="85"/>
      <c r="N246" s="85"/>
      <c r="O246" s="85"/>
      <c r="P246" s="85"/>
      <c r="Q246" s="85"/>
      <c r="R246" s="63"/>
      <c r="S246" s="63"/>
      <c r="T246" s="63"/>
      <c r="U246" s="63"/>
      <c r="V246" s="63"/>
      <c r="W246" s="63"/>
      <c r="X246" s="63"/>
      <c r="Y246" s="63"/>
    </row>
    <row r="247" spans="1:25">
      <c r="A247" s="85"/>
      <c r="B247" s="85"/>
      <c r="C247" s="85"/>
      <c r="D247" s="85"/>
      <c r="E247" s="85"/>
      <c r="F247" s="85"/>
      <c r="G247" s="85"/>
      <c r="H247" s="85"/>
      <c r="J247" s="85"/>
      <c r="K247" s="85"/>
      <c r="L247" s="85"/>
      <c r="M247" s="85"/>
      <c r="N247" s="85"/>
      <c r="O247" s="85"/>
      <c r="P247" s="85"/>
      <c r="Q247" s="85"/>
      <c r="R247" s="63"/>
      <c r="S247" s="63"/>
      <c r="T247" s="63"/>
      <c r="U247" s="63"/>
      <c r="V247" s="63"/>
      <c r="W247" s="63"/>
      <c r="X247" s="63"/>
      <c r="Y247" s="63"/>
    </row>
    <row r="248" spans="1:25">
      <c r="A248" s="85"/>
      <c r="B248" s="85"/>
      <c r="C248" s="85"/>
      <c r="D248" s="85"/>
      <c r="E248" s="85"/>
      <c r="F248" s="85"/>
      <c r="G248" s="85"/>
      <c r="H248" s="85"/>
      <c r="J248" s="85"/>
      <c r="K248" s="85"/>
      <c r="L248" s="85"/>
      <c r="M248" s="85"/>
      <c r="N248" s="85"/>
      <c r="O248" s="85"/>
      <c r="P248" s="85"/>
      <c r="Q248" s="85"/>
      <c r="R248" s="63"/>
      <c r="S248" s="63"/>
      <c r="T248" s="63"/>
      <c r="U248" s="63"/>
      <c r="V248" s="63"/>
      <c r="W248" s="63"/>
      <c r="X248" s="63"/>
      <c r="Y248" s="63"/>
    </row>
    <row r="249" spans="1:25">
      <c r="A249" s="85"/>
      <c r="B249" s="85"/>
      <c r="C249" s="85"/>
      <c r="D249" s="85"/>
      <c r="E249" s="85"/>
      <c r="F249" s="85"/>
      <c r="G249" s="85"/>
      <c r="H249" s="85"/>
      <c r="J249" s="85"/>
      <c r="K249" s="85"/>
      <c r="L249" s="85"/>
      <c r="M249" s="85"/>
      <c r="N249" s="85"/>
      <c r="O249" s="85"/>
      <c r="P249" s="85"/>
      <c r="Q249" s="85"/>
      <c r="R249" s="63"/>
      <c r="S249" s="63"/>
      <c r="T249" s="63"/>
      <c r="U249" s="63"/>
      <c r="V249" s="63"/>
      <c r="W249" s="63"/>
      <c r="X249" s="63"/>
      <c r="Y249" s="63"/>
    </row>
    <row r="250" spans="1:25">
      <c r="A250" s="85"/>
      <c r="B250" s="85"/>
      <c r="C250" s="85"/>
      <c r="D250" s="85"/>
      <c r="E250" s="85"/>
      <c r="F250" s="85"/>
      <c r="G250" s="85"/>
      <c r="H250" s="85"/>
      <c r="J250" s="85"/>
      <c r="K250" s="85"/>
      <c r="L250" s="85"/>
      <c r="M250" s="85"/>
      <c r="N250" s="85"/>
      <c r="O250" s="85"/>
      <c r="P250" s="85"/>
      <c r="Q250" s="85"/>
      <c r="R250" s="63"/>
      <c r="S250" s="63"/>
      <c r="T250" s="63"/>
      <c r="U250" s="63"/>
      <c r="V250" s="63"/>
      <c r="W250" s="63"/>
      <c r="X250" s="63"/>
      <c r="Y250" s="63"/>
    </row>
    <row r="251" spans="1:25">
      <c r="A251" s="85"/>
      <c r="B251" s="85"/>
      <c r="C251" s="85"/>
      <c r="D251" s="85"/>
      <c r="E251" s="85"/>
      <c r="F251" s="85"/>
      <c r="G251" s="85"/>
      <c r="H251" s="85"/>
      <c r="J251" s="85"/>
      <c r="K251" s="85"/>
      <c r="L251" s="85"/>
      <c r="M251" s="85"/>
      <c r="N251" s="85"/>
      <c r="O251" s="85"/>
      <c r="P251" s="85"/>
      <c r="Q251" s="85"/>
      <c r="R251" s="63"/>
      <c r="S251" s="63"/>
      <c r="T251" s="63"/>
      <c r="U251" s="63"/>
      <c r="V251" s="63"/>
      <c r="W251" s="63"/>
      <c r="X251" s="63"/>
      <c r="Y251" s="63"/>
    </row>
    <row r="252" spans="1:25">
      <c r="A252" s="85"/>
      <c r="B252" s="85"/>
      <c r="C252" s="85"/>
      <c r="D252" s="85"/>
      <c r="E252" s="85"/>
      <c r="F252" s="85"/>
      <c r="G252" s="85"/>
      <c r="H252" s="85"/>
      <c r="J252" s="85"/>
      <c r="K252" s="85"/>
      <c r="L252" s="85"/>
      <c r="M252" s="85"/>
      <c r="N252" s="85"/>
      <c r="O252" s="85"/>
      <c r="P252" s="85"/>
      <c r="Q252" s="85"/>
      <c r="R252" s="63"/>
      <c r="S252" s="63"/>
      <c r="T252" s="63"/>
      <c r="U252" s="63"/>
      <c r="V252" s="63"/>
      <c r="W252" s="63"/>
      <c r="X252" s="63"/>
      <c r="Y252" s="63"/>
    </row>
    <row r="253" spans="1:25">
      <c r="A253" s="85"/>
      <c r="B253" s="85"/>
      <c r="C253" s="85"/>
      <c r="D253" s="85"/>
      <c r="E253" s="85"/>
      <c r="F253" s="85"/>
      <c r="G253" s="85"/>
      <c r="H253" s="85"/>
      <c r="J253" s="85"/>
      <c r="K253" s="85"/>
      <c r="L253" s="85"/>
      <c r="M253" s="85"/>
      <c r="N253" s="85"/>
      <c r="O253" s="85"/>
      <c r="P253" s="85"/>
      <c r="Q253" s="85"/>
      <c r="R253" s="63"/>
      <c r="S253" s="63"/>
      <c r="T253" s="63"/>
      <c r="U253" s="63"/>
      <c r="V253" s="63"/>
      <c r="W253" s="63"/>
      <c r="X253" s="63"/>
      <c r="Y253" s="63"/>
    </row>
    <row r="254" spans="1:25">
      <c r="A254" s="85"/>
      <c r="B254" s="85"/>
      <c r="C254" s="85"/>
      <c r="D254" s="85"/>
      <c r="E254" s="85"/>
      <c r="F254" s="85"/>
      <c r="G254" s="85"/>
      <c r="H254" s="85"/>
      <c r="J254" s="85"/>
      <c r="K254" s="85"/>
      <c r="L254" s="85"/>
      <c r="M254" s="85"/>
      <c r="N254" s="85"/>
      <c r="O254" s="85"/>
      <c r="P254" s="85"/>
      <c r="Q254" s="85"/>
      <c r="R254" s="63"/>
      <c r="S254" s="63"/>
      <c r="T254" s="63"/>
      <c r="U254" s="63"/>
      <c r="V254" s="63"/>
      <c r="W254" s="63"/>
      <c r="X254" s="63"/>
      <c r="Y254" s="63"/>
    </row>
    <row r="255" spans="1:25">
      <c r="A255" s="85"/>
      <c r="B255" s="85"/>
      <c r="C255" s="85"/>
      <c r="D255" s="85"/>
      <c r="E255" s="85"/>
      <c r="F255" s="85"/>
      <c r="G255" s="85"/>
      <c r="H255" s="85"/>
      <c r="J255" s="85"/>
      <c r="K255" s="85"/>
      <c r="L255" s="85"/>
      <c r="M255" s="85"/>
      <c r="N255" s="85"/>
      <c r="O255" s="85"/>
      <c r="P255" s="85"/>
      <c r="Q255" s="85"/>
      <c r="R255" s="63"/>
      <c r="S255" s="63"/>
      <c r="T255" s="63"/>
      <c r="U255" s="63"/>
      <c r="V255" s="63"/>
      <c r="W255" s="63"/>
      <c r="X255" s="63"/>
      <c r="Y255" s="63"/>
    </row>
    <row r="256" spans="1:25">
      <c r="A256" s="85"/>
      <c r="B256" s="85"/>
      <c r="C256" s="85"/>
      <c r="D256" s="85"/>
      <c r="E256" s="85"/>
      <c r="F256" s="85"/>
      <c r="G256" s="85"/>
      <c r="H256" s="85"/>
      <c r="J256" s="85"/>
      <c r="K256" s="85"/>
      <c r="L256" s="85"/>
      <c r="M256" s="85"/>
      <c r="N256" s="85"/>
      <c r="O256" s="85"/>
      <c r="P256" s="85"/>
      <c r="Q256" s="85"/>
      <c r="R256" s="63"/>
      <c r="S256" s="63"/>
      <c r="T256" s="63"/>
      <c r="U256" s="63"/>
      <c r="V256" s="63"/>
      <c r="W256" s="63"/>
      <c r="X256" s="63"/>
      <c r="Y256" s="63"/>
    </row>
    <row r="257" spans="1:25">
      <c r="A257" s="85"/>
      <c r="B257" s="85"/>
      <c r="C257" s="85"/>
      <c r="D257" s="85"/>
      <c r="E257" s="85"/>
      <c r="F257" s="85"/>
      <c r="G257" s="85"/>
      <c r="H257" s="85"/>
      <c r="J257" s="85"/>
      <c r="K257" s="85"/>
      <c r="L257" s="85"/>
      <c r="M257" s="85"/>
      <c r="N257" s="85"/>
      <c r="O257" s="85"/>
      <c r="P257" s="85"/>
      <c r="Q257" s="85"/>
      <c r="R257" s="63"/>
      <c r="S257" s="63"/>
      <c r="T257" s="63"/>
      <c r="U257" s="63"/>
      <c r="V257" s="63"/>
      <c r="W257" s="63"/>
      <c r="X257" s="63"/>
      <c r="Y257" s="63"/>
    </row>
    <row r="258" spans="1:25">
      <c r="A258" s="85"/>
      <c r="B258" s="85"/>
      <c r="C258" s="85"/>
      <c r="D258" s="85"/>
      <c r="E258" s="85"/>
      <c r="F258" s="85"/>
      <c r="G258" s="85"/>
      <c r="H258" s="85"/>
      <c r="J258" s="85"/>
      <c r="K258" s="85"/>
      <c r="L258" s="85"/>
      <c r="M258" s="85"/>
      <c r="N258" s="85"/>
      <c r="O258" s="85"/>
      <c r="P258" s="85"/>
      <c r="Q258" s="85"/>
      <c r="R258" s="63"/>
      <c r="S258" s="63"/>
      <c r="T258" s="63"/>
      <c r="U258" s="63"/>
      <c r="V258" s="63"/>
      <c r="W258" s="63"/>
      <c r="X258" s="63"/>
      <c r="Y258" s="63"/>
    </row>
    <row r="259" spans="1:25">
      <c r="A259" s="85"/>
      <c r="B259" s="85"/>
      <c r="C259" s="85"/>
      <c r="D259" s="85"/>
      <c r="E259" s="85"/>
      <c r="F259" s="85"/>
      <c r="G259" s="85"/>
      <c r="H259" s="85"/>
      <c r="J259" s="85"/>
      <c r="K259" s="85"/>
      <c r="L259" s="85"/>
      <c r="M259" s="85"/>
      <c r="N259" s="85"/>
      <c r="O259" s="85"/>
      <c r="P259" s="85"/>
      <c r="Q259" s="85"/>
      <c r="R259" s="63"/>
      <c r="S259" s="63"/>
      <c r="T259" s="63"/>
      <c r="U259" s="63"/>
      <c r="V259" s="63"/>
      <c r="W259" s="63"/>
      <c r="X259" s="63"/>
      <c r="Y259" s="63"/>
    </row>
    <row r="260" spans="1:25">
      <c r="A260" s="85"/>
      <c r="B260" s="85"/>
      <c r="C260" s="85"/>
      <c r="D260" s="85"/>
      <c r="E260" s="85"/>
      <c r="F260" s="85"/>
      <c r="G260" s="85"/>
      <c r="H260" s="85"/>
      <c r="J260" s="85"/>
      <c r="K260" s="85"/>
      <c r="L260" s="85"/>
      <c r="M260" s="85"/>
      <c r="N260" s="85"/>
      <c r="O260" s="85"/>
      <c r="P260" s="85"/>
      <c r="Q260" s="85"/>
      <c r="R260" s="63"/>
      <c r="S260" s="63"/>
      <c r="T260" s="63"/>
      <c r="U260" s="63"/>
      <c r="V260" s="63"/>
      <c r="W260" s="63"/>
      <c r="X260" s="63"/>
      <c r="Y260" s="63"/>
    </row>
    <row r="261" spans="1:25">
      <c r="A261" s="85"/>
      <c r="B261" s="85"/>
      <c r="C261" s="85"/>
      <c r="D261" s="85"/>
      <c r="E261" s="85"/>
      <c r="F261" s="85"/>
      <c r="G261" s="85"/>
      <c r="H261" s="85"/>
      <c r="J261" s="85"/>
      <c r="K261" s="85"/>
      <c r="L261" s="85"/>
      <c r="M261" s="85"/>
      <c r="N261" s="85"/>
      <c r="O261" s="85"/>
      <c r="P261" s="85"/>
      <c r="Q261" s="85"/>
      <c r="R261" s="63"/>
      <c r="S261" s="63"/>
      <c r="T261" s="63"/>
      <c r="U261" s="63"/>
      <c r="V261" s="63"/>
      <c r="W261" s="63"/>
      <c r="X261" s="63"/>
      <c r="Y261" s="63"/>
    </row>
    <row r="262" spans="1:25">
      <c r="A262" s="85"/>
      <c r="B262" s="85"/>
      <c r="C262" s="85"/>
      <c r="D262" s="85"/>
      <c r="E262" s="85"/>
      <c r="F262" s="85"/>
      <c r="G262" s="85"/>
      <c r="H262" s="85"/>
      <c r="J262" s="85"/>
      <c r="K262" s="85"/>
      <c r="L262" s="85"/>
      <c r="M262" s="85"/>
      <c r="N262" s="85"/>
      <c r="O262" s="85"/>
      <c r="P262" s="85"/>
      <c r="Q262" s="85"/>
      <c r="R262" s="63"/>
      <c r="S262" s="63"/>
      <c r="T262" s="63"/>
      <c r="U262" s="63"/>
      <c r="V262" s="63"/>
      <c r="W262" s="63"/>
      <c r="X262" s="63"/>
      <c r="Y262" s="63"/>
    </row>
    <row r="263" spans="1:25">
      <c r="A263" s="85"/>
      <c r="B263" s="85"/>
      <c r="C263" s="85"/>
      <c r="D263" s="85"/>
      <c r="E263" s="85"/>
      <c r="F263" s="85"/>
      <c r="G263" s="85"/>
      <c r="H263" s="85"/>
      <c r="J263" s="85"/>
      <c r="K263" s="85"/>
      <c r="L263" s="85"/>
      <c r="M263" s="85"/>
      <c r="N263" s="85"/>
      <c r="O263" s="85"/>
      <c r="P263" s="85"/>
      <c r="Q263" s="85"/>
      <c r="R263" s="63"/>
      <c r="S263" s="63"/>
      <c r="T263" s="63"/>
      <c r="U263" s="63"/>
      <c r="V263" s="63"/>
      <c r="W263" s="63"/>
      <c r="X263" s="63"/>
      <c r="Y263" s="63"/>
    </row>
    <row r="264" spans="1:25">
      <c r="A264" s="85"/>
      <c r="B264" s="85"/>
      <c r="C264" s="85"/>
      <c r="D264" s="85"/>
      <c r="E264" s="85"/>
      <c r="F264" s="85"/>
      <c r="G264" s="85"/>
      <c r="H264" s="85"/>
      <c r="J264" s="85"/>
      <c r="K264" s="85"/>
      <c r="L264" s="85"/>
      <c r="M264" s="85"/>
      <c r="N264" s="85"/>
      <c r="O264" s="85"/>
      <c r="P264" s="85"/>
      <c r="Q264" s="85"/>
      <c r="R264" s="63"/>
      <c r="S264" s="63"/>
      <c r="T264" s="63"/>
      <c r="U264" s="63"/>
      <c r="V264" s="63"/>
      <c r="W264" s="63"/>
      <c r="X264" s="63"/>
      <c r="Y264" s="63"/>
    </row>
    <row r="265" spans="1:25">
      <c r="A265" s="85"/>
      <c r="B265" s="85"/>
      <c r="C265" s="85"/>
      <c r="D265" s="85"/>
      <c r="E265" s="85"/>
      <c r="F265" s="85"/>
      <c r="G265" s="85"/>
      <c r="H265" s="85"/>
      <c r="J265" s="85"/>
      <c r="K265" s="85"/>
      <c r="L265" s="85"/>
      <c r="M265" s="85"/>
      <c r="N265" s="85"/>
      <c r="O265" s="85"/>
      <c r="P265" s="85"/>
      <c r="Q265" s="85"/>
      <c r="R265" s="63"/>
      <c r="S265" s="63"/>
      <c r="T265" s="63"/>
      <c r="U265" s="63"/>
      <c r="V265" s="63"/>
      <c r="W265" s="63"/>
      <c r="X265" s="63"/>
      <c r="Y265" s="63"/>
    </row>
    <row r="266" spans="1:25">
      <c r="A266" s="85"/>
      <c r="B266" s="85"/>
      <c r="C266" s="85"/>
      <c r="D266" s="85"/>
      <c r="E266" s="85"/>
      <c r="F266" s="85"/>
      <c r="G266" s="85"/>
      <c r="H266" s="85"/>
      <c r="J266" s="85"/>
      <c r="K266" s="85"/>
      <c r="L266" s="85"/>
      <c r="M266" s="85"/>
      <c r="N266" s="85"/>
      <c r="O266" s="85"/>
      <c r="P266" s="85"/>
      <c r="Q266" s="85"/>
      <c r="R266" s="63"/>
      <c r="S266" s="63"/>
      <c r="T266" s="63"/>
      <c r="U266" s="63"/>
      <c r="V266" s="63"/>
      <c r="W266" s="63"/>
      <c r="X266" s="63"/>
      <c r="Y266" s="63"/>
    </row>
    <row r="267" spans="1:25">
      <c r="A267" s="85"/>
      <c r="B267" s="85"/>
      <c r="C267" s="85"/>
      <c r="D267" s="85"/>
      <c r="E267" s="85"/>
      <c r="F267" s="85"/>
      <c r="G267" s="85"/>
      <c r="H267" s="85"/>
      <c r="J267" s="85"/>
      <c r="K267" s="85"/>
      <c r="L267" s="85"/>
      <c r="M267" s="85"/>
      <c r="N267" s="85"/>
      <c r="O267" s="85"/>
      <c r="P267" s="85"/>
      <c r="Q267" s="85"/>
      <c r="R267" s="63"/>
      <c r="S267" s="63"/>
      <c r="T267" s="63"/>
      <c r="U267" s="63"/>
      <c r="V267" s="63"/>
      <c r="W267" s="63"/>
      <c r="X267" s="63"/>
      <c r="Y267" s="63"/>
    </row>
    <row r="268" spans="1:25">
      <c r="A268" s="85"/>
      <c r="B268" s="85"/>
      <c r="C268" s="85"/>
      <c r="D268" s="85"/>
      <c r="E268" s="85"/>
      <c r="F268" s="85"/>
      <c r="G268" s="85"/>
      <c r="H268" s="85"/>
      <c r="J268" s="85"/>
      <c r="K268" s="85"/>
      <c r="L268" s="85"/>
      <c r="M268" s="85"/>
      <c r="N268" s="85"/>
      <c r="O268" s="85"/>
      <c r="P268" s="85"/>
      <c r="Q268" s="85"/>
      <c r="R268" s="63"/>
      <c r="S268" s="63"/>
      <c r="T268" s="63"/>
      <c r="U268" s="63"/>
      <c r="V268" s="63"/>
      <c r="W268" s="63"/>
      <c r="X268" s="63"/>
      <c r="Y268" s="63"/>
    </row>
    <row r="269" spans="1:25">
      <c r="A269" s="85"/>
      <c r="B269" s="85"/>
      <c r="C269" s="85"/>
      <c r="D269" s="85"/>
      <c r="E269" s="85"/>
      <c r="F269" s="85"/>
      <c r="G269" s="85"/>
      <c r="H269" s="85"/>
      <c r="J269" s="85"/>
      <c r="K269" s="85"/>
      <c r="L269" s="85"/>
      <c r="M269" s="85"/>
      <c r="N269" s="85"/>
      <c r="O269" s="85"/>
      <c r="P269" s="85"/>
      <c r="Q269" s="85"/>
      <c r="R269" s="63"/>
      <c r="S269" s="63"/>
      <c r="T269" s="63"/>
      <c r="U269" s="63"/>
      <c r="V269" s="63"/>
      <c r="W269" s="63"/>
      <c r="X269" s="63"/>
      <c r="Y269" s="63"/>
    </row>
    <row r="270" spans="1:25">
      <c r="A270" s="85"/>
      <c r="B270" s="85"/>
      <c r="C270" s="85"/>
      <c r="D270" s="85"/>
      <c r="E270" s="85"/>
      <c r="F270" s="85"/>
      <c r="G270" s="85"/>
      <c r="H270" s="85"/>
      <c r="J270" s="85"/>
      <c r="K270" s="85"/>
      <c r="L270" s="85"/>
      <c r="M270" s="85"/>
      <c r="N270" s="85"/>
      <c r="O270" s="85"/>
      <c r="P270" s="85"/>
      <c r="Q270" s="85"/>
      <c r="R270" s="63"/>
      <c r="S270" s="63"/>
      <c r="T270" s="63"/>
      <c r="U270" s="63"/>
      <c r="V270" s="63"/>
      <c r="W270" s="63"/>
      <c r="X270" s="63"/>
      <c r="Y270" s="63"/>
    </row>
    <row r="271" spans="1:25">
      <c r="A271" s="85"/>
      <c r="B271" s="85"/>
      <c r="C271" s="85"/>
      <c r="D271" s="85"/>
      <c r="E271" s="85"/>
      <c r="F271" s="85"/>
      <c r="G271" s="85"/>
      <c r="H271" s="85"/>
      <c r="J271" s="85"/>
      <c r="K271" s="85"/>
      <c r="L271" s="85"/>
      <c r="M271" s="85"/>
      <c r="N271" s="85"/>
      <c r="O271" s="85"/>
      <c r="P271" s="85"/>
      <c r="Q271" s="85"/>
      <c r="R271" s="63"/>
      <c r="S271" s="63"/>
      <c r="T271" s="63"/>
      <c r="U271" s="63"/>
      <c r="V271" s="63"/>
      <c r="W271" s="63"/>
      <c r="X271" s="63"/>
      <c r="Y271" s="63"/>
    </row>
    <row r="272" spans="1:25">
      <c r="A272" s="85"/>
      <c r="B272" s="85"/>
      <c r="C272" s="85"/>
      <c r="D272" s="85"/>
      <c r="E272" s="85"/>
      <c r="F272" s="85"/>
      <c r="G272" s="85"/>
      <c r="H272" s="85"/>
      <c r="J272" s="85"/>
      <c r="K272" s="85"/>
      <c r="L272" s="85"/>
      <c r="M272" s="85"/>
      <c r="N272" s="85"/>
      <c r="O272" s="85"/>
      <c r="P272" s="85"/>
      <c r="Q272" s="85"/>
      <c r="R272" s="63"/>
      <c r="S272" s="63"/>
      <c r="T272" s="63"/>
      <c r="U272" s="63"/>
      <c r="V272" s="63"/>
      <c r="W272" s="63"/>
      <c r="X272" s="63"/>
      <c r="Y272" s="63"/>
    </row>
    <row r="273" spans="1:25">
      <c r="A273" s="85"/>
      <c r="B273" s="85"/>
      <c r="C273" s="85"/>
      <c r="D273" s="85"/>
      <c r="E273" s="85"/>
      <c r="F273" s="85"/>
      <c r="G273" s="85"/>
      <c r="H273" s="85"/>
      <c r="J273" s="85"/>
      <c r="K273" s="85"/>
      <c r="L273" s="85"/>
      <c r="M273" s="85"/>
      <c r="N273" s="85"/>
      <c r="O273" s="85"/>
      <c r="P273" s="85"/>
      <c r="Q273" s="85"/>
      <c r="R273" s="63"/>
      <c r="S273" s="63"/>
      <c r="T273" s="63"/>
      <c r="U273" s="63"/>
      <c r="V273" s="63"/>
      <c r="W273" s="63"/>
      <c r="X273" s="63"/>
      <c r="Y273" s="63"/>
    </row>
    <row r="274" spans="1:25">
      <c r="A274" s="85"/>
      <c r="B274" s="85"/>
      <c r="C274" s="85"/>
      <c r="D274" s="85"/>
      <c r="E274" s="85"/>
      <c r="F274" s="85"/>
      <c r="G274" s="85"/>
      <c r="H274" s="85"/>
      <c r="J274" s="85"/>
      <c r="K274" s="85"/>
      <c r="L274" s="85"/>
      <c r="M274" s="85"/>
      <c r="N274" s="85"/>
      <c r="O274" s="85"/>
      <c r="P274" s="85"/>
      <c r="Q274" s="85"/>
      <c r="R274" s="63"/>
      <c r="S274" s="63"/>
      <c r="T274" s="63"/>
      <c r="U274" s="63"/>
      <c r="V274" s="63"/>
      <c r="W274" s="63"/>
      <c r="X274" s="63"/>
      <c r="Y274" s="63"/>
    </row>
    <row r="275" spans="1:25">
      <c r="A275" s="85"/>
      <c r="B275" s="85"/>
      <c r="C275" s="85"/>
      <c r="D275" s="85"/>
      <c r="E275" s="85"/>
      <c r="F275" s="85"/>
      <c r="G275" s="85"/>
      <c r="H275" s="85"/>
      <c r="J275" s="85"/>
      <c r="K275" s="85"/>
      <c r="L275" s="85"/>
      <c r="M275" s="85"/>
      <c r="N275" s="85"/>
      <c r="O275" s="85"/>
      <c r="P275" s="85"/>
      <c r="Q275" s="85"/>
      <c r="R275" s="63"/>
      <c r="S275" s="63"/>
      <c r="T275" s="63"/>
      <c r="U275" s="63"/>
      <c r="V275" s="63"/>
      <c r="W275" s="63"/>
      <c r="X275" s="63"/>
      <c r="Y275" s="63"/>
    </row>
    <row r="276" spans="1:25">
      <c r="A276" s="85"/>
      <c r="B276" s="85"/>
      <c r="C276" s="85"/>
      <c r="D276" s="85"/>
      <c r="E276" s="85"/>
      <c r="F276" s="85"/>
      <c r="G276" s="85"/>
      <c r="H276" s="85"/>
      <c r="J276" s="85"/>
      <c r="K276" s="85"/>
      <c r="L276" s="85"/>
      <c r="M276" s="85"/>
      <c r="N276" s="85"/>
      <c r="O276" s="85"/>
      <c r="P276" s="85"/>
      <c r="Q276" s="85"/>
      <c r="R276" s="63"/>
      <c r="S276" s="63"/>
      <c r="T276" s="63"/>
      <c r="U276" s="63"/>
      <c r="V276" s="63"/>
      <c r="W276" s="63"/>
      <c r="X276" s="63"/>
      <c r="Y276" s="63"/>
    </row>
    <row r="277" spans="1:25">
      <c r="A277" s="85"/>
      <c r="B277" s="85"/>
      <c r="C277" s="85"/>
      <c r="D277" s="85"/>
      <c r="E277" s="85"/>
      <c r="F277" s="85"/>
      <c r="G277" s="85"/>
      <c r="H277" s="85"/>
      <c r="J277" s="85"/>
      <c r="K277" s="85"/>
      <c r="L277" s="85"/>
      <c r="M277" s="85"/>
      <c r="N277" s="85"/>
      <c r="O277" s="85"/>
      <c r="P277" s="85"/>
      <c r="Q277" s="85"/>
      <c r="R277" s="63"/>
      <c r="S277" s="63"/>
      <c r="T277" s="63"/>
      <c r="U277" s="63"/>
      <c r="V277" s="63"/>
      <c r="W277" s="63"/>
      <c r="X277" s="63"/>
      <c r="Y277" s="63"/>
    </row>
    <row r="278" spans="1:25">
      <c r="A278" s="85"/>
      <c r="B278" s="85"/>
      <c r="C278" s="85"/>
      <c r="D278" s="85"/>
      <c r="E278" s="85"/>
      <c r="F278" s="85"/>
      <c r="G278" s="85"/>
      <c r="H278" s="85"/>
      <c r="J278" s="85"/>
      <c r="K278" s="85"/>
      <c r="L278" s="85"/>
      <c r="M278" s="85"/>
      <c r="N278" s="85"/>
      <c r="O278" s="85"/>
      <c r="P278" s="85"/>
      <c r="Q278" s="85"/>
      <c r="R278" s="63"/>
      <c r="S278" s="63"/>
      <c r="T278" s="63"/>
      <c r="U278" s="63"/>
      <c r="V278" s="63"/>
      <c r="W278" s="63"/>
      <c r="X278" s="63"/>
      <c r="Y278" s="63"/>
    </row>
    <row r="279" spans="1:25">
      <c r="A279" s="85"/>
      <c r="B279" s="85"/>
      <c r="C279" s="85"/>
      <c r="D279" s="85"/>
      <c r="E279" s="85"/>
      <c r="F279" s="85"/>
      <c r="G279" s="85"/>
      <c r="H279" s="85"/>
      <c r="J279" s="85"/>
      <c r="K279" s="85"/>
      <c r="L279" s="85"/>
      <c r="M279" s="85"/>
      <c r="N279" s="85"/>
      <c r="O279" s="85"/>
      <c r="P279" s="85"/>
      <c r="Q279" s="85"/>
      <c r="R279" s="63"/>
      <c r="S279" s="63"/>
      <c r="T279" s="63"/>
      <c r="U279" s="63"/>
      <c r="V279" s="63"/>
      <c r="W279" s="63"/>
      <c r="X279" s="63"/>
      <c r="Y279" s="63"/>
    </row>
    <row r="280" spans="1:25">
      <c r="A280" s="85"/>
      <c r="B280" s="85"/>
      <c r="C280" s="85"/>
      <c r="D280" s="85"/>
      <c r="E280" s="85"/>
      <c r="F280" s="85"/>
      <c r="G280" s="85"/>
      <c r="H280" s="85"/>
      <c r="J280" s="85"/>
      <c r="K280" s="85"/>
      <c r="L280" s="85"/>
      <c r="M280" s="85"/>
      <c r="N280" s="85"/>
      <c r="O280" s="85"/>
      <c r="P280" s="85"/>
      <c r="Q280" s="85"/>
      <c r="R280" s="63"/>
      <c r="S280" s="63"/>
      <c r="T280" s="63"/>
      <c r="U280" s="63"/>
      <c r="V280" s="63"/>
      <c r="W280" s="63"/>
      <c r="X280" s="63"/>
      <c r="Y280" s="63"/>
    </row>
    <row r="281" spans="1:25">
      <c r="A281" s="85"/>
      <c r="B281" s="85"/>
      <c r="C281" s="85"/>
      <c r="D281" s="85"/>
      <c r="E281" s="85"/>
      <c r="F281" s="85"/>
      <c r="G281" s="85"/>
      <c r="H281" s="85"/>
      <c r="J281" s="85"/>
      <c r="K281" s="85"/>
      <c r="L281" s="85"/>
      <c r="M281" s="85"/>
      <c r="N281" s="85"/>
      <c r="O281" s="85"/>
      <c r="P281" s="85"/>
      <c r="Q281" s="85"/>
      <c r="R281" s="63"/>
      <c r="S281" s="63"/>
      <c r="T281" s="63"/>
      <c r="U281" s="63"/>
      <c r="V281" s="63"/>
      <c r="W281" s="63"/>
      <c r="X281" s="63"/>
      <c r="Y281" s="63"/>
    </row>
    <row r="282" spans="1:25">
      <c r="A282" s="85"/>
      <c r="B282" s="85"/>
      <c r="C282" s="85"/>
      <c r="D282" s="85"/>
      <c r="E282" s="85"/>
      <c r="F282" s="85"/>
      <c r="G282" s="85"/>
      <c r="H282" s="85"/>
      <c r="J282" s="85"/>
      <c r="K282" s="85"/>
      <c r="L282" s="85"/>
      <c r="M282" s="85"/>
      <c r="N282" s="85"/>
      <c r="O282" s="85"/>
      <c r="P282" s="85"/>
      <c r="Q282" s="85"/>
      <c r="R282" s="63"/>
      <c r="S282" s="63"/>
      <c r="T282" s="63"/>
      <c r="U282" s="63"/>
      <c r="V282" s="63"/>
      <c r="W282" s="63"/>
      <c r="X282" s="63"/>
      <c r="Y282" s="63"/>
    </row>
    <row r="283" spans="1:25">
      <c r="A283" s="85"/>
      <c r="B283" s="85"/>
      <c r="C283" s="85"/>
      <c r="D283" s="85"/>
      <c r="E283" s="85"/>
      <c r="F283" s="85"/>
      <c r="G283" s="85"/>
      <c r="H283" s="85"/>
      <c r="J283" s="85"/>
      <c r="K283" s="85"/>
      <c r="L283" s="85"/>
      <c r="M283" s="85"/>
      <c r="N283" s="85"/>
      <c r="O283" s="85"/>
      <c r="P283" s="85"/>
      <c r="Q283" s="85"/>
      <c r="R283" s="63"/>
      <c r="S283" s="63"/>
      <c r="T283" s="63"/>
      <c r="U283" s="63"/>
      <c r="V283" s="63"/>
      <c r="W283" s="63"/>
      <c r="X283" s="63"/>
      <c r="Y283" s="63"/>
    </row>
    <row r="284" spans="1:25">
      <c r="A284" s="85"/>
      <c r="B284" s="85"/>
      <c r="C284" s="85"/>
      <c r="D284" s="85"/>
      <c r="E284" s="85"/>
      <c r="F284" s="85"/>
      <c r="G284" s="85"/>
      <c r="H284" s="85"/>
      <c r="J284" s="85"/>
      <c r="K284" s="85"/>
      <c r="L284" s="85"/>
      <c r="M284" s="85"/>
      <c r="N284" s="85"/>
      <c r="O284" s="85"/>
      <c r="P284" s="85"/>
      <c r="Q284" s="85"/>
      <c r="R284" s="63"/>
      <c r="S284" s="63"/>
      <c r="T284" s="63"/>
      <c r="U284" s="63"/>
      <c r="V284" s="63"/>
      <c r="W284" s="63"/>
      <c r="X284" s="63"/>
      <c r="Y284" s="63"/>
    </row>
    <row r="285" spans="1:25">
      <c r="A285" s="85"/>
      <c r="B285" s="85"/>
      <c r="C285" s="85"/>
      <c r="D285" s="85"/>
      <c r="E285" s="85"/>
      <c r="F285" s="85"/>
      <c r="G285" s="85"/>
      <c r="H285" s="85"/>
      <c r="J285" s="85"/>
      <c r="K285" s="85"/>
      <c r="L285" s="85"/>
      <c r="M285" s="85"/>
      <c r="N285" s="85"/>
      <c r="O285" s="85"/>
      <c r="P285" s="85"/>
      <c r="Q285" s="85"/>
      <c r="R285" s="63"/>
      <c r="S285" s="63"/>
      <c r="T285" s="63"/>
      <c r="U285" s="63"/>
      <c r="V285" s="63"/>
      <c r="W285" s="63"/>
      <c r="X285" s="63"/>
      <c r="Y285" s="63"/>
    </row>
    <row r="286" spans="1:25">
      <c r="A286" s="85"/>
      <c r="B286" s="85"/>
      <c r="C286" s="85"/>
      <c r="D286" s="85"/>
      <c r="E286" s="85"/>
      <c r="F286" s="85"/>
      <c r="G286" s="85"/>
      <c r="H286" s="85"/>
      <c r="J286" s="85"/>
      <c r="K286" s="85"/>
      <c r="L286" s="85"/>
      <c r="M286" s="85"/>
      <c r="N286" s="85"/>
      <c r="O286" s="85"/>
      <c r="P286" s="85"/>
      <c r="Q286" s="85"/>
      <c r="R286" s="63"/>
      <c r="S286" s="63"/>
      <c r="T286" s="63"/>
      <c r="U286" s="63"/>
      <c r="V286" s="63"/>
      <c r="W286" s="63"/>
      <c r="X286" s="63"/>
      <c r="Y286" s="63"/>
    </row>
    <row r="287" spans="1:25">
      <c r="A287" s="85"/>
      <c r="B287" s="85"/>
      <c r="C287" s="85"/>
      <c r="D287" s="85"/>
      <c r="E287" s="85"/>
      <c r="F287" s="85"/>
      <c r="G287" s="85"/>
      <c r="H287" s="85"/>
      <c r="J287" s="85"/>
      <c r="K287" s="85"/>
      <c r="L287" s="85"/>
      <c r="M287" s="85"/>
      <c r="N287" s="85"/>
      <c r="O287" s="85"/>
      <c r="P287" s="85"/>
      <c r="Q287" s="85"/>
      <c r="R287" s="63"/>
      <c r="S287" s="63"/>
      <c r="T287" s="63"/>
      <c r="U287" s="63"/>
      <c r="V287" s="63"/>
      <c r="W287" s="63"/>
      <c r="X287" s="63"/>
      <c r="Y287" s="63"/>
    </row>
    <row r="288" spans="1:25">
      <c r="A288" s="85"/>
      <c r="B288" s="85"/>
      <c r="C288" s="85"/>
      <c r="D288" s="85"/>
      <c r="E288" s="85"/>
      <c r="F288" s="85"/>
      <c r="G288" s="85"/>
      <c r="H288" s="85"/>
      <c r="J288" s="85"/>
      <c r="K288" s="85"/>
      <c r="L288" s="85"/>
      <c r="M288" s="85"/>
      <c r="N288" s="85"/>
      <c r="O288" s="85"/>
      <c r="P288" s="85"/>
      <c r="Q288" s="85"/>
      <c r="R288" s="63"/>
      <c r="S288" s="63"/>
      <c r="T288" s="63"/>
      <c r="U288" s="63"/>
      <c r="V288" s="63"/>
      <c r="W288" s="63"/>
      <c r="X288" s="63"/>
      <c r="Y288" s="63"/>
    </row>
    <row r="289" spans="1:25">
      <c r="A289" s="85"/>
      <c r="B289" s="85"/>
      <c r="C289" s="85"/>
      <c r="D289" s="85"/>
      <c r="E289" s="85"/>
      <c r="F289" s="85"/>
      <c r="G289" s="85"/>
      <c r="H289" s="85"/>
      <c r="J289" s="85"/>
      <c r="K289" s="85"/>
      <c r="L289" s="85"/>
      <c r="M289" s="85"/>
      <c r="N289" s="85"/>
      <c r="O289" s="85"/>
      <c r="P289" s="85"/>
      <c r="Q289" s="85"/>
      <c r="R289" s="63"/>
      <c r="S289" s="63"/>
      <c r="T289" s="63"/>
      <c r="U289" s="63"/>
      <c r="V289" s="63"/>
      <c r="W289" s="63"/>
      <c r="X289" s="63"/>
      <c r="Y289" s="63"/>
    </row>
    <row r="290" spans="1:25">
      <c r="A290" s="85"/>
      <c r="B290" s="85"/>
      <c r="C290" s="85"/>
      <c r="D290" s="85"/>
      <c r="E290" s="85"/>
      <c r="F290" s="85"/>
      <c r="G290" s="85"/>
      <c r="H290" s="85"/>
      <c r="J290" s="85"/>
      <c r="K290" s="85"/>
      <c r="L290" s="85"/>
      <c r="M290" s="85"/>
      <c r="N290" s="85"/>
      <c r="O290" s="85"/>
      <c r="P290" s="85"/>
      <c r="Q290" s="85"/>
      <c r="R290" s="63"/>
      <c r="S290" s="63"/>
      <c r="T290" s="63"/>
      <c r="U290" s="63"/>
      <c r="V290" s="63"/>
      <c r="W290" s="63"/>
      <c r="X290" s="63"/>
      <c r="Y290" s="63"/>
    </row>
    <row r="291" spans="1:25">
      <c r="A291" s="85"/>
      <c r="B291" s="85"/>
      <c r="C291" s="85"/>
      <c r="D291" s="85"/>
      <c r="E291" s="85"/>
      <c r="F291" s="85"/>
      <c r="G291" s="85"/>
      <c r="H291" s="85"/>
      <c r="J291" s="85"/>
      <c r="K291" s="85"/>
      <c r="L291" s="85"/>
      <c r="M291" s="85"/>
      <c r="N291" s="85"/>
      <c r="O291" s="85"/>
      <c r="P291" s="85"/>
      <c r="Q291" s="85"/>
      <c r="R291" s="63"/>
      <c r="S291" s="63"/>
      <c r="T291" s="63"/>
      <c r="U291" s="63"/>
      <c r="V291" s="63"/>
      <c r="W291" s="63"/>
      <c r="X291" s="63"/>
      <c r="Y291" s="63"/>
    </row>
    <row r="292" spans="1:25">
      <c r="A292" s="85"/>
      <c r="B292" s="85"/>
      <c r="C292" s="85"/>
      <c r="D292" s="85"/>
      <c r="E292" s="85"/>
      <c r="F292" s="85"/>
      <c r="G292" s="85"/>
      <c r="H292" s="85"/>
      <c r="J292" s="85"/>
      <c r="K292" s="85"/>
      <c r="L292" s="85"/>
      <c r="M292" s="85"/>
      <c r="N292" s="85"/>
      <c r="O292" s="85"/>
      <c r="P292" s="85"/>
      <c r="Q292" s="85"/>
      <c r="R292" s="63"/>
      <c r="S292" s="63"/>
      <c r="T292" s="63"/>
      <c r="U292" s="63"/>
      <c r="V292" s="63"/>
      <c r="W292" s="63"/>
      <c r="X292" s="63"/>
      <c r="Y292" s="63"/>
    </row>
    <row r="293" spans="1:25">
      <c r="A293" s="85"/>
      <c r="B293" s="85"/>
      <c r="C293" s="85"/>
      <c r="D293" s="85"/>
      <c r="E293" s="85"/>
      <c r="F293" s="85"/>
      <c r="G293" s="85"/>
      <c r="H293" s="85"/>
      <c r="J293" s="85"/>
      <c r="K293" s="85"/>
      <c r="L293" s="85"/>
      <c r="M293" s="85"/>
      <c r="N293" s="85"/>
      <c r="O293" s="85"/>
      <c r="P293" s="85"/>
      <c r="Q293" s="85"/>
      <c r="R293" s="63"/>
      <c r="S293" s="63"/>
      <c r="T293" s="63"/>
      <c r="U293" s="63"/>
      <c r="V293" s="63"/>
      <c r="W293" s="63"/>
      <c r="X293" s="63"/>
      <c r="Y293" s="63"/>
    </row>
    <row r="294" spans="1:25">
      <c r="A294" s="85"/>
      <c r="B294" s="85"/>
      <c r="C294" s="85"/>
      <c r="D294" s="85"/>
      <c r="E294" s="85"/>
      <c r="F294" s="85"/>
      <c r="G294" s="85"/>
      <c r="H294" s="85"/>
      <c r="J294" s="85"/>
      <c r="K294" s="85"/>
      <c r="L294" s="85"/>
      <c r="M294" s="85"/>
      <c r="N294" s="85"/>
      <c r="O294" s="85"/>
      <c r="P294" s="85"/>
      <c r="Q294" s="85"/>
      <c r="R294" s="63"/>
      <c r="S294" s="63"/>
      <c r="T294" s="63"/>
      <c r="U294" s="63"/>
      <c r="V294" s="63"/>
      <c r="W294" s="63"/>
      <c r="X294" s="63"/>
      <c r="Y294" s="63"/>
    </row>
    <row r="295" spans="1:25">
      <c r="A295" s="85"/>
      <c r="B295" s="85"/>
      <c r="C295" s="85"/>
      <c r="D295" s="85"/>
      <c r="E295" s="85"/>
      <c r="F295" s="85"/>
      <c r="G295" s="85"/>
      <c r="H295" s="85"/>
      <c r="J295" s="85"/>
      <c r="K295" s="85"/>
      <c r="L295" s="85"/>
      <c r="M295" s="85"/>
      <c r="N295" s="85"/>
      <c r="O295" s="85"/>
      <c r="P295" s="85"/>
      <c r="Q295" s="85"/>
      <c r="R295" s="63"/>
      <c r="S295" s="63"/>
      <c r="T295" s="63"/>
      <c r="U295" s="63"/>
      <c r="V295" s="63"/>
      <c r="W295" s="63"/>
      <c r="X295" s="63"/>
      <c r="Y295" s="63"/>
    </row>
    <row r="296" spans="1:25">
      <c r="A296" s="85"/>
      <c r="B296" s="85"/>
      <c r="C296" s="85"/>
      <c r="D296" s="85"/>
      <c r="E296" s="85"/>
      <c r="F296" s="85"/>
      <c r="G296" s="85"/>
      <c r="H296" s="85"/>
      <c r="J296" s="85"/>
      <c r="K296" s="85"/>
      <c r="L296" s="85"/>
      <c r="M296" s="85"/>
      <c r="N296" s="85"/>
      <c r="O296" s="85"/>
      <c r="P296" s="85"/>
      <c r="Q296" s="85"/>
      <c r="R296" s="63"/>
      <c r="S296" s="63"/>
      <c r="T296" s="63"/>
      <c r="U296" s="63"/>
      <c r="V296" s="63"/>
      <c r="W296" s="63"/>
      <c r="X296" s="63"/>
      <c r="Y296" s="63"/>
    </row>
    <row r="297" spans="1:25">
      <c r="A297" s="85"/>
      <c r="B297" s="85"/>
      <c r="C297" s="85"/>
      <c r="D297" s="85"/>
      <c r="E297" s="85"/>
      <c r="F297" s="85"/>
      <c r="G297" s="85"/>
      <c r="H297" s="85"/>
      <c r="J297" s="85"/>
      <c r="K297" s="85"/>
      <c r="L297" s="85"/>
      <c r="M297" s="85"/>
      <c r="N297" s="85"/>
      <c r="O297" s="85"/>
      <c r="P297" s="85"/>
      <c r="Q297" s="85"/>
      <c r="R297" s="63"/>
      <c r="S297" s="63"/>
      <c r="T297" s="63"/>
      <c r="U297" s="63"/>
      <c r="V297" s="63"/>
      <c r="W297" s="63"/>
      <c r="X297" s="63"/>
      <c r="Y297" s="63"/>
    </row>
    <row r="298" spans="1:25">
      <c r="A298" s="85"/>
      <c r="B298" s="85"/>
      <c r="C298" s="85"/>
      <c r="D298" s="85"/>
      <c r="E298" s="85"/>
      <c r="F298" s="85"/>
      <c r="G298" s="85"/>
      <c r="H298" s="85"/>
      <c r="J298" s="85"/>
      <c r="K298" s="85"/>
      <c r="L298" s="85"/>
      <c r="M298" s="85"/>
      <c r="N298" s="85"/>
      <c r="O298" s="85"/>
      <c r="P298" s="85"/>
      <c r="Q298" s="85"/>
      <c r="R298" s="63"/>
      <c r="S298" s="63"/>
      <c r="T298" s="63"/>
      <c r="U298" s="63"/>
      <c r="V298" s="63"/>
      <c r="W298" s="63"/>
      <c r="X298" s="63"/>
      <c r="Y298" s="63"/>
    </row>
    <row r="299" spans="1:25">
      <c r="A299" s="85"/>
      <c r="B299" s="85"/>
      <c r="C299" s="85"/>
      <c r="D299" s="85"/>
      <c r="E299" s="85"/>
      <c r="F299" s="85"/>
      <c r="G299" s="85"/>
      <c r="H299" s="85"/>
      <c r="J299" s="85"/>
      <c r="K299" s="85"/>
      <c r="L299" s="85"/>
      <c r="M299" s="85"/>
      <c r="N299" s="85"/>
      <c r="O299" s="85"/>
      <c r="P299" s="85"/>
      <c r="Q299" s="85"/>
      <c r="R299" s="63"/>
      <c r="S299" s="63"/>
      <c r="T299" s="63"/>
      <c r="U299" s="63"/>
      <c r="V299" s="63"/>
      <c r="W299" s="63"/>
      <c r="X299" s="63"/>
      <c r="Y299" s="63"/>
    </row>
    <row r="300" spans="1:25">
      <c r="A300" s="85"/>
      <c r="B300" s="85"/>
      <c r="C300" s="85"/>
      <c r="D300" s="85"/>
      <c r="E300" s="85"/>
      <c r="F300" s="85"/>
      <c r="G300" s="85"/>
      <c r="H300" s="85"/>
      <c r="J300" s="85"/>
      <c r="K300" s="85"/>
      <c r="L300" s="85"/>
      <c r="M300" s="85"/>
      <c r="N300" s="85"/>
      <c r="O300" s="85"/>
      <c r="P300" s="85"/>
      <c r="Q300" s="85"/>
      <c r="R300" s="63"/>
      <c r="S300" s="63"/>
      <c r="T300" s="63"/>
      <c r="U300" s="63"/>
      <c r="V300" s="63"/>
      <c r="W300" s="63"/>
      <c r="X300" s="63"/>
      <c r="Y300" s="63"/>
    </row>
    <row r="301" spans="1:25">
      <c r="A301" s="85"/>
      <c r="B301" s="85"/>
      <c r="C301" s="85"/>
      <c r="D301" s="85"/>
      <c r="E301" s="85"/>
      <c r="F301" s="85"/>
      <c r="G301" s="85"/>
      <c r="H301" s="85"/>
      <c r="J301" s="85"/>
      <c r="K301" s="85"/>
      <c r="L301" s="85"/>
      <c r="M301" s="85"/>
      <c r="N301" s="85"/>
      <c r="O301" s="85"/>
      <c r="P301" s="85"/>
      <c r="Q301" s="85"/>
      <c r="R301" s="63"/>
      <c r="S301" s="63"/>
      <c r="T301" s="63"/>
      <c r="U301" s="63"/>
      <c r="V301" s="63"/>
      <c r="W301" s="63"/>
      <c r="X301" s="63"/>
      <c r="Y301" s="63"/>
    </row>
    <row r="302" spans="1:25">
      <c r="A302" s="85"/>
      <c r="B302" s="85"/>
      <c r="C302" s="85"/>
      <c r="D302" s="85"/>
      <c r="E302" s="85"/>
      <c r="F302" s="85"/>
      <c r="G302" s="85"/>
      <c r="H302" s="85"/>
      <c r="J302" s="85"/>
      <c r="K302" s="85"/>
      <c r="L302" s="85"/>
      <c r="M302" s="85"/>
      <c r="N302" s="85"/>
      <c r="O302" s="85"/>
      <c r="P302" s="85"/>
      <c r="Q302" s="85"/>
      <c r="R302" s="63"/>
      <c r="S302" s="63"/>
      <c r="T302" s="63"/>
      <c r="U302" s="63"/>
      <c r="V302" s="63"/>
      <c r="W302" s="63"/>
      <c r="X302" s="63"/>
      <c r="Y302" s="63"/>
    </row>
    <row r="303" spans="1:25">
      <c r="A303" s="85"/>
      <c r="B303" s="85"/>
      <c r="C303" s="85"/>
      <c r="D303" s="85"/>
      <c r="E303" s="85"/>
      <c r="F303" s="85"/>
      <c r="G303" s="85"/>
      <c r="H303" s="85"/>
      <c r="J303" s="85"/>
      <c r="K303" s="85"/>
      <c r="L303" s="85"/>
      <c r="M303" s="85"/>
      <c r="N303" s="85"/>
      <c r="O303" s="85"/>
      <c r="P303" s="85"/>
      <c r="Q303" s="85"/>
      <c r="R303" s="63"/>
      <c r="S303" s="63"/>
      <c r="T303" s="63"/>
      <c r="U303" s="63"/>
      <c r="V303" s="63"/>
      <c r="W303" s="63"/>
      <c r="X303" s="63"/>
      <c r="Y303" s="63"/>
    </row>
    <row r="304" spans="1:25">
      <c r="A304" s="85"/>
      <c r="B304" s="85"/>
      <c r="C304" s="85"/>
      <c r="D304" s="85"/>
      <c r="E304" s="85"/>
      <c r="F304" s="85"/>
      <c r="G304" s="85"/>
      <c r="H304" s="85"/>
      <c r="J304" s="85"/>
      <c r="K304" s="85"/>
      <c r="L304" s="85"/>
      <c r="M304" s="85"/>
      <c r="N304" s="85"/>
      <c r="O304" s="85"/>
      <c r="P304" s="85"/>
      <c r="Q304" s="85"/>
      <c r="R304" s="63"/>
      <c r="S304" s="63"/>
      <c r="T304" s="63"/>
      <c r="U304" s="63"/>
      <c r="V304" s="63"/>
      <c r="W304" s="63"/>
      <c r="X304" s="63"/>
      <c r="Y304" s="63"/>
    </row>
    <row r="305" spans="1:25">
      <c r="A305" s="85"/>
      <c r="B305" s="85"/>
      <c r="C305" s="85"/>
      <c r="D305" s="85"/>
      <c r="E305" s="85"/>
      <c r="F305" s="85"/>
      <c r="G305" s="85"/>
      <c r="H305" s="85"/>
      <c r="J305" s="85"/>
      <c r="K305" s="85"/>
      <c r="L305" s="85"/>
      <c r="M305" s="85"/>
      <c r="N305" s="85"/>
      <c r="O305" s="85"/>
      <c r="P305" s="85"/>
      <c r="Q305" s="85"/>
      <c r="R305" s="63"/>
      <c r="S305" s="63"/>
      <c r="T305" s="63"/>
      <c r="U305" s="63"/>
      <c r="V305" s="63"/>
      <c r="W305" s="63"/>
      <c r="X305" s="63"/>
      <c r="Y305" s="63"/>
    </row>
    <row r="306" spans="1:25">
      <c r="A306" s="85"/>
      <c r="B306" s="85"/>
      <c r="C306" s="85"/>
      <c r="D306" s="85"/>
      <c r="E306" s="85"/>
      <c r="F306" s="85"/>
      <c r="G306" s="85"/>
      <c r="H306" s="85"/>
      <c r="J306" s="85"/>
      <c r="K306" s="85"/>
      <c r="L306" s="85"/>
      <c r="M306" s="85"/>
      <c r="N306" s="85"/>
      <c r="O306" s="85"/>
      <c r="P306" s="85"/>
      <c r="Q306" s="85"/>
      <c r="R306" s="63"/>
      <c r="S306" s="63"/>
      <c r="T306" s="63"/>
      <c r="U306" s="63"/>
      <c r="V306" s="63"/>
      <c r="W306" s="63"/>
      <c r="X306" s="63"/>
      <c r="Y306" s="63"/>
    </row>
    <row r="307" spans="1:25">
      <c r="A307" s="85"/>
      <c r="B307" s="85"/>
      <c r="C307" s="85"/>
      <c r="D307" s="85"/>
      <c r="E307" s="85"/>
      <c r="F307" s="85"/>
      <c r="G307" s="85"/>
      <c r="H307" s="85"/>
      <c r="J307" s="85"/>
      <c r="K307" s="85"/>
      <c r="L307" s="85"/>
      <c r="M307" s="85"/>
      <c r="N307" s="85"/>
      <c r="O307" s="85"/>
      <c r="P307" s="85"/>
      <c r="Q307" s="85"/>
      <c r="R307" s="63"/>
      <c r="S307" s="63"/>
      <c r="T307" s="63"/>
      <c r="U307" s="63"/>
      <c r="V307" s="63"/>
      <c r="W307" s="63"/>
      <c r="X307" s="63"/>
      <c r="Y307" s="63"/>
    </row>
    <row r="308" spans="1:25">
      <c r="A308" s="85"/>
      <c r="B308" s="85"/>
      <c r="C308" s="85"/>
      <c r="D308" s="85"/>
      <c r="E308" s="85"/>
      <c r="F308" s="85"/>
      <c r="G308" s="85"/>
      <c r="H308" s="85"/>
      <c r="J308" s="85"/>
      <c r="K308" s="85"/>
      <c r="L308" s="85"/>
      <c r="M308" s="85"/>
      <c r="N308" s="85"/>
      <c r="O308" s="85"/>
      <c r="P308" s="85"/>
      <c r="Q308" s="85"/>
      <c r="R308" s="63"/>
      <c r="S308" s="63"/>
      <c r="T308" s="63"/>
      <c r="U308" s="63"/>
      <c r="V308" s="63"/>
      <c r="W308" s="63"/>
      <c r="X308" s="63"/>
      <c r="Y308" s="63"/>
    </row>
    <row r="309" spans="1:25">
      <c r="A309" s="85"/>
      <c r="B309" s="85"/>
      <c r="C309" s="85"/>
      <c r="D309" s="85"/>
      <c r="E309" s="85"/>
      <c r="F309" s="85"/>
      <c r="G309" s="85"/>
      <c r="H309" s="85"/>
      <c r="J309" s="85"/>
      <c r="K309" s="85"/>
      <c r="L309" s="85"/>
      <c r="M309" s="85"/>
      <c r="N309" s="85"/>
      <c r="O309" s="85"/>
      <c r="P309" s="85"/>
      <c r="Q309" s="85"/>
      <c r="R309" s="63"/>
      <c r="S309" s="63"/>
      <c r="T309" s="63"/>
      <c r="U309" s="63"/>
      <c r="V309" s="63"/>
      <c r="W309" s="63"/>
      <c r="X309" s="63"/>
      <c r="Y309" s="63"/>
    </row>
    <row r="310" spans="1:25">
      <c r="A310" s="85"/>
      <c r="B310" s="85"/>
      <c r="C310" s="85"/>
      <c r="D310" s="85"/>
      <c r="E310" s="85"/>
      <c r="F310" s="85"/>
      <c r="G310" s="85"/>
      <c r="H310" s="85"/>
      <c r="J310" s="85"/>
      <c r="K310" s="85"/>
      <c r="L310" s="85"/>
      <c r="M310" s="85"/>
      <c r="N310" s="85"/>
      <c r="O310" s="85"/>
      <c r="P310" s="85"/>
      <c r="Q310" s="85"/>
      <c r="R310" s="63"/>
      <c r="S310" s="63"/>
      <c r="T310" s="63"/>
      <c r="U310" s="63"/>
      <c r="V310" s="63"/>
      <c r="W310" s="63"/>
      <c r="X310" s="63"/>
      <c r="Y310" s="63"/>
    </row>
    <row r="311" spans="1:25">
      <c r="A311" s="85"/>
      <c r="B311" s="85"/>
      <c r="C311" s="85"/>
      <c r="D311" s="85"/>
      <c r="E311" s="85"/>
      <c r="F311" s="85"/>
      <c r="G311" s="85"/>
      <c r="H311" s="85"/>
      <c r="J311" s="85"/>
      <c r="K311" s="85"/>
      <c r="L311" s="85"/>
      <c r="M311" s="85"/>
      <c r="N311" s="85"/>
      <c r="O311" s="85"/>
      <c r="P311" s="85"/>
      <c r="Q311" s="85"/>
      <c r="R311" s="63"/>
      <c r="S311" s="63"/>
      <c r="T311" s="63"/>
      <c r="U311" s="63"/>
      <c r="V311" s="63"/>
      <c r="W311" s="63"/>
      <c r="X311" s="63"/>
      <c r="Y311" s="63"/>
    </row>
    <row r="312" spans="1:25">
      <c r="A312" s="85"/>
      <c r="B312" s="85"/>
      <c r="C312" s="85"/>
      <c r="D312" s="85"/>
      <c r="E312" s="85"/>
      <c r="F312" s="85"/>
      <c r="G312" s="85"/>
      <c r="H312" s="85"/>
      <c r="J312" s="85"/>
      <c r="K312" s="85"/>
      <c r="L312" s="85"/>
      <c r="M312" s="85"/>
      <c r="N312" s="85"/>
      <c r="O312" s="85"/>
      <c r="P312" s="85"/>
      <c r="Q312" s="85"/>
      <c r="R312" s="63"/>
      <c r="S312" s="63"/>
      <c r="T312" s="63"/>
      <c r="U312" s="63"/>
      <c r="V312" s="63"/>
      <c r="W312" s="63"/>
      <c r="X312" s="63"/>
      <c r="Y312" s="63"/>
    </row>
    <row r="313" spans="1:25">
      <c r="A313" s="85"/>
      <c r="B313" s="85"/>
      <c r="C313" s="85"/>
      <c r="D313" s="85"/>
      <c r="E313" s="85"/>
      <c r="F313" s="85"/>
      <c r="G313" s="85"/>
      <c r="H313" s="85"/>
      <c r="J313" s="85"/>
      <c r="K313" s="85"/>
      <c r="L313" s="85"/>
      <c r="M313" s="85"/>
      <c r="N313" s="85"/>
      <c r="O313" s="85"/>
      <c r="P313" s="85"/>
      <c r="Q313" s="85"/>
      <c r="R313" s="63"/>
      <c r="S313" s="63"/>
      <c r="T313" s="63"/>
      <c r="U313" s="63"/>
      <c r="V313" s="63"/>
      <c r="W313" s="63"/>
      <c r="X313" s="63"/>
      <c r="Y313" s="63"/>
    </row>
    <row r="314" spans="1:25">
      <c r="A314" s="85"/>
      <c r="B314" s="85"/>
      <c r="C314" s="85"/>
      <c r="D314" s="85"/>
      <c r="E314" s="85"/>
      <c r="F314" s="85"/>
      <c r="G314" s="85"/>
      <c r="H314" s="85"/>
      <c r="J314" s="85"/>
      <c r="K314" s="85"/>
      <c r="L314" s="85"/>
      <c r="M314" s="85"/>
      <c r="N314" s="85"/>
      <c r="O314" s="85"/>
      <c r="P314" s="85"/>
      <c r="Q314" s="85"/>
      <c r="R314" s="63"/>
      <c r="S314" s="63"/>
      <c r="T314" s="63"/>
      <c r="U314" s="63"/>
      <c r="V314" s="63"/>
      <c r="W314" s="63"/>
      <c r="X314" s="63"/>
      <c r="Y314" s="63"/>
    </row>
    <row r="315" spans="1:25">
      <c r="A315" s="85"/>
      <c r="B315" s="85"/>
      <c r="C315" s="85"/>
      <c r="D315" s="85"/>
      <c r="E315" s="85"/>
      <c r="F315" s="85"/>
      <c r="G315" s="85"/>
      <c r="H315" s="85"/>
      <c r="J315" s="85"/>
      <c r="K315" s="85"/>
      <c r="L315" s="85"/>
      <c r="M315" s="85"/>
      <c r="N315" s="85"/>
      <c r="O315" s="85"/>
      <c r="P315" s="85"/>
      <c r="Q315" s="85"/>
      <c r="R315" s="63"/>
      <c r="S315" s="63"/>
      <c r="T315" s="63"/>
      <c r="U315" s="63"/>
      <c r="V315" s="63"/>
      <c r="W315" s="63"/>
      <c r="X315" s="63"/>
      <c r="Y315" s="63"/>
    </row>
    <row r="316" spans="1:25">
      <c r="A316" s="85"/>
      <c r="B316" s="85"/>
      <c r="C316" s="85"/>
      <c r="D316" s="85"/>
      <c r="E316" s="85"/>
      <c r="F316" s="85"/>
      <c r="G316" s="85"/>
      <c r="H316" s="85"/>
      <c r="J316" s="85"/>
      <c r="K316" s="85"/>
      <c r="L316" s="85"/>
      <c r="M316" s="85"/>
      <c r="N316" s="85"/>
      <c r="O316" s="85"/>
      <c r="P316" s="85"/>
      <c r="Q316" s="85"/>
      <c r="R316" s="63"/>
      <c r="S316" s="63"/>
      <c r="T316" s="63"/>
      <c r="U316" s="63"/>
      <c r="V316" s="63"/>
      <c r="W316" s="63"/>
      <c r="X316" s="63"/>
      <c r="Y316" s="63"/>
    </row>
    <row r="317" spans="1:25">
      <c r="A317" s="85"/>
      <c r="B317" s="85"/>
      <c r="C317" s="85"/>
      <c r="D317" s="85"/>
      <c r="E317" s="85"/>
      <c r="F317" s="85"/>
      <c r="G317" s="85"/>
      <c r="H317" s="85"/>
      <c r="J317" s="85"/>
      <c r="K317" s="85"/>
      <c r="L317" s="85"/>
      <c r="M317" s="85"/>
      <c r="N317" s="85"/>
      <c r="O317" s="85"/>
      <c r="P317" s="85"/>
      <c r="Q317" s="85"/>
      <c r="R317" s="63"/>
      <c r="S317" s="63"/>
      <c r="T317" s="63"/>
      <c r="U317" s="63"/>
      <c r="V317" s="63"/>
      <c r="W317" s="63"/>
      <c r="X317" s="63"/>
      <c r="Y317" s="63"/>
    </row>
    <row r="318" spans="1:25">
      <c r="A318" s="85"/>
      <c r="B318" s="85"/>
      <c r="C318" s="85"/>
      <c r="D318" s="85"/>
      <c r="E318" s="85"/>
      <c r="F318" s="85"/>
      <c r="G318" s="85"/>
      <c r="H318" s="85"/>
      <c r="J318" s="85"/>
      <c r="K318" s="85"/>
      <c r="L318" s="85"/>
      <c r="M318" s="85"/>
      <c r="N318" s="85"/>
      <c r="O318" s="85"/>
      <c r="P318" s="85"/>
      <c r="Q318" s="85"/>
      <c r="R318" s="63"/>
      <c r="S318" s="63"/>
      <c r="T318" s="63"/>
      <c r="U318" s="63"/>
      <c r="V318" s="63"/>
      <c r="W318" s="63"/>
      <c r="X318" s="63"/>
      <c r="Y318" s="63"/>
    </row>
    <row r="319" spans="1:25">
      <c r="A319" s="85"/>
      <c r="B319" s="85"/>
      <c r="C319" s="85"/>
      <c r="D319" s="85"/>
      <c r="E319" s="85"/>
      <c r="F319" s="85"/>
      <c r="G319" s="85"/>
      <c r="H319" s="85"/>
      <c r="J319" s="85"/>
      <c r="K319" s="85"/>
      <c r="L319" s="85"/>
      <c r="M319" s="85"/>
      <c r="N319" s="85"/>
      <c r="O319" s="85"/>
      <c r="P319" s="85"/>
      <c r="Q319" s="85"/>
      <c r="R319" s="63"/>
      <c r="S319" s="63"/>
      <c r="T319" s="63"/>
      <c r="U319" s="63"/>
      <c r="V319" s="63"/>
      <c r="W319" s="63"/>
      <c r="X319" s="63"/>
      <c r="Y319" s="63"/>
    </row>
    <row r="320" spans="1:25">
      <c r="A320" s="85"/>
      <c r="B320" s="85"/>
      <c r="C320" s="85"/>
      <c r="D320" s="85"/>
      <c r="E320" s="85"/>
      <c r="F320" s="85"/>
      <c r="G320" s="85"/>
      <c r="H320" s="85"/>
      <c r="J320" s="85"/>
      <c r="K320" s="85"/>
      <c r="L320" s="85"/>
      <c r="M320" s="85"/>
      <c r="N320" s="85"/>
      <c r="O320" s="85"/>
      <c r="P320" s="85"/>
      <c r="Q320" s="85"/>
      <c r="R320" s="63"/>
      <c r="S320" s="63"/>
      <c r="T320" s="63"/>
      <c r="U320" s="63"/>
      <c r="V320" s="63"/>
      <c r="W320" s="63"/>
      <c r="X320" s="63"/>
      <c r="Y320" s="63"/>
    </row>
    <row r="321" spans="1:25">
      <c r="A321" s="85"/>
      <c r="B321" s="85"/>
      <c r="C321" s="85"/>
      <c r="D321" s="85"/>
      <c r="E321" s="85"/>
      <c r="F321" s="85"/>
      <c r="G321" s="85"/>
      <c r="H321" s="85"/>
      <c r="J321" s="85"/>
      <c r="K321" s="85"/>
      <c r="L321" s="85"/>
      <c r="M321" s="85"/>
      <c r="N321" s="85"/>
      <c r="O321" s="85"/>
      <c r="P321" s="85"/>
      <c r="Q321" s="85"/>
      <c r="R321" s="63"/>
      <c r="S321" s="63"/>
      <c r="T321" s="63"/>
      <c r="U321" s="63"/>
      <c r="V321" s="63"/>
      <c r="W321" s="63"/>
      <c r="X321" s="63"/>
      <c r="Y321" s="63"/>
    </row>
    <row r="322" spans="1:25">
      <c r="A322" s="85"/>
      <c r="B322" s="85"/>
      <c r="C322" s="85"/>
      <c r="D322" s="85"/>
      <c r="E322" s="85"/>
      <c r="F322" s="85"/>
      <c r="G322" s="85"/>
      <c r="H322" s="85"/>
      <c r="J322" s="85"/>
      <c r="K322" s="85"/>
      <c r="L322" s="85"/>
      <c r="M322" s="85"/>
      <c r="N322" s="85"/>
      <c r="O322" s="85"/>
      <c r="P322" s="85"/>
      <c r="Q322" s="85"/>
      <c r="R322" s="63"/>
      <c r="S322" s="63"/>
      <c r="T322" s="63"/>
      <c r="U322" s="63"/>
      <c r="V322" s="63"/>
      <c r="W322" s="63"/>
      <c r="X322" s="63"/>
      <c r="Y322" s="63"/>
    </row>
    <row r="323" spans="1:25">
      <c r="A323" s="85"/>
      <c r="B323" s="85"/>
      <c r="C323" s="85"/>
      <c r="D323" s="85"/>
      <c r="E323" s="85"/>
      <c r="F323" s="85"/>
      <c r="G323" s="85"/>
      <c r="H323" s="85"/>
      <c r="J323" s="85"/>
      <c r="K323" s="85"/>
      <c r="L323" s="85"/>
      <c r="M323" s="85"/>
      <c r="N323" s="85"/>
      <c r="O323" s="85"/>
      <c r="P323" s="85"/>
      <c r="Q323" s="85"/>
      <c r="R323" s="63"/>
      <c r="S323" s="63"/>
      <c r="T323" s="63"/>
      <c r="U323" s="63"/>
      <c r="V323" s="63"/>
      <c r="W323" s="63"/>
      <c r="X323" s="63"/>
      <c r="Y323" s="63"/>
    </row>
    <row r="324" spans="1:25">
      <c r="A324" s="85"/>
      <c r="B324" s="85"/>
      <c r="C324" s="85"/>
      <c r="D324" s="85"/>
      <c r="E324" s="85"/>
      <c r="F324" s="85"/>
      <c r="G324" s="85"/>
      <c r="H324" s="85"/>
      <c r="J324" s="85"/>
      <c r="K324" s="85"/>
      <c r="L324" s="85"/>
      <c r="M324" s="85"/>
      <c r="N324" s="85"/>
      <c r="O324" s="85"/>
      <c r="P324" s="85"/>
      <c r="Q324" s="85"/>
      <c r="R324" s="63"/>
      <c r="S324" s="63"/>
      <c r="T324" s="63"/>
      <c r="U324" s="63"/>
      <c r="V324" s="63"/>
      <c r="W324" s="63"/>
      <c r="X324" s="63"/>
      <c r="Y324" s="63"/>
    </row>
    <row r="325" spans="1:25">
      <c r="A325" s="85"/>
      <c r="B325" s="85"/>
      <c r="C325" s="85"/>
      <c r="D325" s="85"/>
      <c r="E325" s="85"/>
      <c r="F325" s="85"/>
      <c r="G325" s="85"/>
      <c r="H325" s="85"/>
      <c r="J325" s="85"/>
      <c r="K325" s="85"/>
      <c r="L325" s="85"/>
      <c r="M325" s="85"/>
      <c r="N325" s="85"/>
      <c r="O325" s="85"/>
      <c r="P325" s="85"/>
      <c r="Q325" s="85"/>
      <c r="R325" s="63"/>
      <c r="S325" s="63"/>
      <c r="T325" s="63"/>
      <c r="U325" s="63"/>
      <c r="V325" s="63"/>
      <c r="W325" s="63"/>
      <c r="X325" s="63"/>
      <c r="Y325" s="63"/>
    </row>
    <row r="326" spans="1:25">
      <c r="A326" s="85"/>
      <c r="B326" s="85"/>
      <c r="C326" s="85"/>
      <c r="D326" s="85"/>
      <c r="E326" s="85"/>
      <c r="F326" s="85"/>
      <c r="G326" s="85"/>
      <c r="H326" s="85"/>
      <c r="J326" s="85"/>
      <c r="K326" s="85"/>
      <c r="L326" s="85"/>
      <c r="M326" s="85"/>
      <c r="N326" s="85"/>
      <c r="O326" s="85"/>
      <c r="P326" s="85"/>
      <c r="Q326" s="85"/>
      <c r="R326" s="63"/>
      <c r="S326" s="63"/>
      <c r="T326" s="63"/>
      <c r="U326" s="63"/>
      <c r="V326" s="63"/>
      <c r="W326" s="63"/>
      <c r="X326" s="63"/>
      <c r="Y326" s="63"/>
    </row>
    <row r="327" spans="1:25">
      <c r="A327" s="85"/>
      <c r="B327" s="85"/>
      <c r="C327" s="85"/>
      <c r="D327" s="85"/>
      <c r="E327" s="85"/>
      <c r="F327" s="85"/>
      <c r="G327" s="85"/>
      <c r="H327" s="85"/>
      <c r="J327" s="85"/>
      <c r="K327" s="85"/>
      <c r="L327" s="85"/>
      <c r="M327" s="85"/>
      <c r="N327" s="85"/>
      <c r="O327" s="85"/>
      <c r="P327" s="85"/>
      <c r="Q327" s="85"/>
      <c r="R327" s="63"/>
      <c r="S327" s="63"/>
      <c r="T327" s="63"/>
      <c r="U327" s="63"/>
      <c r="V327" s="63"/>
      <c r="W327" s="63"/>
      <c r="X327" s="63"/>
      <c r="Y327" s="63"/>
    </row>
    <row r="328" spans="1:25">
      <c r="A328" s="85"/>
      <c r="B328" s="85"/>
      <c r="C328" s="85"/>
      <c r="D328" s="85"/>
      <c r="E328" s="85"/>
      <c r="F328" s="85"/>
      <c r="G328" s="85"/>
      <c r="H328" s="85"/>
      <c r="J328" s="85"/>
      <c r="K328" s="85"/>
      <c r="L328" s="85"/>
      <c r="M328" s="85"/>
      <c r="N328" s="85"/>
      <c r="O328" s="85"/>
      <c r="P328" s="85"/>
      <c r="Q328" s="85"/>
      <c r="R328" s="63"/>
      <c r="S328" s="63"/>
      <c r="T328" s="63"/>
      <c r="U328" s="63"/>
      <c r="V328" s="63"/>
      <c r="W328" s="63"/>
      <c r="X328" s="63"/>
      <c r="Y328" s="63"/>
    </row>
    <row r="329" spans="1:25">
      <c r="A329" s="85"/>
      <c r="B329" s="85"/>
      <c r="C329" s="85"/>
      <c r="D329" s="85"/>
      <c r="E329" s="85"/>
      <c r="F329" s="85"/>
      <c r="G329" s="85"/>
      <c r="H329" s="85"/>
      <c r="J329" s="85"/>
      <c r="K329" s="85"/>
      <c r="L329" s="85"/>
      <c r="M329" s="85"/>
      <c r="N329" s="85"/>
      <c r="O329" s="85"/>
      <c r="P329" s="85"/>
      <c r="Q329" s="85"/>
      <c r="R329" s="63"/>
      <c r="S329" s="63"/>
      <c r="T329" s="63"/>
      <c r="U329" s="63"/>
      <c r="V329" s="63"/>
      <c r="W329" s="63"/>
      <c r="X329" s="63"/>
      <c r="Y329" s="63"/>
    </row>
    <row r="330" spans="1:25">
      <c r="A330" s="85"/>
      <c r="B330" s="85"/>
      <c r="C330" s="85"/>
      <c r="D330" s="85"/>
      <c r="E330" s="85"/>
      <c r="F330" s="85"/>
      <c r="G330" s="85"/>
      <c r="H330" s="85"/>
      <c r="J330" s="85"/>
      <c r="K330" s="85"/>
      <c r="L330" s="85"/>
      <c r="M330" s="85"/>
      <c r="N330" s="85"/>
      <c r="O330" s="85"/>
      <c r="P330" s="85"/>
      <c r="Q330" s="85"/>
      <c r="R330" s="63"/>
      <c r="S330" s="63"/>
      <c r="T330" s="63"/>
      <c r="U330" s="63"/>
      <c r="V330" s="63"/>
      <c r="W330" s="63"/>
      <c r="X330" s="63"/>
      <c r="Y330" s="63"/>
    </row>
    <row r="331" spans="1:25">
      <c r="A331" s="85"/>
      <c r="B331" s="85"/>
      <c r="C331" s="85"/>
      <c r="D331" s="85"/>
      <c r="E331" s="85"/>
      <c r="F331" s="85"/>
      <c r="G331" s="85"/>
      <c r="H331" s="85"/>
      <c r="J331" s="85"/>
      <c r="K331" s="85"/>
      <c r="L331" s="85"/>
      <c r="M331" s="85"/>
      <c r="N331" s="85"/>
      <c r="O331" s="85"/>
      <c r="P331" s="85"/>
      <c r="Q331" s="85"/>
      <c r="R331" s="63"/>
      <c r="S331" s="63"/>
      <c r="T331" s="63"/>
      <c r="U331" s="63"/>
      <c r="V331" s="63"/>
      <c r="W331" s="63"/>
      <c r="X331" s="63"/>
      <c r="Y331" s="63"/>
    </row>
    <row r="332" spans="1:25">
      <c r="A332" s="85"/>
      <c r="B332" s="85"/>
      <c r="C332" s="85"/>
      <c r="D332" s="85"/>
      <c r="E332" s="85"/>
      <c r="F332" s="85"/>
      <c r="G332" s="85"/>
      <c r="H332" s="85"/>
      <c r="J332" s="85"/>
      <c r="K332" s="85"/>
      <c r="L332" s="85"/>
      <c r="M332" s="85"/>
      <c r="N332" s="85"/>
      <c r="O332" s="85"/>
      <c r="P332" s="85"/>
      <c r="Q332" s="85"/>
      <c r="R332" s="63"/>
      <c r="S332" s="63"/>
      <c r="T332" s="63"/>
      <c r="U332" s="63"/>
      <c r="V332" s="63"/>
      <c r="W332" s="63"/>
      <c r="X332" s="63"/>
      <c r="Y332" s="63"/>
    </row>
    <row r="333" spans="1:25">
      <c r="A333" s="85"/>
      <c r="B333" s="85"/>
      <c r="C333" s="85"/>
      <c r="D333" s="85"/>
      <c r="E333" s="85"/>
      <c r="F333" s="85"/>
      <c r="G333" s="85"/>
      <c r="H333" s="85"/>
      <c r="J333" s="85"/>
      <c r="K333" s="85"/>
      <c r="L333" s="85"/>
      <c r="M333" s="85"/>
      <c r="N333" s="85"/>
      <c r="O333" s="85"/>
      <c r="P333" s="85"/>
      <c r="Q333" s="85"/>
      <c r="R333" s="63"/>
      <c r="S333" s="63"/>
      <c r="T333" s="63"/>
      <c r="U333" s="63"/>
      <c r="V333" s="63"/>
      <c r="W333" s="63"/>
      <c r="X333" s="63"/>
      <c r="Y333" s="63"/>
    </row>
    <row r="334" spans="1:25">
      <c r="A334" s="85"/>
      <c r="B334" s="85"/>
      <c r="C334" s="85"/>
      <c r="D334" s="85"/>
      <c r="E334" s="85"/>
      <c r="F334" s="85"/>
      <c r="G334" s="85"/>
      <c r="H334" s="85"/>
      <c r="J334" s="85"/>
      <c r="K334" s="85"/>
      <c r="L334" s="85"/>
      <c r="M334" s="85"/>
      <c r="N334" s="85"/>
      <c r="O334" s="85"/>
      <c r="P334" s="85"/>
      <c r="Q334" s="85"/>
      <c r="R334" s="63"/>
      <c r="S334" s="63"/>
      <c r="T334" s="63"/>
      <c r="U334" s="63"/>
      <c r="V334" s="63"/>
      <c r="W334" s="63"/>
      <c r="X334" s="63"/>
      <c r="Y334" s="63"/>
    </row>
    <row r="335" spans="1:25">
      <c r="A335" s="85"/>
      <c r="B335" s="85"/>
      <c r="C335" s="85"/>
      <c r="D335" s="85"/>
      <c r="E335" s="85"/>
      <c r="F335" s="85"/>
      <c r="G335" s="85"/>
      <c r="H335" s="85"/>
      <c r="J335" s="85"/>
      <c r="K335" s="85"/>
      <c r="L335" s="85"/>
      <c r="M335" s="85"/>
      <c r="N335" s="85"/>
      <c r="O335" s="85"/>
      <c r="P335" s="85"/>
      <c r="Q335" s="85"/>
      <c r="R335" s="63"/>
      <c r="S335" s="63"/>
      <c r="T335" s="63"/>
      <c r="U335" s="63"/>
      <c r="V335" s="63"/>
      <c r="W335" s="63"/>
      <c r="X335" s="63"/>
      <c r="Y335" s="63"/>
    </row>
    <row r="336" spans="1:25">
      <c r="A336" s="85"/>
      <c r="B336" s="85"/>
      <c r="C336" s="85"/>
      <c r="D336" s="85"/>
      <c r="E336" s="85"/>
      <c r="F336" s="85"/>
      <c r="G336" s="85"/>
      <c r="H336" s="85"/>
      <c r="J336" s="85"/>
      <c r="K336" s="85"/>
      <c r="L336" s="85"/>
      <c r="M336" s="85"/>
      <c r="N336" s="85"/>
      <c r="O336" s="85"/>
      <c r="P336" s="85"/>
      <c r="Q336" s="85"/>
      <c r="R336" s="63"/>
      <c r="S336" s="63"/>
      <c r="T336" s="63"/>
      <c r="U336" s="63"/>
      <c r="V336" s="63"/>
      <c r="W336" s="63"/>
      <c r="X336" s="63"/>
      <c r="Y336" s="63"/>
    </row>
    <row r="337" spans="1:25">
      <c r="A337" s="85"/>
      <c r="B337" s="85"/>
      <c r="C337" s="85"/>
      <c r="D337" s="85"/>
      <c r="E337" s="85"/>
      <c r="F337" s="85"/>
      <c r="G337" s="85"/>
      <c r="H337" s="85"/>
      <c r="J337" s="85"/>
      <c r="K337" s="85"/>
      <c r="L337" s="85"/>
      <c r="M337" s="85"/>
      <c r="N337" s="85"/>
      <c r="O337" s="85"/>
      <c r="P337" s="85"/>
      <c r="Q337" s="85"/>
      <c r="R337" s="63"/>
      <c r="S337" s="63"/>
      <c r="T337" s="63"/>
      <c r="U337" s="63"/>
      <c r="V337" s="63"/>
      <c r="W337" s="63"/>
      <c r="X337" s="63"/>
      <c r="Y337" s="63"/>
    </row>
    <row r="338" spans="1:25">
      <c r="A338" s="85"/>
      <c r="B338" s="85"/>
      <c r="C338" s="85"/>
      <c r="D338" s="85"/>
      <c r="E338" s="85"/>
      <c r="F338" s="85"/>
      <c r="G338" s="85"/>
      <c r="H338" s="85"/>
      <c r="J338" s="85"/>
      <c r="K338" s="85"/>
      <c r="L338" s="85"/>
      <c r="M338" s="85"/>
      <c r="N338" s="85"/>
      <c r="O338" s="85"/>
      <c r="P338" s="85"/>
      <c r="Q338" s="85"/>
      <c r="R338" s="63"/>
      <c r="S338" s="63"/>
      <c r="T338" s="63"/>
      <c r="U338" s="63"/>
      <c r="V338" s="63"/>
      <c r="W338" s="63"/>
      <c r="X338" s="63"/>
      <c r="Y338" s="63"/>
    </row>
    <row r="339" spans="1:25">
      <c r="A339" s="85"/>
      <c r="B339" s="85"/>
      <c r="C339" s="85"/>
      <c r="D339" s="85"/>
      <c r="E339" s="85"/>
      <c r="F339" s="85"/>
      <c r="G339" s="85"/>
      <c r="H339" s="85"/>
      <c r="J339" s="85"/>
      <c r="K339" s="85"/>
      <c r="L339" s="85"/>
      <c r="M339" s="85"/>
      <c r="N339" s="85"/>
      <c r="O339" s="85"/>
      <c r="P339" s="85"/>
      <c r="Q339" s="85"/>
      <c r="R339" s="63"/>
      <c r="S339" s="63"/>
      <c r="T339" s="63"/>
      <c r="U339" s="63"/>
      <c r="V339" s="63"/>
      <c r="W339" s="63"/>
      <c r="X339" s="63"/>
      <c r="Y339" s="63"/>
    </row>
    <row r="340" spans="1:25">
      <c r="A340" s="85"/>
      <c r="B340" s="85"/>
      <c r="C340" s="85"/>
      <c r="D340" s="85"/>
      <c r="E340" s="85"/>
      <c r="F340" s="85"/>
      <c r="G340" s="85"/>
      <c r="H340" s="85"/>
      <c r="J340" s="85"/>
      <c r="K340" s="85"/>
      <c r="L340" s="85"/>
      <c r="M340" s="85"/>
      <c r="N340" s="85"/>
      <c r="O340" s="85"/>
      <c r="P340" s="85"/>
      <c r="Q340" s="85"/>
      <c r="R340" s="63"/>
      <c r="S340" s="63"/>
      <c r="T340" s="63"/>
      <c r="U340" s="63"/>
      <c r="V340" s="63"/>
      <c r="W340" s="63"/>
      <c r="X340" s="63"/>
      <c r="Y340" s="63"/>
    </row>
    <row r="341" spans="1:25">
      <c r="A341" s="85"/>
      <c r="B341" s="85"/>
      <c r="C341" s="85"/>
      <c r="D341" s="85"/>
      <c r="E341" s="85"/>
      <c r="F341" s="85"/>
      <c r="G341" s="85"/>
      <c r="H341" s="85"/>
      <c r="J341" s="85"/>
      <c r="K341" s="85"/>
      <c r="L341" s="85"/>
      <c r="M341" s="85"/>
      <c r="N341" s="85"/>
      <c r="O341" s="85"/>
      <c r="P341" s="85"/>
      <c r="Q341" s="85"/>
      <c r="R341" s="63"/>
      <c r="S341" s="63"/>
      <c r="T341" s="63"/>
      <c r="U341" s="63"/>
      <c r="V341" s="63"/>
      <c r="W341" s="63"/>
      <c r="X341" s="63"/>
      <c r="Y341" s="63"/>
    </row>
    <row r="342" spans="1:25">
      <c r="A342" s="85"/>
      <c r="B342" s="85"/>
      <c r="C342" s="85"/>
      <c r="D342" s="85"/>
      <c r="E342" s="85"/>
      <c r="F342" s="85"/>
      <c r="G342" s="85"/>
      <c r="H342" s="85"/>
      <c r="J342" s="85"/>
      <c r="K342" s="85"/>
      <c r="L342" s="85"/>
      <c r="M342" s="85"/>
      <c r="N342" s="85"/>
      <c r="O342" s="85"/>
      <c r="P342" s="85"/>
      <c r="Q342" s="85"/>
      <c r="R342" s="63"/>
      <c r="S342" s="63"/>
      <c r="T342" s="63"/>
      <c r="U342" s="63"/>
      <c r="V342" s="63"/>
      <c r="W342" s="63"/>
      <c r="X342" s="63"/>
      <c r="Y342" s="63"/>
    </row>
    <row r="343" spans="1:25">
      <c r="A343" s="85"/>
      <c r="B343" s="85"/>
      <c r="C343" s="85"/>
      <c r="D343" s="85"/>
      <c r="E343" s="85"/>
      <c r="F343" s="85"/>
      <c r="G343" s="85"/>
      <c r="H343" s="85"/>
      <c r="J343" s="85"/>
      <c r="K343" s="85"/>
      <c r="L343" s="85"/>
      <c r="M343" s="85"/>
      <c r="N343" s="85"/>
      <c r="O343" s="85"/>
      <c r="P343" s="85"/>
      <c r="Q343" s="85"/>
      <c r="R343" s="63"/>
      <c r="S343" s="63"/>
      <c r="T343" s="63"/>
      <c r="U343" s="63"/>
      <c r="V343" s="63"/>
      <c r="W343" s="63"/>
      <c r="X343" s="63"/>
      <c r="Y343" s="63"/>
    </row>
    <row r="344" spans="1:25">
      <c r="A344" s="85"/>
      <c r="B344" s="85"/>
      <c r="C344" s="85"/>
      <c r="D344" s="85"/>
      <c r="E344" s="85"/>
      <c r="F344" s="85"/>
      <c r="G344" s="85"/>
      <c r="H344" s="85"/>
      <c r="J344" s="85"/>
      <c r="K344" s="85"/>
      <c r="L344" s="85"/>
      <c r="M344" s="85"/>
      <c r="N344" s="85"/>
      <c r="O344" s="85"/>
      <c r="P344" s="85"/>
      <c r="Q344" s="85"/>
      <c r="R344" s="63"/>
      <c r="S344" s="63"/>
      <c r="T344" s="63"/>
      <c r="U344" s="63"/>
      <c r="V344" s="63"/>
      <c r="W344" s="63"/>
      <c r="X344" s="63"/>
      <c r="Y344" s="63"/>
    </row>
    <row r="345" spans="1:25">
      <c r="A345" s="85"/>
      <c r="B345" s="85"/>
      <c r="C345" s="85"/>
      <c r="D345" s="85"/>
      <c r="E345" s="85"/>
      <c r="F345" s="85"/>
      <c r="G345" s="85"/>
      <c r="H345" s="85"/>
      <c r="J345" s="85"/>
      <c r="K345" s="85"/>
      <c r="L345" s="85"/>
      <c r="M345" s="85"/>
      <c r="N345" s="85"/>
      <c r="O345" s="85"/>
      <c r="P345" s="85"/>
      <c r="Q345" s="85"/>
      <c r="R345" s="63"/>
      <c r="S345" s="63"/>
      <c r="T345" s="63"/>
      <c r="U345" s="63"/>
      <c r="V345" s="63"/>
      <c r="W345" s="63"/>
      <c r="X345" s="63"/>
      <c r="Y345" s="63"/>
    </row>
    <row r="346" spans="1:25">
      <c r="A346" s="85"/>
      <c r="B346" s="85"/>
      <c r="C346" s="85"/>
      <c r="D346" s="85"/>
      <c r="E346" s="85"/>
      <c r="F346" s="85"/>
      <c r="G346" s="85"/>
      <c r="H346" s="85"/>
      <c r="J346" s="85"/>
      <c r="K346" s="85"/>
      <c r="L346" s="85"/>
      <c r="M346" s="85"/>
      <c r="N346" s="85"/>
      <c r="O346" s="85"/>
      <c r="P346" s="85"/>
      <c r="Q346" s="85"/>
      <c r="R346" s="63"/>
      <c r="S346" s="63"/>
      <c r="T346" s="63"/>
      <c r="U346" s="63"/>
      <c r="V346" s="63"/>
      <c r="W346" s="63"/>
      <c r="X346" s="63"/>
      <c r="Y346" s="63"/>
    </row>
    <row r="347" spans="1:25">
      <c r="A347" s="85"/>
      <c r="B347" s="85"/>
      <c r="C347" s="85"/>
      <c r="D347" s="85"/>
      <c r="E347" s="85"/>
      <c r="F347" s="85"/>
      <c r="G347" s="85"/>
      <c r="H347" s="85"/>
      <c r="J347" s="85"/>
      <c r="K347" s="85"/>
      <c r="L347" s="85"/>
      <c r="M347" s="85"/>
      <c r="N347" s="85"/>
      <c r="O347" s="85"/>
      <c r="P347" s="85"/>
      <c r="Q347" s="85"/>
      <c r="R347" s="63"/>
      <c r="S347" s="63"/>
      <c r="T347" s="63"/>
      <c r="U347" s="63"/>
      <c r="V347" s="63"/>
      <c r="W347" s="63"/>
      <c r="X347" s="63"/>
      <c r="Y347" s="63"/>
    </row>
    <row r="348" spans="1:25">
      <c r="A348" s="85"/>
      <c r="B348" s="85"/>
      <c r="C348" s="85"/>
      <c r="D348" s="85"/>
      <c r="E348" s="85"/>
      <c r="F348" s="85"/>
      <c r="G348" s="85"/>
      <c r="H348" s="85"/>
      <c r="J348" s="85"/>
      <c r="K348" s="85"/>
      <c r="L348" s="85"/>
      <c r="M348" s="85"/>
      <c r="N348" s="85"/>
      <c r="O348" s="85"/>
      <c r="P348" s="85"/>
      <c r="Q348" s="85"/>
      <c r="R348" s="63"/>
      <c r="S348" s="63"/>
      <c r="T348" s="63"/>
      <c r="U348" s="63"/>
      <c r="V348" s="63"/>
      <c r="W348" s="63"/>
      <c r="X348" s="63"/>
      <c r="Y348" s="63"/>
    </row>
    <row r="349" spans="1:25">
      <c r="A349" s="85"/>
      <c r="B349" s="85"/>
      <c r="C349" s="85"/>
      <c r="D349" s="85"/>
      <c r="E349" s="85"/>
      <c r="F349" s="85"/>
      <c r="G349" s="85"/>
      <c r="H349" s="85"/>
      <c r="J349" s="85"/>
      <c r="K349" s="85"/>
      <c r="L349" s="85"/>
      <c r="M349" s="85"/>
      <c r="N349" s="85"/>
      <c r="O349" s="85"/>
      <c r="P349" s="85"/>
      <c r="Q349" s="85"/>
      <c r="R349" s="63"/>
      <c r="S349" s="63"/>
      <c r="T349" s="63"/>
      <c r="U349" s="63"/>
      <c r="V349" s="63"/>
      <c r="W349" s="63"/>
      <c r="X349" s="63"/>
      <c r="Y349" s="63"/>
    </row>
    <row r="350" spans="1:25">
      <c r="A350" s="85"/>
      <c r="B350" s="85"/>
      <c r="C350" s="85"/>
      <c r="D350" s="85"/>
      <c r="E350" s="85"/>
      <c r="F350" s="85"/>
      <c r="G350" s="85"/>
      <c r="H350" s="85"/>
      <c r="J350" s="85"/>
      <c r="K350" s="85"/>
      <c r="L350" s="85"/>
      <c r="M350" s="85"/>
      <c r="N350" s="85"/>
      <c r="O350" s="85"/>
      <c r="P350" s="85"/>
      <c r="Q350" s="85"/>
      <c r="R350" s="63"/>
      <c r="S350" s="63"/>
      <c r="T350" s="63"/>
      <c r="U350" s="63"/>
      <c r="V350" s="63"/>
      <c r="W350" s="63"/>
      <c r="X350" s="63"/>
      <c r="Y350" s="63"/>
    </row>
    <row r="351" spans="1:25">
      <c r="A351" s="85"/>
      <c r="B351" s="85"/>
      <c r="C351" s="85"/>
      <c r="D351" s="85"/>
      <c r="E351" s="85"/>
      <c r="F351" s="85"/>
      <c r="G351" s="85"/>
      <c r="H351" s="85"/>
      <c r="J351" s="85"/>
      <c r="K351" s="85"/>
      <c r="L351" s="85"/>
      <c r="M351" s="85"/>
      <c r="N351" s="85"/>
      <c r="O351" s="85"/>
      <c r="P351" s="85"/>
      <c r="Q351" s="85"/>
      <c r="R351" s="63"/>
      <c r="S351" s="63"/>
      <c r="T351" s="63"/>
      <c r="U351" s="63"/>
      <c r="V351" s="63"/>
      <c r="W351" s="63"/>
      <c r="X351" s="63"/>
      <c r="Y351" s="63"/>
    </row>
    <row r="352" spans="1:25">
      <c r="A352" s="85"/>
      <c r="B352" s="85"/>
      <c r="C352" s="85"/>
      <c r="D352" s="85"/>
      <c r="E352" s="85"/>
      <c r="F352" s="85"/>
      <c r="G352" s="85"/>
      <c r="H352" s="85"/>
      <c r="J352" s="85"/>
      <c r="K352" s="85"/>
      <c r="L352" s="85"/>
      <c r="M352" s="85"/>
      <c r="N352" s="85"/>
      <c r="O352" s="85"/>
      <c r="P352" s="85"/>
      <c r="Q352" s="85"/>
      <c r="R352" s="63"/>
      <c r="S352" s="63"/>
      <c r="T352" s="63"/>
      <c r="U352" s="63"/>
      <c r="V352" s="63"/>
      <c r="W352" s="63"/>
      <c r="X352" s="63"/>
      <c r="Y352" s="63"/>
    </row>
    <row r="353" spans="1:25">
      <c r="A353" s="85"/>
      <c r="B353" s="85"/>
      <c r="C353" s="85"/>
      <c r="D353" s="85"/>
      <c r="E353" s="85"/>
      <c r="F353" s="85"/>
      <c r="G353" s="85"/>
      <c r="H353" s="85"/>
      <c r="J353" s="85"/>
      <c r="K353" s="85"/>
      <c r="L353" s="85"/>
      <c r="M353" s="85"/>
      <c r="N353" s="85"/>
      <c r="O353" s="85"/>
      <c r="P353" s="85"/>
      <c r="Q353" s="85"/>
      <c r="R353" s="63"/>
      <c r="S353" s="63"/>
      <c r="T353" s="63"/>
      <c r="U353" s="63"/>
      <c r="V353" s="63"/>
      <c r="W353" s="63"/>
      <c r="X353" s="63"/>
      <c r="Y353" s="63"/>
    </row>
    <row r="354" spans="1:25">
      <c r="A354" s="85"/>
      <c r="B354" s="85"/>
      <c r="C354" s="85"/>
      <c r="D354" s="85"/>
      <c r="E354" s="85"/>
      <c r="F354" s="85"/>
      <c r="G354" s="85"/>
      <c r="H354" s="85"/>
      <c r="J354" s="85"/>
      <c r="K354" s="85"/>
      <c r="L354" s="85"/>
      <c r="M354" s="85"/>
      <c r="N354" s="85"/>
      <c r="O354" s="85"/>
      <c r="P354" s="85"/>
      <c r="Q354" s="85"/>
      <c r="R354" s="63"/>
      <c r="S354" s="63"/>
      <c r="T354" s="63"/>
      <c r="U354" s="63"/>
      <c r="V354" s="63"/>
      <c r="W354" s="63"/>
      <c r="X354" s="63"/>
      <c r="Y354" s="63"/>
    </row>
    <row r="355" spans="1:25">
      <c r="A355" s="85"/>
      <c r="B355" s="85"/>
      <c r="C355" s="85"/>
      <c r="D355" s="85"/>
      <c r="E355" s="85"/>
      <c r="F355" s="85"/>
      <c r="G355" s="85"/>
      <c r="H355" s="85"/>
      <c r="J355" s="85"/>
      <c r="K355" s="85"/>
      <c r="L355" s="85"/>
      <c r="M355" s="85"/>
      <c r="N355" s="85"/>
      <c r="O355" s="85"/>
      <c r="P355" s="85"/>
      <c r="Q355" s="85"/>
      <c r="R355" s="63"/>
      <c r="S355" s="63"/>
      <c r="T355" s="63"/>
      <c r="U355" s="63"/>
      <c r="V355" s="63"/>
      <c r="W355" s="63"/>
      <c r="X355" s="63"/>
      <c r="Y355" s="63"/>
    </row>
    <row r="356" spans="1:25">
      <c r="A356" s="85"/>
      <c r="B356" s="85"/>
      <c r="C356" s="85"/>
      <c r="D356" s="85"/>
      <c r="E356" s="85"/>
      <c r="F356" s="85"/>
      <c r="G356" s="85"/>
      <c r="H356" s="85"/>
      <c r="J356" s="85"/>
      <c r="K356" s="85"/>
      <c r="L356" s="85"/>
      <c r="M356" s="85"/>
      <c r="N356" s="85"/>
      <c r="O356" s="85"/>
      <c r="P356" s="85"/>
      <c r="Q356" s="85"/>
      <c r="R356" s="63"/>
      <c r="S356" s="63"/>
      <c r="T356" s="63"/>
      <c r="U356" s="63"/>
      <c r="V356" s="63"/>
      <c r="W356" s="63"/>
      <c r="X356" s="63"/>
      <c r="Y356" s="63"/>
    </row>
    <row r="357" spans="1:25">
      <c r="A357" s="85"/>
      <c r="B357" s="85"/>
      <c r="C357" s="85"/>
      <c r="D357" s="85"/>
      <c r="E357" s="85"/>
      <c r="F357" s="85"/>
      <c r="G357" s="85"/>
      <c r="H357" s="85"/>
      <c r="J357" s="85"/>
      <c r="K357" s="85"/>
      <c r="L357" s="85"/>
      <c r="M357" s="85"/>
      <c r="N357" s="85"/>
      <c r="O357" s="85"/>
      <c r="P357" s="85"/>
      <c r="Q357" s="85"/>
      <c r="R357" s="63"/>
      <c r="S357" s="63"/>
      <c r="T357" s="63"/>
      <c r="U357" s="63"/>
      <c r="V357" s="63"/>
      <c r="W357" s="63"/>
      <c r="X357" s="63"/>
      <c r="Y357" s="63"/>
    </row>
    <row r="358" spans="1:25">
      <c r="A358" s="85"/>
      <c r="B358" s="85"/>
      <c r="C358" s="85"/>
      <c r="D358" s="85"/>
      <c r="E358" s="85"/>
      <c r="F358" s="85"/>
      <c r="G358" s="85"/>
      <c r="H358" s="85"/>
      <c r="J358" s="85"/>
      <c r="K358" s="85"/>
      <c r="L358" s="85"/>
      <c r="M358" s="85"/>
      <c r="N358" s="85"/>
      <c r="O358" s="85"/>
      <c r="P358" s="85"/>
      <c r="Q358" s="85"/>
      <c r="R358" s="63"/>
      <c r="S358" s="63"/>
      <c r="T358" s="63"/>
      <c r="U358" s="63"/>
      <c r="V358" s="63"/>
      <c r="W358" s="63"/>
      <c r="X358" s="63"/>
      <c r="Y358" s="63"/>
    </row>
    <row r="359" spans="1:25">
      <c r="A359" s="85"/>
      <c r="B359" s="85"/>
      <c r="C359" s="85"/>
      <c r="D359" s="85"/>
      <c r="E359" s="85"/>
      <c r="F359" s="85"/>
      <c r="G359" s="85"/>
      <c r="H359" s="85"/>
      <c r="J359" s="85"/>
      <c r="K359" s="85"/>
      <c r="L359" s="85"/>
      <c r="M359" s="85"/>
      <c r="N359" s="85"/>
      <c r="O359" s="85"/>
      <c r="P359" s="85"/>
      <c r="Q359" s="85"/>
      <c r="R359" s="63"/>
      <c r="S359" s="63"/>
      <c r="T359" s="63"/>
      <c r="U359" s="63"/>
      <c r="V359" s="63"/>
      <c r="W359" s="63"/>
      <c r="X359" s="63"/>
      <c r="Y359" s="63"/>
    </row>
    <row r="360" spans="1:25">
      <c r="A360" s="85"/>
      <c r="B360" s="85"/>
      <c r="C360" s="85"/>
      <c r="D360" s="85"/>
      <c r="E360" s="85"/>
      <c r="F360" s="85"/>
      <c r="G360" s="85"/>
      <c r="H360" s="85"/>
      <c r="J360" s="85"/>
      <c r="K360" s="85"/>
      <c r="L360" s="85"/>
      <c r="M360" s="85"/>
      <c r="N360" s="85"/>
      <c r="O360" s="85"/>
      <c r="P360" s="85"/>
      <c r="Q360" s="85"/>
      <c r="R360" s="63"/>
      <c r="S360" s="63"/>
      <c r="T360" s="63"/>
      <c r="U360" s="63"/>
      <c r="V360" s="63"/>
      <c r="W360" s="63"/>
      <c r="X360" s="63"/>
      <c r="Y360" s="63"/>
    </row>
    <row r="361" spans="1:25">
      <c r="A361" s="85"/>
      <c r="B361" s="85"/>
      <c r="C361" s="85"/>
      <c r="D361" s="85"/>
      <c r="E361" s="85"/>
      <c r="F361" s="85"/>
      <c r="G361" s="85"/>
      <c r="H361" s="85"/>
      <c r="J361" s="85"/>
      <c r="K361" s="85"/>
      <c r="L361" s="85"/>
      <c r="M361" s="85"/>
      <c r="N361" s="85"/>
      <c r="O361" s="85"/>
      <c r="P361" s="85"/>
      <c r="Q361" s="85"/>
      <c r="R361" s="63"/>
      <c r="S361" s="63"/>
      <c r="T361" s="63"/>
      <c r="U361" s="63"/>
      <c r="V361" s="63"/>
      <c r="W361" s="63"/>
      <c r="X361" s="63"/>
      <c r="Y361" s="63"/>
    </row>
    <row r="362" spans="1:25">
      <c r="A362" s="85"/>
      <c r="B362" s="85"/>
      <c r="C362" s="85"/>
      <c r="D362" s="85"/>
      <c r="E362" s="85"/>
      <c r="F362" s="85"/>
      <c r="G362" s="85"/>
      <c r="H362" s="85"/>
      <c r="J362" s="85"/>
      <c r="K362" s="85"/>
      <c r="L362" s="85"/>
      <c r="M362" s="85"/>
      <c r="N362" s="85"/>
      <c r="O362" s="85"/>
      <c r="P362" s="85"/>
      <c r="Q362" s="85"/>
      <c r="R362" s="63"/>
      <c r="S362" s="63"/>
      <c r="T362" s="63"/>
      <c r="U362" s="63"/>
      <c r="V362" s="63"/>
      <c r="W362" s="63"/>
      <c r="X362" s="63"/>
      <c r="Y362" s="63"/>
    </row>
    <row r="363" spans="1:25">
      <c r="A363" s="85"/>
      <c r="B363" s="85"/>
      <c r="C363" s="85"/>
      <c r="D363" s="85"/>
      <c r="E363" s="85"/>
      <c r="F363" s="85"/>
      <c r="G363" s="85"/>
      <c r="H363" s="85"/>
      <c r="J363" s="85"/>
      <c r="K363" s="85"/>
      <c r="L363" s="85"/>
      <c r="M363" s="85"/>
      <c r="N363" s="85"/>
      <c r="O363" s="85"/>
      <c r="P363" s="85"/>
      <c r="Q363" s="85"/>
      <c r="R363" s="63"/>
      <c r="S363" s="63"/>
      <c r="T363" s="63"/>
      <c r="U363" s="63"/>
      <c r="V363" s="63"/>
      <c r="W363" s="63"/>
      <c r="X363" s="63"/>
      <c r="Y363" s="63"/>
    </row>
    <row r="364" spans="1:25">
      <c r="A364" s="85"/>
      <c r="B364" s="85"/>
      <c r="C364" s="85"/>
      <c r="D364" s="85"/>
      <c r="E364" s="85"/>
      <c r="F364" s="85"/>
      <c r="G364" s="85"/>
      <c r="H364" s="85"/>
      <c r="J364" s="85"/>
      <c r="K364" s="85"/>
      <c r="L364" s="85"/>
      <c r="M364" s="85"/>
      <c r="N364" s="85"/>
      <c r="O364" s="85"/>
      <c r="P364" s="85"/>
      <c r="Q364" s="85"/>
      <c r="R364" s="63"/>
      <c r="S364" s="63"/>
      <c r="T364" s="63"/>
      <c r="U364" s="63"/>
      <c r="V364" s="63"/>
      <c r="W364" s="63"/>
      <c r="X364" s="63"/>
      <c r="Y364" s="63"/>
    </row>
    <row r="365" spans="1:25">
      <c r="A365" s="85"/>
      <c r="B365" s="85"/>
      <c r="C365" s="85"/>
      <c r="D365" s="85"/>
      <c r="E365" s="85"/>
      <c r="F365" s="85"/>
      <c r="G365" s="85"/>
      <c r="H365" s="85"/>
      <c r="J365" s="85"/>
      <c r="K365" s="85"/>
      <c r="L365" s="85"/>
      <c r="M365" s="85"/>
      <c r="N365" s="85"/>
      <c r="O365" s="85"/>
      <c r="P365" s="85"/>
      <c r="Q365" s="85"/>
      <c r="R365" s="63"/>
      <c r="S365" s="63"/>
      <c r="T365" s="63"/>
      <c r="U365" s="63"/>
      <c r="V365" s="63"/>
      <c r="W365" s="63"/>
      <c r="X365" s="63"/>
      <c r="Y365" s="63"/>
    </row>
    <row r="366" spans="1:25">
      <c r="A366" s="85"/>
      <c r="B366" s="85"/>
      <c r="C366" s="85"/>
      <c r="D366" s="85"/>
      <c r="E366" s="85"/>
      <c r="F366" s="85"/>
      <c r="G366" s="85"/>
      <c r="H366" s="85"/>
      <c r="J366" s="85"/>
      <c r="K366" s="85"/>
      <c r="L366" s="85"/>
      <c r="M366" s="85"/>
      <c r="N366" s="85"/>
      <c r="O366" s="85"/>
      <c r="P366" s="85"/>
      <c r="Q366" s="85"/>
      <c r="R366" s="63"/>
      <c r="S366" s="63"/>
      <c r="T366" s="63"/>
      <c r="U366" s="63"/>
      <c r="V366" s="63"/>
      <c r="W366" s="63"/>
      <c r="X366" s="63"/>
      <c r="Y366" s="63"/>
    </row>
    <row r="367" spans="1:25">
      <c r="A367" s="85"/>
      <c r="B367" s="85"/>
      <c r="C367" s="85"/>
      <c r="D367" s="85"/>
      <c r="E367" s="85"/>
      <c r="F367" s="85"/>
      <c r="G367" s="85"/>
      <c r="H367" s="85"/>
      <c r="J367" s="85"/>
      <c r="K367" s="85"/>
      <c r="L367" s="85"/>
      <c r="M367" s="85"/>
      <c r="N367" s="85"/>
      <c r="O367" s="85"/>
      <c r="P367" s="85"/>
      <c r="Q367" s="85"/>
      <c r="R367" s="63"/>
      <c r="S367" s="63"/>
      <c r="T367" s="63"/>
      <c r="U367" s="63"/>
      <c r="V367" s="63"/>
      <c r="W367" s="63"/>
      <c r="X367" s="63"/>
      <c r="Y367" s="63"/>
    </row>
    <row r="368" spans="1:25">
      <c r="A368" s="85"/>
      <c r="B368" s="85"/>
      <c r="C368" s="85"/>
      <c r="D368" s="85"/>
      <c r="E368" s="85"/>
      <c r="F368" s="85"/>
      <c r="G368" s="85"/>
      <c r="H368" s="85"/>
      <c r="J368" s="85"/>
      <c r="K368" s="85"/>
      <c r="L368" s="85"/>
      <c r="M368" s="85"/>
      <c r="N368" s="85"/>
      <c r="O368" s="85"/>
      <c r="P368" s="85"/>
      <c r="Q368" s="85"/>
      <c r="R368" s="63"/>
      <c r="S368" s="63"/>
      <c r="T368" s="63"/>
      <c r="U368" s="63"/>
      <c r="V368" s="63"/>
      <c r="W368" s="63"/>
      <c r="X368" s="63"/>
      <c r="Y368" s="63"/>
    </row>
    <row r="369" spans="1:25">
      <c r="A369" s="85"/>
      <c r="B369" s="85"/>
      <c r="C369" s="85"/>
      <c r="D369" s="85"/>
      <c r="E369" s="85"/>
      <c r="F369" s="85"/>
      <c r="G369" s="85"/>
      <c r="H369" s="85"/>
      <c r="J369" s="85"/>
      <c r="K369" s="85"/>
      <c r="L369" s="85"/>
      <c r="M369" s="85"/>
      <c r="N369" s="85"/>
      <c r="O369" s="85"/>
      <c r="P369" s="85"/>
      <c r="Q369" s="85"/>
      <c r="R369" s="63"/>
      <c r="S369" s="63"/>
      <c r="T369" s="63"/>
      <c r="U369" s="63"/>
      <c r="V369" s="63"/>
      <c r="W369" s="63"/>
      <c r="X369" s="63"/>
      <c r="Y369" s="63"/>
    </row>
    <row r="370" spans="1:25">
      <c r="A370" s="85"/>
      <c r="B370" s="85"/>
      <c r="C370" s="85"/>
      <c r="D370" s="85"/>
      <c r="E370" s="85"/>
      <c r="F370" s="85"/>
      <c r="G370" s="85"/>
      <c r="H370" s="85"/>
      <c r="J370" s="85"/>
      <c r="K370" s="85"/>
      <c r="L370" s="85"/>
      <c r="M370" s="85"/>
      <c r="N370" s="85"/>
      <c r="O370" s="85"/>
      <c r="P370" s="85"/>
      <c r="Q370" s="85"/>
      <c r="R370" s="63"/>
      <c r="S370" s="63"/>
      <c r="T370" s="63"/>
      <c r="U370" s="63"/>
      <c r="V370" s="63"/>
      <c r="W370" s="63"/>
      <c r="X370" s="63"/>
      <c r="Y370" s="63"/>
    </row>
    <row r="371" spans="1:25">
      <c r="A371" s="85"/>
      <c r="B371" s="85"/>
      <c r="C371" s="85"/>
      <c r="D371" s="85"/>
      <c r="E371" s="85"/>
      <c r="F371" s="85"/>
      <c r="G371" s="85"/>
      <c r="H371" s="85"/>
      <c r="J371" s="85"/>
      <c r="K371" s="85"/>
      <c r="L371" s="85"/>
      <c r="M371" s="85"/>
      <c r="N371" s="85"/>
      <c r="O371" s="85"/>
      <c r="P371" s="85"/>
      <c r="Q371" s="85"/>
      <c r="R371" s="63"/>
      <c r="S371" s="63"/>
      <c r="T371" s="63"/>
      <c r="U371" s="63"/>
      <c r="V371" s="63"/>
      <c r="W371" s="63"/>
      <c r="X371" s="63"/>
      <c r="Y371" s="63"/>
    </row>
    <row r="372" spans="1:25">
      <c r="A372" s="85"/>
      <c r="B372" s="85"/>
      <c r="C372" s="85"/>
      <c r="D372" s="85"/>
      <c r="E372" s="85"/>
      <c r="F372" s="85"/>
      <c r="G372" s="85"/>
      <c r="H372" s="85"/>
      <c r="J372" s="85"/>
      <c r="K372" s="85"/>
      <c r="L372" s="85"/>
      <c r="M372" s="85"/>
      <c r="N372" s="85"/>
      <c r="O372" s="85"/>
      <c r="P372" s="85"/>
      <c r="Q372" s="85"/>
      <c r="R372" s="63"/>
      <c r="S372" s="63"/>
      <c r="T372" s="63"/>
      <c r="U372" s="63"/>
      <c r="V372" s="63"/>
      <c r="W372" s="63"/>
      <c r="X372" s="63"/>
      <c r="Y372" s="63"/>
    </row>
    <row r="373" spans="1:25">
      <c r="A373" s="85"/>
      <c r="B373" s="85"/>
      <c r="C373" s="85"/>
      <c r="D373" s="85"/>
      <c r="E373" s="85"/>
      <c r="F373" s="85"/>
      <c r="G373" s="85"/>
      <c r="H373" s="85"/>
      <c r="J373" s="85"/>
      <c r="K373" s="85"/>
      <c r="L373" s="85"/>
      <c r="M373" s="85"/>
      <c r="N373" s="85"/>
      <c r="O373" s="85"/>
      <c r="P373" s="85"/>
      <c r="Q373" s="85"/>
      <c r="R373" s="63"/>
      <c r="S373" s="63"/>
      <c r="T373" s="63"/>
      <c r="U373" s="63"/>
      <c r="V373" s="63"/>
      <c r="W373" s="63"/>
      <c r="X373" s="63"/>
      <c r="Y373" s="63"/>
    </row>
    <row r="374" spans="1:25">
      <c r="A374" s="85"/>
      <c r="B374" s="85"/>
      <c r="C374" s="85"/>
      <c r="D374" s="85"/>
      <c r="E374" s="85"/>
      <c r="F374" s="85"/>
      <c r="G374" s="85"/>
      <c r="H374" s="85"/>
      <c r="J374" s="85"/>
      <c r="K374" s="85"/>
      <c r="L374" s="85"/>
      <c r="M374" s="85"/>
      <c r="N374" s="85"/>
      <c r="O374" s="85"/>
      <c r="P374" s="85"/>
      <c r="Q374" s="85"/>
      <c r="R374" s="63"/>
      <c r="S374" s="63"/>
      <c r="T374" s="63"/>
      <c r="U374" s="63"/>
      <c r="V374" s="63"/>
      <c r="W374" s="63"/>
      <c r="X374" s="63"/>
      <c r="Y374" s="63"/>
    </row>
    <row r="375" spans="1:25">
      <c r="A375" s="85"/>
      <c r="B375" s="85"/>
      <c r="C375" s="85"/>
      <c r="D375" s="85"/>
      <c r="E375" s="85"/>
      <c r="F375" s="85"/>
      <c r="G375" s="85"/>
      <c r="H375" s="85"/>
      <c r="J375" s="85"/>
      <c r="K375" s="85"/>
      <c r="L375" s="85"/>
      <c r="M375" s="85"/>
      <c r="N375" s="85"/>
      <c r="O375" s="85"/>
      <c r="P375" s="85"/>
      <c r="Q375" s="85"/>
      <c r="R375" s="63"/>
      <c r="S375" s="63"/>
      <c r="T375" s="63"/>
      <c r="U375" s="63"/>
      <c r="V375" s="63"/>
      <c r="W375" s="63"/>
      <c r="X375" s="63"/>
      <c r="Y375" s="63"/>
    </row>
    <row r="376" spans="1:25">
      <c r="A376" s="85"/>
      <c r="B376" s="85"/>
      <c r="C376" s="85"/>
      <c r="D376" s="85"/>
      <c r="E376" s="85"/>
      <c r="F376" s="85"/>
      <c r="G376" s="85"/>
      <c r="H376" s="85"/>
      <c r="J376" s="85"/>
      <c r="K376" s="85"/>
      <c r="L376" s="85"/>
      <c r="M376" s="85"/>
      <c r="N376" s="85"/>
      <c r="O376" s="85"/>
      <c r="P376" s="85"/>
      <c r="Q376" s="85"/>
      <c r="R376" s="63"/>
      <c r="S376" s="63"/>
      <c r="T376" s="63"/>
      <c r="U376" s="63"/>
      <c r="V376" s="63"/>
      <c r="W376" s="63"/>
      <c r="X376" s="63"/>
      <c r="Y376" s="63"/>
    </row>
    <row r="377" spans="1:25">
      <c r="A377" s="85"/>
      <c r="B377" s="85"/>
      <c r="C377" s="85"/>
      <c r="D377" s="85"/>
      <c r="E377" s="85"/>
      <c r="F377" s="85"/>
      <c r="G377" s="85"/>
      <c r="H377" s="85"/>
      <c r="J377" s="85"/>
      <c r="K377" s="85"/>
      <c r="L377" s="85"/>
      <c r="M377" s="85"/>
      <c r="N377" s="85"/>
      <c r="O377" s="85"/>
      <c r="P377" s="85"/>
      <c r="Q377" s="85"/>
      <c r="R377" s="63"/>
      <c r="S377" s="63"/>
      <c r="T377" s="63"/>
      <c r="U377" s="63"/>
      <c r="V377" s="63"/>
      <c r="W377" s="63"/>
      <c r="X377" s="63"/>
      <c r="Y377" s="63"/>
    </row>
    <row r="378" spans="1:25">
      <c r="A378" s="85"/>
      <c r="B378" s="85"/>
      <c r="C378" s="85"/>
      <c r="D378" s="85"/>
      <c r="E378" s="85"/>
      <c r="F378" s="85"/>
      <c r="G378" s="85"/>
      <c r="H378" s="85"/>
      <c r="J378" s="85"/>
      <c r="K378" s="85"/>
      <c r="L378" s="85"/>
      <c r="M378" s="85"/>
      <c r="N378" s="85"/>
      <c r="O378" s="85"/>
      <c r="P378" s="85"/>
      <c r="Q378" s="85"/>
      <c r="R378" s="63"/>
      <c r="S378" s="63"/>
      <c r="T378" s="63"/>
      <c r="U378" s="63"/>
      <c r="V378" s="63"/>
      <c r="W378" s="63"/>
      <c r="X378" s="63"/>
      <c r="Y378" s="63"/>
    </row>
    <row r="379" spans="1:25">
      <c r="A379" s="85"/>
      <c r="B379" s="85"/>
      <c r="C379" s="85"/>
      <c r="D379" s="85"/>
      <c r="E379" s="85"/>
      <c r="F379" s="85"/>
      <c r="G379" s="85"/>
      <c r="H379" s="85"/>
      <c r="J379" s="85"/>
      <c r="K379" s="85"/>
      <c r="L379" s="85"/>
      <c r="M379" s="85"/>
      <c r="N379" s="85"/>
      <c r="O379" s="85"/>
      <c r="P379" s="85"/>
      <c r="Q379" s="85"/>
      <c r="R379" s="63"/>
      <c r="S379" s="63"/>
      <c r="T379" s="63"/>
      <c r="U379" s="63"/>
      <c r="V379" s="63"/>
      <c r="W379" s="63"/>
      <c r="X379" s="63"/>
      <c r="Y379" s="63"/>
    </row>
    <row r="380" spans="1:25">
      <c r="A380" s="85"/>
      <c r="B380" s="85"/>
      <c r="C380" s="85"/>
      <c r="D380" s="85"/>
      <c r="E380" s="85"/>
      <c r="F380" s="85"/>
      <c r="G380" s="85"/>
      <c r="H380" s="85"/>
      <c r="J380" s="85"/>
      <c r="K380" s="85"/>
      <c r="L380" s="85"/>
      <c r="M380" s="85"/>
      <c r="N380" s="85"/>
      <c r="O380" s="85"/>
      <c r="P380" s="85"/>
      <c r="Q380" s="85"/>
      <c r="R380" s="63"/>
      <c r="S380" s="63"/>
      <c r="T380" s="63"/>
      <c r="U380" s="63"/>
      <c r="V380" s="63"/>
      <c r="W380" s="63"/>
      <c r="X380" s="63"/>
      <c r="Y380" s="63"/>
    </row>
    <row r="381" spans="1:25">
      <c r="A381" s="85"/>
      <c r="B381" s="85"/>
      <c r="C381" s="85"/>
      <c r="D381" s="85"/>
      <c r="E381" s="85"/>
      <c r="F381" s="85"/>
      <c r="G381" s="85"/>
      <c r="H381" s="85"/>
      <c r="J381" s="85"/>
      <c r="K381" s="85"/>
      <c r="L381" s="85"/>
      <c r="M381" s="85"/>
      <c r="N381" s="85"/>
      <c r="O381" s="85"/>
      <c r="P381" s="85"/>
      <c r="Q381" s="85"/>
      <c r="R381" s="63"/>
      <c r="S381" s="63"/>
      <c r="T381" s="63"/>
      <c r="U381" s="63"/>
      <c r="V381" s="63"/>
      <c r="W381" s="63"/>
      <c r="X381" s="63"/>
      <c r="Y381" s="63"/>
    </row>
    <row r="382" spans="1:25">
      <c r="A382" s="85"/>
      <c r="B382" s="85"/>
      <c r="C382" s="85"/>
      <c r="D382" s="85"/>
      <c r="E382" s="85"/>
      <c r="F382" s="85"/>
      <c r="G382" s="85"/>
      <c r="H382" s="85"/>
      <c r="J382" s="85"/>
      <c r="K382" s="85"/>
      <c r="L382" s="85"/>
      <c r="M382" s="85"/>
      <c r="N382" s="85"/>
      <c r="O382" s="85"/>
      <c r="P382" s="85"/>
      <c r="Q382" s="85"/>
      <c r="R382" s="63"/>
      <c r="S382" s="63"/>
      <c r="T382" s="63"/>
      <c r="U382" s="63"/>
      <c r="V382" s="63"/>
      <c r="W382" s="63"/>
      <c r="X382" s="63"/>
      <c r="Y382" s="63"/>
    </row>
    <row r="383" spans="1:25">
      <c r="A383" s="85"/>
      <c r="B383" s="85"/>
      <c r="C383" s="85"/>
      <c r="D383" s="85"/>
      <c r="E383" s="85"/>
      <c r="F383" s="85"/>
      <c r="G383" s="85"/>
      <c r="H383" s="85"/>
      <c r="J383" s="85"/>
      <c r="K383" s="85"/>
      <c r="L383" s="85"/>
      <c r="M383" s="85"/>
      <c r="N383" s="85"/>
      <c r="O383" s="85"/>
      <c r="P383" s="85"/>
      <c r="Q383" s="85"/>
      <c r="R383" s="63"/>
      <c r="S383" s="63"/>
      <c r="T383" s="63"/>
      <c r="U383" s="63"/>
      <c r="V383" s="63"/>
      <c r="W383" s="63"/>
      <c r="X383" s="63"/>
      <c r="Y383" s="63"/>
    </row>
    <row r="384" spans="1:25">
      <c r="A384" s="85"/>
      <c r="B384" s="85"/>
      <c r="C384" s="85"/>
      <c r="D384" s="85"/>
      <c r="E384" s="85"/>
      <c r="F384" s="85"/>
      <c r="G384" s="85"/>
      <c r="H384" s="85"/>
      <c r="J384" s="85"/>
      <c r="K384" s="85"/>
      <c r="L384" s="85"/>
      <c r="M384" s="85"/>
      <c r="N384" s="85"/>
      <c r="O384" s="85"/>
      <c r="P384" s="85"/>
      <c r="Q384" s="85"/>
      <c r="R384" s="63"/>
      <c r="S384" s="63"/>
      <c r="T384" s="63"/>
      <c r="U384" s="63"/>
      <c r="V384" s="63"/>
      <c r="W384" s="63"/>
      <c r="X384" s="63"/>
      <c r="Y384" s="63"/>
    </row>
    <row r="385" spans="1:25">
      <c r="A385" s="85"/>
      <c r="B385" s="85"/>
      <c r="C385" s="85"/>
      <c r="D385" s="85"/>
      <c r="E385" s="85"/>
      <c r="F385" s="85"/>
      <c r="G385" s="85"/>
      <c r="H385" s="85"/>
      <c r="J385" s="85"/>
      <c r="K385" s="85"/>
      <c r="L385" s="85"/>
      <c r="M385" s="85"/>
      <c r="N385" s="85"/>
      <c r="O385" s="85"/>
      <c r="P385" s="85"/>
      <c r="Q385" s="85"/>
      <c r="R385" s="63"/>
      <c r="S385" s="63"/>
      <c r="T385" s="63"/>
      <c r="U385" s="63"/>
      <c r="V385" s="63"/>
      <c r="W385" s="63"/>
      <c r="X385" s="63"/>
      <c r="Y385" s="63"/>
    </row>
    <row r="386" spans="1:25">
      <c r="A386" s="85"/>
      <c r="B386" s="85"/>
      <c r="C386" s="85"/>
      <c r="D386" s="85"/>
      <c r="E386" s="85"/>
      <c r="F386" s="85"/>
      <c r="G386" s="85"/>
      <c r="H386" s="85"/>
      <c r="J386" s="85"/>
      <c r="K386" s="85"/>
      <c r="L386" s="85"/>
      <c r="M386" s="85"/>
      <c r="N386" s="85"/>
      <c r="O386" s="85"/>
      <c r="P386" s="85"/>
      <c r="Q386" s="85"/>
      <c r="R386" s="63"/>
      <c r="S386" s="63"/>
      <c r="T386" s="63"/>
      <c r="U386" s="63"/>
      <c r="V386" s="63"/>
      <c r="W386" s="63"/>
      <c r="X386" s="63"/>
      <c r="Y386" s="63"/>
    </row>
    <row r="387" spans="1:25">
      <c r="A387" s="85"/>
      <c r="B387" s="85"/>
      <c r="C387" s="85"/>
      <c r="D387" s="85"/>
      <c r="E387" s="85"/>
      <c r="F387" s="85"/>
      <c r="G387" s="85"/>
      <c r="H387" s="85"/>
      <c r="J387" s="85"/>
      <c r="K387" s="85"/>
      <c r="L387" s="85"/>
      <c r="M387" s="85"/>
      <c r="N387" s="85"/>
      <c r="O387" s="85"/>
      <c r="P387" s="85"/>
      <c r="Q387" s="85"/>
      <c r="R387" s="63"/>
      <c r="S387" s="63"/>
      <c r="T387" s="63"/>
      <c r="U387" s="63"/>
      <c r="V387" s="63"/>
      <c r="W387" s="63"/>
      <c r="X387" s="63"/>
      <c r="Y387" s="63"/>
    </row>
    <row r="388" spans="1:25">
      <c r="A388" s="85"/>
      <c r="B388" s="85"/>
      <c r="C388" s="85"/>
      <c r="D388" s="85"/>
      <c r="E388" s="85"/>
      <c r="F388" s="85"/>
      <c r="G388" s="85"/>
      <c r="H388" s="85"/>
      <c r="J388" s="85"/>
      <c r="K388" s="85"/>
      <c r="L388" s="85"/>
      <c r="M388" s="85"/>
      <c r="N388" s="85"/>
      <c r="O388" s="85"/>
      <c r="P388" s="85"/>
      <c r="Q388" s="85"/>
      <c r="R388" s="63"/>
      <c r="S388" s="63"/>
      <c r="T388" s="63"/>
      <c r="U388" s="63"/>
      <c r="V388" s="63"/>
      <c r="W388" s="63"/>
      <c r="X388" s="63"/>
      <c r="Y388" s="63"/>
    </row>
    <row r="389" spans="1:25">
      <c r="A389" s="85"/>
      <c r="B389" s="85"/>
      <c r="C389" s="85"/>
      <c r="D389" s="85"/>
      <c r="E389" s="85"/>
      <c r="F389" s="85"/>
      <c r="G389" s="85"/>
      <c r="H389" s="85"/>
      <c r="J389" s="85"/>
      <c r="K389" s="85"/>
      <c r="L389" s="85"/>
      <c r="M389" s="85"/>
      <c r="N389" s="85"/>
      <c r="O389" s="85"/>
      <c r="P389" s="85"/>
      <c r="Q389" s="85"/>
      <c r="R389" s="63"/>
      <c r="S389" s="63"/>
      <c r="T389" s="63"/>
      <c r="U389" s="63"/>
      <c r="V389" s="63"/>
      <c r="W389" s="63"/>
      <c r="X389" s="63"/>
      <c r="Y389" s="63"/>
    </row>
    <row r="390" spans="1:25">
      <c r="A390" s="85"/>
      <c r="B390" s="85"/>
      <c r="C390" s="85"/>
      <c r="D390" s="85"/>
      <c r="E390" s="85"/>
      <c r="F390" s="85"/>
      <c r="G390" s="85"/>
      <c r="H390" s="85"/>
      <c r="J390" s="85"/>
      <c r="K390" s="85"/>
      <c r="L390" s="85"/>
      <c r="M390" s="85"/>
      <c r="N390" s="85"/>
      <c r="O390" s="85"/>
      <c r="P390" s="85"/>
      <c r="Q390" s="85"/>
      <c r="R390" s="63"/>
      <c r="S390" s="63"/>
      <c r="T390" s="63"/>
      <c r="U390" s="63"/>
      <c r="V390" s="63"/>
      <c r="W390" s="63"/>
      <c r="X390" s="63"/>
      <c r="Y390" s="63"/>
    </row>
    <row r="391" spans="1:25">
      <c r="A391" s="85"/>
      <c r="B391" s="85"/>
      <c r="C391" s="85"/>
      <c r="D391" s="85"/>
      <c r="E391" s="85"/>
      <c r="F391" s="85"/>
      <c r="G391" s="85"/>
      <c r="H391" s="85"/>
      <c r="J391" s="85"/>
      <c r="K391" s="85"/>
      <c r="L391" s="85"/>
      <c r="M391" s="85"/>
      <c r="N391" s="85"/>
      <c r="O391" s="85"/>
      <c r="P391" s="85"/>
      <c r="Q391" s="85"/>
      <c r="R391" s="63"/>
      <c r="S391" s="63"/>
      <c r="T391" s="63"/>
      <c r="U391" s="63"/>
      <c r="V391" s="63"/>
      <c r="W391" s="63"/>
      <c r="X391" s="63"/>
      <c r="Y391" s="63"/>
    </row>
    <row r="392" spans="1:25">
      <c r="A392" s="85"/>
      <c r="B392" s="85"/>
      <c r="C392" s="85"/>
      <c r="D392" s="85"/>
      <c r="E392" s="85"/>
      <c r="F392" s="85"/>
      <c r="G392" s="85"/>
      <c r="H392" s="85"/>
      <c r="J392" s="85"/>
      <c r="K392" s="85"/>
      <c r="L392" s="85"/>
      <c r="M392" s="85"/>
      <c r="N392" s="85"/>
      <c r="O392" s="85"/>
      <c r="P392" s="85"/>
      <c r="Q392" s="85"/>
      <c r="R392" s="63"/>
      <c r="S392" s="63"/>
      <c r="T392" s="63"/>
      <c r="U392" s="63"/>
      <c r="V392" s="63"/>
      <c r="W392" s="63"/>
      <c r="X392" s="63"/>
      <c r="Y392" s="63"/>
    </row>
    <row r="393" spans="1:25">
      <c r="A393" s="85"/>
      <c r="B393" s="85"/>
      <c r="C393" s="85"/>
      <c r="D393" s="85"/>
      <c r="E393" s="85"/>
      <c r="F393" s="85"/>
      <c r="G393" s="85"/>
      <c r="H393" s="85"/>
      <c r="J393" s="85"/>
      <c r="K393" s="85"/>
      <c r="L393" s="85"/>
      <c r="M393" s="85"/>
      <c r="N393" s="85"/>
      <c r="O393" s="85"/>
      <c r="P393" s="85"/>
      <c r="Q393" s="85"/>
      <c r="R393" s="63"/>
      <c r="S393" s="63"/>
      <c r="T393" s="63"/>
      <c r="U393" s="63"/>
      <c r="V393" s="63"/>
      <c r="W393" s="63"/>
      <c r="X393" s="63"/>
      <c r="Y393" s="63"/>
    </row>
    <row r="394" spans="1:25">
      <c r="A394" s="85"/>
      <c r="B394" s="85"/>
      <c r="C394" s="85"/>
      <c r="D394" s="85"/>
      <c r="E394" s="85"/>
      <c r="F394" s="85"/>
      <c r="G394" s="85"/>
      <c r="H394" s="85"/>
      <c r="J394" s="85"/>
      <c r="K394" s="85"/>
      <c r="L394" s="85"/>
      <c r="M394" s="85"/>
      <c r="N394" s="85"/>
      <c r="O394" s="85"/>
      <c r="P394" s="85"/>
      <c r="Q394" s="85"/>
      <c r="R394" s="63"/>
      <c r="S394" s="63"/>
      <c r="T394" s="63"/>
      <c r="U394" s="63"/>
      <c r="V394" s="63"/>
      <c r="W394" s="63"/>
      <c r="X394" s="63"/>
      <c r="Y394" s="63"/>
    </row>
    <row r="395" spans="1:25">
      <c r="A395" s="85"/>
      <c r="B395" s="85"/>
      <c r="C395" s="85"/>
      <c r="D395" s="85"/>
      <c r="E395" s="85"/>
      <c r="F395" s="85"/>
      <c r="G395" s="85"/>
      <c r="H395" s="85"/>
      <c r="J395" s="85"/>
      <c r="K395" s="85"/>
      <c r="L395" s="85"/>
      <c r="M395" s="85"/>
      <c r="N395" s="85"/>
      <c r="O395" s="85"/>
      <c r="P395" s="85"/>
      <c r="Q395" s="85"/>
      <c r="R395" s="63"/>
      <c r="S395" s="63"/>
      <c r="T395" s="63"/>
      <c r="U395" s="63"/>
      <c r="V395" s="63"/>
      <c r="W395" s="63"/>
      <c r="X395" s="63"/>
      <c r="Y395" s="63"/>
    </row>
    <row r="396" spans="1:25">
      <c r="A396" s="85"/>
      <c r="B396" s="85"/>
      <c r="C396" s="85"/>
      <c r="D396" s="85"/>
      <c r="E396" s="85"/>
      <c r="F396" s="85"/>
      <c r="G396" s="85"/>
      <c r="H396" s="85"/>
      <c r="J396" s="85"/>
      <c r="K396" s="85"/>
      <c r="L396" s="85"/>
      <c r="M396" s="85"/>
      <c r="N396" s="85"/>
      <c r="O396" s="85"/>
      <c r="P396" s="85"/>
      <c r="Q396" s="85"/>
      <c r="R396" s="63"/>
      <c r="S396" s="63"/>
      <c r="T396" s="63"/>
      <c r="U396" s="63"/>
      <c r="V396" s="63"/>
      <c r="W396" s="63"/>
      <c r="X396" s="63"/>
      <c r="Y396" s="63"/>
    </row>
    <row r="397" spans="1:25">
      <c r="A397" s="85"/>
      <c r="B397" s="85"/>
      <c r="C397" s="85"/>
      <c r="D397" s="85"/>
      <c r="E397" s="85"/>
      <c r="F397" s="85"/>
      <c r="G397" s="85"/>
      <c r="H397" s="85"/>
      <c r="J397" s="85"/>
      <c r="K397" s="85"/>
      <c r="L397" s="85"/>
      <c r="M397" s="85"/>
      <c r="N397" s="85"/>
      <c r="O397" s="85"/>
      <c r="P397" s="85"/>
      <c r="Q397" s="85"/>
      <c r="R397" s="63"/>
      <c r="S397" s="63"/>
      <c r="T397" s="63"/>
      <c r="U397" s="63"/>
      <c r="V397" s="63"/>
      <c r="W397" s="63"/>
      <c r="X397" s="63"/>
      <c r="Y397" s="63"/>
    </row>
    <row r="398" spans="1:25">
      <c r="A398" s="85"/>
      <c r="B398" s="85"/>
      <c r="C398" s="85"/>
      <c r="D398" s="85"/>
      <c r="E398" s="85"/>
      <c r="F398" s="85"/>
      <c r="G398" s="85"/>
      <c r="H398" s="85"/>
      <c r="J398" s="85"/>
      <c r="K398" s="85"/>
      <c r="L398" s="85"/>
      <c r="M398" s="85"/>
      <c r="N398" s="85"/>
      <c r="O398" s="85"/>
      <c r="P398" s="85"/>
      <c r="Q398" s="85"/>
      <c r="R398" s="63"/>
      <c r="S398" s="63"/>
      <c r="T398" s="63"/>
      <c r="U398" s="63"/>
      <c r="V398" s="63"/>
      <c r="W398" s="63"/>
      <c r="X398" s="63"/>
      <c r="Y398" s="63"/>
    </row>
    <row r="399" spans="1:25">
      <c r="A399" s="85"/>
      <c r="B399" s="85"/>
      <c r="C399" s="85"/>
      <c r="D399" s="85"/>
      <c r="E399" s="85"/>
      <c r="F399" s="85"/>
      <c r="G399" s="85"/>
      <c r="H399" s="85"/>
      <c r="J399" s="85"/>
      <c r="K399" s="85"/>
      <c r="L399" s="85"/>
      <c r="M399" s="85"/>
      <c r="N399" s="85"/>
      <c r="O399" s="85"/>
      <c r="P399" s="85"/>
      <c r="Q399" s="85"/>
      <c r="R399" s="63"/>
      <c r="S399" s="63"/>
      <c r="T399" s="63"/>
      <c r="U399" s="63"/>
      <c r="V399" s="63"/>
      <c r="W399" s="63"/>
      <c r="X399" s="63"/>
      <c r="Y399" s="63"/>
    </row>
    <row r="400" spans="1:25">
      <c r="A400" s="85"/>
      <c r="B400" s="85"/>
      <c r="C400" s="85"/>
      <c r="D400" s="85"/>
      <c r="E400" s="85"/>
      <c r="F400" s="85"/>
      <c r="G400" s="85"/>
      <c r="H400" s="85"/>
      <c r="J400" s="85"/>
      <c r="K400" s="85"/>
      <c r="L400" s="85"/>
      <c r="M400" s="85"/>
      <c r="N400" s="85"/>
      <c r="O400" s="85"/>
      <c r="P400" s="85"/>
      <c r="Q400" s="85"/>
      <c r="R400" s="63"/>
      <c r="S400" s="63"/>
      <c r="T400" s="63"/>
      <c r="U400" s="63"/>
      <c r="V400" s="63"/>
      <c r="W400" s="63"/>
      <c r="X400" s="63"/>
      <c r="Y400" s="63"/>
    </row>
    <row r="401" spans="1:25">
      <c r="A401" s="85"/>
      <c r="B401" s="85"/>
      <c r="C401" s="85"/>
      <c r="D401" s="85"/>
      <c r="E401" s="85"/>
      <c r="F401" s="85"/>
      <c r="G401" s="85"/>
      <c r="H401" s="85"/>
      <c r="J401" s="85"/>
      <c r="K401" s="85"/>
      <c r="L401" s="85"/>
      <c r="M401" s="85"/>
      <c r="N401" s="85"/>
      <c r="O401" s="85"/>
      <c r="P401" s="85"/>
      <c r="Q401" s="85"/>
      <c r="R401" s="63"/>
      <c r="S401" s="63"/>
      <c r="T401" s="63"/>
      <c r="U401" s="63"/>
      <c r="V401" s="63"/>
      <c r="W401" s="63"/>
      <c r="X401" s="63"/>
      <c r="Y401" s="63"/>
    </row>
    <row r="402" spans="1:25">
      <c r="A402" s="85"/>
      <c r="B402" s="85"/>
      <c r="C402" s="85"/>
      <c r="D402" s="85"/>
      <c r="E402" s="85"/>
      <c r="F402" s="85"/>
      <c r="G402" s="85"/>
      <c r="H402" s="85"/>
      <c r="J402" s="85"/>
      <c r="K402" s="85"/>
      <c r="L402" s="85"/>
      <c r="M402" s="85"/>
      <c r="N402" s="85"/>
      <c r="O402" s="85"/>
      <c r="P402" s="85"/>
      <c r="Q402" s="85"/>
      <c r="R402" s="63"/>
      <c r="S402" s="63"/>
      <c r="T402" s="63"/>
      <c r="U402" s="63"/>
      <c r="V402" s="63"/>
      <c r="W402" s="63"/>
      <c r="X402" s="63"/>
      <c r="Y402" s="63"/>
    </row>
    <row r="403" spans="1:25">
      <c r="A403" s="85"/>
      <c r="B403" s="85"/>
      <c r="C403" s="85"/>
      <c r="D403" s="85"/>
      <c r="E403" s="85"/>
      <c r="F403" s="85"/>
      <c r="G403" s="85"/>
      <c r="H403" s="85"/>
      <c r="J403" s="85"/>
      <c r="K403" s="85"/>
      <c r="L403" s="85"/>
      <c r="M403" s="85"/>
      <c r="N403" s="85"/>
      <c r="O403" s="85"/>
      <c r="P403" s="85"/>
      <c r="Q403" s="85"/>
      <c r="R403" s="63"/>
      <c r="S403" s="63"/>
      <c r="T403" s="63"/>
      <c r="U403" s="63"/>
      <c r="V403" s="63"/>
      <c r="W403" s="63"/>
      <c r="X403" s="63"/>
      <c r="Y403" s="63"/>
    </row>
    <row r="404" spans="1:25">
      <c r="A404" s="85"/>
      <c r="B404" s="85"/>
      <c r="C404" s="85"/>
      <c r="D404" s="85"/>
      <c r="E404" s="85"/>
      <c r="F404" s="85"/>
      <c r="G404" s="85"/>
      <c r="H404" s="85"/>
      <c r="J404" s="85"/>
      <c r="K404" s="85"/>
      <c r="L404" s="85"/>
      <c r="M404" s="85"/>
      <c r="N404" s="85"/>
      <c r="O404" s="85"/>
      <c r="P404" s="85"/>
      <c r="Q404" s="85"/>
      <c r="R404" s="63"/>
      <c r="S404" s="63"/>
      <c r="T404" s="63"/>
      <c r="U404" s="63"/>
      <c r="V404" s="63"/>
      <c r="W404" s="63"/>
      <c r="X404" s="63"/>
      <c r="Y404" s="63"/>
    </row>
    <row r="405" spans="1:25">
      <c r="A405" s="85"/>
      <c r="B405" s="85"/>
      <c r="C405" s="85"/>
      <c r="D405" s="85"/>
      <c r="E405" s="85"/>
      <c r="F405" s="85"/>
      <c r="G405" s="85"/>
      <c r="H405" s="85"/>
      <c r="J405" s="85"/>
      <c r="K405" s="85"/>
      <c r="L405" s="85"/>
      <c r="M405" s="85"/>
      <c r="N405" s="85"/>
      <c r="O405" s="85"/>
      <c r="P405" s="85"/>
      <c r="Q405" s="85"/>
      <c r="R405" s="63"/>
      <c r="S405" s="63"/>
      <c r="T405" s="63"/>
      <c r="U405" s="63"/>
      <c r="V405" s="63"/>
      <c r="W405" s="63"/>
      <c r="X405" s="63"/>
      <c r="Y405" s="63"/>
    </row>
    <row r="406" spans="1:25">
      <c r="A406" s="85"/>
      <c r="B406" s="85"/>
      <c r="C406" s="85"/>
      <c r="D406" s="85"/>
      <c r="E406" s="85"/>
      <c r="F406" s="85"/>
      <c r="G406" s="85"/>
      <c r="H406" s="85"/>
      <c r="J406" s="85"/>
      <c r="K406" s="85"/>
      <c r="L406" s="85"/>
      <c r="M406" s="85"/>
      <c r="N406" s="85"/>
      <c r="O406" s="85"/>
      <c r="P406" s="85"/>
      <c r="Q406" s="85"/>
      <c r="R406" s="63"/>
      <c r="S406" s="63"/>
      <c r="T406" s="63"/>
      <c r="U406" s="63"/>
      <c r="V406" s="63"/>
      <c r="W406" s="63"/>
      <c r="X406" s="63"/>
      <c r="Y406" s="63"/>
    </row>
    <row r="407" spans="1:25">
      <c r="A407" s="85"/>
      <c r="B407" s="85"/>
      <c r="C407" s="85"/>
      <c r="D407" s="85"/>
      <c r="E407" s="85"/>
      <c r="F407" s="85"/>
      <c r="G407" s="85"/>
      <c r="H407" s="85"/>
      <c r="J407" s="85"/>
      <c r="K407" s="85"/>
      <c r="L407" s="85"/>
      <c r="M407" s="85"/>
      <c r="N407" s="85"/>
      <c r="O407" s="85"/>
      <c r="P407" s="85"/>
      <c r="Q407" s="85"/>
      <c r="R407" s="63"/>
      <c r="S407" s="63"/>
      <c r="T407" s="63"/>
      <c r="U407" s="63"/>
      <c r="V407" s="63"/>
      <c r="W407" s="63"/>
      <c r="X407" s="63"/>
      <c r="Y407" s="63"/>
    </row>
    <row r="408" spans="1:25">
      <c r="A408" s="85"/>
      <c r="B408" s="85"/>
      <c r="C408" s="85"/>
      <c r="D408" s="85"/>
      <c r="E408" s="85"/>
      <c r="F408" s="85"/>
      <c r="G408" s="85"/>
      <c r="H408" s="85"/>
      <c r="J408" s="85"/>
      <c r="K408" s="85"/>
      <c r="L408" s="85"/>
      <c r="M408" s="85"/>
      <c r="N408" s="85"/>
      <c r="O408" s="85"/>
      <c r="P408" s="85"/>
      <c r="Q408" s="85"/>
      <c r="R408" s="63"/>
      <c r="S408" s="63"/>
      <c r="T408" s="63"/>
      <c r="U408" s="63"/>
      <c r="V408" s="63"/>
      <c r="W408" s="63"/>
      <c r="X408" s="63"/>
      <c r="Y408" s="63"/>
    </row>
    <row r="409" spans="1:25">
      <c r="A409" s="85"/>
      <c r="B409" s="85"/>
      <c r="C409" s="85"/>
      <c r="D409" s="85"/>
      <c r="E409" s="85"/>
      <c r="F409" s="85"/>
      <c r="G409" s="85"/>
      <c r="H409" s="85"/>
      <c r="J409" s="85"/>
      <c r="K409" s="85"/>
      <c r="L409" s="85"/>
      <c r="M409" s="85"/>
      <c r="N409" s="85"/>
      <c r="O409" s="85"/>
      <c r="P409" s="85"/>
      <c r="Q409" s="85"/>
      <c r="R409" s="63"/>
      <c r="S409" s="63"/>
      <c r="T409" s="63"/>
      <c r="U409" s="63"/>
      <c r="V409" s="63"/>
      <c r="W409" s="63"/>
      <c r="X409" s="63"/>
      <c r="Y409" s="63"/>
    </row>
    <row r="410" spans="1:25">
      <c r="A410" s="85"/>
      <c r="B410" s="85"/>
      <c r="C410" s="85"/>
      <c r="D410" s="85"/>
      <c r="E410" s="85"/>
      <c r="F410" s="85"/>
      <c r="G410" s="85"/>
      <c r="H410" s="85"/>
      <c r="J410" s="85"/>
      <c r="K410" s="85"/>
      <c r="L410" s="85"/>
      <c r="M410" s="85"/>
      <c r="N410" s="85"/>
      <c r="O410" s="85"/>
      <c r="P410" s="85"/>
      <c r="Q410" s="85"/>
      <c r="R410" s="63"/>
      <c r="S410" s="63"/>
      <c r="T410" s="63"/>
      <c r="U410" s="63"/>
      <c r="V410" s="63"/>
      <c r="W410" s="63"/>
      <c r="X410" s="63"/>
      <c r="Y410" s="63"/>
    </row>
    <row r="411" spans="1:25">
      <c r="A411" s="85"/>
      <c r="B411" s="85"/>
      <c r="C411" s="85"/>
      <c r="D411" s="85"/>
      <c r="E411" s="85"/>
      <c r="F411" s="85"/>
      <c r="G411" s="85"/>
      <c r="H411" s="85"/>
      <c r="J411" s="85"/>
      <c r="K411" s="85"/>
      <c r="L411" s="85"/>
      <c r="M411" s="85"/>
      <c r="N411" s="85"/>
      <c r="O411" s="85"/>
      <c r="P411" s="85"/>
      <c r="Q411" s="85"/>
      <c r="R411" s="63"/>
      <c r="S411" s="63"/>
      <c r="T411" s="63"/>
      <c r="U411" s="63"/>
      <c r="V411" s="63"/>
      <c r="W411" s="63"/>
      <c r="X411" s="63"/>
      <c r="Y411" s="63"/>
    </row>
    <row r="412" spans="1:25">
      <c r="A412" s="85"/>
      <c r="B412" s="85"/>
      <c r="C412" s="85"/>
      <c r="D412" s="85"/>
      <c r="E412" s="85"/>
      <c r="F412" s="85"/>
      <c r="G412" s="85"/>
      <c r="H412" s="85"/>
      <c r="J412" s="85"/>
      <c r="K412" s="85"/>
      <c r="L412" s="85"/>
      <c r="M412" s="85"/>
      <c r="N412" s="85"/>
      <c r="O412" s="85"/>
      <c r="P412" s="85"/>
      <c r="Q412" s="85"/>
      <c r="R412" s="63"/>
      <c r="S412" s="63"/>
      <c r="T412" s="63"/>
      <c r="U412" s="63"/>
      <c r="V412" s="63"/>
      <c r="W412" s="63"/>
      <c r="X412" s="63"/>
      <c r="Y412" s="63"/>
    </row>
    <row r="413" spans="1:25">
      <c r="A413" s="85"/>
      <c r="B413" s="85"/>
      <c r="C413" s="85"/>
      <c r="D413" s="85"/>
      <c r="E413" s="85"/>
      <c r="F413" s="85"/>
      <c r="G413" s="85"/>
      <c r="H413" s="85"/>
      <c r="J413" s="85"/>
      <c r="K413" s="85"/>
      <c r="L413" s="85"/>
      <c r="M413" s="85"/>
      <c r="N413" s="85"/>
      <c r="O413" s="85"/>
      <c r="P413" s="85"/>
      <c r="Q413" s="85"/>
      <c r="R413" s="63"/>
      <c r="S413" s="63"/>
      <c r="T413" s="63"/>
      <c r="U413" s="63"/>
      <c r="V413" s="63"/>
      <c r="W413" s="63"/>
      <c r="X413" s="63"/>
      <c r="Y413" s="63"/>
    </row>
    <row r="414" spans="1:25">
      <c r="A414" s="85"/>
      <c r="B414" s="85"/>
      <c r="C414" s="85"/>
      <c r="D414" s="85"/>
      <c r="E414" s="85"/>
      <c r="F414" s="85"/>
      <c r="G414" s="85"/>
      <c r="H414" s="85"/>
      <c r="J414" s="85"/>
      <c r="K414" s="85"/>
      <c r="L414" s="85"/>
      <c r="M414" s="85"/>
      <c r="N414" s="85"/>
      <c r="O414" s="85"/>
      <c r="P414" s="85"/>
      <c r="Q414" s="85"/>
      <c r="R414" s="63"/>
      <c r="S414" s="63"/>
      <c r="T414" s="63"/>
      <c r="U414" s="63"/>
      <c r="V414" s="63"/>
      <c r="W414" s="63"/>
      <c r="X414" s="63"/>
      <c r="Y414" s="63"/>
    </row>
    <row r="415" spans="1:25">
      <c r="A415" s="85"/>
      <c r="B415" s="85"/>
      <c r="C415" s="85"/>
      <c r="D415" s="85"/>
      <c r="E415" s="85"/>
      <c r="F415" s="85"/>
      <c r="G415" s="85"/>
      <c r="H415" s="85"/>
      <c r="J415" s="85"/>
      <c r="K415" s="85"/>
      <c r="L415" s="85"/>
      <c r="M415" s="85"/>
      <c r="N415" s="85"/>
      <c r="O415" s="85"/>
      <c r="P415" s="85"/>
      <c r="Q415" s="85"/>
      <c r="R415" s="63"/>
      <c r="S415" s="63"/>
      <c r="T415" s="63"/>
      <c r="U415" s="63"/>
      <c r="V415" s="63"/>
      <c r="W415" s="63"/>
      <c r="X415" s="63"/>
      <c r="Y415" s="63"/>
    </row>
    <row r="416" spans="1:25">
      <c r="A416" s="85"/>
      <c r="B416" s="85"/>
      <c r="C416" s="85"/>
      <c r="D416" s="85"/>
      <c r="E416" s="85"/>
      <c r="F416" s="85"/>
      <c r="G416" s="85"/>
      <c r="H416" s="85"/>
      <c r="J416" s="85"/>
      <c r="K416" s="85"/>
      <c r="L416" s="85"/>
      <c r="M416" s="85"/>
      <c r="N416" s="85"/>
      <c r="O416" s="85"/>
      <c r="P416" s="85"/>
      <c r="Q416" s="85"/>
      <c r="R416" s="63"/>
      <c r="S416" s="63"/>
      <c r="T416" s="63"/>
      <c r="U416" s="63"/>
      <c r="V416" s="63"/>
      <c r="W416" s="63"/>
      <c r="X416" s="63"/>
      <c r="Y416" s="63"/>
    </row>
    <row r="417" spans="1:25">
      <c r="A417" s="85"/>
      <c r="B417" s="85"/>
      <c r="C417" s="85"/>
      <c r="D417" s="85"/>
      <c r="E417" s="85"/>
      <c r="F417" s="85"/>
      <c r="G417" s="85"/>
      <c r="H417" s="85"/>
      <c r="J417" s="85"/>
      <c r="K417" s="85"/>
      <c r="L417" s="85"/>
      <c r="M417" s="85"/>
      <c r="N417" s="85"/>
      <c r="O417" s="85"/>
      <c r="P417" s="85"/>
      <c r="Q417" s="85"/>
      <c r="R417" s="63"/>
      <c r="S417" s="63"/>
      <c r="T417" s="63"/>
      <c r="U417" s="63"/>
      <c r="V417" s="63"/>
      <c r="W417" s="63"/>
      <c r="X417" s="63"/>
      <c r="Y417" s="63"/>
    </row>
    <row r="418" spans="1:25">
      <c r="A418" s="85"/>
      <c r="B418" s="85"/>
      <c r="C418" s="85"/>
      <c r="D418" s="85"/>
      <c r="E418" s="85"/>
      <c r="F418" s="85"/>
      <c r="G418" s="85"/>
      <c r="H418" s="85"/>
      <c r="J418" s="85"/>
      <c r="K418" s="85"/>
      <c r="L418" s="85"/>
      <c r="M418" s="85"/>
      <c r="N418" s="85"/>
      <c r="O418" s="85"/>
      <c r="P418" s="85"/>
      <c r="Q418" s="85"/>
      <c r="R418" s="63"/>
      <c r="S418" s="63"/>
      <c r="T418" s="63"/>
      <c r="U418" s="63"/>
      <c r="V418" s="63"/>
      <c r="W418" s="63"/>
      <c r="X418" s="63"/>
      <c r="Y418" s="63"/>
    </row>
    <row r="419" spans="1:25">
      <c r="A419" s="85"/>
      <c r="B419" s="85"/>
      <c r="C419" s="85"/>
      <c r="D419" s="85"/>
      <c r="E419" s="85"/>
      <c r="F419" s="85"/>
      <c r="G419" s="85"/>
      <c r="H419" s="85"/>
      <c r="J419" s="85"/>
      <c r="K419" s="85"/>
      <c r="L419" s="85"/>
      <c r="M419" s="85"/>
      <c r="N419" s="85"/>
      <c r="O419" s="85"/>
      <c r="P419" s="85"/>
      <c r="Q419" s="85"/>
      <c r="R419" s="63"/>
      <c r="S419" s="63"/>
      <c r="T419" s="63"/>
      <c r="U419" s="63"/>
      <c r="V419" s="63"/>
      <c r="W419" s="63"/>
      <c r="X419" s="63"/>
      <c r="Y419" s="63"/>
    </row>
    <row r="420" spans="1:25">
      <c r="A420" s="85"/>
      <c r="B420" s="85"/>
      <c r="C420" s="85"/>
      <c r="D420" s="85"/>
      <c r="E420" s="85"/>
      <c r="F420" s="85"/>
      <c r="G420" s="85"/>
      <c r="H420" s="85"/>
      <c r="J420" s="85"/>
      <c r="K420" s="85"/>
      <c r="L420" s="85"/>
      <c r="M420" s="85"/>
      <c r="N420" s="85"/>
      <c r="O420" s="85"/>
      <c r="P420" s="85"/>
      <c r="Q420" s="85"/>
      <c r="R420" s="63"/>
      <c r="S420" s="63"/>
      <c r="T420" s="63"/>
      <c r="U420" s="63"/>
      <c r="V420" s="63"/>
      <c r="W420" s="63"/>
      <c r="X420" s="63"/>
      <c r="Y420" s="63"/>
    </row>
    <row r="421" spans="1:25">
      <c r="A421" s="85"/>
      <c r="B421" s="85"/>
      <c r="C421" s="85"/>
      <c r="D421" s="85"/>
      <c r="E421" s="85"/>
      <c r="F421" s="85"/>
      <c r="G421" s="85"/>
      <c r="H421" s="85"/>
      <c r="J421" s="85"/>
      <c r="K421" s="85"/>
      <c r="L421" s="85"/>
      <c r="M421" s="85"/>
      <c r="N421" s="85"/>
      <c r="O421" s="85"/>
      <c r="P421" s="85"/>
      <c r="Q421" s="85"/>
      <c r="R421" s="63"/>
      <c r="S421" s="63"/>
      <c r="T421" s="63"/>
      <c r="U421" s="63"/>
      <c r="V421" s="63"/>
      <c r="W421" s="63"/>
      <c r="X421" s="63"/>
      <c r="Y421" s="63"/>
    </row>
    <row r="422" spans="1:25">
      <c r="A422" s="85"/>
      <c r="B422" s="85"/>
      <c r="C422" s="85"/>
      <c r="D422" s="85"/>
      <c r="E422" s="85"/>
      <c r="F422" s="85"/>
      <c r="G422" s="85"/>
      <c r="H422" s="85"/>
      <c r="J422" s="85"/>
      <c r="K422" s="85"/>
      <c r="L422" s="85"/>
      <c r="M422" s="85"/>
      <c r="N422" s="85"/>
      <c r="O422" s="85"/>
      <c r="P422" s="85"/>
      <c r="Q422" s="85"/>
      <c r="R422" s="63"/>
      <c r="S422" s="63"/>
      <c r="T422" s="63"/>
      <c r="U422" s="63"/>
      <c r="V422" s="63"/>
      <c r="W422" s="63"/>
      <c r="X422" s="63"/>
      <c r="Y422" s="63"/>
    </row>
    <row r="423" spans="1:25">
      <c r="A423" s="85"/>
      <c r="B423" s="85"/>
      <c r="C423" s="85"/>
      <c r="D423" s="85"/>
      <c r="E423" s="85"/>
      <c r="F423" s="85"/>
      <c r="G423" s="85"/>
      <c r="H423" s="85"/>
      <c r="J423" s="85"/>
      <c r="K423" s="85"/>
      <c r="L423" s="85"/>
      <c r="M423" s="85"/>
      <c r="N423" s="85"/>
      <c r="O423" s="85"/>
      <c r="P423" s="85"/>
      <c r="Q423" s="85"/>
      <c r="R423" s="63"/>
      <c r="S423" s="63"/>
      <c r="T423" s="63"/>
      <c r="U423" s="63"/>
      <c r="V423" s="63"/>
      <c r="W423" s="63"/>
      <c r="X423" s="63"/>
      <c r="Y423" s="63"/>
    </row>
    <row r="424" spans="1:25">
      <c r="A424" s="85"/>
      <c r="B424" s="85"/>
      <c r="C424" s="85"/>
      <c r="D424" s="85"/>
      <c r="E424" s="85"/>
      <c r="F424" s="85"/>
      <c r="G424" s="85"/>
      <c r="H424" s="85"/>
      <c r="J424" s="85"/>
      <c r="K424" s="85"/>
      <c r="L424" s="85"/>
      <c r="M424" s="85"/>
      <c r="N424" s="85"/>
      <c r="O424" s="85"/>
      <c r="P424" s="85"/>
      <c r="Q424" s="85"/>
      <c r="R424" s="63"/>
      <c r="S424" s="63"/>
      <c r="T424" s="63"/>
      <c r="U424" s="63"/>
      <c r="V424" s="63"/>
      <c r="W424" s="63"/>
      <c r="X424" s="63"/>
      <c r="Y424" s="63"/>
    </row>
    <row r="425" spans="1:25">
      <c r="A425" s="85"/>
      <c r="B425" s="85"/>
      <c r="C425" s="85"/>
      <c r="D425" s="85"/>
      <c r="E425" s="85"/>
      <c r="F425" s="85"/>
      <c r="G425" s="85"/>
      <c r="H425" s="85"/>
      <c r="J425" s="85"/>
      <c r="K425" s="85"/>
      <c r="L425" s="85"/>
      <c r="M425" s="85"/>
      <c r="N425" s="85"/>
      <c r="O425" s="85"/>
      <c r="P425" s="85"/>
      <c r="Q425" s="85"/>
      <c r="R425" s="63"/>
      <c r="S425" s="63"/>
      <c r="T425" s="63"/>
      <c r="U425" s="63"/>
      <c r="V425" s="63"/>
      <c r="W425" s="63"/>
      <c r="X425" s="63"/>
      <c r="Y425" s="63"/>
    </row>
    <row r="426" spans="1:25">
      <c r="A426" s="85"/>
      <c r="B426" s="85"/>
      <c r="C426" s="85"/>
      <c r="D426" s="85"/>
      <c r="E426" s="85"/>
      <c r="F426" s="85"/>
      <c r="G426" s="85"/>
      <c r="H426" s="85"/>
      <c r="J426" s="85"/>
      <c r="K426" s="85"/>
      <c r="L426" s="85"/>
      <c r="M426" s="85"/>
      <c r="N426" s="85"/>
      <c r="O426" s="85"/>
      <c r="P426" s="85"/>
      <c r="Q426" s="85"/>
      <c r="R426" s="63"/>
      <c r="S426" s="63"/>
      <c r="T426" s="63"/>
      <c r="U426" s="63"/>
      <c r="V426" s="63"/>
      <c r="W426" s="63"/>
      <c r="X426" s="63"/>
      <c r="Y426" s="63"/>
    </row>
    <row r="427" spans="1:25">
      <c r="A427" s="85"/>
      <c r="B427" s="85"/>
      <c r="C427" s="85"/>
      <c r="D427" s="85"/>
      <c r="E427" s="85"/>
      <c r="F427" s="85"/>
      <c r="G427" s="85"/>
      <c r="H427" s="85"/>
      <c r="J427" s="85"/>
      <c r="K427" s="85"/>
      <c r="L427" s="85"/>
      <c r="M427" s="85"/>
      <c r="N427" s="85"/>
      <c r="O427" s="85"/>
      <c r="P427" s="85"/>
      <c r="Q427" s="85"/>
      <c r="R427" s="63"/>
      <c r="S427" s="63"/>
      <c r="T427" s="63"/>
      <c r="U427" s="63"/>
      <c r="V427" s="63"/>
      <c r="W427" s="63"/>
      <c r="X427" s="63"/>
      <c r="Y427" s="63"/>
    </row>
    <row r="428" spans="1:25">
      <c r="A428" s="85"/>
      <c r="B428" s="85"/>
      <c r="C428" s="85"/>
      <c r="D428" s="85"/>
      <c r="E428" s="85"/>
      <c r="F428" s="85"/>
      <c r="G428" s="85"/>
      <c r="H428" s="85"/>
      <c r="J428" s="85"/>
      <c r="K428" s="85"/>
      <c r="L428" s="85"/>
      <c r="M428" s="85"/>
      <c r="N428" s="85"/>
      <c r="O428" s="85"/>
      <c r="P428" s="85"/>
      <c r="Q428" s="85"/>
      <c r="R428" s="63"/>
      <c r="S428" s="63"/>
      <c r="T428" s="63"/>
      <c r="U428" s="63"/>
      <c r="V428" s="63"/>
      <c r="W428" s="63"/>
      <c r="X428" s="63"/>
      <c r="Y428" s="63"/>
    </row>
    <row r="429" spans="1:25">
      <c r="A429" s="85"/>
      <c r="B429" s="85"/>
      <c r="C429" s="85"/>
      <c r="D429" s="85"/>
      <c r="E429" s="85"/>
      <c r="F429" s="85"/>
      <c r="G429" s="85"/>
      <c r="H429" s="85"/>
      <c r="J429" s="85"/>
      <c r="K429" s="85"/>
      <c r="L429" s="85"/>
      <c r="M429" s="85"/>
      <c r="N429" s="85"/>
      <c r="O429" s="85"/>
      <c r="P429" s="85"/>
      <c r="Q429" s="85"/>
      <c r="R429" s="63"/>
      <c r="S429" s="63"/>
      <c r="T429" s="63"/>
      <c r="U429" s="63"/>
      <c r="V429" s="63"/>
      <c r="W429" s="63"/>
      <c r="X429" s="63"/>
      <c r="Y429" s="63"/>
    </row>
    <row r="430" spans="1:25">
      <c r="A430" s="85"/>
      <c r="B430" s="85"/>
      <c r="C430" s="85"/>
      <c r="D430" s="85"/>
      <c r="E430" s="85"/>
      <c r="F430" s="85"/>
      <c r="G430" s="85"/>
      <c r="H430" s="85"/>
      <c r="J430" s="85"/>
      <c r="K430" s="85"/>
      <c r="L430" s="85"/>
      <c r="M430" s="85"/>
      <c r="N430" s="85"/>
      <c r="O430" s="85"/>
      <c r="P430" s="85"/>
      <c r="Q430" s="85"/>
      <c r="R430" s="63"/>
      <c r="S430" s="63"/>
      <c r="T430" s="63"/>
      <c r="U430" s="63"/>
      <c r="V430" s="63"/>
      <c r="W430" s="63"/>
      <c r="X430" s="63"/>
      <c r="Y430" s="63"/>
    </row>
    <row r="431" spans="1:25">
      <c r="A431" s="85"/>
      <c r="B431" s="85"/>
      <c r="C431" s="85"/>
      <c r="D431" s="85"/>
      <c r="E431" s="85"/>
      <c r="F431" s="85"/>
      <c r="G431" s="85"/>
      <c r="H431" s="85"/>
      <c r="J431" s="85"/>
      <c r="K431" s="85"/>
      <c r="L431" s="85"/>
      <c r="M431" s="85"/>
      <c r="N431" s="85"/>
      <c r="O431" s="85"/>
      <c r="P431" s="85"/>
      <c r="Q431" s="85"/>
      <c r="R431" s="63"/>
      <c r="S431" s="63"/>
      <c r="T431" s="63"/>
      <c r="U431" s="63"/>
      <c r="V431" s="63"/>
      <c r="W431" s="63"/>
      <c r="X431" s="63"/>
      <c r="Y431" s="63"/>
    </row>
    <row r="432" spans="1:25">
      <c r="A432" s="85"/>
      <c r="B432" s="85"/>
      <c r="C432" s="85"/>
      <c r="D432" s="85"/>
      <c r="E432" s="85"/>
      <c r="F432" s="85"/>
      <c r="G432" s="85"/>
      <c r="H432" s="85"/>
      <c r="J432" s="85"/>
      <c r="K432" s="85"/>
      <c r="L432" s="85"/>
      <c r="M432" s="85"/>
      <c r="N432" s="85"/>
      <c r="O432" s="85"/>
      <c r="P432" s="85"/>
      <c r="Q432" s="85"/>
      <c r="R432" s="63"/>
      <c r="S432" s="63"/>
      <c r="T432" s="63"/>
      <c r="U432" s="63"/>
      <c r="V432" s="63"/>
      <c r="W432" s="63"/>
      <c r="X432" s="63"/>
      <c r="Y432" s="63"/>
    </row>
    <row r="433" spans="1:25">
      <c r="A433" s="85"/>
      <c r="B433" s="85"/>
      <c r="C433" s="85"/>
      <c r="D433" s="85"/>
      <c r="E433" s="85"/>
      <c r="F433" s="85"/>
      <c r="G433" s="85"/>
      <c r="H433" s="85"/>
      <c r="J433" s="85"/>
      <c r="K433" s="85"/>
      <c r="L433" s="85"/>
      <c r="M433" s="85"/>
      <c r="N433" s="85"/>
      <c r="O433" s="85"/>
      <c r="P433" s="85"/>
      <c r="Q433" s="85"/>
      <c r="R433" s="63"/>
      <c r="S433" s="63"/>
      <c r="T433" s="63"/>
      <c r="U433" s="63"/>
      <c r="V433" s="63"/>
      <c r="W433" s="63"/>
      <c r="X433" s="63"/>
      <c r="Y433" s="63"/>
    </row>
    <row r="434" spans="1:25">
      <c r="A434" s="85"/>
      <c r="B434" s="85"/>
      <c r="C434" s="85"/>
      <c r="D434" s="85"/>
      <c r="E434" s="85"/>
      <c r="F434" s="85"/>
      <c r="G434" s="85"/>
      <c r="H434" s="85"/>
      <c r="J434" s="85"/>
      <c r="K434" s="85"/>
      <c r="L434" s="85"/>
      <c r="M434" s="85"/>
      <c r="N434" s="85"/>
      <c r="O434" s="85"/>
      <c r="P434" s="85"/>
      <c r="Q434" s="85"/>
      <c r="R434" s="63"/>
      <c r="S434" s="63"/>
      <c r="T434" s="63"/>
      <c r="U434" s="63"/>
      <c r="V434" s="63"/>
      <c r="W434" s="63"/>
      <c r="X434" s="63"/>
      <c r="Y434" s="63"/>
    </row>
    <row r="435" spans="1:25">
      <c r="A435" s="85"/>
      <c r="B435" s="85"/>
      <c r="C435" s="85"/>
      <c r="D435" s="85"/>
      <c r="E435" s="85"/>
      <c r="F435" s="85"/>
      <c r="G435" s="85"/>
      <c r="H435" s="85"/>
      <c r="J435" s="85"/>
      <c r="K435" s="85"/>
      <c r="L435" s="85"/>
      <c r="M435" s="85"/>
      <c r="N435" s="85"/>
      <c r="O435" s="85"/>
      <c r="P435" s="85"/>
      <c r="Q435" s="85"/>
      <c r="R435" s="63"/>
      <c r="S435" s="63"/>
      <c r="T435" s="63"/>
      <c r="U435" s="63"/>
      <c r="V435" s="63"/>
      <c r="W435" s="63"/>
      <c r="X435" s="63"/>
      <c r="Y435" s="63"/>
    </row>
    <row r="436" spans="1:25">
      <c r="A436" s="85"/>
      <c r="B436" s="85"/>
      <c r="C436" s="85"/>
      <c r="D436" s="85"/>
      <c r="E436" s="85"/>
      <c r="F436" s="85"/>
      <c r="G436" s="85"/>
      <c r="H436" s="85"/>
      <c r="J436" s="85"/>
      <c r="K436" s="85"/>
      <c r="L436" s="85"/>
      <c r="M436" s="85"/>
      <c r="N436" s="85"/>
      <c r="O436" s="85"/>
      <c r="P436" s="85"/>
      <c r="Q436" s="85"/>
      <c r="R436" s="63"/>
      <c r="S436" s="63"/>
      <c r="T436" s="63"/>
      <c r="U436" s="63"/>
      <c r="V436" s="63"/>
      <c r="W436" s="63"/>
      <c r="X436" s="63"/>
      <c r="Y436" s="63"/>
    </row>
    <row r="437" spans="1:25">
      <c r="A437" s="85"/>
      <c r="B437" s="85"/>
      <c r="C437" s="85"/>
      <c r="D437" s="85"/>
      <c r="E437" s="85"/>
      <c r="F437" s="85"/>
      <c r="G437" s="85"/>
      <c r="H437" s="85"/>
      <c r="J437" s="85"/>
      <c r="K437" s="85"/>
      <c r="L437" s="85"/>
      <c r="M437" s="85"/>
      <c r="N437" s="85"/>
      <c r="O437" s="85"/>
      <c r="P437" s="85"/>
      <c r="Q437" s="85"/>
      <c r="R437" s="63"/>
      <c r="S437" s="63"/>
      <c r="T437" s="63"/>
      <c r="U437" s="63"/>
      <c r="V437" s="63"/>
      <c r="W437" s="63"/>
      <c r="X437" s="63"/>
      <c r="Y437" s="63"/>
    </row>
    <row r="438" spans="1:25">
      <c r="A438" s="85"/>
      <c r="B438" s="85"/>
      <c r="C438" s="85"/>
      <c r="D438" s="85"/>
      <c r="E438" s="85"/>
      <c r="F438" s="85"/>
      <c r="G438" s="85"/>
      <c r="H438" s="85"/>
      <c r="J438" s="85"/>
      <c r="K438" s="85"/>
      <c r="L438" s="85"/>
      <c r="M438" s="85"/>
      <c r="N438" s="85"/>
      <c r="O438" s="85"/>
      <c r="P438" s="85"/>
      <c r="Q438" s="85"/>
      <c r="R438" s="63"/>
      <c r="S438" s="63"/>
      <c r="T438" s="63"/>
      <c r="U438" s="63"/>
      <c r="V438" s="63"/>
      <c r="W438" s="63"/>
      <c r="X438" s="63"/>
      <c r="Y438" s="63"/>
    </row>
    <row r="439" spans="1:25">
      <c r="A439" s="85"/>
      <c r="B439" s="85"/>
      <c r="C439" s="85"/>
      <c r="D439" s="85"/>
      <c r="E439" s="85"/>
      <c r="F439" s="85"/>
      <c r="G439" s="85"/>
      <c r="H439" s="85"/>
      <c r="J439" s="85"/>
      <c r="K439" s="85"/>
      <c r="L439" s="85"/>
      <c r="M439" s="85"/>
      <c r="N439" s="85"/>
      <c r="O439" s="85"/>
      <c r="P439" s="85"/>
      <c r="Q439" s="85"/>
      <c r="R439" s="63"/>
      <c r="S439" s="63"/>
      <c r="T439" s="63"/>
      <c r="U439" s="63"/>
      <c r="V439" s="63"/>
      <c r="W439" s="63"/>
      <c r="X439" s="63"/>
      <c r="Y439" s="63"/>
    </row>
    <row r="440" spans="1:25">
      <c r="A440" s="85"/>
      <c r="B440" s="85"/>
      <c r="C440" s="85"/>
      <c r="D440" s="85"/>
      <c r="E440" s="85"/>
      <c r="F440" s="85"/>
      <c r="G440" s="85"/>
      <c r="H440" s="85"/>
      <c r="J440" s="85"/>
      <c r="K440" s="85"/>
      <c r="L440" s="85"/>
      <c r="M440" s="85"/>
      <c r="N440" s="85"/>
      <c r="O440" s="85"/>
      <c r="P440" s="85"/>
      <c r="Q440" s="85"/>
      <c r="R440" s="63"/>
      <c r="S440" s="63"/>
      <c r="T440" s="63"/>
      <c r="U440" s="63"/>
      <c r="V440" s="63"/>
      <c r="W440" s="63"/>
      <c r="X440" s="63"/>
      <c r="Y440" s="63"/>
    </row>
    <row r="441" spans="1:25">
      <c r="A441" s="85"/>
      <c r="B441" s="85"/>
      <c r="C441" s="85"/>
      <c r="D441" s="85"/>
      <c r="E441" s="85"/>
      <c r="F441" s="85"/>
      <c r="G441" s="85"/>
      <c r="H441" s="85"/>
      <c r="J441" s="85"/>
      <c r="K441" s="85"/>
      <c r="L441" s="85"/>
      <c r="M441" s="85"/>
      <c r="N441" s="85"/>
      <c r="O441" s="85"/>
      <c r="P441" s="85"/>
      <c r="Q441" s="85"/>
      <c r="R441" s="63"/>
      <c r="S441" s="63"/>
      <c r="T441" s="63"/>
      <c r="U441" s="63"/>
      <c r="V441" s="63"/>
      <c r="W441" s="63"/>
      <c r="X441" s="63"/>
      <c r="Y441" s="63"/>
    </row>
    <row r="442" spans="1:25">
      <c r="A442" s="85"/>
      <c r="B442" s="85"/>
      <c r="C442" s="85"/>
      <c r="D442" s="85"/>
      <c r="E442" s="85"/>
      <c r="F442" s="85"/>
      <c r="G442" s="85"/>
      <c r="H442" s="85"/>
      <c r="J442" s="85"/>
      <c r="K442" s="85"/>
      <c r="L442" s="85"/>
      <c r="M442" s="85"/>
      <c r="N442" s="85"/>
      <c r="O442" s="85"/>
      <c r="P442" s="85"/>
      <c r="Q442" s="85"/>
      <c r="R442" s="63"/>
      <c r="S442" s="63"/>
      <c r="T442" s="63"/>
      <c r="U442" s="63"/>
      <c r="V442" s="63"/>
      <c r="W442" s="63"/>
      <c r="X442" s="63"/>
      <c r="Y442" s="63"/>
    </row>
    <row r="443" spans="1:25">
      <c r="A443" s="85"/>
      <c r="B443" s="85"/>
      <c r="C443" s="85"/>
      <c r="D443" s="85"/>
      <c r="E443" s="85"/>
      <c r="F443" s="85"/>
      <c r="G443" s="85"/>
      <c r="H443" s="85"/>
      <c r="J443" s="85"/>
      <c r="K443" s="85"/>
      <c r="L443" s="85"/>
      <c r="M443" s="85"/>
      <c r="N443" s="85"/>
      <c r="O443" s="85"/>
      <c r="P443" s="85"/>
      <c r="Q443" s="85"/>
      <c r="R443" s="63"/>
      <c r="S443" s="63"/>
      <c r="T443" s="63"/>
      <c r="U443" s="63"/>
      <c r="V443" s="63"/>
      <c r="W443" s="63"/>
      <c r="X443" s="63"/>
      <c r="Y443" s="63"/>
    </row>
    <row r="444" spans="1:25">
      <c r="A444" s="85"/>
      <c r="B444" s="85"/>
      <c r="C444" s="85"/>
      <c r="D444" s="85"/>
      <c r="E444" s="85"/>
      <c r="F444" s="85"/>
      <c r="G444" s="85"/>
      <c r="H444" s="85"/>
      <c r="J444" s="85"/>
      <c r="K444" s="85"/>
      <c r="L444" s="85"/>
      <c r="M444" s="85"/>
      <c r="N444" s="85"/>
      <c r="O444" s="85"/>
      <c r="P444" s="85"/>
      <c r="Q444" s="85"/>
      <c r="R444" s="63"/>
      <c r="S444" s="63"/>
      <c r="T444" s="63"/>
      <c r="U444" s="63"/>
      <c r="V444" s="63"/>
      <c r="W444" s="63"/>
      <c r="X444" s="63"/>
      <c r="Y444" s="63"/>
    </row>
    <row r="445" spans="1:25">
      <c r="A445" s="85"/>
      <c r="B445" s="85"/>
      <c r="C445" s="85"/>
      <c r="D445" s="85"/>
      <c r="E445" s="85"/>
      <c r="F445" s="85"/>
      <c r="G445" s="85"/>
      <c r="H445" s="85"/>
      <c r="J445" s="85"/>
      <c r="K445" s="85"/>
      <c r="L445" s="85"/>
      <c r="M445" s="85"/>
      <c r="N445" s="85"/>
      <c r="O445" s="85"/>
      <c r="P445" s="85"/>
      <c r="Q445" s="85"/>
      <c r="R445" s="63"/>
      <c r="S445" s="63"/>
      <c r="T445" s="63"/>
      <c r="U445" s="63"/>
      <c r="V445" s="63"/>
      <c r="W445" s="63"/>
      <c r="X445" s="63"/>
      <c r="Y445" s="63"/>
    </row>
    <row r="446" spans="1:25">
      <c r="A446" s="85"/>
      <c r="B446" s="85"/>
      <c r="C446" s="85"/>
      <c r="D446" s="85"/>
      <c r="E446" s="85"/>
      <c r="F446" s="85"/>
      <c r="G446" s="85"/>
      <c r="H446" s="85"/>
      <c r="J446" s="85"/>
      <c r="K446" s="85"/>
      <c r="L446" s="85"/>
      <c r="M446" s="85"/>
      <c r="N446" s="85"/>
      <c r="O446" s="85"/>
      <c r="P446" s="85"/>
      <c r="Q446" s="85"/>
      <c r="R446" s="63"/>
      <c r="S446" s="63"/>
      <c r="T446" s="63"/>
      <c r="U446" s="63"/>
      <c r="V446" s="63"/>
      <c r="W446" s="63"/>
      <c r="X446" s="63"/>
      <c r="Y446" s="63"/>
    </row>
    <row r="447" spans="1:25">
      <c r="A447" s="85"/>
      <c r="B447" s="85"/>
      <c r="C447" s="85"/>
      <c r="D447" s="85"/>
      <c r="E447" s="85"/>
      <c r="F447" s="85"/>
      <c r="G447" s="85"/>
      <c r="H447" s="85"/>
      <c r="J447" s="85"/>
      <c r="K447" s="85"/>
      <c r="L447" s="85"/>
      <c r="M447" s="85"/>
      <c r="N447" s="85"/>
      <c r="O447" s="85"/>
      <c r="P447" s="85"/>
      <c r="Q447" s="85"/>
      <c r="R447" s="63"/>
      <c r="S447" s="63"/>
      <c r="T447" s="63"/>
      <c r="U447" s="63"/>
      <c r="V447" s="63"/>
      <c r="W447" s="63"/>
      <c r="X447" s="63"/>
      <c r="Y447" s="63"/>
    </row>
    <row r="448" spans="1:25">
      <c r="A448" s="85"/>
      <c r="B448" s="85"/>
      <c r="C448" s="85"/>
      <c r="D448" s="85"/>
      <c r="E448" s="85"/>
      <c r="F448" s="85"/>
      <c r="G448" s="85"/>
      <c r="H448" s="85"/>
      <c r="J448" s="85"/>
      <c r="K448" s="85"/>
      <c r="L448" s="85"/>
      <c r="M448" s="85"/>
      <c r="N448" s="85"/>
      <c r="O448" s="85"/>
      <c r="P448" s="85"/>
      <c r="Q448" s="85"/>
      <c r="R448" s="63"/>
      <c r="S448" s="63"/>
      <c r="T448" s="63"/>
      <c r="U448" s="63"/>
      <c r="V448" s="63"/>
      <c r="W448" s="63"/>
      <c r="X448" s="63"/>
      <c r="Y448" s="63"/>
    </row>
    <row r="449" spans="1:25">
      <c r="A449" s="85"/>
      <c r="B449" s="85"/>
      <c r="C449" s="85"/>
      <c r="D449" s="85"/>
      <c r="E449" s="85"/>
      <c r="F449" s="85"/>
      <c r="G449" s="85"/>
      <c r="H449" s="85"/>
      <c r="J449" s="85"/>
      <c r="K449" s="85"/>
      <c r="L449" s="85"/>
      <c r="M449" s="85"/>
      <c r="N449" s="85"/>
      <c r="O449" s="85"/>
      <c r="P449" s="85"/>
      <c r="Q449" s="85"/>
      <c r="R449" s="63"/>
      <c r="S449" s="63"/>
      <c r="T449" s="63"/>
      <c r="U449" s="63"/>
      <c r="V449" s="63"/>
      <c r="W449" s="63"/>
      <c r="X449" s="63"/>
      <c r="Y449" s="63"/>
    </row>
    <row r="450" spans="1:25">
      <c r="A450" s="85"/>
      <c r="B450" s="85"/>
      <c r="C450" s="85"/>
      <c r="D450" s="85"/>
      <c r="E450" s="85"/>
      <c r="F450" s="85"/>
      <c r="G450" s="85"/>
      <c r="H450" s="85"/>
      <c r="J450" s="85"/>
      <c r="K450" s="85"/>
      <c r="L450" s="85"/>
      <c r="M450" s="85"/>
      <c r="N450" s="85"/>
      <c r="O450" s="85"/>
      <c r="P450" s="85"/>
      <c r="Q450" s="85"/>
      <c r="R450" s="63"/>
      <c r="S450" s="63"/>
      <c r="T450" s="63"/>
      <c r="U450" s="63"/>
      <c r="V450" s="63"/>
      <c r="W450" s="63"/>
      <c r="X450" s="63"/>
      <c r="Y450" s="63"/>
    </row>
    <row r="451" spans="1:25">
      <c r="A451" s="85"/>
      <c r="B451" s="85"/>
      <c r="C451" s="85"/>
      <c r="D451" s="85"/>
      <c r="E451" s="85"/>
      <c r="F451" s="85"/>
      <c r="G451" s="85"/>
      <c r="H451" s="85"/>
      <c r="J451" s="85"/>
      <c r="K451" s="85"/>
      <c r="L451" s="85"/>
      <c r="M451" s="85"/>
      <c r="N451" s="85"/>
      <c r="O451" s="85"/>
      <c r="P451" s="85"/>
      <c r="Q451" s="85"/>
      <c r="R451" s="63"/>
      <c r="S451" s="63"/>
      <c r="T451" s="63"/>
      <c r="U451" s="63"/>
      <c r="V451" s="63"/>
      <c r="W451" s="63"/>
      <c r="X451" s="63"/>
      <c r="Y451" s="63"/>
    </row>
    <row r="452" spans="1:25">
      <c r="A452" s="85"/>
      <c r="B452" s="85"/>
      <c r="C452" s="85"/>
      <c r="D452" s="85"/>
      <c r="E452" s="85"/>
      <c r="F452" s="85"/>
      <c r="G452" s="85"/>
      <c r="H452" s="85"/>
      <c r="J452" s="85"/>
      <c r="K452" s="85"/>
      <c r="L452" s="85"/>
      <c r="M452" s="85"/>
      <c r="N452" s="85"/>
      <c r="O452" s="85"/>
      <c r="P452" s="85"/>
      <c r="Q452" s="85"/>
      <c r="R452" s="63"/>
      <c r="S452" s="63"/>
      <c r="T452" s="63"/>
      <c r="U452" s="63"/>
      <c r="V452" s="63"/>
      <c r="W452" s="63"/>
      <c r="X452" s="63"/>
      <c r="Y452" s="63"/>
    </row>
    <row r="453" spans="1:25">
      <c r="A453" s="85"/>
      <c r="B453" s="85"/>
      <c r="C453" s="85"/>
      <c r="D453" s="85"/>
      <c r="E453" s="85"/>
      <c r="F453" s="85"/>
      <c r="G453" s="85"/>
      <c r="H453" s="85"/>
      <c r="J453" s="85"/>
      <c r="K453" s="85"/>
      <c r="L453" s="85"/>
      <c r="M453" s="85"/>
      <c r="N453" s="85"/>
      <c r="O453" s="85"/>
      <c r="P453" s="85"/>
      <c r="Q453" s="85"/>
      <c r="R453" s="63"/>
      <c r="S453" s="63"/>
      <c r="T453" s="63"/>
      <c r="U453" s="63"/>
      <c r="V453" s="63"/>
      <c r="W453" s="63"/>
      <c r="X453" s="63"/>
      <c r="Y453" s="63"/>
    </row>
    <row r="454" spans="1:25">
      <c r="A454" s="85"/>
      <c r="B454" s="85"/>
      <c r="C454" s="85"/>
      <c r="D454" s="85"/>
      <c r="E454" s="85"/>
      <c r="F454" s="85"/>
      <c r="G454" s="85"/>
      <c r="H454" s="85"/>
      <c r="J454" s="85"/>
      <c r="K454" s="85"/>
      <c r="L454" s="85"/>
      <c r="M454" s="85"/>
      <c r="N454" s="85"/>
      <c r="O454" s="85"/>
      <c r="P454" s="85"/>
      <c r="Q454" s="85"/>
      <c r="R454" s="63"/>
      <c r="S454" s="63"/>
      <c r="T454" s="63"/>
      <c r="U454" s="63"/>
      <c r="V454" s="63"/>
      <c r="W454" s="63"/>
      <c r="X454" s="63"/>
      <c r="Y454" s="63"/>
    </row>
    <row r="455" spans="1:25">
      <c r="A455" s="85"/>
      <c r="B455" s="85"/>
      <c r="C455" s="85"/>
      <c r="D455" s="85"/>
      <c r="E455" s="85"/>
      <c r="F455" s="85"/>
      <c r="G455" s="85"/>
      <c r="H455" s="85"/>
      <c r="J455" s="85"/>
      <c r="K455" s="85"/>
      <c r="L455" s="85"/>
      <c r="M455" s="85"/>
      <c r="N455" s="85"/>
      <c r="O455" s="85"/>
      <c r="P455" s="85"/>
      <c r="Q455" s="85"/>
      <c r="R455" s="63"/>
      <c r="S455" s="63"/>
      <c r="T455" s="63"/>
      <c r="U455" s="63"/>
      <c r="V455" s="63"/>
      <c r="W455" s="63"/>
      <c r="X455" s="63"/>
      <c r="Y455" s="63"/>
    </row>
    <row r="456" spans="1:25">
      <c r="A456" s="85"/>
      <c r="B456" s="85"/>
      <c r="C456" s="85"/>
      <c r="D456" s="85"/>
      <c r="E456" s="85"/>
      <c r="F456" s="85"/>
      <c r="G456" s="85"/>
      <c r="H456" s="85"/>
      <c r="J456" s="85"/>
      <c r="K456" s="85"/>
      <c r="L456" s="85"/>
      <c r="M456" s="85"/>
      <c r="N456" s="85"/>
      <c r="O456" s="85"/>
      <c r="P456" s="85"/>
      <c r="Q456" s="85"/>
      <c r="R456" s="63"/>
      <c r="S456" s="63"/>
      <c r="T456" s="63"/>
      <c r="U456" s="63"/>
      <c r="V456" s="63"/>
      <c r="W456" s="63"/>
      <c r="X456" s="63"/>
      <c r="Y456" s="63"/>
    </row>
    <row r="457" spans="1:25">
      <c r="A457" s="85"/>
      <c r="B457" s="85"/>
      <c r="C457" s="85"/>
      <c r="D457" s="85"/>
      <c r="E457" s="85"/>
      <c r="F457" s="85"/>
      <c r="G457" s="85"/>
      <c r="H457" s="85"/>
      <c r="J457" s="85"/>
      <c r="K457" s="85"/>
      <c r="L457" s="85"/>
      <c r="M457" s="85"/>
      <c r="N457" s="85"/>
      <c r="O457" s="85"/>
      <c r="P457" s="85"/>
      <c r="Q457" s="85"/>
      <c r="R457" s="63"/>
      <c r="S457" s="63"/>
      <c r="T457" s="63"/>
      <c r="U457" s="63"/>
      <c r="V457" s="63"/>
      <c r="W457" s="63"/>
      <c r="X457" s="63"/>
      <c r="Y457" s="63"/>
    </row>
    <row r="458" spans="1:25">
      <c r="A458" s="85"/>
      <c r="B458" s="85"/>
      <c r="C458" s="85"/>
      <c r="D458" s="85"/>
      <c r="E458" s="85"/>
      <c r="F458" s="85"/>
      <c r="G458" s="85"/>
      <c r="H458" s="85"/>
      <c r="J458" s="85"/>
      <c r="K458" s="85"/>
      <c r="L458" s="85"/>
      <c r="M458" s="85"/>
      <c r="N458" s="85"/>
      <c r="O458" s="85"/>
      <c r="P458" s="85"/>
      <c r="Q458" s="85"/>
      <c r="R458" s="63"/>
      <c r="S458" s="63"/>
      <c r="T458" s="63"/>
      <c r="U458" s="63"/>
      <c r="V458" s="63"/>
      <c r="W458" s="63"/>
      <c r="X458" s="63"/>
      <c r="Y458" s="63"/>
    </row>
    <row r="459" spans="1:25">
      <c r="A459" s="85"/>
      <c r="B459" s="85"/>
      <c r="C459" s="85"/>
      <c r="D459" s="85"/>
      <c r="E459" s="85"/>
      <c r="F459" s="85"/>
      <c r="G459" s="85"/>
      <c r="H459" s="85"/>
      <c r="J459" s="85"/>
      <c r="K459" s="85"/>
      <c r="L459" s="85"/>
      <c r="M459" s="85"/>
      <c r="N459" s="85"/>
      <c r="O459" s="85"/>
      <c r="P459" s="85"/>
      <c r="Q459" s="85"/>
      <c r="R459" s="63"/>
      <c r="S459" s="63"/>
      <c r="T459" s="63"/>
      <c r="U459" s="63"/>
      <c r="V459" s="63"/>
      <c r="W459" s="63"/>
      <c r="X459" s="63"/>
      <c r="Y459" s="63"/>
    </row>
    <row r="460" spans="1:25">
      <c r="A460" s="85"/>
      <c r="B460" s="85"/>
      <c r="C460" s="85"/>
      <c r="D460" s="85"/>
      <c r="E460" s="85"/>
      <c r="F460" s="85"/>
      <c r="G460" s="85"/>
      <c r="H460" s="85"/>
      <c r="J460" s="85"/>
      <c r="K460" s="85"/>
      <c r="L460" s="85"/>
      <c r="M460" s="85"/>
      <c r="N460" s="85"/>
      <c r="O460" s="85"/>
      <c r="P460" s="85"/>
      <c r="Q460" s="85"/>
      <c r="R460" s="63"/>
      <c r="S460" s="63"/>
      <c r="T460" s="63"/>
      <c r="U460" s="63"/>
      <c r="V460" s="63"/>
      <c r="W460" s="63"/>
      <c r="X460" s="63"/>
      <c r="Y460" s="63"/>
    </row>
    <row r="461" spans="1:25">
      <c r="A461" s="85"/>
      <c r="B461" s="85"/>
      <c r="C461" s="85"/>
      <c r="D461" s="85"/>
      <c r="E461" s="85"/>
      <c r="F461" s="85"/>
      <c r="G461" s="85"/>
      <c r="H461" s="85"/>
      <c r="J461" s="85"/>
      <c r="K461" s="85"/>
      <c r="L461" s="85"/>
      <c r="M461" s="85"/>
      <c r="N461" s="85"/>
      <c r="O461" s="85"/>
      <c r="P461" s="85"/>
      <c r="Q461" s="85"/>
      <c r="R461" s="63"/>
      <c r="S461" s="63"/>
      <c r="T461" s="63"/>
      <c r="U461" s="63"/>
      <c r="V461" s="63"/>
      <c r="W461" s="63"/>
      <c r="X461" s="63"/>
      <c r="Y461" s="63"/>
    </row>
    <row r="462" spans="1:25">
      <c r="A462" s="85"/>
      <c r="B462" s="85"/>
      <c r="C462" s="85"/>
      <c r="D462" s="85"/>
      <c r="E462" s="85"/>
      <c r="F462" s="85"/>
      <c r="G462" s="85"/>
      <c r="H462" s="85"/>
      <c r="J462" s="85"/>
      <c r="K462" s="85"/>
      <c r="L462" s="85"/>
      <c r="M462" s="85"/>
      <c r="N462" s="85"/>
      <c r="O462" s="85"/>
      <c r="P462" s="85"/>
      <c r="Q462" s="85"/>
      <c r="R462" s="63"/>
      <c r="S462" s="63"/>
      <c r="T462" s="63"/>
      <c r="U462" s="63"/>
      <c r="V462" s="63"/>
      <c r="W462" s="63"/>
      <c r="X462" s="63"/>
      <c r="Y462" s="63"/>
    </row>
    <row r="463" spans="1:25">
      <c r="A463" s="85"/>
      <c r="B463" s="85"/>
      <c r="C463" s="85"/>
      <c r="D463" s="85"/>
      <c r="E463" s="85"/>
      <c r="F463" s="85"/>
      <c r="G463" s="85"/>
      <c r="H463" s="85"/>
      <c r="J463" s="85"/>
      <c r="K463" s="85"/>
      <c r="L463" s="85"/>
      <c r="M463" s="85"/>
      <c r="N463" s="85"/>
      <c r="O463" s="85"/>
      <c r="P463" s="85"/>
      <c r="Q463" s="85"/>
      <c r="R463" s="63"/>
      <c r="S463" s="63"/>
      <c r="T463" s="63"/>
      <c r="U463" s="63"/>
      <c r="V463" s="63"/>
      <c r="W463" s="63"/>
      <c r="X463" s="63"/>
      <c r="Y463" s="63"/>
    </row>
    <row r="464" spans="1:25">
      <c r="A464" s="85"/>
      <c r="B464" s="85"/>
      <c r="C464" s="85"/>
      <c r="D464" s="85"/>
      <c r="E464" s="85"/>
      <c r="F464" s="85"/>
      <c r="G464" s="85"/>
      <c r="H464" s="85"/>
      <c r="J464" s="85"/>
      <c r="K464" s="85"/>
      <c r="L464" s="85"/>
      <c r="M464" s="85"/>
      <c r="N464" s="85"/>
      <c r="O464" s="85"/>
      <c r="P464" s="85"/>
      <c r="Q464" s="85"/>
      <c r="R464" s="63"/>
      <c r="S464" s="63"/>
      <c r="T464" s="63"/>
      <c r="U464" s="63"/>
      <c r="V464" s="63"/>
      <c r="W464" s="63"/>
      <c r="X464" s="63"/>
      <c r="Y464" s="63"/>
    </row>
    <row r="465" spans="1:25">
      <c r="A465" s="85"/>
      <c r="B465" s="85"/>
      <c r="C465" s="85"/>
      <c r="D465" s="85"/>
      <c r="E465" s="85"/>
      <c r="F465" s="85"/>
      <c r="G465" s="85"/>
      <c r="H465" s="85"/>
      <c r="J465" s="85"/>
      <c r="K465" s="85"/>
      <c r="L465" s="85"/>
      <c r="M465" s="85"/>
      <c r="N465" s="85"/>
      <c r="O465" s="85"/>
      <c r="P465" s="85"/>
      <c r="Q465" s="85"/>
      <c r="R465" s="63"/>
      <c r="S465" s="63"/>
      <c r="T465" s="63"/>
      <c r="U465" s="63"/>
      <c r="V465" s="63"/>
      <c r="W465" s="63"/>
      <c r="X465" s="63"/>
      <c r="Y465" s="63"/>
    </row>
    <row r="466" spans="1:25">
      <c r="A466" s="85"/>
      <c r="B466" s="85"/>
      <c r="C466" s="85"/>
      <c r="D466" s="85"/>
      <c r="E466" s="85"/>
      <c r="F466" s="85"/>
      <c r="G466" s="85"/>
      <c r="H466" s="85"/>
      <c r="J466" s="85"/>
      <c r="K466" s="85"/>
      <c r="L466" s="85"/>
      <c r="M466" s="85"/>
      <c r="N466" s="85"/>
      <c r="O466" s="85"/>
      <c r="P466" s="85"/>
      <c r="Q466" s="85"/>
      <c r="R466" s="63"/>
      <c r="S466" s="63"/>
      <c r="T466" s="63"/>
      <c r="U466" s="63"/>
      <c r="V466" s="63"/>
      <c r="W466" s="63"/>
      <c r="X466" s="63"/>
      <c r="Y466" s="63"/>
    </row>
    <row r="467" spans="1:25">
      <c r="A467" s="85"/>
      <c r="B467" s="85"/>
      <c r="C467" s="85"/>
      <c r="D467" s="85"/>
      <c r="E467" s="85"/>
      <c r="F467" s="85"/>
      <c r="G467" s="85"/>
      <c r="H467" s="85"/>
      <c r="J467" s="85"/>
      <c r="K467" s="85"/>
      <c r="L467" s="85"/>
      <c r="M467" s="85"/>
      <c r="N467" s="85"/>
      <c r="O467" s="85"/>
      <c r="P467" s="85"/>
      <c r="Q467" s="85"/>
      <c r="R467" s="63"/>
      <c r="S467" s="63"/>
      <c r="T467" s="63"/>
      <c r="U467" s="63"/>
      <c r="V467" s="63"/>
      <c r="W467" s="63"/>
      <c r="X467" s="63"/>
      <c r="Y467" s="63"/>
    </row>
    <row r="468" spans="1:25">
      <c r="A468" s="85"/>
      <c r="B468" s="85"/>
      <c r="C468" s="85"/>
      <c r="D468" s="85"/>
      <c r="E468" s="85"/>
      <c r="F468" s="85"/>
      <c r="G468" s="85"/>
      <c r="H468" s="85"/>
      <c r="J468" s="85"/>
      <c r="K468" s="85"/>
      <c r="L468" s="85"/>
      <c r="M468" s="85"/>
      <c r="N468" s="85"/>
      <c r="O468" s="85"/>
      <c r="P468" s="85"/>
      <c r="Q468" s="85"/>
      <c r="R468" s="63"/>
      <c r="S468" s="63"/>
      <c r="T468" s="63"/>
      <c r="U468" s="63"/>
      <c r="V468" s="63"/>
      <c r="W468" s="63"/>
      <c r="X468" s="63"/>
      <c r="Y468" s="63"/>
    </row>
    <row r="469" spans="1:25">
      <c r="A469" s="85"/>
      <c r="B469" s="85"/>
      <c r="C469" s="85"/>
      <c r="D469" s="85"/>
      <c r="E469" s="85"/>
      <c r="F469" s="85"/>
      <c r="G469" s="85"/>
      <c r="H469" s="85"/>
      <c r="J469" s="85"/>
      <c r="K469" s="85"/>
      <c r="L469" s="85"/>
      <c r="M469" s="85"/>
      <c r="N469" s="85"/>
      <c r="O469" s="85"/>
      <c r="P469" s="85"/>
      <c r="Q469" s="85"/>
      <c r="R469" s="63"/>
      <c r="S469" s="63"/>
      <c r="T469" s="63"/>
      <c r="U469" s="63"/>
      <c r="V469" s="63"/>
      <c r="W469" s="63"/>
      <c r="X469" s="63"/>
      <c r="Y469" s="63"/>
    </row>
    <row r="470" spans="1:25">
      <c r="A470" s="85"/>
      <c r="B470" s="85"/>
      <c r="C470" s="85"/>
      <c r="D470" s="85"/>
      <c r="E470" s="85"/>
      <c r="F470" s="85"/>
      <c r="G470" s="85"/>
      <c r="H470" s="85"/>
      <c r="J470" s="85"/>
      <c r="K470" s="85"/>
      <c r="L470" s="85"/>
      <c r="M470" s="85"/>
      <c r="N470" s="85"/>
      <c r="O470" s="85"/>
      <c r="P470" s="85"/>
      <c r="Q470" s="85"/>
      <c r="R470" s="63"/>
      <c r="S470" s="63"/>
      <c r="T470" s="63"/>
      <c r="U470" s="63"/>
      <c r="V470" s="63"/>
      <c r="W470" s="63"/>
      <c r="X470" s="63"/>
      <c r="Y470" s="63"/>
    </row>
    <row r="471" spans="1:25">
      <c r="A471" s="85"/>
      <c r="B471" s="85"/>
      <c r="C471" s="85"/>
      <c r="D471" s="85"/>
      <c r="E471" s="85"/>
      <c r="F471" s="85"/>
      <c r="G471" s="85"/>
      <c r="H471" s="85"/>
      <c r="J471" s="85"/>
      <c r="K471" s="85"/>
      <c r="L471" s="85"/>
      <c r="M471" s="85"/>
      <c r="N471" s="85"/>
      <c r="O471" s="85"/>
      <c r="P471" s="85"/>
      <c r="Q471" s="85"/>
      <c r="R471" s="63"/>
      <c r="S471" s="63"/>
      <c r="T471" s="63"/>
      <c r="U471" s="63"/>
      <c r="V471" s="63"/>
      <c r="W471" s="63"/>
      <c r="X471" s="63"/>
      <c r="Y471" s="63"/>
    </row>
    <row r="472" spans="1:25">
      <c r="A472" s="85"/>
      <c r="B472" s="85"/>
      <c r="C472" s="85"/>
      <c r="D472" s="85"/>
      <c r="E472" s="85"/>
      <c r="F472" s="85"/>
      <c r="G472" s="85"/>
      <c r="H472" s="85"/>
      <c r="J472" s="85"/>
      <c r="K472" s="85"/>
      <c r="L472" s="85"/>
      <c r="M472" s="85"/>
      <c r="N472" s="85"/>
      <c r="O472" s="85"/>
      <c r="P472" s="85"/>
      <c r="Q472" s="85"/>
      <c r="R472" s="63"/>
      <c r="S472" s="63"/>
      <c r="T472" s="63"/>
      <c r="U472" s="63"/>
      <c r="V472" s="63"/>
      <c r="W472" s="63"/>
      <c r="X472" s="63"/>
      <c r="Y472" s="63"/>
    </row>
    <row r="473" spans="1:25">
      <c r="A473" s="85"/>
      <c r="B473" s="85"/>
      <c r="C473" s="85"/>
      <c r="D473" s="85"/>
      <c r="E473" s="85"/>
      <c r="F473" s="85"/>
      <c r="G473" s="85"/>
      <c r="H473" s="85"/>
      <c r="J473" s="85"/>
      <c r="K473" s="85"/>
      <c r="L473" s="85"/>
      <c r="M473" s="85"/>
      <c r="N473" s="85"/>
      <c r="O473" s="85"/>
      <c r="P473" s="85"/>
      <c r="Q473" s="85"/>
      <c r="R473" s="63"/>
      <c r="S473" s="63"/>
      <c r="T473" s="63"/>
      <c r="U473" s="63"/>
      <c r="V473" s="63"/>
      <c r="W473" s="63"/>
      <c r="X473" s="63"/>
      <c r="Y473" s="63"/>
    </row>
    <row r="474" spans="1:25">
      <c r="A474" s="85"/>
      <c r="B474" s="85"/>
      <c r="C474" s="85"/>
      <c r="D474" s="85"/>
      <c r="E474" s="85"/>
      <c r="F474" s="85"/>
      <c r="G474" s="85"/>
      <c r="H474" s="85"/>
      <c r="J474" s="85"/>
      <c r="K474" s="85"/>
      <c r="L474" s="85"/>
      <c r="M474" s="85"/>
      <c r="N474" s="85"/>
      <c r="O474" s="85"/>
      <c r="P474" s="85"/>
      <c r="Q474" s="85"/>
      <c r="R474" s="63"/>
      <c r="S474" s="63"/>
      <c r="T474" s="63"/>
      <c r="U474" s="63"/>
      <c r="V474" s="63"/>
      <c r="W474" s="63"/>
      <c r="X474" s="63"/>
      <c r="Y474" s="63"/>
    </row>
    <row r="475" spans="1:25">
      <c r="A475" s="85"/>
      <c r="B475" s="85"/>
      <c r="C475" s="85"/>
      <c r="D475" s="85"/>
      <c r="E475" s="85"/>
      <c r="F475" s="85"/>
      <c r="G475" s="85"/>
      <c r="H475" s="85"/>
      <c r="J475" s="85"/>
      <c r="K475" s="85"/>
      <c r="L475" s="85"/>
      <c r="M475" s="85"/>
      <c r="N475" s="85"/>
      <c r="O475" s="85"/>
      <c r="P475" s="85"/>
      <c r="Q475" s="85"/>
      <c r="R475" s="63"/>
      <c r="S475" s="63"/>
      <c r="T475" s="63"/>
      <c r="U475" s="63"/>
      <c r="V475" s="63"/>
      <c r="W475" s="63"/>
      <c r="X475" s="63"/>
      <c r="Y475" s="63"/>
    </row>
    <row r="476" spans="1:25">
      <c r="A476" s="85"/>
      <c r="B476" s="85"/>
      <c r="C476" s="85"/>
      <c r="D476" s="85"/>
      <c r="E476" s="85"/>
      <c r="F476" s="85"/>
      <c r="G476" s="85"/>
      <c r="H476" s="85"/>
      <c r="J476" s="85"/>
      <c r="K476" s="85"/>
      <c r="L476" s="85"/>
      <c r="M476" s="85"/>
      <c r="N476" s="85"/>
      <c r="O476" s="85"/>
      <c r="P476" s="85"/>
      <c r="Q476" s="85"/>
      <c r="R476" s="63"/>
      <c r="S476" s="63"/>
      <c r="T476" s="63"/>
      <c r="U476" s="63"/>
      <c r="V476" s="63"/>
      <c r="W476" s="63"/>
      <c r="X476" s="63"/>
      <c r="Y476" s="63"/>
    </row>
    <row r="477" spans="1:25">
      <c r="A477" s="85"/>
      <c r="B477" s="85"/>
      <c r="C477" s="85"/>
      <c r="D477" s="85"/>
      <c r="E477" s="85"/>
      <c r="F477" s="85"/>
      <c r="G477" s="85"/>
      <c r="H477" s="85"/>
      <c r="J477" s="85"/>
      <c r="K477" s="85"/>
      <c r="L477" s="85"/>
      <c r="M477" s="85"/>
      <c r="N477" s="85"/>
      <c r="O477" s="85"/>
      <c r="P477" s="85"/>
      <c r="Q477" s="85"/>
      <c r="R477" s="63"/>
      <c r="S477" s="63"/>
      <c r="T477" s="63"/>
      <c r="U477" s="63"/>
      <c r="V477" s="63"/>
      <c r="W477" s="63"/>
      <c r="X477" s="63"/>
      <c r="Y477" s="63"/>
    </row>
    <row r="478" spans="1:25">
      <c r="A478" s="85"/>
      <c r="B478" s="85"/>
      <c r="C478" s="85"/>
      <c r="D478" s="85"/>
      <c r="E478" s="85"/>
      <c r="F478" s="85"/>
      <c r="G478" s="85"/>
      <c r="H478" s="85"/>
      <c r="J478" s="85"/>
      <c r="K478" s="85"/>
      <c r="L478" s="85"/>
      <c r="M478" s="85"/>
      <c r="N478" s="85"/>
      <c r="O478" s="85"/>
      <c r="P478" s="85"/>
      <c r="Q478" s="85"/>
      <c r="R478" s="63"/>
      <c r="S478" s="63"/>
      <c r="T478" s="63"/>
      <c r="U478" s="63"/>
      <c r="V478" s="63"/>
      <c r="W478" s="63"/>
      <c r="X478" s="63"/>
      <c r="Y478" s="63"/>
    </row>
    <row r="479" spans="1:25">
      <c r="A479" s="85"/>
      <c r="B479" s="85"/>
      <c r="C479" s="85"/>
      <c r="D479" s="85"/>
      <c r="E479" s="85"/>
      <c r="F479" s="85"/>
      <c r="G479" s="85"/>
      <c r="H479" s="85"/>
      <c r="J479" s="85"/>
      <c r="K479" s="85"/>
      <c r="L479" s="85"/>
      <c r="M479" s="85"/>
      <c r="N479" s="85"/>
      <c r="O479" s="85"/>
      <c r="P479" s="85"/>
      <c r="Q479" s="85"/>
      <c r="R479" s="63"/>
      <c r="S479" s="63"/>
      <c r="T479" s="63"/>
      <c r="U479" s="63"/>
      <c r="V479" s="63"/>
      <c r="W479" s="63"/>
      <c r="X479" s="63"/>
      <c r="Y479" s="63"/>
    </row>
    <row r="480" spans="1:25">
      <c r="A480" s="85"/>
      <c r="B480" s="85"/>
      <c r="C480" s="85"/>
      <c r="D480" s="85"/>
      <c r="E480" s="85"/>
      <c r="F480" s="85"/>
      <c r="G480" s="85"/>
      <c r="H480" s="85"/>
      <c r="J480" s="85"/>
      <c r="K480" s="85"/>
      <c r="L480" s="85"/>
      <c r="M480" s="85"/>
      <c r="N480" s="85"/>
      <c r="O480" s="85"/>
      <c r="P480" s="85"/>
      <c r="Q480" s="85"/>
      <c r="R480" s="63"/>
      <c r="S480" s="63"/>
      <c r="T480" s="63"/>
      <c r="U480" s="63"/>
      <c r="V480" s="63"/>
      <c r="W480" s="63"/>
      <c r="X480" s="63"/>
      <c r="Y480" s="63"/>
    </row>
    <row r="481" spans="1:25">
      <c r="A481" s="85"/>
      <c r="B481" s="85"/>
      <c r="C481" s="85"/>
      <c r="D481" s="85"/>
      <c r="E481" s="85"/>
      <c r="F481" s="85"/>
      <c r="G481" s="85"/>
      <c r="H481" s="85"/>
      <c r="J481" s="85"/>
      <c r="K481" s="85"/>
      <c r="L481" s="85"/>
      <c r="M481" s="85"/>
      <c r="N481" s="85"/>
      <c r="O481" s="85"/>
      <c r="P481" s="85"/>
      <c r="Q481" s="85"/>
      <c r="R481" s="63"/>
      <c r="S481" s="63"/>
      <c r="T481" s="63"/>
      <c r="U481" s="63"/>
      <c r="V481" s="63"/>
      <c r="W481" s="63"/>
      <c r="X481" s="63"/>
      <c r="Y481" s="63"/>
    </row>
    <row r="482" spans="1:25">
      <c r="A482" s="85"/>
      <c r="B482" s="85"/>
      <c r="C482" s="85"/>
      <c r="D482" s="85"/>
      <c r="E482" s="85"/>
      <c r="F482" s="85"/>
      <c r="G482" s="85"/>
      <c r="H482" s="85"/>
      <c r="J482" s="85"/>
      <c r="K482" s="85"/>
      <c r="L482" s="85"/>
      <c r="M482" s="85"/>
      <c r="N482" s="85"/>
      <c r="O482" s="85"/>
      <c r="P482" s="85"/>
      <c r="Q482" s="85"/>
      <c r="R482" s="63"/>
      <c r="S482" s="63"/>
      <c r="T482" s="63"/>
      <c r="U482" s="63"/>
      <c r="V482" s="63"/>
      <c r="W482" s="63"/>
      <c r="X482" s="63"/>
      <c r="Y482" s="63"/>
    </row>
    <row r="483" spans="1:25">
      <c r="A483" s="85"/>
      <c r="B483" s="85"/>
      <c r="C483" s="85"/>
      <c r="D483" s="85"/>
      <c r="E483" s="85"/>
      <c r="F483" s="85"/>
      <c r="G483" s="85"/>
      <c r="H483" s="85"/>
      <c r="J483" s="85"/>
      <c r="K483" s="85"/>
      <c r="L483" s="85"/>
      <c r="M483" s="85"/>
      <c r="N483" s="85"/>
      <c r="O483" s="85"/>
      <c r="P483" s="85"/>
      <c r="Q483" s="85"/>
      <c r="R483" s="63"/>
      <c r="S483" s="63"/>
      <c r="T483" s="63"/>
      <c r="U483" s="63"/>
      <c r="V483" s="63"/>
      <c r="W483" s="63"/>
      <c r="X483" s="63"/>
      <c r="Y483" s="63"/>
    </row>
    <row r="484" spans="1:25">
      <c r="A484" s="85"/>
      <c r="B484" s="85"/>
      <c r="C484" s="85"/>
      <c r="D484" s="85"/>
      <c r="E484" s="85"/>
      <c r="F484" s="85"/>
      <c r="G484" s="85"/>
      <c r="H484" s="85"/>
      <c r="J484" s="85"/>
      <c r="K484" s="85"/>
      <c r="L484" s="85"/>
      <c r="M484" s="85"/>
      <c r="N484" s="85"/>
      <c r="O484" s="85"/>
      <c r="P484" s="85"/>
      <c r="Q484" s="85"/>
      <c r="R484" s="63"/>
      <c r="S484" s="63"/>
      <c r="T484" s="63"/>
      <c r="U484" s="63"/>
      <c r="V484" s="63"/>
      <c r="W484" s="63"/>
      <c r="X484" s="63"/>
      <c r="Y484" s="63"/>
    </row>
    <row r="485" spans="1:25">
      <c r="A485" s="85"/>
      <c r="B485" s="85"/>
      <c r="C485" s="85"/>
      <c r="D485" s="85"/>
      <c r="E485" s="85"/>
      <c r="F485" s="85"/>
      <c r="G485" s="85"/>
      <c r="H485" s="85"/>
      <c r="J485" s="85"/>
      <c r="K485" s="85"/>
      <c r="L485" s="85"/>
      <c r="M485" s="85"/>
      <c r="N485" s="85"/>
      <c r="O485" s="85"/>
      <c r="P485" s="85"/>
      <c r="Q485" s="85"/>
      <c r="R485" s="63"/>
      <c r="S485" s="63"/>
      <c r="T485" s="63"/>
      <c r="U485" s="63"/>
      <c r="V485" s="63"/>
      <c r="W485" s="63"/>
      <c r="X485" s="63"/>
      <c r="Y485" s="63"/>
    </row>
    <row r="486" spans="1:25">
      <c r="A486" s="85"/>
      <c r="B486" s="85"/>
      <c r="C486" s="85"/>
      <c r="D486" s="85"/>
      <c r="E486" s="85"/>
      <c r="F486" s="85"/>
      <c r="G486" s="85"/>
      <c r="H486" s="85"/>
      <c r="J486" s="85"/>
      <c r="K486" s="85"/>
      <c r="L486" s="85"/>
      <c r="M486" s="85"/>
      <c r="N486" s="85"/>
      <c r="O486" s="85"/>
      <c r="P486" s="85"/>
      <c r="Q486" s="85"/>
      <c r="R486" s="63"/>
      <c r="S486" s="63"/>
      <c r="T486" s="63"/>
      <c r="U486" s="63"/>
      <c r="V486" s="63"/>
      <c r="W486" s="63"/>
      <c r="X486" s="63"/>
      <c r="Y486" s="63"/>
    </row>
    <row r="487" spans="1:25">
      <c r="A487" s="85"/>
      <c r="B487" s="85"/>
      <c r="C487" s="85"/>
      <c r="D487" s="85"/>
      <c r="E487" s="85"/>
      <c r="F487" s="85"/>
      <c r="G487" s="85"/>
      <c r="H487" s="85"/>
      <c r="J487" s="85"/>
      <c r="K487" s="85"/>
      <c r="L487" s="85"/>
      <c r="M487" s="85"/>
      <c r="N487" s="85"/>
      <c r="O487" s="85"/>
      <c r="P487" s="85"/>
      <c r="Q487" s="85"/>
      <c r="R487" s="63"/>
      <c r="S487" s="63"/>
      <c r="T487" s="63"/>
      <c r="U487" s="63"/>
      <c r="V487" s="63"/>
      <c r="W487" s="63"/>
      <c r="X487" s="63"/>
      <c r="Y487" s="63"/>
    </row>
    <row r="488" spans="1:25">
      <c r="A488" s="85"/>
      <c r="B488" s="85"/>
      <c r="C488" s="85"/>
      <c r="D488" s="85"/>
      <c r="E488" s="85"/>
      <c r="F488" s="85"/>
      <c r="G488" s="85"/>
      <c r="H488" s="85"/>
      <c r="J488" s="85"/>
      <c r="K488" s="85"/>
      <c r="L488" s="85"/>
      <c r="M488" s="85"/>
      <c r="N488" s="85"/>
      <c r="O488" s="85"/>
      <c r="P488" s="85"/>
      <c r="Q488" s="85"/>
      <c r="R488" s="63"/>
      <c r="S488" s="63"/>
      <c r="T488" s="63"/>
      <c r="U488" s="63"/>
      <c r="V488" s="63"/>
      <c r="W488" s="63"/>
      <c r="X488" s="63"/>
      <c r="Y488" s="63"/>
    </row>
    <row r="489" spans="1:25">
      <c r="A489" s="85"/>
      <c r="B489" s="85"/>
      <c r="C489" s="85"/>
      <c r="D489" s="85"/>
      <c r="E489" s="85"/>
      <c r="F489" s="85"/>
      <c r="G489" s="85"/>
      <c r="H489" s="85"/>
      <c r="J489" s="85"/>
      <c r="K489" s="85"/>
      <c r="L489" s="85"/>
      <c r="M489" s="85"/>
      <c r="N489" s="85"/>
      <c r="O489" s="85"/>
      <c r="P489" s="85"/>
      <c r="Q489" s="85"/>
      <c r="R489" s="63"/>
      <c r="S489" s="63"/>
      <c r="T489" s="63"/>
      <c r="U489" s="63"/>
      <c r="V489" s="63"/>
      <c r="W489" s="63"/>
      <c r="X489" s="63"/>
      <c r="Y489" s="63"/>
    </row>
    <row r="490" spans="1:25">
      <c r="A490" s="85"/>
      <c r="B490" s="85"/>
      <c r="C490" s="85"/>
      <c r="D490" s="85"/>
      <c r="E490" s="85"/>
      <c r="F490" s="85"/>
      <c r="G490" s="85"/>
      <c r="H490" s="85"/>
      <c r="J490" s="85"/>
      <c r="K490" s="85"/>
      <c r="L490" s="85"/>
      <c r="M490" s="85"/>
      <c r="N490" s="85"/>
      <c r="O490" s="85"/>
      <c r="P490" s="85"/>
      <c r="Q490" s="85"/>
      <c r="R490" s="63"/>
      <c r="S490" s="63"/>
      <c r="T490" s="63"/>
      <c r="U490" s="63"/>
      <c r="V490" s="63"/>
      <c r="W490" s="63"/>
      <c r="X490" s="63"/>
      <c r="Y490" s="63"/>
    </row>
    <row r="491" spans="1:25">
      <c r="A491" s="85"/>
      <c r="B491" s="85"/>
      <c r="C491" s="85"/>
      <c r="D491" s="85"/>
      <c r="E491" s="85"/>
      <c r="F491" s="85"/>
      <c r="G491" s="85"/>
      <c r="H491" s="85"/>
      <c r="J491" s="85"/>
      <c r="K491" s="85"/>
      <c r="L491" s="85"/>
      <c r="M491" s="85"/>
      <c r="N491" s="85"/>
      <c r="O491" s="85"/>
      <c r="P491" s="85"/>
      <c r="Q491" s="85"/>
      <c r="R491" s="63"/>
      <c r="S491" s="63"/>
      <c r="T491" s="63"/>
      <c r="U491" s="63"/>
      <c r="V491" s="63"/>
      <c r="W491" s="63"/>
      <c r="X491" s="63"/>
      <c r="Y491" s="63"/>
    </row>
    <row r="492" spans="1:25">
      <c r="A492" s="85"/>
      <c r="B492" s="85"/>
      <c r="C492" s="85"/>
      <c r="D492" s="85"/>
      <c r="E492" s="85"/>
      <c r="F492" s="85"/>
      <c r="G492" s="85"/>
      <c r="H492" s="85"/>
      <c r="J492" s="85"/>
      <c r="K492" s="85"/>
      <c r="L492" s="85"/>
      <c r="M492" s="85"/>
      <c r="N492" s="85"/>
      <c r="O492" s="85"/>
      <c r="P492" s="85"/>
      <c r="Q492" s="85"/>
      <c r="R492" s="63"/>
      <c r="S492" s="63"/>
      <c r="T492" s="63"/>
      <c r="U492" s="63"/>
      <c r="V492" s="63"/>
      <c r="W492" s="63"/>
      <c r="X492" s="63"/>
      <c r="Y492" s="63"/>
    </row>
    <row r="493" spans="1:25">
      <c r="A493" s="85"/>
      <c r="B493" s="85"/>
      <c r="C493" s="85"/>
      <c r="D493" s="85"/>
      <c r="E493" s="85"/>
      <c r="F493" s="85"/>
      <c r="G493" s="85"/>
      <c r="H493" s="85"/>
      <c r="J493" s="85"/>
      <c r="K493" s="85"/>
      <c r="L493" s="85"/>
      <c r="M493" s="85"/>
      <c r="N493" s="85"/>
      <c r="O493" s="85"/>
      <c r="P493" s="85"/>
      <c r="Q493" s="85"/>
      <c r="R493" s="63"/>
      <c r="S493" s="63"/>
      <c r="T493" s="63"/>
      <c r="U493" s="63"/>
      <c r="V493" s="63"/>
      <c r="W493" s="63"/>
      <c r="X493" s="63"/>
      <c r="Y493" s="63"/>
    </row>
    <row r="494" spans="1:25">
      <c r="A494" s="85"/>
      <c r="B494" s="85"/>
      <c r="C494" s="85"/>
      <c r="D494" s="85"/>
      <c r="E494" s="85"/>
      <c r="F494" s="85"/>
      <c r="G494" s="85"/>
      <c r="H494" s="85"/>
      <c r="J494" s="85"/>
      <c r="K494" s="85"/>
      <c r="L494" s="85"/>
      <c r="M494" s="85"/>
      <c r="N494" s="85"/>
      <c r="O494" s="85"/>
      <c r="P494" s="85"/>
      <c r="Q494" s="85"/>
      <c r="R494" s="63"/>
      <c r="S494" s="63"/>
      <c r="T494" s="63"/>
      <c r="U494" s="63"/>
      <c r="V494" s="63"/>
      <c r="W494" s="63"/>
      <c r="X494" s="63"/>
      <c r="Y494" s="63"/>
    </row>
    <row r="495" spans="1:25">
      <c r="A495" s="85"/>
      <c r="B495" s="85"/>
      <c r="C495" s="85"/>
      <c r="D495" s="85"/>
      <c r="E495" s="85"/>
      <c r="F495" s="85"/>
      <c r="G495" s="85"/>
      <c r="H495" s="85"/>
      <c r="J495" s="85"/>
      <c r="K495" s="85"/>
      <c r="L495" s="85"/>
      <c r="M495" s="85"/>
      <c r="N495" s="85"/>
      <c r="O495" s="85"/>
      <c r="P495" s="85"/>
      <c r="Q495" s="85"/>
      <c r="R495" s="63"/>
      <c r="S495" s="63"/>
      <c r="T495" s="63"/>
      <c r="U495" s="63"/>
      <c r="V495" s="63"/>
      <c r="W495" s="63"/>
      <c r="X495" s="63"/>
      <c r="Y495" s="63"/>
    </row>
    <row r="496" spans="1:25">
      <c r="A496" s="85"/>
      <c r="B496" s="85"/>
      <c r="C496" s="85"/>
      <c r="D496" s="85"/>
      <c r="E496" s="85"/>
      <c r="F496" s="85"/>
      <c r="G496" s="85"/>
      <c r="H496" s="85"/>
      <c r="J496" s="85"/>
      <c r="K496" s="85"/>
      <c r="L496" s="85"/>
      <c r="M496" s="85"/>
      <c r="N496" s="85"/>
      <c r="O496" s="85"/>
      <c r="P496" s="85"/>
      <c r="Q496" s="85"/>
      <c r="R496" s="63"/>
      <c r="S496" s="63"/>
      <c r="T496" s="63"/>
      <c r="U496" s="63"/>
      <c r="V496" s="63"/>
      <c r="W496" s="63"/>
      <c r="X496" s="63"/>
      <c r="Y496" s="63"/>
    </row>
    <row r="497" spans="1:25">
      <c r="A497" s="85"/>
      <c r="B497" s="85"/>
      <c r="C497" s="85"/>
      <c r="D497" s="85"/>
      <c r="E497" s="85"/>
      <c r="F497" s="85"/>
      <c r="G497" s="85"/>
      <c r="H497" s="85"/>
      <c r="J497" s="85"/>
      <c r="K497" s="85"/>
      <c r="L497" s="85"/>
      <c r="M497" s="85"/>
      <c r="N497" s="85"/>
      <c r="O497" s="85"/>
      <c r="P497" s="85"/>
      <c r="Q497" s="85"/>
      <c r="R497" s="63"/>
      <c r="S497" s="63"/>
      <c r="T497" s="63"/>
      <c r="U497" s="63"/>
      <c r="V497" s="63"/>
      <c r="W497" s="63"/>
      <c r="X497" s="63"/>
      <c r="Y497" s="63"/>
    </row>
    <row r="498" spans="1:25">
      <c r="A498" s="85"/>
      <c r="B498" s="85"/>
      <c r="C498" s="85"/>
      <c r="D498" s="85"/>
      <c r="E498" s="85"/>
      <c r="F498" s="85"/>
      <c r="G498" s="85"/>
      <c r="H498" s="85"/>
      <c r="J498" s="85"/>
      <c r="K498" s="85"/>
      <c r="L498" s="85"/>
      <c r="M498" s="85"/>
      <c r="N498" s="85"/>
      <c r="O498" s="85"/>
      <c r="P498" s="85"/>
      <c r="Q498" s="85"/>
      <c r="R498" s="63"/>
      <c r="S498" s="63"/>
      <c r="T498" s="63"/>
      <c r="U498" s="63"/>
      <c r="V498" s="63"/>
      <c r="W498" s="63"/>
      <c r="X498" s="63"/>
      <c r="Y498" s="63"/>
    </row>
    <row r="499" spans="1:25">
      <c r="A499" s="85"/>
      <c r="B499" s="85"/>
      <c r="C499" s="85"/>
      <c r="D499" s="85"/>
      <c r="E499" s="85"/>
      <c r="F499" s="85"/>
      <c r="G499" s="85"/>
      <c r="H499" s="85"/>
      <c r="J499" s="85"/>
      <c r="K499" s="85"/>
      <c r="L499" s="85"/>
      <c r="M499" s="85"/>
      <c r="N499" s="85"/>
      <c r="O499" s="85"/>
      <c r="P499" s="85"/>
      <c r="Q499" s="85"/>
      <c r="R499" s="63"/>
      <c r="S499" s="63"/>
      <c r="T499" s="63"/>
      <c r="U499" s="63"/>
      <c r="V499" s="63"/>
      <c r="W499" s="63"/>
      <c r="X499" s="63"/>
      <c r="Y499" s="63"/>
    </row>
    <row r="500" spans="1:25">
      <c r="A500" s="85"/>
      <c r="B500" s="85"/>
      <c r="C500" s="85"/>
      <c r="D500" s="85"/>
      <c r="E500" s="85"/>
      <c r="F500" s="85"/>
      <c r="G500" s="85"/>
      <c r="H500" s="85"/>
      <c r="J500" s="85"/>
      <c r="K500" s="85"/>
      <c r="L500" s="85"/>
      <c r="M500" s="85"/>
      <c r="N500" s="85"/>
      <c r="O500" s="85"/>
      <c r="P500" s="85"/>
      <c r="Q500" s="85"/>
      <c r="R500" s="63"/>
      <c r="S500" s="63"/>
      <c r="T500" s="63"/>
      <c r="U500" s="63"/>
      <c r="V500" s="63"/>
      <c r="W500" s="63"/>
      <c r="X500" s="63"/>
      <c r="Y500" s="63"/>
    </row>
    <row r="501" spans="1:25">
      <c r="A501" s="85"/>
      <c r="B501" s="85"/>
      <c r="C501" s="85"/>
      <c r="D501" s="85"/>
      <c r="E501" s="85"/>
      <c r="F501" s="85"/>
      <c r="G501" s="85"/>
      <c r="H501" s="85"/>
      <c r="J501" s="85"/>
      <c r="K501" s="85"/>
      <c r="L501" s="85"/>
      <c r="M501" s="85"/>
      <c r="N501" s="85"/>
      <c r="O501" s="85"/>
      <c r="P501" s="85"/>
      <c r="Q501" s="85"/>
      <c r="R501" s="63"/>
      <c r="S501" s="63"/>
      <c r="T501" s="63"/>
      <c r="U501" s="63"/>
      <c r="V501" s="63"/>
      <c r="W501" s="63"/>
      <c r="X501" s="63"/>
      <c r="Y501" s="63"/>
    </row>
    <row r="502" spans="1:25">
      <c r="A502" s="85"/>
      <c r="B502" s="85"/>
      <c r="C502" s="85"/>
      <c r="D502" s="85"/>
      <c r="E502" s="85"/>
      <c r="F502" s="85"/>
      <c r="G502" s="85"/>
      <c r="H502" s="85"/>
      <c r="J502" s="85"/>
      <c r="K502" s="85"/>
      <c r="L502" s="85"/>
      <c r="M502" s="85"/>
      <c r="N502" s="85"/>
      <c r="O502" s="85"/>
      <c r="P502" s="85"/>
      <c r="Q502" s="85"/>
      <c r="R502" s="63"/>
      <c r="S502" s="63"/>
      <c r="T502" s="63"/>
      <c r="U502" s="63"/>
      <c r="V502" s="63"/>
      <c r="W502" s="63"/>
      <c r="X502" s="63"/>
      <c r="Y502" s="63"/>
    </row>
    <row r="503" spans="1:25">
      <c r="A503" s="85"/>
      <c r="B503" s="85"/>
      <c r="C503" s="85"/>
      <c r="D503" s="85"/>
      <c r="E503" s="85"/>
      <c r="F503" s="85"/>
      <c r="G503" s="85"/>
      <c r="H503" s="85"/>
      <c r="J503" s="85"/>
      <c r="K503" s="85"/>
      <c r="L503" s="85"/>
      <c r="M503" s="85"/>
      <c r="N503" s="85"/>
      <c r="O503" s="85"/>
      <c r="P503" s="85"/>
      <c r="Q503" s="85"/>
      <c r="R503" s="63"/>
      <c r="S503" s="63"/>
      <c r="T503" s="63"/>
      <c r="U503" s="63"/>
      <c r="V503" s="63"/>
      <c r="W503" s="63"/>
      <c r="X503" s="63"/>
      <c r="Y503" s="63"/>
    </row>
    <row r="504" spans="1:25">
      <c r="A504" s="85"/>
      <c r="B504" s="85"/>
      <c r="C504" s="85"/>
      <c r="D504" s="85"/>
      <c r="E504" s="85"/>
      <c r="F504" s="85"/>
      <c r="G504" s="85"/>
      <c r="H504" s="85"/>
      <c r="J504" s="85"/>
      <c r="K504" s="85"/>
      <c r="L504" s="85"/>
      <c r="M504" s="85"/>
      <c r="N504" s="85"/>
      <c r="O504" s="85"/>
      <c r="P504" s="85"/>
      <c r="Q504" s="85"/>
      <c r="R504" s="63"/>
      <c r="S504" s="63"/>
      <c r="T504" s="63"/>
      <c r="U504" s="63"/>
      <c r="V504" s="63"/>
      <c r="W504" s="63"/>
      <c r="X504" s="63"/>
      <c r="Y504" s="63"/>
    </row>
    <row r="505" spans="1:25">
      <c r="A505" s="85"/>
      <c r="B505" s="85"/>
      <c r="C505" s="85"/>
      <c r="D505" s="85"/>
      <c r="E505" s="85"/>
      <c r="F505" s="85"/>
      <c r="G505" s="85"/>
      <c r="H505" s="85"/>
      <c r="J505" s="85"/>
      <c r="K505" s="85"/>
      <c r="L505" s="85"/>
      <c r="M505" s="85"/>
      <c r="N505" s="85"/>
      <c r="O505" s="85"/>
      <c r="P505" s="85"/>
      <c r="Q505" s="85"/>
      <c r="R505" s="63"/>
      <c r="S505" s="63"/>
      <c r="T505" s="63"/>
      <c r="U505" s="63"/>
      <c r="V505" s="63"/>
      <c r="W505" s="63"/>
      <c r="X505" s="63"/>
      <c r="Y505" s="63"/>
    </row>
    <row r="506" spans="1:25">
      <c r="A506" s="85"/>
      <c r="B506" s="85"/>
      <c r="C506" s="85"/>
      <c r="D506" s="85"/>
      <c r="E506" s="85"/>
      <c r="F506" s="85"/>
      <c r="G506" s="85"/>
      <c r="H506" s="85"/>
      <c r="J506" s="85"/>
      <c r="K506" s="85"/>
      <c r="L506" s="85"/>
      <c r="M506" s="85"/>
      <c r="N506" s="85"/>
      <c r="O506" s="85"/>
      <c r="P506" s="85"/>
      <c r="Q506" s="85"/>
      <c r="R506" s="63"/>
      <c r="S506" s="63"/>
      <c r="T506" s="63"/>
      <c r="U506" s="63"/>
      <c r="V506" s="63"/>
      <c r="W506" s="63"/>
      <c r="X506" s="63"/>
      <c r="Y506" s="63"/>
    </row>
    <row r="507" spans="1:25">
      <c r="A507" s="85"/>
      <c r="B507" s="85"/>
      <c r="C507" s="85"/>
      <c r="D507" s="85"/>
      <c r="E507" s="85"/>
      <c r="F507" s="85"/>
      <c r="G507" s="85"/>
      <c r="H507" s="85"/>
      <c r="J507" s="85"/>
      <c r="K507" s="85"/>
      <c r="L507" s="85"/>
      <c r="M507" s="85"/>
      <c r="N507" s="85"/>
      <c r="O507" s="85"/>
      <c r="P507" s="85"/>
      <c r="Q507" s="85"/>
      <c r="R507" s="63"/>
      <c r="S507" s="63"/>
      <c r="T507" s="63"/>
      <c r="U507" s="63"/>
      <c r="V507" s="63"/>
      <c r="W507" s="63"/>
      <c r="X507" s="63"/>
      <c r="Y507" s="63"/>
    </row>
    <row r="508" spans="1:25">
      <c r="A508" s="85"/>
      <c r="B508" s="85"/>
      <c r="C508" s="85"/>
      <c r="D508" s="85"/>
      <c r="E508" s="85"/>
      <c r="F508" s="85"/>
      <c r="G508" s="85"/>
      <c r="H508" s="85"/>
      <c r="J508" s="85"/>
      <c r="K508" s="85"/>
      <c r="L508" s="85"/>
      <c r="M508" s="85"/>
      <c r="N508" s="85"/>
      <c r="O508" s="85"/>
      <c r="P508" s="85"/>
      <c r="Q508" s="85"/>
      <c r="R508" s="63"/>
      <c r="S508" s="63"/>
      <c r="T508" s="63"/>
      <c r="U508" s="63"/>
      <c r="V508" s="63"/>
      <c r="W508" s="63"/>
      <c r="X508" s="63"/>
      <c r="Y508" s="63"/>
    </row>
    <row r="509" spans="1:25">
      <c r="A509" s="85"/>
      <c r="B509" s="85"/>
      <c r="C509" s="85"/>
      <c r="D509" s="85"/>
      <c r="E509" s="85"/>
      <c r="F509" s="85"/>
      <c r="G509" s="85"/>
      <c r="H509" s="85"/>
      <c r="J509" s="85"/>
      <c r="K509" s="85"/>
      <c r="L509" s="85"/>
      <c r="M509" s="85"/>
      <c r="N509" s="85"/>
      <c r="O509" s="85"/>
      <c r="P509" s="85"/>
      <c r="Q509" s="85"/>
      <c r="R509" s="63"/>
      <c r="S509" s="63"/>
      <c r="T509" s="63"/>
      <c r="U509" s="63"/>
      <c r="V509" s="63"/>
      <c r="W509" s="63"/>
      <c r="X509" s="63"/>
      <c r="Y509" s="63"/>
    </row>
    <row r="510" spans="1:25">
      <c r="A510" s="85"/>
      <c r="B510" s="85"/>
      <c r="C510" s="85"/>
      <c r="D510" s="85"/>
      <c r="E510" s="85"/>
      <c r="F510" s="85"/>
      <c r="G510" s="85"/>
      <c r="H510" s="85"/>
      <c r="J510" s="85"/>
      <c r="K510" s="85"/>
      <c r="L510" s="85"/>
      <c r="M510" s="85"/>
      <c r="N510" s="85"/>
      <c r="O510" s="85"/>
      <c r="P510" s="85"/>
      <c r="Q510" s="85"/>
      <c r="R510" s="63"/>
      <c r="S510" s="63"/>
      <c r="T510" s="63"/>
      <c r="U510" s="63"/>
      <c r="V510" s="63"/>
      <c r="W510" s="63"/>
      <c r="X510" s="63"/>
      <c r="Y510" s="63"/>
    </row>
    <row r="511" spans="1:25">
      <c r="A511" s="85"/>
      <c r="B511" s="85"/>
      <c r="C511" s="85"/>
      <c r="D511" s="85"/>
      <c r="E511" s="85"/>
      <c r="F511" s="85"/>
      <c r="G511" s="85"/>
      <c r="H511" s="85"/>
      <c r="J511" s="85"/>
      <c r="K511" s="85"/>
      <c r="L511" s="85"/>
      <c r="M511" s="85"/>
      <c r="N511" s="85"/>
      <c r="O511" s="85"/>
      <c r="P511" s="85"/>
      <c r="Q511" s="85"/>
      <c r="R511" s="63"/>
      <c r="S511" s="63"/>
      <c r="T511" s="63"/>
      <c r="U511" s="63"/>
      <c r="V511" s="63"/>
      <c r="W511" s="63"/>
      <c r="X511" s="63"/>
      <c r="Y511" s="63"/>
    </row>
    <row r="512" spans="1:25">
      <c r="A512" s="85"/>
      <c r="B512" s="85"/>
      <c r="C512" s="85"/>
      <c r="D512" s="85"/>
      <c r="E512" s="85"/>
      <c r="F512" s="85"/>
      <c r="G512" s="85"/>
      <c r="H512" s="85"/>
      <c r="J512" s="85"/>
      <c r="K512" s="85"/>
      <c r="L512" s="85"/>
      <c r="M512" s="85"/>
      <c r="N512" s="85"/>
      <c r="O512" s="85"/>
      <c r="P512" s="85"/>
      <c r="Q512" s="85"/>
      <c r="R512" s="63"/>
      <c r="S512" s="63"/>
      <c r="T512" s="63"/>
      <c r="U512" s="63"/>
      <c r="V512" s="63"/>
      <c r="W512" s="63"/>
      <c r="X512" s="63"/>
      <c r="Y512" s="63"/>
    </row>
    <row r="513" spans="1:25">
      <c r="A513" s="85"/>
      <c r="B513" s="85"/>
      <c r="C513" s="85"/>
      <c r="D513" s="85"/>
      <c r="E513" s="85"/>
      <c r="F513" s="85"/>
      <c r="G513" s="85"/>
      <c r="H513" s="85"/>
      <c r="J513" s="85"/>
      <c r="K513" s="85"/>
      <c r="L513" s="85"/>
      <c r="M513" s="85"/>
      <c r="N513" s="85"/>
      <c r="O513" s="85"/>
      <c r="P513" s="85"/>
      <c r="Q513" s="85"/>
      <c r="R513" s="63"/>
      <c r="S513" s="63"/>
      <c r="T513" s="63"/>
      <c r="U513" s="63"/>
      <c r="V513" s="63"/>
      <c r="W513" s="63"/>
      <c r="X513" s="63"/>
      <c r="Y513" s="63"/>
    </row>
    <row r="514" spans="1:25">
      <c r="A514" s="85"/>
      <c r="B514" s="85"/>
      <c r="C514" s="85"/>
      <c r="D514" s="85"/>
      <c r="E514" s="85"/>
      <c r="F514" s="85"/>
      <c r="G514" s="85"/>
      <c r="H514" s="85"/>
      <c r="J514" s="85"/>
      <c r="K514" s="85"/>
      <c r="L514" s="85"/>
      <c r="M514" s="85"/>
      <c r="N514" s="85"/>
      <c r="O514" s="85"/>
      <c r="P514" s="85"/>
      <c r="Q514" s="85"/>
      <c r="R514" s="63"/>
      <c r="S514" s="63"/>
      <c r="T514" s="63"/>
      <c r="U514" s="63"/>
      <c r="V514" s="63"/>
      <c r="W514" s="63"/>
      <c r="X514" s="63"/>
      <c r="Y514" s="63"/>
    </row>
    <row r="515" spans="1:25">
      <c r="A515" s="85"/>
      <c r="B515" s="85"/>
      <c r="C515" s="85"/>
      <c r="D515" s="85"/>
      <c r="E515" s="85"/>
      <c r="F515" s="85"/>
      <c r="G515" s="85"/>
      <c r="H515" s="85"/>
      <c r="J515" s="85"/>
      <c r="K515" s="85"/>
      <c r="L515" s="85"/>
      <c r="M515" s="85"/>
      <c r="N515" s="85"/>
      <c r="O515" s="85"/>
      <c r="P515" s="85"/>
      <c r="Q515" s="85"/>
      <c r="R515" s="63"/>
      <c r="S515" s="63"/>
      <c r="T515" s="63"/>
      <c r="U515" s="63"/>
      <c r="V515" s="63"/>
      <c r="W515" s="63"/>
      <c r="X515" s="63"/>
      <c r="Y515" s="63"/>
    </row>
    <row r="516" spans="1:25">
      <c r="A516" s="85"/>
      <c r="B516" s="85"/>
      <c r="C516" s="85"/>
      <c r="D516" s="85"/>
      <c r="E516" s="85"/>
      <c r="F516" s="85"/>
      <c r="G516" s="85"/>
      <c r="H516" s="85"/>
      <c r="J516" s="85"/>
      <c r="K516" s="85"/>
      <c r="L516" s="85"/>
      <c r="M516" s="85"/>
      <c r="N516" s="85"/>
      <c r="O516" s="85"/>
      <c r="P516" s="85"/>
      <c r="Q516" s="85"/>
      <c r="R516" s="63"/>
      <c r="S516" s="63"/>
      <c r="T516" s="63"/>
      <c r="U516" s="63"/>
      <c r="V516" s="63"/>
      <c r="W516" s="63"/>
      <c r="X516" s="63"/>
      <c r="Y516" s="63"/>
    </row>
    <row r="517" spans="1:25">
      <c r="A517" s="85"/>
      <c r="B517" s="85"/>
      <c r="C517" s="85"/>
      <c r="D517" s="85"/>
      <c r="E517" s="85"/>
      <c r="F517" s="85"/>
      <c r="G517" s="85"/>
      <c r="H517" s="85"/>
      <c r="J517" s="85"/>
      <c r="K517" s="85"/>
      <c r="L517" s="85"/>
      <c r="M517" s="85"/>
      <c r="N517" s="85"/>
      <c r="O517" s="85"/>
      <c r="P517" s="85"/>
      <c r="Q517" s="85"/>
      <c r="R517" s="63"/>
      <c r="S517" s="63"/>
      <c r="T517" s="63"/>
      <c r="U517" s="63"/>
      <c r="V517" s="63"/>
      <c r="W517" s="63"/>
      <c r="X517" s="63"/>
      <c r="Y517" s="63"/>
    </row>
    <row r="518" spans="1:25">
      <c r="A518" s="85"/>
      <c r="B518" s="85"/>
      <c r="C518" s="85"/>
      <c r="D518" s="85"/>
      <c r="E518" s="85"/>
      <c r="F518" s="85"/>
      <c r="G518" s="85"/>
      <c r="H518" s="85"/>
      <c r="J518" s="85"/>
      <c r="K518" s="85"/>
      <c r="L518" s="85"/>
      <c r="M518" s="85"/>
      <c r="N518" s="85"/>
      <c r="O518" s="85"/>
      <c r="P518" s="85"/>
      <c r="Q518" s="85"/>
      <c r="R518" s="63"/>
      <c r="S518" s="63"/>
      <c r="T518" s="63"/>
      <c r="U518" s="63"/>
      <c r="V518" s="63"/>
      <c r="W518" s="63"/>
      <c r="X518" s="63"/>
      <c r="Y518" s="63"/>
    </row>
    <row r="519" spans="1:25">
      <c r="A519" s="85"/>
      <c r="B519" s="85"/>
      <c r="C519" s="85"/>
      <c r="D519" s="85"/>
      <c r="E519" s="85"/>
      <c r="F519" s="85"/>
      <c r="G519" s="85"/>
      <c r="H519" s="85"/>
      <c r="J519" s="85"/>
      <c r="K519" s="85"/>
      <c r="L519" s="85"/>
      <c r="M519" s="85"/>
      <c r="N519" s="85"/>
      <c r="O519" s="85"/>
      <c r="P519" s="85"/>
      <c r="Q519" s="85"/>
      <c r="R519" s="63"/>
      <c r="S519" s="63"/>
      <c r="T519" s="63"/>
      <c r="U519" s="63"/>
      <c r="V519" s="63"/>
      <c r="W519" s="63"/>
      <c r="X519" s="63"/>
      <c r="Y519" s="63"/>
    </row>
    <row r="520" spans="1:25">
      <c r="A520" s="85"/>
      <c r="B520" s="85"/>
      <c r="C520" s="85"/>
      <c r="D520" s="85"/>
      <c r="E520" s="85"/>
      <c r="F520" s="85"/>
      <c r="G520" s="85"/>
      <c r="H520" s="85"/>
      <c r="J520" s="85"/>
      <c r="K520" s="85"/>
      <c r="L520" s="85"/>
      <c r="M520" s="85"/>
      <c r="N520" s="85"/>
      <c r="O520" s="85"/>
      <c r="P520" s="85"/>
      <c r="Q520" s="85"/>
      <c r="R520" s="63"/>
      <c r="S520" s="63"/>
      <c r="T520" s="63"/>
      <c r="U520" s="63"/>
      <c r="V520" s="63"/>
      <c r="W520" s="63"/>
      <c r="X520" s="63"/>
      <c r="Y520" s="63"/>
    </row>
    <row r="521" spans="1:25">
      <c r="A521" s="85"/>
      <c r="B521" s="85"/>
      <c r="C521" s="85"/>
      <c r="D521" s="85"/>
      <c r="E521" s="85"/>
      <c r="F521" s="85"/>
      <c r="G521" s="85"/>
      <c r="H521" s="85"/>
      <c r="J521" s="85"/>
      <c r="K521" s="85"/>
      <c r="L521" s="85"/>
      <c r="M521" s="85"/>
      <c r="N521" s="85"/>
      <c r="O521" s="85"/>
      <c r="P521" s="85"/>
      <c r="Q521" s="85"/>
      <c r="R521" s="63"/>
      <c r="S521" s="63"/>
      <c r="T521" s="63"/>
      <c r="U521" s="63"/>
      <c r="V521" s="63"/>
      <c r="W521" s="63"/>
      <c r="X521" s="63"/>
      <c r="Y521" s="63"/>
    </row>
    <row r="522" spans="1:25">
      <c r="A522" s="85"/>
      <c r="B522" s="85"/>
      <c r="C522" s="85"/>
      <c r="D522" s="85"/>
      <c r="E522" s="85"/>
      <c r="F522" s="85"/>
      <c r="G522" s="85"/>
      <c r="H522" s="85"/>
      <c r="J522" s="85"/>
      <c r="K522" s="85"/>
      <c r="L522" s="85"/>
      <c r="M522" s="85"/>
      <c r="N522" s="85"/>
      <c r="O522" s="85"/>
      <c r="P522" s="85"/>
      <c r="Q522" s="85"/>
      <c r="R522" s="63"/>
      <c r="S522" s="63"/>
      <c r="T522" s="63"/>
      <c r="U522" s="63"/>
      <c r="V522" s="63"/>
      <c r="W522" s="63"/>
      <c r="X522" s="63"/>
      <c r="Y522" s="63"/>
    </row>
    <row r="523" spans="1:25">
      <c r="A523" s="85"/>
      <c r="B523" s="85"/>
      <c r="C523" s="85"/>
      <c r="D523" s="85"/>
      <c r="E523" s="85"/>
      <c r="F523" s="85"/>
      <c r="G523" s="85"/>
      <c r="H523" s="85"/>
      <c r="J523" s="85"/>
      <c r="K523" s="85"/>
      <c r="L523" s="85"/>
      <c r="M523" s="85"/>
      <c r="N523" s="85"/>
      <c r="O523" s="85"/>
      <c r="P523" s="85"/>
      <c r="Q523" s="85"/>
      <c r="R523" s="63"/>
      <c r="S523" s="63"/>
      <c r="T523" s="63"/>
      <c r="U523" s="63"/>
      <c r="V523" s="63"/>
      <c r="W523" s="63"/>
      <c r="X523" s="63"/>
      <c r="Y523" s="63"/>
    </row>
    <row r="524" spans="1:25">
      <c r="A524" s="85"/>
      <c r="B524" s="85"/>
      <c r="C524" s="85"/>
      <c r="D524" s="85"/>
      <c r="E524" s="85"/>
      <c r="F524" s="85"/>
      <c r="G524" s="85"/>
      <c r="H524" s="85"/>
      <c r="J524" s="85"/>
      <c r="K524" s="85"/>
      <c r="L524" s="85"/>
      <c r="M524" s="85"/>
      <c r="N524" s="85"/>
      <c r="O524" s="85"/>
      <c r="P524" s="85"/>
      <c r="Q524" s="85"/>
      <c r="R524" s="63"/>
      <c r="S524" s="63"/>
      <c r="T524" s="63"/>
      <c r="U524" s="63"/>
      <c r="V524" s="63"/>
      <c r="W524" s="63"/>
      <c r="X524" s="63"/>
      <c r="Y524" s="63"/>
    </row>
    <row r="525" spans="1:25">
      <c r="A525" s="85"/>
      <c r="B525" s="85"/>
      <c r="C525" s="85"/>
      <c r="D525" s="85"/>
      <c r="E525" s="85"/>
      <c r="F525" s="85"/>
      <c r="G525" s="85"/>
      <c r="H525" s="85"/>
      <c r="J525" s="85"/>
      <c r="K525" s="85"/>
      <c r="L525" s="85"/>
      <c r="M525" s="85"/>
      <c r="N525" s="85"/>
      <c r="O525" s="85"/>
      <c r="P525" s="85"/>
      <c r="Q525" s="85"/>
      <c r="R525" s="63"/>
      <c r="S525" s="63"/>
      <c r="T525" s="63"/>
      <c r="U525" s="63"/>
      <c r="V525" s="63"/>
      <c r="W525" s="63"/>
      <c r="X525" s="63"/>
      <c r="Y525" s="63"/>
    </row>
    <row r="526" spans="1:25">
      <c r="A526" s="85"/>
      <c r="B526" s="85"/>
      <c r="C526" s="85"/>
      <c r="D526" s="85"/>
      <c r="E526" s="85"/>
      <c r="F526" s="85"/>
      <c r="G526" s="85"/>
      <c r="H526" s="85"/>
      <c r="J526" s="85"/>
      <c r="K526" s="85"/>
      <c r="L526" s="85"/>
      <c r="M526" s="85"/>
      <c r="N526" s="85"/>
      <c r="O526" s="85"/>
      <c r="P526" s="85"/>
      <c r="Q526" s="85"/>
      <c r="R526" s="63"/>
      <c r="S526" s="63"/>
      <c r="T526" s="63"/>
      <c r="U526" s="63"/>
      <c r="V526" s="63"/>
      <c r="W526" s="63"/>
      <c r="X526" s="63"/>
      <c r="Y526" s="63"/>
    </row>
    <row r="527" spans="1:25">
      <c r="A527" s="85"/>
      <c r="B527" s="85"/>
      <c r="C527" s="85"/>
      <c r="D527" s="85"/>
      <c r="E527" s="85"/>
      <c r="F527" s="85"/>
      <c r="G527" s="85"/>
      <c r="H527" s="85"/>
      <c r="J527" s="85"/>
      <c r="K527" s="85"/>
      <c r="L527" s="85"/>
      <c r="M527" s="85"/>
      <c r="N527" s="85"/>
      <c r="O527" s="85"/>
      <c r="P527" s="85"/>
      <c r="Q527" s="85"/>
      <c r="R527" s="63"/>
      <c r="S527" s="63"/>
      <c r="T527" s="63"/>
      <c r="U527" s="63"/>
      <c r="V527" s="63"/>
      <c r="W527" s="63"/>
      <c r="X527" s="63"/>
      <c r="Y527" s="63"/>
    </row>
    <row r="528" spans="1:25">
      <c r="A528" s="85"/>
      <c r="B528" s="85"/>
      <c r="C528" s="85"/>
      <c r="D528" s="85"/>
      <c r="E528" s="85"/>
      <c r="F528" s="85"/>
      <c r="G528" s="85"/>
      <c r="H528" s="85"/>
      <c r="J528" s="85"/>
      <c r="K528" s="85"/>
      <c r="L528" s="85"/>
      <c r="M528" s="85"/>
      <c r="N528" s="85"/>
      <c r="O528" s="85"/>
      <c r="P528" s="85"/>
      <c r="Q528" s="85"/>
      <c r="R528" s="63"/>
      <c r="S528" s="63"/>
      <c r="T528" s="63"/>
      <c r="U528" s="63"/>
      <c r="V528" s="63"/>
      <c r="W528" s="63"/>
      <c r="X528" s="63"/>
      <c r="Y528" s="63"/>
    </row>
    <row r="529" spans="1:25">
      <c r="A529" s="85"/>
      <c r="B529" s="85"/>
      <c r="C529" s="85"/>
      <c r="D529" s="85"/>
      <c r="E529" s="85"/>
      <c r="F529" s="85"/>
      <c r="G529" s="85"/>
      <c r="H529" s="85"/>
      <c r="J529" s="85"/>
      <c r="K529" s="85"/>
      <c r="L529" s="85"/>
      <c r="M529" s="85"/>
      <c r="N529" s="85"/>
      <c r="O529" s="85"/>
      <c r="P529" s="85"/>
      <c r="Q529" s="85"/>
      <c r="R529" s="63"/>
      <c r="S529" s="63"/>
      <c r="T529" s="63"/>
      <c r="U529" s="63"/>
      <c r="V529" s="63"/>
      <c r="W529" s="63"/>
      <c r="X529" s="63"/>
      <c r="Y529" s="63"/>
    </row>
    <row r="530" spans="1:25">
      <c r="A530" s="85"/>
      <c r="B530" s="85"/>
      <c r="C530" s="85"/>
      <c r="D530" s="85"/>
      <c r="E530" s="85"/>
      <c r="F530" s="85"/>
      <c r="G530" s="85"/>
      <c r="H530" s="85"/>
      <c r="J530" s="85"/>
      <c r="K530" s="85"/>
      <c r="L530" s="85"/>
      <c r="M530" s="85"/>
      <c r="N530" s="85"/>
      <c r="O530" s="85"/>
      <c r="P530" s="85"/>
      <c r="Q530" s="85"/>
      <c r="R530" s="63"/>
      <c r="S530" s="63"/>
      <c r="T530" s="63"/>
      <c r="U530" s="63"/>
      <c r="V530" s="63"/>
      <c r="W530" s="63"/>
      <c r="X530" s="63"/>
      <c r="Y530" s="63"/>
    </row>
    <row r="531" spans="1:25">
      <c r="A531" s="85"/>
      <c r="B531" s="85"/>
      <c r="C531" s="85"/>
      <c r="D531" s="85"/>
      <c r="E531" s="85"/>
      <c r="F531" s="85"/>
      <c r="G531" s="85"/>
      <c r="H531" s="85"/>
      <c r="J531" s="85"/>
      <c r="K531" s="85"/>
      <c r="L531" s="85"/>
      <c r="M531" s="85"/>
      <c r="N531" s="85"/>
      <c r="O531" s="85"/>
      <c r="P531" s="85"/>
      <c r="Q531" s="85"/>
      <c r="R531" s="63"/>
      <c r="S531" s="63"/>
      <c r="T531" s="63"/>
      <c r="U531" s="63"/>
      <c r="V531" s="63"/>
      <c r="W531" s="63"/>
      <c r="X531" s="63"/>
      <c r="Y531" s="63"/>
    </row>
    <row r="532" spans="1:25">
      <c r="A532" s="85"/>
      <c r="B532" s="85"/>
      <c r="C532" s="85"/>
      <c r="D532" s="85"/>
      <c r="E532" s="85"/>
      <c r="F532" s="85"/>
      <c r="G532" s="85"/>
      <c r="H532" s="85"/>
      <c r="J532" s="85"/>
      <c r="K532" s="85"/>
      <c r="L532" s="85"/>
      <c r="M532" s="85"/>
      <c r="N532" s="85"/>
      <c r="O532" s="85"/>
      <c r="P532" s="85"/>
      <c r="Q532" s="85"/>
      <c r="R532" s="63"/>
      <c r="S532" s="63"/>
      <c r="T532" s="63"/>
      <c r="U532" s="63"/>
      <c r="V532" s="63"/>
      <c r="W532" s="63"/>
      <c r="X532" s="63"/>
      <c r="Y532" s="63"/>
    </row>
    <row r="533" spans="1:25">
      <c r="A533" s="85"/>
      <c r="B533" s="85"/>
      <c r="C533" s="85"/>
      <c r="D533" s="85"/>
      <c r="E533" s="85"/>
      <c r="F533" s="85"/>
      <c r="G533" s="85"/>
      <c r="H533" s="85"/>
      <c r="J533" s="85"/>
      <c r="K533" s="85"/>
      <c r="L533" s="85"/>
      <c r="M533" s="85"/>
      <c r="N533" s="85"/>
      <c r="O533" s="85"/>
      <c r="P533" s="85"/>
      <c r="Q533" s="85"/>
      <c r="R533" s="63"/>
      <c r="S533" s="63"/>
      <c r="T533" s="63"/>
      <c r="U533" s="63"/>
      <c r="V533" s="63"/>
      <c r="W533" s="63"/>
      <c r="X533" s="63"/>
      <c r="Y533" s="63"/>
    </row>
    <row r="534" spans="1:25">
      <c r="A534" s="85"/>
      <c r="B534" s="85"/>
      <c r="C534" s="85"/>
      <c r="D534" s="85"/>
      <c r="E534" s="85"/>
      <c r="F534" s="85"/>
      <c r="G534" s="85"/>
      <c r="H534" s="85"/>
      <c r="J534" s="85"/>
      <c r="K534" s="85"/>
      <c r="L534" s="85"/>
      <c r="M534" s="85"/>
      <c r="N534" s="85"/>
      <c r="O534" s="85"/>
      <c r="P534" s="85"/>
      <c r="Q534" s="85"/>
      <c r="R534" s="63"/>
      <c r="S534" s="63"/>
      <c r="T534" s="63"/>
      <c r="U534" s="63"/>
      <c r="V534" s="63"/>
      <c r="W534" s="63"/>
      <c r="X534" s="63"/>
      <c r="Y534" s="63"/>
    </row>
    <row r="535" spans="1:25">
      <c r="A535" s="85"/>
      <c r="B535" s="85"/>
      <c r="C535" s="85"/>
      <c r="D535" s="85"/>
      <c r="E535" s="85"/>
      <c r="F535" s="85"/>
      <c r="G535" s="85"/>
      <c r="H535" s="85"/>
      <c r="J535" s="85"/>
      <c r="K535" s="85"/>
      <c r="L535" s="85"/>
      <c r="M535" s="85"/>
      <c r="N535" s="85"/>
      <c r="O535" s="85"/>
      <c r="P535" s="85"/>
      <c r="Q535" s="85"/>
      <c r="R535" s="63"/>
      <c r="S535" s="63"/>
      <c r="T535" s="63"/>
      <c r="U535" s="63"/>
      <c r="V535" s="63"/>
      <c r="W535" s="63"/>
      <c r="X535" s="63"/>
      <c r="Y535" s="63"/>
    </row>
    <row r="536" spans="1:25">
      <c r="A536" s="85"/>
      <c r="B536" s="85"/>
      <c r="C536" s="85"/>
      <c r="D536" s="85"/>
      <c r="E536" s="85"/>
      <c r="F536" s="85"/>
      <c r="G536" s="85"/>
      <c r="H536" s="85"/>
      <c r="J536" s="85"/>
      <c r="K536" s="85"/>
      <c r="L536" s="85"/>
      <c r="M536" s="85"/>
      <c r="N536" s="85"/>
      <c r="O536" s="85"/>
      <c r="P536" s="85"/>
      <c r="Q536" s="85"/>
      <c r="R536" s="63"/>
      <c r="S536" s="63"/>
      <c r="T536" s="63"/>
      <c r="U536" s="63"/>
      <c r="V536" s="63"/>
      <c r="W536" s="63"/>
      <c r="X536" s="63"/>
      <c r="Y536" s="63"/>
    </row>
    <row r="537" spans="1:25">
      <c r="A537" s="85"/>
      <c r="B537" s="85"/>
      <c r="C537" s="85"/>
      <c r="D537" s="85"/>
      <c r="E537" s="85"/>
      <c r="F537" s="85"/>
      <c r="G537" s="85"/>
      <c r="H537" s="85"/>
      <c r="J537" s="85"/>
      <c r="K537" s="85"/>
      <c r="L537" s="85"/>
      <c r="M537" s="85"/>
      <c r="N537" s="85"/>
      <c r="O537" s="85"/>
      <c r="P537" s="85"/>
      <c r="Q537" s="85"/>
      <c r="R537" s="63"/>
      <c r="S537" s="63"/>
      <c r="T537" s="63"/>
      <c r="U537" s="63"/>
      <c r="V537" s="63"/>
      <c r="W537" s="63"/>
      <c r="X537" s="63"/>
      <c r="Y537" s="63"/>
    </row>
    <row r="538" spans="1:25">
      <c r="A538" s="85"/>
      <c r="B538" s="85"/>
      <c r="C538" s="85"/>
      <c r="D538" s="85"/>
      <c r="E538" s="85"/>
      <c r="F538" s="85"/>
      <c r="G538" s="85"/>
      <c r="H538" s="85"/>
      <c r="J538" s="85"/>
      <c r="K538" s="85"/>
      <c r="L538" s="85"/>
      <c r="M538" s="85"/>
      <c r="N538" s="85"/>
      <c r="O538" s="85"/>
      <c r="P538" s="85"/>
      <c r="Q538" s="85"/>
      <c r="R538" s="63"/>
      <c r="S538" s="63"/>
      <c r="T538" s="63"/>
      <c r="U538" s="63"/>
      <c r="V538" s="63"/>
      <c r="W538" s="63"/>
      <c r="X538" s="63"/>
      <c r="Y538" s="63"/>
    </row>
    <row r="539" spans="1:25">
      <c r="A539" s="85"/>
      <c r="B539" s="85"/>
      <c r="C539" s="85"/>
      <c r="D539" s="85"/>
      <c r="E539" s="85"/>
      <c r="F539" s="85"/>
      <c r="G539" s="85"/>
      <c r="H539" s="85"/>
      <c r="J539" s="85"/>
      <c r="K539" s="85"/>
      <c r="L539" s="85"/>
      <c r="M539" s="85"/>
      <c r="N539" s="85"/>
      <c r="O539" s="85"/>
      <c r="P539" s="85"/>
      <c r="Q539" s="85"/>
      <c r="R539" s="63"/>
      <c r="S539" s="63"/>
      <c r="T539" s="63"/>
      <c r="U539" s="63"/>
      <c r="V539" s="63"/>
      <c r="W539" s="63"/>
      <c r="X539" s="63"/>
      <c r="Y539" s="63"/>
    </row>
    <row r="540" spans="1:25">
      <c r="A540" s="85"/>
      <c r="B540" s="85"/>
      <c r="C540" s="85"/>
      <c r="D540" s="85"/>
      <c r="E540" s="85"/>
      <c r="F540" s="85"/>
      <c r="G540" s="85"/>
      <c r="H540" s="85"/>
      <c r="J540" s="85"/>
      <c r="K540" s="85"/>
      <c r="L540" s="85"/>
      <c r="M540" s="85"/>
      <c r="N540" s="85"/>
      <c r="O540" s="85"/>
      <c r="P540" s="85"/>
      <c r="Q540" s="85"/>
      <c r="R540" s="63"/>
      <c r="S540" s="63"/>
      <c r="T540" s="63"/>
      <c r="U540" s="63"/>
      <c r="V540" s="63"/>
      <c r="W540" s="63"/>
      <c r="X540" s="63"/>
      <c r="Y540" s="63"/>
    </row>
    <row r="541" spans="1:25">
      <c r="A541" s="85"/>
      <c r="B541" s="85"/>
      <c r="C541" s="85"/>
      <c r="D541" s="85"/>
      <c r="E541" s="85"/>
      <c r="F541" s="85"/>
      <c r="G541" s="85"/>
      <c r="H541" s="85"/>
      <c r="J541" s="85"/>
      <c r="K541" s="85"/>
      <c r="L541" s="85"/>
      <c r="M541" s="85"/>
      <c r="N541" s="85"/>
      <c r="O541" s="85"/>
      <c r="P541" s="85"/>
      <c r="Q541" s="85"/>
      <c r="R541" s="63"/>
      <c r="S541" s="63"/>
      <c r="T541" s="63"/>
      <c r="U541" s="63"/>
      <c r="V541" s="63"/>
      <c r="W541" s="63"/>
      <c r="X541" s="63"/>
      <c r="Y541" s="63"/>
    </row>
    <row r="542" spans="1:25">
      <c r="A542" s="85"/>
      <c r="B542" s="85"/>
      <c r="C542" s="85"/>
      <c r="D542" s="85"/>
      <c r="E542" s="85"/>
      <c r="F542" s="85"/>
      <c r="G542" s="85"/>
      <c r="H542" s="85"/>
      <c r="J542" s="85"/>
      <c r="K542" s="85"/>
      <c r="L542" s="85"/>
      <c r="M542" s="85"/>
      <c r="N542" s="85"/>
      <c r="O542" s="85"/>
      <c r="P542" s="85"/>
      <c r="Q542" s="85"/>
      <c r="R542" s="63"/>
      <c r="S542" s="63"/>
      <c r="T542" s="63"/>
      <c r="U542" s="63"/>
      <c r="V542" s="63"/>
      <c r="W542" s="63"/>
      <c r="X542" s="63"/>
      <c r="Y542" s="63"/>
    </row>
    <row r="543" spans="1:25">
      <c r="A543" s="85"/>
      <c r="B543" s="85"/>
      <c r="C543" s="85"/>
      <c r="D543" s="85"/>
      <c r="E543" s="85"/>
      <c r="F543" s="85"/>
      <c r="G543" s="85"/>
      <c r="H543" s="85"/>
      <c r="J543" s="85"/>
      <c r="K543" s="85"/>
      <c r="L543" s="85"/>
      <c r="M543" s="85"/>
      <c r="N543" s="85"/>
      <c r="O543" s="85"/>
      <c r="P543" s="85"/>
      <c r="Q543" s="85"/>
      <c r="R543" s="63"/>
      <c r="S543" s="63"/>
      <c r="T543" s="63"/>
      <c r="U543" s="63"/>
      <c r="V543" s="63"/>
      <c r="W543" s="63"/>
      <c r="X543" s="63"/>
      <c r="Y543" s="63"/>
    </row>
    <row r="544" spans="1:25">
      <c r="A544" s="85"/>
      <c r="B544" s="85"/>
      <c r="C544" s="85"/>
      <c r="D544" s="85"/>
      <c r="E544" s="85"/>
      <c r="F544" s="85"/>
      <c r="G544" s="85"/>
      <c r="H544" s="85"/>
      <c r="J544" s="85"/>
      <c r="K544" s="85"/>
      <c r="L544" s="85"/>
      <c r="M544" s="85"/>
      <c r="N544" s="85"/>
      <c r="O544" s="85"/>
      <c r="P544" s="85"/>
      <c r="Q544" s="85"/>
      <c r="R544" s="63"/>
      <c r="S544" s="63"/>
      <c r="T544" s="63"/>
      <c r="U544" s="63"/>
      <c r="V544" s="63"/>
      <c r="W544" s="63"/>
      <c r="X544" s="63"/>
      <c r="Y544" s="63"/>
    </row>
    <row r="545" spans="1:25">
      <c r="A545" s="85"/>
      <c r="B545" s="85"/>
      <c r="C545" s="85"/>
      <c r="D545" s="85"/>
      <c r="E545" s="85"/>
      <c r="F545" s="85"/>
      <c r="G545" s="85"/>
      <c r="H545" s="85"/>
      <c r="J545" s="85"/>
      <c r="K545" s="85"/>
      <c r="L545" s="85"/>
      <c r="M545" s="85"/>
      <c r="N545" s="85"/>
      <c r="O545" s="85"/>
      <c r="P545" s="85"/>
      <c r="Q545" s="85"/>
      <c r="R545" s="63"/>
      <c r="S545" s="63"/>
      <c r="T545" s="63"/>
      <c r="U545" s="63"/>
      <c r="V545" s="63"/>
      <c r="W545" s="63"/>
      <c r="X545" s="63"/>
      <c r="Y545" s="63"/>
    </row>
    <row r="546" spans="1:25">
      <c r="A546" s="85"/>
      <c r="B546" s="85"/>
      <c r="C546" s="85"/>
      <c r="D546" s="85"/>
      <c r="E546" s="85"/>
      <c r="F546" s="85"/>
      <c r="G546" s="85"/>
      <c r="H546" s="85"/>
      <c r="J546" s="85"/>
      <c r="K546" s="85"/>
      <c r="L546" s="85"/>
      <c r="M546" s="85"/>
      <c r="N546" s="85"/>
      <c r="O546" s="85"/>
      <c r="P546" s="85"/>
      <c r="Q546" s="85"/>
      <c r="R546" s="63"/>
      <c r="S546" s="63"/>
      <c r="T546" s="63"/>
      <c r="U546" s="63"/>
      <c r="V546" s="63"/>
      <c r="W546" s="63"/>
      <c r="X546" s="63"/>
      <c r="Y546" s="63"/>
    </row>
    <row r="547" spans="1:25">
      <c r="A547" s="85"/>
      <c r="B547" s="85"/>
      <c r="C547" s="85"/>
      <c r="D547" s="85"/>
      <c r="E547" s="85"/>
      <c r="F547" s="85"/>
      <c r="G547" s="85"/>
      <c r="H547" s="85"/>
      <c r="J547" s="85"/>
      <c r="K547" s="85"/>
      <c r="L547" s="85"/>
      <c r="M547" s="85"/>
      <c r="N547" s="85"/>
      <c r="O547" s="85"/>
      <c r="P547" s="85"/>
      <c r="Q547" s="85"/>
      <c r="R547" s="63"/>
      <c r="S547" s="63"/>
      <c r="T547" s="63"/>
      <c r="U547" s="63"/>
      <c r="V547" s="63"/>
      <c r="W547" s="63"/>
      <c r="X547" s="63"/>
      <c r="Y547" s="63"/>
    </row>
    <row r="548" spans="1:25">
      <c r="A548" s="85"/>
      <c r="B548" s="85"/>
      <c r="C548" s="85"/>
      <c r="D548" s="85"/>
      <c r="E548" s="85"/>
      <c r="F548" s="85"/>
      <c r="G548" s="85"/>
      <c r="H548" s="85"/>
      <c r="J548" s="85"/>
      <c r="K548" s="85"/>
      <c r="L548" s="85"/>
      <c r="M548" s="85"/>
      <c r="N548" s="85"/>
      <c r="O548" s="85"/>
      <c r="P548" s="85"/>
      <c r="Q548" s="85"/>
      <c r="R548" s="63"/>
      <c r="S548" s="63"/>
      <c r="T548" s="63"/>
      <c r="U548" s="63"/>
      <c r="V548" s="63"/>
      <c r="W548" s="63"/>
      <c r="X548" s="63"/>
      <c r="Y548" s="63"/>
    </row>
    <row r="549" spans="1:25">
      <c r="A549" s="85"/>
      <c r="B549" s="85"/>
      <c r="C549" s="85"/>
      <c r="D549" s="85"/>
      <c r="E549" s="85"/>
      <c r="F549" s="85"/>
      <c r="G549" s="85"/>
      <c r="H549" s="85"/>
      <c r="J549" s="85"/>
      <c r="K549" s="85"/>
      <c r="L549" s="85"/>
      <c r="M549" s="85"/>
      <c r="N549" s="85"/>
      <c r="O549" s="85"/>
      <c r="P549" s="85"/>
      <c r="Q549" s="85"/>
      <c r="R549" s="63"/>
      <c r="S549" s="63"/>
      <c r="T549" s="63"/>
      <c r="U549" s="63"/>
      <c r="V549" s="63"/>
      <c r="W549" s="63"/>
      <c r="X549" s="63"/>
      <c r="Y549" s="63"/>
    </row>
    <row r="550" spans="1:25">
      <c r="A550" s="85"/>
      <c r="B550" s="85"/>
      <c r="C550" s="85"/>
      <c r="D550" s="85"/>
      <c r="E550" s="85"/>
      <c r="F550" s="85"/>
      <c r="G550" s="85"/>
      <c r="H550" s="85"/>
      <c r="J550" s="85"/>
      <c r="K550" s="85"/>
      <c r="L550" s="85"/>
      <c r="M550" s="85"/>
      <c r="N550" s="85"/>
      <c r="O550" s="85"/>
      <c r="P550" s="85"/>
      <c r="Q550" s="85"/>
      <c r="R550" s="63"/>
      <c r="S550" s="63"/>
      <c r="T550" s="63"/>
      <c r="U550" s="63"/>
      <c r="V550" s="63"/>
      <c r="W550" s="63"/>
      <c r="X550" s="63"/>
      <c r="Y550" s="63"/>
    </row>
    <row r="551" spans="1:25">
      <c r="A551" s="85"/>
      <c r="B551" s="85"/>
      <c r="C551" s="85"/>
      <c r="D551" s="85"/>
      <c r="E551" s="85"/>
      <c r="F551" s="85"/>
      <c r="G551" s="85"/>
      <c r="H551" s="85"/>
      <c r="J551" s="85"/>
      <c r="K551" s="85"/>
      <c r="L551" s="85"/>
      <c r="M551" s="85"/>
      <c r="N551" s="85"/>
      <c r="O551" s="85"/>
      <c r="P551" s="85"/>
      <c r="Q551" s="85"/>
      <c r="R551" s="63"/>
      <c r="S551" s="63"/>
      <c r="T551" s="63"/>
      <c r="U551" s="63"/>
      <c r="V551" s="63"/>
      <c r="W551" s="63"/>
      <c r="X551" s="63"/>
      <c r="Y551" s="63"/>
    </row>
    <row r="552" spans="1:25">
      <c r="A552" s="85"/>
      <c r="B552" s="85"/>
      <c r="C552" s="85"/>
      <c r="D552" s="85"/>
      <c r="E552" s="85"/>
      <c r="F552" s="85"/>
      <c r="G552" s="85"/>
      <c r="H552" s="85"/>
      <c r="J552" s="85"/>
      <c r="K552" s="85"/>
      <c r="L552" s="85"/>
      <c r="M552" s="85"/>
      <c r="N552" s="85"/>
      <c r="O552" s="85"/>
      <c r="P552" s="85"/>
      <c r="Q552" s="85"/>
      <c r="R552" s="63"/>
      <c r="S552" s="63"/>
      <c r="T552" s="63"/>
      <c r="U552" s="63"/>
      <c r="V552" s="63"/>
      <c r="W552" s="63"/>
      <c r="X552" s="63"/>
      <c r="Y552" s="63"/>
    </row>
    <row r="553" spans="1:25">
      <c r="A553" s="85"/>
      <c r="B553" s="85"/>
      <c r="C553" s="85"/>
      <c r="D553" s="85"/>
      <c r="E553" s="85"/>
      <c r="F553" s="85"/>
      <c r="G553" s="85"/>
      <c r="H553" s="85"/>
      <c r="J553" s="85"/>
      <c r="K553" s="85"/>
      <c r="L553" s="85"/>
      <c r="M553" s="85"/>
      <c r="N553" s="85"/>
      <c r="O553" s="85"/>
      <c r="P553" s="85"/>
      <c r="Q553" s="85"/>
      <c r="R553" s="63"/>
      <c r="S553" s="63"/>
      <c r="T553" s="63"/>
      <c r="U553" s="63"/>
      <c r="V553" s="63"/>
      <c r="W553" s="63"/>
      <c r="X553" s="63"/>
      <c r="Y553" s="63"/>
    </row>
    <row r="554" spans="1:25">
      <c r="A554" s="85"/>
      <c r="B554" s="85"/>
      <c r="C554" s="85"/>
      <c r="D554" s="85"/>
      <c r="E554" s="85"/>
      <c r="F554" s="85"/>
      <c r="G554" s="85"/>
      <c r="H554" s="85"/>
      <c r="J554" s="85"/>
      <c r="K554" s="85"/>
      <c r="L554" s="85"/>
      <c r="M554" s="85"/>
      <c r="N554" s="85"/>
      <c r="O554" s="85"/>
      <c r="P554" s="85"/>
      <c r="Q554" s="85"/>
      <c r="R554" s="63"/>
      <c r="S554" s="63"/>
      <c r="T554" s="63"/>
      <c r="U554" s="63"/>
      <c r="V554" s="63"/>
      <c r="W554" s="63"/>
      <c r="X554" s="63"/>
      <c r="Y554" s="63"/>
    </row>
    <row r="555" spans="1:25">
      <c r="A555" s="85"/>
      <c r="B555" s="85"/>
      <c r="C555" s="85"/>
      <c r="D555" s="85"/>
      <c r="E555" s="85"/>
      <c r="F555" s="85"/>
      <c r="G555" s="85"/>
      <c r="H555" s="85"/>
      <c r="J555" s="85"/>
      <c r="K555" s="85"/>
      <c r="L555" s="85"/>
      <c r="M555" s="85"/>
      <c r="N555" s="85"/>
      <c r="O555" s="85"/>
      <c r="P555" s="85"/>
      <c r="Q555" s="85"/>
      <c r="R555" s="63"/>
      <c r="S555" s="63"/>
      <c r="T555" s="63"/>
      <c r="U555" s="63"/>
      <c r="V555" s="63"/>
      <c r="W555" s="63"/>
      <c r="X555" s="63"/>
      <c r="Y555" s="63"/>
    </row>
    <row r="556" spans="1:25">
      <c r="A556" s="85"/>
      <c r="B556" s="85"/>
      <c r="C556" s="85"/>
      <c r="D556" s="85"/>
      <c r="E556" s="85"/>
      <c r="F556" s="85"/>
      <c r="G556" s="85"/>
      <c r="H556" s="85"/>
      <c r="J556" s="85"/>
      <c r="K556" s="85"/>
      <c r="L556" s="85"/>
      <c r="M556" s="85"/>
      <c r="N556" s="85"/>
      <c r="O556" s="85"/>
      <c r="P556" s="85"/>
      <c r="Q556" s="85"/>
      <c r="R556" s="63"/>
      <c r="S556" s="63"/>
      <c r="T556" s="63"/>
      <c r="U556" s="63"/>
      <c r="V556" s="63"/>
      <c r="W556" s="63"/>
      <c r="X556" s="63"/>
      <c r="Y556" s="63"/>
    </row>
    <row r="557" spans="1:25">
      <c r="A557" s="85"/>
      <c r="B557" s="85"/>
      <c r="C557" s="85"/>
      <c r="D557" s="85"/>
      <c r="E557" s="85"/>
      <c r="F557" s="85"/>
      <c r="G557" s="85"/>
      <c r="H557" s="85"/>
      <c r="J557" s="85"/>
      <c r="K557" s="85"/>
      <c r="L557" s="85"/>
      <c r="M557" s="85"/>
      <c r="N557" s="85"/>
      <c r="O557" s="85"/>
      <c r="P557" s="85"/>
      <c r="Q557" s="85"/>
      <c r="R557" s="63"/>
      <c r="S557" s="63"/>
      <c r="T557" s="63"/>
      <c r="U557" s="63"/>
      <c r="V557" s="63"/>
      <c r="W557" s="63"/>
      <c r="X557" s="63"/>
      <c r="Y557" s="63"/>
    </row>
    <row r="558" spans="1:25">
      <c r="A558" s="85"/>
      <c r="B558" s="85"/>
      <c r="C558" s="85"/>
      <c r="D558" s="85"/>
      <c r="E558" s="85"/>
      <c r="F558" s="85"/>
      <c r="G558" s="85"/>
      <c r="H558" s="85"/>
      <c r="J558" s="85"/>
      <c r="K558" s="85"/>
      <c r="L558" s="85"/>
      <c r="M558" s="85"/>
      <c r="N558" s="85"/>
      <c r="O558" s="85"/>
      <c r="P558" s="85"/>
      <c r="Q558" s="85"/>
      <c r="R558" s="63"/>
      <c r="S558" s="63"/>
      <c r="T558" s="63"/>
      <c r="U558" s="63"/>
      <c r="V558" s="63"/>
      <c r="W558" s="63"/>
      <c r="X558" s="63"/>
      <c r="Y558" s="63"/>
    </row>
    <row r="559" spans="1:25">
      <c r="A559" s="85"/>
      <c r="B559" s="85"/>
      <c r="C559" s="85"/>
      <c r="D559" s="85"/>
      <c r="E559" s="85"/>
      <c r="F559" s="85"/>
      <c r="G559" s="85"/>
      <c r="H559" s="85"/>
      <c r="J559" s="85"/>
      <c r="K559" s="85"/>
      <c r="L559" s="85"/>
      <c r="M559" s="85"/>
      <c r="N559" s="85"/>
      <c r="O559" s="85"/>
      <c r="P559" s="85"/>
      <c r="Q559" s="85"/>
      <c r="R559" s="63"/>
      <c r="S559" s="63"/>
      <c r="T559" s="63"/>
      <c r="U559" s="63"/>
      <c r="V559" s="63"/>
      <c r="W559" s="63"/>
      <c r="X559" s="63"/>
      <c r="Y559" s="63"/>
    </row>
    <row r="560" spans="1:25">
      <c r="A560" s="85"/>
      <c r="B560" s="85"/>
      <c r="C560" s="85"/>
      <c r="D560" s="85"/>
      <c r="E560" s="85"/>
      <c r="F560" s="85"/>
      <c r="G560" s="85"/>
      <c r="H560" s="85"/>
      <c r="J560" s="85"/>
      <c r="K560" s="85"/>
      <c r="L560" s="85"/>
      <c r="M560" s="85"/>
      <c r="N560" s="85"/>
      <c r="O560" s="85"/>
      <c r="P560" s="85"/>
      <c r="Q560" s="85"/>
      <c r="R560" s="63"/>
      <c r="S560" s="63"/>
      <c r="T560" s="63"/>
      <c r="U560" s="63"/>
      <c r="V560" s="63"/>
      <c r="W560" s="63"/>
      <c r="X560" s="63"/>
      <c r="Y560" s="63"/>
    </row>
    <row r="561" spans="1:25">
      <c r="A561" s="85"/>
      <c r="B561" s="85"/>
      <c r="C561" s="85"/>
      <c r="D561" s="85"/>
      <c r="E561" s="85"/>
      <c r="F561" s="85"/>
      <c r="G561" s="85"/>
      <c r="H561" s="85"/>
      <c r="J561" s="85"/>
      <c r="K561" s="85"/>
      <c r="L561" s="85"/>
      <c r="M561" s="85"/>
      <c r="N561" s="85"/>
      <c r="O561" s="85"/>
      <c r="P561" s="85"/>
      <c r="Q561" s="85"/>
      <c r="R561" s="63"/>
      <c r="S561" s="63"/>
      <c r="T561" s="63"/>
      <c r="U561" s="63"/>
      <c r="V561" s="63"/>
      <c r="W561" s="63"/>
      <c r="X561" s="63"/>
      <c r="Y561" s="63"/>
    </row>
    <row r="562" spans="1:25">
      <c r="A562" s="85"/>
      <c r="B562" s="85"/>
      <c r="C562" s="85"/>
      <c r="D562" s="85"/>
      <c r="E562" s="85"/>
      <c r="F562" s="85"/>
      <c r="G562" s="85"/>
      <c r="H562" s="85"/>
      <c r="J562" s="85"/>
      <c r="K562" s="85"/>
      <c r="L562" s="85"/>
      <c r="M562" s="85"/>
      <c r="N562" s="85"/>
      <c r="O562" s="85"/>
      <c r="P562" s="85"/>
      <c r="Q562" s="85"/>
      <c r="R562" s="63"/>
      <c r="S562" s="63"/>
      <c r="T562" s="63"/>
      <c r="U562" s="63"/>
      <c r="V562" s="63"/>
      <c r="W562" s="63"/>
      <c r="X562" s="63"/>
      <c r="Y562" s="63"/>
    </row>
    <row r="563" spans="1:25">
      <c r="A563" s="85"/>
      <c r="B563" s="85"/>
      <c r="C563" s="85"/>
      <c r="D563" s="85"/>
      <c r="E563" s="85"/>
      <c r="F563" s="85"/>
      <c r="G563" s="85"/>
      <c r="H563" s="85"/>
      <c r="J563" s="85"/>
      <c r="K563" s="85"/>
      <c r="L563" s="85"/>
      <c r="M563" s="85"/>
      <c r="N563" s="85"/>
      <c r="O563" s="85"/>
      <c r="P563" s="85"/>
      <c r="Q563" s="85"/>
      <c r="R563" s="63"/>
      <c r="S563" s="63"/>
      <c r="T563" s="63"/>
      <c r="U563" s="63"/>
      <c r="V563" s="63"/>
      <c r="W563" s="63"/>
      <c r="X563" s="63"/>
      <c r="Y563" s="63"/>
    </row>
    <row r="564" spans="1:25">
      <c r="A564" s="85"/>
      <c r="B564" s="85"/>
      <c r="C564" s="85"/>
      <c r="D564" s="85"/>
      <c r="E564" s="85"/>
      <c r="F564" s="85"/>
      <c r="G564" s="85"/>
      <c r="H564" s="85"/>
      <c r="J564" s="85"/>
      <c r="K564" s="85"/>
      <c r="L564" s="85"/>
      <c r="M564" s="85"/>
      <c r="N564" s="85"/>
      <c r="O564" s="85"/>
      <c r="P564" s="85"/>
      <c r="Q564" s="85"/>
      <c r="R564" s="63"/>
      <c r="S564" s="63"/>
      <c r="T564" s="63"/>
      <c r="U564" s="63"/>
      <c r="V564" s="63"/>
      <c r="W564" s="63"/>
      <c r="X564" s="63"/>
      <c r="Y564" s="63"/>
    </row>
    <row r="565" spans="1:25">
      <c r="A565" s="85"/>
      <c r="B565" s="85"/>
      <c r="C565" s="85"/>
      <c r="D565" s="85"/>
      <c r="E565" s="85"/>
      <c r="F565" s="85"/>
      <c r="G565" s="85"/>
      <c r="H565" s="85"/>
      <c r="J565" s="85"/>
      <c r="K565" s="85"/>
      <c r="L565" s="85"/>
      <c r="M565" s="85"/>
      <c r="N565" s="85"/>
      <c r="O565" s="85"/>
      <c r="P565" s="85"/>
      <c r="Q565" s="85"/>
      <c r="R565" s="63"/>
      <c r="S565" s="63"/>
      <c r="T565" s="63"/>
      <c r="U565" s="63"/>
      <c r="V565" s="63"/>
      <c r="W565" s="63"/>
      <c r="X565" s="63"/>
      <c r="Y565" s="63"/>
    </row>
    <row r="566" spans="1:25">
      <c r="A566" s="85"/>
      <c r="B566" s="85"/>
      <c r="C566" s="85"/>
      <c r="D566" s="85"/>
      <c r="E566" s="85"/>
      <c r="F566" s="85"/>
      <c r="G566" s="85"/>
      <c r="H566" s="85"/>
      <c r="J566" s="85"/>
      <c r="K566" s="85"/>
      <c r="L566" s="85"/>
      <c r="M566" s="85"/>
      <c r="N566" s="85"/>
      <c r="O566" s="85"/>
      <c r="P566" s="85"/>
      <c r="Q566" s="85"/>
      <c r="R566" s="63"/>
      <c r="S566" s="63"/>
      <c r="T566" s="63"/>
      <c r="U566" s="63"/>
      <c r="V566" s="63"/>
      <c r="W566" s="63"/>
      <c r="X566" s="63"/>
      <c r="Y566" s="63"/>
    </row>
    <row r="567" spans="1:25">
      <c r="A567" s="85"/>
      <c r="B567" s="85"/>
      <c r="C567" s="85"/>
      <c r="D567" s="85"/>
      <c r="E567" s="85"/>
      <c r="F567" s="85"/>
      <c r="G567" s="85"/>
      <c r="H567" s="85"/>
      <c r="J567" s="85"/>
      <c r="K567" s="85"/>
      <c r="L567" s="85"/>
      <c r="M567" s="85"/>
      <c r="N567" s="85"/>
      <c r="O567" s="85"/>
      <c r="P567" s="85"/>
      <c r="Q567" s="85"/>
      <c r="R567" s="63"/>
      <c r="S567" s="63"/>
      <c r="T567" s="63"/>
      <c r="U567" s="63"/>
      <c r="V567" s="63"/>
      <c r="W567" s="63"/>
      <c r="X567" s="63"/>
      <c r="Y567" s="63"/>
    </row>
    <row r="568" spans="1:25">
      <c r="A568" s="85"/>
      <c r="B568" s="85"/>
      <c r="C568" s="85"/>
      <c r="D568" s="85"/>
      <c r="E568" s="85"/>
      <c r="F568" s="85"/>
      <c r="G568" s="85"/>
      <c r="H568" s="85"/>
      <c r="J568" s="85"/>
      <c r="K568" s="85"/>
      <c r="L568" s="85"/>
      <c r="M568" s="85"/>
      <c r="N568" s="85"/>
      <c r="O568" s="85"/>
      <c r="P568" s="85"/>
      <c r="Q568" s="85"/>
      <c r="R568" s="63"/>
      <c r="S568" s="63"/>
      <c r="T568" s="63"/>
      <c r="U568" s="63"/>
      <c r="V568" s="63"/>
      <c r="W568" s="63"/>
      <c r="X568" s="63"/>
      <c r="Y568" s="63"/>
    </row>
    <row r="569" spans="1:25">
      <c r="A569" s="85"/>
      <c r="B569" s="85"/>
      <c r="C569" s="85"/>
      <c r="D569" s="85"/>
      <c r="E569" s="85"/>
      <c r="F569" s="85"/>
      <c r="G569" s="85"/>
      <c r="H569" s="85"/>
      <c r="J569" s="85"/>
      <c r="K569" s="85"/>
      <c r="L569" s="85"/>
      <c r="M569" s="85"/>
      <c r="N569" s="85"/>
      <c r="O569" s="85"/>
      <c r="P569" s="85"/>
      <c r="Q569" s="85"/>
      <c r="R569" s="63"/>
      <c r="S569" s="63"/>
      <c r="T569" s="63"/>
      <c r="U569" s="63"/>
      <c r="V569" s="63"/>
      <c r="W569" s="63"/>
      <c r="X569" s="63"/>
      <c r="Y569" s="63"/>
    </row>
    <row r="570" spans="1:25">
      <c r="A570" s="85"/>
      <c r="B570" s="85"/>
      <c r="C570" s="85"/>
      <c r="D570" s="85"/>
      <c r="E570" s="85"/>
      <c r="F570" s="85"/>
      <c r="G570" s="85"/>
      <c r="H570" s="85"/>
      <c r="J570" s="85"/>
      <c r="K570" s="85"/>
      <c r="L570" s="85"/>
      <c r="M570" s="85"/>
      <c r="N570" s="85"/>
      <c r="O570" s="85"/>
      <c r="P570" s="85"/>
      <c r="Q570" s="85"/>
      <c r="R570" s="63"/>
      <c r="S570" s="63"/>
      <c r="T570" s="63"/>
      <c r="U570" s="63"/>
      <c r="V570" s="63"/>
      <c r="W570" s="63"/>
      <c r="X570" s="63"/>
      <c r="Y570" s="63"/>
    </row>
    <row r="571" spans="1:25">
      <c r="A571" s="85"/>
      <c r="B571" s="85"/>
      <c r="C571" s="85"/>
      <c r="D571" s="85"/>
      <c r="E571" s="85"/>
      <c r="F571" s="85"/>
      <c r="G571" s="85"/>
      <c r="H571" s="85"/>
      <c r="J571" s="85"/>
      <c r="K571" s="85"/>
      <c r="L571" s="85"/>
      <c r="M571" s="85"/>
      <c r="N571" s="85"/>
      <c r="O571" s="85"/>
      <c r="P571" s="85"/>
      <c r="Q571" s="85"/>
      <c r="R571" s="63"/>
      <c r="S571" s="63"/>
      <c r="T571" s="63"/>
      <c r="U571" s="63"/>
      <c r="V571" s="63"/>
      <c r="W571" s="63"/>
      <c r="X571" s="63"/>
      <c r="Y571" s="63"/>
    </row>
    <row r="572" spans="1:25">
      <c r="A572" s="85"/>
      <c r="B572" s="85"/>
      <c r="C572" s="85"/>
      <c r="D572" s="85"/>
      <c r="E572" s="85"/>
      <c r="F572" s="85"/>
      <c r="G572" s="85"/>
      <c r="H572" s="85"/>
      <c r="J572" s="85"/>
      <c r="K572" s="85"/>
      <c r="L572" s="85"/>
      <c r="M572" s="85"/>
      <c r="N572" s="85"/>
      <c r="O572" s="85"/>
      <c r="P572" s="85"/>
      <c r="Q572" s="85"/>
      <c r="R572" s="63"/>
      <c r="S572" s="63"/>
      <c r="T572" s="63"/>
      <c r="U572" s="63"/>
      <c r="V572" s="63"/>
      <c r="W572" s="63"/>
      <c r="X572" s="63"/>
      <c r="Y572" s="63"/>
    </row>
    <row r="573" spans="1:25">
      <c r="A573" s="85"/>
      <c r="B573" s="85"/>
      <c r="C573" s="85"/>
      <c r="D573" s="85"/>
      <c r="E573" s="85"/>
      <c r="F573" s="85"/>
      <c r="G573" s="85"/>
      <c r="H573" s="85"/>
      <c r="J573" s="85"/>
      <c r="K573" s="85"/>
      <c r="L573" s="85"/>
      <c r="M573" s="85"/>
      <c r="N573" s="85"/>
      <c r="O573" s="85"/>
      <c r="P573" s="85"/>
      <c r="Q573" s="85"/>
      <c r="R573" s="63"/>
      <c r="S573" s="63"/>
      <c r="T573" s="63"/>
      <c r="U573" s="63"/>
      <c r="V573" s="63"/>
      <c r="W573" s="63"/>
      <c r="X573" s="63"/>
      <c r="Y573" s="63"/>
    </row>
    <row r="574" spans="1:25">
      <c r="A574" s="85"/>
      <c r="B574" s="85"/>
      <c r="C574" s="85"/>
      <c r="D574" s="85"/>
      <c r="E574" s="85"/>
      <c r="F574" s="85"/>
      <c r="G574" s="85"/>
      <c r="H574" s="85"/>
      <c r="J574" s="85"/>
      <c r="K574" s="85"/>
      <c r="L574" s="85"/>
      <c r="M574" s="85"/>
      <c r="N574" s="85"/>
      <c r="O574" s="85"/>
      <c r="P574" s="85"/>
      <c r="Q574" s="85"/>
      <c r="R574" s="63"/>
      <c r="S574" s="63"/>
      <c r="T574" s="63"/>
      <c r="U574" s="63"/>
      <c r="V574" s="63"/>
      <c r="W574" s="63"/>
      <c r="X574" s="63"/>
      <c r="Y574" s="63"/>
    </row>
    <row r="575" spans="1:25">
      <c r="A575" s="85"/>
      <c r="B575" s="85"/>
      <c r="C575" s="85"/>
      <c r="D575" s="85"/>
      <c r="E575" s="85"/>
      <c r="F575" s="85"/>
      <c r="G575" s="85"/>
      <c r="H575" s="85"/>
      <c r="J575" s="85"/>
      <c r="K575" s="85"/>
      <c r="L575" s="85"/>
      <c r="M575" s="85"/>
      <c r="N575" s="85"/>
      <c r="O575" s="85"/>
      <c r="P575" s="85"/>
      <c r="Q575" s="85"/>
      <c r="R575" s="63"/>
      <c r="S575" s="63"/>
      <c r="T575" s="63"/>
      <c r="U575" s="63"/>
      <c r="V575" s="63"/>
      <c r="W575" s="63"/>
      <c r="X575" s="63"/>
      <c r="Y575" s="63"/>
    </row>
    <row r="576" spans="1:25">
      <c r="A576" s="85"/>
      <c r="B576" s="85"/>
      <c r="C576" s="85"/>
      <c r="D576" s="85"/>
      <c r="E576" s="85"/>
      <c r="F576" s="85"/>
      <c r="G576" s="85"/>
      <c r="H576" s="85"/>
      <c r="J576" s="85"/>
      <c r="K576" s="85"/>
      <c r="L576" s="85"/>
      <c r="M576" s="85"/>
      <c r="N576" s="85"/>
      <c r="O576" s="85"/>
      <c r="P576" s="85"/>
      <c r="Q576" s="85"/>
      <c r="R576" s="63"/>
      <c r="S576" s="63"/>
      <c r="T576" s="63"/>
      <c r="U576" s="63"/>
      <c r="V576" s="63"/>
      <c r="W576" s="63"/>
      <c r="X576" s="63"/>
      <c r="Y576" s="63"/>
    </row>
    <row r="577" spans="1:25">
      <c r="A577" s="85"/>
      <c r="B577" s="85"/>
      <c r="C577" s="85"/>
      <c r="D577" s="85"/>
      <c r="E577" s="85"/>
      <c r="F577" s="85"/>
      <c r="G577" s="85"/>
      <c r="H577" s="85"/>
      <c r="J577" s="85"/>
      <c r="K577" s="85"/>
      <c r="L577" s="85"/>
      <c r="M577" s="85"/>
      <c r="N577" s="85"/>
      <c r="O577" s="85"/>
      <c r="P577" s="85"/>
      <c r="Q577" s="85"/>
      <c r="R577" s="63"/>
      <c r="S577" s="63"/>
      <c r="T577" s="63"/>
      <c r="U577" s="63"/>
      <c r="V577" s="63"/>
      <c r="W577" s="63"/>
      <c r="X577" s="63"/>
      <c r="Y577" s="63"/>
    </row>
    <row r="578" spans="1:25">
      <c r="A578" s="85"/>
      <c r="B578" s="85"/>
      <c r="C578" s="85"/>
      <c r="D578" s="85"/>
      <c r="E578" s="85"/>
      <c r="F578" s="85"/>
      <c r="G578" s="85"/>
      <c r="H578" s="85"/>
      <c r="J578" s="85"/>
      <c r="K578" s="85"/>
      <c r="L578" s="85"/>
      <c r="M578" s="85"/>
      <c r="N578" s="85"/>
      <c r="O578" s="85"/>
      <c r="P578" s="85"/>
      <c r="Q578" s="85"/>
      <c r="R578" s="63"/>
      <c r="S578" s="63"/>
      <c r="T578" s="63"/>
      <c r="U578" s="63"/>
      <c r="V578" s="63"/>
      <c r="W578" s="63"/>
      <c r="X578" s="63"/>
      <c r="Y578" s="63"/>
    </row>
    <row r="579" spans="1:25">
      <c r="A579" s="85"/>
      <c r="B579" s="85"/>
      <c r="C579" s="85"/>
      <c r="D579" s="85"/>
      <c r="E579" s="85"/>
      <c r="F579" s="85"/>
      <c r="G579" s="85"/>
      <c r="H579" s="85"/>
      <c r="J579" s="85"/>
      <c r="K579" s="85"/>
      <c r="L579" s="85"/>
      <c r="M579" s="85"/>
      <c r="N579" s="85"/>
      <c r="O579" s="85"/>
      <c r="P579" s="85"/>
      <c r="Q579" s="85"/>
      <c r="R579" s="63"/>
      <c r="S579" s="63"/>
      <c r="T579" s="63"/>
      <c r="U579" s="63"/>
      <c r="V579" s="63"/>
      <c r="W579" s="63"/>
      <c r="X579" s="63"/>
      <c r="Y579" s="63"/>
    </row>
    <row r="580" spans="1:25">
      <c r="A580" s="85"/>
      <c r="B580" s="85"/>
      <c r="C580" s="85"/>
      <c r="D580" s="85"/>
      <c r="E580" s="85"/>
      <c r="F580" s="85"/>
      <c r="G580" s="85"/>
      <c r="H580" s="85"/>
      <c r="J580" s="85"/>
      <c r="K580" s="85"/>
      <c r="L580" s="85"/>
      <c r="M580" s="85"/>
      <c r="N580" s="85"/>
      <c r="O580" s="85"/>
      <c r="P580" s="85"/>
      <c r="Q580" s="85"/>
      <c r="R580" s="63"/>
      <c r="S580" s="63"/>
      <c r="T580" s="63"/>
      <c r="U580" s="63"/>
      <c r="V580" s="63"/>
      <c r="W580" s="63"/>
      <c r="X580" s="63"/>
      <c r="Y580" s="63"/>
    </row>
    <row r="581" spans="1:25">
      <c r="A581" s="85"/>
      <c r="B581" s="85"/>
      <c r="C581" s="85"/>
      <c r="D581" s="85"/>
      <c r="E581" s="85"/>
      <c r="F581" s="85"/>
      <c r="G581" s="85"/>
      <c r="H581" s="85"/>
      <c r="J581" s="85"/>
      <c r="K581" s="85"/>
      <c r="L581" s="85"/>
      <c r="M581" s="85"/>
      <c r="N581" s="85"/>
      <c r="O581" s="85"/>
      <c r="P581" s="85"/>
      <c r="Q581" s="85"/>
      <c r="R581" s="63"/>
      <c r="S581" s="63"/>
      <c r="T581" s="63"/>
      <c r="U581" s="63"/>
      <c r="V581" s="63"/>
      <c r="W581" s="63"/>
      <c r="X581" s="63"/>
      <c r="Y581" s="63"/>
    </row>
    <row r="582" spans="1:25">
      <c r="A582" s="85"/>
      <c r="B582" s="85"/>
      <c r="C582" s="85"/>
      <c r="D582" s="85"/>
      <c r="E582" s="85"/>
      <c r="F582" s="85"/>
      <c r="G582" s="85"/>
      <c r="H582" s="85"/>
      <c r="J582" s="85"/>
      <c r="K582" s="85"/>
      <c r="L582" s="85"/>
      <c r="M582" s="85"/>
      <c r="N582" s="85"/>
      <c r="O582" s="85"/>
      <c r="P582" s="85"/>
      <c r="Q582" s="85"/>
      <c r="R582" s="63"/>
      <c r="S582" s="63"/>
      <c r="T582" s="63"/>
      <c r="U582" s="63"/>
      <c r="V582" s="63"/>
      <c r="W582" s="63"/>
      <c r="X582" s="63"/>
      <c r="Y582" s="63"/>
    </row>
    <row r="583" spans="1:25">
      <c r="A583" s="85"/>
      <c r="B583" s="85"/>
      <c r="C583" s="85"/>
      <c r="D583" s="85"/>
      <c r="E583" s="85"/>
      <c r="F583" s="85"/>
      <c r="G583" s="85"/>
      <c r="H583" s="85"/>
      <c r="J583" s="85"/>
      <c r="K583" s="85"/>
      <c r="L583" s="85"/>
      <c r="M583" s="85"/>
      <c r="N583" s="85"/>
      <c r="O583" s="85"/>
      <c r="P583" s="85"/>
      <c r="Q583" s="85"/>
      <c r="R583" s="63"/>
      <c r="S583" s="63"/>
      <c r="T583" s="63"/>
      <c r="U583" s="63"/>
      <c r="V583" s="63"/>
      <c r="W583" s="63"/>
      <c r="X583" s="63"/>
      <c r="Y583" s="63"/>
    </row>
    <row r="584" spans="1:25">
      <c r="A584" s="85"/>
      <c r="B584" s="85"/>
      <c r="C584" s="85"/>
      <c r="D584" s="85"/>
      <c r="E584" s="85"/>
      <c r="F584" s="85"/>
      <c r="G584" s="85"/>
      <c r="H584" s="85"/>
      <c r="J584" s="85"/>
      <c r="K584" s="85"/>
      <c r="L584" s="85"/>
      <c r="M584" s="85"/>
      <c r="N584" s="85"/>
      <c r="O584" s="85"/>
      <c r="P584" s="85"/>
      <c r="Q584" s="85"/>
      <c r="R584" s="63"/>
      <c r="S584" s="63"/>
      <c r="T584" s="63"/>
      <c r="U584" s="63"/>
      <c r="V584" s="63"/>
      <c r="W584" s="63"/>
      <c r="X584" s="63"/>
      <c r="Y584" s="63"/>
    </row>
    <row r="585" spans="1:25">
      <c r="A585" s="85"/>
      <c r="B585" s="85"/>
      <c r="C585" s="85"/>
      <c r="D585" s="85"/>
      <c r="E585" s="85"/>
      <c r="F585" s="85"/>
      <c r="G585" s="85"/>
      <c r="H585" s="85"/>
      <c r="J585" s="85"/>
      <c r="K585" s="85"/>
      <c r="L585" s="85"/>
      <c r="M585" s="85"/>
      <c r="N585" s="85"/>
      <c r="O585" s="85"/>
      <c r="P585" s="85"/>
      <c r="Q585" s="85"/>
      <c r="R585" s="63"/>
      <c r="S585" s="63"/>
      <c r="T585" s="63"/>
      <c r="U585" s="63"/>
      <c r="V585" s="63"/>
      <c r="W585" s="63"/>
      <c r="X585" s="63"/>
      <c r="Y585" s="63"/>
    </row>
    <row r="586" spans="1:25">
      <c r="A586" s="85"/>
      <c r="B586" s="85"/>
      <c r="C586" s="85"/>
      <c r="D586" s="85"/>
      <c r="E586" s="85"/>
      <c r="F586" s="85"/>
      <c r="G586" s="85"/>
      <c r="H586" s="85"/>
      <c r="J586" s="85"/>
      <c r="K586" s="85"/>
      <c r="L586" s="85"/>
      <c r="M586" s="85"/>
      <c r="N586" s="85"/>
      <c r="O586" s="85"/>
      <c r="P586" s="85"/>
      <c r="Q586" s="85"/>
      <c r="R586" s="63"/>
      <c r="S586" s="63"/>
      <c r="T586" s="63"/>
      <c r="U586" s="63"/>
      <c r="V586" s="63"/>
      <c r="W586" s="63"/>
      <c r="X586" s="63"/>
      <c r="Y586" s="63"/>
    </row>
    <row r="587" spans="1:25">
      <c r="A587" s="85"/>
      <c r="B587" s="85"/>
      <c r="C587" s="85"/>
      <c r="D587" s="85"/>
      <c r="E587" s="85"/>
      <c r="F587" s="85"/>
      <c r="G587" s="85"/>
      <c r="H587" s="85"/>
      <c r="J587" s="85"/>
      <c r="K587" s="85"/>
      <c r="L587" s="85"/>
      <c r="M587" s="85"/>
      <c r="N587" s="85"/>
      <c r="O587" s="85"/>
      <c r="P587" s="85"/>
      <c r="Q587" s="85"/>
      <c r="R587" s="63"/>
      <c r="S587" s="63"/>
      <c r="T587" s="63"/>
      <c r="U587" s="63"/>
      <c r="V587" s="63"/>
      <c r="W587" s="63"/>
      <c r="X587" s="63"/>
      <c r="Y587" s="63"/>
    </row>
    <row r="588" spans="1:25">
      <c r="A588" s="85"/>
      <c r="B588" s="85"/>
      <c r="C588" s="85"/>
      <c r="D588" s="85"/>
      <c r="E588" s="85"/>
      <c r="F588" s="85"/>
      <c r="G588" s="85"/>
      <c r="H588" s="85"/>
      <c r="J588" s="85"/>
      <c r="K588" s="85"/>
      <c r="L588" s="85"/>
      <c r="M588" s="85"/>
      <c r="N588" s="85"/>
      <c r="O588" s="85"/>
      <c r="P588" s="85"/>
      <c r="Q588" s="85"/>
      <c r="R588" s="63"/>
      <c r="S588" s="63"/>
      <c r="T588" s="63"/>
      <c r="U588" s="63"/>
      <c r="V588" s="63"/>
      <c r="W588" s="63"/>
      <c r="X588" s="63"/>
      <c r="Y588" s="63"/>
    </row>
    <row r="589" spans="1:25">
      <c r="A589" s="85"/>
      <c r="B589" s="85"/>
      <c r="C589" s="85"/>
      <c r="D589" s="85"/>
      <c r="E589" s="85"/>
      <c r="F589" s="85"/>
      <c r="G589" s="85"/>
      <c r="H589" s="85"/>
      <c r="J589" s="85"/>
      <c r="K589" s="85"/>
      <c r="L589" s="85"/>
      <c r="M589" s="85"/>
      <c r="N589" s="85"/>
      <c r="O589" s="85"/>
      <c r="P589" s="85"/>
      <c r="Q589" s="85"/>
      <c r="R589" s="63"/>
      <c r="S589" s="63"/>
      <c r="T589" s="63"/>
      <c r="U589" s="63"/>
      <c r="V589" s="63"/>
      <c r="W589" s="63"/>
      <c r="X589" s="63"/>
      <c r="Y589" s="63"/>
    </row>
    <row r="590" spans="1:25">
      <c r="A590" s="85"/>
      <c r="B590" s="85"/>
      <c r="C590" s="85"/>
      <c r="D590" s="85"/>
      <c r="E590" s="85"/>
      <c r="F590" s="85"/>
      <c r="G590" s="85"/>
      <c r="H590" s="85"/>
      <c r="J590" s="85"/>
      <c r="K590" s="85"/>
      <c r="L590" s="85"/>
      <c r="M590" s="85"/>
      <c r="N590" s="85"/>
      <c r="O590" s="85"/>
      <c r="P590" s="85"/>
      <c r="Q590" s="85"/>
      <c r="R590" s="63"/>
      <c r="S590" s="63"/>
      <c r="T590" s="63"/>
      <c r="U590" s="63"/>
      <c r="V590" s="63"/>
      <c r="W590" s="63"/>
      <c r="X590" s="63"/>
      <c r="Y590" s="63"/>
    </row>
    <row r="591" spans="1:25">
      <c r="A591" s="85"/>
      <c r="B591" s="85"/>
      <c r="C591" s="85"/>
      <c r="D591" s="85"/>
      <c r="E591" s="85"/>
      <c r="F591" s="85"/>
      <c r="G591" s="85"/>
      <c r="H591" s="85"/>
      <c r="J591" s="85"/>
      <c r="K591" s="85"/>
      <c r="L591" s="85"/>
      <c r="M591" s="85"/>
      <c r="N591" s="85"/>
      <c r="O591" s="85"/>
      <c r="P591" s="85"/>
      <c r="Q591" s="85"/>
      <c r="R591" s="63"/>
      <c r="S591" s="63"/>
      <c r="T591" s="63"/>
      <c r="U591" s="63"/>
      <c r="V591" s="63"/>
      <c r="W591" s="63"/>
      <c r="X591" s="63"/>
      <c r="Y591" s="63"/>
    </row>
    <row r="592" spans="1:25">
      <c r="A592" s="85"/>
      <c r="B592" s="85"/>
      <c r="C592" s="85"/>
      <c r="D592" s="85"/>
      <c r="E592" s="85"/>
      <c r="F592" s="85"/>
      <c r="G592" s="85"/>
      <c r="H592" s="85"/>
      <c r="J592" s="85"/>
      <c r="K592" s="85"/>
      <c r="L592" s="85"/>
      <c r="M592" s="85"/>
      <c r="N592" s="85"/>
      <c r="O592" s="85"/>
      <c r="P592" s="85"/>
      <c r="Q592" s="85"/>
      <c r="R592" s="63"/>
      <c r="S592" s="63"/>
      <c r="T592" s="63"/>
      <c r="U592" s="63"/>
      <c r="V592" s="63"/>
      <c r="W592" s="63"/>
      <c r="X592" s="63"/>
      <c r="Y592" s="63"/>
    </row>
    <row r="593" spans="1:25">
      <c r="A593" s="85"/>
      <c r="B593" s="85"/>
      <c r="C593" s="85"/>
      <c r="D593" s="85"/>
      <c r="E593" s="85"/>
      <c r="F593" s="85"/>
      <c r="G593" s="85"/>
      <c r="H593" s="85"/>
      <c r="J593" s="85"/>
      <c r="K593" s="85"/>
      <c r="L593" s="85"/>
      <c r="M593" s="85"/>
      <c r="N593" s="85"/>
      <c r="O593" s="85"/>
      <c r="P593" s="85"/>
      <c r="Q593" s="85"/>
      <c r="R593" s="63"/>
      <c r="S593" s="63"/>
      <c r="T593" s="63"/>
      <c r="U593" s="63"/>
      <c r="V593" s="63"/>
      <c r="W593" s="63"/>
      <c r="X593" s="63"/>
      <c r="Y593" s="63"/>
    </row>
    <row r="594" spans="1:25">
      <c r="A594" s="85"/>
      <c r="B594" s="85"/>
      <c r="C594" s="85"/>
      <c r="D594" s="85"/>
      <c r="E594" s="85"/>
      <c r="F594" s="85"/>
      <c r="G594" s="85"/>
      <c r="H594" s="85"/>
      <c r="J594" s="85"/>
      <c r="K594" s="85"/>
      <c r="L594" s="85"/>
      <c r="M594" s="85"/>
      <c r="N594" s="85"/>
      <c r="O594" s="85"/>
      <c r="P594" s="85"/>
      <c r="Q594" s="85"/>
      <c r="R594" s="63"/>
      <c r="S594" s="63"/>
      <c r="T594" s="63"/>
      <c r="U594" s="63"/>
      <c r="V594" s="63"/>
      <c r="W594" s="63"/>
      <c r="X594" s="63"/>
      <c r="Y594" s="63"/>
    </row>
    <row r="595" spans="1:25">
      <c r="A595" s="85"/>
      <c r="B595" s="85"/>
      <c r="C595" s="85"/>
      <c r="D595" s="85"/>
      <c r="E595" s="85"/>
      <c r="F595" s="85"/>
      <c r="G595" s="85"/>
      <c r="H595" s="85"/>
      <c r="J595" s="85"/>
      <c r="K595" s="85"/>
      <c r="L595" s="85"/>
      <c r="M595" s="85"/>
      <c r="N595" s="85"/>
      <c r="O595" s="85"/>
      <c r="P595" s="85"/>
      <c r="Q595" s="85"/>
      <c r="R595" s="63"/>
      <c r="S595" s="63"/>
      <c r="T595" s="63"/>
      <c r="U595" s="63"/>
      <c r="V595" s="63"/>
      <c r="W595" s="63"/>
      <c r="X595" s="63"/>
      <c r="Y595" s="63"/>
    </row>
    <row r="596" spans="1:25">
      <c r="A596" s="85"/>
      <c r="B596" s="85"/>
      <c r="C596" s="85"/>
      <c r="D596" s="85"/>
      <c r="E596" s="85"/>
      <c r="F596" s="85"/>
      <c r="G596" s="85"/>
      <c r="H596" s="85"/>
      <c r="J596" s="85"/>
      <c r="K596" s="85"/>
      <c r="L596" s="85"/>
      <c r="M596" s="85"/>
      <c r="N596" s="85"/>
      <c r="O596" s="85"/>
      <c r="P596" s="85"/>
      <c r="Q596" s="85"/>
      <c r="R596" s="63"/>
      <c r="S596" s="63"/>
      <c r="T596" s="63"/>
      <c r="U596" s="63"/>
      <c r="V596" s="63"/>
      <c r="W596" s="63"/>
      <c r="X596" s="63"/>
      <c r="Y596" s="63"/>
    </row>
    <row r="597" spans="1:25">
      <c r="A597" s="85"/>
      <c r="B597" s="85"/>
      <c r="C597" s="85"/>
      <c r="D597" s="85"/>
      <c r="E597" s="85"/>
      <c r="F597" s="85"/>
      <c r="G597" s="85"/>
      <c r="H597" s="85"/>
      <c r="J597" s="85"/>
      <c r="K597" s="85"/>
      <c r="L597" s="85"/>
      <c r="M597" s="85"/>
      <c r="N597" s="85"/>
      <c r="O597" s="85"/>
      <c r="P597" s="85"/>
      <c r="Q597" s="85"/>
      <c r="R597" s="63"/>
      <c r="S597" s="63"/>
      <c r="T597" s="63"/>
      <c r="U597" s="63"/>
      <c r="V597" s="63"/>
      <c r="W597" s="63"/>
      <c r="X597" s="63"/>
      <c r="Y597" s="63"/>
    </row>
    <row r="598" spans="1:25">
      <c r="A598" s="85"/>
      <c r="B598" s="85"/>
      <c r="C598" s="85"/>
      <c r="D598" s="85"/>
      <c r="E598" s="85"/>
      <c r="F598" s="85"/>
      <c r="G598" s="85"/>
      <c r="H598" s="85"/>
      <c r="J598" s="85"/>
      <c r="K598" s="85"/>
      <c r="L598" s="85"/>
      <c r="M598" s="85"/>
      <c r="N598" s="85"/>
      <c r="O598" s="85"/>
      <c r="P598" s="85"/>
      <c r="Q598" s="85"/>
      <c r="R598" s="63"/>
      <c r="S598" s="63"/>
      <c r="T598" s="63"/>
      <c r="U598" s="63"/>
      <c r="V598" s="63"/>
      <c r="W598" s="63"/>
      <c r="X598" s="63"/>
      <c r="Y598" s="63"/>
    </row>
    <row r="599" spans="1:25">
      <c r="A599" s="85"/>
      <c r="B599" s="85"/>
      <c r="C599" s="85"/>
      <c r="D599" s="85"/>
      <c r="E599" s="85"/>
      <c r="F599" s="85"/>
      <c r="G599" s="85"/>
      <c r="H599" s="85"/>
      <c r="J599" s="85"/>
      <c r="K599" s="85"/>
      <c r="L599" s="85"/>
      <c r="M599" s="85"/>
      <c r="N599" s="85"/>
      <c r="O599" s="85"/>
      <c r="P599" s="85"/>
      <c r="Q599" s="85"/>
      <c r="R599" s="63"/>
      <c r="S599" s="63"/>
      <c r="T599" s="63"/>
      <c r="U599" s="63"/>
      <c r="V599" s="63"/>
      <c r="W599" s="63"/>
      <c r="X599" s="63"/>
      <c r="Y599" s="63"/>
    </row>
    <row r="600" spans="1:25">
      <c r="A600" s="85"/>
      <c r="B600" s="85"/>
      <c r="C600" s="85"/>
      <c r="D600" s="85"/>
      <c r="E600" s="85"/>
      <c r="F600" s="85"/>
      <c r="G600" s="85"/>
      <c r="H600" s="85"/>
      <c r="J600" s="85"/>
      <c r="K600" s="85"/>
      <c r="L600" s="85"/>
      <c r="M600" s="85"/>
      <c r="N600" s="85"/>
      <c r="O600" s="85"/>
      <c r="P600" s="85"/>
      <c r="Q600" s="85"/>
      <c r="R600" s="63"/>
      <c r="S600" s="63"/>
      <c r="T600" s="63"/>
      <c r="U600" s="63"/>
      <c r="V600" s="63"/>
      <c r="W600" s="63"/>
      <c r="X600" s="63"/>
      <c r="Y600" s="63"/>
    </row>
    <row r="601" spans="1:25">
      <c r="A601" s="85"/>
      <c r="B601" s="85"/>
      <c r="C601" s="85"/>
      <c r="D601" s="85"/>
      <c r="E601" s="85"/>
      <c r="F601" s="85"/>
      <c r="G601" s="85"/>
      <c r="H601" s="85"/>
      <c r="J601" s="85"/>
      <c r="K601" s="85"/>
      <c r="L601" s="85"/>
      <c r="M601" s="85"/>
      <c r="N601" s="85"/>
      <c r="O601" s="85"/>
      <c r="P601" s="85"/>
      <c r="Q601" s="85"/>
      <c r="R601" s="63"/>
      <c r="S601" s="63"/>
      <c r="T601" s="63"/>
      <c r="U601" s="63"/>
      <c r="V601" s="63"/>
      <c r="W601" s="63"/>
      <c r="X601" s="63"/>
      <c r="Y601" s="63"/>
    </row>
    <row r="602" spans="1:25">
      <c r="A602" s="85"/>
      <c r="B602" s="85"/>
      <c r="C602" s="85"/>
      <c r="D602" s="85"/>
      <c r="E602" s="85"/>
      <c r="F602" s="85"/>
      <c r="G602" s="85"/>
      <c r="H602" s="85"/>
      <c r="J602" s="85"/>
      <c r="K602" s="85"/>
      <c r="L602" s="85"/>
      <c r="M602" s="85"/>
      <c r="N602" s="85"/>
      <c r="O602" s="85"/>
      <c r="P602" s="85"/>
      <c r="Q602" s="85"/>
      <c r="R602" s="63"/>
      <c r="S602" s="63"/>
      <c r="T602" s="63"/>
      <c r="U602" s="63"/>
      <c r="V602" s="63"/>
      <c r="W602" s="63"/>
      <c r="X602" s="63"/>
      <c r="Y602" s="63"/>
    </row>
    <row r="603" spans="1:25">
      <c r="A603" s="85"/>
      <c r="B603" s="85"/>
      <c r="C603" s="85"/>
      <c r="D603" s="85"/>
      <c r="E603" s="85"/>
      <c r="F603" s="85"/>
      <c r="G603" s="85"/>
      <c r="H603" s="85"/>
      <c r="J603" s="85"/>
      <c r="K603" s="85"/>
      <c r="L603" s="85"/>
      <c r="M603" s="85"/>
      <c r="N603" s="85"/>
      <c r="O603" s="85"/>
      <c r="P603" s="85"/>
      <c r="Q603" s="85"/>
      <c r="R603" s="63"/>
      <c r="S603" s="63"/>
      <c r="T603" s="63"/>
      <c r="U603" s="63"/>
      <c r="V603" s="63"/>
      <c r="W603" s="63"/>
      <c r="X603" s="63"/>
      <c r="Y603" s="63"/>
    </row>
    <row r="604" spans="1:25">
      <c r="A604" s="85"/>
      <c r="B604" s="85"/>
      <c r="C604" s="85"/>
      <c r="D604" s="85"/>
      <c r="E604" s="85"/>
      <c r="F604" s="85"/>
      <c r="G604" s="85"/>
      <c r="H604" s="85"/>
      <c r="J604" s="85"/>
      <c r="K604" s="85"/>
      <c r="L604" s="85"/>
      <c r="M604" s="85"/>
      <c r="N604" s="85"/>
      <c r="O604" s="85"/>
      <c r="P604" s="85"/>
      <c r="Q604" s="85"/>
      <c r="R604" s="63"/>
      <c r="S604" s="63"/>
      <c r="T604" s="63"/>
      <c r="U604" s="63"/>
      <c r="V604" s="63"/>
      <c r="W604" s="63"/>
      <c r="X604" s="63"/>
      <c r="Y604" s="63"/>
    </row>
    <row r="605" spans="1:25">
      <c r="A605" s="85"/>
      <c r="B605" s="85"/>
      <c r="C605" s="85"/>
      <c r="D605" s="85"/>
      <c r="E605" s="85"/>
      <c r="F605" s="85"/>
      <c r="G605" s="85"/>
      <c r="H605" s="85"/>
      <c r="J605" s="85"/>
      <c r="K605" s="85"/>
      <c r="L605" s="85"/>
      <c r="M605" s="85"/>
      <c r="N605" s="85"/>
      <c r="O605" s="85"/>
      <c r="P605" s="85"/>
      <c r="Q605" s="85"/>
      <c r="R605" s="63"/>
      <c r="S605" s="63"/>
      <c r="T605" s="63"/>
      <c r="U605" s="63"/>
      <c r="V605" s="63"/>
      <c r="W605" s="63"/>
      <c r="X605" s="63"/>
      <c r="Y605" s="63"/>
    </row>
    <row r="606" spans="1:25">
      <c r="A606" s="85"/>
      <c r="B606" s="85"/>
      <c r="C606" s="85"/>
      <c r="D606" s="85"/>
      <c r="E606" s="85"/>
      <c r="F606" s="85"/>
      <c r="G606" s="85"/>
      <c r="H606" s="85"/>
      <c r="J606" s="85"/>
      <c r="K606" s="85"/>
      <c r="L606" s="85"/>
      <c r="M606" s="85"/>
      <c r="N606" s="85"/>
      <c r="O606" s="85"/>
      <c r="P606" s="85"/>
      <c r="Q606" s="85"/>
      <c r="R606" s="63"/>
      <c r="S606" s="63"/>
      <c r="T606" s="63"/>
      <c r="U606" s="63"/>
      <c r="V606" s="63"/>
      <c r="W606" s="63"/>
      <c r="X606" s="63"/>
      <c r="Y606" s="63"/>
    </row>
    <row r="607" spans="1:25">
      <c r="A607" s="85"/>
      <c r="B607" s="85"/>
      <c r="C607" s="85"/>
      <c r="D607" s="85"/>
      <c r="E607" s="85"/>
      <c r="F607" s="85"/>
      <c r="G607" s="85"/>
      <c r="H607" s="85"/>
      <c r="J607" s="85"/>
      <c r="K607" s="85"/>
      <c r="L607" s="85"/>
      <c r="M607" s="85"/>
      <c r="N607" s="85"/>
      <c r="O607" s="85"/>
      <c r="P607" s="85"/>
      <c r="Q607" s="85"/>
      <c r="R607" s="63"/>
      <c r="S607" s="63"/>
      <c r="T607" s="63"/>
      <c r="U607" s="63"/>
      <c r="V607" s="63"/>
      <c r="W607" s="63"/>
      <c r="X607" s="63"/>
      <c r="Y607" s="63"/>
    </row>
    <row r="608" spans="1:25">
      <c r="A608" s="85"/>
      <c r="B608" s="85"/>
      <c r="C608" s="85"/>
      <c r="D608" s="85"/>
      <c r="E608" s="85"/>
      <c r="F608" s="85"/>
      <c r="G608" s="85"/>
      <c r="H608" s="85"/>
      <c r="J608" s="85"/>
      <c r="K608" s="85"/>
      <c r="L608" s="85"/>
      <c r="M608" s="85"/>
      <c r="N608" s="85"/>
      <c r="O608" s="85"/>
      <c r="P608" s="85"/>
      <c r="Q608" s="85"/>
      <c r="R608" s="63"/>
      <c r="S608" s="63"/>
      <c r="T608" s="63"/>
      <c r="U608" s="63"/>
      <c r="V608" s="63"/>
      <c r="W608" s="63"/>
      <c r="X608" s="63"/>
      <c r="Y608" s="63"/>
    </row>
    <row r="609" spans="1:25">
      <c r="A609" s="85"/>
      <c r="B609" s="85"/>
      <c r="C609" s="85"/>
      <c r="D609" s="85"/>
      <c r="E609" s="85"/>
      <c r="F609" s="85"/>
      <c r="G609" s="85"/>
      <c r="H609" s="85"/>
      <c r="J609" s="85"/>
      <c r="K609" s="85"/>
      <c r="L609" s="85"/>
      <c r="M609" s="85"/>
      <c r="N609" s="85"/>
      <c r="O609" s="85"/>
      <c r="P609" s="85"/>
      <c r="Q609" s="85"/>
      <c r="R609" s="63"/>
      <c r="S609" s="63"/>
      <c r="T609" s="63"/>
      <c r="U609" s="63"/>
      <c r="V609" s="63"/>
      <c r="W609" s="63"/>
      <c r="X609" s="63"/>
      <c r="Y609" s="63"/>
    </row>
    <row r="610" spans="1:25">
      <c r="A610" s="85"/>
      <c r="B610" s="85"/>
      <c r="C610" s="85"/>
      <c r="D610" s="85"/>
      <c r="E610" s="85"/>
      <c r="F610" s="85"/>
      <c r="G610" s="85"/>
      <c r="H610" s="85"/>
      <c r="J610" s="85"/>
      <c r="K610" s="85"/>
      <c r="L610" s="85"/>
      <c r="M610" s="85"/>
      <c r="N610" s="85"/>
      <c r="O610" s="85"/>
      <c r="P610" s="85"/>
      <c r="Q610" s="85"/>
      <c r="R610" s="63"/>
      <c r="S610" s="63"/>
      <c r="T610" s="63"/>
      <c r="U610" s="63"/>
      <c r="V610" s="63"/>
      <c r="W610" s="63"/>
      <c r="X610" s="63"/>
      <c r="Y610" s="63"/>
    </row>
    <row r="611" spans="1:25">
      <c r="A611" s="85"/>
      <c r="B611" s="85"/>
      <c r="C611" s="85"/>
      <c r="D611" s="85"/>
      <c r="E611" s="85"/>
      <c r="F611" s="85"/>
      <c r="G611" s="85"/>
      <c r="H611" s="85"/>
      <c r="J611" s="85"/>
      <c r="K611" s="85"/>
      <c r="L611" s="85"/>
      <c r="M611" s="85"/>
      <c r="N611" s="85"/>
      <c r="O611" s="85"/>
      <c r="P611" s="85"/>
      <c r="Q611" s="85"/>
      <c r="R611" s="63"/>
      <c r="S611" s="63"/>
      <c r="T611" s="63"/>
      <c r="U611" s="63"/>
      <c r="V611" s="63"/>
      <c r="W611" s="63"/>
      <c r="X611" s="63"/>
      <c r="Y611" s="63"/>
    </row>
    <row r="612" spans="1:25">
      <c r="A612" s="85"/>
      <c r="B612" s="85"/>
      <c r="C612" s="85"/>
      <c r="D612" s="85"/>
      <c r="E612" s="85"/>
      <c r="F612" s="85"/>
      <c r="G612" s="85"/>
      <c r="H612" s="85"/>
      <c r="J612" s="85"/>
      <c r="K612" s="85"/>
      <c r="L612" s="85"/>
      <c r="M612" s="85"/>
      <c r="N612" s="85"/>
      <c r="O612" s="85"/>
      <c r="P612" s="85"/>
      <c r="Q612" s="85"/>
      <c r="R612" s="63"/>
      <c r="S612" s="63"/>
      <c r="T612" s="63"/>
      <c r="U612" s="63"/>
      <c r="V612" s="63"/>
      <c r="W612" s="63"/>
      <c r="X612" s="63"/>
      <c r="Y612" s="63"/>
    </row>
    <row r="613" spans="1:25">
      <c r="A613" s="85"/>
      <c r="B613" s="85"/>
      <c r="C613" s="85"/>
      <c r="D613" s="85"/>
      <c r="E613" s="85"/>
      <c r="F613" s="85"/>
      <c r="G613" s="85"/>
      <c r="H613" s="85"/>
      <c r="J613" s="85"/>
      <c r="K613" s="85"/>
      <c r="L613" s="85"/>
      <c r="M613" s="85"/>
      <c r="N613" s="85"/>
      <c r="O613" s="85"/>
      <c r="P613" s="85"/>
      <c r="Q613" s="85"/>
      <c r="R613" s="63"/>
      <c r="S613" s="63"/>
      <c r="T613" s="63"/>
      <c r="U613" s="63"/>
      <c r="V613" s="63"/>
      <c r="W613" s="63"/>
      <c r="X613" s="63"/>
      <c r="Y613" s="63"/>
    </row>
    <row r="614" spans="1:25">
      <c r="A614" s="85"/>
      <c r="B614" s="85"/>
      <c r="C614" s="85"/>
      <c r="D614" s="85"/>
      <c r="E614" s="85"/>
      <c r="F614" s="85"/>
      <c r="G614" s="85"/>
      <c r="H614" s="85"/>
      <c r="J614" s="85"/>
      <c r="K614" s="85"/>
      <c r="L614" s="85"/>
      <c r="M614" s="85"/>
      <c r="N614" s="85"/>
      <c r="O614" s="85"/>
      <c r="P614" s="85"/>
      <c r="Q614" s="85"/>
      <c r="R614" s="63"/>
      <c r="S614" s="63"/>
      <c r="T614" s="63"/>
      <c r="U614" s="63"/>
      <c r="V614" s="63"/>
      <c r="W614" s="63"/>
      <c r="X614" s="63"/>
      <c r="Y614" s="63"/>
    </row>
    <row r="615" spans="1:25">
      <c r="A615" s="85"/>
      <c r="B615" s="85"/>
      <c r="C615" s="85"/>
      <c r="D615" s="85"/>
      <c r="E615" s="85"/>
      <c r="F615" s="85"/>
      <c r="G615" s="85"/>
      <c r="H615" s="85"/>
      <c r="J615" s="85"/>
      <c r="K615" s="85"/>
      <c r="L615" s="85"/>
      <c r="M615" s="85"/>
      <c r="N615" s="85"/>
      <c r="O615" s="85"/>
      <c r="P615" s="85"/>
      <c r="Q615" s="85"/>
      <c r="R615" s="63"/>
      <c r="S615" s="63"/>
      <c r="T615" s="63"/>
      <c r="U615" s="63"/>
      <c r="V615" s="63"/>
      <c r="W615" s="63"/>
      <c r="X615" s="63"/>
      <c r="Y615" s="63"/>
    </row>
    <row r="616" spans="1:25">
      <c r="A616" s="85"/>
      <c r="B616" s="85"/>
      <c r="C616" s="85"/>
      <c r="D616" s="85"/>
      <c r="E616" s="85"/>
      <c r="F616" s="85"/>
      <c r="G616" s="85"/>
      <c r="H616" s="85"/>
      <c r="J616" s="85"/>
      <c r="K616" s="85"/>
      <c r="L616" s="85"/>
      <c r="M616" s="85"/>
      <c r="N616" s="85"/>
      <c r="O616" s="85"/>
      <c r="P616" s="85"/>
      <c r="Q616" s="85"/>
      <c r="R616" s="63"/>
      <c r="S616" s="63"/>
      <c r="T616" s="63"/>
      <c r="U616" s="63"/>
      <c r="V616" s="63"/>
      <c r="W616" s="63"/>
      <c r="X616" s="63"/>
      <c r="Y616" s="63"/>
    </row>
    <row r="617" spans="1:25">
      <c r="A617" s="85"/>
      <c r="B617" s="85"/>
      <c r="C617" s="85"/>
      <c r="D617" s="85"/>
      <c r="E617" s="85"/>
      <c r="F617" s="85"/>
      <c r="G617" s="85"/>
      <c r="H617" s="85"/>
      <c r="J617" s="85"/>
      <c r="K617" s="85"/>
      <c r="L617" s="85"/>
      <c r="M617" s="85"/>
      <c r="N617" s="85"/>
      <c r="O617" s="85"/>
      <c r="P617" s="85"/>
      <c r="Q617" s="85"/>
      <c r="R617" s="63"/>
      <c r="S617" s="63"/>
      <c r="T617" s="63"/>
      <c r="U617" s="63"/>
      <c r="V617" s="63"/>
      <c r="W617" s="63"/>
      <c r="X617" s="63"/>
      <c r="Y617" s="63"/>
    </row>
    <row r="618" spans="1:25">
      <c r="A618" s="85"/>
      <c r="B618" s="85"/>
      <c r="C618" s="85"/>
      <c r="D618" s="85"/>
      <c r="E618" s="85"/>
      <c r="F618" s="85"/>
      <c r="G618" s="85"/>
      <c r="H618" s="85"/>
      <c r="J618" s="85"/>
      <c r="K618" s="85"/>
      <c r="L618" s="85"/>
      <c r="M618" s="85"/>
      <c r="N618" s="85"/>
      <c r="O618" s="85"/>
      <c r="P618" s="85"/>
      <c r="Q618" s="85"/>
      <c r="R618" s="63"/>
      <c r="S618" s="63"/>
      <c r="T618" s="63"/>
      <c r="U618" s="63"/>
      <c r="V618" s="63"/>
      <c r="W618" s="63"/>
      <c r="X618" s="63"/>
      <c r="Y618" s="63"/>
    </row>
    <row r="619" spans="1:25">
      <c r="A619" s="85"/>
      <c r="B619" s="85"/>
      <c r="C619" s="85"/>
      <c r="D619" s="85"/>
      <c r="E619" s="85"/>
      <c r="F619" s="85"/>
      <c r="G619" s="85"/>
      <c r="H619" s="85"/>
      <c r="J619" s="85"/>
      <c r="K619" s="85"/>
      <c r="L619" s="85"/>
      <c r="M619" s="85"/>
      <c r="N619" s="85"/>
      <c r="O619" s="85"/>
      <c r="P619" s="85"/>
      <c r="Q619" s="85"/>
      <c r="R619" s="63"/>
      <c r="S619" s="63"/>
      <c r="T619" s="63"/>
      <c r="U619" s="63"/>
      <c r="V619" s="63"/>
      <c r="W619" s="63"/>
      <c r="X619" s="63"/>
      <c r="Y619" s="63"/>
    </row>
    <row r="620" spans="1:25">
      <c r="A620" s="85"/>
      <c r="B620" s="85"/>
      <c r="C620" s="85"/>
      <c r="D620" s="85"/>
      <c r="E620" s="85"/>
      <c r="F620" s="85"/>
      <c r="G620" s="85"/>
      <c r="H620" s="85"/>
      <c r="J620" s="85"/>
      <c r="K620" s="85"/>
      <c r="L620" s="85"/>
      <c r="M620" s="85"/>
      <c r="N620" s="85"/>
      <c r="O620" s="85"/>
      <c r="P620" s="85"/>
      <c r="Q620" s="85"/>
      <c r="R620" s="63"/>
      <c r="S620" s="63"/>
      <c r="T620" s="63"/>
      <c r="U620" s="63"/>
      <c r="V620" s="63"/>
      <c r="W620" s="63"/>
      <c r="X620" s="63"/>
      <c r="Y620" s="63"/>
    </row>
    <row r="621" spans="1:25">
      <c r="A621" s="85"/>
      <c r="B621" s="85"/>
      <c r="C621" s="85"/>
      <c r="D621" s="85"/>
      <c r="E621" s="85"/>
      <c r="F621" s="85"/>
      <c r="G621" s="85"/>
      <c r="H621" s="85"/>
      <c r="J621" s="85"/>
      <c r="K621" s="85"/>
      <c r="L621" s="85"/>
      <c r="M621" s="85"/>
      <c r="N621" s="85"/>
      <c r="O621" s="85"/>
      <c r="P621" s="85"/>
      <c r="Q621" s="85"/>
      <c r="R621" s="63"/>
      <c r="S621" s="63"/>
      <c r="T621" s="63"/>
      <c r="U621" s="63"/>
      <c r="V621" s="63"/>
      <c r="W621" s="63"/>
      <c r="X621" s="63"/>
      <c r="Y621" s="63"/>
    </row>
    <row r="622" spans="1:25">
      <c r="A622" s="85"/>
      <c r="B622" s="85"/>
      <c r="C622" s="85"/>
      <c r="D622" s="85"/>
      <c r="E622" s="85"/>
      <c r="F622" s="85"/>
      <c r="G622" s="85"/>
      <c r="H622" s="85"/>
      <c r="J622" s="85"/>
      <c r="K622" s="85"/>
      <c r="L622" s="85"/>
      <c r="M622" s="85"/>
      <c r="N622" s="85"/>
      <c r="O622" s="85"/>
      <c r="P622" s="85"/>
      <c r="Q622" s="85"/>
      <c r="R622" s="63"/>
      <c r="S622" s="63"/>
      <c r="T622" s="63"/>
      <c r="U622" s="63"/>
      <c r="V622" s="63"/>
      <c r="W622" s="63"/>
      <c r="X622" s="63"/>
      <c r="Y622" s="63"/>
    </row>
    <row r="623" spans="1:25">
      <c r="A623" s="85"/>
      <c r="B623" s="85"/>
      <c r="C623" s="85"/>
      <c r="D623" s="85"/>
      <c r="E623" s="85"/>
      <c r="F623" s="85"/>
      <c r="G623" s="85"/>
      <c r="H623" s="85"/>
      <c r="J623" s="85"/>
      <c r="K623" s="85"/>
      <c r="L623" s="85"/>
      <c r="M623" s="85"/>
      <c r="N623" s="85"/>
      <c r="O623" s="85"/>
      <c r="P623" s="85"/>
      <c r="Q623" s="85"/>
      <c r="R623" s="63"/>
      <c r="S623" s="63"/>
      <c r="T623" s="63"/>
      <c r="U623" s="63"/>
      <c r="V623" s="63"/>
      <c r="W623" s="63"/>
      <c r="X623" s="63"/>
      <c r="Y623" s="63"/>
    </row>
    <row r="624" spans="1:25">
      <c r="A624" s="85"/>
      <c r="B624" s="85"/>
      <c r="C624" s="85"/>
      <c r="D624" s="85"/>
      <c r="E624" s="85"/>
      <c r="F624" s="85"/>
      <c r="G624" s="85"/>
      <c r="H624" s="85"/>
      <c r="J624" s="85"/>
      <c r="K624" s="85"/>
      <c r="L624" s="85"/>
      <c r="M624" s="85"/>
      <c r="N624" s="85"/>
      <c r="O624" s="85"/>
      <c r="P624" s="85"/>
      <c r="Q624" s="85"/>
      <c r="R624" s="63"/>
      <c r="S624" s="63"/>
      <c r="T624" s="63"/>
      <c r="U624" s="63"/>
      <c r="V624" s="63"/>
      <c r="W624" s="63"/>
      <c r="X624" s="63"/>
      <c r="Y624" s="63"/>
    </row>
    <row r="625" spans="1:25">
      <c r="A625" s="85"/>
      <c r="B625" s="85"/>
      <c r="C625" s="85"/>
      <c r="D625" s="85"/>
      <c r="E625" s="85"/>
      <c r="F625" s="85"/>
      <c r="G625" s="85"/>
      <c r="H625" s="85"/>
      <c r="J625" s="85"/>
      <c r="K625" s="85"/>
      <c r="L625" s="85"/>
      <c r="M625" s="85"/>
      <c r="N625" s="85"/>
      <c r="O625" s="85"/>
      <c r="P625" s="85"/>
      <c r="Q625" s="85"/>
      <c r="R625" s="63"/>
      <c r="S625" s="63"/>
      <c r="T625" s="63"/>
      <c r="U625" s="63"/>
      <c r="V625" s="63"/>
      <c r="W625" s="63"/>
      <c r="X625" s="63"/>
      <c r="Y625" s="63"/>
    </row>
    <row r="626" spans="1:25">
      <c r="A626" s="85"/>
      <c r="B626" s="85"/>
      <c r="C626" s="85"/>
      <c r="D626" s="85"/>
      <c r="E626" s="85"/>
      <c r="F626" s="85"/>
      <c r="G626" s="85"/>
      <c r="H626" s="85"/>
      <c r="J626" s="85"/>
      <c r="K626" s="85"/>
      <c r="L626" s="85"/>
      <c r="M626" s="85"/>
      <c r="N626" s="85"/>
      <c r="O626" s="85"/>
      <c r="P626" s="85"/>
      <c r="Q626" s="85"/>
      <c r="R626" s="63"/>
      <c r="S626" s="63"/>
      <c r="T626" s="63"/>
      <c r="U626" s="63"/>
      <c r="V626" s="63"/>
      <c r="W626" s="63"/>
      <c r="X626" s="63"/>
      <c r="Y626" s="63"/>
    </row>
    <row r="627" spans="1:25">
      <c r="A627" s="85"/>
      <c r="B627" s="85"/>
      <c r="C627" s="85"/>
      <c r="D627" s="85"/>
      <c r="E627" s="85"/>
      <c r="F627" s="85"/>
      <c r="G627" s="85"/>
      <c r="H627" s="85"/>
      <c r="J627" s="85"/>
      <c r="K627" s="85"/>
      <c r="L627" s="85"/>
      <c r="M627" s="85"/>
      <c r="N627" s="85"/>
      <c r="O627" s="85"/>
      <c r="P627" s="85"/>
      <c r="Q627" s="85"/>
      <c r="R627" s="63"/>
      <c r="S627" s="63"/>
      <c r="T627" s="63"/>
      <c r="U627" s="63"/>
      <c r="V627" s="63"/>
      <c r="W627" s="63"/>
      <c r="X627" s="63"/>
      <c r="Y627" s="63"/>
    </row>
    <row r="628" spans="1:25">
      <c r="A628" s="85"/>
      <c r="B628" s="85"/>
      <c r="C628" s="85"/>
      <c r="D628" s="85"/>
      <c r="E628" s="85"/>
      <c r="F628" s="85"/>
      <c r="G628" s="85"/>
      <c r="H628" s="85"/>
      <c r="J628" s="85"/>
      <c r="K628" s="85"/>
      <c r="L628" s="85"/>
      <c r="M628" s="85"/>
      <c r="N628" s="85"/>
      <c r="O628" s="85"/>
      <c r="P628" s="85"/>
      <c r="Q628" s="85"/>
      <c r="R628" s="63"/>
      <c r="S628" s="63"/>
      <c r="T628" s="63"/>
      <c r="U628" s="63"/>
      <c r="V628" s="63"/>
      <c r="W628" s="63"/>
      <c r="X628" s="63"/>
      <c r="Y628" s="63"/>
    </row>
    <row r="629" spans="1:25">
      <c r="A629" s="85"/>
      <c r="B629" s="85"/>
      <c r="C629" s="85"/>
      <c r="D629" s="85"/>
      <c r="E629" s="85"/>
      <c r="F629" s="85"/>
      <c r="G629" s="85"/>
      <c r="H629" s="85"/>
      <c r="J629" s="85"/>
      <c r="K629" s="85"/>
      <c r="L629" s="85"/>
      <c r="M629" s="85"/>
      <c r="N629" s="85"/>
      <c r="O629" s="85"/>
      <c r="P629" s="85"/>
      <c r="Q629" s="85"/>
      <c r="R629" s="63"/>
      <c r="S629" s="63"/>
      <c r="T629" s="63"/>
      <c r="U629" s="63"/>
      <c r="V629" s="63"/>
      <c r="W629" s="63"/>
      <c r="X629" s="63"/>
      <c r="Y629" s="63"/>
    </row>
    <row r="630" spans="1:25">
      <c r="A630" s="85"/>
      <c r="B630" s="85"/>
      <c r="C630" s="85"/>
      <c r="D630" s="85"/>
      <c r="E630" s="85"/>
      <c r="F630" s="85"/>
      <c r="G630" s="85"/>
      <c r="H630" s="85"/>
      <c r="J630" s="85"/>
      <c r="K630" s="85"/>
      <c r="L630" s="85"/>
      <c r="M630" s="85"/>
      <c r="N630" s="85"/>
      <c r="O630" s="85"/>
      <c r="P630" s="85"/>
      <c r="Q630" s="85"/>
      <c r="R630" s="63"/>
      <c r="S630" s="63"/>
      <c r="T630" s="63"/>
      <c r="U630" s="63"/>
      <c r="V630" s="63"/>
      <c r="W630" s="63"/>
      <c r="X630" s="63"/>
      <c r="Y630" s="63"/>
    </row>
    <row r="631" spans="1:25">
      <c r="A631" s="85"/>
      <c r="B631" s="85"/>
      <c r="C631" s="85"/>
      <c r="D631" s="85"/>
      <c r="E631" s="85"/>
      <c r="F631" s="85"/>
      <c r="G631" s="85"/>
      <c r="H631" s="85"/>
      <c r="J631" s="85"/>
      <c r="K631" s="85"/>
      <c r="L631" s="85"/>
      <c r="M631" s="85"/>
      <c r="N631" s="85"/>
      <c r="O631" s="85"/>
      <c r="P631" s="85"/>
      <c r="Q631" s="85"/>
      <c r="R631" s="63"/>
      <c r="S631" s="63"/>
      <c r="T631" s="63"/>
      <c r="U631" s="63"/>
      <c r="V631" s="63"/>
      <c r="W631" s="63"/>
      <c r="X631" s="63"/>
      <c r="Y631" s="63"/>
    </row>
    <row r="632" spans="1:25">
      <c r="A632" s="85"/>
      <c r="B632" s="85"/>
      <c r="C632" s="85"/>
      <c r="D632" s="85"/>
      <c r="E632" s="85"/>
      <c r="F632" s="85"/>
      <c r="G632" s="85"/>
      <c r="H632" s="85"/>
      <c r="J632" s="85"/>
      <c r="K632" s="85"/>
      <c r="L632" s="85"/>
      <c r="M632" s="85"/>
      <c r="N632" s="85"/>
      <c r="O632" s="85"/>
      <c r="P632" s="85"/>
      <c r="Q632" s="85"/>
      <c r="R632" s="63"/>
      <c r="S632" s="63"/>
      <c r="T632" s="63"/>
      <c r="U632" s="63"/>
      <c r="V632" s="63"/>
      <c r="W632" s="63"/>
      <c r="X632" s="63"/>
      <c r="Y632" s="63"/>
    </row>
    <row r="633" spans="1:25">
      <c r="A633" s="85"/>
      <c r="B633" s="85"/>
      <c r="C633" s="85"/>
      <c r="D633" s="85"/>
      <c r="E633" s="85"/>
      <c r="F633" s="85"/>
      <c r="G633" s="85"/>
      <c r="H633" s="85"/>
      <c r="J633" s="85"/>
      <c r="K633" s="85"/>
      <c r="L633" s="85"/>
      <c r="M633" s="85"/>
      <c r="N633" s="85"/>
      <c r="O633" s="85"/>
      <c r="P633" s="85"/>
      <c r="Q633" s="85"/>
      <c r="R633" s="63"/>
      <c r="S633" s="63"/>
      <c r="T633" s="63"/>
      <c r="U633" s="63"/>
      <c r="V633" s="63"/>
      <c r="W633" s="63"/>
      <c r="X633" s="63"/>
      <c r="Y633" s="63"/>
    </row>
    <row r="634" spans="1:25">
      <c r="A634" s="85"/>
      <c r="B634" s="85"/>
      <c r="C634" s="85"/>
      <c r="D634" s="85"/>
      <c r="E634" s="85"/>
      <c r="F634" s="85"/>
      <c r="G634" s="85"/>
      <c r="H634" s="85"/>
      <c r="J634" s="85"/>
      <c r="K634" s="85"/>
      <c r="L634" s="85"/>
      <c r="M634" s="85"/>
      <c r="N634" s="85"/>
      <c r="O634" s="85"/>
      <c r="P634" s="85"/>
      <c r="Q634" s="85"/>
      <c r="R634" s="63"/>
      <c r="S634" s="63"/>
      <c r="T634" s="63"/>
      <c r="U634" s="63"/>
      <c r="V634" s="63"/>
      <c r="W634" s="63"/>
      <c r="X634" s="63"/>
      <c r="Y634" s="63"/>
    </row>
    <row r="635" spans="1:25">
      <c r="A635" s="85"/>
      <c r="B635" s="85"/>
      <c r="C635" s="85"/>
      <c r="D635" s="85"/>
      <c r="E635" s="85"/>
      <c r="F635" s="85"/>
      <c r="G635" s="85"/>
      <c r="H635" s="85"/>
      <c r="J635" s="85"/>
      <c r="K635" s="85"/>
      <c r="L635" s="85"/>
      <c r="M635" s="85"/>
      <c r="N635" s="85"/>
      <c r="O635" s="85"/>
      <c r="P635" s="85"/>
      <c r="Q635" s="85"/>
      <c r="R635" s="63"/>
      <c r="S635" s="63"/>
      <c r="T635" s="63"/>
      <c r="U635" s="63"/>
      <c r="V635" s="63"/>
      <c r="W635" s="63"/>
      <c r="X635" s="63"/>
      <c r="Y635" s="63"/>
    </row>
    <row r="636" spans="1:25">
      <c r="A636" s="85"/>
      <c r="B636" s="85"/>
      <c r="C636" s="85"/>
      <c r="D636" s="85"/>
      <c r="E636" s="85"/>
      <c r="F636" s="85"/>
      <c r="G636" s="85"/>
      <c r="H636" s="85"/>
      <c r="J636" s="85"/>
      <c r="K636" s="85"/>
      <c r="L636" s="85"/>
      <c r="M636" s="85"/>
      <c r="N636" s="85"/>
      <c r="O636" s="85"/>
      <c r="P636" s="85"/>
      <c r="Q636" s="85"/>
      <c r="R636" s="63"/>
      <c r="S636" s="63"/>
      <c r="T636" s="63"/>
      <c r="U636" s="63"/>
      <c r="V636" s="63"/>
      <c r="W636" s="63"/>
      <c r="X636" s="63"/>
      <c r="Y636" s="63"/>
    </row>
    <row r="637" spans="1:25">
      <c r="A637" s="85"/>
      <c r="B637" s="85"/>
      <c r="C637" s="85"/>
      <c r="D637" s="85"/>
      <c r="E637" s="85"/>
      <c r="F637" s="85"/>
      <c r="G637" s="85"/>
      <c r="H637" s="85"/>
      <c r="J637" s="85"/>
      <c r="K637" s="85"/>
      <c r="L637" s="85"/>
      <c r="M637" s="85"/>
      <c r="N637" s="85"/>
      <c r="O637" s="85"/>
      <c r="P637" s="85"/>
      <c r="Q637" s="85"/>
      <c r="R637" s="63"/>
      <c r="S637" s="63"/>
      <c r="T637" s="63"/>
      <c r="U637" s="63"/>
      <c r="V637" s="63"/>
      <c r="W637" s="63"/>
      <c r="X637" s="63"/>
      <c r="Y637" s="63"/>
    </row>
    <row r="638" spans="1:25">
      <c r="A638" s="85"/>
      <c r="B638" s="85"/>
      <c r="C638" s="85"/>
      <c r="D638" s="85"/>
      <c r="E638" s="85"/>
      <c r="F638" s="85"/>
      <c r="G638" s="85"/>
      <c r="H638" s="85"/>
      <c r="J638" s="85"/>
      <c r="K638" s="85"/>
      <c r="L638" s="85"/>
      <c r="M638" s="85"/>
      <c r="N638" s="85"/>
      <c r="O638" s="85"/>
      <c r="P638" s="85"/>
      <c r="Q638" s="85"/>
      <c r="R638" s="63"/>
      <c r="S638" s="63"/>
      <c r="T638" s="63"/>
      <c r="U638" s="63"/>
      <c r="V638" s="63"/>
      <c r="W638" s="63"/>
      <c r="X638" s="63"/>
      <c r="Y638" s="63"/>
    </row>
    <row r="639" spans="1:25">
      <c r="A639" s="85"/>
      <c r="B639" s="85"/>
      <c r="C639" s="85"/>
      <c r="D639" s="85"/>
      <c r="E639" s="85"/>
      <c r="F639" s="85"/>
      <c r="G639" s="85"/>
      <c r="H639" s="85"/>
      <c r="J639" s="85"/>
      <c r="K639" s="85"/>
      <c r="L639" s="85"/>
      <c r="M639" s="85"/>
      <c r="N639" s="85"/>
      <c r="O639" s="85"/>
      <c r="P639" s="85"/>
      <c r="Q639" s="85"/>
      <c r="R639" s="63"/>
      <c r="S639" s="63"/>
      <c r="T639" s="63"/>
      <c r="U639" s="63"/>
      <c r="V639" s="63"/>
      <c r="W639" s="63"/>
      <c r="X639" s="63"/>
      <c r="Y639" s="63"/>
    </row>
    <row r="640" spans="1:25">
      <c r="A640" s="85"/>
      <c r="B640" s="85"/>
      <c r="C640" s="85"/>
      <c r="D640" s="85"/>
      <c r="E640" s="85"/>
      <c r="F640" s="85"/>
      <c r="G640" s="85"/>
      <c r="H640" s="85"/>
      <c r="J640" s="85"/>
      <c r="K640" s="85"/>
      <c r="L640" s="85"/>
      <c r="M640" s="85"/>
      <c r="N640" s="85"/>
      <c r="O640" s="85"/>
      <c r="P640" s="85"/>
      <c r="Q640" s="85"/>
      <c r="R640" s="63"/>
      <c r="S640" s="63"/>
      <c r="T640" s="63"/>
      <c r="U640" s="63"/>
      <c r="V640" s="63"/>
      <c r="W640" s="63"/>
      <c r="X640" s="63"/>
      <c r="Y640" s="63"/>
    </row>
    <row r="641" spans="1:25">
      <c r="A641" s="85"/>
      <c r="B641" s="85"/>
      <c r="C641" s="85"/>
      <c r="D641" s="85"/>
      <c r="E641" s="85"/>
      <c r="F641" s="85"/>
      <c r="G641" s="85"/>
      <c r="H641" s="85"/>
      <c r="J641" s="85"/>
      <c r="K641" s="85"/>
      <c r="L641" s="85"/>
      <c r="M641" s="85"/>
      <c r="N641" s="85"/>
      <c r="O641" s="85"/>
      <c r="P641" s="85"/>
      <c r="Q641" s="85"/>
      <c r="R641" s="63"/>
      <c r="S641" s="63"/>
      <c r="T641" s="63"/>
      <c r="U641" s="63"/>
      <c r="V641" s="63"/>
      <c r="W641" s="63"/>
      <c r="X641" s="63"/>
      <c r="Y641" s="63"/>
    </row>
    <row r="642" spans="1:25">
      <c r="A642" s="85"/>
      <c r="B642" s="85"/>
      <c r="C642" s="85"/>
      <c r="D642" s="85"/>
      <c r="E642" s="85"/>
      <c r="F642" s="85"/>
      <c r="G642" s="85"/>
      <c r="H642" s="85"/>
      <c r="J642" s="85"/>
      <c r="K642" s="85"/>
      <c r="L642" s="85"/>
      <c r="M642" s="85"/>
      <c r="N642" s="85"/>
      <c r="O642" s="85"/>
      <c r="P642" s="85"/>
      <c r="Q642" s="85"/>
      <c r="R642" s="63"/>
      <c r="S642" s="63"/>
      <c r="T642" s="63"/>
      <c r="U642" s="63"/>
      <c r="V642" s="63"/>
      <c r="W642" s="63"/>
      <c r="X642" s="63"/>
      <c r="Y642" s="63"/>
    </row>
    <row r="643" spans="1:25">
      <c r="A643" s="85"/>
      <c r="B643" s="85"/>
      <c r="C643" s="85"/>
      <c r="D643" s="85"/>
      <c r="E643" s="85"/>
      <c r="F643" s="85"/>
      <c r="G643" s="85"/>
      <c r="H643" s="85"/>
      <c r="J643" s="85"/>
      <c r="K643" s="85"/>
      <c r="L643" s="85"/>
      <c r="M643" s="85"/>
      <c r="N643" s="85"/>
      <c r="O643" s="85"/>
      <c r="P643" s="85"/>
      <c r="Q643" s="85"/>
      <c r="R643" s="63"/>
      <c r="S643" s="63"/>
      <c r="T643" s="63"/>
      <c r="U643" s="63"/>
      <c r="V643" s="63"/>
      <c r="W643" s="63"/>
      <c r="X643" s="63"/>
      <c r="Y643" s="63"/>
    </row>
    <row r="644" spans="1:25">
      <c r="A644" s="85"/>
      <c r="B644" s="85"/>
      <c r="C644" s="85"/>
      <c r="D644" s="85"/>
      <c r="E644" s="85"/>
      <c r="F644" s="85"/>
      <c r="G644" s="85"/>
      <c r="H644" s="85"/>
      <c r="J644" s="85"/>
      <c r="K644" s="85"/>
      <c r="L644" s="85"/>
      <c r="M644" s="85"/>
      <c r="N644" s="85"/>
      <c r="O644" s="85"/>
      <c r="P644" s="85"/>
      <c r="Q644" s="85"/>
      <c r="R644" s="63"/>
      <c r="S644" s="63"/>
      <c r="T644" s="63"/>
      <c r="U644" s="63"/>
      <c r="V644" s="63"/>
      <c r="W644" s="63"/>
      <c r="X644" s="63"/>
      <c r="Y644" s="63"/>
    </row>
    <row r="645" spans="1:25">
      <c r="A645" s="85"/>
      <c r="B645" s="85"/>
      <c r="C645" s="85"/>
      <c r="D645" s="85"/>
      <c r="E645" s="85"/>
      <c r="F645" s="85"/>
      <c r="G645" s="85"/>
      <c r="H645" s="85"/>
      <c r="J645" s="85"/>
      <c r="K645" s="85"/>
      <c r="L645" s="85"/>
      <c r="M645" s="85"/>
      <c r="N645" s="85"/>
      <c r="O645" s="85"/>
      <c r="P645" s="85"/>
      <c r="Q645" s="85"/>
      <c r="R645" s="63"/>
      <c r="S645" s="63"/>
      <c r="T645" s="63"/>
      <c r="U645" s="63"/>
      <c r="V645" s="63"/>
      <c r="W645" s="63"/>
      <c r="X645" s="63"/>
      <c r="Y645" s="63"/>
    </row>
    <row r="646" spans="1:25">
      <c r="A646" s="85"/>
      <c r="B646" s="85"/>
      <c r="C646" s="85"/>
      <c r="D646" s="85"/>
      <c r="E646" s="85"/>
      <c r="F646" s="85"/>
      <c r="G646" s="85"/>
      <c r="H646" s="85"/>
      <c r="J646" s="85"/>
      <c r="K646" s="85"/>
      <c r="L646" s="85"/>
      <c r="M646" s="85"/>
      <c r="N646" s="85"/>
      <c r="O646" s="85"/>
      <c r="P646" s="85"/>
      <c r="Q646" s="85"/>
      <c r="R646" s="63"/>
      <c r="S646" s="63"/>
      <c r="T646" s="63"/>
      <c r="U646" s="63"/>
      <c r="V646" s="63"/>
      <c r="W646" s="63"/>
      <c r="X646" s="63"/>
      <c r="Y646" s="63"/>
    </row>
    <row r="647" spans="1:25">
      <c r="A647" s="85"/>
      <c r="B647" s="85"/>
      <c r="C647" s="85"/>
      <c r="D647" s="85"/>
      <c r="E647" s="85"/>
      <c r="F647" s="85"/>
      <c r="G647" s="85"/>
      <c r="H647" s="85"/>
      <c r="J647" s="85"/>
      <c r="K647" s="85"/>
      <c r="L647" s="85"/>
      <c r="M647" s="85"/>
      <c r="N647" s="85"/>
      <c r="O647" s="85"/>
      <c r="P647" s="85"/>
      <c r="Q647" s="85"/>
      <c r="R647" s="63"/>
      <c r="S647" s="63"/>
      <c r="T647" s="63"/>
      <c r="U647" s="63"/>
      <c r="V647" s="63"/>
      <c r="W647" s="63"/>
      <c r="X647" s="63"/>
      <c r="Y647" s="63"/>
    </row>
    <row r="648" spans="1:25">
      <c r="A648" s="85"/>
      <c r="B648" s="85"/>
      <c r="C648" s="85"/>
      <c r="D648" s="85"/>
      <c r="E648" s="85"/>
      <c r="F648" s="85"/>
      <c r="G648" s="85"/>
      <c r="H648" s="85"/>
      <c r="J648" s="85"/>
      <c r="K648" s="85"/>
      <c r="L648" s="85"/>
      <c r="M648" s="85"/>
      <c r="N648" s="85"/>
      <c r="O648" s="85"/>
      <c r="P648" s="85"/>
      <c r="Q648" s="85"/>
      <c r="R648" s="63"/>
      <c r="S648" s="63"/>
      <c r="T648" s="63"/>
      <c r="U648" s="63"/>
      <c r="V648" s="63"/>
      <c r="W648" s="63"/>
      <c r="X648" s="63"/>
      <c r="Y648" s="63"/>
    </row>
    <row r="649" spans="1:25">
      <c r="A649" s="85"/>
      <c r="B649" s="85"/>
      <c r="C649" s="85"/>
      <c r="D649" s="85"/>
      <c r="E649" s="85"/>
      <c r="F649" s="85"/>
      <c r="G649" s="85"/>
      <c r="H649" s="85"/>
      <c r="J649" s="85"/>
      <c r="K649" s="85"/>
      <c r="L649" s="85"/>
      <c r="M649" s="85"/>
      <c r="N649" s="85"/>
      <c r="O649" s="85"/>
      <c r="P649" s="85"/>
      <c r="Q649" s="85"/>
      <c r="R649" s="63"/>
      <c r="S649" s="63"/>
      <c r="T649" s="63"/>
      <c r="U649" s="63"/>
      <c r="V649" s="63"/>
      <c r="W649" s="63"/>
      <c r="X649" s="63"/>
      <c r="Y649" s="63"/>
    </row>
    <row r="650" spans="1:25">
      <c r="A650" s="85"/>
      <c r="B650" s="85"/>
      <c r="C650" s="85"/>
      <c r="D650" s="85"/>
      <c r="E650" s="85"/>
      <c r="F650" s="85"/>
      <c r="G650" s="85"/>
      <c r="H650" s="85"/>
      <c r="J650" s="85"/>
      <c r="K650" s="85"/>
      <c r="L650" s="85"/>
      <c r="M650" s="85"/>
      <c r="N650" s="85"/>
      <c r="O650" s="85"/>
      <c r="P650" s="85"/>
      <c r="Q650" s="85"/>
      <c r="R650" s="63"/>
      <c r="S650" s="63"/>
      <c r="T650" s="63"/>
      <c r="U650" s="63"/>
      <c r="V650" s="63"/>
      <c r="W650" s="63"/>
      <c r="X650" s="63"/>
      <c r="Y650" s="63"/>
    </row>
    <row r="651" spans="1:25">
      <c r="A651" s="85"/>
      <c r="B651" s="85"/>
      <c r="C651" s="85"/>
      <c r="D651" s="85"/>
      <c r="E651" s="85"/>
      <c r="F651" s="85"/>
      <c r="G651" s="85"/>
      <c r="H651" s="85"/>
      <c r="J651" s="85"/>
      <c r="K651" s="85"/>
      <c r="L651" s="85"/>
      <c r="M651" s="85"/>
      <c r="N651" s="85"/>
      <c r="O651" s="85"/>
      <c r="P651" s="85"/>
      <c r="Q651" s="85"/>
      <c r="R651" s="63"/>
      <c r="S651" s="63"/>
      <c r="T651" s="63"/>
      <c r="U651" s="63"/>
      <c r="V651" s="63"/>
      <c r="W651" s="63"/>
      <c r="X651" s="63"/>
      <c r="Y651" s="63"/>
    </row>
    <row r="652" spans="1:25">
      <c r="A652" s="85"/>
      <c r="B652" s="85"/>
      <c r="C652" s="85"/>
      <c r="D652" s="85"/>
      <c r="E652" s="85"/>
      <c r="F652" s="85"/>
      <c r="G652" s="85"/>
      <c r="H652" s="85"/>
      <c r="J652" s="85"/>
      <c r="K652" s="85"/>
      <c r="L652" s="85"/>
      <c r="M652" s="85"/>
      <c r="N652" s="85"/>
      <c r="O652" s="85"/>
      <c r="P652" s="85"/>
      <c r="Q652" s="85"/>
      <c r="R652" s="63"/>
      <c r="S652" s="63"/>
      <c r="T652" s="63"/>
      <c r="U652" s="63"/>
      <c r="V652" s="63"/>
      <c r="W652" s="63"/>
      <c r="X652" s="63"/>
      <c r="Y652" s="63"/>
    </row>
    <row r="653" spans="1:25">
      <c r="A653" s="85"/>
      <c r="B653" s="85"/>
      <c r="C653" s="85"/>
      <c r="D653" s="85"/>
      <c r="E653" s="85"/>
      <c r="F653" s="85"/>
      <c r="G653" s="85"/>
      <c r="H653" s="85"/>
      <c r="J653" s="85"/>
      <c r="K653" s="85"/>
      <c r="L653" s="85"/>
      <c r="M653" s="85"/>
      <c r="N653" s="85"/>
      <c r="O653" s="85"/>
      <c r="P653" s="85"/>
      <c r="Q653" s="85"/>
      <c r="R653" s="63"/>
      <c r="S653" s="63"/>
      <c r="T653" s="63"/>
      <c r="U653" s="63"/>
      <c r="V653" s="63"/>
      <c r="W653" s="63"/>
      <c r="X653" s="63"/>
      <c r="Y653" s="63"/>
    </row>
    <row r="654" spans="1:25">
      <c r="A654" s="85"/>
      <c r="B654" s="85"/>
      <c r="C654" s="85"/>
      <c r="D654" s="85"/>
      <c r="E654" s="85"/>
      <c r="F654" s="85"/>
      <c r="G654" s="85"/>
      <c r="H654" s="85"/>
      <c r="J654" s="85"/>
      <c r="K654" s="85"/>
      <c r="L654" s="85"/>
      <c r="M654" s="85"/>
      <c r="N654" s="85"/>
      <c r="O654" s="85"/>
      <c r="P654" s="85"/>
      <c r="Q654" s="85"/>
      <c r="R654" s="63"/>
      <c r="S654" s="63"/>
      <c r="T654" s="63"/>
      <c r="U654" s="63"/>
      <c r="V654" s="63"/>
      <c r="W654" s="63"/>
      <c r="X654" s="63"/>
      <c r="Y654" s="63"/>
    </row>
    <row r="655" spans="1:25">
      <c r="A655" s="85"/>
      <c r="B655" s="85"/>
      <c r="C655" s="85"/>
      <c r="D655" s="85"/>
      <c r="E655" s="85"/>
      <c r="F655" s="85"/>
      <c r="G655" s="85"/>
      <c r="H655" s="85"/>
      <c r="J655" s="85"/>
      <c r="K655" s="85"/>
      <c r="L655" s="85"/>
      <c r="M655" s="85"/>
      <c r="N655" s="85"/>
      <c r="O655" s="85"/>
      <c r="P655" s="85"/>
      <c r="Q655" s="85"/>
      <c r="R655" s="63"/>
      <c r="S655" s="63"/>
      <c r="T655" s="63"/>
      <c r="U655" s="63"/>
      <c r="V655" s="63"/>
      <c r="W655" s="63"/>
      <c r="X655" s="63"/>
      <c r="Y655" s="63"/>
    </row>
    <row r="656" spans="1:25">
      <c r="A656" s="85"/>
      <c r="B656" s="85"/>
      <c r="C656" s="85"/>
      <c r="D656" s="85"/>
      <c r="E656" s="85"/>
      <c r="F656" s="85"/>
      <c r="G656" s="85"/>
      <c r="H656" s="85"/>
      <c r="J656" s="85"/>
      <c r="K656" s="85"/>
      <c r="L656" s="85"/>
      <c r="M656" s="85"/>
      <c r="N656" s="85"/>
      <c r="O656" s="85"/>
      <c r="P656" s="85"/>
      <c r="Q656" s="85"/>
      <c r="R656" s="63"/>
      <c r="S656" s="63"/>
      <c r="T656" s="63"/>
      <c r="U656" s="63"/>
      <c r="V656" s="63"/>
      <c r="W656" s="63"/>
      <c r="X656" s="63"/>
      <c r="Y656" s="63"/>
    </row>
    <row r="657" spans="1:25">
      <c r="A657" s="85"/>
      <c r="B657" s="85"/>
      <c r="C657" s="85"/>
      <c r="D657" s="85"/>
      <c r="E657" s="85"/>
      <c r="F657" s="85"/>
      <c r="G657" s="85"/>
      <c r="H657" s="85"/>
      <c r="J657" s="85"/>
      <c r="K657" s="85"/>
      <c r="L657" s="85"/>
      <c r="M657" s="85"/>
      <c r="N657" s="85"/>
      <c r="O657" s="85"/>
      <c r="P657" s="85"/>
      <c r="Q657" s="85"/>
      <c r="R657" s="63"/>
      <c r="S657" s="63"/>
      <c r="T657" s="63"/>
      <c r="U657" s="63"/>
      <c r="V657" s="63"/>
      <c r="W657" s="63"/>
      <c r="X657" s="63"/>
      <c r="Y657" s="63"/>
    </row>
    <row r="658" spans="1:25">
      <c r="A658" s="85"/>
      <c r="B658" s="85"/>
      <c r="C658" s="85"/>
      <c r="D658" s="85"/>
      <c r="E658" s="85"/>
      <c r="F658" s="85"/>
      <c r="G658" s="85"/>
      <c r="H658" s="85"/>
      <c r="J658" s="85"/>
      <c r="K658" s="85"/>
      <c r="L658" s="85"/>
      <c r="M658" s="85"/>
      <c r="N658" s="85"/>
      <c r="O658" s="85"/>
      <c r="P658" s="85"/>
      <c r="Q658" s="85"/>
      <c r="R658" s="63"/>
      <c r="S658" s="63"/>
      <c r="T658" s="63"/>
      <c r="U658" s="63"/>
      <c r="V658" s="63"/>
      <c r="W658" s="63"/>
      <c r="X658" s="63"/>
      <c r="Y658" s="63"/>
    </row>
    <row r="659" spans="1:25">
      <c r="A659" s="85"/>
      <c r="B659" s="85"/>
      <c r="C659" s="85"/>
      <c r="D659" s="85"/>
      <c r="E659" s="85"/>
      <c r="F659" s="85"/>
      <c r="G659" s="85"/>
      <c r="H659" s="85"/>
      <c r="J659" s="85"/>
      <c r="K659" s="85"/>
      <c r="L659" s="85"/>
      <c r="M659" s="85"/>
      <c r="N659" s="85"/>
      <c r="O659" s="85"/>
      <c r="P659" s="85"/>
      <c r="Q659" s="85"/>
      <c r="R659" s="63"/>
      <c r="S659" s="63"/>
      <c r="T659" s="63"/>
      <c r="U659" s="63"/>
      <c r="V659" s="63"/>
      <c r="W659" s="63"/>
      <c r="X659" s="63"/>
      <c r="Y659" s="63"/>
    </row>
    <row r="660" spans="1:25">
      <c r="A660" s="85"/>
      <c r="B660" s="85"/>
      <c r="C660" s="85"/>
      <c r="D660" s="85"/>
      <c r="E660" s="85"/>
      <c r="F660" s="85"/>
      <c r="G660" s="85"/>
      <c r="H660" s="85"/>
      <c r="J660" s="85"/>
      <c r="K660" s="85"/>
      <c r="L660" s="85"/>
      <c r="M660" s="85"/>
      <c r="N660" s="85"/>
      <c r="O660" s="85"/>
      <c r="P660" s="85"/>
      <c r="Q660" s="85"/>
      <c r="R660" s="63"/>
      <c r="S660" s="63"/>
      <c r="T660" s="63"/>
      <c r="U660" s="63"/>
      <c r="V660" s="63"/>
      <c r="W660" s="63"/>
      <c r="X660" s="63"/>
      <c r="Y660" s="63"/>
    </row>
    <row r="661" spans="1:25">
      <c r="A661" s="85"/>
      <c r="B661" s="85"/>
      <c r="C661" s="85"/>
      <c r="D661" s="85"/>
      <c r="E661" s="85"/>
      <c r="F661" s="85"/>
      <c r="G661" s="85"/>
      <c r="H661" s="85"/>
      <c r="J661" s="85"/>
      <c r="K661" s="85"/>
      <c r="L661" s="85"/>
      <c r="M661" s="85"/>
      <c r="N661" s="85"/>
      <c r="O661" s="85"/>
      <c r="P661" s="85"/>
      <c r="Q661" s="85"/>
      <c r="R661" s="63"/>
      <c r="S661" s="63"/>
      <c r="T661" s="63"/>
      <c r="U661" s="63"/>
      <c r="V661" s="63"/>
      <c r="W661" s="63"/>
      <c r="X661" s="63"/>
      <c r="Y661" s="63"/>
    </row>
    <row r="662" spans="1:25">
      <c r="A662" s="85"/>
      <c r="B662" s="85"/>
      <c r="C662" s="85"/>
      <c r="D662" s="85"/>
      <c r="E662" s="85"/>
      <c r="F662" s="85"/>
      <c r="G662" s="85"/>
      <c r="H662" s="85"/>
      <c r="J662" s="85"/>
      <c r="K662" s="85"/>
      <c r="L662" s="85"/>
      <c r="M662" s="85"/>
      <c r="N662" s="85"/>
      <c r="O662" s="85"/>
      <c r="P662" s="85"/>
      <c r="Q662" s="85"/>
      <c r="R662" s="63"/>
      <c r="S662" s="63"/>
      <c r="T662" s="63"/>
      <c r="U662" s="63"/>
      <c r="V662" s="63"/>
      <c r="W662" s="63"/>
      <c r="X662" s="63"/>
      <c r="Y662" s="63"/>
    </row>
    <row r="663" spans="1:25">
      <c r="A663" s="85"/>
      <c r="B663" s="85"/>
      <c r="C663" s="85"/>
      <c r="D663" s="85"/>
      <c r="E663" s="85"/>
      <c r="F663" s="85"/>
      <c r="G663" s="85"/>
      <c r="H663" s="85"/>
      <c r="J663" s="85"/>
      <c r="K663" s="85"/>
      <c r="L663" s="85"/>
      <c r="M663" s="85"/>
      <c r="N663" s="85"/>
      <c r="O663" s="85"/>
      <c r="P663" s="85"/>
      <c r="Q663" s="85"/>
      <c r="R663" s="63"/>
      <c r="S663" s="63"/>
      <c r="T663" s="63"/>
      <c r="U663" s="63"/>
      <c r="V663" s="63"/>
      <c r="W663" s="63"/>
      <c r="X663" s="63"/>
      <c r="Y663" s="63"/>
    </row>
    <row r="664" spans="1:25">
      <c r="A664" s="85"/>
      <c r="B664" s="85"/>
      <c r="C664" s="85"/>
      <c r="D664" s="85"/>
      <c r="E664" s="85"/>
      <c r="F664" s="85"/>
      <c r="G664" s="85"/>
      <c r="H664" s="85"/>
      <c r="J664" s="85"/>
      <c r="K664" s="85"/>
      <c r="L664" s="85"/>
      <c r="M664" s="85"/>
      <c r="N664" s="85"/>
      <c r="O664" s="85"/>
      <c r="P664" s="85"/>
      <c r="Q664" s="85"/>
      <c r="R664" s="63"/>
      <c r="S664" s="63"/>
      <c r="T664" s="63"/>
      <c r="U664" s="63"/>
      <c r="V664" s="63"/>
      <c r="W664" s="63"/>
      <c r="X664" s="63"/>
      <c r="Y664" s="63"/>
    </row>
    <row r="665" spans="1:25">
      <c r="A665" s="85"/>
      <c r="B665" s="85"/>
      <c r="C665" s="85"/>
      <c r="D665" s="85"/>
      <c r="E665" s="85"/>
      <c r="F665" s="85"/>
      <c r="G665" s="85"/>
      <c r="H665" s="85"/>
      <c r="J665" s="85"/>
      <c r="K665" s="85"/>
      <c r="L665" s="85"/>
      <c r="M665" s="85"/>
      <c r="N665" s="85"/>
      <c r="O665" s="85"/>
      <c r="P665" s="85"/>
      <c r="Q665" s="85"/>
      <c r="R665" s="63"/>
      <c r="S665" s="63"/>
      <c r="T665" s="63"/>
      <c r="U665" s="63"/>
      <c r="V665" s="63"/>
      <c r="W665" s="63"/>
      <c r="X665" s="63"/>
      <c r="Y665" s="63"/>
    </row>
    <row r="666" spans="1:25">
      <c r="A666" s="85"/>
      <c r="B666" s="85"/>
      <c r="C666" s="85"/>
      <c r="D666" s="85"/>
      <c r="E666" s="85"/>
      <c r="F666" s="85"/>
      <c r="G666" s="85"/>
      <c r="H666" s="85"/>
      <c r="J666" s="85"/>
      <c r="K666" s="85"/>
      <c r="L666" s="85"/>
      <c r="M666" s="85"/>
      <c r="N666" s="85"/>
      <c r="O666" s="85"/>
      <c r="P666" s="85"/>
      <c r="Q666" s="85"/>
      <c r="R666" s="63"/>
      <c r="S666" s="63"/>
      <c r="T666" s="63"/>
      <c r="U666" s="63"/>
      <c r="V666" s="63"/>
      <c r="W666" s="63"/>
      <c r="X666" s="63"/>
      <c r="Y666" s="63"/>
    </row>
    <row r="667" spans="1:25">
      <c r="A667" s="85"/>
      <c r="B667" s="85"/>
      <c r="C667" s="85"/>
      <c r="D667" s="85"/>
      <c r="E667" s="85"/>
      <c r="F667" s="85"/>
      <c r="G667" s="85"/>
      <c r="H667" s="85"/>
      <c r="J667" s="85"/>
      <c r="K667" s="85"/>
      <c r="L667" s="85"/>
      <c r="M667" s="85"/>
      <c r="N667" s="85"/>
      <c r="O667" s="85"/>
      <c r="P667" s="85"/>
      <c r="Q667" s="85"/>
      <c r="R667" s="63"/>
      <c r="S667" s="63"/>
      <c r="T667" s="63"/>
      <c r="U667" s="63"/>
      <c r="V667" s="63"/>
      <c r="W667" s="63"/>
      <c r="X667" s="63"/>
      <c r="Y667" s="63"/>
    </row>
    <row r="668" spans="1:25">
      <c r="A668" s="85"/>
      <c r="B668" s="85"/>
      <c r="C668" s="85"/>
      <c r="D668" s="85"/>
      <c r="E668" s="85"/>
      <c r="F668" s="85"/>
      <c r="G668" s="85"/>
      <c r="H668" s="85"/>
      <c r="J668" s="85"/>
      <c r="K668" s="85"/>
      <c r="L668" s="85"/>
      <c r="M668" s="85"/>
      <c r="N668" s="85"/>
      <c r="O668" s="85"/>
      <c r="P668" s="85"/>
      <c r="Q668" s="85"/>
      <c r="R668" s="63"/>
      <c r="S668" s="63"/>
      <c r="T668" s="63"/>
      <c r="U668" s="63"/>
      <c r="V668" s="63"/>
      <c r="W668" s="63"/>
      <c r="X668" s="63"/>
      <c r="Y668" s="63"/>
    </row>
    <row r="669" spans="1:25">
      <c r="A669" s="85"/>
      <c r="B669" s="85"/>
      <c r="C669" s="85"/>
      <c r="D669" s="85"/>
      <c r="E669" s="85"/>
      <c r="F669" s="85"/>
      <c r="G669" s="85"/>
      <c r="H669" s="85"/>
      <c r="J669" s="85"/>
      <c r="K669" s="85"/>
      <c r="L669" s="85"/>
      <c r="M669" s="85"/>
      <c r="N669" s="85"/>
      <c r="O669" s="85"/>
      <c r="P669" s="85"/>
      <c r="Q669" s="85"/>
      <c r="R669" s="63"/>
      <c r="S669" s="63"/>
      <c r="T669" s="63"/>
      <c r="U669" s="63"/>
      <c r="V669" s="63"/>
      <c r="W669" s="63"/>
      <c r="X669" s="63"/>
      <c r="Y669" s="63"/>
    </row>
    <row r="670" spans="1:25">
      <c r="A670" s="85"/>
      <c r="B670" s="85"/>
      <c r="C670" s="85"/>
      <c r="D670" s="85"/>
      <c r="E670" s="85"/>
      <c r="F670" s="85"/>
      <c r="G670" s="85"/>
      <c r="H670" s="85"/>
      <c r="J670" s="85"/>
      <c r="K670" s="85"/>
      <c r="L670" s="85"/>
      <c r="M670" s="85"/>
      <c r="N670" s="85"/>
      <c r="O670" s="85"/>
      <c r="P670" s="85"/>
      <c r="Q670" s="85"/>
      <c r="R670" s="63"/>
      <c r="S670" s="63"/>
      <c r="T670" s="63"/>
      <c r="U670" s="63"/>
      <c r="V670" s="63"/>
      <c r="W670" s="63"/>
      <c r="X670" s="63"/>
      <c r="Y670" s="63"/>
    </row>
    <row r="671" spans="1:25">
      <c r="A671" s="85"/>
      <c r="B671" s="85"/>
      <c r="C671" s="85"/>
      <c r="D671" s="85"/>
      <c r="E671" s="85"/>
      <c r="F671" s="85"/>
      <c r="G671" s="85"/>
      <c r="H671" s="85"/>
      <c r="J671" s="85"/>
      <c r="K671" s="85"/>
      <c r="L671" s="85"/>
      <c r="M671" s="85"/>
      <c r="N671" s="85"/>
      <c r="O671" s="85"/>
      <c r="P671" s="85"/>
      <c r="Q671" s="85"/>
      <c r="R671" s="63"/>
      <c r="S671" s="63"/>
      <c r="T671" s="63"/>
      <c r="U671" s="63"/>
      <c r="V671" s="63"/>
      <c r="W671" s="63"/>
      <c r="X671" s="63"/>
      <c r="Y671" s="63"/>
    </row>
    <row r="672" spans="1:25">
      <c r="A672" s="85"/>
      <c r="B672" s="85"/>
      <c r="C672" s="85"/>
      <c r="D672" s="85"/>
      <c r="E672" s="85"/>
      <c r="F672" s="85"/>
      <c r="G672" s="85"/>
      <c r="H672" s="85"/>
      <c r="J672" s="85"/>
      <c r="K672" s="85"/>
      <c r="L672" s="85"/>
      <c r="M672" s="85"/>
      <c r="N672" s="85"/>
      <c r="O672" s="85"/>
      <c r="P672" s="85"/>
      <c r="Q672" s="85"/>
      <c r="R672" s="63"/>
      <c r="S672" s="63"/>
      <c r="T672" s="63"/>
      <c r="U672" s="63"/>
      <c r="V672" s="63"/>
      <c r="W672" s="63"/>
      <c r="X672" s="63"/>
      <c r="Y672" s="63"/>
    </row>
    <row r="673" spans="1:25">
      <c r="A673" s="85"/>
      <c r="B673" s="85"/>
      <c r="C673" s="85"/>
      <c r="D673" s="85"/>
      <c r="E673" s="85"/>
      <c r="F673" s="85"/>
      <c r="G673" s="85"/>
      <c r="H673" s="85"/>
      <c r="J673" s="85"/>
      <c r="K673" s="85"/>
      <c r="L673" s="85"/>
      <c r="M673" s="85"/>
      <c r="N673" s="85"/>
      <c r="O673" s="85"/>
      <c r="P673" s="85"/>
      <c r="Q673" s="85"/>
      <c r="R673" s="63"/>
      <c r="S673" s="63"/>
      <c r="T673" s="63"/>
      <c r="U673" s="63"/>
      <c r="V673" s="63"/>
      <c r="W673" s="63"/>
      <c r="X673" s="63"/>
      <c r="Y673" s="63"/>
    </row>
    <row r="674" spans="1:25">
      <c r="A674" s="85"/>
      <c r="B674" s="85"/>
      <c r="C674" s="85"/>
      <c r="D674" s="85"/>
      <c r="E674" s="85"/>
      <c r="F674" s="85"/>
      <c r="G674" s="85"/>
      <c r="H674" s="85"/>
      <c r="J674" s="85"/>
      <c r="K674" s="85"/>
      <c r="L674" s="85"/>
      <c r="M674" s="85"/>
      <c r="N674" s="85"/>
      <c r="O674" s="85"/>
      <c r="P674" s="85"/>
      <c r="Q674" s="85"/>
      <c r="R674" s="63"/>
      <c r="S674" s="63"/>
      <c r="T674" s="63"/>
      <c r="U674" s="63"/>
      <c r="V674" s="63"/>
      <c r="W674" s="63"/>
      <c r="X674" s="63"/>
      <c r="Y674" s="63"/>
    </row>
    <row r="675" spans="1:25">
      <c r="A675" s="85"/>
      <c r="B675" s="85"/>
      <c r="C675" s="85"/>
      <c r="D675" s="85"/>
      <c r="E675" s="85"/>
      <c r="F675" s="85"/>
      <c r="G675" s="85"/>
      <c r="H675" s="85"/>
      <c r="J675" s="85"/>
      <c r="K675" s="85"/>
      <c r="L675" s="85"/>
      <c r="M675" s="85"/>
      <c r="N675" s="85"/>
      <c r="O675" s="85"/>
      <c r="P675" s="85"/>
      <c r="Q675" s="85"/>
      <c r="R675" s="63"/>
      <c r="S675" s="63"/>
      <c r="T675" s="63"/>
      <c r="U675" s="63"/>
      <c r="V675" s="63"/>
      <c r="W675" s="63"/>
      <c r="X675" s="63"/>
      <c r="Y675" s="63"/>
    </row>
    <row r="676" spans="1:25">
      <c r="A676" s="85"/>
      <c r="B676" s="85"/>
      <c r="C676" s="85"/>
      <c r="D676" s="85"/>
      <c r="E676" s="85"/>
      <c r="F676" s="85"/>
      <c r="G676" s="85"/>
      <c r="H676" s="85"/>
      <c r="J676" s="85"/>
      <c r="K676" s="85"/>
      <c r="L676" s="85"/>
      <c r="M676" s="85"/>
      <c r="N676" s="85"/>
      <c r="O676" s="85"/>
      <c r="P676" s="85"/>
      <c r="Q676" s="85"/>
      <c r="R676" s="63"/>
      <c r="S676" s="63"/>
      <c r="T676" s="63"/>
      <c r="U676" s="63"/>
      <c r="V676" s="63"/>
      <c r="W676" s="63"/>
      <c r="X676" s="63"/>
      <c r="Y676" s="63"/>
    </row>
    <row r="677" spans="1:25">
      <c r="A677" s="85"/>
      <c r="B677" s="85"/>
      <c r="C677" s="85"/>
      <c r="D677" s="85"/>
      <c r="E677" s="85"/>
      <c r="F677" s="85"/>
      <c r="G677" s="85"/>
      <c r="H677" s="85"/>
      <c r="J677" s="85"/>
      <c r="K677" s="85"/>
      <c r="L677" s="85"/>
      <c r="M677" s="85"/>
      <c r="N677" s="85"/>
      <c r="O677" s="85"/>
      <c r="P677" s="85"/>
      <c r="Q677" s="85"/>
      <c r="R677" s="63"/>
      <c r="S677" s="63"/>
      <c r="T677" s="63"/>
      <c r="U677" s="63"/>
      <c r="V677" s="63"/>
      <c r="W677" s="63"/>
      <c r="X677" s="63"/>
      <c r="Y677" s="63"/>
    </row>
    <row r="678" spans="1:25">
      <c r="A678" s="85"/>
      <c r="B678" s="85"/>
      <c r="C678" s="85"/>
      <c r="D678" s="85"/>
      <c r="E678" s="85"/>
      <c r="F678" s="85"/>
      <c r="G678" s="85"/>
      <c r="H678" s="85"/>
      <c r="J678" s="85"/>
      <c r="K678" s="85"/>
      <c r="L678" s="85"/>
      <c r="M678" s="85"/>
      <c r="N678" s="85"/>
      <c r="O678" s="85"/>
      <c r="P678" s="85"/>
      <c r="Q678" s="85"/>
      <c r="R678" s="63"/>
      <c r="S678" s="63"/>
      <c r="T678" s="63"/>
      <c r="U678" s="63"/>
      <c r="V678" s="63"/>
      <c r="W678" s="63"/>
      <c r="X678" s="63"/>
      <c r="Y678" s="63"/>
    </row>
    <row r="679" spans="1:25">
      <c r="A679" s="85"/>
      <c r="B679" s="85"/>
      <c r="C679" s="85"/>
      <c r="D679" s="85"/>
      <c r="E679" s="85"/>
      <c r="F679" s="85"/>
      <c r="G679" s="85"/>
      <c r="H679" s="85"/>
      <c r="J679" s="85"/>
      <c r="K679" s="85"/>
      <c r="L679" s="85"/>
      <c r="M679" s="85"/>
      <c r="N679" s="85"/>
      <c r="O679" s="85"/>
      <c r="P679" s="85"/>
      <c r="Q679" s="85"/>
      <c r="R679" s="63"/>
      <c r="S679" s="63"/>
      <c r="T679" s="63"/>
      <c r="U679" s="63"/>
      <c r="V679" s="63"/>
      <c r="W679" s="63"/>
      <c r="X679" s="63"/>
      <c r="Y679" s="63"/>
    </row>
    <row r="680" spans="1:25">
      <c r="A680" s="85"/>
      <c r="B680" s="85"/>
      <c r="C680" s="85"/>
      <c r="D680" s="85"/>
      <c r="E680" s="85"/>
      <c r="F680" s="85"/>
      <c r="G680" s="85"/>
      <c r="H680" s="85"/>
      <c r="J680" s="85"/>
      <c r="K680" s="85"/>
      <c r="L680" s="85"/>
      <c r="M680" s="85"/>
      <c r="N680" s="85"/>
      <c r="O680" s="85"/>
      <c r="P680" s="85"/>
      <c r="Q680" s="85"/>
      <c r="R680" s="63"/>
      <c r="S680" s="63"/>
      <c r="T680" s="63"/>
      <c r="U680" s="63"/>
      <c r="V680" s="63"/>
      <c r="W680" s="63"/>
      <c r="X680" s="63"/>
      <c r="Y680" s="63"/>
    </row>
    <row r="681" spans="1:25">
      <c r="A681" s="85"/>
      <c r="B681" s="85"/>
      <c r="C681" s="85"/>
      <c r="D681" s="85"/>
      <c r="E681" s="85"/>
      <c r="F681" s="85"/>
      <c r="G681" s="85"/>
      <c r="H681" s="85"/>
      <c r="J681" s="85"/>
      <c r="K681" s="85"/>
      <c r="L681" s="85"/>
      <c r="M681" s="85"/>
      <c r="N681" s="85"/>
      <c r="O681" s="85"/>
      <c r="P681" s="85"/>
      <c r="Q681" s="85"/>
      <c r="R681" s="63"/>
      <c r="S681" s="63"/>
      <c r="T681" s="63"/>
      <c r="U681" s="63"/>
      <c r="V681" s="63"/>
      <c r="W681" s="63"/>
      <c r="X681" s="63"/>
      <c r="Y681" s="63"/>
    </row>
    <row r="682" spans="1:25">
      <c r="A682" s="85"/>
      <c r="B682" s="85"/>
      <c r="C682" s="85"/>
      <c r="D682" s="85"/>
      <c r="E682" s="85"/>
      <c r="F682" s="85"/>
      <c r="G682" s="85"/>
      <c r="H682" s="85"/>
      <c r="J682" s="85"/>
      <c r="K682" s="85"/>
      <c r="L682" s="85"/>
      <c r="M682" s="85"/>
      <c r="N682" s="85"/>
      <c r="O682" s="85"/>
      <c r="P682" s="85"/>
      <c r="Q682" s="85"/>
      <c r="R682" s="63"/>
      <c r="S682" s="63"/>
      <c r="T682" s="63"/>
      <c r="U682" s="63"/>
      <c r="V682" s="63"/>
      <c r="W682" s="63"/>
      <c r="X682" s="63"/>
      <c r="Y682" s="63"/>
    </row>
    <row r="683" spans="1:25">
      <c r="A683" s="85"/>
      <c r="B683" s="85"/>
      <c r="C683" s="85"/>
      <c r="D683" s="85"/>
      <c r="E683" s="85"/>
      <c r="F683" s="85"/>
      <c r="G683" s="85"/>
      <c r="H683" s="85"/>
      <c r="J683" s="85"/>
      <c r="K683" s="85"/>
      <c r="L683" s="85"/>
      <c r="M683" s="85"/>
      <c r="N683" s="85"/>
      <c r="O683" s="85"/>
      <c r="P683" s="85"/>
      <c r="Q683" s="85"/>
      <c r="R683" s="63"/>
      <c r="S683" s="63"/>
      <c r="T683" s="63"/>
      <c r="U683" s="63"/>
      <c r="V683" s="63"/>
      <c r="W683" s="63"/>
      <c r="X683" s="63"/>
      <c r="Y683" s="63"/>
    </row>
    <row r="684" spans="1:25">
      <c r="A684" s="85"/>
      <c r="B684" s="85"/>
      <c r="C684" s="85"/>
      <c r="D684" s="85"/>
      <c r="E684" s="85"/>
      <c r="F684" s="85"/>
      <c r="G684" s="85"/>
      <c r="H684" s="85"/>
      <c r="J684" s="85"/>
      <c r="K684" s="85"/>
      <c r="L684" s="85"/>
      <c r="M684" s="85"/>
      <c r="N684" s="85"/>
      <c r="O684" s="85"/>
      <c r="P684" s="85"/>
      <c r="Q684" s="85"/>
      <c r="R684" s="63"/>
      <c r="S684" s="63"/>
      <c r="T684" s="63"/>
      <c r="U684" s="63"/>
      <c r="V684" s="63"/>
      <c r="W684" s="63"/>
      <c r="X684" s="63"/>
      <c r="Y684" s="63"/>
    </row>
    <row r="685" spans="1:25">
      <c r="A685" s="85"/>
      <c r="B685" s="85"/>
      <c r="C685" s="85"/>
      <c r="D685" s="85"/>
      <c r="E685" s="85"/>
      <c r="F685" s="85"/>
      <c r="G685" s="85"/>
      <c r="H685" s="85"/>
      <c r="J685" s="85"/>
      <c r="K685" s="85"/>
      <c r="L685" s="85"/>
      <c r="M685" s="85"/>
      <c r="N685" s="85"/>
      <c r="O685" s="85"/>
      <c r="P685" s="85"/>
      <c r="Q685" s="85"/>
      <c r="R685" s="63"/>
      <c r="S685" s="63"/>
      <c r="T685" s="63"/>
      <c r="U685" s="63"/>
      <c r="V685" s="63"/>
      <c r="W685" s="63"/>
      <c r="X685" s="63"/>
      <c r="Y685" s="63"/>
    </row>
    <row r="686" spans="1:25">
      <c r="A686" s="85"/>
      <c r="B686" s="85"/>
      <c r="C686" s="85"/>
      <c r="D686" s="85"/>
      <c r="E686" s="85"/>
      <c r="F686" s="85"/>
      <c r="G686" s="85"/>
      <c r="H686" s="85"/>
      <c r="J686" s="85"/>
      <c r="K686" s="85"/>
      <c r="L686" s="85"/>
      <c r="M686" s="85"/>
      <c r="N686" s="85"/>
      <c r="O686" s="85"/>
      <c r="P686" s="85"/>
      <c r="Q686" s="85"/>
      <c r="R686" s="63"/>
      <c r="S686" s="63"/>
      <c r="T686" s="63"/>
      <c r="U686" s="63"/>
      <c r="V686" s="63"/>
      <c r="W686" s="63"/>
      <c r="X686" s="63"/>
      <c r="Y686" s="63"/>
    </row>
    <row r="687" spans="1:25">
      <c r="A687" s="85"/>
      <c r="B687" s="85"/>
      <c r="C687" s="85"/>
      <c r="D687" s="85"/>
      <c r="E687" s="85"/>
      <c r="F687" s="85"/>
      <c r="G687" s="85"/>
      <c r="H687" s="85"/>
      <c r="J687" s="85"/>
      <c r="K687" s="85"/>
      <c r="L687" s="85"/>
      <c r="M687" s="85"/>
      <c r="N687" s="85"/>
      <c r="O687" s="85"/>
      <c r="P687" s="85"/>
      <c r="Q687" s="85"/>
      <c r="R687" s="63"/>
      <c r="S687" s="63"/>
      <c r="T687" s="63"/>
      <c r="U687" s="63"/>
      <c r="V687" s="63"/>
      <c r="W687" s="63"/>
      <c r="X687" s="63"/>
      <c r="Y687" s="63"/>
    </row>
    <row r="688" spans="1:25">
      <c r="A688" s="85"/>
      <c r="B688" s="85"/>
      <c r="C688" s="85"/>
      <c r="D688" s="85"/>
      <c r="E688" s="85"/>
      <c r="F688" s="85"/>
      <c r="G688" s="85"/>
      <c r="H688" s="85"/>
      <c r="J688" s="85"/>
      <c r="K688" s="85"/>
      <c r="L688" s="85"/>
      <c r="M688" s="85"/>
      <c r="N688" s="85"/>
      <c r="O688" s="85"/>
      <c r="P688" s="85"/>
      <c r="Q688" s="85"/>
      <c r="R688" s="63"/>
      <c r="S688" s="63"/>
      <c r="T688" s="63"/>
      <c r="U688" s="63"/>
      <c r="V688" s="63"/>
      <c r="W688" s="63"/>
      <c r="X688" s="63"/>
      <c r="Y688" s="63"/>
    </row>
    <row r="689" spans="1:25">
      <c r="A689" s="85"/>
      <c r="B689" s="85"/>
      <c r="C689" s="85"/>
      <c r="D689" s="85"/>
      <c r="E689" s="85"/>
      <c r="F689" s="85"/>
      <c r="G689" s="85"/>
      <c r="H689" s="85"/>
      <c r="J689" s="85"/>
      <c r="K689" s="85"/>
      <c r="L689" s="85"/>
      <c r="M689" s="85"/>
      <c r="N689" s="85"/>
      <c r="O689" s="85"/>
      <c r="P689" s="85"/>
      <c r="Q689" s="85"/>
      <c r="R689" s="63"/>
      <c r="S689" s="63"/>
      <c r="T689" s="63"/>
      <c r="U689" s="63"/>
      <c r="V689" s="63"/>
      <c r="W689" s="63"/>
      <c r="X689" s="63"/>
      <c r="Y689" s="63"/>
    </row>
    <row r="690" spans="1:25">
      <c r="A690" s="85"/>
      <c r="B690" s="85"/>
      <c r="C690" s="85"/>
      <c r="D690" s="85"/>
      <c r="E690" s="85"/>
      <c r="F690" s="85"/>
      <c r="G690" s="85"/>
      <c r="H690" s="85"/>
      <c r="J690" s="85"/>
      <c r="K690" s="85"/>
      <c r="L690" s="85"/>
      <c r="M690" s="85"/>
      <c r="N690" s="85"/>
      <c r="O690" s="85"/>
      <c r="P690" s="85"/>
      <c r="Q690" s="85"/>
      <c r="R690" s="63"/>
      <c r="S690" s="63"/>
      <c r="T690" s="63"/>
      <c r="U690" s="63"/>
      <c r="V690" s="63"/>
      <c r="W690" s="63"/>
      <c r="X690" s="63"/>
      <c r="Y690" s="63"/>
    </row>
    <row r="691" spans="1:25">
      <c r="A691" s="85"/>
      <c r="B691" s="85"/>
      <c r="C691" s="85"/>
      <c r="D691" s="85"/>
      <c r="E691" s="85"/>
      <c r="F691" s="85"/>
      <c r="G691" s="85"/>
      <c r="H691" s="85"/>
      <c r="J691" s="85"/>
      <c r="K691" s="85"/>
      <c r="L691" s="85"/>
      <c r="M691" s="85"/>
      <c r="N691" s="85"/>
      <c r="O691" s="85"/>
      <c r="P691" s="85"/>
      <c r="Q691" s="85"/>
      <c r="R691" s="63"/>
      <c r="S691" s="63"/>
      <c r="T691" s="63"/>
      <c r="U691" s="63"/>
      <c r="V691" s="63"/>
      <c r="W691" s="63"/>
      <c r="X691" s="63"/>
      <c r="Y691" s="63"/>
    </row>
    <row r="692" spans="1:25">
      <c r="A692" s="85"/>
      <c r="B692" s="85"/>
      <c r="C692" s="85"/>
      <c r="D692" s="85"/>
      <c r="E692" s="85"/>
      <c r="F692" s="85"/>
      <c r="G692" s="85"/>
      <c r="H692" s="85"/>
      <c r="J692" s="85"/>
      <c r="K692" s="85"/>
      <c r="L692" s="85"/>
      <c r="M692" s="85"/>
      <c r="N692" s="85"/>
      <c r="O692" s="85"/>
      <c r="P692" s="85"/>
      <c r="Q692" s="85"/>
      <c r="R692" s="63"/>
      <c r="S692" s="63"/>
      <c r="T692" s="63"/>
      <c r="U692" s="63"/>
      <c r="V692" s="63"/>
      <c r="W692" s="63"/>
      <c r="X692" s="63"/>
      <c r="Y692" s="63"/>
    </row>
    <row r="693" spans="1:25">
      <c r="A693" s="85"/>
      <c r="B693" s="85"/>
      <c r="C693" s="85"/>
      <c r="D693" s="85"/>
      <c r="E693" s="85"/>
      <c r="F693" s="85"/>
      <c r="G693" s="85"/>
      <c r="H693" s="85"/>
      <c r="J693" s="85"/>
      <c r="K693" s="85"/>
      <c r="L693" s="85"/>
      <c r="M693" s="85"/>
      <c r="N693" s="85"/>
      <c r="O693" s="85"/>
      <c r="P693" s="85"/>
      <c r="Q693" s="85"/>
      <c r="R693" s="63"/>
      <c r="S693" s="63"/>
      <c r="T693" s="63"/>
      <c r="U693" s="63"/>
      <c r="V693" s="63"/>
      <c r="W693" s="63"/>
      <c r="X693" s="63"/>
      <c r="Y693" s="63"/>
    </row>
    <row r="694" spans="1:25">
      <c r="A694" s="85"/>
      <c r="B694" s="85"/>
      <c r="C694" s="85"/>
      <c r="D694" s="85"/>
      <c r="E694" s="85"/>
      <c r="F694" s="85"/>
      <c r="G694" s="85"/>
      <c r="H694" s="85"/>
      <c r="J694" s="85"/>
      <c r="K694" s="85"/>
      <c r="L694" s="85"/>
      <c r="M694" s="85"/>
      <c r="N694" s="85"/>
      <c r="O694" s="85"/>
      <c r="P694" s="85"/>
      <c r="Q694" s="85"/>
      <c r="R694" s="63"/>
      <c r="S694" s="63"/>
      <c r="T694" s="63"/>
      <c r="U694" s="63"/>
      <c r="V694" s="63"/>
      <c r="W694" s="63"/>
      <c r="X694" s="63"/>
      <c r="Y694" s="63"/>
    </row>
    <row r="695" spans="1:25">
      <c r="A695" s="85"/>
      <c r="B695" s="85"/>
      <c r="C695" s="85"/>
      <c r="D695" s="85"/>
      <c r="E695" s="85"/>
      <c r="F695" s="85"/>
      <c r="G695" s="85"/>
      <c r="H695" s="85"/>
      <c r="J695" s="85"/>
      <c r="K695" s="85"/>
      <c r="L695" s="85"/>
      <c r="M695" s="85"/>
      <c r="N695" s="85"/>
      <c r="O695" s="85"/>
      <c r="P695" s="85"/>
      <c r="Q695" s="85"/>
      <c r="R695" s="63"/>
      <c r="S695" s="63"/>
      <c r="T695" s="63"/>
      <c r="U695" s="63"/>
      <c r="V695" s="63"/>
      <c r="W695" s="63"/>
      <c r="X695" s="63"/>
      <c r="Y695" s="63"/>
    </row>
    <row r="696" spans="1:25">
      <c r="A696" s="85"/>
      <c r="B696" s="85"/>
      <c r="C696" s="85"/>
      <c r="D696" s="85"/>
      <c r="E696" s="85"/>
      <c r="F696" s="85"/>
      <c r="G696" s="85"/>
      <c r="H696" s="85"/>
      <c r="J696" s="85"/>
      <c r="K696" s="85"/>
      <c r="L696" s="85"/>
      <c r="M696" s="85"/>
      <c r="N696" s="85"/>
      <c r="O696" s="85"/>
      <c r="P696" s="85"/>
      <c r="Q696" s="85"/>
      <c r="R696" s="63"/>
      <c r="S696" s="63"/>
      <c r="T696" s="63"/>
      <c r="U696" s="63"/>
      <c r="V696" s="63"/>
      <c r="W696" s="63"/>
      <c r="X696" s="63"/>
      <c r="Y696" s="63"/>
    </row>
    <row r="697" spans="1:25">
      <c r="A697" s="85"/>
      <c r="B697" s="85"/>
      <c r="C697" s="85"/>
      <c r="D697" s="85"/>
      <c r="E697" s="85"/>
      <c r="F697" s="85"/>
      <c r="G697" s="85"/>
      <c r="H697" s="85"/>
      <c r="J697" s="85"/>
      <c r="K697" s="85"/>
      <c r="L697" s="85"/>
      <c r="M697" s="85"/>
      <c r="N697" s="85"/>
      <c r="O697" s="85"/>
      <c r="P697" s="85"/>
      <c r="Q697" s="85"/>
      <c r="R697" s="63"/>
      <c r="S697" s="63"/>
      <c r="T697" s="63"/>
      <c r="U697" s="63"/>
      <c r="V697" s="63"/>
      <c r="W697" s="63"/>
      <c r="X697" s="63"/>
      <c r="Y697" s="63"/>
    </row>
    <row r="698" spans="1:25">
      <c r="A698" s="85"/>
      <c r="B698" s="85"/>
      <c r="C698" s="85"/>
      <c r="D698" s="85"/>
      <c r="E698" s="85"/>
      <c r="F698" s="85"/>
      <c r="G698" s="85"/>
      <c r="H698" s="85"/>
      <c r="J698" s="85"/>
      <c r="K698" s="85"/>
      <c r="L698" s="85"/>
      <c r="M698" s="85"/>
      <c r="N698" s="85"/>
      <c r="O698" s="85"/>
      <c r="P698" s="85"/>
      <c r="Q698" s="85"/>
      <c r="R698" s="63"/>
      <c r="S698" s="63"/>
      <c r="T698" s="63"/>
      <c r="U698" s="63"/>
      <c r="V698" s="63"/>
      <c r="W698" s="63"/>
      <c r="X698" s="63"/>
      <c r="Y698" s="63"/>
    </row>
    <row r="699" spans="1:25">
      <c r="A699" s="85"/>
      <c r="B699" s="85"/>
      <c r="C699" s="85"/>
      <c r="D699" s="85"/>
      <c r="E699" s="85"/>
      <c r="F699" s="85"/>
      <c r="G699" s="85"/>
      <c r="H699" s="85"/>
      <c r="J699" s="85"/>
      <c r="K699" s="85"/>
      <c r="L699" s="85"/>
      <c r="M699" s="85"/>
      <c r="N699" s="85"/>
      <c r="O699" s="85"/>
      <c r="P699" s="85"/>
      <c r="Q699" s="85"/>
      <c r="R699" s="63"/>
      <c r="S699" s="63"/>
      <c r="T699" s="63"/>
      <c r="U699" s="63"/>
      <c r="V699" s="63"/>
      <c r="W699" s="63"/>
      <c r="X699" s="63"/>
      <c r="Y699" s="63"/>
    </row>
    <row r="700" spans="1:25">
      <c r="A700" s="85"/>
      <c r="B700" s="85"/>
      <c r="C700" s="85"/>
      <c r="D700" s="85"/>
      <c r="E700" s="85"/>
      <c r="F700" s="85"/>
      <c r="G700" s="85"/>
      <c r="H700" s="85"/>
      <c r="J700" s="85"/>
      <c r="K700" s="85"/>
      <c r="L700" s="85"/>
      <c r="M700" s="85"/>
      <c r="N700" s="85"/>
      <c r="O700" s="85"/>
      <c r="P700" s="85"/>
      <c r="Q700" s="85"/>
      <c r="R700" s="63"/>
      <c r="S700" s="63"/>
      <c r="T700" s="63"/>
      <c r="U700" s="63"/>
      <c r="V700" s="63"/>
      <c r="W700" s="63"/>
      <c r="X700" s="63"/>
      <c r="Y700" s="63"/>
    </row>
    <row r="701" spans="1:25">
      <c r="A701" s="85"/>
      <c r="B701" s="85"/>
      <c r="C701" s="85"/>
      <c r="D701" s="85"/>
      <c r="E701" s="85"/>
      <c r="F701" s="85"/>
      <c r="G701" s="85"/>
      <c r="H701" s="85"/>
      <c r="J701" s="85"/>
      <c r="K701" s="85"/>
      <c r="L701" s="85"/>
      <c r="M701" s="85"/>
      <c r="N701" s="85"/>
      <c r="O701" s="85"/>
      <c r="P701" s="85"/>
      <c r="Q701" s="85"/>
      <c r="R701" s="63"/>
      <c r="S701" s="63"/>
      <c r="T701" s="63"/>
      <c r="U701" s="63"/>
      <c r="V701" s="63"/>
      <c r="W701" s="63"/>
      <c r="X701" s="63"/>
      <c r="Y701" s="63"/>
    </row>
    <row r="702" spans="1:25">
      <c r="A702" s="85"/>
      <c r="B702" s="85"/>
      <c r="C702" s="85"/>
      <c r="D702" s="85"/>
      <c r="E702" s="85"/>
      <c r="F702" s="85"/>
      <c r="G702" s="85"/>
      <c r="H702" s="85"/>
      <c r="J702" s="85"/>
      <c r="K702" s="85"/>
      <c r="L702" s="85"/>
      <c r="M702" s="85"/>
      <c r="N702" s="85"/>
      <c r="O702" s="85"/>
      <c r="P702" s="85"/>
      <c r="Q702" s="85"/>
      <c r="R702" s="63"/>
      <c r="S702" s="63"/>
      <c r="T702" s="63"/>
      <c r="U702" s="63"/>
      <c r="V702" s="63"/>
      <c r="W702" s="63"/>
      <c r="X702" s="63"/>
      <c r="Y702" s="63"/>
    </row>
    <row r="703" spans="1:25">
      <c r="A703" s="85"/>
      <c r="B703" s="85"/>
      <c r="C703" s="85"/>
      <c r="D703" s="85"/>
      <c r="E703" s="85"/>
      <c r="F703" s="85"/>
      <c r="G703" s="85"/>
      <c r="H703" s="85"/>
      <c r="J703" s="85"/>
      <c r="K703" s="85"/>
      <c r="L703" s="85"/>
      <c r="M703" s="85"/>
      <c r="N703" s="85"/>
      <c r="O703" s="85"/>
      <c r="P703" s="85"/>
      <c r="Q703" s="85"/>
      <c r="R703" s="63"/>
      <c r="S703" s="63"/>
      <c r="T703" s="63"/>
      <c r="U703" s="63"/>
      <c r="V703" s="63"/>
      <c r="W703" s="63"/>
      <c r="X703" s="63"/>
      <c r="Y703" s="63"/>
    </row>
    <row r="704" spans="1:25">
      <c r="A704" s="85"/>
      <c r="B704" s="85"/>
      <c r="C704" s="85"/>
      <c r="D704" s="85"/>
      <c r="E704" s="85"/>
      <c r="F704" s="85"/>
      <c r="G704" s="85"/>
      <c r="H704" s="85"/>
      <c r="J704" s="85"/>
      <c r="K704" s="85"/>
      <c r="L704" s="85"/>
      <c r="M704" s="85"/>
      <c r="N704" s="85"/>
      <c r="O704" s="85"/>
      <c r="P704" s="85"/>
      <c r="Q704" s="85"/>
      <c r="R704" s="63"/>
      <c r="S704" s="63"/>
      <c r="T704" s="63"/>
      <c r="U704" s="63"/>
      <c r="V704" s="63"/>
      <c r="W704" s="63"/>
      <c r="X704" s="63"/>
      <c r="Y704" s="63"/>
    </row>
    <row r="705" spans="1:25">
      <c r="A705" s="85"/>
      <c r="B705" s="85"/>
      <c r="C705" s="85"/>
      <c r="D705" s="85"/>
      <c r="E705" s="85"/>
      <c r="F705" s="85"/>
      <c r="G705" s="85"/>
      <c r="H705" s="85"/>
      <c r="J705" s="85"/>
      <c r="K705" s="85"/>
      <c r="L705" s="85"/>
      <c r="M705" s="85"/>
      <c r="N705" s="85"/>
      <c r="O705" s="85"/>
      <c r="P705" s="85"/>
      <c r="Q705" s="85"/>
      <c r="R705" s="63"/>
      <c r="S705" s="63"/>
      <c r="T705" s="63"/>
      <c r="U705" s="63"/>
      <c r="V705" s="63"/>
      <c r="W705" s="63"/>
      <c r="X705" s="63"/>
      <c r="Y705" s="63"/>
    </row>
    <row r="706" spans="1:25">
      <c r="A706" s="85"/>
      <c r="B706" s="85"/>
      <c r="C706" s="85"/>
      <c r="D706" s="85"/>
      <c r="E706" s="85"/>
      <c r="F706" s="85"/>
      <c r="G706" s="85"/>
      <c r="H706" s="85"/>
      <c r="J706" s="85"/>
      <c r="K706" s="85"/>
      <c r="L706" s="85"/>
      <c r="M706" s="85"/>
      <c r="N706" s="85"/>
      <c r="O706" s="85"/>
      <c r="P706" s="85"/>
      <c r="Q706" s="85"/>
      <c r="R706" s="63"/>
      <c r="S706" s="63"/>
      <c r="T706" s="63"/>
      <c r="U706" s="63"/>
      <c r="V706" s="63"/>
      <c r="W706" s="63"/>
      <c r="X706" s="63"/>
      <c r="Y706" s="63"/>
    </row>
    <row r="707" spans="1:25">
      <c r="A707" s="85"/>
      <c r="B707" s="85"/>
      <c r="C707" s="85"/>
      <c r="D707" s="85"/>
      <c r="E707" s="85"/>
      <c r="F707" s="85"/>
      <c r="G707" s="85"/>
      <c r="H707" s="85"/>
      <c r="J707" s="85"/>
      <c r="K707" s="85"/>
      <c r="L707" s="85"/>
      <c r="M707" s="85"/>
      <c r="N707" s="85"/>
      <c r="O707" s="85"/>
      <c r="P707" s="85"/>
      <c r="Q707" s="85"/>
      <c r="R707" s="63"/>
      <c r="S707" s="63"/>
      <c r="T707" s="63"/>
      <c r="U707" s="63"/>
      <c r="V707" s="63"/>
      <c r="W707" s="63"/>
      <c r="X707" s="63"/>
      <c r="Y707" s="63"/>
    </row>
    <row r="708" spans="1:25">
      <c r="A708" s="85"/>
      <c r="B708" s="85"/>
      <c r="C708" s="85"/>
      <c r="D708" s="85"/>
      <c r="E708" s="85"/>
      <c r="F708" s="85"/>
      <c r="G708" s="85"/>
      <c r="H708" s="85"/>
      <c r="J708" s="85"/>
      <c r="K708" s="85"/>
      <c r="L708" s="85"/>
      <c r="M708" s="85"/>
      <c r="N708" s="85"/>
      <c r="O708" s="85"/>
      <c r="P708" s="85"/>
      <c r="Q708" s="85"/>
      <c r="R708" s="63"/>
      <c r="S708" s="63"/>
      <c r="T708" s="63"/>
      <c r="U708" s="63"/>
      <c r="V708" s="63"/>
      <c r="W708" s="63"/>
      <c r="X708" s="63"/>
      <c r="Y708" s="63"/>
    </row>
    <row r="709" spans="1:25">
      <c r="A709" s="85"/>
      <c r="B709" s="85"/>
      <c r="C709" s="85"/>
      <c r="D709" s="85"/>
      <c r="E709" s="85"/>
      <c r="F709" s="85"/>
      <c r="G709" s="85"/>
      <c r="H709" s="85"/>
      <c r="J709" s="85"/>
      <c r="K709" s="85"/>
      <c r="L709" s="85"/>
      <c r="M709" s="85"/>
      <c r="N709" s="85"/>
      <c r="O709" s="85"/>
      <c r="P709" s="85"/>
      <c r="Q709" s="85"/>
      <c r="R709" s="63"/>
      <c r="S709" s="63"/>
      <c r="T709" s="63"/>
      <c r="U709" s="63"/>
      <c r="V709" s="63"/>
      <c r="W709" s="63"/>
      <c r="X709" s="63"/>
      <c r="Y709" s="63"/>
    </row>
    <row r="710" spans="1:25">
      <c r="A710" s="85"/>
      <c r="B710" s="85"/>
      <c r="C710" s="85"/>
      <c r="D710" s="85"/>
      <c r="E710" s="85"/>
      <c r="F710" s="85"/>
      <c r="G710" s="85"/>
      <c r="H710" s="85"/>
      <c r="J710" s="85"/>
      <c r="K710" s="85"/>
      <c r="L710" s="85"/>
      <c r="M710" s="85"/>
      <c r="N710" s="85"/>
      <c r="O710" s="85"/>
      <c r="P710" s="85"/>
      <c r="Q710" s="85"/>
      <c r="R710" s="63"/>
      <c r="S710" s="63"/>
      <c r="T710" s="63"/>
      <c r="U710" s="63"/>
      <c r="V710" s="63"/>
      <c r="W710" s="63"/>
      <c r="X710" s="63"/>
      <c r="Y710" s="63"/>
    </row>
    <row r="711" spans="1:25">
      <c r="A711" s="85"/>
      <c r="B711" s="85"/>
      <c r="C711" s="85"/>
      <c r="D711" s="85"/>
      <c r="E711" s="85"/>
      <c r="F711" s="85"/>
      <c r="G711" s="85"/>
      <c r="H711" s="85"/>
      <c r="J711" s="85"/>
      <c r="K711" s="85"/>
      <c r="L711" s="85"/>
      <c r="M711" s="85"/>
      <c r="N711" s="85"/>
      <c r="O711" s="85"/>
      <c r="P711" s="85"/>
      <c r="Q711" s="85"/>
      <c r="R711" s="63"/>
      <c r="S711" s="63"/>
      <c r="T711" s="63"/>
      <c r="U711" s="63"/>
      <c r="V711" s="63"/>
      <c r="W711" s="63"/>
      <c r="X711" s="63"/>
      <c r="Y711" s="63"/>
    </row>
    <row r="712" spans="1:25">
      <c r="A712" s="85"/>
      <c r="B712" s="85"/>
      <c r="C712" s="85"/>
      <c r="D712" s="85"/>
      <c r="E712" s="85"/>
      <c r="F712" s="85"/>
      <c r="G712" s="85"/>
      <c r="H712" s="85"/>
      <c r="J712" s="85"/>
      <c r="K712" s="85"/>
      <c r="L712" s="85"/>
      <c r="M712" s="85"/>
      <c r="N712" s="85"/>
      <c r="O712" s="85"/>
      <c r="P712" s="85"/>
      <c r="Q712" s="85"/>
      <c r="R712" s="63"/>
      <c r="S712" s="63"/>
      <c r="T712" s="63"/>
      <c r="U712" s="63"/>
      <c r="V712" s="63"/>
      <c r="W712" s="63"/>
      <c r="X712" s="63"/>
      <c r="Y712" s="63"/>
    </row>
    <row r="713" spans="1:25">
      <c r="A713" s="85"/>
      <c r="B713" s="85"/>
      <c r="C713" s="85"/>
      <c r="D713" s="85"/>
      <c r="E713" s="85"/>
      <c r="F713" s="85"/>
      <c r="G713" s="85"/>
      <c r="H713" s="85"/>
      <c r="J713" s="85"/>
      <c r="K713" s="85"/>
      <c r="L713" s="85"/>
      <c r="M713" s="85"/>
      <c r="N713" s="85"/>
      <c r="O713" s="85"/>
      <c r="P713" s="85"/>
      <c r="Q713" s="85"/>
      <c r="R713" s="63"/>
      <c r="S713" s="63"/>
      <c r="T713" s="63"/>
      <c r="U713" s="63"/>
      <c r="V713" s="63"/>
      <c r="W713" s="63"/>
      <c r="X713" s="63"/>
      <c r="Y713" s="63"/>
    </row>
    <row r="714" spans="1:25">
      <c r="A714" s="85"/>
      <c r="B714" s="85"/>
      <c r="C714" s="85"/>
      <c r="D714" s="85"/>
      <c r="E714" s="85"/>
      <c r="F714" s="85"/>
      <c r="G714" s="85"/>
      <c r="H714" s="85"/>
      <c r="J714" s="85"/>
      <c r="K714" s="85"/>
      <c r="L714" s="85"/>
      <c r="M714" s="85"/>
      <c r="N714" s="85"/>
      <c r="O714" s="85"/>
      <c r="P714" s="85"/>
      <c r="Q714" s="85"/>
      <c r="R714" s="63"/>
      <c r="S714" s="63"/>
      <c r="T714" s="63"/>
      <c r="U714" s="63"/>
      <c r="V714" s="63"/>
      <c r="W714" s="63"/>
      <c r="X714" s="63"/>
      <c r="Y714" s="63"/>
    </row>
    <row r="715" spans="1:25">
      <c r="A715" s="85"/>
      <c r="B715" s="85"/>
      <c r="C715" s="85"/>
      <c r="D715" s="85"/>
      <c r="E715" s="85"/>
      <c r="F715" s="85"/>
      <c r="G715" s="85"/>
      <c r="H715" s="85"/>
      <c r="J715" s="85"/>
      <c r="K715" s="85"/>
      <c r="L715" s="85"/>
      <c r="M715" s="85"/>
      <c r="N715" s="85"/>
      <c r="O715" s="85"/>
      <c r="P715" s="85"/>
      <c r="Q715" s="85"/>
      <c r="R715" s="63"/>
      <c r="S715" s="63"/>
      <c r="T715" s="63"/>
      <c r="U715" s="63"/>
      <c r="V715" s="63"/>
      <c r="W715" s="63"/>
      <c r="X715" s="63"/>
      <c r="Y715" s="63"/>
    </row>
    <row r="716" spans="1:25">
      <c r="A716" s="85"/>
      <c r="B716" s="85"/>
      <c r="C716" s="85"/>
      <c r="D716" s="85"/>
      <c r="E716" s="85"/>
      <c r="F716" s="85"/>
      <c r="G716" s="85"/>
      <c r="H716" s="85"/>
      <c r="J716" s="85"/>
      <c r="K716" s="85"/>
      <c r="L716" s="85"/>
      <c r="M716" s="85"/>
      <c r="N716" s="85"/>
      <c r="O716" s="85"/>
      <c r="P716" s="85"/>
      <c r="Q716" s="85"/>
      <c r="R716" s="63"/>
      <c r="S716" s="63"/>
      <c r="T716" s="63"/>
      <c r="U716" s="63"/>
      <c r="V716" s="63"/>
      <c r="W716" s="63"/>
      <c r="X716" s="63"/>
      <c r="Y716" s="63"/>
    </row>
    <row r="717" spans="1:25">
      <c r="A717" s="85"/>
      <c r="B717" s="85"/>
      <c r="C717" s="85"/>
      <c r="D717" s="85"/>
      <c r="E717" s="85"/>
      <c r="F717" s="85"/>
      <c r="G717" s="85"/>
      <c r="H717" s="85"/>
      <c r="J717" s="85"/>
      <c r="K717" s="85"/>
      <c r="L717" s="85"/>
      <c r="M717" s="85"/>
      <c r="N717" s="85"/>
      <c r="O717" s="85"/>
      <c r="P717" s="85"/>
      <c r="Q717" s="85"/>
      <c r="R717" s="63"/>
      <c r="S717" s="63"/>
      <c r="T717" s="63"/>
      <c r="U717" s="63"/>
      <c r="V717" s="63"/>
      <c r="W717" s="63"/>
      <c r="X717" s="63"/>
      <c r="Y717" s="63"/>
    </row>
    <row r="718" spans="1:25">
      <c r="A718" s="85"/>
      <c r="B718" s="85"/>
      <c r="C718" s="85"/>
      <c r="D718" s="85"/>
      <c r="E718" s="85"/>
      <c r="F718" s="85"/>
      <c r="G718" s="85"/>
      <c r="H718" s="85"/>
      <c r="J718" s="85"/>
      <c r="K718" s="85"/>
      <c r="L718" s="85"/>
      <c r="M718" s="85"/>
      <c r="N718" s="85"/>
      <c r="O718" s="85"/>
      <c r="P718" s="85"/>
      <c r="Q718" s="85"/>
      <c r="R718" s="63"/>
      <c r="S718" s="63"/>
      <c r="T718" s="63"/>
      <c r="U718" s="63"/>
      <c r="V718" s="63"/>
      <c r="W718" s="63"/>
      <c r="X718" s="63"/>
      <c r="Y718" s="63"/>
    </row>
    <row r="719" spans="1:25">
      <c r="A719" s="85"/>
      <c r="B719" s="85"/>
      <c r="C719" s="85"/>
      <c r="D719" s="85"/>
      <c r="E719" s="85"/>
      <c r="F719" s="85"/>
      <c r="G719" s="85"/>
      <c r="H719" s="85"/>
      <c r="J719" s="85"/>
      <c r="K719" s="85"/>
      <c r="L719" s="85"/>
      <c r="M719" s="85"/>
      <c r="N719" s="85"/>
      <c r="O719" s="85"/>
      <c r="P719" s="85"/>
      <c r="Q719" s="85"/>
      <c r="R719" s="63"/>
      <c r="S719" s="63"/>
      <c r="T719" s="63"/>
      <c r="U719" s="63"/>
      <c r="V719" s="63"/>
      <c r="W719" s="63"/>
      <c r="X719" s="63"/>
      <c r="Y719" s="63"/>
    </row>
    <row r="720" spans="1:25">
      <c r="A720" s="85"/>
      <c r="B720" s="85"/>
      <c r="C720" s="85"/>
      <c r="D720" s="85"/>
      <c r="E720" s="85"/>
      <c r="F720" s="85"/>
      <c r="G720" s="85"/>
      <c r="H720" s="85"/>
      <c r="J720" s="85"/>
      <c r="K720" s="85"/>
      <c r="L720" s="85"/>
      <c r="M720" s="85"/>
      <c r="N720" s="85"/>
      <c r="O720" s="85"/>
      <c r="P720" s="85"/>
      <c r="Q720" s="85"/>
      <c r="R720" s="63"/>
      <c r="S720" s="63"/>
      <c r="T720" s="63"/>
      <c r="U720" s="63"/>
      <c r="V720" s="63"/>
      <c r="W720" s="63"/>
      <c r="X720" s="63"/>
      <c r="Y720" s="63"/>
    </row>
    <row r="721" spans="1:25">
      <c r="A721" s="85"/>
      <c r="B721" s="85"/>
      <c r="C721" s="85"/>
      <c r="D721" s="85"/>
      <c r="E721" s="85"/>
      <c r="F721" s="85"/>
      <c r="G721" s="85"/>
      <c r="H721" s="85"/>
      <c r="J721" s="85"/>
      <c r="K721" s="85"/>
      <c r="L721" s="85"/>
      <c r="M721" s="85"/>
      <c r="N721" s="85"/>
      <c r="O721" s="85"/>
      <c r="P721" s="85"/>
      <c r="Q721" s="85"/>
      <c r="R721" s="63"/>
      <c r="S721" s="63"/>
      <c r="T721" s="63"/>
      <c r="U721" s="63"/>
      <c r="V721" s="63"/>
      <c r="W721" s="63"/>
      <c r="X721" s="63"/>
      <c r="Y721" s="63"/>
    </row>
    <row r="722" spans="1:25">
      <c r="A722" s="85"/>
      <c r="B722" s="85"/>
      <c r="C722" s="85"/>
      <c r="D722" s="85"/>
      <c r="E722" s="85"/>
      <c r="F722" s="85"/>
      <c r="G722" s="85"/>
      <c r="H722" s="85"/>
      <c r="J722" s="85"/>
      <c r="K722" s="85"/>
      <c r="L722" s="85"/>
      <c r="M722" s="85"/>
      <c r="N722" s="85"/>
      <c r="O722" s="85"/>
      <c r="P722" s="85"/>
      <c r="Q722" s="85"/>
      <c r="R722" s="63"/>
      <c r="S722" s="63"/>
      <c r="T722" s="63"/>
      <c r="U722" s="63"/>
      <c r="V722" s="63"/>
      <c r="W722" s="63"/>
      <c r="X722" s="63"/>
      <c r="Y722" s="63"/>
    </row>
    <row r="723" spans="1:25">
      <c r="A723" s="85"/>
      <c r="B723" s="85"/>
      <c r="C723" s="85"/>
      <c r="D723" s="85"/>
      <c r="E723" s="85"/>
      <c r="F723" s="85"/>
      <c r="G723" s="85"/>
      <c r="H723" s="85"/>
      <c r="J723" s="85"/>
      <c r="K723" s="85"/>
      <c r="L723" s="85"/>
      <c r="M723" s="85"/>
      <c r="N723" s="85"/>
      <c r="O723" s="85"/>
      <c r="P723" s="85"/>
      <c r="Q723" s="85"/>
      <c r="R723" s="63"/>
      <c r="S723" s="63"/>
      <c r="T723" s="63"/>
      <c r="U723" s="63"/>
      <c r="V723" s="63"/>
      <c r="W723" s="63"/>
      <c r="X723" s="63"/>
      <c r="Y723" s="63"/>
    </row>
    <row r="724" spans="1:25">
      <c r="A724" s="85"/>
      <c r="B724" s="85"/>
      <c r="C724" s="85"/>
      <c r="D724" s="85"/>
      <c r="E724" s="85"/>
      <c r="F724" s="85"/>
      <c r="G724" s="85"/>
      <c r="H724" s="85"/>
      <c r="J724" s="85"/>
      <c r="K724" s="85"/>
      <c r="L724" s="85"/>
      <c r="M724" s="85"/>
      <c r="N724" s="85"/>
      <c r="O724" s="85"/>
      <c r="P724" s="85"/>
      <c r="Q724" s="85"/>
      <c r="R724" s="63"/>
      <c r="S724" s="63"/>
      <c r="T724" s="63"/>
      <c r="U724" s="63"/>
      <c r="V724" s="63"/>
      <c r="W724" s="63"/>
      <c r="X724" s="63"/>
      <c r="Y724" s="63"/>
    </row>
    <row r="725" spans="1:25">
      <c r="A725" s="85"/>
      <c r="B725" s="85"/>
      <c r="C725" s="85"/>
      <c r="D725" s="85"/>
      <c r="E725" s="85"/>
      <c r="F725" s="85"/>
      <c r="G725" s="85"/>
      <c r="H725" s="85"/>
      <c r="J725" s="85"/>
      <c r="K725" s="85"/>
      <c r="L725" s="85"/>
      <c r="M725" s="85"/>
      <c r="N725" s="85"/>
      <c r="O725" s="85"/>
      <c r="P725" s="85"/>
      <c r="Q725" s="85"/>
      <c r="R725" s="63"/>
      <c r="S725" s="63"/>
      <c r="T725" s="63"/>
      <c r="U725" s="63"/>
      <c r="V725" s="63"/>
      <c r="W725" s="63"/>
      <c r="X725" s="63"/>
      <c r="Y725" s="63"/>
    </row>
    <row r="726" spans="1:25">
      <c r="A726" s="85"/>
      <c r="B726" s="85"/>
      <c r="C726" s="85"/>
      <c r="D726" s="85"/>
      <c r="E726" s="85"/>
      <c r="F726" s="85"/>
      <c r="G726" s="85"/>
      <c r="H726" s="85"/>
      <c r="J726" s="85"/>
      <c r="K726" s="85"/>
      <c r="L726" s="85"/>
      <c r="M726" s="85"/>
      <c r="N726" s="85"/>
      <c r="O726" s="85"/>
      <c r="P726" s="85"/>
      <c r="Q726" s="85"/>
      <c r="R726" s="63"/>
      <c r="S726" s="63"/>
      <c r="T726" s="63"/>
      <c r="U726" s="63"/>
      <c r="V726" s="63"/>
      <c r="W726" s="63"/>
      <c r="X726" s="63"/>
      <c r="Y726" s="63"/>
    </row>
    <row r="727" spans="1:25">
      <c r="A727" s="85"/>
      <c r="B727" s="85"/>
      <c r="C727" s="85"/>
      <c r="D727" s="85"/>
      <c r="E727" s="85"/>
      <c r="F727" s="85"/>
      <c r="G727" s="85"/>
      <c r="H727" s="85"/>
      <c r="J727" s="85"/>
      <c r="K727" s="85"/>
      <c r="L727" s="85"/>
      <c r="M727" s="85"/>
      <c r="N727" s="85"/>
      <c r="O727" s="85"/>
      <c r="P727" s="85"/>
      <c r="Q727" s="85"/>
      <c r="R727" s="63"/>
      <c r="S727" s="63"/>
      <c r="T727" s="63"/>
      <c r="U727" s="63"/>
      <c r="V727" s="63"/>
      <c r="W727" s="63"/>
      <c r="X727" s="63"/>
      <c r="Y727" s="63"/>
    </row>
    <row r="728" spans="1:25">
      <c r="A728" s="85"/>
      <c r="B728" s="85"/>
      <c r="C728" s="85"/>
      <c r="D728" s="85"/>
      <c r="E728" s="85"/>
      <c r="F728" s="85"/>
      <c r="G728" s="85"/>
      <c r="H728" s="85"/>
      <c r="J728" s="85"/>
      <c r="K728" s="85"/>
      <c r="L728" s="85"/>
      <c r="M728" s="85"/>
      <c r="N728" s="85"/>
      <c r="O728" s="85"/>
      <c r="P728" s="85"/>
      <c r="Q728" s="85"/>
      <c r="R728" s="63"/>
      <c r="S728" s="63"/>
      <c r="T728" s="63"/>
      <c r="U728" s="63"/>
      <c r="V728" s="63"/>
      <c r="W728" s="63"/>
      <c r="X728" s="63"/>
      <c r="Y728" s="63"/>
    </row>
    <row r="729" spans="1:25">
      <c r="A729" s="85"/>
      <c r="B729" s="85"/>
      <c r="C729" s="85"/>
      <c r="D729" s="85"/>
      <c r="E729" s="85"/>
      <c r="F729" s="85"/>
      <c r="G729" s="85"/>
      <c r="H729" s="85"/>
      <c r="J729" s="85"/>
      <c r="K729" s="85"/>
      <c r="L729" s="85"/>
      <c r="M729" s="85"/>
      <c r="N729" s="85"/>
      <c r="O729" s="85"/>
      <c r="P729" s="85"/>
      <c r="Q729" s="85"/>
      <c r="R729" s="63"/>
      <c r="S729" s="63"/>
      <c r="T729" s="63"/>
      <c r="U729" s="63"/>
      <c r="V729" s="63"/>
      <c r="W729" s="63"/>
      <c r="X729" s="63"/>
      <c r="Y729" s="63"/>
    </row>
    <row r="730" spans="1:25">
      <c r="A730" s="85"/>
      <c r="B730" s="85"/>
      <c r="C730" s="85"/>
      <c r="D730" s="85"/>
      <c r="E730" s="85"/>
      <c r="F730" s="85"/>
      <c r="G730" s="85"/>
      <c r="H730" s="85"/>
      <c r="J730" s="85"/>
      <c r="K730" s="85"/>
      <c r="L730" s="85"/>
      <c r="M730" s="85"/>
      <c r="N730" s="85"/>
      <c r="O730" s="85"/>
      <c r="P730" s="85"/>
      <c r="Q730" s="85"/>
      <c r="R730" s="63"/>
      <c r="S730" s="63"/>
      <c r="T730" s="63"/>
      <c r="U730" s="63"/>
      <c r="V730" s="63"/>
      <c r="W730" s="63"/>
      <c r="X730" s="63"/>
      <c r="Y730" s="63"/>
    </row>
    <row r="731" spans="1:25">
      <c r="A731" s="85"/>
      <c r="B731" s="85"/>
      <c r="C731" s="85"/>
      <c r="D731" s="85"/>
      <c r="E731" s="85"/>
      <c r="F731" s="85"/>
      <c r="G731" s="85"/>
      <c r="H731" s="85"/>
      <c r="J731" s="85"/>
      <c r="K731" s="85"/>
      <c r="L731" s="85"/>
      <c r="M731" s="85"/>
      <c r="N731" s="85"/>
      <c r="O731" s="85"/>
      <c r="P731" s="85"/>
      <c r="Q731" s="85"/>
      <c r="R731" s="63"/>
      <c r="S731" s="63"/>
      <c r="T731" s="63"/>
      <c r="U731" s="63"/>
      <c r="V731" s="63"/>
      <c r="W731" s="63"/>
      <c r="X731" s="63"/>
      <c r="Y731" s="63"/>
    </row>
    <row r="732" spans="1:25">
      <c r="A732" s="85"/>
      <c r="B732" s="85"/>
      <c r="C732" s="85"/>
      <c r="D732" s="85"/>
      <c r="E732" s="85"/>
      <c r="F732" s="85"/>
      <c r="G732" s="85"/>
      <c r="H732" s="85"/>
      <c r="J732" s="85"/>
      <c r="K732" s="85"/>
      <c r="L732" s="85"/>
      <c r="M732" s="85"/>
      <c r="N732" s="85"/>
      <c r="O732" s="85"/>
      <c r="P732" s="85"/>
      <c r="Q732" s="85"/>
      <c r="R732" s="63"/>
      <c r="S732" s="63"/>
      <c r="T732" s="63"/>
      <c r="U732" s="63"/>
      <c r="V732" s="63"/>
      <c r="W732" s="63"/>
      <c r="X732" s="63"/>
      <c r="Y732" s="63"/>
    </row>
    <row r="733" spans="1:25">
      <c r="A733" s="85"/>
      <c r="B733" s="85"/>
      <c r="C733" s="85"/>
      <c r="D733" s="85"/>
      <c r="E733" s="85"/>
      <c r="F733" s="85"/>
      <c r="G733" s="85"/>
      <c r="H733" s="85"/>
      <c r="J733" s="85"/>
      <c r="K733" s="85"/>
      <c r="L733" s="85"/>
      <c r="M733" s="85"/>
      <c r="N733" s="85"/>
      <c r="O733" s="85"/>
      <c r="P733" s="85"/>
      <c r="Q733" s="85"/>
      <c r="R733" s="63"/>
      <c r="S733" s="63"/>
      <c r="T733" s="63"/>
      <c r="U733" s="63"/>
      <c r="V733" s="63"/>
      <c r="W733" s="63"/>
      <c r="X733" s="63"/>
      <c r="Y733" s="63"/>
    </row>
    <row r="734" spans="1:25">
      <c r="A734" s="85"/>
      <c r="B734" s="85"/>
      <c r="C734" s="85"/>
      <c r="D734" s="85"/>
      <c r="E734" s="85"/>
      <c r="F734" s="85"/>
      <c r="G734" s="85"/>
      <c r="H734" s="85"/>
      <c r="J734" s="85"/>
      <c r="K734" s="85"/>
      <c r="L734" s="85"/>
      <c r="M734" s="85"/>
      <c r="N734" s="85"/>
      <c r="O734" s="85"/>
      <c r="P734" s="85"/>
      <c r="Q734" s="85"/>
      <c r="R734" s="63"/>
      <c r="S734" s="63"/>
      <c r="T734" s="63"/>
      <c r="U734" s="63"/>
      <c r="V734" s="63"/>
      <c r="W734" s="63"/>
      <c r="X734" s="63"/>
      <c r="Y734" s="63"/>
    </row>
    <row r="735" spans="1:25">
      <c r="A735" s="85"/>
      <c r="B735" s="85"/>
      <c r="C735" s="85"/>
      <c r="D735" s="85"/>
      <c r="E735" s="85"/>
      <c r="F735" s="85"/>
      <c r="G735" s="85"/>
      <c r="H735" s="85"/>
      <c r="J735" s="85"/>
      <c r="K735" s="85"/>
      <c r="L735" s="85"/>
      <c r="M735" s="85"/>
      <c r="N735" s="85"/>
      <c r="O735" s="85"/>
      <c r="P735" s="85"/>
      <c r="Q735" s="85"/>
      <c r="R735" s="63"/>
      <c r="S735" s="63"/>
      <c r="T735" s="63"/>
      <c r="U735" s="63"/>
      <c r="V735" s="63"/>
      <c r="W735" s="63"/>
      <c r="X735" s="63"/>
      <c r="Y735" s="63"/>
    </row>
    <row r="736" spans="1:25">
      <c r="A736" s="85"/>
      <c r="B736" s="85"/>
      <c r="C736" s="85"/>
      <c r="D736" s="85"/>
      <c r="E736" s="85"/>
      <c r="F736" s="85"/>
      <c r="G736" s="85"/>
      <c r="H736" s="85"/>
      <c r="J736" s="85"/>
      <c r="K736" s="85"/>
      <c r="L736" s="85"/>
      <c r="M736" s="85"/>
      <c r="N736" s="85"/>
      <c r="O736" s="85"/>
      <c r="P736" s="85"/>
      <c r="Q736" s="85"/>
      <c r="R736" s="63"/>
      <c r="S736" s="63"/>
      <c r="T736" s="63"/>
      <c r="U736" s="63"/>
      <c r="V736" s="63"/>
      <c r="W736" s="63"/>
      <c r="X736" s="63"/>
      <c r="Y736" s="63"/>
    </row>
    <row r="737" spans="1:25">
      <c r="A737" s="85"/>
      <c r="B737" s="85"/>
      <c r="C737" s="85"/>
      <c r="D737" s="85"/>
      <c r="E737" s="85"/>
      <c r="F737" s="85"/>
      <c r="G737" s="85"/>
      <c r="H737" s="85"/>
      <c r="J737" s="85"/>
      <c r="K737" s="85"/>
      <c r="L737" s="85"/>
      <c r="M737" s="85"/>
      <c r="N737" s="85"/>
      <c r="O737" s="85"/>
      <c r="P737" s="85"/>
      <c r="Q737" s="85"/>
      <c r="R737" s="63"/>
      <c r="S737" s="63"/>
      <c r="T737" s="63"/>
      <c r="U737" s="63"/>
      <c r="V737" s="63"/>
      <c r="W737" s="63"/>
      <c r="X737" s="63"/>
      <c r="Y737" s="63"/>
    </row>
    <row r="738" spans="1:25">
      <c r="A738" s="85"/>
      <c r="B738" s="85"/>
      <c r="C738" s="85"/>
      <c r="D738" s="85"/>
      <c r="E738" s="85"/>
      <c r="F738" s="85"/>
      <c r="G738" s="85"/>
      <c r="H738" s="85"/>
      <c r="J738" s="85"/>
      <c r="K738" s="85"/>
      <c r="L738" s="85"/>
      <c r="M738" s="85"/>
      <c r="N738" s="85"/>
      <c r="O738" s="85"/>
      <c r="P738" s="85"/>
      <c r="Q738" s="85"/>
      <c r="R738" s="63"/>
      <c r="S738" s="63"/>
      <c r="T738" s="63"/>
      <c r="U738" s="63"/>
      <c r="V738" s="63"/>
      <c r="W738" s="63"/>
      <c r="X738" s="63"/>
      <c r="Y738" s="63"/>
    </row>
    <row r="739" spans="1:25">
      <c r="A739" s="85"/>
      <c r="B739" s="85"/>
      <c r="C739" s="85"/>
      <c r="D739" s="85"/>
      <c r="E739" s="85"/>
      <c r="F739" s="85"/>
      <c r="G739" s="85"/>
      <c r="H739" s="85"/>
      <c r="J739" s="85"/>
      <c r="K739" s="85"/>
      <c r="L739" s="85"/>
      <c r="M739" s="85"/>
      <c r="N739" s="85"/>
      <c r="O739" s="85"/>
      <c r="P739" s="85"/>
      <c r="Q739" s="85"/>
      <c r="R739" s="63"/>
      <c r="S739" s="63"/>
      <c r="T739" s="63"/>
      <c r="U739" s="63"/>
      <c r="V739" s="63"/>
      <c r="W739" s="63"/>
      <c r="X739" s="63"/>
      <c r="Y739" s="63"/>
    </row>
    <row r="740" spans="1:25">
      <c r="A740" s="85"/>
      <c r="B740" s="85"/>
      <c r="C740" s="85"/>
      <c r="D740" s="85"/>
      <c r="E740" s="85"/>
      <c r="F740" s="85"/>
      <c r="G740" s="85"/>
      <c r="H740" s="85"/>
      <c r="J740" s="85"/>
      <c r="K740" s="85"/>
      <c r="L740" s="85"/>
      <c r="M740" s="85"/>
      <c r="N740" s="85"/>
      <c r="O740" s="85"/>
      <c r="P740" s="85"/>
      <c r="Q740" s="85"/>
      <c r="R740" s="63"/>
      <c r="S740" s="63"/>
      <c r="T740" s="63"/>
      <c r="U740" s="63"/>
      <c r="V740" s="63"/>
      <c r="W740" s="63"/>
      <c r="X740" s="63"/>
      <c r="Y740" s="63"/>
    </row>
    <row r="741" spans="1:25">
      <c r="A741" s="85"/>
      <c r="B741" s="85"/>
      <c r="C741" s="85"/>
      <c r="D741" s="85"/>
      <c r="E741" s="85"/>
      <c r="F741" s="85"/>
      <c r="G741" s="85"/>
      <c r="H741" s="85"/>
      <c r="J741" s="85"/>
      <c r="K741" s="85"/>
      <c r="L741" s="85"/>
      <c r="M741" s="85"/>
      <c r="N741" s="85"/>
      <c r="O741" s="85"/>
      <c r="P741" s="85"/>
      <c r="Q741" s="85"/>
      <c r="R741" s="63"/>
      <c r="S741" s="63"/>
      <c r="T741" s="63"/>
      <c r="U741" s="63"/>
      <c r="V741" s="63"/>
      <c r="W741" s="63"/>
      <c r="X741" s="63"/>
      <c r="Y741" s="63"/>
    </row>
    <row r="742" spans="1:25">
      <c r="A742" s="85"/>
      <c r="B742" s="85"/>
      <c r="C742" s="85"/>
      <c r="D742" s="85"/>
      <c r="E742" s="85"/>
      <c r="F742" s="85"/>
      <c r="G742" s="85"/>
      <c r="H742" s="85"/>
      <c r="J742" s="85"/>
      <c r="K742" s="85"/>
      <c r="L742" s="85"/>
      <c r="M742" s="85"/>
      <c r="N742" s="85"/>
      <c r="O742" s="85"/>
      <c r="P742" s="85"/>
      <c r="Q742" s="85"/>
      <c r="R742" s="63"/>
      <c r="S742" s="63"/>
      <c r="T742" s="63"/>
      <c r="U742" s="63"/>
      <c r="V742" s="63"/>
      <c r="W742" s="63"/>
      <c r="X742" s="63"/>
      <c r="Y742" s="63"/>
    </row>
    <row r="743" spans="1:25">
      <c r="A743" s="85"/>
      <c r="B743" s="85"/>
      <c r="C743" s="85"/>
      <c r="D743" s="85"/>
      <c r="E743" s="85"/>
      <c r="F743" s="85"/>
      <c r="G743" s="85"/>
      <c r="H743" s="85"/>
      <c r="J743" s="85"/>
      <c r="K743" s="85"/>
      <c r="L743" s="85"/>
      <c r="M743" s="85"/>
      <c r="N743" s="85"/>
      <c r="O743" s="85"/>
      <c r="P743" s="85"/>
      <c r="Q743" s="85"/>
      <c r="R743" s="63"/>
      <c r="S743" s="63"/>
      <c r="T743" s="63"/>
      <c r="U743" s="63"/>
      <c r="V743" s="63"/>
      <c r="W743" s="63"/>
      <c r="X743" s="63"/>
      <c r="Y743" s="63"/>
    </row>
    <row r="744" spans="1:25">
      <c r="A744" s="85"/>
      <c r="B744" s="85"/>
      <c r="C744" s="85"/>
      <c r="D744" s="85"/>
      <c r="E744" s="85"/>
      <c r="F744" s="85"/>
      <c r="G744" s="85"/>
      <c r="H744" s="85"/>
      <c r="J744" s="85"/>
      <c r="K744" s="85"/>
      <c r="L744" s="85"/>
      <c r="M744" s="85"/>
      <c r="N744" s="85"/>
      <c r="O744" s="85"/>
      <c r="P744" s="85"/>
      <c r="Q744" s="85"/>
      <c r="R744" s="63"/>
      <c r="S744" s="63"/>
      <c r="T744" s="63"/>
      <c r="U744" s="63"/>
      <c r="V744" s="63"/>
      <c r="W744" s="63"/>
      <c r="X744" s="63"/>
      <c r="Y744" s="63"/>
    </row>
    <row r="745" spans="1:25">
      <c r="A745" s="85"/>
      <c r="B745" s="85"/>
      <c r="C745" s="85"/>
      <c r="D745" s="85"/>
      <c r="E745" s="85"/>
      <c r="F745" s="85"/>
      <c r="G745" s="85"/>
      <c r="H745" s="85"/>
      <c r="J745" s="85"/>
      <c r="K745" s="85"/>
      <c r="L745" s="85"/>
      <c r="M745" s="85"/>
      <c r="N745" s="85"/>
      <c r="O745" s="85"/>
      <c r="P745" s="85"/>
      <c r="Q745" s="85"/>
      <c r="R745" s="63"/>
      <c r="S745" s="63"/>
      <c r="T745" s="63"/>
      <c r="U745" s="63"/>
      <c r="V745" s="63"/>
      <c r="W745" s="63"/>
      <c r="X745" s="63"/>
      <c r="Y745" s="63"/>
    </row>
    <row r="746" spans="1:25">
      <c r="A746" s="85"/>
      <c r="B746" s="85"/>
      <c r="C746" s="85"/>
      <c r="D746" s="85"/>
      <c r="E746" s="85"/>
      <c r="F746" s="85"/>
      <c r="G746" s="85"/>
      <c r="H746" s="85"/>
      <c r="J746" s="85"/>
      <c r="K746" s="85"/>
      <c r="L746" s="85"/>
      <c r="M746" s="85"/>
      <c r="N746" s="85"/>
      <c r="O746" s="85"/>
      <c r="P746" s="85"/>
      <c r="Q746" s="85"/>
      <c r="R746" s="63"/>
      <c r="S746" s="63"/>
      <c r="T746" s="63"/>
      <c r="U746" s="63"/>
      <c r="V746" s="63"/>
      <c r="W746" s="63"/>
      <c r="X746" s="63"/>
      <c r="Y746" s="63"/>
    </row>
    <row r="747" spans="1:25">
      <c r="A747" s="85"/>
      <c r="B747" s="85"/>
      <c r="C747" s="85"/>
      <c r="D747" s="85"/>
      <c r="E747" s="85"/>
      <c r="F747" s="85"/>
      <c r="G747" s="85"/>
      <c r="H747" s="85"/>
      <c r="J747" s="85"/>
      <c r="K747" s="85"/>
      <c r="L747" s="85"/>
      <c r="M747" s="85"/>
      <c r="N747" s="85"/>
      <c r="O747" s="85"/>
      <c r="P747" s="85"/>
      <c r="Q747" s="85"/>
      <c r="R747" s="63"/>
      <c r="S747" s="63"/>
      <c r="T747" s="63"/>
      <c r="U747" s="63"/>
      <c r="V747" s="63"/>
      <c r="W747" s="63"/>
      <c r="X747" s="63"/>
      <c r="Y747" s="63"/>
    </row>
    <row r="748" spans="1:25">
      <c r="A748" s="85"/>
      <c r="B748" s="85"/>
      <c r="C748" s="85"/>
      <c r="D748" s="85"/>
      <c r="E748" s="85"/>
      <c r="F748" s="85"/>
      <c r="G748" s="85"/>
      <c r="H748" s="85"/>
      <c r="J748" s="85"/>
      <c r="K748" s="85"/>
      <c r="L748" s="85"/>
      <c r="M748" s="85"/>
      <c r="N748" s="85"/>
      <c r="O748" s="85"/>
      <c r="P748" s="85"/>
      <c r="Q748" s="85"/>
      <c r="R748" s="63"/>
      <c r="S748" s="63"/>
      <c r="T748" s="63"/>
      <c r="U748" s="63"/>
      <c r="V748" s="63"/>
      <c r="W748" s="63"/>
      <c r="X748" s="63"/>
      <c r="Y748" s="63"/>
    </row>
    <row r="749" spans="1:25">
      <c r="A749" s="85"/>
      <c r="B749" s="85"/>
      <c r="C749" s="85"/>
      <c r="D749" s="85"/>
      <c r="E749" s="85"/>
      <c r="F749" s="85"/>
      <c r="G749" s="85"/>
      <c r="H749" s="85"/>
      <c r="J749" s="85"/>
      <c r="K749" s="85"/>
      <c r="L749" s="85"/>
      <c r="M749" s="85"/>
      <c r="N749" s="85"/>
      <c r="O749" s="85"/>
      <c r="P749" s="85"/>
      <c r="Q749" s="85"/>
      <c r="R749" s="63"/>
      <c r="S749" s="63"/>
      <c r="T749" s="63"/>
      <c r="U749" s="63"/>
      <c r="V749" s="63"/>
      <c r="W749" s="63"/>
      <c r="X749" s="63"/>
      <c r="Y749" s="63"/>
    </row>
    <row r="750" spans="1:25">
      <c r="A750" s="85"/>
      <c r="B750" s="85"/>
      <c r="C750" s="85"/>
      <c r="D750" s="85"/>
      <c r="E750" s="85"/>
      <c r="F750" s="85"/>
      <c r="G750" s="85"/>
      <c r="H750" s="85"/>
      <c r="J750" s="85"/>
      <c r="K750" s="85"/>
      <c r="L750" s="85"/>
      <c r="M750" s="85"/>
      <c r="N750" s="85"/>
      <c r="O750" s="85"/>
      <c r="P750" s="85"/>
      <c r="Q750" s="85"/>
      <c r="R750" s="63"/>
      <c r="S750" s="63"/>
      <c r="T750" s="63"/>
      <c r="U750" s="63"/>
      <c r="V750" s="63"/>
      <c r="W750" s="63"/>
      <c r="X750" s="63"/>
      <c r="Y750" s="63"/>
    </row>
    <row r="751" spans="1:25">
      <c r="A751" s="85"/>
      <c r="B751" s="85"/>
      <c r="C751" s="85"/>
      <c r="D751" s="85"/>
      <c r="E751" s="85"/>
      <c r="F751" s="85"/>
      <c r="G751" s="85"/>
      <c r="H751" s="85"/>
      <c r="J751" s="85"/>
      <c r="K751" s="85"/>
      <c r="L751" s="85"/>
      <c r="M751" s="85"/>
      <c r="N751" s="85"/>
      <c r="O751" s="85"/>
      <c r="P751" s="85"/>
      <c r="Q751" s="85"/>
      <c r="R751" s="63"/>
      <c r="S751" s="63"/>
      <c r="T751" s="63"/>
      <c r="U751" s="63"/>
      <c r="V751" s="63"/>
      <c r="W751" s="63"/>
      <c r="X751" s="63"/>
      <c r="Y751" s="63"/>
    </row>
    <row r="752" spans="1:25">
      <c r="A752" s="85"/>
      <c r="B752" s="85"/>
      <c r="C752" s="85"/>
      <c r="D752" s="85"/>
      <c r="E752" s="85"/>
      <c r="F752" s="85"/>
      <c r="G752" s="85"/>
      <c r="H752" s="85"/>
      <c r="J752" s="85"/>
      <c r="K752" s="85"/>
      <c r="L752" s="85"/>
      <c r="M752" s="85"/>
      <c r="N752" s="85"/>
      <c r="O752" s="85"/>
      <c r="P752" s="85"/>
      <c r="Q752" s="85"/>
      <c r="R752" s="63"/>
      <c r="S752" s="63"/>
      <c r="T752" s="63"/>
      <c r="U752" s="63"/>
      <c r="V752" s="63"/>
      <c r="W752" s="63"/>
      <c r="X752" s="63"/>
      <c r="Y752" s="63"/>
    </row>
    <row r="753" spans="1:25">
      <c r="A753" s="85"/>
      <c r="B753" s="85"/>
      <c r="C753" s="85"/>
      <c r="D753" s="85"/>
      <c r="E753" s="85"/>
      <c r="F753" s="85"/>
      <c r="G753" s="85"/>
      <c r="H753" s="85"/>
      <c r="J753" s="85"/>
      <c r="K753" s="85"/>
      <c r="L753" s="85"/>
      <c r="M753" s="85"/>
      <c r="N753" s="85"/>
      <c r="O753" s="85"/>
      <c r="P753" s="85"/>
      <c r="Q753" s="85"/>
      <c r="R753" s="63"/>
      <c r="S753" s="63"/>
      <c r="T753" s="63"/>
      <c r="U753" s="63"/>
      <c r="V753" s="63"/>
      <c r="W753" s="63"/>
      <c r="X753" s="63"/>
      <c r="Y753" s="63"/>
    </row>
    <row r="754" spans="1:25">
      <c r="A754" s="85"/>
      <c r="B754" s="85"/>
      <c r="C754" s="85"/>
      <c r="D754" s="85"/>
      <c r="E754" s="85"/>
      <c r="F754" s="85"/>
      <c r="G754" s="85"/>
      <c r="H754" s="85"/>
      <c r="J754" s="85"/>
      <c r="K754" s="85"/>
      <c r="L754" s="85"/>
      <c r="M754" s="85"/>
      <c r="N754" s="85"/>
      <c r="O754" s="85"/>
      <c r="P754" s="85"/>
      <c r="Q754" s="85"/>
      <c r="R754" s="63"/>
      <c r="S754" s="63"/>
      <c r="T754" s="63"/>
      <c r="U754" s="63"/>
      <c r="V754" s="63"/>
      <c r="W754" s="63"/>
      <c r="X754" s="63"/>
      <c r="Y754" s="63"/>
    </row>
    <row r="755" spans="1:25">
      <c r="A755" s="85"/>
      <c r="B755" s="85"/>
      <c r="C755" s="85"/>
      <c r="D755" s="85"/>
      <c r="E755" s="85"/>
      <c r="F755" s="85"/>
      <c r="G755" s="85"/>
      <c r="H755" s="85"/>
      <c r="J755" s="85"/>
      <c r="K755" s="85"/>
      <c r="L755" s="85"/>
      <c r="M755" s="85"/>
      <c r="N755" s="85"/>
      <c r="O755" s="85"/>
      <c r="P755" s="85"/>
      <c r="Q755" s="85"/>
      <c r="R755" s="63"/>
      <c r="S755" s="63"/>
      <c r="T755" s="63"/>
      <c r="U755" s="63"/>
      <c r="V755" s="63"/>
      <c r="W755" s="63"/>
      <c r="X755" s="63"/>
      <c r="Y755" s="63"/>
    </row>
    <row r="756" spans="1:25">
      <c r="A756" s="85"/>
      <c r="B756" s="85"/>
      <c r="C756" s="85"/>
      <c r="D756" s="85"/>
      <c r="E756" s="85"/>
      <c r="F756" s="85"/>
      <c r="G756" s="85"/>
      <c r="H756" s="85"/>
      <c r="J756" s="85"/>
      <c r="K756" s="85"/>
      <c r="L756" s="85"/>
      <c r="M756" s="85"/>
      <c r="N756" s="85"/>
      <c r="O756" s="85"/>
      <c r="P756" s="85"/>
      <c r="Q756" s="85"/>
      <c r="R756" s="63"/>
      <c r="S756" s="63"/>
      <c r="T756" s="63"/>
      <c r="U756" s="63"/>
      <c r="V756" s="63"/>
      <c r="W756" s="63"/>
      <c r="X756" s="63"/>
      <c r="Y756" s="63"/>
    </row>
    <row r="757" spans="1:25">
      <c r="A757" s="85"/>
      <c r="B757" s="85"/>
      <c r="C757" s="85"/>
      <c r="D757" s="85"/>
      <c r="E757" s="85"/>
      <c r="F757" s="85"/>
      <c r="G757" s="85"/>
      <c r="H757" s="85"/>
      <c r="J757" s="85"/>
      <c r="K757" s="85"/>
      <c r="L757" s="85"/>
      <c r="M757" s="85"/>
      <c r="N757" s="85"/>
      <c r="O757" s="85"/>
      <c r="P757" s="85"/>
      <c r="Q757" s="85"/>
      <c r="R757" s="63"/>
      <c r="S757" s="63"/>
      <c r="T757" s="63"/>
      <c r="U757" s="63"/>
      <c r="V757" s="63"/>
      <c r="W757" s="63"/>
      <c r="X757" s="63"/>
      <c r="Y757" s="63"/>
    </row>
    <row r="758" spans="1:25">
      <c r="A758" s="85"/>
      <c r="B758" s="85"/>
      <c r="C758" s="85"/>
      <c r="D758" s="85"/>
      <c r="E758" s="85"/>
      <c r="F758" s="85"/>
      <c r="G758" s="85"/>
      <c r="H758" s="85"/>
      <c r="J758" s="85"/>
      <c r="K758" s="85"/>
      <c r="L758" s="85"/>
      <c r="M758" s="85"/>
      <c r="N758" s="85"/>
      <c r="O758" s="85"/>
      <c r="P758" s="85"/>
      <c r="Q758" s="85"/>
      <c r="R758" s="63"/>
      <c r="S758" s="63"/>
      <c r="T758" s="63"/>
      <c r="U758" s="63"/>
      <c r="V758" s="63"/>
      <c r="W758" s="63"/>
      <c r="X758" s="63"/>
      <c r="Y758" s="63"/>
    </row>
    <row r="759" spans="1:25">
      <c r="A759" s="85"/>
      <c r="B759" s="85"/>
      <c r="C759" s="85"/>
      <c r="D759" s="85"/>
      <c r="E759" s="85"/>
      <c r="F759" s="85"/>
      <c r="G759" s="85"/>
      <c r="H759" s="85"/>
      <c r="J759" s="85"/>
      <c r="K759" s="85"/>
      <c r="L759" s="85"/>
      <c r="M759" s="85"/>
      <c r="N759" s="85"/>
      <c r="O759" s="85"/>
      <c r="P759" s="85"/>
      <c r="Q759" s="85"/>
      <c r="R759" s="63"/>
      <c r="S759" s="63"/>
      <c r="T759" s="63"/>
      <c r="U759" s="63"/>
      <c r="V759" s="63"/>
      <c r="W759" s="63"/>
      <c r="X759" s="63"/>
      <c r="Y759" s="63"/>
    </row>
    <row r="760" spans="1:25">
      <c r="A760" s="85"/>
      <c r="B760" s="85"/>
      <c r="C760" s="85"/>
      <c r="D760" s="85"/>
      <c r="E760" s="85"/>
      <c r="F760" s="85"/>
      <c r="G760" s="85"/>
      <c r="H760" s="85"/>
      <c r="J760" s="85"/>
      <c r="K760" s="85"/>
      <c r="L760" s="85"/>
      <c r="M760" s="85"/>
      <c r="N760" s="85"/>
      <c r="O760" s="85"/>
      <c r="P760" s="85"/>
      <c r="Q760" s="85"/>
      <c r="R760" s="63"/>
      <c r="S760" s="63"/>
      <c r="T760" s="63"/>
      <c r="U760" s="63"/>
      <c r="V760" s="63"/>
      <c r="W760" s="63"/>
      <c r="X760" s="63"/>
      <c r="Y760" s="63"/>
    </row>
    <row r="761" spans="1:25">
      <c r="A761" s="85"/>
      <c r="B761" s="85"/>
      <c r="C761" s="85"/>
      <c r="D761" s="85"/>
      <c r="E761" s="85"/>
      <c r="F761" s="85"/>
      <c r="G761" s="85"/>
      <c r="H761" s="85"/>
      <c r="J761" s="85"/>
      <c r="K761" s="85"/>
      <c r="L761" s="85"/>
      <c r="M761" s="85"/>
      <c r="N761" s="85"/>
      <c r="O761" s="85"/>
      <c r="P761" s="85"/>
      <c r="Q761" s="85"/>
      <c r="R761" s="63"/>
      <c r="S761" s="63"/>
      <c r="T761" s="63"/>
      <c r="U761" s="63"/>
      <c r="V761" s="63"/>
      <c r="W761" s="63"/>
      <c r="X761" s="63"/>
      <c r="Y761" s="63"/>
    </row>
    <row r="762" spans="1:25">
      <c r="A762" s="85"/>
      <c r="B762" s="85"/>
      <c r="C762" s="85"/>
      <c r="D762" s="85"/>
      <c r="E762" s="85"/>
      <c r="F762" s="85"/>
      <c r="G762" s="85"/>
      <c r="H762" s="85"/>
      <c r="J762" s="85"/>
      <c r="K762" s="85"/>
      <c r="L762" s="85"/>
      <c r="M762" s="85"/>
      <c r="N762" s="85"/>
      <c r="O762" s="85"/>
      <c r="P762" s="85"/>
      <c r="Q762" s="85"/>
      <c r="R762" s="63"/>
      <c r="S762" s="63"/>
      <c r="T762" s="63"/>
      <c r="U762" s="63"/>
      <c r="V762" s="63"/>
      <c r="W762" s="63"/>
      <c r="X762" s="63"/>
      <c r="Y762" s="63"/>
    </row>
    <row r="763" spans="1:25">
      <c r="A763" s="85"/>
      <c r="B763" s="85"/>
      <c r="C763" s="85"/>
      <c r="D763" s="85"/>
      <c r="E763" s="85"/>
      <c r="F763" s="85"/>
      <c r="G763" s="85"/>
      <c r="H763" s="85"/>
      <c r="J763" s="85"/>
      <c r="K763" s="85"/>
      <c r="L763" s="85"/>
      <c r="M763" s="85"/>
      <c r="N763" s="85"/>
      <c r="O763" s="85"/>
      <c r="P763" s="85"/>
      <c r="Q763" s="85"/>
      <c r="R763" s="63"/>
      <c r="S763" s="63"/>
      <c r="T763" s="63"/>
      <c r="U763" s="63"/>
      <c r="V763" s="63"/>
      <c r="W763" s="63"/>
      <c r="X763" s="63"/>
      <c r="Y763" s="63"/>
    </row>
    <row r="764" spans="1:25">
      <c r="A764" s="85"/>
      <c r="B764" s="85"/>
      <c r="C764" s="85"/>
      <c r="D764" s="85"/>
      <c r="E764" s="85"/>
      <c r="F764" s="85"/>
      <c r="G764" s="85"/>
      <c r="H764" s="85"/>
      <c r="J764" s="85"/>
      <c r="K764" s="85"/>
      <c r="L764" s="85"/>
      <c r="M764" s="85"/>
      <c r="N764" s="85"/>
      <c r="O764" s="85"/>
      <c r="P764" s="85"/>
      <c r="Q764" s="85"/>
      <c r="R764" s="63"/>
      <c r="S764" s="63"/>
      <c r="T764" s="63"/>
      <c r="U764" s="63"/>
      <c r="V764" s="63"/>
      <c r="W764" s="63"/>
      <c r="X764" s="63"/>
      <c r="Y764" s="63"/>
    </row>
    <row r="765" spans="1:25">
      <c r="A765" s="85"/>
      <c r="B765" s="85"/>
      <c r="C765" s="85"/>
      <c r="D765" s="85"/>
      <c r="E765" s="85"/>
      <c r="F765" s="85"/>
      <c r="G765" s="85"/>
      <c r="H765" s="85"/>
      <c r="J765" s="85"/>
      <c r="K765" s="85"/>
      <c r="L765" s="85"/>
      <c r="M765" s="85"/>
      <c r="N765" s="85"/>
      <c r="O765" s="85"/>
      <c r="P765" s="85"/>
      <c r="Q765" s="85"/>
      <c r="R765" s="63"/>
      <c r="S765" s="63"/>
      <c r="T765" s="63"/>
      <c r="U765" s="63"/>
      <c r="V765" s="63"/>
      <c r="W765" s="63"/>
      <c r="X765" s="63"/>
      <c r="Y765" s="63"/>
    </row>
    <row r="766" spans="1:25">
      <c r="A766" s="85"/>
      <c r="B766" s="85"/>
      <c r="C766" s="85"/>
      <c r="D766" s="85"/>
      <c r="E766" s="85"/>
      <c r="F766" s="85"/>
      <c r="G766" s="85"/>
      <c r="H766" s="85"/>
      <c r="J766" s="85"/>
      <c r="K766" s="85"/>
      <c r="L766" s="85"/>
      <c r="M766" s="85"/>
      <c r="N766" s="85"/>
      <c r="O766" s="85"/>
      <c r="P766" s="85"/>
      <c r="Q766" s="85"/>
      <c r="R766" s="63"/>
      <c r="S766" s="63"/>
      <c r="T766" s="63"/>
      <c r="U766" s="63"/>
      <c r="V766" s="63"/>
      <c r="W766" s="63"/>
      <c r="X766" s="63"/>
      <c r="Y766" s="63"/>
    </row>
    <row r="767" spans="1:25">
      <c r="A767" s="85"/>
      <c r="B767" s="85"/>
      <c r="C767" s="85"/>
      <c r="D767" s="85"/>
      <c r="E767" s="85"/>
      <c r="F767" s="85"/>
      <c r="G767" s="85"/>
      <c r="H767" s="85"/>
      <c r="J767" s="85"/>
      <c r="K767" s="85"/>
      <c r="L767" s="85"/>
      <c r="M767" s="85"/>
      <c r="N767" s="85"/>
      <c r="O767" s="85"/>
      <c r="P767" s="85"/>
      <c r="Q767" s="85"/>
      <c r="R767" s="63"/>
      <c r="S767" s="63"/>
      <c r="T767" s="63"/>
      <c r="U767" s="63"/>
      <c r="V767" s="63"/>
      <c r="W767" s="63"/>
      <c r="X767" s="63"/>
      <c r="Y767" s="63"/>
    </row>
    <row r="768" spans="1:25">
      <c r="A768" s="85"/>
      <c r="B768" s="85"/>
      <c r="C768" s="85"/>
      <c r="D768" s="85"/>
      <c r="E768" s="85"/>
      <c r="F768" s="85"/>
      <c r="G768" s="85"/>
      <c r="H768" s="85"/>
      <c r="J768" s="85"/>
      <c r="K768" s="85"/>
      <c r="L768" s="85"/>
      <c r="M768" s="85"/>
      <c r="N768" s="85"/>
      <c r="O768" s="85"/>
      <c r="P768" s="85"/>
      <c r="Q768" s="85"/>
      <c r="R768" s="63"/>
      <c r="S768" s="63"/>
      <c r="T768" s="63"/>
      <c r="U768" s="63"/>
      <c r="V768" s="63"/>
      <c r="W768" s="63"/>
      <c r="X768" s="63"/>
      <c r="Y768" s="63"/>
    </row>
    <row r="769" spans="1:25">
      <c r="A769" s="85"/>
      <c r="B769" s="85"/>
      <c r="C769" s="85"/>
      <c r="D769" s="85"/>
      <c r="E769" s="85"/>
      <c r="F769" s="85"/>
      <c r="G769" s="85"/>
      <c r="H769" s="85"/>
      <c r="J769" s="85"/>
      <c r="K769" s="85"/>
      <c r="L769" s="85"/>
      <c r="M769" s="85"/>
      <c r="N769" s="85"/>
      <c r="O769" s="85"/>
      <c r="P769" s="85"/>
      <c r="Q769" s="85"/>
      <c r="R769" s="63"/>
      <c r="S769" s="63"/>
      <c r="T769" s="63"/>
      <c r="U769" s="63"/>
      <c r="V769" s="63"/>
      <c r="W769" s="63"/>
      <c r="X769" s="63"/>
      <c r="Y769" s="63"/>
    </row>
    <row r="770" spans="1:25">
      <c r="A770" s="85"/>
      <c r="B770" s="85"/>
      <c r="C770" s="85"/>
      <c r="D770" s="85"/>
      <c r="E770" s="85"/>
      <c r="F770" s="85"/>
      <c r="G770" s="85"/>
      <c r="H770" s="85"/>
      <c r="J770" s="85"/>
      <c r="K770" s="85"/>
      <c r="L770" s="85"/>
      <c r="M770" s="85"/>
      <c r="N770" s="85"/>
      <c r="O770" s="85"/>
      <c r="P770" s="85"/>
      <c r="Q770" s="85"/>
      <c r="R770" s="63"/>
      <c r="S770" s="63"/>
      <c r="T770" s="63"/>
      <c r="U770" s="63"/>
      <c r="V770" s="63"/>
      <c r="W770" s="63"/>
      <c r="X770" s="63"/>
      <c r="Y770" s="63"/>
    </row>
    <row r="771" spans="1:25">
      <c r="A771" s="85"/>
      <c r="B771" s="85"/>
      <c r="C771" s="85"/>
      <c r="D771" s="85"/>
      <c r="E771" s="85"/>
      <c r="F771" s="85"/>
      <c r="G771" s="85"/>
      <c r="H771" s="85"/>
      <c r="J771" s="85"/>
      <c r="K771" s="85"/>
      <c r="L771" s="85"/>
      <c r="M771" s="85"/>
      <c r="N771" s="85"/>
      <c r="O771" s="85"/>
      <c r="P771" s="85"/>
      <c r="Q771" s="85"/>
      <c r="R771" s="63"/>
      <c r="S771" s="63"/>
      <c r="T771" s="63"/>
      <c r="U771" s="63"/>
      <c r="V771" s="63"/>
      <c r="W771" s="63"/>
      <c r="X771" s="63"/>
      <c r="Y771" s="63"/>
    </row>
    <row r="772" spans="1:25">
      <c r="A772" s="85"/>
      <c r="B772" s="85"/>
      <c r="C772" s="85"/>
      <c r="D772" s="85"/>
      <c r="E772" s="85"/>
      <c r="F772" s="85"/>
      <c r="G772" s="85"/>
      <c r="H772" s="85"/>
      <c r="J772" s="85"/>
      <c r="K772" s="85"/>
      <c r="L772" s="85"/>
      <c r="M772" s="85"/>
      <c r="N772" s="85"/>
      <c r="O772" s="85"/>
      <c r="P772" s="85"/>
      <c r="Q772" s="85"/>
      <c r="R772" s="63"/>
      <c r="S772" s="63"/>
      <c r="T772" s="63"/>
      <c r="U772" s="63"/>
      <c r="V772" s="63"/>
      <c r="W772" s="63"/>
      <c r="X772" s="63"/>
      <c r="Y772" s="63"/>
    </row>
    <row r="773" spans="1:25">
      <c r="A773" s="85"/>
      <c r="B773" s="85"/>
      <c r="C773" s="85"/>
      <c r="D773" s="85"/>
      <c r="E773" s="85"/>
      <c r="F773" s="85"/>
      <c r="G773" s="85"/>
      <c r="H773" s="85"/>
      <c r="J773" s="85"/>
      <c r="K773" s="85"/>
      <c r="L773" s="85"/>
      <c r="M773" s="85"/>
      <c r="N773" s="85"/>
      <c r="O773" s="85"/>
      <c r="P773" s="85"/>
      <c r="Q773" s="85"/>
      <c r="R773" s="63"/>
      <c r="S773" s="63"/>
      <c r="T773" s="63"/>
      <c r="U773" s="63"/>
      <c r="V773" s="63"/>
      <c r="W773" s="63"/>
      <c r="X773" s="63"/>
      <c r="Y773" s="63"/>
    </row>
    <row r="774" spans="1:25">
      <c r="A774" s="85"/>
      <c r="B774" s="85"/>
      <c r="C774" s="85"/>
      <c r="D774" s="85"/>
      <c r="E774" s="85"/>
      <c r="F774" s="85"/>
      <c r="G774" s="85"/>
      <c r="H774" s="85"/>
      <c r="J774" s="85"/>
      <c r="K774" s="85"/>
      <c r="L774" s="85"/>
      <c r="M774" s="85"/>
      <c r="N774" s="85"/>
      <c r="O774" s="85"/>
      <c r="P774" s="85"/>
      <c r="Q774" s="85"/>
      <c r="R774" s="63"/>
      <c r="S774" s="63"/>
      <c r="T774" s="63"/>
      <c r="U774" s="63"/>
      <c r="V774" s="63"/>
      <c r="W774" s="63"/>
      <c r="X774" s="63"/>
      <c r="Y774" s="63"/>
    </row>
    <row r="775" spans="1:25">
      <c r="A775" s="85"/>
      <c r="B775" s="85"/>
      <c r="C775" s="85"/>
      <c r="D775" s="85"/>
      <c r="E775" s="85"/>
      <c r="F775" s="85"/>
      <c r="G775" s="85"/>
      <c r="H775" s="85"/>
      <c r="J775" s="85"/>
      <c r="K775" s="85"/>
      <c r="L775" s="85"/>
      <c r="M775" s="85"/>
      <c r="N775" s="85"/>
      <c r="O775" s="85"/>
      <c r="P775" s="85"/>
      <c r="Q775" s="85"/>
      <c r="R775" s="63"/>
      <c r="S775" s="63"/>
      <c r="T775" s="63"/>
      <c r="U775" s="63"/>
      <c r="V775" s="63"/>
      <c r="W775" s="63"/>
      <c r="X775" s="63"/>
      <c r="Y775" s="63"/>
    </row>
    <row r="776" spans="1:25">
      <c r="A776" s="85"/>
      <c r="B776" s="85"/>
      <c r="C776" s="85"/>
      <c r="D776" s="85"/>
      <c r="E776" s="85"/>
      <c r="F776" s="85"/>
      <c r="G776" s="85"/>
      <c r="H776" s="85"/>
      <c r="J776" s="85"/>
      <c r="K776" s="85"/>
      <c r="L776" s="85"/>
      <c r="M776" s="85"/>
      <c r="N776" s="85"/>
      <c r="O776" s="85"/>
      <c r="P776" s="85"/>
      <c r="Q776" s="85"/>
      <c r="R776" s="63"/>
      <c r="S776" s="63"/>
      <c r="T776" s="63"/>
      <c r="U776" s="63"/>
      <c r="V776" s="63"/>
      <c r="W776" s="63"/>
      <c r="X776" s="63"/>
      <c r="Y776" s="63"/>
    </row>
    <row r="777" spans="1:25">
      <c r="A777" s="85"/>
      <c r="B777" s="85"/>
      <c r="C777" s="85"/>
      <c r="D777" s="85"/>
      <c r="E777" s="85"/>
      <c r="F777" s="85"/>
      <c r="G777" s="85"/>
      <c r="H777" s="85"/>
      <c r="J777" s="85"/>
      <c r="K777" s="85"/>
      <c r="L777" s="85"/>
      <c r="M777" s="85"/>
      <c r="N777" s="85"/>
      <c r="O777" s="85"/>
      <c r="P777" s="85"/>
      <c r="Q777" s="85"/>
      <c r="R777" s="63"/>
      <c r="S777" s="63"/>
      <c r="T777" s="63"/>
      <c r="U777" s="63"/>
      <c r="V777" s="63"/>
      <c r="W777" s="63"/>
      <c r="X777" s="63"/>
      <c r="Y777" s="63"/>
    </row>
    <row r="778" spans="1:25">
      <c r="A778" s="85"/>
      <c r="B778" s="85"/>
      <c r="C778" s="85"/>
      <c r="D778" s="85"/>
      <c r="E778" s="85"/>
      <c r="F778" s="85"/>
      <c r="G778" s="85"/>
      <c r="H778" s="85"/>
      <c r="J778" s="85"/>
      <c r="K778" s="85"/>
      <c r="L778" s="85"/>
      <c r="M778" s="85"/>
      <c r="N778" s="85"/>
      <c r="O778" s="85"/>
      <c r="P778" s="85"/>
      <c r="Q778" s="85"/>
      <c r="R778" s="63"/>
      <c r="S778" s="63"/>
      <c r="T778" s="63"/>
      <c r="U778" s="63"/>
      <c r="V778" s="63"/>
      <c r="W778" s="63"/>
      <c r="X778" s="63"/>
      <c r="Y778" s="63"/>
    </row>
    <row r="779" spans="1:25">
      <c r="A779" s="85"/>
      <c r="B779" s="85"/>
      <c r="C779" s="85"/>
      <c r="D779" s="85"/>
      <c r="E779" s="85"/>
      <c r="F779" s="85"/>
      <c r="G779" s="85"/>
      <c r="H779" s="85"/>
      <c r="J779" s="85"/>
      <c r="K779" s="85"/>
      <c r="L779" s="85"/>
      <c r="M779" s="85"/>
      <c r="N779" s="85"/>
      <c r="O779" s="85"/>
      <c r="P779" s="85"/>
      <c r="Q779" s="85"/>
      <c r="R779" s="63"/>
      <c r="S779" s="63"/>
      <c r="T779" s="63"/>
      <c r="U779" s="63"/>
      <c r="V779" s="63"/>
      <c r="W779" s="63"/>
      <c r="X779" s="63"/>
      <c r="Y779" s="63"/>
    </row>
    <row r="780" spans="1:25">
      <c r="A780" s="85"/>
      <c r="B780" s="85"/>
      <c r="C780" s="85"/>
      <c r="D780" s="85"/>
      <c r="E780" s="85"/>
      <c r="F780" s="85"/>
      <c r="G780" s="85"/>
      <c r="H780" s="85"/>
      <c r="J780" s="85"/>
      <c r="K780" s="85"/>
      <c r="L780" s="85"/>
      <c r="M780" s="85"/>
      <c r="N780" s="85"/>
      <c r="O780" s="85"/>
      <c r="P780" s="85"/>
      <c r="Q780" s="85"/>
      <c r="R780" s="63"/>
      <c r="S780" s="63"/>
      <c r="T780" s="63"/>
      <c r="U780" s="63"/>
      <c r="V780" s="63"/>
      <c r="W780" s="63"/>
      <c r="X780" s="63"/>
      <c r="Y780" s="63"/>
    </row>
    <row r="781" spans="1:25">
      <c r="A781" s="85"/>
      <c r="B781" s="85"/>
      <c r="C781" s="85"/>
      <c r="D781" s="85"/>
      <c r="E781" s="85"/>
      <c r="F781" s="85"/>
      <c r="G781" s="85"/>
      <c r="H781" s="85"/>
      <c r="J781" s="85"/>
      <c r="K781" s="85"/>
      <c r="L781" s="85"/>
      <c r="M781" s="85"/>
      <c r="N781" s="85"/>
      <c r="O781" s="85"/>
      <c r="P781" s="85"/>
      <c r="Q781" s="85"/>
      <c r="R781" s="63"/>
      <c r="S781" s="63"/>
      <c r="T781" s="63"/>
      <c r="U781" s="63"/>
      <c r="V781" s="63"/>
      <c r="W781" s="63"/>
      <c r="X781" s="63"/>
      <c r="Y781" s="63"/>
    </row>
    <row r="782" spans="1:25">
      <c r="A782" s="85"/>
      <c r="B782" s="85"/>
      <c r="C782" s="85"/>
      <c r="D782" s="85"/>
      <c r="E782" s="85"/>
      <c r="F782" s="85"/>
      <c r="G782" s="85"/>
      <c r="H782" s="85"/>
      <c r="J782" s="85"/>
      <c r="K782" s="85"/>
      <c r="L782" s="85"/>
      <c r="M782" s="85"/>
      <c r="N782" s="85"/>
      <c r="O782" s="85"/>
      <c r="P782" s="85"/>
      <c r="Q782" s="85"/>
      <c r="R782" s="63"/>
      <c r="S782" s="63"/>
      <c r="T782" s="63"/>
      <c r="U782" s="63"/>
      <c r="V782" s="63"/>
      <c r="W782" s="63"/>
      <c r="X782" s="63"/>
      <c r="Y782" s="63"/>
    </row>
    <row r="783" spans="1:25">
      <c r="A783" s="85"/>
      <c r="B783" s="85"/>
      <c r="C783" s="85"/>
      <c r="D783" s="85"/>
      <c r="E783" s="85"/>
      <c r="F783" s="85"/>
      <c r="G783" s="85"/>
      <c r="H783" s="85"/>
      <c r="J783" s="85"/>
      <c r="K783" s="85"/>
      <c r="L783" s="85"/>
      <c r="M783" s="85"/>
      <c r="N783" s="85"/>
      <c r="O783" s="85"/>
      <c r="P783" s="85"/>
      <c r="Q783" s="85"/>
      <c r="R783" s="63"/>
      <c r="S783" s="63"/>
      <c r="T783" s="63"/>
      <c r="U783" s="63"/>
      <c r="V783" s="63"/>
      <c r="W783" s="63"/>
      <c r="X783" s="63"/>
      <c r="Y783" s="63"/>
    </row>
    <row r="784" spans="1:25">
      <c r="A784" s="85"/>
      <c r="B784" s="85"/>
      <c r="C784" s="85"/>
      <c r="D784" s="85"/>
      <c r="E784" s="85"/>
      <c r="F784" s="85"/>
      <c r="G784" s="85"/>
      <c r="H784" s="85"/>
      <c r="J784" s="85"/>
      <c r="K784" s="85"/>
      <c r="L784" s="85"/>
      <c r="M784" s="85"/>
      <c r="N784" s="85"/>
      <c r="O784" s="85"/>
      <c r="P784" s="85"/>
      <c r="Q784" s="85"/>
      <c r="R784" s="63"/>
      <c r="S784" s="63"/>
      <c r="T784" s="63"/>
      <c r="U784" s="63"/>
      <c r="V784" s="63"/>
      <c r="W784" s="63"/>
      <c r="X784" s="63"/>
      <c r="Y784" s="63"/>
    </row>
    <row r="785" spans="1:25">
      <c r="A785" s="85"/>
      <c r="B785" s="85"/>
      <c r="C785" s="85"/>
      <c r="D785" s="85"/>
      <c r="E785" s="85"/>
      <c r="F785" s="85"/>
      <c r="G785" s="85"/>
      <c r="H785" s="85"/>
      <c r="J785" s="85"/>
      <c r="K785" s="85"/>
      <c r="L785" s="85"/>
      <c r="M785" s="85"/>
      <c r="N785" s="85"/>
      <c r="O785" s="85"/>
      <c r="P785" s="85"/>
      <c r="Q785" s="85"/>
      <c r="R785" s="63"/>
      <c r="S785" s="63"/>
      <c r="T785" s="63"/>
      <c r="U785" s="63"/>
      <c r="V785" s="63"/>
      <c r="W785" s="63"/>
      <c r="X785" s="63"/>
      <c r="Y785" s="63"/>
    </row>
    <row r="786" spans="1:25">
      <c r="A786" s="85"/>
      <c r="B786" s="85"/>
      <c r="C786" s="85"/>
      <c r="D786" s="85"/>
      <c r="E786" s="85"/>
      <c r="F786" s="85"/>
      <c r="G786" s="85"/>
      <c r="H786" s="85"/>
      <c r="J786" s="85"/>
      <c r="K786" s="85"/>
      <c r="L786" s="85"/>
      <c r="M786" s="85"/>
      <c r="N786" s="85"/>
      <c r="O786" s="85"/>
      <c r="P786" s="85"/>
      <c r="Q786" s="85"/>
      <c r="R786" s="63"/>
      <c r="S786" s="63"/>
      <c r="T786" s="63"/>
      <c r="U786" s="63"/>
      <c r="V786" s="63"/>
      <c r="W786" s="63"/>
      <c r="X786" s="63"/>
      <c r="Y786" s="63"/>
    </row>
    <row r="787" spans="1:25">
      <c r="A787" s="85"/>
      <c r="B787" s="85"/>
      <c r="C787" s="85"/>
      <c r="D787" s="85"/>
      <c r="E787" s="85"/>
      <c r="F787" s="85"/>
      <c r="G787" s="85"/>
      <c r="H787" s="85"/>
      <c r="J787" s="85"/>
      <c r="K787" s="85"/>
      <c r="L787" s="85"/>
      <c r="M787" s="85"/>
      <c r="N787" s="85"/>
      <c r="O787" s="85"/>
      <c r="P787" s="85"/>
      <c r="Q787" s="85"/>
      <c r="R787" s="63"/>
      <c r="S787" s="63"/>
      <c r="T787" s="63"/>
      <c r="U787" s="63"/>
      <c r="V787" s="63"/>
      <c r="W787" s="63"/>
      <c r="X787" s="63"/>
      <c r="Y787" s="63"/>
    </row>
    <row r="788" spans="1:25">
      <c r="A788" s="85"/>
      <c r="B788" s="85"/>
      <c r="C788" s="85"/>
      <c r="D788" s="85"/>
      <c r="E788" s="85"/>
      <c r="F788" s="85"/>
      <c r="G788" s="85"/>
      <c r="H788" s="85"/>
      <c r="J788" s="85"/>
      <c r="K788" s="85"/>
      <c r="L788" s="85"/>
      <c r="M788" s="85"/>
      <c r="N788" s="85"/>
      <c r="O788" s="85"/>
      <c r="P788" s="85"/>
      <c r="Q788" s="85"/>
      <c r="R788" s="63"/>
      <c r="S788" s="63"/>
      <c r="T788" s="63"/>
      <c r="U788" s="63"/>
      <c r="V788" s="63"/>
      <c r="W788" s="63"/>
      <c r="X788" s="63"/>
      <c r="Y788" s="63"/>
    </row>
    <row r="789" spans="1:25">
      <c r="A789" s="85"/>
      <c r="B789" s="85"/>
      <c r="C789" s="85"/>
      <c r="D789" s="85"/>
      <c r="E789" s="85"/>
      <c r="F789" s="85"/>
      <c r="G789" s="85"/>
      <c r="H789" s="85"/>
      <c r="J789" s="85"/>
      <c r="K789" s="85"/>
      <c r="L789" s="85"/>
      <c r="M789" s="85"/>
      <c r="N789" s="85"/>
      <c r="O789" s="85"/>
      <c r="P789" s="85"/>
      <c r="Q789" s="85"/>
      <c r="R789" s="63"/>
      <c r="S789" s="63"/>
      <c r="T789" s="63"/>
      <c r="U789" s="63"/>
      <c r="V789" s="63"/>
      <c r="W789" s="63"/>
      <c r="X789" s="63"/>
      <c r="Y789" s="63"/>
    </row>
    <row r="790" spans="1:25">
      <c r="A790" s="85"/>
      <c r="B790" s="85"/>
      <c r="C790" s="85"/>
      <c r="D790" s="85"/>
      <c r="E790" s="85"/>
      <c r="F790" s="85"/>
      <c r="G790" s="85"/>
      <c r="H790" s="85"/>
      <c r="J790" s="85"/>
      <c r="K790" s="85"/>
      <c r="L790" s="85"/>
      <c r="M790" s="85"/>
      <c r="N790" s="85"/>
      <c r="O790" s="85"/>
      <c r="P790" s="85"/>
      <c r="Q790" s="85"/>
      <c r="R790" s="63"/>
      <c r="S790" s="63"/>
      <c r="T790" s="63"/>
      <c r="U790" s="63"/>
      <c r="V790" s="63"/>
      <c r="W790" s="63"/>
      <c r="X790" s="63"/>
      <c r="Y790" s="63"/>
    </row>
    <row r="791" spans="1:25">
      <c r="A791" s="85"/>
      <c r="B791" s="85"/>
      <c r="C791" s="85"/>
      <c r="D791" s="85"/>
      <c r="E791" s="85"/>
      <c r="F791" s="85"/>
      <c r="G791" s="85"/>
      <c r="H791" s="85"/>
      <c r="J791" s="85"/>
      <c r="K791" s="85"/>
      <c r="L791" s="85"/>
      <c r="M791" s="85"/>
      <c r="N791" s="85"/>
      <c r="O791" s="85"/>
      <c r="P791" s="85"/>
      <c r="Q791" s="85"/>
      <c r="R791" s="63"/>
      <c r="S791" s="63"/>
      <c r="T791" s="63"/>
      <c r="U791" s="63"/>
      <c r="V791" s="63"/>
      <c r="W791" s="63"/>
      <c r="X791" s="63"/>
      <c r="Y791" s="63"/>
    </row>
    <row r="792" spans="1:25">
      <c r="A792" s="85"/>
      <c r="B792" s="85"/>
      <c r="C792" s="85"/>
      <c r="D792" s="85"/>
      <c r="E792" s="85"/>
      <c r="F792" s="85"/>
      <c r="G792" s="85"/>
      <c r="H792" s="85"/>
      <c r="J792" s="85"/>
      <c r="K792" s="85"/>
      <c r="L792" s="85"/>
      <c r="M792" s="85"/>
      <c r="N792" s="85"/>
      <c r="O792" s="85"/>
      <c r="P792" s="85"/>
      <c r="Q792" s="85"/>
      <c r="R792" s="63"/>
      <c r="S792" s="63"/>
      <c r="T792" s="63"/>
      <c r="U792" s="63"/>
      <c r="V792" s="63"/>
      <c r="W792" s="63"/>
      <c r="X792" s="63"/>
      <c r="Y792" s="63"/>
    </row>
    <row r="793" spans="1:25">
      <c r="A793" s="85"/>
      <c r="B793" s="85"/>
      <c r="C793" s="85"/>
      <c r="D793" s="85"/>
      <c r="E793" s="85"/>
      <c r="F793" s="85"/>
      <c r="G793" s="85"/>
      <c r="H793" s="85"/>
      <c r="J793" s="85"/>
      <c r="K793" s="85"/>
      <c r="L793" s="85"/>
      <c r="M793" s="85"/>
      <c r="N793" s="85"/>
      <c r="O793" s="85"/>
      <c r="P793" s="85"/>
      <c r="Q793" s="85"/>
      <c r="R793" s="63"/>
      <c r="S793" s="63"/>
      <c r="T793" s="63"/>
      <c r="U793" s="63"/>
      <c r="V793" s="63"/>
      <c r="W793" s="63"/>
      <c r="X793" s="63"/>
      <c r="Y793" s="63"/>
    </row>
    <row r="794" spans="1:25">
      <c r="A794" s="85"/>
      <c r="B794" s="85"/>
      <c r="C794" s="85"/>
      <c r="D794" s="85"/>
      <c r="E794" s="85"/>
      <c r="F794" s="85"/>
      <c r="G794" s="85"/>
      <c r="H794" s="85"/>
      <c r="J794" s="85"/>
      <c r="K794" s="85"/>
      <c r="L794" s="85"/>
      <c r="M794" s="85"/>
      <c r="N794" s="85"/>
      <c r="O794" s="85"/>
      <c r="P794" s="85"/>
      <c r="Q794" s="85"/>
      <c r="R794" s="63"/>
      <c r="S794" s="63"/>
      <c r="T794" s="63"/>
      <c r="U794" s="63"/>
      <c r="V794" s="63"/>
      <c r="W794" s="63"/>
      <c r="X794" s="63"/>
      <c r="Y794" s="63"/>
    </row>
    <row r="795" spans="1:25">
      <c r="A795" s="85"/>
      <c r="B795" s="85"/>
      <c r="C795" s="85"/>
      <c r="D795" s="85"/>
      <c r="E795" s="85"/>
      <c r="F795" s="85"/>
      <c r="G795" s="85"/>
      <c r="H795" s="85"/>
      <c r="J795" s="85"/>
      <c r="K795" s="85"/>
      <c r="L795" s="85"/>
      <c r="M795" s="85"/>
      <c r="N795" s="85"/>
      <c r="O795" s="85"/>
      <c r="P795" s="85"/>
      <c r="Q795" s="85"/>
      <c r="R795" s="63"/>
      <c r="S795" s="63"/>
      <c r="T795" s="63"/>
      <c r="U795" s="63"/>
      <c r="V795" s="63"/>
      <c r="W795" s="63"/>
      <c r="X795" s="63"/>
      <c r="Y795" s="63"/>
    </row>
    <row r="796" spans="1:25">
      <c r="A796" s="85"/>
      <c r="B796" s="85"/>
      <c r="C796" s="85"/>
      <c r="D796" s="85"/>
      <c r="E796" s="85"/>
      <c r="F796" s="85"/>
      <c r="G796" s="85"/>
      <c r="H796" s="85"/>
      <c r="J796" s="85"/>
      <c r="K796" s="85"/>
      <c r="L796" s="85"/>
      <c r="M796" s="85"/>
      <c r="N796" s="85"/>
      <c r="O796" s="85"/>
      <c r="P796" s="85"/>
      <c r="Q796" s="85"/>
      <c r="R796" s="63"/>
      <c r="S796" s="63"/>
      <c r="T796" s="63"/>
      <c r="U796" s="63"/>
      <c r="V796" s="63"/>
      <c r="W796" s="63"/>
      <c r="X796" s="63"/>
      <c r="Y796" s="63"/>
    </row>
    <row r="797" spans="1:25">
      <c r="A797" s="85"/>
      <c r="B797" s="85"/>
      <c r="C797" s="85"/>
      <c r="D797" s="85"/>
      <c r="E797" s="85"/>
      <c r="F797" s="85"/>
      <c r="G797" s="85"/>
      <c r="H797" s="85"/>
      <c r="J797" s="85"/>
      <c r="K797" s="85"/>
      <c r="L797" s="85"/>
      <c r="M797" s="85"/>
      <c r="N797" s="85"/>
      <c r="O797" s="85"/>
      <c r="P797" s="85"/>
      <c r="Q797" s="85"/>
      <c r="R797" s="63"/>
      <c r="S797" s="63"/>
      <c r="T797" s="63"/>
      <c r="U797" s="63"/>
      <c r="V797" s="63"/>
      <c r="W797" s="63"/>
      <c r="X797" s="63"/>
      <c r="Y797" s="63"/>
    </row>
    <row r="798" spans="1:25">
      <c r="A798" s="85"/>
      <c r="B798" s="85"/>
      <c r="C798" s="85"/>
      <c r="D798" s="85"/>
      <c r="E798" s="85"/>
      <c r="F798" s="85"/>
      <c r="G798" s="85"/>
      <c r="H798" s="85"/>
      <c r="J798" s="85"/>
      <c r="K798" s="85"/>
      <c r="L798" s="85"/>
      <c r="M798" s="85"/>
      <c r="N798" s="85"/>
      <c r="O798" s="85"/>
      <c r="P798" s="85"/>
      <c r="Q798" s="85"/>
      <c r="R798" s="63"/>
      <c r="S798" s="63"/>
      <c r="T798" s="63"/>
      <c r="U798" s="63"/>
      <c r="V798" s="63"/>
      <c r="W798" s="63"/>
      <c r="X798" s="63"/>
      <c r="Y798" s="63"/>
    </row>
    <row r="799" spans="1:25">
      <c r="A799" s="85"/>
      <c r="B799" s="85"/>
      <c r="C799" s="85"/>
      <c r="D799" s="85"/>
      <c r="E799" s="85"/>
      <c r="F799" s="85"/>
      <c r="G799" s="85"/>
      <c r="H799" s="85"/>
      <c r="J799" s="85"/>
      <c r="K799" s="85"/>
      <c r="L799" s="85"/>
      <c r="M799" s="85"/>
      <c r="N799" s="85"/>
      <c r="O799" s="85"/>
      <c r="P799" s="85"/>
      <c r="Q799" s="85"/>
      <c r="R799" s="63"/>
      <c r="S799" s="63"/>
      <c r="T799" s="63"/>
      <c r="U799" s="63"/>
      <c r="V799" s="63"/>
      <c r="W799" s="63"/>
      <c r="X799" s="63"/>
      <c r="Y799" s="63"/>
    </row>
    <row r="800" spans="1:25">
      <c r="A800" s="85"/>
      <c r="B800" s="85"/>
      <c r="C800" s="85"/>
      <c r="D800" s="85"/>
      <c r="E800" s="85"/>
      <c r="F800" s="85"/>
      <c r="G800" s="85"/>
      <c r="H800" s="85"/>
      <c r="J800" s="85"/>
      <c r="K800" s="85"/>
      <c r="L800" s="85"/>
      <c r="M800" s="85"/>
      <c r="N800" s="85"/>
      <c r="O800" s="85"/>
      <c r="P800" s="85"/>
      <c r="Q800" s="85"/>
      <c r="R800" s="63"/>
      <c r="S800" s="63"/>
      <c r="T800" s="63"/>
      <c r="U800" s="63"/>
      <c r="V800" s="63"/>
      <c r="W800" s="63"/>
      <c r="X800" s="63"/>
      <c r="Y800" s="63"/>
    </row>
    <row r="801" spans="1:25">
      <c r="A801" s="85"/>
      <c r="B801" s="85"/>
      <c r="C801" s="85"/>
      <c r="D801" s="85"/>
      <c r="E801" s="85"/>
      <c r="F801" s="85"/>
      <c r="G801" s="85"/>
      <c r="H801" s="85"/>
      <c r="J801" s="85"/>
      <c r="K801" s="85"/>
      <c r="L801" s="85"/>
      <c r="M801" s="85"/>
      <c r="N801" s="85"/>
      <c r="O801" s="85"/>
      <c r="P801" s="85"/>
      <c r="Q801" s="85"/>
      <c r="R801" s="63"/>
      <c r="S801" s="63"/>
      <c r="T801" s="63"/>
      <c r="U801" s="63"/>
      <c r="V801" s="63"/>
      <c r="W801" s="63"/>
      <c r="X801" s="63"/>
      <c r="Y801" s="63"/>
    </row>
    <row r="802" spans="1:25">
      <c r="A802" s="85"/>
      <c r="B802" s="85"/>
      <c r="C802" s="85"/>
      <c r="D802" s="85"/>
      <c r="E802" s="85"/>
      <c r="F802" s="85"/>
      <c r="G802" s="85"/>
      <c r="H802" s="85"/>
      <c r="J802" s="85"/>
      <c r="K802" s="85"/>
      <c r="L802" s="85"/>
      <c r="M802" s="85"/>
      <c r="N802" s="85"/>
      <c r="O802" s="85"/>
      <c r="P802" s="85"/>
      <c r="Q802" s="85"/>
      <c r="R802" s="63"/>
      <c r="S802" s="63"/>
      <c r="T802" s="63"/>
      <c r="U802" s="63"/>
      <c r="V802" s="63"/>
      <c r="W802" s="63"/>
      <c r="X802" s="63"/>
      <c r="Y802" s="63"/>
    </row>
    <row r="803" spans="1:25">
      <c r="A803" s="85"/>
      <c r="B803" s="85"/>
      <c r="C803" s="85"/>
      <c r="D803" s="85"/>
      <c r="E803" s="85"/>
      <c r="F803" s="85"/>
      <c r="G803" s="85"/>
      <c r="H803" s="85"/>
      <c r="J803" s="85"/>
      <c r="K803" s="85"/>
      <c r="L803" s="85"/>
      <c r="M803" s="85"/>
      <c r="N803" s="85"/>
      <c r="O803" s="85"/>
      <c r="P803" s="85"/>
      <c r="Q803" s="85"/>
      <c r="R803" s="63"/>
      <c r="S803" s="63"/>
      <c r="T803" s="63"/>
      <c r="U803" s="63"/>
      <c r="V803" s="63"/>
      <c r="W803" s="63"/>
      <c r="X803" s="63"/>
      <c r="Y803" s="63"/>
    </row>
    <row r="804" spans="1:25">
      <c r="A804" s="85"/>
      <c r="B804" s="85"/>
      <c r="C804" s="85"/>
      <c r="D804" s="85"/>
      <c r="E804" s="85"/>
      <c r="F804" s="85"/>
      <c r="G804" s="85"/>
      <c r="H804" s="85"/>
      <c r="J804" s="85"/>
      <c r="K804" s="85"/>
      <c r="L804" s="85"/>
      <c r="M804" s="85"/>
      <c r="N804" s="85"/>
      <c r="O804" s="85"/>
      <c r="P804" s="85"/>
      <c r="Q804" s="85"/>
      <c r="R804" s="63"/>
      <c r="S804" s="63"/>
      <c r="T804" s="63"/>
      <c r="U804" s="63"/>
      <c r="V804" s="63"/>
      <c r="W804" s="63"/>
      <c r="X804" s="63"/>
      <c r="Y804" s="63"/>
    </row>
    <row r="805" spans="1:25">
      <c r="A805" s="85"/>
      <c r="B805" s="85"/>
      <c r="C805" s="85"/>
      <c r="D805" s="85"/>
      <c r="E805" s="85"/>
      <c r="F805" s="85"/>
      <c r="G805" s="85"/>
      <c r="H805" s="85"/>
      <c r="J805" s="85"/>
      <c r="K805" s="85"/>
      <c r="L805" s="85"/>
      <c r="M805" s="85"/>
      <c r="N805" s="85"/>
      <c r="O805" s="85"/>
      <c r="P805" s="85"/>
      <c r="Q805" s="85"/>
      <c r="R805" s="63"/>
      <c r="S805" s="63"/>
      <c r="T805" s="63"/>
      <c r="U805" s="63"/>
      <c r="V805" s="63"/>
      <c r="W805" s="63"/>
      <c r="X805" s="63"/>
      <c r="Y805" s="63"/>
    </row>
    <row r="806" spans="1:25">
      <c r="A806" s="85"/>
      <c r="B806" s="85"/>
      <c r="C806" s="85"/>
      <c r="D806" s="85"/>
      <c r="E806" s="85"/>
      <c r="F806" s="85"/>
      <c r="G806" s="85"/>
      <c r="H806" s="85"/>
      <c r="J806" s="85"/>
      <c r="K806" s="85"/>
      <c r="L806" s="85"/>
      <c r="M806" s="85"/>
      <c r="N806" s="85"/>
      <c r="O806" s="85"/>
      <c r="P806" s="85"/>
      <c r="Q806" s="85"/>
      <c r="R806" s="63"/>
      <c r="S806" s="63"/>
      <c r="T806" s="63"/>
      <c r="U806" s="63"/>
      <c r="V806" s="63"/>
      <c r="W806" s="63"/>
      <c r="X806" s="63"/>
      <c r="Y806" s="63"/>
    </row>
    <row r="807" spans="1:25">
      <c r="A807" s="85"/>
      <c r="B807" s="85"/>
      <c r="C807" s="85"/>
      <c r="D807" s="85"/>
      <c r="E807" s="85"/>
      <c r="F807" s="85"/>
      <c r="G807" s="85"/>
      <c r="H807" s="85"/>
      <c r="J807" s="85"/>
      <c r="K807" s="85"/>
      <c r="L807" s="85"/>
      <c r="M807" s="85"/>
      <c r="N807" s="85"/>
      <c r="O807" s="85"/>
      <c r="P807" s="85"/>
      <c r="Q807" s="85"/>
      <c r="R807" s="63"/>
      <c r="S807" s="63"/>
      <c r="T807" s="63"/>
      <c r="U807" s="63"/>
      <c r="V807" s="63"/>
      <c r="W807" s="63"/>
      <c r="X807" s="63"/>
      <c r="Y807" s="63"/>
    </row>
    <row r="808" spans="1:25">
      <c r="A808" s="85"/>
      <c r="B808" s="85"/>
      <c r="C808" s="85"/>
      <c r="D808" s="85"/>
      <c r="E808" s="85"/>
      <c r="F808" s="85"/>
      <c r="G808" s="85"/>
      <c r="H808" s="85"/>
      <c r="J808" s="85"/>
      <c r="K808" s="85"/>
      <c r="L808" s="85"/>
      <c r="M808" s="85"/>
      <c r="N808" s="85"/>
      <c r="O808" s="85"/>
      <c r="P808" s="85"/>
      <c r="Q808" s="85"/>
      <c r="R808" s="63"/>
      <c r="S808" s="63"/>
      <c r="T808" s="63"/>
      <c r="U808" s="63"/>
      <c r="V808" s="63"/>
      <c r="W808" s="63"/>
      <c r="X808" s="63"/>
      <c r="Y808" s="63"/>
    </row>
    <row r="809" spans="1:25">
      <c r="A809" s="85"/>
      <c r="B809" s="85"/>
      <c r="C809" s="85"/>
      <c r="D809" s="85"/>
      <c r="E809" s="85"/>
      <c r="F809" s="85"/>
      <c r="G809" s="85"/>
      <c r="H809" s="85"/>
      <c r="J809" s="85"/>
      <c r="K809" s="85"/>
      <c r="L809" s="85"/>
      <c r="M809" s="85"/>
      <c r="N809" s="85"/>
      <c r="O809" s="85"/>
      <c r="P809" s="85"/>
      <c r="Q809" s="85"/>
      <c r="R809" s="63"/>
      <c r="S809" s="63"/>
      <c r="T809" s="63"/>
      <c r="U809" s="63"/>
      <c r="V809" s="63"/>
      <c r="W809" s="63"/>
      <c r="X809" s="63"/>
      <c r="Y809" s="63"/>
    </row>
    <row r="810" spans="1:25">
      <c r="A810" s="85"/>
      <c r="B810" s="85"/>
      <c r="C810" s="85"/>
      <c r="D810" s="85"/>
      <c r="E810" s="85"/>
      <c r="F810" s="85"/>
      <c r="G810" s="85"/>
      <c r="H810" s="85"/>
      <c r="J810" s="85"/>
      <c r="K810" s="85"/>
      <c r="L810" s="85"/>
      <c r="M810" s="85"/>
      <c r="N810" s="85"/>
      <c r="O810" s="85"/>
      <c r="P810" s="85"/>
      <c r="Q810" s="85"/>
      <c r="R810" s="63"/>
      <c r="S810" s="63"/>
      <c r="T810" s="63"/>
      <c r="U810" s="63"/>
      <c r="V810" s="63"/>
      <c r="W810" s="63"/>
      <c r="X810" s="63"/>
      <c r="Y810" s="63"/>
    </row>
    <row r="811" spans="1:25">
      <c r="A811" s="85"/>
      <c r="B811" s="85"/>
      <c r="C811" s="85"/>
      <c r="D811" s="85"/>
      <c r="E811" s="85"/>
      <c r="F811" s="85"/>
      <c r="G811" s="85"/>
      <c r="H811" s="85"/>
      <c r="J811" s="85"/>
      <c r="K811" s="85"/>
      <c r="L811" s="85"/>
      <c r="M811" s="85"/>
      <c r="N811" s="85"/>
      <c r="O811" s="85"/>
      <c r="P811" s="85"/>
      <c r="Q811" s="85"/>
      <c r="R811" s="63"/>
      <c r="S811" s="63"/>
      <c r="T811" s="63"/>
      <c r="U811" s="63"/>
      <c r="V811" s="63"/>
      <c r="W811" s="63"/>
      <c r="X811" s="63"/>
      <c r="Y811" s="63"/>
    </row>
    <row r="812" spans="1:25">
      <c r="A812" s="85"/>
      <c r="B812" s="85"/>
      <c r="C812" s="85"/>
      <c r="D812" s="85"/>
      <c r="E812" s="85"/>
      <c r="F812" s="85"/>
      <c r="G812" s="85"/>
      <c r="H812" s="85"/>
      <c r="J812" s="85"/>
      <c r="K812" s="85"/>
      <c r="L812" s="85"/>
      <c r="M812" s="85"/>
      <c r="N812" s="85"/>
      <c r="O812" s="85"/>
      <c r="P812" s="85"/>
      <c r="Q812" s="85"/>
      <c r="R812" s="63"/>
      <c r="S812" s="63"/>
      <c r="T812" s="63"/>
      <c r="U812" s="63"/>
      <c r="V812" s="63"/>
      <c r="W812" s="63"/>
      <c r="X812" s="63"/>
      <c r="Y812" s="63"/>
    </row>
    <row r="813" spans="1:25">
      <c r="A813" s="85"/>
      <c r="B813" s="85"/>
      <c r="C813" s="85"/>
      <c r="D813" s="85"/>
      <c r="E813" s="85"/>
      <c r="F813" s="85"/>
      <c r="G813" s="85"/>
      <c r="H813" s="85"/>
      <c r="J813" s="85"/>
      <c r="K813" s="85"/>
      <c r="L813" s="85"/>
      <c r="M813" s="85"/>
      <c r="N813" s="85"/>
      <c r="O813" s="85"/>
      <c r="P813" s="85"/>
      <c r="Q813" s="85"/>
      <c r="R813" s="63"/>
      <c r="S813" s="63"/>
      <c r="T813" s="63"/>
      <c r="U813" s="63"/>
      <c r="V813" s="63"/>
      <c r="W813" s="63"/>
      <c r="X813" s="63"/>
      <c r="Y813" s="63"/>
    </row>
    <row r="814" spans="1:25">
      <c r="A814" s="85"/>
      <c r="B814" s="85"/>
      <c r="C814" s="85"/>
      <c r="D814" s="85"/>
      <c r="E814" s="85"/>
      <c r="F814" s="85"/>
      <c r="G814" s="85"/>
      <c r="H814" s="85"/>
      <c r="J814" s="85"/>
      <c r="K814" s="85"/>
      <c r="L814" s="85"/>
      <c r="M814" s="85"/>
      <c r="N814" s="85"/>
      <c r="O814" s="85"/>
      <c r="P814" s="85"/>
      <c r="Q814" s="85"/>
      <c r="R814" s="63"/>
      <c r="S814" s="63"/>
      <c r="T814" s="63"/>
      <c r="U814" s="63"/>
      <c r="V814" s="63"/>
      <c r="W814" s="63"/>
      <c r="X814" s="63"/>
      <c r="Y814" s="63"/>
    </row>
    <row r="815" spans="1:25">
      <c r="A815" s="85"/>
      <c r="B815" s="85"/>
      <c r="C815" s="85"/>
      <c r="D815" s="85"/>
      <c r="E815" s="85"/>
      <c r="F815" s="85"/>
      <c r="G815" s="85"/>
      <c r="H815" s="85"/>
      <c r="J815" s="85"/>
      <c r="K815" s="85"/>
      <c r="L815" s="85"/>
      <c r="M815" s="85"/>
      <c r="N815" s="85"/>
      <c r="O815" s="85"/>
      <c r="P815" s="85"/>
      <c r="Q815" s="85"/>
      <c r="R815" s="63"/>
      <c r="S815" s="63"/>
      <c r="T815" s="63"/>
      <c r="U815" s="63"/>
      <c r="V815" s="63"/>
      <c r="W815" s="63"/>
      <c r="X815" s="63"/>
      <c r="Y815" s="63"/>
    </row>
    <row r="816" spans="1:25">
      <c r="A816" s="85"/>
      <c r="B816" s="85"/>
      <c r="C816" s="85"/>
      <c r="D816" s="85"/>
      <c r="E816" s="85"/>
      <c r="F816" s="85"/>
      <c r="G816" s="85"/>
      <c r="H816" s="85"/>
      <c r="J816" s="85"/>
      <c r="K816" s="85"/>
      <c r="L816" s="85"/>
      <c r="M816" s="85"/>
      <c r="N816" s="85"/>
      <c r="O816" s="85"/>
      <c r="P816" s="85"/>
      <c r="Q816" s="85"/>
      <c r="R816" s="63"/>
      <c r="S816" s="63"/>
      <c r="T816" s="63"/>
      <c r="U816" s="63"/>
      <c r="V816" s="63"/>
      <c r="W816" s="63"/>
      <c r="X816" s="63"/>
      <c r="Y816" s="63"/>
    </row>
    <row r="817" spans="1:25">
      <c r="A817" s="85"/>
      <c r="B817" s="85"/>
      <c r="C817" s="85"/>
      <c r="D817" s="85"/>
      <c r="E817" s="85"/>
      <c r="F817" s="85"/>
      <c r="G817" s="85"/>
      <c r="H817" s="85"/>
      <c r="J817" s="85"/>
      <c r="K817" s="85"/>
      <c r="L817" s="85"/>
      <c r="M817" s="85"/>
      <c r="N817" s="85"/>
      <c r="O817" s="85"/>
      <c r="P817" s="85"/>
      <c r="Q817" s="85"/>
      <c r="R817" s="63"/>
      <c r="S817" s="63"/>
      <c r="T817" s="63"/>
      <c r="U817" s="63"/>
      <c r="V817" s="63"/>
      <c r="W817" s="63"/>
      <c r="X817" s="63"/>
      <c r="Y817" s="63"/>
    </row>
    <row r="818" spans="1:25">
      <c r="A818" s="85"/>
      <c r="B818" s="85"/>
      <c r="C818" s="85"/>
      <c r="D818" s="85"/>
      <c r="E818" s="85"/>
      <c r="F818" s="85"/>
      <c r="G818" s="85"/>
      <c r="H818" s="85"/>
      <c r="J818" s="85"/>
      <c r="K818" s="85"/>
      <c r="L818" s="85"/>
      <c r="M818" s="85"/>
      <c r="N818" s="85"/>
      <c r="O818" s="85"/>
      <c r="P818" s="85"/>
      <c r="Q818" s="85"/>
      <c r="R818" s="63"/>
      <c r="S818" s="63"/>
      <c r="T818" s="63"/>
      <c r="U818" s="63"/>
      <c r="V818" s="63"/>
      <c r="W818" s="63"/>
      <c r="X818" s="63"/>
      <c r="Y818" s="63"/>
    </row>
    <row r="819" spans="1:25">
      <c r="A819" s="85"/>
      <c r="B819" s="85"/>
      <c r="C819" s="85"/>
      <c r="D819" s="85"/>
      <c r="E819" s="85"/>
      <c r="F819" s="85"/>
      <c r="G819" s="85"/>
      <c r="H819" s="85"/>
      <c r="J819" s="85"/>
      <c r="K819" s="85"/>
      <c r="L819" s="85"/>
      <c r="M819" s="85"/>
      <c r="N819" s="85"/>
      <c r="O819" s="85"/>
      <c r="P819" s="85"/>
      <c r="Q819" s="85"/>
      <c r="R819" s="63"/>
      <c r="S819" s="63"/>
      <c r="T819" s="63"/>
      <c r="U819" s="63"/>
      <c r="V819" s="63"/>
      <c r="W819" s="63"/>
      <c r="X819" s="63"/>
      <c r="Y819" s="63"/>
    </row>
    <row r="820" spans="1:25">
      <c r="A820" s="85"/>
      <c r="B820" s="85"/>
      <c r="C820" s="85"/>
      <c r="D820" s="85"/>
      <c r="E820" s="85"/>
      <c r="F820" s="85"/>
      <c r="G820" s="85"/>
      <c r="H820" s="85"/>
      <c r="J820" s="85"/>
      <c r="K820" s="85"/>
      <c r="L820" s="85"/>
      <c r="M820" s="85"/>
      <c r="N820" s="85"/>
      <c r="O820" s="85"/>
      <c r="P820" s="85"/>
      <c r="Q820" s="85"/>
      <c r="R820" s="63"/>
      <c r="S820" s="63"/>
      <c r="T820" s="63"/>
      <c r="U820" s="63"/>
      <c r="V820" s="63"/>
      <c r="W820" s="63"/>
      <c r="X820" s="63"/>
      <c r="Y820" s="63"/>
    </row>
    <row r="821" spans="1:25">
      <c r="A821" s="85"/>
      <c r="B821" s="85"/>
      <c r="C821" s="85"/>
      <c r="D821" s="85"/>
      <c r="E821" s="85"/>
      <c r="F821" s="85"/>
      <c r="G821" s="85"/>
      <c r="H821" s="85"/>
      <c r="J821" s="85"/>
      <c r="K821" s="85"/>
      <c r="L821" s="85"/>
      <c r="M821" s="85"/>
      <c r="N821" s="85"/>
      <c r="O821" s="85"/>
      <c r="P821" s="85"/>
      <c r="Q821" s="85"/>
      <c r="R821" s="63"/>
      <c r="S821" s="63"/>
      <c r="T821" s="63"/>
      <c r="U821" s="63"/>
      <c r="V821" s="63"/>
      <c r="W821" s="63"/>
      <c r="X821" s="63"/>
      <c r="Y821" s="63"/>
    </row>
    <row r="822" spans="1:25">
      <c r="A822" s="85"/>
      <c r="B822" s="85"/>
      <c r="C822" s="85"/>
      <c r="D822" s="85"/>
      <c r="E822" s="85"/>
      <c r="F822" s="85"/>
      <c r="G822" s="85"/>
      <c r="H822" s="85"/>
      <c r="J822" s="85"/>
      <c r="K822" s="85"/>
      <c r="L822" s="85"/>
      <c r="M822" s="85"/>
      <c r="N822" s="85"/>
      <c r="O822" s="85"/>
      <c r="P822" s="85"/>
      <c r="Q822" s="85"/>
      <c r="R822" s="63"/>
      <c r="S822" s="63"/>
      <c r="T822" s="63"/>
      <c r="U822" s="63"/>
      <c r="V822" s="63"/>
      <c r="W822" s="63"/>
      <c r="X822" s="63"/>
      <c r="Y822" s="63"/>
    </row>
    <row r="823" spans="1:25">
      <c r="A823" s="85"/>
      <c r="B823" s="85"/>
      <c r="C823" s="85"/>
      <c r="D823" s="85"/>
      <c r="E823" s="85"/>
      <c r="F823" s="85"/>
      <c r="G823" s="85"/>
      <c r="H823" s="85"/>
      <c r="J823" s="85"/>
      <c r="K823" s="85"/>
      <c r="L823" s="85"/>
      <c r="M823" s="85"/>
      <c r="N823" s="85"/>
      <c r="O823" s="85"/>
      <c r="P823" s="85"/>
      <c r="Q823" s="85"/>
      <c r="R823" s="63"/>
      <c r="S823" s="63"/>
      <c r="T823" s="63"/>
      <c r="U823" s="63"/>
      <c r="V823" s="63"/>
      <c r="W823" s="63"/>
      <c r="X823" s="63"/>
      <c r="Y823" s="63"/>
    </row>
    <row r="824" spans="1:25">
      <c r="A824" s="85"/>
      <c r="B824" s="85"/>
      <c r="C824" s="85"/>
      <c r="D824" s="85"/>
      <c r="E824" s="85"/>
      <c r="F824" s="85"/>
      <c r="G824" s="85"/>
      <c r="H824" s="85"/>
      <c r="J824" s="85"/>
      <c r="K824" s="85"/>
      <c r="L824" s="85"/>
      <c r="M824" s="85"/>
      <c r="N824" s="85"/>
      <c r="O824" s="85"/>
      <c r="P824" s="85"/>
      <c r="Q824" s="85"/>
      <c r="R824" s="63"/>
      <c r="S824" s="63"/>
      <c r="T824" s="63"/>
      <c r="U824" s="63"/>
      <c r="V824" s="63"/>
      <c r="W824" s="63"/>
      <c r="X824" s="63"/>
      <c r="Y824" s="63"/>
    </row>
    <row r="825" spans="1:25">
      <c r="A825" s="85"/>
      <c r="B825" s="85"/>
      <c r="C825" s="85"/>
      <c r="D825" s="85"/>
      <c r="E825" s="85"/>
      <c r="F825" s="85"/>
      <c r="G825" s="85"/>
      <c r="H825" s="85"/>
      <c r="J825" s="85"/>
      <c r="K825" s="85"/>
      <c r="L825" s="85"/>
      <c r="M825" s="85"/>
      <c r="N825" s="85"/>
      <c r="O825" s="85"/>
      <c r="P825" s="85"/>
      <c r="Q825" s="85"/>
      <c r="R825" s="63"/>
      <c r="S825" s="63"/>
      <c r="T825" s="63"/>
      <c r="U825" s="63"/>
      <c r="V825" s="63"/>
      <c r="W825" s="63"/>
      <c r="X825" s="63"/>
      <c r="Y825" s="63"/>
    </row>
    <row r="826" spans="1:25">
      <c r="A826" s="85"/>
      <c r="B826" s="85"/>
      <c r="C826" s="85"/>
      <c r="D826" s="85"/>
      <c r="E826" s="85"/>
      <c r="F826" s="85"/>
      <c r="G826" s="85"/>
      <c r="H826" s="85"/>
      <c r="J826" s="85"/>
      <c r="K826" s="85"/>
      <c r="L826" s="85"/>
      <c r="M826" s="85"/>
      <c r="N826" s="85"/>
      <c r="O826" s="85"/>
      <c r="P826" s="85"/>
      <c r="Q826" s="85"/>
      <c r="R826" s="63"/>
      <c r="S826" s="63"/>
      <c r="T826" s="63"/>
      <c r="U826" s="63"/>
      <c r="V826" s="63"/>
      <c r="W826" s="63"/>
      <c r="X826" s="63"/>
      <c r="Y826" s="63"/>
    </row>
    <row r="827" spans="1:25">
      <c r="A827" s="85"/>
      <c r="B827" s="85"/>
      <c r="C827" s="85"/>
      <c r="D827" s="85"/>
      <c r="E827" s="85"/>
      <c r="F827" s="85"/>
      <c r="G827" s="85"/>
      <c r="H827" s="85"/>
      <c r="J827" s="85"/>
      <c r="K827" s="85"/>
      <c r="L827" s="85"/>
      <c r="M827" s="85"/>
      <c r="N827" s="85"/>
      <c r="O827" s="85"/>
      <c r="P827" s="85"/>
      <c r="Q827" s="85"/>
      <c r="R827" s="63"/>
      <c r="S827" s="63"/>
      <c r="T827" s="63"/>
      <c r="U827" s="63"/>
      <c r="V827" s="63"/>
      <c r="W827" s="63"/>
      <c r="X827" s="63"/>
      <c r="Y827" s="63"/>
    </row>
    <row r="828" spans="1:25">
      <c r="A828" s="85"/>
      <c r="B828" s="85"/>
      <c r="C828" s="85"/>
      <c r="D828" s="85"/>
      <c r="E828" s="85"/>
      <c r="F828" s="85"/>
      <c r="G828" s="85"/>
      <c r="H828" s="85"/>
      <c r="J828" s="85"/>
      <c r="K828" s="85"/>
      <c r="L828" s="85"/>
      <c r="M828" s="85"/>
      <c r="N828" s="85"/>
      <c r="O828" s="85"/>
      <c r="P828" s="85"/>
      <c r="Q828" s="85"/>
      <c r="R828" s="63"/>
      <c r="S828" s="63"/>
      <c r="T828" s="63"/>
      <c r="U828" s="63"/>
      <c r="V828" s="63"/>
      <c r="W828" s="63"/>
      <c r="X828" s="63"/>
      <c r="Y828" s="63"/>
    </row>
    <row r="829" spans="1:25">
      <c r="A829" s="85"/>
      <c r="B829" s="85"/>
      <c r="C829" s="85"/>
      <c r="D829" s="85"/>
      <c r="E829" s="85"/>
      <c r="F829" s="85"/>
      <c r="G829" s="85"/>
      <c r="H829" s="85"/>
      <c r="J829" s="85"/>
      <c r="K829" s="85"/>
      <c r="L829" s="85"/>
      <c r="M829" s="85"/>
      <c r="N829" s="85"/>
      <c r="O829" s="85"/>
      <c r="P829" s="85"/>
      <c r="Q829" s="85"/>
      <c r="R829" s="63"/>
      <c r="S829" s="63"/>
      <c r="T829" s="63"/>
      <c r="U829" s="63"/>
      <c r="V829" s="63"/>
      <c r="W829" s="63"/>
      <c r="X829" s="63"/>
      <c r="Y829" s="63"/>
    </row>
    <row r="830" spans="1:25">
      <c r="A830" s="85"/>
      <c r="B830" s="85"/>
      <c r="C830" s="85"/>
      <c r="D830" s="85"/>
      <c r="E830" s="85"/>
      <c r="F830" s="85"/>
      <c r="G830" s="85"/>
      <c r="H830" s="85"/>
      <c r="J830" s="85"/>
      <c r="K830" s="85"/>
      <c r="L830" s="85"/>
      <c r="M830" s="85"/>
      <c r="N830" s="85"/>
      <c r="O830" s="85"/>
      <c r="P830" s="85"/>
      <c r="Q830" s="85"/>
      <c r="R830" s="63"/>
      <c r="S830" s="63"/>
      <c r="T830" s="63"/>
      <c r="U830" s="63"/>
      <c r="V830" s="63"/>
      <c r="W830" s="63"/>
      <c r="X830" s="63"/>
      <c r="Y830" s="63"/>
    </row>
    <row r="831" spans="1:25">
      <c r="A831" s="85"/>
      <c r="B831" s="85"/>
      <c r="C831" s="85"/>
      <c r="D831" s="85"/>
      <c r="E831" s="85"/>
      <c r="F831" s="85"/>
      <c r="G831" s="85"/>
      <c r="H831" s="85"/>
      <c r="J831" s="85"/>
      <c r="K831" s="85"/>
      <c r="L831" s="85"/>
      <c r="M831" s="85"/>
      <c r="N831" s="85"/>
      <c r="O831" s="85"/>
      <c r="P831" s="85"/>
      <c r="Q831" s="85"/>
      <c r="R831" s="63"/>
      <c r="S831" s="63"/>
      <c r="T831" s="63"/>
      <c r="U831" s="63"/>
      <c r="V831" s="63"/>
      <c r="W831" s="63"/>
      <c r="X831" s="63"/>
      <c r="Y831" s="63"/>
    </row>
    <row r="832" spans="1:25">
      <c r="A832" s="85"/>
      <c r="B832" s="85"/>
      <c r="C832" s="85"/>
      <c r="D832" s="85"/>
      <c r="E832" s="85"/>
      <c r="F832" s="85"/>
      <c r="G832" s="85"/>
      <c r="H832" s="85"/>
      <c r="J832" s="85"/>
      <c r="K832" s="85"/>
      <c r="L832" s="85"/>
      <c r="M832" s="85"/>
      <c r="N832" s="85"/>
      <c r="O832" s="85"/>
      <c r="P832" s="85"/>
      <c r="Q832" s="85"/>
      <c r="R832" s="63"/>
      <c r="S832" s="63"/>
      <c r="T832" s="63"/>
      <c r="U832" s="63"/>
      <c r="V832" s="63"/>
      <c r="W832" s="63"/>
      <c r="X832" s="63"/>
      <c r="Y832" s="63"/>
    </row>
    <row r="833" spans="1:25">
      <c r="A833" s="85"/>
      <c r="B833" s="85"/>
      <c r="C833" s="85"/>
      <c r="D833" s="85"/>
      <c r="E833" s="85"/>
      <c r="F833" s="85"/>
      <c r="G833" s="85"/>
      <c r="H833" s="85"/>
      <c r="J833" s="85"/>
      <c r="K833" s="85"/>
      <c r="L833" s="85"/>
      <c r="M833" s="85"/>
      <c r="N833" s="85"/>
      <c r="O833" s="85"/>
      <c r="P833" s="85"/>
      <c r="Q833" s="85"/>
      <c r="R833" s="63"/>
      <c r="S833" s="63"/>
      <c r="T833" s="63"/>
      <c r="U833" s="63"/>
      <c r="V833" s="63"/>
      <c r="W833" s="63"/>
      <c r="X833" s="63"/>
      <c r="Y833" s="63"/>
    </row>
    <row r="834" spans="1:25">
      <c r="A834" s="85"/>
      <c r="B834" s="85"/>
      <c r="C834" s="85"/>
      <c r="D834" s="85"/>
      <c r="E834" s="85"/>
      <c r="F834" s="85"/>
      <c r="G834" s="85"/>
      <c r="H834" s="85"/>
      <c r="J834" s="85"/>
      <c r="K834" s="85"/>
      <c r="L834" s="85"/>
      <c r="M834" s="85"/>
      <c r="N834" s="85"/>
      <c r="O834" s="85"/>
      <c r="P834" s="85"/>
      <c r="Q834" s="85"/>
      <c r="R834" s="63"/>
      <c r="S834" s="63"/>
      <c r="T834" s="63"/>
      <c r="U834" s="63"/>
      <c r="V834" s="63"/>
      <c r="W834" s="63"/>
      <c r="X834" s="63"/>
      <c r="Y834" s="63"/>
    </row>
    <row r="835" spans="1:25">
      <c r="A835" s="85"/>
      <c r="B835" s="85"/>
      <c r="C835" s="85"/>
      <c r="D835" s="85"/>
      <c r="E835" s="85"/>
      <c r="F835" s="85"/>
      <c r="G835" s="85"/>
      <c r="H835" s="85"/>
      <c r="J835" s="85"/>
      <c r="K835" s="85"/>
      <c r="L835" s="85"/>
      <c r="M835" s="85"/>
      <c r="N835" s="85"/>
      <c r="O835" s="85"/>
      <c r="P835" s="85"/>
      <c r="Q835" s="85"/>
      <c r="R835" s="63"/>
      <c r="S835" s="63"/>
      <c r="T835" s="63"/>
      <c r="U835" s="63"/>
      <c r="V835" s="63"/>
      <c r="W835" s="63"/>
      <c r="X835" s="63"/>
      <c r="Y835" s="63"/>
    </row>
    <row r="836" spans="1:25">
      <c r="A836" s="85"/>
      <c r="B836" s="85"/>
      <c r="C836" s="85"/>
      <c r="D836" s="85"/>
      <c r="E836" s="85"/>
      <c r="F836" s="85"/>
      <c r="G836" s="85"/>
      <c r="H836" s="85"/>
      <c r="J836" s="85"/>
      <c r="K836" s="85"/>
      <c r="L836" s="85"/>
      <c r="M836" s="85"/>
      <c r="N836" s="85"/>
      <c r="O836" s="85"/>
      <c r="P836" s="85"/>
      <c r="Q836" s="85"/>
      <c r="R836" s="63"/>
      <c r="S836" s="63"/>
      <c r="T836" s="63"/>
      <c r="U836" s="63"/>
      <c r="V836" s="63"/>
      <c r="W836" s="63"/>
      <c r="X836" s="63"/>
      <c r="Y836" s="63"/>
    </row>
    <row r="837" spans="1:25">
      <c r="A837" s="85"/>
      <c r="B837" s="85"/>
      <c r="C837" s="85"/>
      <c r="D837" s="85"/>
      <c r="E837" s="85"/>
      <c r="F837" s="85"/>
      <c r="G837" s="85"/>
      <c r="H837" s="85"/>
      <c r="J837" s="85"/>
      <c r="K837" s="85"/>
      <c r="L837" s="85"/>
      <c r="M837" s="85"/>
      <c r="N837" s="85"/>
      <c r="O837" s="85"/>
      <c r="P837" s="85"/>
      <c r="Q837" s="85"/>
      <c r="R837" s="63"/>
      <c r="S837" s="63"/>
      <c r="T837" s="63"/>
      <c r="U837" s="63"/>
      <c r="V837" s="63"/>
      <c r="W837" s="63"/>
      <c r="X837" s="63"/>
      <c r="Y837" s="63"/>
    </row>
    <row r="838" spans="1:25">
      <c r="A838" s="85"/>
      <c r="B838" s="85"/>
      <c r="C838" s="85"/>
      <c r="D838" s="85"/>
      <c r="E838" s="85"/>
      <c r="F838" s="85"/>
      <c r="G838" s="85"/>
      <c r="H838" s="85"/>
      <c r="J838" s="85"/>
      <c r="K838" s="85"/>
      <c r="L838" s="85"/>
      <c r="M838" s="85"/>
      <c r="N838" s="85"/>
      <c r="O838" s="85"/>
      <c r="P838" s="85"/>
      <c r="Q838" s="85"/>
      <c r="R838" s="63"/>
      <c r="S838" s="63"/>
      <c r="T838" s="63"/>
      <c r="U838" s="63"/>
      <c r="V838" s="63"/>
      <c r="W838" s="63"/>
      <c r="X838" s="63"/>
      <c r="Y838" s="63"/>
    </row>
    <row r="839" spans="1:25">
      <c r="A839" s="85"/>
      <c r="B839" s="85"/>
      <c r="C839" s="85"/>
      <c r="D839" s="85"/>
      <c r="E839" s="85"/>
      <c r="F839" s="85"/>
      <c r="G839" s="85"/>
      <c r="H839" s="85"/>
      <c r="J839" s="85"/>
      <c r="K839" s="85"/>
      <c r="L839" s="85"/>
      <c r="M839" s="85"/>
      <c r="N839" s="85"/>
      <c r="O839" s="85"/>
      <c r="P839" s="85"/>
      <c r="Q839" s="85"/>
      <c r="R839" s="63"/>
      <c r="S839" s="63"/>
      <c r="T839" s="63"/>
      <c r="U839" s="63"/>
      <c r="V839" s="63"/>
      <c r="W839" s="63"/>
      <c r="X839" s="63"/>
      <c r="Y839" s="63"/>
    </row>
    <row r="840" spans="1:25">
      <c r="A840" s="85"/>
      <c r="B840" s="85"/>
      <c r="C840" s="85"/>
      <c r="D840" s="85"/>
      <c r="E840" s="85"/>
      <c r="F840" s="85"/>
      <c r="G840" s="85"/>
      <c r="H840" s="85"/>
      <c r="J840" s="85"/>
      <c r="K840" s="85"/>
      <c r="L840" s="85"/>
      <c r="M840" s="85"/>
      <c r="N840" s="85"/>
      <c r="O840" s="85"/>
      <c r="P840" s="85"/>
      <c r="Q840" s="85"/>
      <c r="R840" s="63"/>
      <c r="S840" s="63"/>
      <c r="T840" s="63"/>
      <c r="U840" s="63"/>
      <c r="V840" s="63"/>
      <c r="W840" s="63"/>
      <c r="X840" s="63"/>
      <c r="Y840" s="63"/>
    </row>
    <row r="841" spans="1:25">
      <c r="A841" s="85"/>
      <c r="B841" s="85"/>
      <c r="C841" s="85"/>
      <c r="D841" s="85"/>
      <c r="E841" s="85"/>
      <c r="F841" s="85"/>
      <c r="G841" s="85"/>
      <c r="H841" s="85"/>
      <c r="J841" s="85"/>
      <c r="K841" s="85"/>
      <c r="L841" s="85"/>
      <c r="M841" s="85"/>
      <c r="N841" s="85"/>
      <c r="O841" s="85"/>
      <c r="P841" s="85"/>
      <c r="Q841" s="85"/>
      <c r="R841" s="63"/>
      <c r="S841" s="63"/>
      <c r="T841" s="63"/>
      <c r="U841" s="63"/>
      <c r="V841" s="63"/>
      <c r="W841" s="63"/>
      <c r="X841" s="63"/>
      <c r="Y841" s="63"/>
    </row>
    <row r="842" spans="1:25">
      <c r="A842" s="85"/>
      <c r="B842" s="85"/>
      <c r="C842" s="85"/>
      <c r="D842" s="85"/>
      <c r="E842" s="85"/>
      <c r="F842" s="85"/>
      <c r="G842" s="85"/>
      <c r="H842" s="85"/>
      <c r="J842" s="85"/>
      <c r="K842" s="85"/>
      <c r="L842" s="85"/>
      <c r="M842" s="85"/>
      <c r="N842" s="85"/>
      <c r="O842" s="85"/>
      <c r="P842" s="85"/>
      <c r="Q842" s="85"/>
      <c r="R842" s="63"/>
      <c r="S842" s="63"/>
      <c r="T842" s="63"/>
      <c r="U842" s="63"/>
      <c r="V842" s="63"/>
      <c r="W842" s="63"/>
      <c r="X842" s="63"/>
      <c r="Y842" s="63"/>
    </row>
    <row r="843" spans="1:25">
      <c r="A843" s="85"/>
      <c r="B843" s="85"/>
      <c r="C843" s="85"/>
      <c r="D843" s="85"/>
      <c r="E843" s="85"/>
      <c r="F843" s="85"/>
      <c r="G843" s="85"/>
      <c r="H843" s="85"/>
      <c r="J843" s="85"/>
      <c r="K843" s="85"/>
      <c r="L843" s="85"/>
      <c r="M843" s="85"/>
      <c r="N843" s="85"/>
      <c r="O843" s="85"/>
      <c r="P843" s="85"/>
      <c r="Q843" s="85"/>
      <c r="R843" s="63"/>
      <c r="S843" s="63"/>
      <c r="T843" s="63"/>
      <c r="U843" s="63"/>
      <c r="V843" s="63"/>
      <c r="W843" s="63"/>
      <c r="X843" s="63"/>
      <c r="Y843" s="63"/>
    </row>
    <row r="844" spans="1:25">
      <c r="A844" s="85"/>
      <c r="B844" s="85"/>
      <c r="C844" s="85"/>
      <c r="D844" s="85"/>
      <c r="E844" s="85"/>
      <c r="F844" s="85"/>
      <c r="G844" s="85"/>
      <c r="H844" s="85"/>
      <c r="J844" s="85"/>
      <c r="K844" s="85"/>
      <c r="L844" s="85"/>
      <c r="M844" s="85"/>
      <c r="N844" s="85"/>
      <c r="O844" s="85"/>
      <c r="P844" s="85"/>
      <c r="Q844" s="85"/>
      <c r="R844" s="63"/>
      <c r="S844" s="63"/>
      <c r="T844" s="63"/>
      <c r="U844" s="63"/>
      <c r="V844" s="63"/>
      <c r="W844" s="63"/>
      <c r="X844" s="63"/>
      <c r="Y844" s="63"/>
    </row>
    <row r="845" spans="1:25">
      <c r="A845" s="85"/>
      <c r="B845" s="85"/>
      <c r="C845" s="85"/>
      <c r="D845" s="85"/>
      <c r="E845" s="85"/>
      <c r="F845" s="85"/>
      <c r="G845" s="85"/>
      <c r="H845" s="85"/>
      <c r="J845" s="85"/>
      <c r="K845" s="85"/>
      <c r="L845" s="85"/>
      <c r="M845" s="85"/>
      <c r="N845" s="85"/>
      <c r="O845" s="85"/>
      <c r="P845" s="85"/>
      <c r="Q845" s="85"/>
      <c r="R845" s="63"/>
      <c r="S845" s="63"/>
      <c r="T845" s="63"/>
      <c r="U845" s="63"/>
      <c r="V845" s="63"/>
      <c r="W845" s="63"/>
      <c r="X845" s="63"/>
      <c r="Y845" s="63"/>
    </row>
    <row r="846" spans="1:25">
      <c r="A846" s="85"/>
      <c r="B846" s="85"/>
      <c r="C846" s="85"/>
      <c r="D846" s="85"/>
      <c r="E846" s="85"/>
      <c r="F846" s="85"/>
      <c r="G846" s="85"/>
      <c r="H846" s="85"/>
      <c r="J846" s="85"/>
      <c r="K846" s="85"/>
      <c r="L846" s="85"/>
      <c r="M846" s="85"/>
      <c r="N846" s="85"/>
      <c r="O846" s="85"/>
      <c r="P846" s="85"/>
      <c r="Q846" s="85"/>
      <c r="R846" s="63"/>
      <c r="S846" s="63"/>
      <c r="T846" s="63"/>
      <c r="U846" s="63"/>
      <c r="V846" s="63"/>
      <c r="W846" s="63"/>
      <c r="X846" s="63"/>
      <c r="Y846" s="63"/>
    </row>
    <row r="847" spans="1:25">
      <c r="A847" s="85"/>
      <c r="B847" s="85"/>
      <c r="C847" s="85"/>
      <c r="D847" s="85"/>
      <c r="E847" s="85"/>
      <c r="F847" s="85"/>
      <c r="G847" s="85"/>
      <c r="H847" s="85"/>
      <c r="J847" s="85"/>
      <c r="K847" s="85"/>
      <c r="L847" s="85"/>
      <c r="M847" s="85"/>
      <c r="N847" s="85"/>
      <c r="O847" s="85"/>
      <c r="P847" s="85"/>
      <c r="Q847" s="85"/>
      <c r="R847" s="63"/>
      <c r="S847" s="63"/>
      <c r="T847" s="63"/>
      <c r="U847" s="63"/>
      <c r="V847" s="63"/>
      <c r="W847" s="63"/>
      <c r="X847" s="63"/>
      <c r="Y847" s="63"/>
    </row>
    <row r="848" spans="1:25">
      <c r="A848" s="85"/>
      <c r="B848" s="85"/>
      <c r="C848" s="85"/>
      <c r="D848" s="85"/>
      <c r="E848" s="85"/>
      <c r="F848" s="85"/>
      <c r="G848" s="85"/>
      <c r="H848" s="85"/>
      <c r="J848" s="85"/>
      <c r="K848" s="85"/>
      <c r="L848" s="85"/>
      <c r="M848" s="85"/>
      <c r="N848" s="85"/>
      <c r="O848" s="85"/>
      <c r="P848" s="85"/>
      <c r="Q848" s="85"/>
      <c r="R848" s="63"/>
      <c r="S848" s="63"/>
      <c r="T848" s="63"/>
      <c r="U848" s="63"/>
      <c r="V848" s="63"/>
      <c r="W848" s="63"/>
      <c r="X848" s="63"/>
      <c r="Y848" s="63"/>
    </row>
    <row r="849" spans="1:25">
      <c r="A849" s="85"/>
      <c r="B849" s="85"/>
      <c r="C849" s="85"/>
      <c r="D849" s="85"/>
      <c r="E849" s="85"/>
      <c r="F849" s="85"/>
      <c r="G849" s="85"/>
      <c r="H849" s="85"/>
      <c r="J849" s="85"/>
      <c r="K849" s="85"/>
      <c r="L849" s="85"/>
      <c r="M849" s="85"/>
      <c r="N849" s="85"/>
      <c r="O849" s="85"/>
      <c r="P849" s="85"/>
      <c r="Q849" s="85"/>
      <c r="R849" s="63"/>
      <c r="S849" s="63"/>
      <c r="T849" s="63"/>
      <c r="U849" s="63"/>
      <c r="V849" s="63"/>
      <c r="W849" s="63"/>
      <c r="X849" s="63"/>
      <c r="Y849" s="63"/>
    </row>
    <row r="850" spans="1:25">
      <c r="A850" s="85"/>
      <c r="B850" s="85"/>
      <c r="C850" s="85"/>
      <c r="D850" s="85"/>
      <c r="E850" s="85"/>
      <c r="F850" s="85"/>
      <c r="G850" s="85"/>
      <c r="H850" s="85"/>
      <c r="J850" s="85"/>
      <c r="K850" s="85"/>
      <c r="L850" s="85"/>
      <c r="M850" s="85"/>
      <c r="N850" s="85"/>
      <c r="O850" s="85"/>
      <c r="P850" s="85"/>
      <c r="Q850" s="85"/>
      <c r="R850" s="63"/>
      <c r="S850" s="63"/>
      <c r="T850" s="63"/>
      <c r="U850" s="63"/>
      <c r="V850" s="63"/>
      <c r="W850" s="63"/>
      <c r="X850" s="63"/>
      <c r="Y850" s="63"/>
    </row>
    <row r="851" spans="1:25">
      <c r="A851" s="85"/>
      <c r="B851" s="85"/>
      <c r="C851" s="85"/>
      <c r="D851" s="85"/>
      <c r="E851" s="85"/>
      <c r="F851" s="85"/>
      <c r="G851" s="85"/>
      <c r="H851" s="85"/>
      <c r="J851" s="85"/>
      <c r="K851" s="85"/>
      <c r="L851" s="85"/>
      <c r="M851" s="85"/>
      <c r="N851" s="85"/>
      <c r="O851" s="85"/>
      <c r="P851" s="85"/>
      <c r="Q851" s="85"/>
      <c r="R851" s="63"/>
      <c r="S851" s="63"/>
      <c r="T851" s="63"/>
      <c r="U851" s="63"/>
      <c r="V851" s="63"/>
      <c r="W851" s="63"/>
      <c r="X851" s="63"/>
      <c r="Y851" s="63"/>
    </row>
    <row r="852" spans="1:25">
      <c r="A852" s="85"/>
      <c r="B852" s="85"/>
      <c r="C852" s="85"/>
      <c r="D852" s="85"/>
      <c r="E852" s="85"/>
      <c r="F852" s="85"/>
      <c r="G852" s="85"/>
      <c r="H852" s="85"/>
      <c r="J852" s="85"/>
      <c r="K852" s="85"/>
      <c r="L852" s="85"/>
      <c r="M852" s="85"/>
      <c r="N852" s="85"/>
      <c r="O852" s="85"/>
      <c r="P852" s="85"/>
      <c r="Q852" s="85"/>
      <c r="R852" s="63"/>
      <c r="S852" s="63"/>
      <c r="T852" s="63"/>
      <c r="U852" s="63"/>
      <c r="V852" s="63"/>
      <c r="W852" s="63"/>
      <c r="X852" s="63"/>
      <c r="Y852" s="63"/>
    </row>
    <row r="853" spans="1:25">
      <c r="A853" s="85"/>
      <c r="B853" s="85"/>
      <c r="C853" s="85"/>
      <c r="D853" s="85"/>
      <c r="E853" s="85"/>
      <c r="F853" s="85"/>
      <c r="G853" s="85"/>
      <c r="H853" s="85"/>
      <c r="J853" s="85"/>
      <c r="K853" s="85"/>
      <c r="L853" s="85"/>
      <c r="M853" s="85"/>
      <c r="N853" s="85"/>
      <c r="O853" s="85"/>
      <c r="P853" s="85"/>
      <c r="Q853" s="85"/>
      <c r="R853" s="63"/>
      <c r="S853" s="63"/>
      <c r="T853" s="63"/>
      <c r="U853" s="63"/>
      <c r="V853" s="63"/>
      <c r="W853" s="63"/>
      <c r="X853" s="63"/>
      <c r="Y853" s="63"/>
    </row>
    <row r="854" spans="1:25">
      <c r="A854" s="85"/>
      <c r="B854" s="85"/>
      <c r="C854" s="85"/>
      <c r="D854" s="85"/>
      <c r="E854" s="85"/>
      <c r="F854" s="85"/>
      <c r="G854" s="85"/>
      <c r="H854" s="85"/>
      <c r="J854" s="85"/>
      <c r="K854" s="85"/>
      <c r="L854" s="85"/>
      <c r="M854" s="85"/>
      <c r="N854" s="85"/>
      <c r="O854" s="85"/>
      <c r="P854" s="85"/>
      <c r="Q854" s="85"/>
      <c r="R854" s="63"/>
      <c r="S854" s="63"/>
      <c r="T854" s="63"/>
      <c r="U854" s="63"/>
      <c r="V854" s="63"/>
      <c r="W854" s="63"/>
      <c r="X854" s="63"/>
      <c r="Y854" s="63"/>
    </row>
    <row r="855" spans="1:25">
      <c r="A855" s="85"/>
      <c r="B855" s="85"/>
      <c r="C855" s="85"/>
      <c r="D855" s="85"/>
      <c r="E855" s="85"/>
      <c r="F855" s="85"/>
      <c r="G855" s="85"/>
      <c r="H855" s="85"/>
      <c r="J855" s="85"/>
      <c r="K855" s="85"/>
      <c r="L855" s="85"/>
      <c r="M855" s="85"/>
      <c r="N855" s="85"/>
      <c r="O855" s="85"/>
      <c r="P855" s="85"/>
      <c r="Q855" s="85"/>
      <c r="R855" s="63"/>
      <c r="S855" s="63"/>
      <c r="T855" s="63"/>
      <c r="U855" s="63"/>
      <c r="V855" s="63"/>
      <c r="W855" s="63"/>
      <c r="X855" s="63"/>
      <c r="Y855" s="63"/>
    </row>
    <row r="856" spans="1:25">
      <c r="A856" s="85"/>
      <c r="B856" s="85"/>
      <c r="C856" s="85"/>
      <c r="D856" s="85"/>
      <c r="E856" s="85"/>
      <c r="F856" s="85"/>
      <c r="G856" s="85"/>
      <c r="H856" s="85"/>
      <c r="J856" s="85"/>
      <c r="K856" s="85"/>
      <c r="L856" s="85"/>
      <c r="M856" s="85"/>
      <c r="N856" s="85"/>
      <c r="O856" s="85"/>
      <c r="P856" s="85"/>
      <c r="Q856" s="85"/>
      <c r="R856" s="63"/>
      <c r="S856" s="63"/>
      <c r="T856" s="63"/>
      <c r="U856" s="63"/>
      <c r="V856" s="63"/>
      <c r="W856" s="63"/>
      <c r="X856" s="63"/>
      <c r="Y856" s="63"/>
    </row>
    <row r="857" spans="1:25">
      <c r="A857" s="85"/>
      <c r="B857" s="85"/>
      <c r="C857" s="85"/>
      <c r="D857" s="85"/>
      <c r="E857" s="85"/>
      <c r="F857" s="85"/>
      <c r="G857" s="85"/>
      <c r="H857" s="85"/>
      <c r="J857" s="85"/>
      <c r="K857" s="85"/>
      <c r="L857" s="85"/>
      <c r="M857" s="85"/>
      <c r="N857" s="85"/>
      <c r="O857" s="85"/>
      <c r="P857" s="85"/>
      <c r="Q857" s="85"/>
      <c r="R857" s="63"/>
      <c r="S857" s="63"/>
      <c r="T857" s="63"/>
      <c r="U857" s="63"/>
      <c r="V857" s="63"/>
      <c r="W857" s="63"/>
      <c r="X857" s="63"/>
      <c r="Y857" s="63"/>
    </row>
    <row r="858" spans="1:25">
      <c r="A858" s="85"/>
      <c r="B858" s="85"/>
      <c r="C858" s="85"/>
      <c r="D858" s="85"/>
      <c r="E858" s="85"/>
      <c r="F858" s="85"/>
      <c r="G858" s="85"/>
      <c r="H858" s="85"/>
      <c r="J858" s="85"/>
      <c r="K858" s="85"/>
      <c r="L858" s="85"/>
      <c r="M858" s="85"/>
      <c r="N858" s="85"/>
      <c r="O858" s="85"/>
      <c r="P858" s="85"/>
      <c r="Q858" s="85"/>
      <c r="R858" s="63"/>
      <c r="S858" s="63"/>
      <c r="T858" s="63"/>
      <c r="U858" s="63"/>
      <c r="V858" s="63"/>
      <c r="W858" s="63"/>
      <c r="X858" s="63"/>
      <c r="Y858" s="63"/>
    </row>
    <row r="859" spans="1:25">
      <c r="A859" s="85"/>
      <c r="B859" s="85"/>
      <c r="C859" s="85"/>
      <c r="D859" s="85"/>
      <c r="E859" s="85"/>
      <c r="F859" s="85"/>
      <c r="G859" s="85"/>
      <c r="H859" s="85"/>
      <c r="J859" s="85"/>
      <c r="K859" s="85"/>
      <c r="L859" s="85"/>
      <c r="M859" s="85"/>
      <c r="N859" s="85"/>
      <c r="O859" s="85"/>
      <c r="P859" s="85"/>
      <c r="Q859" s="85"/>
      <c r="R859" s="63"/>
      <c r="S859" s="63"/>
      <c r="T859" s="63"/>
      <c r="U859" s="63"/>
      <c r="V859" s="63"/>
      <c r="W859" s="63"/>
      <c r="X859" s="63"/>
      <c r="Y859" s="63"/>
    </row>
    <row r="860" spans="1:25">
      <c r="A860" s="85"/>
      <c r="B860" s="85"/>
      <c r="C860" s="85"/>
      <c r="D860" s="85"/>
      <c r="E860" s="85"/>
      <c r="F860" s="85"/>
      <c r="G860" s="85"/>
      <c r="H860" s="85"/>
      <c r="J860" s="85"/>
      <c r="K860" s="85"/>
      <c r="L860" s="85"/>
      <c r="M860" s="85"/>
      <c r="N860" s="85"/>
      <c r="O860" s="85"/>
      <c r="P860" s="85"/>
      <c r="Q860" s="85"/>
      <c r="R860" s="63"/>
      <c r="S860" s="63"/>
      <c r="T860" s="63"/>
      <c r="U860" s="63"/>
      <c r="V860" s="63"/>
      <c r="W860" s="63"/>
      <c r="X860" s="63"/>
      <c r="Y860" s="63"/>
    </row>
    <row r="861" spans="1:25">
      <c r="A861" s="85"/>
      <c r="B861" s="85"/>
      <c r="C861" s="85"/>
      <c r="D861" s="85"/>
      <c r="E861" s="85"/>
      <c r="F861" s="85"/>
      <c r="G861" s="85"/>
      <c r="H861" s="85"/>
      <c r="J861" s="85"/>
      <c r="K861" s="85"/>
      <c r="L861" s="85"/>
      <c r="M861" s="85"/>
      <c r="N861" s="85"/>
      <c r="O861" s="85"/>
      <c r="P861" s="85"/>
      <c r="Q861" s="85"/>
      <c r="R861" s="63"/>
      <c r="S861" s="63"/>
      <c r="T861" s="63"/>
      <c r="U861" s="63"/>
      <c r="V861" s="63"/>
      <c r="W861" s="63"/>
      <c r="X861" s="63"/>
      <c r="Y861" s="63"/>
    </row>
    <row r="862" spans="1:25">
      <c r="A862" s="85"/>
      <c r="B862" s="85"/>
      <c r="C862" s="85"/>
      <c r="D862" s="85"/>
      <c r="E862" s="85"/>
      <c r="F862" s="85"/>
      <c r="G862" s="85"/>
      <c r="H862" s="85"/>
      <c r="J862" s="85"/>
      <c r="K862" s="85"/>
      <c r="L862" s="85"/>
      <c r="M862" s="85"/>
      <c r="N862" s="85"/>
      <c r="O862" s="85"/>
      <c r="P862" s="85"/>
      <c r="Q862" s="85"/>
      <c r="R862" s="63"/>
      <c r="S862" s="63"/>
      <c r="T862" s="63"/>
      <c r="U862" s="63"/>
      <c r="V862" s="63"/>
      <c r="W862" s="63"/>
      <c r="X862" s="63"/>
      <c r="Y862" s="63"/>
    </row>
    <row r="863" spans="1:25">
      <c r="A863" s="85"/>
      <c r="B863" s="85"/>
      <c r="C863" s="85"/>
      <c r="D863" s="85"/>
      <c r="E863" s="85"/>
      <c r="F863" s="85"/>
      <c r="G863" s="85"/>
      <c r="H863" s="85"/>
      <c r="J863" s="85"/>
      <c r="K863" s="85"/>
      <c r="L863" s="85"/>
      <c r="M863" s="85"/>
      <c r="N863" s="85"/>
      <c r="O863" s="85"/>
      <c r="P863" s="85"/>
      <c r="Q863" s="85"/>
      <c r="R863" s="63"/>
      <c r="S863" s="63"/>
      <c r="T863" s="63"/>
      <c r="U863" s="63"/>
      <c r="V863" s="63"/>
      <c r="W863" s="63"/>
      <c r="X863" s="63"/>
      <c r="Y863" s="63"/>
    </row>
    <row r="864" spans="1:25">
      <c r="A864" s="85"/>
      <c r="B864" s="85"/>
      <c r="C864" s="85"/>
      <c r="D864" s="85"/>
      <c r="E864" s="85"/>
      <c r="F864" s="85"/>
      <c r="G864" s="85"/>
      <c r="H864" s="85"/>
      <c r="J864" s="85"/>
      <c r="K864" s="85"/>
      <c r="L864" s="85"/>
      <c r="M864" s="85"/>
      <c r="N864" s="85"/>
      <c r="O864" s="85"/>
      <c r="P864" s="85"/>
      <c r="Q864" s="85"/>
      <c r="R864" s="63"/>
      <c r="S864" s="63"/>
      <c r="T864" s="63"/>
      <c r="U864" s="63"/>
      <c r="V864" s="63"/>
      <c r="W864" s="63"/>
      <c r="X864" s="63"/>
      <c r="Y864" s="63"/>
    </row>
    <row r="865" spans="1:25">
      <c r="A865" s="85"/>
      <c r="B865" s="85"/>
      <c r="C865" s="85"/>
      <c r="D865" s="85"/>
      <c r="E865" s="85"/>
      <c r="F865" s="85"/>
      <c r="G865" s="85"/>
      <c r="H865" s="85"/>
      <c r="J865" s="85"/>
      <c r="K865" s="85"/>
      <c r="L865" s="85"/>
      <c r="M865" s="85"/>
      <c r="N865" s="85"/>
      <c r="O865" s="85"/>
      <c r="P865" s="85"/>
      <c r="Q865" s="85"/>
      <c r="R865" s="63"/>
      <c r="S865" s="63"/>
      <c r="T865" s="63"/>
      <c r="U865" s="63"/>
      <c r="V865" s="63"/>
      <c r="W865" s="63"/>
      <c r="X865" s="63"/>
      <c r="Y865" s="63"/>
    </row>
    <row r="866" spans="1:25">
      <c r="A866" s="85"/>
      <c r="B866" s="85"/>
      <c r="C866" s="85"/>
      <c r="D866" s="85"/>
      <c r="E866" s="85"/>
      <c r="F866" s="85"/>
      <c r="G866" s="85"/>
      <c r="H866" s="85"/>
      <c r="J866" s="85"/>
      <c r="K866" s="85"/>
      <c r="L866" s="85"/>
      <c r="M866" s="85"/>
      <c r="N866" s="85"/>
      <c r="O866" s="85"/>
      <c r="P866" s="85"/>
      <c r="Q866" s="85"/>
      <c r="R866" s="63"/>
      <c r="S866" s="63"/>
      <c r="T866" s="63"/>
      <c r="U866" s="63"/>
      <c r="V866" s="63"/>
      <c r="W866" s="63"/>
      <c r="X866" s="63"/>
      <c r="Y866" s="63"/>
    </row>
    <row r="867" spans="1:25">
      <c r="A867" s="85"/>
      <c r="B867" s="85"/>
      <c r="C867" s="85"/>
      <c r="D867" s="85"/>
      <c r="E867" s="85"/>
      <c r="F867" s="85"/>
      <c r="G867" s="85"/>
      <c r="H867" s="85"/>
      <c r="J867" s="85"/>
      <c r="K867" s="85"/>
      <c r="L867" s="85"/>
      <c r="M867" s="85"/>
      <c r="N867" s="85"/>
      <c r="O867" s="85"/>
      <c r="P867" s="85"/>
      <c r="Q867" s="85"/>
      <c r="R867" s="63"/>
      <c r="S867" s="63"/>
      <c r="T867" s="63"/>
      <c r="U867" s="63"/>
      <c r="V867" s="63"/>
      <c r="W867" s="63"/>
      <c r="X867" s="63"/>
      <c r="Y867" s="63"/>
    </row>
    <row r="868" spans="1:25">
      <c r="A868" s="85"/>
      <c r="B868" s="85"/>
      <c r="C868" s="85"/>
      <c r="D868" s="85"/>
      <c r="E868" s="85"/>
      <c r="F868" s="85"/>
      <c r="G868" s="85"/>
      <c r="H868" s="85"/>
      <c r="J868" s="85"/>
      <c r="K868" s="85"/>
      <c r="L868" s="85"/>
      <c r="M868" s="85"/>
      <c r="N868" s="85"/>
      <c r="O868" s="85"/>
      <c r="P868" s="85"/>
      <c r="Q868" s="85"/>
      <c r="R868" s="63"/>
      <c r="S868" s="63"/>
      <c r="T868" s="63"/>
      <c r="U868" s="63"/>
      <c r="V868" s="63"/>
      <c r="W868" s="63"/>
      <c r="X868" s="63"/>
      <c r="Y868" s="63"/>
    </row>
    <row r="869" spans="1:25">
      <c r="A869" s="85"/>
      <c r="B869" s="85"/>
      <c r="C869" s="85"/>
      <c r="D869" s="85"/>
      <c r="E869" s="85"/>
      <c r="F869" s="85"/>
      <c r="G869" s="85"/>
      <c r="H869" s="85"/>
      <c r="J869" s="85"/>
      <c r="K869" s="85"/>
      <c r="L869" s="85"/>
      <c r="M869" s="85"/>
      <c r="N869" s="85"/>
      <c r="O869" s="85"/>
      <c r="P869" s="85"/>
      <c r="Q869" s="85"/>
      <c r="R869" s="63"/>
      <c r="S869" s="63"/>
      <c r="T869" s="63"/>
      <c r="U869" s="63"/>
      <c r="V869" s="63"/>
      <c r="W869" s="63"/>
      <c r="X869" s="63"/>
      <c r="Y869" s="63"/>
    </row>
    <row r="870" spans="1:25">
      <c r="A870" s="85"/>
      <c r="B870" s="85"/>
      <c r="C870" s="85"/>
      <c r="D870" s="85"/>
      <c r="E870" s="85"/>
      <c r="F870" s="85"/>
      <c r="G870" s="85"/>
      <c r="H870" s="85"/>
      <c r="J870" s="85"/>
      <c r="K870" s="85"/>
      <c r="L870" s="85"/>
      <c r="M870" s="85"/>
      <c r="N870" s="85"/>
      <c r="O870" s="85"/>
      <c r="P870" s="85"/>
      <c r="Q870" s="85"/>
      <c r="R870" s="63"/>
      <c r="S870" s="63"/>
      <c r="T870" s="63"/>
      <c r="U870" s="63"/>
      <c r="V870" s="63"/>
      <c r="W870" s="63"/>
      <c r="X870" s="63"/>
      <c r="Y870" s="63"/>
    </row>
    <row r="871" spans="1:25">
      <c r="A871" s="85"/>
      <c r="B871" s="85"/>
      <c r="C871" s="85"/>
      <c r="D871" s="85"/>
      <c r="E871" s="85"/>
      <c r="F871" s="85"/>
      <c r="G871" s="85"/>
      <c r="H871" s="85"/>
      <c r="J871" s="85"/>
      <c r="K871" s="85"/>
      <c r="L871" s="85"/>
      <c r="M871" s="85"/>
      <c r="N871" s="85"/>
      <c r="O871" s="85"/>
      <c r="P871" s="85"/>
      <c r="Q871" s="85"/>
      <c r="R871" s="63"/>
      <c r="S871" s="63"/>
      <c r="T871" s="63"/>
      <c r="U871" s="63"/>
      <c r="V871" s="63"/>
      <c r="W871" s="63"/>
      <c r="X871" s="63"/>
      <c r="Y871" s="63"/>
    </row>
    <row r="872" spans="1:25">
      <c r="A872" s="85"/>
      <c r="B872" s="85"/>
      <c r="C872" s="85"/>
      <c r="D872" s="85"/>
      <c r="E872" s="85"/>
      <c r="F872" s="85"/>
      <c r="G872" s="85"/>
      <c r="H872" s="85"/>
      <c r="J872" s="85"/>
      <c r="K872" s="85"/>
      <c r="L872" s="85"/>
      <c r="M872" s="85"/>
      <c r="N872" s="85"/>
      <c r="O872" s="85"/>
      <c r="P872" s="85"/>
      <c r="Q872" s="85"/>
      <c r="R872" s="63"/>
      <c r="S872" s="63"/>
      <c r="T872" s="63"/>
      <c r="U872" s="63"/>
      <c r="V872" s="63"/>
      <c r="W872" s="63"/>
      <c r="X872" s="63"/>
      <c r="Y872" s="63"/>
    </row>
    <row r="873" spans="1:25">
      <c r="A873" s="85"/>
      <c r="B873" s="85"/>
      <c r="C873" s="85"/>
      <c r="D873" s="85"/>
      <c r="E873" s="85"/>
      <c r="F873" s="85"/>
      <c r="G873" s="85"/>
      <c r="H873" s="85"/>
      <c r="J873" s="85"/>
      <c r="K873" s="85"/>
      <c r="L873" s="85"/>
      <c r="M873" s="85"/>
      <c r="N873" s="85"/>
      <c r="O873" s="85"/>
      <c r="P873" s="85"/>
      <c r="Q873" s="85"/>
      <c r="R873" s="63"/>
      <c r="S873" s="63"/>
      <c r="T873" s="63"/>
      <c r="U873" s="63"/>
      <c r="V873" s="63"/>
      <c r="W873" s="63"/>
      <c r="X873" s="63"/>
      <c r="Y873" s="63"/>
    </row>
    <row r="874" spans="1:25">
      <c r="A874" s="85"/>
      <c r="B874" s="85"/>
      <c r="C874" s="85"/>
      <c r="D874" s="85"/>
      <c r="E874" s="85"/>
      <c r="F874" s="85"/>
      <c r="G874" s="85"/>
      <c r="H874" s="85"/>
      <c r="J874" s="85"/>
      <c r="K874" s="85"/>
      <c r="L874" s="85"/>
      <c r="M874" s="85"/>
      <c r="N874" s="85"/>
      <c r="O874" s="85"/>
      <c r="P874" s="85"/>
      <c r="Q874" s="85"/>
      <c r="R874" s="63"/>
      <c r="S874" s="63"/>
      <c r="T874" s="63"/>
      <c r="U874" s="63"/>
      <c r="V874" s="63"/>
      <c r="W874" s="63"/>
      <c r="X874" s="63"/>
      <c r="Y874" s="63"/>
    </row>
    <row r="875" spans="1:25">
      <c r="A875" s="85"/>
      <c r="B875" s="85"/>
      <c r="C875" s="85"/>
      <c r="D875" s="85"/>
      <c r="E875" s="85"/>
      <c r="F875" s="85"/>
      <c r="G875" s="85"/>
      <c r="H875" s="85"/>
      <c r="J875" s="85"/>
      <c r="K875" s="85"/>
      <c r="L875" s="85"/>
      <c r="M875" s="85"/>
      <c r="N875" s="85"/>
      <c r="O875" s="85"/>
      <c r="P875" s="85"/>
      <c r="Q875" s="85"/>
      <c r="R875" s="63"/>
      <c r="S875" s="63"/>
      <c r="T875" s="63"/>
      <c r="U875" s="63"/>
      <c r="V875" s="63"/>
      <c r="W875" s="63"/>
      <c r="X875" s="63"/>
      <c r="Y875" s="63"/>
    </row>
    <row r="876" spans="1:25">
      <c r="A876" s="85"/>
      <c r="B876" s="85"/>
      <c r="C876" s="85"/>
      <c r="D876" s="85"/>
      <c r="E876" s="85"/>
      <c r="F876" s="85"/>
      <c r="G876" s="85"/>
      <c r="H876" s="85"/>
      <c r="J876" s="85"/>
      <c r="K876" s="85"/>
      <c r="L876" s="85"/>
      <c r="M876" s="85"/>
      <c r="N876" s="85"/>
      <c r="O876" s="85"/>
      <c r="P876" s="85"/>
      <c r="Q876" s="85"/>
      <c r="R876" s="63"/>
      <c r="S876" s="63"/>
      <c r="T876" s="63"/>
      <c r="U876" s="63"/>
      <c r="V876" s="63"/>
      <c r="W876" s="63"/>
      <c r="X876" s="63"/>
      <c r="Y876" s="63"/>
    </row>
    <row r="877" spans="1:25">
      <c r="A877" s="85"/>
      <c r="B877" s="85"/>
      <c r="C877" s="85"/>
      <c r="D877" s="85"/>
      <c r="E877" s="85"/>
      <c r="F877" s="85"/>
      <c r="G877" s="85"/>
      <c r="H877" s="85"/>
      <c r="J877" s="85"/>
      <c r="K877" s="85"/>
      <c r="L877" s="85"/>
      <c r="M877" s="85"/>
      <c r="N877" s="85"/>
      <c r="O877" s="85"/>
      <c r="P877" s="85"/>
      <c r="Q877" s="85"/>
      <c r="R877" s="63"/>
      <c r="S877" s="63"/>
      <c r="T877" s="63"/>
      <c r="U877" s="63"/>
      <c r="V877" s="63"/>
      <c r="W877" s="63"/>
      <c r="X877" s="63"/>
      <c r="Y877" s="63"/>
    </row>
    <row r="878" spans="1:25">
      <c r="A878" s="85"/>
      <c r="B878" s="85"/>
      <c r="C878" s="85"/>
      <c r="D878" s="85"/>
      <c r="E878" s="85"/>
      <c r="F878" s="85"/>
      <c r="G878" s="85"/>
      <c r="H878" s="85"/>
      <c r="J878" s="85"/>
      <c r="K878" s="85"/>
      <c r="L878" s="85"/>
      <c r="M878" s="85"/>
      <c r="N878" s="85"/>
      <c r="O878" s="85"/>
      <c r="P878" s="85"/>
      <c r="Q878" s="85"/>
      <c r="R878" s="63"/>
      <c r="S878" s="63"/>
      <c r="T878" s="63"/>
      <c r="U878" s="63"/>
      <c r="V878" s="63"/>
      <c r="W878" s="63"/>
      <c r="X878" s="63"/>
      <c r="Y878" s="63"/>
    </row>
    <row r="879" spans="1:25">
      <c r="A879" s="85"/>
      <c r="B879" s="85"/>
      <c r="C879" s="85"/>
      <c r="D879" s="85"/>
      <c r="E879" s="85"/>
      <c r="F879" s="85"/>
      <c r="G879" s="85"/>
      <c r="H879" s="85"/>
      <c r="J879" s="85"/>
      <c r="K879" s="85"/>
      <c r="L879" s="85"/>
      <c r="M879" s="85"/>
      <c r="N879" s="85"/>
      <c r="O879" s="85"/>
      <c r="P879" s="85"/>
      <c r="Q879" s="85"/>
      <c r="R879" s="63"/>
      <c r="S879" s="63"/>
      <c r="T879" s="63"/>
      <c r="U879" s="63"/>
      <c r="V879" s="63"/>
      <c r="W879" s="63"/>
      <c r="X879" s="63"/>
      <c r="Y879" s="63"/>
    </row>
    <row r="880" spans="1:25">
      <c r="A880" s="85"/>
      <c r="B880" s="85"/>
      <c r="C880" s="85"/>
      <c r="D880" s="85"/>
      <c r="E880" s="85"/>
      <c r="F880" s="85"/>
      <c r="G880" s="85"/>
      <c r="H880" s="85"/>
      <c r="J880" s="85"/>
      <c r="K880" s="85"/>
      <c r="L880" s="85"/>
      <c r="M880" s="85"/>
      <c r="N880" s="85"/>
      <c r="O880" s="85"/>
      <c r="P880" s="85"/>
      <c r="Q880" s="85"/>
      <c r="R880" s="63"/>
      <c r="S880" s="63"/>
      <c r="T880" s="63"/>
      <c r="U880" s="63"/>
      <c r="V880" s="63"/>
      <c r="W880" s="63"/>
      <c r="X880" s="63"/>
      <c r="Y880" s="63"/>
    </row>
    <row r="881" spans="1:25">
      <c r="A881" s="85"/>
      <c r="B881" s="85"/>
      <c r="C881" s="85"/>
      <c r="D881" s="85"/>
      <c r="E881" s="85"/>
      <c r="F881" s="85"/>
      <c r="G881" s="85"/>
      <c r="H881" s="85"/>
      <c r="J881" s="85"/>
      <c r="K881" s="85"/>
      <c r="L881" s="85"/>
      <c r="M881" s="85"/>
      <c r="N881" s="85"/>
      <c r="O881" s="85"/>
      <c r="P881" s="85"/>
      <c r="Q881" s="85"/>
      <c r="R881" s="63"/>
      <c r="S881" s="63"/>
      <c r="T881" s="63"/>
      <c r="U881" s="63"/>
      <c r="V881" s="63"/>
      <c r="W881" s="63"/>
      <c r="X881" s="63"/>
      <c r="Y881" s="63"/>
    </row>
    <row r="882" spans="1:25">
      <c r="A882" s="85"/>
      <c r="B882" s="85"/>
      <c r="C882" s="85"/>
      <c r="D882" s="85"/>
      <c r="E882" s="85"/>
      <c r="F882" s="85"/>
      <c r="G882" s="85"/>
      <c r="H882" s="85"/>
      <c r="J882" s="85"/>
      <c r="K882" s="85"/>
      <c r="L882" s="85"/>
      <c r="M882" s="85"/>
      <c r="N882" s="85"/>
      <c r="O882" s="85"/>
      <c r="P882" s="85"/>
      <c r="Q882" s="85"/>
      <c r="R882" s="63"/>
      <c r="S882" s="63"/>
      <c r="T882" s="63"/>
      <c r="U882" s="63"/>
      <c r="V882" s="63"/>
      <c r="W882" s="63"/>
      <c r="X882" s="63"/>
      <c r="Y882" s="63"/>
    </row>
    <row r="883" spans="1:25">
      <c r="A883" s="85"/>
      <c r="B883" s="85"/>
      <c r="C883" s="85"/>
      <c r="D883" s="85"/>
      <c r="E883" s="85"/>
      <c r="F883" s="85"/>
      <c r="G883" s="85"/>
      <c r="H883" s="85"/>
      <c r="J883" s="85"/>
      <c r="K883" s="85"/>
      <c r="L883" s="85"/>
      <c r="M883" s="85"/>
      <c r="N883" s="85"/>
      <c r="O883" s="85"/>
      <c r="P883" s="85"/>
      <c r="Q883" s="85"/>
      <c r="R883" s="63"/>
      <c r="S883" s="63"/>
      <c r="T883" s="63"/>
      <c r="U883" s="63"/>
      <c r="V883" s="63"/>
      <c r="W883" s="63"/>
      <c r="X883" s="63"/>
      <c r="Y883" s="63"/>
    </row>
    <row r="884" spans="1:25">
      <c r="A884" s="85"/>
      <c r="B884" s="85"/>
      <c r="C884" s="85"/>
      <c r="D884" s="85"/>
      <c r="E884" s="85"/>
      <c r="F884" s="85"/>
      <c r="G884" s="85"/>
      <c r="H884" s="85"/>
      <c r="J884" s="85"/>
      <c r="K884" s="85"/>
      <c r="L884" s="85"/>
      <c r="M884" s="85"/>
      <c r="N884" s="85"/>
      <c r="O884" s="85"/>
      <c r="P884" s="85"/>
      <c r="Q884" s="85"/>
      <c r="R884" s="63"/>
      <c r="S884" s="63"/>
      <c r="T884" s="63"/>
      <c r="U884" s="63"/>
      <c r="V884" s="63"/>
      <c r="W884" s="63"/>
      <c r="X884" s="63"/>
      <c r="Y884" s="63"/>
    </row>
    <row r="885" spans="1:25">
      <c r="A885" s="85"/>
      <c r="B885" s="85"/>
      <c r="C885" s="85"/>
      <c r="D885" s="85"/>
      <c r="E885" s="85"/>
      <c r="F885" s="85"/>
      <c r="G885" s="85"/>
      <c r="H885" s="85"/>
      <c r="J885" s="85"/>
      <c r="K885" s="85"/>
      <c r="L885" s="85"/>
      <c r="M885" s="85"/>
      <c r="N885" s="85"/>
      <c r="O885" s="85"/>
      <c r="P885" s="85"/>
      <c r="Q885" s="85"/>
      <c r="R885" s="63"/>
      <c r="S885" s="63"/>
      <c r="T885" s="63"/>
      <c r="U885" s="63"/>
      <c r="V885" s="63"/>
      <c r="W885" s="63"/>
      <c r="X885" s="63"/>
      <c r="Y885" s="63"/>
    </row>
    <row r="886" spans="1:25">
      <c r="A886" s="85"/>
      <c r="B886" s="85"/>
      <c r="C886" s="85"/>
      <c r="D886" s="85"/>
      <c r="E886" s="85"/>
      <c r="F886" s="85"/>
      <c r="G886" s="85"/>
      <c r="H886" s="85"/>
      <c r="J886" s="85"/>
      <c r="K886" s="85"/>
      <c r="L886" s="85"/>
      <c r="M886" s="85"/>
      <c r="N886" s="85"/>
      <c r="O886" s="85"/>
      <c r="P886" s="85"/>
      <c r="Q886" s="85"/>
      <c r="R886" s="63"/>
      <c r="S886" s="63"/>
      <c r="T886" s="63"/>
      <c r="U886" s="63"/>
      <c r="V886" s="63"/>
      <c r="W886" s="63"/>
      <c r="X886" s="63"/>
      <c r="Y886" s="63"/>
    </row>
    <row r="887" spans="1:25">
      <c r="A887" s="85"/>
      <c r="B887" s="85"/>
      <c r="C887" s="85"/>
      <c r="D887" s="85"/>
      <c r="E887" s="85"/>
      <c r="F887" s="85"/>
      <c r="G887" s="85"/>
      <c r="H887" s="85"/>
      <c r="J887" s="85"/>
      <c r="K887" s="85"/>
      <c r="L887" s="85"/>
      <c r="M887" s="85"/>
      <c r="N887" s="85"/>
      <c r="O887" s="85"/>
      <c r="P887" s="85"/>
      <c r="Q887" s="85"/>
      <c r="R887" s="63"/>
      <c r="S887" s="63"/>
      <c r="T887" s="63"/>
      <c r="U887" s="63"/>
      <c r="V887" s="63"/>
      <c r="W887" s="63"/>
      <c r="X887" s="63"/>
      <c r="Y887" s="63"/>
    </row>
    <row r="888" spans="1:25">
      <c r="A888" s="85"/>
      <c r="B888" s="85"/>
      <c r="C888" s="85"/>
      <c r="D888" s="85"/>
      <c r="E888" s="85"/>
      <c r="F888" s="85"/>
      <c r="G888" s="85"/>
      <c r="H888" s="85"/>
      <c r="J888" s="85"/>
      <c r="K888" s="85"/>
      <c r="L888" s="85"/>
      <c r="M888" s="85"/>
      <c r="N888" s="85"/>
      <c r="O888" s="85"/>
      <c r="P888" s="85"/>
      <c r="Q888" s="85"/>
      <c r="R888" s="63"/>
      <c r="S888" s="63"/>
      <c r="T888" s="63"/>
      <c r="U888" s="63"/>
      <c r="V888" s="63"/>
      <c r="W888" s="63"/>
      <c r="X888" s="63"/>
      <c r="Y888" s="63"/>
    </row>
    <row r="889" spans="1:25">
      <c r="A889" s="85"/>
      <c r="B889" s="85"/>
      <c r="C889" s="85"/>
      <c r="D889" s="85"/>
      <c r="E889" s="85"/>
      <c r="F889" s="85"/>
      <c r="G889" s="85"/>
      <c r="H889" s="85"/>
      <c r="J889" s="85"/>
      <c r="K889" s="85"/>
      <c r="L889" s="85"/>
      <c r="M889" s="85"/>
      <c r="N889" s="85"/>
      <c r="O889" s="85"/>
      <c r="P889" s="85"/>
      <c r="Q889" s="85"/>
      <c r="R889" s="63"/>
      <c r="S889" s="63"/>
      <c r="T889" s="63"/>
      <c r="U889" s="63"/>
      <c r="V889" s="63"/>
      <c r="W889" s="63"/>
      <c r="X889" s="63"/>
      <c r="Y889" s="63"/>
    </row>
    <row r="890" spans="1:25">
      <c r="A890" s="85"/>
      <c r="B890" s="85"/>
      <c r="C890" s="85"/>
      <c r="D890" s="85"/>
      <c r="E890" s="85"/>
      <c r="F890" s="85"/>
      <c r="G890" s="85"/>
      <c r="H890" s="85"/>
      <c r="J890" s="85"/>
      <c r="K890" s="85"/>
      <c r="L890" s="85"/>
      <c r="M890" s="85"/>
      <c r="N890" s="85"/>
      <c r="O890" s="85"/>
      <c r="P890" s="85"/>
      <c r="Q890" s="85"/>
      <c r="R890" s="63"/>
      <c r="S890" s="63"/>
      <c r="T890" s="63"/>
      <c r="U890" s="63"/>
      <c r="V890" s="63"/>
      <c r="W890" s="63"/>
      <c r="X890" s="63"/>
      <c r="Y890" s="63"/>
    </row>
    <row r="891" spans="1:25">
      <c r="A891" s="85"/>
      <c r="B891" s="85"/>
      <c r="C891" s="85"/>
      <c r="D891" s="85"/>
      <c r="E891" s="85"/>
      <c r="F891" s="85"/>
      <c r="G891" s="85"/>
      <c r="H891" s="85"/>
      <c r="J891" s="85"/>
      <c r="K891" s="85"/>
      <c r="L891" s="85"/>
      <c r="M891" s="85"/>
      <c r="N891" s="85"/>
      <c r="O891" s="85"/>
      <c r="P891" s="85"/>
      <c r="Q891" s="85"/>
      <c r="R891" s="63"/>
      <c r="S891" s="63"/>
      <c r="T891" s="63"/>
      <c r="U891" s="63"/>
      <c r="V891" s="63"/>
      <c r="W891" s="63"/>
      <c r="X891" s="63"/>
      <c r="Y891" s="63"/>
    </row>
    <row r="892" spans="1:25">
      <c r="A892" s="85"/>
      <c r="B892" s="85"/>
      <c r="C892" s="85"/>
      <c r="D892" s="85"/>
      <c r="E892" s="85"/>
      <c r="F892" s="85"/>
      <c r="G892" s="85"/>
      <c r="H892" s="85"/>
      <c r="J892" s="85"/>
      <c r="K892" s="85"/>
      <c r="L892" s="85"/>
      <c r="M892" s="85"/>
      <c r="N892" s="85"/>
      <c r="O892" s="85"/>
      <c r="P892" s="85"/>
      <c r="Q892" s="85"/>
      <c r="R892" s="63"/>
      <c r="S892" s="63"/>
      <c r="T892" s="63"/>
      <c r="U892" s="63"/>
      <c r="V892" s="63"/>
      <c r="W892" s="63"/>
      <c r="X892" s="63"/>
      <c r="Y892" s="63"/>
    </row>
    <row r="893" spans="1:25">
      <c r="A893" s="85"/>
      <c r="B893" s="85"/>
      <c r="C893" s="85"/>
      <c r="D893" s="85"/>
      <c r="E893" s="85"/>
      <c r="F893" s="85"/>
      <c r="G893" s="85"/>
      <c r="H893" s="85"/>
      <c r="J893" s="85"/>
      <c r="K893" s="85"/>
      <c r="L893" s="85"/>
      <c r="M893" s="85"/>
      <c r="N893" s="85"/>
      <c r="O893" s="85"/>
      <c r="P893" s="85"/>
      <c r="Q893" s="85"/>
      <c r="R893" s="63"/>
      <c r="S893" s="63"/>
      <c r="T893" s="63"/>
      <c r="U893" s="63"/>
      <c r="V893" s="63"/>
      <c r="W893" s="63"/>
      <c r="X893" s="63"/>
      <c r="Y893" s="63"/>
    </row>
    <row r="894" spans="1:25">
      <c r="A894" s="85"/>
      <c r="B894" s="85"/>
      <c r="C894" s="85"/>
      <c r="D894" s="85"/>
      <c r="E894" s="85"/>
      <c r="F894" s="85"/>
      <c r="G894" s="85"/>
      <c r="H894" s="85"/>
      <c r="J894" s="85"/>
      <c r="K894" s="85"/>
      <c r="L894" s="85"/>
      <c r="M894" s="85"/>
      <c r="N894" s="85"/>
      <c r="O894" s="85"/>
      <c r="P894" s="85"/>
      <c r="Q894" s="85"/>
      <c r="R894" s="63"/>
      <c r="S894" s="63"/>
      <c r="T894" s="63"/>
      <c r="U894" s="63"/>
      <c r="V894" s="63"/>
      <c r="W894" s="63"/>
      <c r="X894" s="63"/>
      <c r="Y894" s="63"/>
    </row>
    <row r="895" spans="1:25">
      <c r="A895" s="85"/>
      <c r="B895" s="85"/>
      <c r="C895" s="85"/>
      <c r="D895" s="85"/>
      <c r="E895" s="85"/>
      <c r="F895" s="85"/>
      <c r="G895" s="85"/>
      <c r="H895" s="85"/>
      <c r="J895" s="85"/>
      <c r="K895" s="85"/>
      <c r="L895" s="85"/>
      <c r="M895" s="85"/>
      <c r="N895" s="85"/>
      <c r="O895" s="85"/>
      <c r="P895" s="85"/>
      <c r="Q895" s="85"/>
      <c r="R895" s="63"/>
      <c r="S895" s="63"/>
      <c r="T895" s="63"/>
      <c r="U895" s="63"/>
      <c r="V895" s="63"/>
      <c r="W895" s="63"/>
      <c r="X895" s="63"/>
      <c r="Y895" s="63"/>
    </row>
    <row r="896" spans="1:25">
      <c r="A896" s="85"/>
      <c r="B896" s="85"/>
      <c r="C896" s="85"/>
      <c r="D896" s="85"/>
      <c r="E896" s="85"/>
      <c r="F896" s="85"/>
      <c r="G896" s="85"/>
      <c r="H896" s="85"/>
      <c r="J896" s="85"/>
      <c r="K896" s="85"/>
      <c r="L896" s="85"/>
      <c r="M896" s="85"/>
      <c r="N896" s="85"/>
      <c r="O896" s="85"/>
      <c r="P896" s="85"/>
      <c r="Q896" s="85"/>
      <c r="R896" s="63"/>
      <c r="S896" s="63"/>
      <c r="T896" s="63"/>
      <c r="U896" s="63"/>
      <c r="V896" s="63"/>
      <c r="W896" s="63"/>
      <c r="X896" s="63"/>
      <c r="Y896" s="63"/>
    </row>
    <row r="897" spans="1:25">
      <c r="A897" s="85"/>
      <c r="B897" s="85"/>
      <c r="C897" s="85"/>
      <c r="D897" s="85"/>
      <c r="E897" s="85"/>
      <c r="F897" s="85"/>
      <c r="G897" s="85"/>
      <c r="H897" s="85"/>
      <c r="J897" s="85"/>
      <c r="K897" s="85"/>
      <c r="L897" s="85"/>
      <c r="M897" s="85"/>
      <c r="N897" s="85"/>
      <c r="O897" s="85"/>
      <c r="P897" s="85"/>
      <c r="Q897" s="85"/>
      <c r="R897" s="63"/>
      <c r="S897" s="63"/>
      <c r="T897" s="63"/>
      <c r="U897" s="63"/>
      <c r="V897" s="63"/>
      <c r="W897" s="63"/>
      <c r="X897" s="63"/>
      <c r="Y897" s="63"/>
    </row>
    <row r="898" spans="1:25">
      <c r="A898" s="85"/>
      <c r="B898" s="85"/>
      <c r="C898" s="85"/>
      <c r="D898" s="85"/>
      <c r="E898" s="85"/>
      <c r="F898" s="85"/>
      <c r="G898" s="85"/>
      <c r="H898" s="85"/>
      <c r="J898" s="85"/>
      <c r="K898" s="85"/>
      <c r="L898" s="85"/>
      <c r="M898" s="85"/>
      <c r="N898" s="85"/>
      <c r="O898" s="85"/>
      <c r="P898" s="85"/>
      <c r="Q898" s="85"/>
      <c r="R898" s="63"/>
      <c r="S898" s="63"/>
      <c r="T898" s="63"/>
      <c r="U898" s="63"/>
      <c r="V898" s="63"/>
      <c r="W898" s="63"/>
      <c r="X898" s="63"/>
      <c r="Y898" s="63"/>
    </row>
    <row r="899" spans="1:25">
      <c r="A899" s="85"/>
      <c r="B899" s="85"/>
      <c r="C899" s="85"/>
      <c r="D899" s="85"/>
      <c r="E899" s="85"/>
      <c r="F899" s="85"/>
      <c r="G899" s="85"/>
      <c r="H899" s="85"/>
      <c r="J899" s="85"/>
      <c r="K899" s="85"/>
      <c r="L899" s="85"/>
      <c r="M899" s="85"/>
      <c r="N899" s="85"/>
      <c r="O899" s="85"/>
      <c r="P899" s="85"/>
      <c r="Q899" s="85"/>
      <c r="R899" s="63"/>
      <c r="S899" s="63"/>
      <c r="T899" s="63"/>
      <c r="U899" s="63"/>
      <c r="V899" s="63"/>
      <c r="W899" s="63"/>
      <c r="X899" s="63"/>
      <c r="Y899" s="63"/>
    </row>
    <row r="900" spans="1:25">
      <c r="A900" s="85"/>
      <c r="B900" s="85"/>
      <c r="C900" s="85"/>
      <c r="D900" s="85"/>
      <c r="E900" s="85"/>
      <c r="F900" s="85"/>
      <c r="G900" s="85"/>
      <c r="H900" s="85"/>
      <c r="J900" s="85"/>
      <c r="K900" s="85"/>
      <c r="L900" s="85"/>
      <c r="M900" s="85"/>
      <c r="N900" s="85"/>
      <c r="O900" s="85"/>
      <c r="P900" s="85"/>
      <c r="Q900" s="85"/>
      <c r="R900" s="63"/>
      <c r="S900" s="63"/>
      <c r="T900" s="63"/>
      <c r="U900" s="63"/>
      <c r="V900" s="63"/>
      <c r="W900" s="63"/>
      <c r="X900" s="63"/>
      <c r="Y900" s="63"/>
    </row>
    <row r="901" spans="1:25">
      <c r="A901" s="85"/>
      <c r="B901" s="85"/>
      <c r="C901" s="85"/>
      <c r="D901" s="85"/>
      <c r="E901" s="85"/>
      <c r="F901" s="85"/>
      <c r="G901" s="85"/>
      <c r="H901" s="85"/>
      <c r="J901" s="85"/>
      <c r="K901" s="85"/>
      <c r="L901" s="85"/>
      <c r="M901" s="85"/>
      <c r="N901" s="85"/>
      <c r="O901" s="85"/>
      <c r="P901" s="85"/>
      <c r="Q901" s="85"/>
      <c r="R901" s="63"/>
      <c r="S901" s="63"/>
      <c r="T901" s="63"/>
      <c r="U901" s="63"/>
      <c r="V901" s="63"/>
      <c r="W901" s="63"/>
      <c r="X901" s="63"/>
      <c r="Y901" s="63"/>
    </row>
    <row r="902" spans="1:25">
      <c r="A902" s="85"/>
      <c r="B902" s="85"/>
      <c r="C902" s="85"/>
      <c r="D902" s="85"/>
      <c r="E902" s="85"/>
      <c r="F902" s="85"/>
      <c r="G902" s="85"/>
      <c r="H902" s="85"/>
      <c r="J902" s="85"/>
      <c r="K902" s="85"/>
      <c r="L902" s="85"/>
      <c r="M902" s="85"/>
      <c r="N902" s="85"/>
      <c r="O902" s="85"/>
      <c r="P902" s="85"/>
      <c r="Q902" s="85"/>
      <c r="R902" s="63"/>
      <c r="S902" s="63"/>
      <c r="T902" s="63"/>
      <c r="U902" s="63"/>
      <c r="V902" s="63"/>
      <c r="W902" s="63"/>
      <c r="X902" s="63"/>
      <c r="Y902" s="63"/>
    </row>
    <row r="903" spans="1:25">
      <c r="A903" s="85"/>
      <c r="B903" s="85"/>
      <c r="C903" s="85"/>
      <c r="D903" s="85"/>
      <c r="E903" s="85"/>
      <c r="F903" s="85"/>
      <c r="G903" s="85"/>
      <c r="H903" s="85"/>
      <c r="J903" s="85"/>
      <c r="K903" s="85"/>
      <c r="L903" s="85"/>
      <c r="M903" s="85"/>
      <c r="N903" s="85"/>
      <c r="O903" s="85"/>
      <c r="P903" s="85"/>
      <c r="Q903" s="85"/>
      <c r="R903" s="63"/>
      <c r="S903" s="63"/>
      <c r="T903" s="63"/>
      <c r="U903" s="63"/>
      <c r="V903" s="63"/>
      <c r="W903" s="63"/>
      <c r="X903" s="63"/>
      <c r="Y903" s="63"/>
    </row>
    <row r="904" spans="1:25">
      <c r="A904" s="85"/>
      <c r="B904" s="85"/>
      <c r="C904" s="85"/>
      <c r="D904" s="85"/>
      <c r="E904" s="85"/>
      <c r="F904" s="85"/>
      <c r="G904" s="85"/>
      <c r="H904" s="85"/>
      <c r="J904" s="85"/>
      <c r="K904" s="85"/>
      <c r="L904" s="85"/>
      <c r="M904" s="85"/>
      <c r="N904" s="85"/>
      <c r="O904" s="85"/>
      <c r="P904" s="85"/>
      <c r="Q904" s="85"/>
      <c r="R904" s="63"/>
      <c r="S904" s="63"/>
      <c r="T904" s="63"/>
      <c r="U904" s="63"/>
      <c r="V904" s="63"/>
      <c r="W904" s="63"/>
      <c r="X904" s="63"/>
      <c r="Y904" s="63"/>
    </row>
    <row r="905" spans="1:25">
      <c r="A905" s="85"/>
      <c r="B905" s="85"/>
      <c r="C905" s="85"/>
      <c r="D905" s="85"/>
      <c r="E905" s="85"/>
      <c r="F905" s="85"/>
      <c r="G905" s="85"/>
      <c r="H905" s="85"/>
      <c r="J905" s="85"/>
      <c r="K905" s="85"/>
      <c r="L905" s="85"/>
      <c r="M905" s="85"/>
      <c r="N905" s="85"/>
      <c r="O905" s="85"/>
      <c r="P905" s="85"/>
      <c r="Q905" s="85"/>
      <c r="R905" s="63"/>
      <c r="S905" s="63"/>
      <c r="T905" s="63"/>
      <c r="U905" s="63"/>
      <c r="V905" s="63"/>
      <c r="W905" s="63"/>
      <c r="X905" s="63"/>
      <c r="Y905" s="63"/>
    </row>
    <row r="906" spans="1:25">
      <c r="A906" s="85"/>
      <c r="B906" s="85"/>
      <c r="C906" s="85"/>
      <c r="D906" s="85"/>
      <c r="E906" s="85"/>
      <c r="F906" s="85"/>
      <c r="G906" s="85"/>
      <c r="H906" s="85"/>
      <c r="J906" s="85"/>
      <c r="K906" s="85"/>
      <c r="L906" s="85"/>
      <c r="M906" s="85"/>
      <c r="N906" s="85"/>
      <c r="O906" s="85"/>
      <c r="P906" s="85"/>
      <c r="Q906" s="85"/>
      <c r="R906" s="63"/>
      <c r="S906" s="63"/>
      <c r="T906" s="63"/>
      <c r="U906" s="63"/>
      <c r="V906" s="63"/>
      <c r="W906" s="63"/>
      <c r="X906" s="63"/>
      <c r="Y906" s="63"/>
    </row>
    <row r="907" spans="1:25">
      <c r="A907" s="85"/>
      <c r="B907" s="85"/>
      <c r="C907" s="85"/>
      <c r="D907" s="85"/>
      <c r="E907" s="85"/>
      <c r="F907" s="85"/>
      <c r="G907" s="85"/>
      <c r="H907" s="85"/>
      <c r="J907" s="85"/>
      <c r="K907" s="85"/>
      <c r="L907" s="85"/>
      <c r="M907" s="85"/>
      <c r="N907" s="85"/>
      <c r="O907" s="85"/>
      <c r="P907" s="85"/>
      <c r="Q907" s="85"/>
      <c r="R907" s="63"/>
      <c r="S907" s="63"/>
      <c r="T907" s="63"/>
      <c r="U907" s="63"/>
      <c r="V907" s="63"/>
      <c r="W907" s="63"/>
      <c r="X907" s="63"/>
      <c r="Y907" s="63"/>
    </row>
    <row r="908" spans="1:25">
      <c r="A908" s="85"/>
      <c r="B908" s="85"/>
      <c r="C908" s="85"/>
      <c r="D908" s="85"/>
      <c r="E908" s="85"/>
      <c r="F908" s="85"/>
      <c r="G908" s="85"/>
      <c r="H908" s="85"/>
      <c r="J908" s="85"/>
      <c r="K908" s="85"/>
      <c r="L908" s="85"/>
      <c r="M908" s="85"/>
      <c r="N908" s="85"/>
      <c r="O908" s="85"/>
      <c r="P908" s="85"/>
      <c r="Q908" s="85"/>
      <c r="R908" s="63"/>
      <c r="S908" s="63"/>
      <c r="T908" s="63"/>
      <c r="U908" s="63"/>
      <c r="V908" s="63"/>
      <c r="W908" s="63"/>
      <c r="X908" s="63"/>
      <c r="Y908" s="63"/>
    </row>
    <row r="909" spans="1:25">
      <c r="A909" s="85"/>
      <c r="B909" s="85"/>
      <c r="C909" s="85"/>
      <c r="D909" s="85"/>
      <c r="E909" s="85"/>
      <c r="F909" s="85"/>
      <c r="G909" s="85"/>
      <c r="H909" s="85"/>
      <c r="J909" s="85"/>
      <c r="K909" s="85"/>
      <c r="L909" s="85"/>
      <c r="M909" s="85"/>
      <c r="N909" s="85"/>
      <c r="O909" s="85"/>
      <c r="P909" s="85"/>
      <c r="Q909" s="85"/>
      <c r="R909" s="63"/>
      <c r="S909" s="63"/>
      <c r="T909" s="63"/>
      <c r="U909" s="63"/>
      <c r="V909" s="63"/>
      <c r="W909" s="63"/>
      <c r="X909" s="63"/>
      <c r="Y909" s="63"/>
    </row>
    <row r="910" spans="1:25">
      <c r="A910" s="85"/>
      <c r="B910" s="85"/>
      <c r="C910" s="85"/>
      <c r="D910" s="85"/>
      <c r="E910" s="85"/>
      <c r="F910" s="85"/>
      <c r="G910" s="85"/>
      <c r="H910" s="85"/>
      <c r="J910" s="85"/>
      <c r="K910" s="85"/>
      <c r="L910" s="85"/>
      <c r="M910" s="85"/>
      <c r="N910" s="85"/>
      <c r="O910" s="85"/>
      <c r="P910" s="85"/>
      <c r="Q910" s="85"/>
      <c r="R910" s="63"/>
      <c r="S910" s="63"/>
      <c r="T910" s="63"/>
      <c r="U910" s="63"/>
      <c r="V910" s="63"/>
      <c r="W910" s="63"/>
      <c r="X910" s="63"/>
      <c r="Y910" s="63"/>
    </row>
    <row r="911" spans="1:25">
      <c r="A911" s="85"/>
      <c r="B911" s="85"/>
      <c r="C911" s="85"/>
      <c r="D911" s="85"/>
      <c r="E911" s="85"/>
      <c r="F911" s="85"/>
      <c r="G911" s="85"/>
      <c r="H911" s="85"/>
      <c r="J911" s="85"/>
      <c r="K911" s="85"/>
      <c r="L911" s="85"/>
      <c r="M911" s="85"/>
      <c r="N911" s="85"/>
      <c r="O911" s="85"/>
      <c r="P911" s="85"/>
      <c r="Q911" s="85"/>
      <c r="R911" s="63"/>
      <c r="S911" s="63"/>
      <c r="T911" s="63"/>
      <c r="U911" s="63"/>
      <c r="V911" s="63"/>
      <c r="W911" s="63"/>
      <c r="X911" s="63"/>
      <c r="Y911" s="63"/>
    </row>
    <row r="912" spans="1:25">
      <c r="A912" s="85"/>
      <c r="B912" s="85"/>
      <c r="C912" s="85"/>
      <c r="D912" s="85"/>
      <c r="E912" s="85"/>
      <c r="F912" s="85"/>
      <c r="G912" s="85"/>
      <c r="H912" s="85"/>
      <c r="J912" s="85"/>
      <c r="K912" s="85"/>
      <c r="L912" s="85"/>
      <c r="M912" s="85"/>
      <c r="N912" s="85"/>
      <c r="O912" s="85"/>
      <c r="P912" s="85"/>
      <c r="Q912" s="85"/>
      <c r="R912" s="63"/>
      <c r="S912" s="63"/>
      <c r="T912" s="63"/>
      <c r="U912" s="63"/>
      <c r="V912" s="63"/>
      <c r="W912" s="63"/>
      <c r="X912" s="63"/>
      <c r="Y912" s="63"/>
    </row>
    <row r="913" spans="1:25">
      <c r="A913" s="85"/>
      <c r="B913" s="85"/>
      <c r="C913" s="85"/>
      <c r="D913" s="85"/>
      <c r="E913" s="85"/>
      <c r="F913" s="85"/>
      <c r="G913" s="85"/>
      <c r="H913" s="85"/>
      <c r="J913" s="85"/>
      <c r="K913" s="85"/>
      <c r="L913" s="85"/>
      <c r="M913" s="85"/>
      <c r="N913" s="85"/>
      <c r="O913" s="85"/>
      <c r="P913" s="85"/>
      <c r="Q913" s="85"/>
      <c r="R913" s="63"/>
      <c r="S913" s="63"/>
      <c r="T913" s="63"/>
      <c r="U913" s="63"/>
      <c r="V913" s="63"/>
      <c r="W913" s="63"/>
      <c r="X913" s="63"/>
      <c r="Y913" s="63"/>
    </row>
    <row r="914" spans="1:25">
      <c r="A914" s="85"/>
      <c r="B914" s="85"/>
      <c r="C914" s="85"/>
      <c r="D914" s="85"/>
      <c r="E914" s="85"/>
      <c r="F914" s="85"/>
      <c r="G914" s="85"/>
      <c r="H914" s="85"/>
      <c r="J914" s="85"/>
      <c r="K914" s="85"/>
      <c r="L914" s="85"/>
      <c r="M914" s="85"/>
      <c r="N914" s="85"/>
      <c r="O914" s="85"/>
      <c r="P914" s="85"/>
      <c r="Q914" s="85"/>
      <c r="R914" s="63"/>
      <c r="S914" s="63"/>
      <c r="T914" s="63"/>
      <c r="U914" s="63"/>
      <c r="V914" s="63"/>
      <c r="W914" s="63"/>
      <c r="X914" s="63"/>
      <c r="Y914" s="63"/>
    </row>
    <row r="915" spans="1:25">
      <c r="A915" s="85"/>
      <c r="B915" s="85"/>
      <c r="C915" s="85"/>
      <c r="D915" s="85"/>
      <c r="E915" s="85"/>
      <c r="F915" s="85"/>
      <c r="G915" s="85"/>
      <c r="H915" s="85"/>
      <c r="J915" s="85"/>
      <c r="K915" s="85"/>
      <c r="L915" s="85"/>
      <c r="M915" s="85"/>
      <c r="N915" s="85"/>
      <c r="O915" s="85"/>
      <c r="P915" s="85"/>
      <c r="Q915" s="85"/>
      <c r="R915" s="63"/>
      <c r="S915" s="63"/>
      <c r="T915" s="63"/>
      <c r="U915" s="63"/>
      <c r="V915" s="63"/>
      <c r="W915" s="63"/>
      <c r="X915" s="63"/>
      <c r="Y915" s="63"/>
    </row>
    <row r="916" spans="1:25">
      <c r="A916" s="85"/>
      <c r="B916" s="85"/>
      <c r="C916" s="85"/>
      <c r="D916" s="85"/>
      <c r="E916" s="85"/>
      <c r="F916" s="85"/>
      <c r="G916" s="85"/>
      <c r="H916" s="85"/>
      <c r="J916" s="85"/>
      <c r="K916" s="85"/>
      <c r="L916" s="85"/>
      <c r="M916" s="85"/>
      <c r="N916" s="85"/>
      <c r="O916" s="85"/>
      <c r="P916" s="85"/>
      <c r="Q916" s="85"/>
      <c r="R916" s="63"/>
      <c r="S916" s="63"/>
      <c r="T916" s="63"/>
      <c r="U916" s="63"/>
      <c r="V916" s="63"/>
      <c r="W916" s="63"/>
      <c r="X916" s="63"/>
      <c r="Y916" s="63"/>
    </row>
    <row r="917" spans="1:25">
      <c r="A917" s="85"/>
      <c r="B917" s="85"/>
      <c r="C917" s="85"/>
      <c r="D917" s="85"/>
      <c r="E917" s="85"/>
      <c r="F917" s="85"/>
      <c r="G917" s="85"/>
      <c r="H917" s="85"/>
      <c r="J917" s="85"/>
      <c r="K917" s="85"/>
      <c r="L917" s="85"/>
      <c r="M917" s="85"/>
      <c r="N917" s="85"/>
      <c r="O917" s="85"/>
      <c r="P917" s="85"/>
      <c r="Q917" s="85"/>
      <c r="R917" s="63"/>
      <c r="S917" s="63"/>
      <c r="T917" s="63"/>
      <c r="U917" s="63"/>
      <c r="V917" s="63"/>
      <c r="W917" s="63"/>
      <c r="X917" s="63"/>
      <c r="Y917" s="63"/>
    </row>
    <row r="918" spans="1:25">
      <c r="A918" s="85"/>
      <c r="B918" s="85"/>
      <c r="C918" s="85"/>
      <c r="D918" s="85"/>
      <c r="E918" s="85"/>
      <c r="F918" s="85"/>
      <c r="G918" s="85"/>
      <c r="H918" s="85"/>
      <c r="J918" s="85"/>
      <c r="K918" s="85"/>
      <c r="L918" s="85"/>
      <c r="M918" s="85"/>
      <c r="N918" s="85"/>
      <c r="O918" s="85"/>
      <c r="P918" s="85"/>
      <c r="Q918" s="85"/>
      <c r="R918" s="63"/>
      <c r="S918" s="63"/>
      <c r="T918" s="63"/>
      <c r="U918" s="63"/>
      <c r="V918" s="63"/>
      <c r="W918" s="63"/>
      <c r="X918" s="63"/>
      <c r="Y918" s="63"/>
    </row>
    <row r="919" spans="1:25">
      <c r="A919" s="85"/>
      <c r="B919" s="85"/>
      <c r="C919" s="85"/>
      <c r="D919" s="85"/>
      <c r="E919" s="85"/>
      <c r="F919" s="85"/>
      <c r="G919" s="85"/>
      <c r="H919" s="85"/>
      <c r="J919" s="85"/>
      <c r="K919" s="85"/>
      <c r="L919" s="85"/>
      <c r="M919" s="85"/>
      <c r="N919" s="85"/>
      <c r="O919" s="85"/>
      <c r="P919" s="85"/>
      <c r="Q919" s="85"/>
      <c r="R919" s="63"/>
      <c r="S919" s="63"/>
      <c r="T919" s="63"/>
      <c r="U919" s="63"/>
      <c r="V919" s="63"/>
      <c r="W919" s="63"/>
      <c r="X919" s="63"/>
      <c r="Y919" s="63"/>
    </row>
    <row r="920" spans="1:25">
      <c r="A920" s="85"/>
      <c r="B920" s="85"/>
      <c r="C920" s="85"/>
      <c r="D920" s="85"/>
      <c r="E920" s="85"/>
      <c r="F920" s="85"/>
      <c r="G920" s="85"/>
      <c r="H920" s="85"/>
      <c r="J920" s="85"/>
      <c r="K920" s="85"/>
      <c r="L920" s="85"/>
      <c r="M920" s="85"/>
      <c r="N920" s="85"/>
      <c r="O920" s="85"/>
      <c r="P920" s="85"/>
      <c r="Q920" s="85"/>
      <c r="R920" s="63"/>
      <c r="S920" s="63"/>
      <c r="T920" s="63"/>
      <c r="U920" s="63"/>
      <c r="V920" s="63"/>
      <c r="W920" s="63"/>
      <c r="X920" s="63"/>
      <c r="Y920" s="63"/>
    </row>
    <row r="921" spans="1:25">
      <c r="A921" s="85"/>
      <c r="B921" s="85"/>
      <c r="C921" s="85"/>
      <c r="D921" s="85"/>
      <c r="E921" s="85"/>
      <c r="F921" s="85"/>
      <c r="G921" s="85"/>
      <c r="H921" s="85"/>
      <c r="J921" s="85"/>
      <c r="K921" s="85"/>
      <c r="L921" s="85"/>
      <c r="M921" s="85"/>
      <c r="N921" s="85"/>
      <c r="O921" s="85"/>
      <c r="P921" s="85"/>
      <c r="Q921" s="85"/>
      <c r="R921" s="63"/>
      <c r="S921" s="63"/>
      <c r="T921" s="63"/>
      <c r="U921" s="63"/>
      <c r="V921" s="63"/>
      <c r="W921" s="63"/>
      <c r="X921" s="63"/>
      <c r="Y921" s="63"/>
    </row>
    <row r="922" spans="1:25">
      <c r="A922" s="85"/>
      <c r="B922" s="85"/>
      <c r="C922" s="85"/>
      <c r="D922" s="85"/>
      <c r="E922" s="85"/>
      <c r="F922" s="85"/>
      <c r="G922" s="85"/>
      <c r="H922" s="85"/>
      <c r="J922" s="85"/>
      <c r="K922" s="85"/>
      <c r="L922" s="85"/>
      <c r="M922" s="85"/>
      <c r="N922" s="85"/>
      <c r="O922" s="85"/>
      <c r="P922" s="85"/>
      <c r="Q922" s="85"/>
      <c r="R922" s="63"/>
      <c r="S922" s="63"/>
      <c r="T922" s="63"/>
      <c r="U922" s="63"/>
      <c r="V922" s="63"/>
      <c r="W922" s="63"/>
      <c r="X922" s="63"/>
      <c r="Y922" s="63"/>
    </row>
    <row r="923" spans="1:25">
      <c r="A923" s="85"/>
      <c r="B923" s="85"/>
      <c r="C923" s="85"/>
      <c r="D923" s="85"/>
      <c r="E923" s="85"/>
      <c r="F923" s="85"/>
      <c r="G923" s="85"/>
      <c r="H923" s="85"/>
      <c r="J923" s="85"/>
      <c r="K923" s="85"/>
      <c r="L923" s="85"/>
      <c r="M923" s="85"/>
      <c r="N923" s="85"/>
      <c r="O923" s="85"/>
      <c r="P923" s="85"/>
      <c r="Q923" s="85"/>
      <c r="R923" s="63"/>
      <c r="S923" s="63"/>
      <c r="T923" s="63"/>
      <c r="U923" s="63"/>
      <c r="V923" s="63"/>
      <c r="W923" s="63"/>
      <c r="X923" s="63"/>
      <c r="Y923" s="63"/>
    </row>
    <row r="924" spans="1:25">
      <c r="A924" s="85"/>
      <c r="B924" s="85"/>
      <c r="C924" s="85"/>
      <c r="D924" s="85"/>
      <c r="E924" s="85"/>
      <c r="F924" s="85"/>
      <c r="G924" s="85"/>
      <c r="H924" s="85"/>
      <c r="J924" s="85"/>
      <c r="K924" s="85"/>
      <c r="L924" s="85"/>
      <c r="M924" s="85"/>
      <c r="N924" s="85"/>
      <c r="O924" s="85"/>
      <c r="P924" s="85"/>
      <c r="Q924" s="85"/>
      <c r="R924" s="63"/>
      <c r="S924" s="63"/>
      <c r="T924" s="63"/>
      <c r="U924" s="63"/>
      <c r="V924" s="63"/>
      <c r="W924" s="63"/>
      <c r="X924" s="63"/>
      <c r="Y924" s="63"/>
    </row>
    <row r="925" spans="1:25">
      <c r="A925" s="85"/>
      <c r="B925" s="85"/>
      <c r="C925" s="85"/>
      <c r="D925" s="85"/>
      <c r="E925" s="85"/>
      <c r="F925" s="85"/>
      <c r="G925" s="85"/>
      <c r="H925" s="85"/>
      <c r="J925" s="85"/>
      <c r="K925" s="85"/>
      <c r="L925" s="85"/>
      <c r="M925" s="85"/>
      <c r="N925" s="85"/>
      <c r="O925" s="85"/>
      <c r="P925" s="85"/>
      <c r="Q925" s="85"/>
      <c r="R925" s="63"/>
      <c r="S925" s="63"/>
      <c r="T925" s="63"/>
      <c r="U925" s="63"/>
      <c r="V925" s="63"/>
      <c r="W925" s="63"/>
      <c r="X925" s="63"/>
      <c r="Y925" s="63"/>
    </row>
    <row r="926" spans="1:25">
      <c r="A926" s="85"/>
      <c r="B926" s="85"/>
      <c r="C926" s="85"/>
      <c r="D926" s="85"/>
      <c r="E926" s="85"/>
      <c r="F926" s="85"/>
      <c r="G926" s="85"/>
      <c r="H926" s="85"/>
      <c r="J926" s="85"/>
      <c r="K926" s="85"/>
      <c r="L926" s="85"/>
      <c r="M926" s="85"/>
      <c r="N926" s="85"/>
      <c r="O926" s="85"/>
      <c r="P926" s="85"/>
      <c r="Q926" s="85"/>
      <c r="R926" s="63"/>
      <c r="S926" s="63"/>
      <c r="T926" s="63"/>
      <c r="U926" s="63"/>
      <c r="V926" s="63"/>
      <c r="W926" s="63"/>
      <c r="X926" s="63"/>
      <c r="Y926" s="63"/>
    </row>
    <row r="927" spans="1:25">
      <c r="A927" s="85"/>
      <c r="B927" s="85"/>
      <c r="C927" s="85"/>
      <c r="D927" s="85"/>
      <c r="E927" s="85"/>
      <c r="F927" s="85"/>
      <c r="G927" s="85"/>
      <c r="H927" s="85"/>
      <c r="J927" s="85"/>
      <c r="K927" s="85"/>
      <c r="L927" s="85"/>
      <c r="M927" s="85"/>
      <c r="N927" s="85"/>
      <c r="O927" s="85"/>
      <c r="P927" s="85"/>
      <c r="Q927" s="85"/>
      <c r="R927" s="63"/>
      <c r="S927" s="63"/>
      <c r="T927" s="63"/>
      <c r="U927" s="63"/>
      <c r="V927" s="63"/>
      <c r="W927" s="63"/>
      <c r="X927" s="63"/>
      <c r="Y927" s="63"/>
    </row>
    <row r="928" spans="1:25">
      <c r="A928" s="85"/>
      <c r="B928" s="85"/>
      <c r="C928" s="85"/>
      <c r="D928" s="85"/>
      <c r="E928" s="85"/>
      <c r="F928" s="85"/>
      <c r="G928" s="85"/>
      <c r="H928" s="85"/>
      <c r="J928" s="85"/>
      <c r="K928" s="85"/>
      <c r="L928" s="85"/>
      <c r="M928" s="85"/>
      <c r="N928" s="85"/>
      <c r="O928" s="85"/>
      <c r="P928" s="85"/>
      <c r="Q928" s="85"/>
      <c r="R928" s="63"/>
      <c r="S928" s="63"/>
      <c r="T928" s="63"/>
      <c r="U928" s="63"/>
      <c r="V928" s="63"/>
      <c r="W928" s="63"/>
      <c r="X928" s="63"/>
      <c r="Y928" s="63"/>
    </row>
    <row r="929" spans="1:25">
      <c r="A929" s="85"/>
      <c r="B929" s="85"/>
      <c r="C929" s="85"/>
      <c r="D929" s="85"/>
      <c r="E929" s="85"/>
      <c r="F929" s="85"/>
      <c r="G929" s="85"/>
      <c r="H929" s="85"/>
      <c r="J929" s="85"/>
      <c r="K929" s="85"/>
      <c r="L929" s="85"/>
      <c r="M929" s="85"/>
      <c r="N929" s="85"/>
      <c r="O929" s="85"/>
      <c r="P929" s="85"/>
      <c r="Q929" s="85"/>
      <c r="R929" s="63"/>
      <c r="S929" s="63"/>
      <c r="T929" s="63"/>
      <c r="U929" s="63"/>
      <c r="V929" s="63"/>
      <c r="W929" s="63"/>
      <c r="X929" s="63"/>
      <c r="Y929" s="63"/>
    </row>
    <row r="930" spans="1:25">
      <c r="A930" s="85"/>
      <c r="B930" s="85"/>
      <c r="C930" s="85"/>
      <c r="D930" s="85"/>
      <c r="E930" s="85"/>
      <c r="F930" s="85"/>
      <c r="G930" s="85"/>
      <c r="H930" s="85"/>
      <c r="J930" s="85"/>
      <c r="K930" s="85"/>
      <c r="L930" s="85"/>
      <c r="M930" s="85"/>
      <c r="N930" s="85"/>
      <c r="O930" s="85"/>
      <c r="P930" s="85"/>
      <c r="Q930" s="85"/>
      <c r="R930" s="63"/>
      <c r="S930" s="63"/>
      <c r="T930" s="63"/>
      <c r="U930" s="63"/>
      <c r="V930" s="63"/>
      <c r="W930" s="63"/>
      <c r="X930" s="63"/>
      <c r="Y930" s="63"/>
    </row>
    <row r="931" spans="1:25">
      <c r="A931" s="85"/>
      <c r="B931" s="85"/>
      <c r="C931" s="85"/>
      <c r="D931" s="85"/>
      <c r="E931" s="85"/>
      <c r="F931" s="85"/>
      <c r="G931" s="85"/>
      <c r="H931" s="85"/>
      <c r="J931" s="85"/>
      <c r="K931" s="85"/>
      <c r="L931" s="85"/>
      <c r="M931" s="85"/>
      <c r="N931" s="85"/>
      <c r="O931" s="85"/>
      <c r="P931" s="85"/>
      <c r="Q931" s="85"/>
      <c r="R931" s="63"/>
      <c r="S931" s="63"/>
      <c r="T931" s="63"/>
      <c r="U931" s="63"/>
      <c r="V931" s="63"/>
      <c r="W931" s="63"/>
      <c r="X931" s="63"/>
      <c r="Y931" s="63"/>
    </row>
    <row r="932" spans="1:25">
      <c r="A932" s="85"/>
      <c r="B932" s="85"/>
      <c r="C932" s="85"/>
      <c r="D932" s="85"/>
      <c r="E932" s="85"/>
      <c r="F932" s="85"/>
      <c r="G932" s="85"/>
      <c r="H932" s="85"/>
      <c r="J932" s="85"/>
      <c r="K932" s="85"/>
      <c r="L932" s="85"/>
      <c r="M932" s="85"/>
      <c r="N932" s="85"/>
      <c r="O932" s="85"/>
      <c r="P932" s="85"/>
      <c r="Q932" s="85"/>
      <c r="R932" s="63"/>
      <c r="S932" s="63"/>
      <c r="T932" s="63"/>
      <c r="U932" s="63"/>
      <c r="V932" s="63"/>
      <c r="W932" s="63"/>
      <c r="X932" s="63"/>
      <c r="Y932" s="63"/>
    </row>
    <row r="933" spans="1:25">
      <c r="A933" s="85"/>
      <c r="B933" s="85"/>
      <c r="C933" s="85"/>
      <c r="D933" s="85"/>
      <c r="E933" s="85"/>
      <c r="F933" s="85"/>
      <c r="G933" s="85"/>
      <c r="H933" s="85"/>
      <c r="J933" s="85"/>
      <c r="K933" s="85"/>
      <c r="L933" s="85"/>
      <c r="M933" s="85"/>
      <c r="N933" s="85"/>
      <c r="O933" s="85"/>
      <c r="P933" s="85"/>
      <c r="Q933" s="85"/>
      <c r="R933" s="63"/>
      <c r="S933" s="63"/>
      <c r="T933" s="63"/>
      <c r="U933" s="63"/>
      <c r="V933" s="63"/>
      <c r="W933" s="63"/>
      <c r="X933" s="63"/>
      <c r="Y933" s="63"/>
    </row>
    <row r="934" spans="1:25">
      <c r="A934" s="85"/>
      <c r="B934" s="85"/>
      <c r="C934" s="85"/>
      <c r="D934" s="85"/>
      <c r="E934" s="85"/>
      <c r="F934" s="85"/>
      <c r="G934" s="85"/>
      <c r="H934" s="85"/>
      <c r="J934" s="85"/>
      <c r="K934" s="85"/>
      <c r="L934" s="85"/>
      <c r="M934" s="85"/>
      <c r="N934" s="85"/>
      <c r="O934" s="85"/>
      <c r="P934" s="85"/>
      <c r="Q934" s="85"/>
      <c r="R934" s="63"/>
      <c r="S934" s="63"/>
      <c r="T934" s="63"/>
      <c r="U934" s="63"/>
      <c r="V934" s="63"/>
      <c r="W934" s="63"/>
      <c r="X934" s="63"/>
      <c r="Y934" s="63"/>
    </row>
    <row r="935" spans="1:25">
      <c r="A935" s="85"/>
      <c r="B935" s="85"/>
      <c r="C935" s="85"/>
      <c r="D935" s="85"/>
      <c r="E935" s="85"/>
      <c r="F935" s="85"/>
      <c r="G935" s="85"/>
      <c r="H935" s="85"/>
      <c r="J935" s="85"/>
      <c r="K935" s="85"/>
      <c r="L935" s="85"/>
      <c r="M935" s="85"/>
      <c r="N935" s="85"/>
      <c r="O935" s="85"/>
      <c r="P935" s="85"/>
      <c r="Q935" s="85"/>
      <c r="R935" s="63"/>
      <c r="S935" s="63"/>
      <c r="T935" s="63"/>
      <c r="U935" s="63"/>
      <c r="V935" s="63"/>
      <c r="W935" s="63"/>
      <c r="X935" s="63"/>
      <c r="Y935" s="63"/>
    </row>
    <row r="936" spans="1:25">
      <c r="A936" s="85"/>
      <c r="B936" s="85"/>
      <c r="C936" s="85"/>
      <c r="D936" s="85"/>
      <c r="E936" s="85"/>
      <c r="F936" s="85"/>
      <c r="G936" s="85"/>
      <c r="H936" s="85"/>
      <c r="J936" s="85"/>
      <c r="K936" s="85"/>
      <c r="L936" s="85"/>
      <c r="M936" s="85"/>
      <c r="N936" s="85"/>
      <c r="O936" s="85"/>
      <c r="P936" s="85"/>
      <c r="Q936" s="85"/>
      <c r="R936" s="63"/>
      <c r="S936" s="63"/>
      <c r="T936" s="63"/>
      <c r="U936" s="63"/>
      <c r="V936" s="63"/>
      <c r="W936" s="63"/>
      <c r="X936" s="63"/>
      <c r="Y936" s="63"/>
    </row>
    <row r="937" spans="1:25">
      <c r="A937" s="85"/>
      <c r="B937" s="85"/>
      <c r="C937" s="85"/>
      <c r="D937" s="85"/>
      <c r="E937" s="85"/>
      <c r="F937" s="85"/>
      <c r="G937" s="85"/>
      <c r="H937" s="85"/>
      <c r="J937" s="85"/>
      <c r="K937" s="85"/>
      <c r="L937" s="85"/>
      <c r="M937" s="85"/>
      <c r="N937" s="85"/>
      <c r="O937" s="85"/>
      <c r="P937" s="85"/>
      <c r="Q937" s="85"/>
      <c r="R937" s="63"/>
      <c r="S937" s="63"/>
      <c r="T937" s="63"/>
      <c r="U937" s="63"/>
      <c r="V937" s="63"/>
      <c r="W937" s="63"/>
      <c r="X937" s="63"/>
      <c r="Y937" s="63"/>
    </row>
    <row r="938" spans="1:25">
      <c r="A938" s="85"/>
      <c r="B938" s="85"/>
      <c r="C938" s="85"/>
      <c r="D938" s="85"/>
      <c r="E938" s="85"/>
      <c r="F938" s="85"/>
      <c r="G938" s="85"/>
      <c r="H938" s="85"/>
      <c r="J938" s="85"/>
      <c r="K938" s="85"/>
      <c r="L938" s="85"/>
      <c r="M938" s="85"/>
      <c r="N938" s="85"/>
      <c r="O938" s="85"/>
      <c r="P938" s="85"/>
      <c r="Q938" s="85"/>
      <c r="R938" s="63"/>
      <c r="S938" s="63"/>
      <c r="T938" s="63"/>
      <c r="U938" s="63"/>
      <c r="V938" s="63"/>
      <c r="W938" s="63"/>
      <c r="X938" s="63"/>
      <c r="Y938" s="63"/>
    </row>
    <row r="939" spans="1:25">
      <c r="A939" s="85"/>
      <c r="B939" s="85"/>
      <c r="C939" s="85"/>
      <c r="D939" s="85"/>
      <c r="E939" s="85"/>
      <c r="F939" s="85"/>
      <c r="G939" s="85"/>
      <c r="H939" s="85"/>
      <c r="J939" s="85"/>
      <c r="K939" s="85"/>
      <c r="L939" s="85"/>
      <c r="M939" s="85"/>
      <c r="N939" s="85"/>
      <c r="O939" s="85"/>
      <c r="P939" s="85"/>
      <c r="Q939" s="85"/>
      <c r="R939" s="63"/>
      <c r="S939" s="63"/>
      <c r="T939" s="63"/>
      <c r="U939" s="63"/>
      <c r="V939" s="63"/>
      <c r="W939" s="63"/>
      <c r="X939" s="63"/>
      <c r="Y939" s="63"/>
    </row>
    <row r="940" spans="1:25">
      <c r="A940" s="85"/>
      <c r="B940" s="85"/>
      <c r="C940" s="85"/>
      <c r="D940" s="85"/>
      <c r="E940" s="85"/>
      <c r="F940" s="85"/>
      <c r="G940" s="85"/>
      <c r="H940" s="85"/>
      <c r="J940" s="85"/>
      <c r="K940" s="85"/>
      <c r="L940" s="85"/>
      <c r="M940" s="85"/>
      <c r="N940" s="85"/>
      <c r="O940" s="85"/>
      <c r="P940" s="85"/>
      <c r="Q940" s="85"/>
      <c r="R940" s="63"/>
      <c r="S940" s="63"/>
      <c r="T940" s="63"/>
      <c r="U940" s="63"/>
      <c r="V940" s="63"/>
      <c r="W940" s="63"/>
      <c r="X940" s="63"/>
      <c r="Y940" s="63"/>
    </row>
    <row r="941" spans="1:25">
      <c r="A941" s="85"/>
      <c r="B941" s="85"/>
      <c r="C941" s="85"/>
      <c r="D941" s="85"/>
      <c r="E941" s="85"/>
      <c r="F941" s="85"/>
      <c r="G941" s="85"/>
      <c r="H941" s="85"/>
      <c r="J941" s="85"/>
      <c r="K941" s="85"/>
      <c r="L941" s="85"/>
      <c r="M941" s="85"/>
      <c r="N941" s="85"/>
      <c r="O941" s="85"/>
      <c r="P941" s="85"/>
      <c r="Q941" s="85"/>
      <c r="R941" s="63"/>
      <c r="S941" s="63"/>
      <c r="T941" s="63"/>
      <c r="U941" s="63"/>
      <c r="V941" s="63"/>
      <c r="W941" s="63"/>
      <c r="X941" s="63"/>
      <c r="Y941" s="63"/>
    </row>
    <row r="942" spans="1:25">
      <c r="A942" s="85"/>
      <c r="B942" s="85"/>
      <c r="C942" s="85"/>
      <c r="D942" s="85"/>
      <c r="E942" s="85"/>
      <c r="F942" s="85"/>
      <c r="G942" s="85"/>
      <c r="H942" s="85"/>
      <c r="J942" s="85"/>
      <c r="K942" s="85"/>
      <c r="L942" s="85"/>
      <c r="M942" s="85"/>
      <c r="N942" s="85"/>
      <c r="O942" s="85"/>
      <c r="P942" s="85"/>
      <c r="Q942" s="85"/>
      <c r="R942" s="63"/>
      <c r="S942" s="63"/>
      <c r="T942" s="63"/>
      <c r="U942" s="63"/>
      <c r="V942" s="63"/>
      <c r="W942" s="63"/>
      <c r="X942" s="63"/>
      <c r="Y942" s="63"/>
    </row>
    <row r="943" spans="1:25">
      <c r="A943" s="85"/>
      <c r="B943" s="85"/>
      <c r="C943" s="85"/>
      <c r="D943" s="85"/>
      <c r="E943" s="85"/>
      <c r="F943" s="85"/>
      <c r="G943" s="85"/>
      <c r="H943" s="85"/>
      <c r="J943" s="85"/>
      <c r="K943" s="85"/>
      <c r="L943" s="85"/>
      <c r="M943" s="85"/>
      <c r="N943" s="85"/>
      <c r="O943" s="85"/>
      <c r="P943" s="85"/>
      <c r="Q943" s="85"/>
      <c r="R943" s="63"/>
      <c r="S943" s="63"/>
      <c r="T943" s="63"/>
      <c r="U943" s="63"/>
      <c r="V943" s="63"/>
      <c r="W943" s="63"/>
      <c r="X943" s="63"/>
      <c r="Y943" s="63"/>
    </row>
    <row r="944" spans="1:25">
      <c r="A944" s="85"/>
      <c r="B944" s="85"/>
      <c r="C944" s="85"/>
      <c r="D944" s="85"/>
      <c r="E944" s="85"/>
      <c r="F944" s="85"/>
      <c r="G944" s="85"/>
      <c r="H944" s="85"/>
      <c r="J944" s="85"/>
      <c r="K944" s="85"/>
      <c r="L944" s="85"/>
      <c r="M944" s="85"/>
      <c r="N944" s="85"/>
      <c r="O944" s="85"/>
      <c r="P944" s="85"/>
      <c r="Q944" s="85"/>
      <c r="R944" s="63"/>
      <c r="S944" s="63"/>
      <c r="T944" s="63"/>
      <c r="U944" s="63"/>
      <c r="V944" s="63"/>
      <c r="W944" s="63"/>
      <c r="X944" s="63"/>
      <c r="Y944" s="63"/>
    </row>
    <row r="945" spans="1:25">
      <c r="A945" s="85"/>
      <c r="B945" s="85"/>
      <c r="C945" s="85"/>
      <c r="D945" s="85"/>
      <c r="E945" s="85"/>
      <c r="F945" s="85"/>
      <c r="G945" s="85"/>
      <c r="H945" s="85"/>
      <c r="J945" s="85"/>
      <c r="K945" s="85"/>
      <c r="L945" s="85"/>
      <c r="M945" s="85"/>
      <c r="N945" s="85"/>
      <c r="O945" s="85"/>
      <c r="P945" s="85"/>
      <c r="Q945" s="85"/>
      <c r="R945" s="63"/>
      <c r="S945" s="63"/>
      <c r="T945" s="63"/>
      <c r="U945" s="63"/>
      <c r="V945" s="63"/>
      <c r="W945" s="63"/>
      <c r="X945" s="63"/>
      <c r="Y945" s="63"/>
    </row>
    <row r="946" spans="1:25">
      <c r="A946" s="85"/>
      <c r="B946" s="85"/>
      <c r="C946" s="85"/>
      <c r="D946" s="85"/>
      <c r="E946" s="85"/>
      <c r="F946" s="85"/>
      <c r="G946" s="85"/>
      <c r="H946" s="85"/>
      <c r="J946" s="85"/>
      <c r="K946" s="85"/>
      <c r="L946" s="85"/>
      <c r="M946" s="85"/>
      <c r="N946" s="85"/>
      <c r="O946" s="85"/>
      <c r="P946" s="85"/>
      <c r="Q946" s="85"/>
      <c r="R946" s="63"/>
      <c r="S946" s="63"/>
      <c r="T946" s="63"/>
      <c r="U946" s="63"/>
      <c r="V946" s="63"/>
      <c r="W946" s="63"/>
      <c r="X946" s="63"/>
      <c r="Y946" s="63"/>
    </row>
    <row r="947" spans="1:25">
      <c r="A947" s="85"/>
      <c r="B947" s="85"/>
      <c r="C947" s="85"/>
      <c r="D947" s="85"/>
      <c r="E947" s="85"/>
      <c r="F947" s="85"/>
      <c r="G947" s="85"/>
      <c r="H947" s="85"/>
      <c r="J947" s="85"/>
      <c r="K947" s="85"/>
      <c r="L947" s="85"/>
      <c r="M947" s="85"/>
      <c r="N947" s="85"/>
      <c r="O947" s="85"/>
      <c r="P947" s="85"/>
      <c r="Q947" s="85"/>
      <c r="R947" s="63"/>
      <c r="S947" s="63"/>
      <c r="T947" s="63"/>
      <c r="U947" s="63"/>
      <c r="V947" s="63"/>
      <c r="W947" s="63"/>
      <c r="X947" s="63"/>
      <c r="Y947" s="63"/>
    </row>
    <row r="948" spans="1:25">
      <c r="A948" s="85"/>
      <c r="B948" s="85"/>
      <c r="C948" s="85"/>
      <c r="D948" s="85"/>
      <c r="E948" s="85"/>
      <c r="F948" s="85"/>
      <c r="G948" s="85"/>
      <c r="H948" s="85"/>
      <c r="J948" s="85"/>
      <c r="K948" s="85"/>
      <c r="L948" s="85"/>
      <c r="M948" s="85"/>
      <c r="N948" s="85"/>
      <c r="O948" s="85"/>
      <c r="P948" s="85"/>
      <c r="Q948" s="85"/>
      <c r="R948" s="63"/>
      <c r="S948" s="63"/>
      <c r="T948" s="63"/>
      <c r="U948" s="63"/>
      <c r="V948" s="63"/>
      <c r="W948" s="63"/>
      <c r="X948" s="63"/>
      <c r="Y948" s="63"/>
    </row>
    <row r="949" spans="1:25">
      <c r="A949" s="85"/>
      <c r="B949" s="85"/>
      <c r="C949" s="85"/>
      <c r="D949" s="85"/>
      <c r="E949" s="85"/>
      <c r="F949" s="85"/>
      <c r="G949" s="85"/>
      <c r="H949" s="85"/>
      <c r="J949" s="85"/>
      <c r="K949" s="85"/>
      <c r="L949" s="85"/>
      <c r="M949" s="85"/>
      <c r="N949" s="85"/>
      <c r="O949" s="85"/>
      <c r="P949" s="85"/>
      <c r="Q949" s="85"/>
      <c r="R949" s="63"/>
      <c r="S949" s="63"/>
      <c r="T949" s="63"/>
      <c r="U949" s="63"/>
      <c r="V949" s="63"/>
      <c r="W949" s="63"/>
      <c r="X949" s="63"/>
      <c r="Y949" s="63"/>
    </row>
    <row r="950" spans="1:25">
      <c r="A950" s="85"/>
      <c r="B950" s="85"/>
      <c r="C950" s="85"/>
      <c r="D950" s="85"/>
      <c r="E950" s="85"/>
      <c r="F950" s="85"/>
      <c r="G950" s="85"/>
      <c r="H950" s="85"/>
      <c r="J950" s="85"/>
      <c r="K950" s="85"/>
      <c r="L950" s="85"/>
      <c r="M950" s="85"/>
      <c r="N950" s="85"/>
      <c r="O950" s="85"/>
      <c r="P950" s="85"/>
      <c r="Q950" s="85"/>
      <c r="R950" s="63"/>
      <c r="S950" s="63"/>
      <c r="T950" s="63"/>
      <c r="U950" s="63"/>
      <c r="V950" s="63"/>
      <c r="W950" s="63"/>
      <c r="X950" s="63"/>
      <c r="Y950" s="63"/>
    </row>
    <row r="951" spans="1:25">
      <c r="A951" s="85"/>
      <c r="B951" s="85"/>
      <c r="C951" s="85"/>
      <c r="D951" s="85"/>
      <c r="E951" s="85"/>
      <c r="F951" s="85"/>
      <c r="G951" s="85"/>
      <c r="H951" s="85"/>
      <c r="J951" s="85"/>
      <c r="K951" s="85"/>
      <c r="L951" s="85"/>
      <c r="M951" s="85"/>
      <c r="N951" s="85"/>
      <c r="O951" s="85"/>
      <c r="P951" s="85"/>
      <c r="Q951" s="85"/>
      <c r="R951" s="63"/>
      <c r="S951" s="63"/>
      <c r="T951" s="63"/>
      <c r="U951" s="63"/>
      <c r="V951" s="63"/>
      <c r="W951" s="63"/>
      <c r="X951" s="63"/>
      <c r="Y951" s="63"/>
    </row>
    <row r="952" spans="1:25">
      <c r="A952" s="85"/>
      <c r="B952" s="85"/>
      <c r="C952" s="85"/>
      <c r="D952" s="85"/>
      <c r="E952" s="85"/>
      <c r="F952" s="85"/>
      <c r="G952" s="85"/>
      <c r="H952" s="85"/>
      <c r="J952" s="85"/>
      <c r="K952" s="85"/>
      <c r="L952" s="85"/>
      <c r="M952" s="85"/>
      <c r="N952" s="85"/>
      <c r="O952" s="85"/>
      <c r="P952" s="85"/>
      <c r="Q952" s="85"/>
      <c r="R952" s="63"/>
      <c r="S952" s="63"/>
      <c r="T952" s="63"/>
      <c r="U952" s="63"/>
      <c r="V952" s="63"/>
      <c r="W952" s="63"/>
      <c r="X952" s="63"/>
      <c r="Y952" s="63"/>
    </row>
    <row r="953" spans="1:25">
      <c r="A953" s="85"/>
      <c r="B953" s="85"/>
      <c r="C953" s="85"/>
      <c r="D953" s="85"/>
      <c r="E953" s="85"/>
      <c r="F953" s="85"/>
      <c r="G953" s="85"/>
      <c r="H953" s="85"/>
      <c r="J953" s="85"/>
      <c r="K953" s="85"/>
      <c r="L953" s="85"/>
      <c r="M953" s="85"/>
      <c r="N953" s="85"/>
      <c r="O953" s="85"/>
      <c r="P953" s="85"/>
      <c r="Q953" s="85"/>
      <c r="R953" s="63"/>
      <c r="S953" s="63"/>
      <c r="T953" s="63"/>
      <c r="U953" s="63"/>
      <c r="V953" s="63"/>
      <c r="W953" s="63"/>
      <c r="X953" s="63"/>
      <c r="Y953" s="63"/>
    </row>
    <row r="954" spans="1:25">
      <c r="A954" s="85"/>
      <c r="B954" s="85"/>
      <c r="C954" s="85"/>
      <c r="D954" s="85"/>
      <c r="E954" s="85"/>
      <c r="F954" s="85"/>
      <c r="G954" s="85"/>
      <c r="H954" s="85"/>
      <c r="J954" s="85"/>
      <c r="K954" s="85"/>
      <c r="L954" s="85"/>
      <c r="M954" s="85"/>
      <c r="N954" s="85"/>
      <c r="O954" s="85"/>
      <c r="P954" s="85"/>
      <c r="Q954" s="85"/>
      <c r="R954" s="63"/>
      <c r="S954" s="63"/>
      <c r="T954" s="63"/>
      <c r="U954" s="63"/>
      <c r="V954" s="63"/>
      <c r="W954" s="63"/>
      <c r="X954" s="63"/>
      <c r="Y954" s="63"/>
    </row>
    <row r="955" spans="1:25">
      <c r="A955" s="85"/>
      <c r="B955" s="85"/>
      <c r="C955" s="85"/>
      <c r="D955" s="85"/>
      <c r="E955" s="85"/>
      <c r="F955" s="85"/>
      <c r="G955" s="85"/>
      <c r="H955" s="85"/>
      <c r="J955" s="85"/>
      <c r="K955" s="85"/>
      <c r="L955" s="85"/>
      <c r="M955" s="85"/>
      <c r="N955" s="85"/>
      <c r="O955" s="85"/>
      <c r="P955" s="85"/>
      <c r="Q955" s="85"/>
      <c r="R955" s="63"/>
      <c r="S955" s="63"/>
      <c r="T955" s="63"/>
      <c r="U955" s="63"/>
      <c r="V955" s="63"/>
      <c r="W955" s="63"/>
      <c r="X955" s="63"/>
      <c r="Y955" s="63"/>
    </row>
    <row r="956" spans="1:25">
      <c r="A956" s="85"/>
      <c r="B956" s="85"/>
      <c r="C956" s="85"/>
      <c r="D956" s="85"/>
      <c r="E956" s="85"/>
      <c r="F956" s="85"/>
      <c r="G956" s="85"/>
      <c r="H956" s="85"/>
      <c r="J956" s="85"/>
      <c r="K956" s="85"/>
      <c r="L956" s="85"/>
      <c r="M956" s="85"/>
      <c r="N956" s="85"/>
      <c r="O956" s="85"/>
      <c r="P956" s="85"/>
      <c r="Q956" s="85"/>
      <c r="R956" s="63"/>
      <c r="S956" s="63"/>
      <c r="T956" s="63"/>
      <c r="U956" s="63"/>
      <c r="V956" s="63"/>
      <c r="W956" s="63"/>
      <c r="X956" s="63"/>
      <c r="Y956" s="63"/>
    </row>
    <row r="957" spans="1:25">
      <c r="A957" s="85"/>
      <c r="B957" s="85"/>
      <c r="C957" s="85"/>
      <c r="D957" s="85"/>
      <c r="E957" s="85"/>
      <c r="F957" s="85"/>
      <c r="G957" s="85"/>
      <c r="H957" s="85"/>
      <c r="J957" s="85"/>
      <c r="K957" s="85"/>
      <c r="L957" s="85"/>
      <c r="M957" s="85"/>
      <c r="N957" s="85"/>
      <c r="O957" s="85"/>
      <c r="P957" s="85"/>
      <c r="Q957" s="85"/>
      <c r="R957" s="63"/>
      <c r="S957" s="63"/>
      <c r="T957" s="63"/>
      <c r="U957" s="63"/>
      <c r="V957" s="63"/>
      <c r="W957" s="63"/>
      <c r="X957" s="63"/>
      <c r="Y957" s="63"/>
    </row>
    <row r="958" spans="1:25">
      <c r="A958" s="85"/>
      <c r="B958" s="85"/>
      <c r="C958" s="85"/>
      <c r="D958" s="85"/>
      <c r="E958" s="85"/>
      <c r="F958" s="85"/>
      <c r="G958" s="85"/>
      <c r="H958" s="85"/>
      <c r="J958" s="85"/>
      <c r="K958" s="85"/>
      <c r="L958" s="85"/>
      <c r="M958" s="85"/>
      <c r="N958" s="85"/>
      <c r="O958" s="85"/>
      <c r="P958" s="85"/>
      <c r="Q958" s="85"/>
      <c r="R958" s="63"/>
      <c r="S958" s="63"/>
      <c r="T958" s="63"/>
      <c r="U958" s="63"/>
      <c r="V958" s="63"/>
      <c r="W958" s="63"/>
      <c r="X958" s="63"/>
      <c r="Y958" s="63"/>
    </row>
    <row r="959" spans="1:25">
      <c r="A959" s="85"/>
      <c r="B959" s="85"/>
      <c r="C959" s="85"/>
      <c r="D959" s="85"/>
      <c r="E959" s="85"/>
      <c r="F959" s="85"/>
      <c r="G959" s="85"/>
      <c r="H959" s="85"/>
      <c r="J959" s="85"/>
      <c r="K959" s="85"/>
      <c r="L959" s="85"/>
      <c r="M959" s="85"/>
      <c r="N959" s="85"/>
      <c r="O959" s="85"/>
      <c r="P959" s="85"/>
      <c r="Q959" s="85"/>
      <c r="R959" s="63"/>
      <c r="S959" s="63"/>
      <c r="T959" s="63"/>
      <c r="U959" s="63"/>
      <c r="V959" s="63"/>
      <c r="W959" s="63"/>
      <c r="X959" s="63"/>
      <c r="Y959" s="63"/>
    </row>
    <row r="960" spans="1:25">
      <c r="A960" s="85"/>
      <c r="B960" s="85"/>
      <c r="C960" s="85"/>
      <c r="D960" s="85"/>
      <c r="E960" s="85"/>
      <c r="F960" s="85"/>
      <c r="G960" s="85"/>
      <c r="H960" s="85"/>
      <c r="J960" s="85"/>
      <c r="K960" s="85"/>
      <c r="L960" s="85"/>
      <c r="M960" s="85"/>
      <c r="N960" s="85"/>
      <c r="O960" s="85"/>
      <c r="P960" s="85"/>
      <c r="Q960" s="85"/>
      <c r="R960" s="63"/>
      <c r="S960" s="63"/>
      <c r="T960" s="63"/>
      <c r="U960" s="63"/>
      <c r="V960" s="63"/>
      <c r="W960" s="63"/>
      <c r="X960" s="63"/>
      <c r="Y960" s="63"/>
    </row>
    <row r="961" spans="1:25">
      <c r="A961" s="85"/>
      <c r="B961" s="85"/>
      <c r="C961" s="85"/>
      <c r="D961" s="85"/>
      <c r="E961" s="85"/>
      <c r="F961" s="85"/>
      <c r="G961" s="85"/>
      <c r="H961" s="85"/>
      <c r="J961" s="85"/>
      <c r="K961" s="85"/>
      <c r="L961" s="85"/>
      <c r="M961" s="85"/>
      <c r="N961" s="85"/>
      <c r="O961" s="85"/>
      <c r="P961" s="85"/>
      <c r="Q961" s="85"/>
      <c r="R961" s="63"/>
      <c r="S961" s="63"/>
      <c r="T961" s="63"/>
      <c r="U961" s="63"/>
      <c r="V961" s="63"/>
      <c r="W961" s="63"/>
      <c r="X961" s="63"/>
      <c r="Y961" s="63"/>
    </row>
    <row r="962" spans="1:25">
      <c r="A962" s="85"/>
      <c r="B962" s="85"/>
      <c r="C962" s="85"/>
      <c r="D962" s="85"/>
      <c r="E962" s="85"/>
      <c r="F962" s="85"/>
      <c r="G962" s="85"/>
      <c r="H962" s="85"/>
      <c r="J962" s="85"/>
      <c r="K962" s="85"/>
      <c r="L962" s="85"/>
      <c r="M962" s="85"/>
      <c r="N962" s="85"/>
      <c r="O962" s="85"/>
      <c r="P962" s="85"/>
      <c r="Q962" s="85"/>
      <c r="R962" s="63"/>
      <c r="S962" s="63"/>
      <c r="T962" s="63"/>
      <c r="U962" s="63"/>
      <c r="V962" s="63"/>
      <c r="W962" s="63"/>
      <c r="X962" s="63"/>
      <c r="Y962" s="63"/>
    </row>
    <row r="963" spans="1:25">
      <c r="A963" s="85"/>
      <c r="B963" s="85"/>
      <c r="C963" s="85"/>
      <c r="D963" s="85"/>
      <c r="E963" s="85"/>
      <c r="F963" s="85"/>
      <c r="G963" s="85"/>
      <c r="H963" s="85"/>
      <c r="J963" s="85"/>
      <c r="K963" s="85"/>
      <c r="L963" s="85"/>
      <c r="M963" s="85"/>
      <c r="N963" s="85"/>
      <c r="O963" s="85"/>
      <c r="P963" s="85"/>
      <c r="Q963" s="85"/>
      <c r="R963" s="63"/>
      <c r="S963" s="63"/>
      <c r="T963" s="63"/>
      <c r="U963" s="63"/>
      <c r="V963" s="63"/>
      <c r="W963" s="63"/>
      <c r="X963" s="63"/>
      <c r="Y963" s="63"/>
    </row>
    <row r="964" spans="1:25">
      <c r="A964" s="85"/>
      <c r="B964" s="85"/>
      <c r="C964" s="85"/>
      <c r="D964" s="85"/>
      <c r="E964" s="85"/>
      <c r="F964" s="85"/>
      <c r="G964" s="85"/>
      <c r="H964" s="85"/>
      <c r="J964" s="85"/>
      <c r="K964" s="85"/>
      <c r="L964" s="85"/>
      <c r="M964" s="85"/>
      <c r="N964" s="85"/>
      <c r="O964" s="85"/>
      <c r="P964" s="85"/>
      <c r="Q964" s="85"/>
      <c r="R964" s="63"/>
      <c r="S964" s="63"/>
      <c r="T964" s="63"/>
      <c r="U964" s="63"/>
      <c r="V964" s="63"/>
      <c r="W964" s="63"/>
      <c r="X964" s="63"/>
      <c r="Y964" s="63"/>
    </row>
    <row r="965" spans="1:25">
      <c r="A965" s="85"/>
      <c r="B965" s="85"/>
      <c r="C965" s="85"/>
      <c r="D965" s="85"/>
      <c r="E965" s="85"/>
      <c r="F965" s="85"/>
      <c r="G965" s="85"/>
      <c r="H965" s="85"/>
      <c r="J965" s="85"/>
      <c r="K965" s="85"/>
      <c r="L965" s="85"/>
      <c r="M965" s="85"/>
      <c r="N965" s="85"/>
      <c r="O965" s="85"/>
      <c r="P965" s="85"/>
      <c r="Q965" s="85"/>
      <c r="R965" s="63"/>
      <c r="S965" s="63"/>
      <c r="T965" s="63"/>
      <c r="U965" s="63"/>
      <c r="V965" s="63"/>
      <c r="W965" s="63"/>
      <c r="X965" s="63"/>
      <c r="Y965" s="63"/>
    </row>
    <row r="966" spans="1:25">
      <c r="A966" s="85"/>
      <c r="B966" s="85"/>
      <c r="C966" s="85"/>
      <c r="D966" s="85"/>
      <c r="E966" s="85"/>
      <c r="F966" s="85"/>
      <c r="G966" s="85"/>
      <c r="H966" s="85"/>
      <c r="J966" s="85"/>
      <c r="K966" s="85"/>
      <c r="L966" s="85"/>
      <c r="M966" s="85"/>
      <c r="N966" s="85"/>
      <c r="O966" s="85"/>
      <c r="P966" s="85"/>
      <c r="Q966" s="85"/>
      <c r="R966" s="63"/>
      <c r="S966" s="63"/>
      <c r="T966" s="63"/>
      <c r="U966" s="63"/>
      <c r="V966" s="63"/>
      <c r="W966" s="63"/>
      <c r="X966" s="63"/>
      <c r="Y966" s="63"/>
    </row>
    <row r="967" spans="1:25">
      <c r="A967" s="85"/>
      <c r="B967" s="85"/>
      <c r="C967" s="85"/>
      <c r="D967" s="85"/>
      <c r="E967" s="85"/>
      <c r="F967" s="85"/>
      <c r="G967" s="85"/>
      <c r="H967" s="85"/>
      <c r="J967" s="85"/>
      <c r="K967" s="85"/>
      <c r="L967" s="85"/>
      <c r="M967" s="85"/>
      <c r="N967" s="85"/>
      <c r="O967" s="85"/>
      <c r="P967" s="85"/>
      <c r="Q967" s="85"/>
      <c r="R967" s="63"/>
      <c r="S967" s="63"/>
      <c r="T967" s="63"/>
      <c r="U967" s="63"/>
      <c r="V967" s="63"/>
      <c r="W967" s="63"/>
      <c r="X967" s="63"/>
      <c r="Y967" s="63"/>
    </row>
    <row r="968" spans="1:25">
      <c r="A968" s="85"/>
      <c r="B968" s="85"/>
      <c r="C968" s="85"/>
      <c r="D968" s="85"/>
      <c r="E968" s="85"/>
      <c r="F968" s="85"/>
      <c r="G968" s="85"/>
      <c r="H968" s="85"/>
      <c r="J968" s="85"/>
      <c r="K968" s="85"/>
      <c r="L968" s="85"/>
      <c r="M968" s="85"/>
      <c r="N968" s="85"/>
      <c r="O968" s="85"/>
      <c r="P968" s="85"/>
      <c r="Q968" s="85"/>
      <c r="R968" s="63"/>
      <c r="S968" s="63"/>
      <c r="T968" s="63"/>
      <c r="U968" s="63"/>
      <c r="V968" s="63"/>
      <c r="W968" s="63"/>
      <c r="X968" s="63"/>
      <c r="Y968" s="63"/>
    </row>
    <row r="969" spans="1:25">
      <c r="A969" s="85"/>
      <c r="B969" s="85"/>
      <c r="C969" s="85"/>
      <c r="D969" s="85"/>
      <c r="E969" s="85"/>
      <c r="F969" s="85"/>
      <c r="G969" s="85"/>
      <c r="H969" s="85"/>
      <c r="J969" s="85"/>
      <c r="K969" s="85"/>
      <c r="L969" s="85"/>
      <c r="M969" s="85"/>
      <c r="N969" s="85"/>
      <c r="O969" s="85"/>
      <c r="P969" s="85"/>
      <c r="Q969" s="85"/>
      <c r="R969" s="63"/>
      <c r="S969" s="63"/>
      <c r="T969" s="63"/>
      <c r="U969" s="63"/>
      <c r="V969" s="63"/>
      <c r="W969" s="63"/>
      <c r="X969" s="63"/>
      <c r="Y969" s="63"/>
    </row>
    <row r="970" spans="1:25">
      <c r="A970" s="85"/>
      <c r="B970" s="85"/>
      <c r="C970" s="85"/>
      <c r="D970" s="85"/>
      <c r="E970" s="85"/>
      <c r="F970" s="85"/>
      <c r="G970" s="85"/>
      <c r="H970" s="85"/>
      <c r="J970" s="85"/>
      <c r="K970" s="85"/>
      <c r="L970" s="85"/>
      <c r="M970" s="85"/>
      <c r="N970" s="85"/>
      <c r="O970" s="85"/>
      <c r="P970" s="85"/>
      <c r="Q970" s="85"/>
      <c r="R970" s="63"/>
      <c r="S970" s="63"/>
      <c r="T970" s="63"/>
      <c r="U970" s="63"/>
      <c r="V970" s="63"/>
      <c r="W970" s="63"/>
      <c r="X970" s="63"/>
      <c r="Y970" s="63"/>
    </row>
    <row r="971" spans="1:25">
      <c r="A971" s="85"/>
      <c r="B971" s="85"/>
      <c r="C971" s="85"/>
      <c r="D971" s="85"/>
      <c r="E971" s="85"/>
      <c r="F971" s="85"/>
      <c r="G971" s="85"/>
      <c r="H971" s="85"/>
      <c r="J971" s="85"/>
      <c r="K971" s="85"/>
      <c r="L971" s="85"/>
      <c r="M971" s="85"/>
      <c r="N971" s="85"/>
      <c r="O971" s="85"/>
      <c r="P971" s="85"/>
      <c r="Q971" s="85"/>
      <c r="R971" s="63"/>
      <c r="S971" s="63"/>
      <c r="T971" s="63"/>
      <c r="U971" s="63"/>
      <c r="V971" s="63"/>
      <c r="W971" s="63"/>
      <c r="X971" s="63"/>
      <c r="Y971" s="63"/>
    </row>
    <row r="972" spans="1:25">
      <c r="A972" s="85"/>
      <c r="B972" s="85"/>
      <c r="C972" s="85"/>
      <c r="D972" s="85"/>
      <c r="E972" s="85"/>
      <c r="F972" s="85"/>
      <c r="G972" s="85"/>
      <c r="H972" s="85"/>
      <c r="J972" s="85"/>
      <c r="K972" s="85"/>
      <c r="L972" s="85"/>
      <c r="M972" s="85"/>
      <c r="N972" s="85"/>
      <c r="O972" s="85"/>
      <c r="P972" s="85"/>
      <c r="Q972" s="85"/>
      <c r="R972" s="63"/>
      <c r="S972" s="63"/>
      <c r="T972" s="63"/>
      <c r="U972" s="63"/>
      <c r="V972" s="63"/>
      <c r="W972" s="63"/>
      <c r="X972" s="63"/>
      <c r="Y972" s="63"/>
    </row>
    <row r="973" spans="1:25">
      <c r="A973" s="85"/>
      <c r="B973" s="85"/>
      <c r="C973" s="85"/>
      <c r="D973" s="85"/>
      <c r="E973" s="85"/>
      <c r="F973" s="85"/>
      <c r="G973" s="85"/>
      <c r="H973" s="85"/>
      <c r="J973" s="85"/>
      <c r="K973" s="85"/>
      <c r="L973" s="85"/>
      <c r="M973" s="85"/>
      <c r="N973" s="85"/>
      <c r="O973" s="85"/>
      <c r="P973" s="85"/>
      <c r="Q973" s="85"/>
      <c r="R973" s="63"/>
      <c r="S973" s="63"/>
      <c r="T973" s="63"/>
      <c r="U973" s="63"/>
      <c r="V973" s="63"/>
      <c r="W973" s="63"/>
      <c r="X973" s="63"/>
      <c r="Y973" s="63"/>
    </row>
    <row r="974" spans="1:25">
      <c r="A974" s="85"/>
      <c r="B974" s="85"/>
      <c r="C974" s="85"/>
      <c r="D974" s="85"/>
      <c r="E974" s="85"/>
      <c r="F974" s="85"/>
      <c r="G974" s="85"/>
      <c r="H974" s="85"/>
      <c r="J974" s="85"/>
      <c r="K974" s="85"/>
      <c r="L974" s="85"/>
      <c r="M974" s="85"/>
      <c r="N974" s="85"/>
      <c r="O974" s="85"/>
      <c r="P974" s="85"/>
      <c r="Q974" s="85"/>
      <c r="R974" s="63"/>
      <c r="S974" s="63"/>
      <c r="T974" s="63"/>
      <c r="U974" s="63"/>
      <c r="V974" s="63"/>
      <c r="W974" s="63"/>
      <c r="X974" s="63"/>
      <c r="Y974" s="63"/>
    </row>
    <row r="975" spans="1:25">
      <c r="A975" s="85"/>
      <c r="B975" s="85"/>
      <c r="C975" s="85"/>
      <c r="D975" s="85"/>
      <c r="E975" s="85"/>
      <c r="F975" s="85"/>
      <c r="G975" s="85"/>
      <c r="H975" s="85"/>
      <c r="J975" s="85"/>
      <c r="K975" s="85"/>
      <c r="L975" s="85"/>
      <c r="M975" s="85"/>
      <c r="N975" s="85"/>
      <c r="O975" s="85"/>
      <c r="P975" s="85"/>
      <c r="Q975" s="85"/>
      <c r="R975" s="63"/>
      <c r="S975" s="63"/>
      <c r="T975" s="63"/>
      <c r="U975" s="63"/>
      <c r="V975" s="63"/>
      <c r="W975" s="63"/>
      <c r="X975" s="63"/>
      <c r="Y975" s="63"/>
    </row>
    <row r="976" spans="1:25">
      <c r="A976" s="85"/>
      <c r="B976" s="85"/>
      <c r="C976" s="85"/>
      <c r="D976" s="85"/>
      <c r="E976" s="85"/>
      <c r="F976" s="85"/>
      <c r="G976" s="85"/>
      <c r="H976" s="85"/>
      <c r="J976" s="85"/>
      <c r="K976" s="85"/>
      <c r="L976" s="85"/>
      <c r="M976" s="85"/>
      <c r="N976" s="85"/>
      <c r="O976" s="85"/>
      <c r="P976" s="85"/>
      <c r="Q976" s="85"/>
      <c r="R976" s="63"/>
      <c r="S976" s="63"/>
      <c r="T976" s="63"/>
      <c r="U976" s="63"/>
      <c r="V976" s="63"/>
      <c r="W976" s="63"/>
      <c r="X976" s="63"/>
      <c r="Y976" s="63"/>
    </row>
    <row r="977" spans="1:25">
      <c r="A977" s="85"/>
      <c r="B977" s="85"/>
      <c r="C977" s="85"/>
      <c r="D977" s="85"/>
      <c r="E977" s="85"/>
      <c r="F977" s="85"/>
      <c r="G977" s="85"/>
      <c r="H977" s="85"/>
      <c r="J977" s="85"/>
      <c r="K977" s="85"/>
      <c r="L977" s="85"/>
      <c r="M977" s="85"/>
      <c r="N977" s="85"/>
      <c r="O977" s="85"/>
      <c r="P977" s="85"/>
      <c r="Q977" s="85"/>
      <c r="R977" s="63"/>
      <c r="S977" s="63"/>
      <c r="T977" s="63"/>
      <c r="U977" s="63"/>
      <c r="V977" s="63"/>
      <c r="W977" s="63"/>
      <c r="X977" s="63"/>
      <c r="Y977" s="63"/>
    </row>
    <row r="978" spans="1:25">
      <c r="A978" s="85"/>
      <c r="B978" s="85"/>
      <c r="C978" s="85"/>
      <c r="D978" s="85"/>
      <c r="E978" s="85"/>
      <c r="F978" s="85"/>
      <c r="G978" s="85"/>
      <c r="H978" s="85"/>
      <c r="J978" s="85"/>
      <c r="K978" s="85"/>
      <c r="L978" s="85"/>
      <c r="M978" s="85"/>
      <c r="N978" s="85"/>
      <c r="O978" s="85"/>
      <c r="P978" s="85"/>
      <c r="Q978" s="85"/>
      <c r="R978" s="63"/>
      <c r="S978" s="63"/>
      <c r="T978" s="63"/>
      <c r="U978" s="63"/>
      <c r="V978" s="63"/>
      <c r="W978" s="63"/>
      <c r="X978" s="63"/>
      <c r="Y978" s="63"/>
    </row>
    <row r="979" spans="1:25">
      <c r="A979" s="85"/>
      <c r="B979" s="85"/>
      <c r="C979" s="85"/>
      <c r="D979" s="85"/>
      <c r="E979" s="85"/>
      <c r="F979" s="85"/>
      <c r="G979" s="85"/>
      <c r="H979" s="85"/>
      <c r="J979" s="85"/>
      <c r="K979" s="85"/>
      <c r="L979" s="85"/>
      <c r="M979" s="85"/>
      <c r="N979" s="85"/>
      <c r="O979" s="85"/>
      <c r="P979" s="85"/>
      <c r="Q979" s="85"/>
      <c r="R979" s="63"/>
      <c r="S979" s="63"/>
      <c r="T979" s="63"/>
      <c r="U979" s="63"/>
      <c r="V979" s="63"/>
      <c r="W979" s="63"/>
      <c r="X979" s="63"/>
      <c r="Y979" s="63"/>
    </row>
    <row r="980" spans="1:25">
      <c r="A980" s="85"/>
      <c r="B980" s="85"/>
      <c r="C980" s="85"/>
      <c r="D980" s="85"/>
      <c r="E980" s="85"/>
      <c r="F980" s="85"/>
      <c r="G980" s="85"/>
      <c r="H980" s="85"/>
      <c r="J980" s="85"/>
      <c r="K980" s="85"/>
      <c r="L980" s="85"/>
      <c r="M980" s="85"/>
      <c r="N980" s="85"/>
      <c r="O980" s="85"/>
      <c r="P980" s="85"/>
      <c r="Q980" s="85"/>
      <c r="R980" s="63"/>
      <c r="S980" s="63"/>
      <c r="T980" s="63"/>
      <c r="U980" s="63"/>
      <c r="V980" s="63"/>
      <c r="W980" s="63"/>
      <c r="X980" s="63"/>
      <c r="Y980" s="63"/>
    </row>
    <row r="981" spans="1:25">
      <c r="A981" s="85"/>
      <c r="B981" s="85"/>
      <c r="C981" s="85"/>
      <c r="D981" s="85"/>
      <c r="E981" s="85"/>
      <c r="F981" s="85"/>
      <c r="G981" s="85"/>
      <c r="H981" s="85"/>
      <c r="J981" s="85"/>
      <c r="K981" s="85"/>
      <c r="L981" s="85"/>
      <c r="M981" s="85"/>
      <c r="N981" s="85"/>
      <c r="O981" s="85"/>
      <c r="P981" s="85"/>
      <c r="Q981" s="85"/>
      <c r="R981" s="63"/>
      <c r="S981" s="63"/>
      <c r="T981" s="63"/>
      <c r="U981" s="63"/>
      <c r="V981" s="63"/>
      <c r="W981" s="63"/>
      <c r="X981" s="63"/>
      <c r="Y981" s="63"/>
    </row>
    <row r="982" spans="1:25">
      <c r="A982" s="85"/>
      <c r="B982" s="85"/>
      <c r="C982" s="85"/>
      <c r="D982" s="85"/>
      <c r="E982" s="85"/>
      <c r="F982" s="85"/>
      <c r="G982" s="85"/>
      <c r="H982" s="85"/>
      <c r="J982" s="85"/>
      <c r="K982" s="85"/>
      <c r="L982" s="85"/>
      <c r="M982" s="85"/>
      <c r="N982" s="85"/>
      <c r="O982" s="85"/>
      <c r="P982" s="85"/>
      <c r="Q982" s="85"/>
      <c r="R982" s="63"/>
      <c r="S982" s="63"/>
      <c r="T982" s="63"/>
      <c r="U982" s="63"/>
      <c r="V982" s="63"/>
      <c r="W982" s="63"/>
      <c r="X982" s="63"/>
      <c r="Y982" s="63"/>
    </row>
    <row r="983" spans="1:25">
      <c r="A983" s="85"/>
      <c r="B983" s="85"/>
      <c r="C983" s="85"/>
      <c r="D983" s="85"/>
      <c r="E983" s="85"/>
      <c r="F983" s="85"/>
      <c r="G983" s="85"/>
      <c r="H983" s="85"/>
      <c r="J983" s="85"/>
      <c r="K983" s="85"/>
      <c r="L983" s="85"/>
      <c r="M983" s="85"/>
      <c r="N983" s="85"/>
      <c r="O983" s="85"/>
      <c r="P983" s="85"/>
      <c r="Q983" s="85"/>
      <c r="R983" s="63"/>
      <c r="S983" s="63"/>
      <c r="T983" s="63"/>
      <c r="U983" s="63"/>
      <c r="V983" s="63"/>
      <c r="W983" s="63"/>
      <c r="X983" s="63"/>
      <c r="Y983" s="63"/>
    </row>
    <row r="984" spans="1:25">
      <c r="A984" s="85"/>
      <c r="B984" s="85"/>
      <c r="C984" s="85"/>
      <c r="D984" s="85"/>
      <c r="E984" s="85"/>
      <c r="F984" s="85"/>
      <c r="G984" s="85"/>
      <c r="H984" s="85"/>
      <c r="J984" s="85"/>
      <c r="K984" s="85"/>
      <c r="L984" s="85"/>
      <c r="M984" s="85"/>
      <c r="N984" s="85"/>
      <c r="O984" s="85"/>
      <c r="P984" s="85"/>
      <c r="Q984" s="85"/>
      <c r="R984" s="63"/>
      <c r="S984" s="63"/>
      <c r="T984" s="63"/>
      <c r="U984" s="63"/>
      <c r="V984" s="63"/>
      <c r="W984" s="63"/>
      <c r="X984" s="63"/>
      <c r="Y984" s="63"/>
    </row>
    <row r="985" spans="1:25">
      <c r="A985" s="85"/>
      <c r="B985" s="85"/>
      <c r="C985" s="85"/>
      <c r="D985" s="85"/>
      <c r="E985" s="85"/>
      <c r="F985" s="85"/>
      <c r="G985" s="85"/>
      <c r="H985" s="85"/>
      <c r="J985" s="85"/>
      <c r="K985" s="85"/>
      <c r="L985" s="85"/>
      <c r="M985" s="85"/>
      <c r="N985" s="85"/>
      <c r="O985" s="85"/>
      <c r="P985" s="85"/>
      <c r="Q985" s="85"/>
      <c r="R985" s="63"/>
      <c r="S985" s="63"/>
      <c r="T985" s="63"/>
      <c r="U985" s="63"/>
      <c r="V985" s="63"/>
      <c r="W985" s="63"/>
      <c r="X985" s="63"/>
      <c r="Y985" s="63"/>
    </row>
    <row r="986" spans="1:25">
      <c r="A986" s="85"/>
      <c r="B986" s="85"/>
      <c r="C986" s="85"/>
      <c r="D986" s="85"/>
      <c r="E986" s="85"/>
      <c r="F986" s="85"/>
      <c r="G986" s="85"/>
      <c r="H986" s="85"/>
      <c r="J986" s="85"/>
      <c r="K986" s="85"/>
      <c r="L986" s="85"/>
      <c r="M986" s="85"/>
      <c r="N986" s="85"/>
      <c r="O986" s="85"/>
      <c r="P986" s="85"/>
      <c r="Q986" s="85"/>
      <c r="R986" s="63"/>
      <c r="S986" s="63"/>
      <c r="T986" s="63"/>
      <c r="U986" s="63"/>
      <c r="V986" s="63"/>
      <c r="W986" s="63"/>
      <c r="X986" s="63"/>
      <c r="Y986" s="63"/>
    </row>
    <row r="987" spans="1:25">
      <c r="A987" s="85"/>
      <c r="B987" s="85"/>
      <c r="C987" s="85"/>
      <c r="D987" s="85"/>
      <c r="E987" s="85"/>
      <c r="F987" s="85"/>
      <c r="G987" s="85"/>
      <c r="H987" s="85"/>
      <c r="J987" s="85"/>
      <c r="K987" s="85"/>
      <c r="L987" s="85"/>
      <c r="M987" s="85"/>
      <c r="N987" s="85"/>
      <c r="O987" s="85"/>
      <c r="P987" s="85"/>
      <c r="Q987" s="85"/>
      <c r="R987" s="63"/>
      <c r="S987" s="63"/>
      <c r="T987" s="63"/>
      <c r="U987" s="63"/>
      <c r="V987" s="63"/>
      <c r="W987" s="63"/>
      <c r="X987" s="63"/>
      <c r="Y987" s="63"/>
    </row>
    <row r="988" spans="1:25">
      <c r="A988" s="85"/>
      <c r="B988" s="85"/>
      <c r="C988" s="85"/>
      <c r="D988" s="85"/>
      <c r="E988" s="85"/>
      <c r="F988" s="85"/>
      <c r="G988" s="85"/>
      <c r="H988" s="85"/>
      <c r="J988" s="85"/>
      <c r="K988" s="85"/>
      <c r="L988" s="85"/>
      <c r="M988" s="85"/>
      <c r="N988" s="85"/>
      <c r="O988" s="85"/>
      <c r="P988" s="85"/>
      <c r="Q988" s="85"/>
      <c r="R988" s="63"/>
      <c r="S988" s="63"/>
      <c r="T988" s="63"/>
      <c r="U988" s="63"/>
      <c r="V988" s="63"/>
      <c r="W988" s="63"/>
      <c r="X988" s="63"/>
      <c r="Y988" s="63"/>
    </row>
    <row r="989" spans="1:25">
      <c r="A989" s="85"/>
      <c r="B989" s="85"/>
      <c r="C989" s="85"/>
      <c r="D989" s="85"/>
      <c r="E989" s="85"/>
      <c r="F989" s="85"/>
      <c r="G989" s="85"/>
      <c r="H989" s="85"/>
      <c r="J989" s="85"/>
      <c r="K989" s="85"/>
      <c r="L989" s="85"/>
      <c r="M989" s="85"/>
      <c r="N989" s="85"/>
      <c r="O989" s="85"/>
      <c r="P989" s="85"/>
      <c r="Q989" s="85"/>
      <c r="R989" s="63"/>
      <c r="S989" s="63"/>
      <c r="T989" s="63"/>
      <c r="U989" s="63"/>
      <c r="V989" s="63"/>
      <c r="W989" s="63"/>
      <c r="X989" s="63"/>
      <c r="Y989" s="63"/>
    </row>
    <row r="990" spans="1:25">
      <c r="A990" s="85"/>
      <c r="B990" s="85"/>
      <c r="C990" s="85"/>
      <c r="D990" s="85"/>
      <c r="E990" s="85"/>
      <c r="F990" s="85"/>
      <c r="G990" s="85"/>
      <c r="H990" s="85"/>
      <c r="J990" s="85"/>
      <c r="K990" s="85"/>
      <c r="L990" s="85"/>
      <c r="M990" s="85"/>
      <c r="N990" s="85"/>
      <c r="O990" s="85"/>
      <c r="P990" s="85"/>
      <c r="Q990" s="85"/>
      <c r="R990" s="63"/>
      <c r="S990" s="63"/>
      <c r="T990" s="63"/>
      <c r="U990" s="63"/>
      <c r="V990" s="63"/>
      <c r="W990" s="63"/>
      <c r="X990" s="63"/>
      <c r="Y990" s="63"/>
    </row>
    <row r="991" spans="1:25">
      <c r="A991" s="85"/>
      <c r="B991" s="85"/>
      <c r="C991" s="85"/>
      <c r="D991" s="85"/>
      <c r="E991" s="85"/>
      <c r="F991" s="85"/>
      <c r="G991" s="85"/>
      <c r="H991" s="85"/>
      <c r="J991" s="85"/>
      <c r="K991" s="85"/>
      <c r="L991" s="85"/>
      <c r="M991" s="85"/>
      <c r="N991" s="85"/>
      <c r="O991" s="85"/>
      <c r="P991" s="85"/>
      <c r="Q991" s="85"/>
      <c r="R991" s="63"/>
      <c r="S991" s="63"/>
      <c r="T991" s="63"/>
      <c r="U991" s="63"/>
      <c r="V991" s="63"/>
      <c r="W991" s="63"/>
      <c r="X991" s="63"/>
      <c r="Y991" s="63"/>
    </row>
    <row r="992" spans="1:25">
      <c r="A992" s="85"/>
      <c r="B992" s="85"/>
      <c r="C992" s="85"/>
      <c r="D992" s="85"/>
      <c r="E992" s="85"/>
      <c r="F992" s="85"/>
      <c r="G992" s="85"/>
      <c r="H992" s="85"/>
      <c r="J992" s="85"/>
      <c r="K992" s="85"/>
      <c r="L992" s="85"/>
      <c r="M992" s="85"/>
      <c r="N992" s="85"/>
      <c r="O992" s="85"/>
      <c r="P992" s="85"/>
      <c r="Q992" s="85"/>
      <c r="R992" s="63"/>
      <c r="S992" s="63"/>
      <c r="T992" s="63"/>
      <c r="U992" s="63"/>
      <c r="V992" s="63"/>
      <c r="W992" s="63"/>
      <c r="X992" s="63"/>
      <c r="Y992" s="63"/>
    </row>
    <row r="993" spans="1:25">
      <c r="A993" s="85"/>
      <c r="B993" s="85"/>
      <c r="C993" s="85"/>
      <c r="D993" s="85"/>
      <c r="E993" s="85"/>
      <c r="F993" s="85"/>
      <c r="G993" s="85"/>
      <c r="H993" s="85"/>
      <c r="J993" s="85"/>
      <c r="K993" s="85"/>
      <c r="L993" s="85"/>
      <c r="M993" s="85"/>
      <c r="N993" s="85"/>
      <c r="O993" s="85"/>
      <c r="P993" s="85"/>
      <c r="Q993" s="85"/>
      <c r="R993" s="63"/>
      <c r="S993" s="63"/>
      <c r="T993" s="63"/>
      <c r="U993" s="63"/>
      <c r="V993" s="63"/>
      <c r="W993" s="63"/>
      <c r="X993" s="63"/>
      <c r="Y993" s="63"/>
    </row>
    <row r="994" spans="1:25">
      <c r="A994" s="85"/>
      <c r="B994" s="85"/>
      <c r="C994" s="85"/>
      <c r="D994" s="85"/>
      <c r="E994" s="85"/>
      <c r="F994" s="85"/>
      <c r="G994" s="85"/>
      <c r="H994" s="85"/>
      <c r="J994" s="85"/>
      <c r="K994" s="85"/>
      <c r="L994" s="85"/>
      <c r="M994" s="85"/>
      <c r="N994" s="85"/>
      <c r="O994" s="85"/>
      <c r="P994" s="85"/>
      <c r="Q994" s="85"/>
      <c r="R994" s="63"/>
      <c r="S994" s="63"/>
      <c r="T994" s="63"/>
      <c r="U994" s="63"/>
      <c r="V994" s="63"/>
      <c r="W994" s="63"/>
      <c r="X994" s="63"/>
      <c r="Y994" s="63"/>
    </row>
    <row r="995" spans="1:25">
      <c r="A995" s="85"/>
      <c r="B995" s="85"/>
      <c r="C995" s="85"/>
      <c r="D995" s="85"/>
      <c r="E995" s="85"/>
      <c r="F995" s="85"/>
      <c r="G995" s="85"/>
      <c r="H995" s="85"/>
      <c r="J995" s="85"/>
      <c r="K995" s="85"/>
      <c r="L995" s="85"/>
      <c r="M995" s="85"/>
      <c r="N995" s="85"/>
      <c r="O995" s="85"/>
      <c r="P995" s="85"/>
      <c r="Q995" s="85"/>
      <c r="R995" s="63"/>
      <c r="S995" s="63"/>
      <c r="T995" s="63"/>
      <c r="U995" s="63"/>
      <c r="V995" s="63"/>
      <c r="W995" s="63"/>
      <c r="X995" s="63"/>
      <c r="Y995" s="63"/>
    </row>
    <row r="996" spans="1:25">
      <c r="A996" s="85"/>
      <c r="B996" s="85"/>
      <c r="C996" s="85"/>
      <c r="D996" s="85"/>
      <c r="E996" s="85"/>
      <c r="F996" s="85"/>
      <c r="G996" s="85"/>
      <c r="H996" s="85"/>
      <c r="J996" s="85"/>
      <c r="K996" s="85"/>
      <c r="L996" s="85"/>
      <c r="M996" s="85"/>
      <c r="N996" s="85"/>
      <c r="O996" s="85"/>
      <c r="P996" s="85"/>
      <c r="Q996" s="85"/>
      <c r="R996" s="63"/>
      <c r="S996" s="63"/>
      <c r="T996" s="63"/>
      <c r="U996" s="63"/>
      <c r="V996" s="63"/>
      <c r="W996" s="63"/>
      <c r="X996" s="63"/>
      <c r="Y996" s="63"/>
    </row>
    <row r="997" spans="1:25">
      <c r="A997" s="85"/>
      <c r="B997" s="85"/>
      <c r="C997" s="85"/>
      <c r="D997" s="85"/>
      <c r="E997" s="85"/>
      <c r="F997" s="85"/>
      <c r="G997" s="85"/>
      <c r="H997" s="85"/>
      <c r="J997" s="85"/>
      <c r="K997" s="85"/>
      <c r="L997" s="85"/>
      <c r="M997" s="85"/>
      <c r="N997" s="85"/>
      <c r="O997" s="85"/>
      <c r="P997" s="85"/>
      <c r="Q997" s="85"/>
      <c r="R997" s="63"/>
      <c r="S997" s="63"/>
      <c r="T997" s="63"/>
      <c r="U997" s="63"/>
      <c r="V997" s="63"/>
      <c r="W997" s="63"/>
      <c r="X997" s="63"/>
      <c r="Y997" s="63"/>
    </row>
    <row r="998" spans="1:25">
      <c r="A998" s="85"/>
      <c r="B998" s="85"/>
      <c r="C998" s="85"/>
      <c r="D998" s="85"/>
      <c r="E998" s="85"/>
      <c r="F998" s="85"/>
      <c r="G998" s="85"/>
      <c r="H998" s="85"/>
      <c r="J998" s="85"/>
      <c r="K998" s="85"/>
      <c r="L998" s="85"/>
      <c r="M998" s="85"/>
      <c r="N998" s="85"/>
      <c r="O998" s="85"/>
      <c r="P998" s="85"/>
      <c r="Q998" s="85"/>
      <c r="R998" s="63"/>
      <c r="S998" s="63"/>
      <c r="T998" s="63"/>
      <c r="U998" s="63"/>
      <c r="V998" s="63"/>
      <c r="W998" s="63"/>
      <c r="X998" s="63"/>
      <c r="Y998" s="63"/>
    </row>
    <row r="999" spans="1:25">
      <c r="A999" s="85"/>
      <c r="B999" s="85"/>
      <c r="C999" s="85"/>
      <c r="D999" s="85"/>
      <c r="E999" s="85"/>
      <c r="F999" s="85"/>
      <c r="G999" s="85"/>
      <c r="H999" s="85"/>
      <c r="J999" s="85"/>
      <c r="K999" s="85"/>
      <c r="L999" s="85"/>
      <c r="M999" s="85"/>
      <c r="N999" s="85"/>
      <c r="O999" s="85"/>
      <c r="P999" s="85"/>
      <c r="Q999" s="85"/>
      <c r="R999" s="63"/>
      <c r="S999" s="63"/>
      <c r="T999" s="63"/>
      <c r="U999" s="63"/>
      <c r="V999" s="63"/>
      <c r="W999" s="63"/>
      <c r="X999" s="63"/>
      <c r="Y999" s="63"/>
    </row>
    <row r="1000" spans="1:25">
      <c r="A1000" s="85"/>
      <c r="B1000" s="85"/>
      <c r="C1000" s="85"/>
      <c r="D1000" s="85"/>
      <c r="E1000" s="85"/>
      <c r="F1000" s="85"/>
      <c r="G1000" s="85"/>
      <c r="H1000" s="85"/>
      <c r="J1000" s="85"/>
      <c r="K1000" s="85"/>
      <c r="L1000" s="85"/>
      <c r="M1000" s="85"/>
      <c r="N1000" s="85"/>
      <c r="O1000" s="85"/>
      <c r="P1000" s="85"/>
      <c r="Q1000" s="85"/>
      <c r="R1000" s="63"/>
      <c r="S1000" s="63"/>
      <c r="T1000" s="63"/>
      <c r="U1000" s="63"/>
      <c r="V1000" s="63"/>
      <c r="W1000" s="63"/>
      <c r="X1000" s="63"/>
      <c r="Y1000" s="63"/>
    </row>
  </sheetData>
  <autoFilter ref="A1:I93"/>
  <mergeCells count="7">
    <mergeCell ref="E98:G98"/>
    <mergeCell ref="E99:G99"/>
    <mergeCell ref="P2:P5"/>
    <mergeCell ref="E94:G94"/>
    <mergeCell ref="E95:G95"/>
    <mergeCell ref="E96:G96"/>
    <mergeCell ref="E97:G97"/>
  </mergeCells>
  <conditionalFormatting sqref="I2:I92">
    <cfRule type="cellIs" dxfId="2" priority="2" operator="equal">
      <formula>"lengkap"</formula>
    </cfRule>
    <cfRule type="cellIs" dxfId="1" priority="3" operator="equal">
      <formula>"kurang"</formula>
    </cfRule>
  </conditionalFormatting>
  <conditionalFormatting sqref="D2:H92">
    <cfRule type="cellIs" dxfId="0" priority="4" operator="equal">
      <formula>0</formula>
    </cfRule>
  </conditionalFormatting>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WILAYAH</vt:lpstr>
      <vt:lpstr>CABANG</vt:lpstr>
      <vt:lpstr>DATA</vt:lpstr>
      <vt:lpstr>FORM</vt:lpstr>
      <vt:lpstr>PROGRES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GOIUHYG</cp:lastModifiedBy>
  <dcterms:modified xsi:type="dcterms:W3CDTF">2026-10-19T02:44:41Z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2026-10-15T07:36:41Z</dcterms:created>
  <dc:creator>openpyxl</dc:creator>
  <dc:description/>
  <dc:language>en-US</dc:language>
  <cp:lastModifiedBy>GOIUHYG</cp:lastModifiedBy>
  <dcterms:modified xsi:type="dcterms:W3CDTF">2026-10-19T02:37:56Z</dcterms:modified>
  <cp:revision>1</cp:revision>
  <dc:subject/>
  <dc:title/>
</cp:coreProperties>
</file>